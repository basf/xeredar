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filterPrivacy="1" hidePivotFieldList="1" defaultThemeVersion="124226"/>
  <xr:revisionPtr revIDLastSave="0" documentId="13_ncr:1_{D27CA901-53AA-439F-A9A3-C77B4630895B}" xr6:coauthVersionLast="47" xr6:coauthVersionMax="47" xr10:uidLastSave="{00000000-0000-0000-0000-000000000000}"/>
  <bookViews>
    <workbookView xWindow="-120" yWindow="-120" windowWidth="29040" windowHeight="15840" firstSheet="5" activeTab="12"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workbook>
</file>

<file path=xl/calcChain.xml><?xml version="1.0" encoding="utf-8"?>
<calcChain xmlns="http://schemas.openxmlformats.org/spreadsheetml/2006/main">
  <c r="I83" i="4" l="1"/>
  <c r="J81" i="4"/>
  <c r="K81" i="4"/>
  <c r="L81" i="4"/>
  <c r="M81" i="4"/>
  <c r="C61" i="33"/>
  <c r="D61" i="33"/>
  <c r="E61" i="33"/>
  <c r="F61" i="33"/>
  <c r="G61" i="33"/>
  <c r="H61" i="33"/>
  <c r="R61" i="1"/>
  <c r="H61" i="23"/>
  <c r="C61" i="23"/>
  <c r="D61" i="23"/>
  <c r="E61" i="23"/>
  <c r="F61" i="23"/>
  <c r="G61" i="23"/>
  <c r="K56" i="33"/>
  <c r="C56" i="33"/>
  <c r="I56" i="33"/>
  <c r="B56" i="33"/>
  <c r="L56" i="33"/>
  <c r="G56" i="33"/>
  <c r="M56" i="33"/>
  <c r="F56" i="33"/>
  <c r="H56" i="33"/>
  <c r="J56" i="33"/>
  <c r="E56" i="33"/>
  <c r="D56" i="33"/>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35" i="33"/>
  <c r="V45" i="4" s="1"/>
  <c r="U35" i="33"/>
  <c r="U45" i="4" s="1"/>
  <c r="T35" i="33"/>
  <c r="T45" i="4" s="1"/>
  <c r="S35" i="33"/>
  <c r="S45" i="4" s="1"/>
  <c r="R35" i="33"/>
  <c r="R45" i="4" s="1"/>
  <c r="Q35" i="33"/>
  <c r="Q45" i="4" s="1"/>
  <c r="P35" i="33"/>
  <c r="P45" i="4" s="1"/>
  <c r="B35" i="33"/>
  <c r="B45" i="4" s="1"/>
  <c r="V34" i="33"/>
  <c r="V44" i="4" s="1"/>
  <c r="U34" i="33"/>
  <c r="U44" i="4" s="1"/>
  <c r="T34" i="33"/>
  <c r="T44" i="4" s="1"/>
  <c r="S34" i="33"/>
  <c r="S44" i="4" s="1"/>
  <c r="R34" i="33"/>
  <c r="R44" i="4" s="1"/>
  <c r="Q34" i="33"/>
  <c r="Q44" i="4" s="1"/>
  <c r="P34" i="33"/>
  <c r="P44" i="4" s="1"/>
  <c r="E34" i="33"/>
  <c r="E44" i="4" s="1"/>
  <c r="V33" i="33"/>
  <c r="V43" i="4" s="1"/>
  <c r="U33" i="33"/>
  <c r="U43" i="4" s="1"/>
  <c r="T33" i="33"/>
  <c r="T43" i="4" s="1"/>
  <c r="S33" i="33"/>
  <c r="S43" i="4" s="1"/>
  <c r="R33" i="33"/>
  <c r="R43" i="4" s="1"/>
  <c r="Q33" i="33"/>
  <c r="Q43" i="4" s="1"/>
  <c r="P33" i="33"/>
  <c r="P43" i="4" s="1"/>
  <c r="V32" i="33"/>
  <c r="V42" i="4" s="1"/>
  <c r="U32" i="33"/>
  <c r="U42" i="4" s="1"/>
  <c r="T32" i="33"/>
  <c r="T42" i="4" s="1"/>
  <c r="S32" i="33"/>
  <c r="S42" i="4" s="1"/>
  <c r="R32" i="33"/>
  <c r="R42" i="4" s="1"/>
  <c r="Q32" i="33"/>
  <c r="Q42" i="4" s="1"/>
  <c r="P32" i="33"/>
  <c r="P42" i="4" s="1"/>
  <c r="V31" i="33"/>
  <c r="V41" i="4" s="1"/>
  <c r="U31" i="33"/>
  <c r="U41" i="4" s="1"/>
  <c r="T31" i="33"/>
  <c r="T41" i="4" s="1"/>
  <c r="S31" i="33"/>
  <c r="S41" i="4" s="1"/>
  <c r="R31" i="33"/>
  <c r="R41" i="4" s="1"/>
  <c r="Q31" i="33"/>
  <c r="Q41" i="4" s="1"/>
  <c r="P31" i="33"/>
  <c r="P41" i="4" s="1"/>
  <c r="V30" i="33"/>
  <c r="V40" i="4" s="1"/>
  <c r="U30" i="33"/>
  <c r="U40" i="4" s="1"/>
  <c r="T30" i="33"/>
  <c r="T40" i="4" s="1"/>
  <c r="S30" i="33"/>
  <c r="S40" i="4" s="1"/>
  <c r="R30" i="33"/>
  <c r="R40" i="4" s="1"/>
  <c r="Q30" i="33"/>
  <c r="Q40" i="4" s="1"/>
  <c r="P30" i="33"/>
  <c r="P40" i="4" s="1"/>
  <c r="V29" i="33"/>
  <c r="V39" i="4" s="1"/>
  <c r="U29" i="33"/>
  <c r="U39" i="4" s="1"/>
  <c r="T29" i="33"/>
  <c r="T39" i="4" s="1"/>
  <c r="S29" i="33"/>
  <c r="S39" i="4" s="1"/>
  <c r="R29" i="33"/>
  <c r="R39" i="4" s="1"/>
  <c r="Q29" i="33"/>
  <c r="Q39" i="4" s="1"/>
  <c r="P29" i="33"/>
  <c r="P39" i="4" s="1"/>
  <c r="V28" i="33"/>
  <c r="U28" i="33"/>
  <c r="T28" i="33"/>
  <c r="S28" i="33"/>
  <c r="R28" i="33"/>
  <c r="Q28" i="33"/>
  <c r="P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O35" i="33" s="1"/>
  <c r="O45" i="4" s="1"/>
  <c r="L23" i="33"/>
  <c r="J23" i="33"/>
  <c r="I23" i="33"/>
  <c r="H23" i="33"/>
  <c r="G23" i="33"/>
  <c r="F23" i="33"/>
  <c r="E23" i="33"/>
  <c r="D23" i="33"/>
  <c r="C23" i="33"/>
  <c r="B23" i="33"/>
  <c r="A22" i="33"/>
  <c r="H22" i="33"/>
  <c r="G45" i="33"/>
  <c r="F27" i="33"/>
  <c r="F52" i="33" s="1"/>
  <c r="E45" i="33"/>
  <c r="D22" i="33"/>
  <c r="C45" i="33"/>
  <c r="B45" i="33"/>
  <c r="U56" i="33"/>
  <c r="T56" i="33"/>
  <c r="S56" i="33"/>
  <c r="Q56" i="33"/>
  <c r="P56" i="33"/>
  <c r="R56" i="33"/>
  <c r="V56" i="33"/>
  <c r="G31" i="33" l="1"/>
  <c r="G41" i="4" s="1"/>
  <c r="G33" i="33"/>
  <c r="G43" i="4" s="1"/>
  <c r="K34" i="33"/>
  <c r="K44" i="4" s="1"/>
  <c r="J28" i="33"/>
  <c r="G29" i="33"/>
  <c r="G39" i="4" s="1"/>
  <c r="K29" i="33"/>
  <c r="K39" i="4" s="1"/>
  <c r="C30" i="33"/>
  <c r="C40" i="4" s="1"/>
  <c r="K31" i="33"/>
  <c r="K41" i="4" s="1"/>
  <c r="C32" i="33"/>
  <c r="C42" i="4" s="1"/>
  <c r="K33" i="33"/>
  <c r="K43" i="4" s="1"/>
  <c r="C34" i="33"/>
  <c r="C44" i="4" s="1"/>
  <c r="C35" i="33"/>
  <c r="C45" i="4" s="1"/>
  <c r="B28" i="33"/>
  <c r="B38" i="4" s="1"/>
  <c r="G30" i="33"/>
  <c r="G40" i="4" s="1"/>
  <c r="G32" i="33"/>
  <c r="G42" i="4" s="1"/>
  <c r="G35" i="33"/>
  <c r="G45" i="4" s="1"/>
  <c r="F28" i="33"/>
  <c r="C29" i="33"/>
  <c r="C39" i="4" s="1"/>
  <c r="K30" i="33"/>
  <c r="K40" i="4" s="1"/>
  <c r="C31" i="33"/>
  <c r="C41" i="4" s="1"/>
  <c r="K32" i="33"/>
  <c r="K42" i="4" s="1"/>
  <c r="C33" i="33"/>
  <c r="C43" i="4" s="1"/>
  <c r="G34" i="33"/>
  <c r="G44" i="4" s="1"/>
  <c r="K35" i="33"/>
  <c r="K45" i="4" s="1"/>
  <c r="O36" i="33"/>
  <c r="O46" i="4" s="1"/>
  <c r="O37" i="33"/>
  <c r="O47" i="4" s="1"/>
  <c r="O38" i="33"/>
  <c r="O48" i="4" s="1"/>
  <c r="O39" i="33"/>
  <c r="O49" i="4" s="1"/>
  <c r="O40" i="33"/>
  <c r="O50" i="4" s="1"/>
  <c r="O41" i="33"/>
  <c r="O51" i="4" s="1"/>
  <c r="O42" i="33"/>
  <c r="O52" i="4" s="1"/>
  <c r="O43" i="33"/>
  <c r="O53" i="4" s="1"/>
  <c r="G28" i="33"/>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C28" i="33"/>
  <c r="K28" i="33"/>
  <c r="D29" i="33"/>
  <c r="D39" i="4" s="1"/>
  <c r="L28" i="33"/>
  <c r="I29" i="33"/>
  <c r="I39" i="4" s="1"/>
  <c r="B30" i="33"/>
  <c r="B40" i="4" s="1"/>
  <c r="I30" i="33"/>
  <c r="I40" i="4" s="1"/>
  <c r="E31" i="33"/>
  <c r="E41" i="4" s="1"/>
  <c r="B32" i="33"/>
  <c r="B42" i="4" s="1"/>
  <c r="I32" i="33"/>
  <c r="I42" i="4" s="1"/>
  <c r="I33" i="33"/>
  <c r="I43" i="4" s="1"/>
  <c r="M33" i="33"/>
  <c r="M43" i="4" s="1"/>
  <c r="B34" i="33"/>
  <c r="B44" i="4" s="1"/>
  <c r="I34" i="33"/>
  <c r="I44" i="4" s="1"/>
  <c r="M34" i="33"/>
  <c r="M44" i="4" s="1"/>
  <c r="E35" i="33"/>
  <c r="E45" i="4" s="1"/>
  <c r="I35" i="33"/>
  <c r="I45" i="4" s="1"/>
  <c r="M35" i="33"/>
  <c r="M45" i="4" s="1"/>
  <c r="D28" i="33"/>
  <c r="D38" i="4" s="1"/>
  <c r="H28" i="33"/>
  <c r="H38" i="4" s="1"/>
  <c r="O28" i="33"/>
  <c r="B29" i="33"/>
  <c r="B39" i="4" s="1"/>
  <c r="E29" i="33"/>
  <c r="E39" i="4" s="1"/>
  <c r="M29" i="33"/>
  <c r="M39" i="4" s="1"/>
  <c r="E30" i="33"/>
  <c r="E40" i="4" s="1"/>
  <c r="M30" i="33"/>
  <c r="M40" i="4" s="1"/>
  <c r="B31" i="33"/>
  <c r="B41" i="4" s="1"/>
  <c r="I31" i="33"/>
  <c r="I41" i="4" s="1"/>
  <c r="M31" i="33"/>
  <c r="M41" i="4" s="1"/>
  <c r="E32" i="33"/>
  <c r="E42" i="4" s="1"/>
  <c r="M32" i="33"/>
  <c r="M42" i="4" s="1"/>
  <c r="B33" i="33"/>
  <c r="B43" i="4" s="1"/>
  <c r="E33" i="33"/>
  <c r="E43" i="4" s="1"/>
  <c r="E28" i="33"/>
  <c r="E38" i="4" s="1"/>
  <c r="I28" i="33"/>
  <c r="I38" i="4" s="1"/>
  <c r="M28" i="33"/>
  <c r="M38" i="4" s="1"/>
  <c r="F29" i="33"/>
  <c r="F39" i="4" s="1"/>
  <c r="J29" i="33"/>
  <c r="J39" i="4" s="1"/>
  <c r="O29" i="33"/>
  <c r="O39" i="4" s="1"/>
  <c r="F30" i="33"/>
  <c r="F40" i="4" s="1"/>
  <c r="J30" i="33"/>
  <c r="J40" i="4" s="1"/>
  <c r="O30" i="33"/>
  <c r="O40" i="4" s="1"/>
  <c r="F31" i="33"/>
  <c r="F41" i="4" s="1"/>
  <c r="J31" i="33"/>
  <c r="J41" i="4" s="1"/>
  <c r="O31" i="33"/>
  <c r="O41" i="4" s="1"/>
  <c r="F32" i="33"/>
  <c r="F42" i="4" s="1"/>
  <c r="J32" i="33"/>
  <c r="J42" i="4" s="1"/>
  <c r="O32" i="33"/>
  <c r="O42" i="4" s="1"/>
  <c r="F33" i="33"/>
  <c r="F43" i="4" s="1"/>
  <c r="J33" i="33"/>
  <c r="J43" i="4" s="1"/>
  <c r="O33" i="33"/>
  <c r="O43" i="4" s="1"/>
  <c r="F34" i="33"/>
  <c r="F44" i="4" s="1"/>
  <c r="J34" i="33"/>
  <c r="J44" i="4" s="1"/>
  <c r="O34" i="33"/>
  <c r="O44" i="4" s="1"/>
  <c r="F35" i="33"/>
  <c r="F45" i="4" s="1"/>
  <c r="J35" i="33"/>
  <c r="J45" i="4" s="1"/>
  <c r="U38" i="4"/>
  <c r="R38" i="4"/>
  <c r="V38" i="4"/>
  <c r="B22" i="33"/>
  <c r="E22" i="33"/>
  <c r="I45" i="33"/>
  <c r="I52" i="33"/>
  <c r="I27" i="33"/>
  <c r="C38" i="4"/>
  <c r="C47" i="33"/>
  <c r="C48" i="33" s="1"/>
  <c r="C54" i="33" s="1"/>
  <c r="C46" i="33"/>
  <c r="C53" i="33" s="1"/>
  <c r="G38" i="4"/>
  <c r="G47" i="33"/>
  <c r="G48" i="33" s="1"/>
  <c r="G54" i="33" s="1"/>
  <c r="K47" i="33"/>
  <c r="K48" i="33" s="1"/>
  <c r="K54" i="33" s="1"/>
  <c r="K38" i="4"/>
  <c r="K46" i="33"/>
  <c r="K53" i="33" s="1"/>
  <c r="P46" i="33"/>
  <c r="P53" i="33" s="1"/>
  <c r="P38" i="4"/>
  <c r="P47" i="33"/>
  <c r="P48" i="33" s="1"/>
  <c r="P54" i="33" s="1"/>
  <c r="T38" i="4"/>
  <c r="T46" i="33"/>
  <c r="T53" i="33" s="1"/>
  <c r="T47" i="33"/>
  <c r="T48" i="33" s="1"/>
  <c r="T54" i="33" s="1"/>
  <c r="B27" i="33"/>
  <c r="B52" i="33" s="1"/>
  <c r="L38" i="4"/>
  <c r="Q47" i="33"/>
  <c r="Q48" i="33" s="1"/>
  <c r="Q54" i="33" s="1"/>
  <c r="Q38" i="4"/>
  <c r="G46" i="33"/>
  <c r="G53" i="33" s="1"/>
  <c r="D27" i="33"/>
  <c r="D52" i="33" s="1"/>
  <c r="I22" i="33"/>
  <c r="E27" i="33"/>
  <c r="E52" i="33" s="1"/>
  <c r="F38" i="4"/>
  <c r="J38" i="4"/>
  <c r="J47" i="33"/>
  <c r="J48" i="33" s="1"/>
  <c r="J54" i="33" s="1"/>
  <c r="O38" i="4"/>
  <c r="S38" i="4"/>
  <c r="S46" i="33"/>
  <c r="S53" i="33" s="1"/>
  <c r="S47" i="33"/>
  <c r="S48" i="33" s="1"/>
  <c r="S54" i="33" s="1"/>
  <c r="D45" i="33"/>
  <c r="G57" i="33"/>
  <c r="T57" i="33"/>
  <c r="H57" i="33"/>
  <c r="U57" i="33"/>
  <c r="C57" i="33"/>
  <c r="J57" i="33"/>
  <c r="P57" i="33"/>
  <c r="D57" i="33"/>
  <c r="L57" i="33"/>
  <c r="S57" i="33"/>
  <c r="F57" i="33"/>
  <c r="K57" i="33"/>
  <c r="Q57" i="33"/>
  <c r="B57" i="33"/>
  <c r="E57" i="33"/>
  <c r="I57" i="33"/>
  <c r="M57" i="33"/>
  <c r="R57" i="33"/>
  <c r="V57" i="33"/>
  <c r="D46" i="33"/>
  <c r="D53" i="33" s="1"/>
  <c r="U46" i="33"/>
  <c r="U53" i="33" s="1"/>
  <c r="U47" i="33"/>
  <c r="U48" i="33" s="1"/>
  <c r="U54" i="33" s="1"/>
  <c r="Q46" i="33"/>
  <c r="Q53" i="33" s="1"/>
  <c r="F22" i="33"/>
  <c r="E46" i="33"/>
  <c r="E53" i="33" s="1"/>
  <c r="M46" i="33"/>
  <c r="M53" i="33" s="1"/>
  <c r="R47" i="33"/>
  <c r="R48" i="33" s="1"/>
  <c r="R54" i="33" s="1"/>
  <c r="R46" i="33"/>
  <c r="R53" i="33" s="1"/>
  <c r="V47" i="33"/>
  <c r="V48" i="33" s="1"/>
  <c r="V54" i="33" s="1"/>
  <c r="V46" i="33"/>
  <c r="V53" i="33" s="1"/>
  <c r="F45" i="33"/>
  <c r="G22" i="33"/>
  <c r="G27" i="33"/>
  <c r="G52" i="33" s="1"/>
  <c r="C22" i="33"/>
  <c r="C27" i="33"/>
  <c r="C52" i="33" s="1"/>
  <c r="H27" i="33"/>
  <c r="H52" i="33" s="1"/>
  <c r="H45" i="33"/>
  <c r="O56" i="33"/>
  <c r="O57" i="33" l="1"/>
  <c r="M47" i="33"/>
  <c r="M48" i="33" s="1"/>
  <c r="M54" i="33" s="1"/>
  <c r="E47" i="33"/>
  <c r="E48" i="33" s="1"/>
  <c r="E54" i="33" s="1"/>
  <c r="L47" i="33"/>
  <c r="L48" i="33" s="1"/>
  <c r="L54" i="33" s="1"/>
  <c r="H47" i="33"/>
  <c r="H48" i="33" s="1"/>
  <c r="H54" i="33" s="1"/>
  <c r="O46" i="33"/>
  <c r="O53" i="33" s="1"/>
  <c r="O55" i="33" s="1"/>
  <c r="J46" i="33"/>
  <c r="J53" i="33" s="1"/>
  <c r="L46" i="33"/>
  <c r="L53" i="33" s="1"/>
  <c r="I46" i="33"/>
  <c r="I53" i="33" s="1"/>
  <c r="B46" i="33"/>
  <c r="H46" i="33"/>
  <c r="H53" i="33" s="1"/>
  <c r="O47" i="33"/>
  <c r="O48" i="33" s="1"/>
  <c r="O54" i="33" s="1"/>
  <c r="F46" i="33"/>
  <c r="F53" i="33" s="1"/>
  <c r="I47" i="33"/>
  <c r="I48" i="33" s="1"/>
  <c r="I54" i="33" s="1"/>
  <c r="B47" i="33"/>
  <c r="B48" i="33" s="1"/>
  <c r="B54" i="33" s="1"/>
  <c r="D47" i="33"/>
  <c r="D48" i="33" s="1"/>
  <c r="D54" i="33" s="1"/>
  <c r="F47" i="33"/>
  <c r="F48" i="33" s="1"/>
  <c r="F54" i="33" s="1"/>
  <c r="Q55" i="33"/>
  <c r="R55" i="33"/>
  <c r="S55" i="33"/>
  <c r="T55" i="33"/>
  <c r="P55" i="33"/>
  <c r="O59" i="33"/>
  <c r="S61" i="33"/>
  <c r="U61" i="33"/>
  <c r="P59" i="33"/>
  <c r="P61" i="33" s="1"/>
  <c r="V61" i="33"/>
  <c r="T61" i="33"/>
  <c r="R61" i="33"/>
  <c r="Q59" i="33"/>
  <c r="Q61" i="33" s="1"/>
  <c r="B53" i="33"/>
  <c r="M55" i="33" s="1"/>
  <c r="B65" i="33"/>
  <c r="B64" i="33" l="1"/>
  <c r="V55" i="33"/>
  <c r="U55" i="33"/>
  <c r="D55" i="33"/>
  <c r="B55" i="33"/>
  <c r="K55" i="33"/>
  <c r="L55" i="33"/>
  <c r="G55" i="33"/>
  <c r="F55" i="33"/>
  <c r="C55" i="33"/>
  <c r="J55" i="33"/>
  <c r="H55" i="33"/>
  <c r="I55" i="33"/>
  <c r="E55" i="33"/>
  <c r="O61" i="33" l="1"/>
  <c r="J61" i="33"/>
  <c r="I61" i="33"/>
  <c r="K61" i="33"/>
  <c r="M61" i="33"/>
  <c r="L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T28" i="23"/>
  <c r="T22" i="4" s="1"/>
  <c r="U28" i="23"/>
  <c r="V28" i="23"/>
  <c r="P29" i="23"/>
  <c r="Q29" i="23"/>
  <c r="Q23" i="4" s="1"/>
  <c r="R29" i="23"/>
  <c r="R23" i="4" s="1"/>
  <c r="S29" i="23"/>
  <c r="S23" i="4" s="1"/>
  <c r="T29" i="23"/>
  <c r="T23" i="4" s="1"/>
  <c r="U29" i="23"/>
  <c r="U23" i="4" s="1"/>
  <c r="V29" i="23"/>
  <c r="V23" i="4" s="1"/>
  <c r="P30" i="23"/>
  <c r="P24" i="4" s="1"/>
  <c r="Q30" i="23"/>
  <c r="Q24" i="4" s="1"/>
  <c r="R30" i="23"/>
  <c r="R24" i="4" s="1"/>
  <c r="S30" i="23"/>
  <c r="T30" i="23"/>
  <c r="T24" i="4" s="1"/>
  <c r="U30" i="23"/>
  <c r="U24" i="4" s="1"/>
  <c r="V30" i="23"/>
  <c r="V24" i="4" s="1"/>
  <c r="P31" i="23"/>
  <c r="P25" i="4" s="1"/>
  <c r="Q31" i="23"/>
  <c r="R31" i="23"/>
  <c r="R25" i="4" s="1"/>
  <c r="S31" i="23"/>
  <c r="S25" i="4" s="1"/>
  <c r="T31" i="23"/>
  <c r="T25" i="4" s="1"/>
  <c r="U31" i="23"/>
  <c r="U25" i="4" s="1"/>
  <c r="V31" i="23"/>
  <c r="V25" i="4" s="1"/>
  <c r="P32" i="23"/>
  <c r="P26" i="4" s="1"/>
  <c r="Q32" i="23"/>
  <c r="Q26" i="4" s="1"/>
  <c r="R32" i="23"/>
  <c r="R26" i="4" s="1"/>
  <c r="S32" i="23"/>
  <c r="S26" i="4" s="1"/>
  <c r="T32" i="23"/>
  <c r="T26" i="4" s="1"/>
  <c r="U32" i="23"/>
  <c r="U26" i="4" s="1"/>
  <c r="V32" i="23"/>
  <c r="V26" i="4" s="1"/>
  <c r="P33" i="23"/>
  <c r="P27" i="4" s="1"/>
  <c r="Q33" i="23"/>
  <c r="Q27" i="4" s="1"/>
  <c r="R33" i="23"/>
  <c r="R27" i="4" s="1"/>
  <c r="S33" i="23"/>
  <c r="S27" i="4" s="1"/>
  <c r="T33" i="23"/>
  <c r="U33" i="23"/>
  <c r="U27" i="4" s="1"/>
  <c r="V33" i="23"/>
  <c r="V27" i="4" s="1"/>
  <c r="P34" i="23"/>
  <c r="P28" i="4" s="1"/>
  <c r="Q34" i="23"/>
  <c r="Q28" i="4" s="1"/>
  <c r="R34" i="23"/>
  <c r="R28" i="4" s="1"/>
  <c r="S34" i="23"/>
  <c r="S28" i="4" s="1"/>
  <c r="T34" i="23"/>
  <c r="T28" i="4" s="1"/>
  <c r="U34" i="23"/>
  <c r="U28" i="4" s="1"/>
  <c r="V34" i="23"/>
  <c r="V28" i="4" s="1"/>
  <c r="P35" i="23"/>
  <c r="P29" i="4" s="1"/>
  <c r="Q35" i="23"/>
  <c r="Q29" i="4" s="1"/>
  <c r="R35" i="23"/>
  <c r="R29" i="4" s="1"/>
  <c r="S35" i="23"/>
  <c r="S29" i="4" s="1"/>
  <c r="T35" i="23"/>
  <c r="T29" i="4" s="1"/>
  <c r="U35" i="23"/>
  <c r="V35" i="23"/>
  <c r="V29" i="4" s="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P42" i="23"/>
  <c r="P36" i="4" s="1"/>
  <c r="Q42" i="23"/>
  <c r="Q36" i="4" s="1"/>
  <c r="R42" i="23"/>
  <c r="R36" i="4" s="1"/>
  <c r="S42" i="23"/>
  <c r="S36" i="4" s="1"/>
  <c r="T42" i="23"/>
  <c r="T36" i="4" s="1"/>
  <c r="U42" i="23"/>
  <c r="U36" i="4" s="1"/>
  <c r="V42" i="23"/>
  <c r="V36" i="4" s="1"/>
  <c r="P43" i="23"/>
  <c r="Q43" i="23"/>
  <c r="R43" i="23"/>
  <c r="S43" i="23"/>
  <c r="T43" i="23"/>
  <c r="U43" i="23"/>
  <c r="U37" i="4" s="1"/>
  <c r="V43" i="23"/>
  <c r="K32" i="23"/>
  <c r="K26"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L28" i="1"/>
  <c r="L33" i="1"/>
  <c r="L11" i="4" s="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Q37" i="4"/>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V35" i="4"/>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Q25" i="4"/>
  <c r="S24" i="4"/>
  <c r="U22" i="4"/>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D31" i="23"/>
  <c r="D25" i="4" s="1"/>
  <c r="J40" i="23"/>
  <c r="J34" i="4" s="1"/>
  <c r="J36" i="23"/>
  <c r="J30" i="4" s="1"/>
  <c r="C35" i="23"/>
  <c r="C29" i="4" s="1"/>
  <c r="D34" i="23"/>
  <c r="D28" i="4" s="1"/>
  <c r="J32" i="23"/>
  <c r="J26" i="4" s="1"/>
  <c r="C31" i="23"/>
  <c r="C25" i="4" s="1"/>
  <c r="D30" i="23"/>
  <c r="D24" i="4" s="1"/>
  <c r="J28" i="23"/>
  <c r="J42" i="23"/>
  <c r="J36" i="4" s="1"/>
  <c r="J38" i="23"/>
  <c r="J32" i="4" s="1"/>
  <c r="J34" i="23"/>
  <c r="J28" i="4" s="1"/>
  <c r="H32" i="23"/>
  <c r="H26" i="4" s="1"/>
  <c r="J30" i="23"/>
  <c r="J24" i="4" s="1"/>
  <c r="J41" i="23"/>
  <c r="J35" i="4" s="1"/>
  <c r="J37" i="23"/>
  <c r="J31" i="4" s="1"/>
  <c r="I34" i="23"/>
  <c r="I28" i="4" s="1"/>
  <c r="J43" i="23"/>
  <c r="J39" i="23"/>
  <c r="J33" i="4" s="1"/>
  <c r="F35" i="23"/>
  <c r="F29" i="4" s="1"/>
  <c r="G34" i="23"/>
  <c r="G28" i="4" s="1"/>
  <c r="C34" i="23"/>
  <c r="C28" i="4" s="1"/>
  <c r="D33" i="23"/>
  <c r="D27" i="4" s="1"/>
  <c r="I32" i="23"/>
  <c r="I26" i="4" s="1"/>
  <c r="E32" i="23"/>
  <c r="E26" i="4" s="1"/>
  <c r="F31" i="23"/>
  <c r="F25" i="4" s="1"/>
  <c r="G30" i="23"/>
  <c r="G24" i="4" s="1"/>
  <c r="C30" i="23"/>
  <c r="C24" i="4" s="1"/>
  <c r="D29" i="23"/>
  <c r="D23" i="4" s="1"/>
  <c r="I28" i="23"/>
  <c r="E28" i="23"/>
  <c r="I35" i="23"/>
  <c r="I29" i="4" s="1"/>
  <c r="E35" i="23"/>
  <c r="E29" i="4" s="1"/>
  <c r="G33" i="23"/>
  <c r="G27" i="4" s="1"/>
  <c r="D32" i="23"/>
  <c r="D26" i="4" s="1"/>
  <c r="G29" i="23"/>
  <c r="G23" i="4" s="1"/>
  <c r="H28" i="23"/>
  <c r="D35" i="23"/>
  <c r="D29" i="4" s="1"/>
  <c r="J33" i="23"/>
  <c r="J27" i="4" s="1"/>
  <c r="F33" i="23"/>
  <c r="F27" i="4" s="1"/>
  <c r="G32" i="23"/>
  <c r="G26" i="4" s="1"/>
  <c r="H31" i="23"/>
  <c r="H25" i="4" s="1"/>
  <c r="G28" i="23"/>
  <c r="I30" i="23"/>
  <c r="I24" i="4" s="1"/>
  <c r="P22" i="23"/>
  <c r="S23" i="1"/>
  <c r="T23" i="1"/>
  <c r="U23" i="1"/>
  <c r="V23" i="1"/>
  <c r="S24" i="1"/>
  <c r="T24" i="1"/>
  <c r="U24" i="1"/>
  <c r="V24" i="1"/>
  <c r="L23" i="1"/>
  <c r="M23" i="1"/>
  <c r="L24" i="1"/>
  <c r="M24" i="1"/>
  <c r="I23" i="1"/>
  <c r="I24" i="1"/>
  <c r="J29" i="1"/>
  <c r="J7" i="4" s="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O43" i="1"/>
  <c r="Q31" i="1"/>
  <c r="Q9" i="4" s="1"/>
  <c r="Q34" i="1"/>
  <c r="Q12" i="4" s="1"/>
  <c r="O42" i="1"/>
  <c r="O20" i="4" s="1"/>
  <c r="O40" i="1"/>
  <c r="O18" i="4" s="1"/>
  <c r="P28" i="1"/>
  <c r="P30" i="1"/>
  <c r="P8" i="4" s="1"/>
  <c r="P33" i="1"/>
  <c r="P11" i="4" s="1"/>
  <c r="P34" i="1"/>
  <c r="P12" i="4" s="1"/>
  <c r="Q28" i="1"/>
  <c r="Q33" i="1"/>
  <c r="Q11" i="4" s="1"/>
  <c r="Q35" i="1"/>
  <c r="Q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R56" i="23"/>
  <c r="T56" i="1"/>
  <c r="T56" i="23"/>
  <c r="P56" i="23"/>
  <c r="U56" i="1"/>
  <c r="V56" i="1"/>
  <c r="Q56" i="23"/>
  <c r="U56" i="23"/>
  <c r="V56" i="23"/>
  <c r="S56" i="23"/>
  <c r="S56" i="1"/>
  <c r="O9" i="12" l="1"/>
  <c r="O10" i="12" s="1"/>
  <c r="O39" i="1"/>
  <c r="O17" i="4" s="1"/>
  <c r="O38" i="1"/>
  <c r="O16" i="4" s="1"/>
  <c r="O41" i="1"/>
  <c r="O19" i="4" s="1"/>
  <c r="K32" i="1"/>
  <c r="K10" i="4" s="1"/>
  <c r="L30" i="1"/>
  <c r="L8" i="4" s="1"/>
  <c r="F33" i="1"/>
  <c r="F11" i="4" s="1"/>
  <c r="C35" i="1"/>
  <c r="C13" i="4" s="1"/>
  <c r="H32" i="1"/>
  <c r="H10" i="4" s="1"/>
  <c r="F35" i="1"/>
  <c r="F13" i="4" s="1"/>
  <c r="D33" i="1"/>
  <c r="D11" i="4" s="1"/>
  <c r="D35" i="1"/>
  <c r="D13" i="4" s="1"/>
  <c r="H34" i="1"/>
  <c r="H12" i="4" s="1"/>
  <c r="G29" i="1"/>
  <c r="J35" i="1"/>
  <c r="J13" i="4" s="1"/>
  <c r="J31" i="1"/>
  <c r="J9" i="4" s="1"/>
  <c r="K35" i="1"/>
  <c r="K13" i="4" s="1"/>
  <c r="M33" i="1"/>
  <c r="M11" i="4" s="1"/>
  <c r="K30" i="1"/>
  <c r="K8" i="4" s="1"/>
  <c r="M28" i="1"/>
  <c r="G34" i="1"/>
  <c r="G12" i="4" s="1"/>
  <c r="E33" i="1"/>
  <c r="E11" i="4" s="1"/>
  <c r="H33" i="1"/>
  <c r="H11" i="4" s="1"/>
  <c r="E35" i="1"/>
  <c r="E13" i="4" s="1"/>
  <c r="L35" i="1"/>
  <c r="L13" i="4" s="1"/>
  <c r="K31" i="1"/>
  <c r="O32" i="1"/>
  <c r="O10" i="4" s="1"/>
  <c r="G30" i="1"/>
  <c r="G8" i="4" s="1"/>
  <c r="F34" i="1"/>
  <c r="F12" i="4" s="1"/>
  <c r="F30" i="1"/>
  <c r="I30" i="1"/>
  <c r="I8" i="4" s="1"/>
  <c r="E32" i="1"/>
  <c r="E10" i="4" s="1"/>
  <c r="C33" i="1"/>
  <c r="C11" i="4" s="1"/>
  <c r="J34" i="1"/>
  <c r="J12" i="4" s="1"/>
  <c r="J30" i="1"/>
  <c r="J8" i="4" s="1"/>
  <c r="J28" i="1"/>
  <c r="M34" i="1"/>
  <c r="M12" i="4" s="1"/>
  <c r="M32" i="1"/>
  <c r="M10" i="4" s="1"/>
  <c r="M31" i="1"/>
  <c r="M9" i="4" s="1"/>
  <c r="M29" i="1"/>
  <c r="M7" i="4" s="1"/>
  <c r="G35" i="1"/>
  <c r="G13" i="4" s="1"/>
  <c r="E29" i="1"/>
  <c r="H35" i="1"/>
  <c r="H13" i="4" s="1"/>
  <c r="H30" i="1"/>
  <c r="H8" i="4" s="1"/>
  <c r="J32" i="1"/>
  <c r="J10" i="4" s="1"/>
  <c r="K34" i="1"/>
  <c r="K12" i="4" s="1"/>
  <c r="K29" i="1"/>
  <c r="K7" i="4" s="1"/>
  <c r="B33" i="1"/>
  <c r="B11" i="4" s="1"/>
  <c r="F29" i="1"/>
  <c r="F7" i="4" s="1"/>
  <c r="I33" i="1"/>
  <c r="I11" i="4" s="1"/>
  <c r="I29" i="1"/>
  <c r="I34" i="1"/>
  <c r="I12" i="4" s="1"/>
  <c r="E30" i="1"/>
  <c r="E8" i="4" s="1"/>
  <c r="H31" i="1"/>
  <c r="F32" i="1"/>
  <c r="F10" i="4" s="1"/>
  <c r="J33" i="1"/>
  <c r="J11" i="4" s="1"/>
  <c r="M35" i="1"/>
  <c r="M13" i="4" s="1"/>
  <c r="L34" i="1"/>
  <c r="L12" i="4" s="1"/>
  <c r="K33" i="1"/>
  <c r="K11" i="4" s="1"/>
  <c r="L32" i="1"/>
  <c r="L10" i="4" s="1"/>
  <c r="L31" i="1"/>
  <c r="L9" i="4" s="1"/>
  <c r="M30" i="1"/>
  <c r="M8" i="4" s="1"/>
  <c r="L29" i="1"/>
  <c r="K28" i="1"/>
  <c r="H29" i="23"/>
  <c r="H23" i="4" s="1"/>
  <c r="J31" i="23"/>
  <c r="J25" i="4" s="1"/>
  <c r="H33" i="23"/>
  <c r="H27" i="4" s="1"/>
  <c r="J35" i="23"/>
  <c r="J29" i="4" s="1"/>
  <c r="E34" i="23"/>
  <c r="E28" i="4" s="1"/>
  <c r="D28" i="23"/>
  <c r="I31" i="23"/>
  <c r="I25" i="4" s="1"/>
  <c r="F34" i="23"/>
  <c r="F28" i="4" s="1"/>
  <c r="F28" i="23"/>
  <c r="H30" i="23"/>
  <c r="H24" i="4" s="1"/>
  <c r="E33" i="23"/>
  <c r="E27" i="4" s="1"/>
  <c r="O43" i="23"/>
  <c r="O39" i="23"/>
  <c r="O33" i="4" s="1"/>
  <c r="O42" i="23"/>
  <c r="O36" i="4" s="1"/>
  <c r="O36" i="23"/>
  <c r="O30" i="4" s="1"/>
  <c r="F30" i="23"/>
  <c r="F24" i="4" s="1"/>
  <c r="C33" i="23"/>
  <c r="C27" i="4" s="1"/>
  <c r="E29" i="23"/>
  <c r="E23" i="4" s="1"/>
  <c r="F32" i="23"/>
  <c r="F26" i="4" s="1"/>
  <c r="H34" i="23"/>
  <c r="H28" i="4" s="1"/>
  <c r="J29" i="23"/>
  <c r="O41" i="23"/>
  <c r="O35" i="4" s="1"/>
  <c r="O40" i="23"/>
  <c r="O34" i="4" s="1"/>
  <c r="F29" i="23"/>
  <c r="M35" i="23"/>
  <c r="M29" i="4" s="1"/>
  <c r="L34" i="23"/>
  <c r="L28" i="4" s="1"/>
  <c r="K33" i="23"/>
  <c r="K27" i="4" s="1"/>
  <c r="K31" i="23"/>
  <c r="K25" i="4" s="1"/>
  <c r="M30" i="23"/>
  <c r="M24" i="4" s="1"/>
  <c r="L29" i="23"/>
  <c r="L23" i="4" s="1"/>
  <c r="K28" i="23"/>
  <c r="O33" i="23"/>
  <c r="O27" i="4" s="1"/>
  <c r="L35" i="23"/>
  <c r="L29" i="4" s="1"/>
  <c r="K34" i="23"/>
  <c r="K28" i="4" s="1"/>
  <c r="M32" i="23"/>
  <c r="M26" i="4" s="1"/>
  <c r="L30" i="23"/>
  <c r="L24" i="4" s="1"/>
  <c r="K29" i="23"/>
  <c r="K23" i="4" s="1"/>
  <c r="O29" i="23"/>
  <c r="O23" i="4" s="1"/>
  <c r="C32" i="23"/>
  <c r="C26" i="4" s="1"/>
  <c r="H35" i="23"/>
  <c r="C29" i="23"/>
  <c r="C23" i="4" s="1"/>
  <c r="E31" i="23"/>
  <c r="E25" i="4" s="1"/>
  <c r="I29" i="23"/>
  <c r="G31" i="23"/>
  <c r="I33" i="23"/>
  <c r="I27" i="4" s="1"/>
  <c r="G35" i="23"/>
  <c r="G29" i="4" s="1"/>
  <c r="C28" i="23"/>
  <c r="E30" i="23"/>
  <c r="K35" i="23"/>
  <c r="K29" i="4" s="1"/>
  <c r="M33" i="23"/>
  <c r="M27" i="4" s="1"/>
  <c r="L32" i="23"/>
  <c r="L26" i="4" s="1"/>
  <c r="M31" i="23"/>
  <c r="M25" i="4" s="1"/>
  <c r="K30" i="23"/>
  <c r="K24" i="4" s="1"/>
  <c r="M28" i="23"/>
  <c r="M34" i="23"/>
  <c r="M28" i="4" s="1"/>
  <c r="L33" i="23"/>
  <c r="L27" i="4" s="1"/>
  <c r="L31" i="23"/>
  <c r="L25" i="4" s="1"/>
  <c r="M29" i="23"/>
  <c r="M23" i="4" s="1"/>
  <c r="L28" i="23"/>
  <c r="O35" i="23"/>
  <c r="O29" i="4" s="1"/>
  <c r="L6" i="4"/>
  <c r="T6" i="4"/>
  <c r="M22" i="4"/>
  <c r="H22" i="4"/>
  <c r="I22" i="4"/>
  <c r="D22" i="4"/>
  <c r="J22" i="4"/>
  <c r="C22" i="4"/>
  <c r="S6" i="4"/>
  <c r="Q6" i="4"/>
  <c r="G22" i="4"/>
  <c r="Q22" i="4"/>
  <c r="E22" i="4"/>
  <c r="F22" i="4"/>
  <c r="P6"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S63" i="4" s="1"/>
  <c r="S64" i="4" s="1"/>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G47" i="23"/>
  <c r="G48" i="23" s="1"/>
  <c r="G54" i="23" s="1"/>
  <c r="B29" i="23"/>
  <c r="B23" i="4" s="1"/>
  <c r="M46" i="23"/>
  <c r="M53" i="23"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K47" i="23"/>
  <c r="K48" i="23" s="1"/>
  <c r="K54" i="23" s="1"/>
  <c r="M47" i="23"/>
  <c r="M48" i="23" s="1"/>
  <c r="M54" i="23" s="1"/>
  <c r="L46" i="23"/>
  <c r="L53" i="23" s="1"/>
  <c r="D47" i="23"/>
  <c r="D48" i="23" s="1"/>
  <c r="D54" i="23" s="1"/>
  <c r="G46" i="23"/>
  <c r="G53" i="23" s="1"/>
  <c r="P37" i="1"/>
  <c r="F22" i="23"/>
  <c r="K46" i="23"/>
  <c r="K53" i="23" s="1"/>
  <c r="L47" i="23"/>
  <c r="L48" i="23" s="1"/>
  <c r="L54" i="23" s="1"/>
  <c r="E46" i="23"/>
  <c r="E53" i="23" s="1"/>
  <c r="O36" i="1"/>
  <c r="Q46" i="23"/>
  <c r="Q53" i="23" s="1"/>
  <c r="H45" i="23"/>
  <c r="H47" i="23"/>
  <c r="H48" i="23" s="1"/>
  <c r="H54" i="23" s="1"/>
  <c r="D46" i="23"/>
  <c r="D53" i="23" s="1"/>
  <c r="Q47" i="23"/>
  <c r="Q48" i="23" s="1"/>
  <c r="Q54" i="23" s="1"/>
  <c r="U46" i="23"/>
  <c r="U53" i="23" s="1"/>
  <c r="T46" i="23"/>
  <c r="T53" i="23" s="1"/>
  <c r="M47" i="1"/>
  <c r="M48" i="1" s="1"/>
  <c r="M54" i="1" s="1"/>
  <c r="R31" i="1"/>
  <c r="R9" i="4" s="1"/>
  <c r="R22" i="4"/>
  <c r="V22" i="4"/>
  <c r="U29" i="4"/>
  <c r="T47" i="23"/>
  <c r="T48" i="23" s="1"/>
  <c r="T54" i="23" s="1"/>
  <c r="T27" i="4"/>
  <c r="H46" i="23"/>
  <c r="H53" i="23" s="1"/>
  <c r="V57" i="1"/>
  <c r="U57" i="23"/>
  <c r="Q57" i="23"/>
  <c r="U57" i="1"/>
  <c r="T57" i="23"/>
  <c r="P57" i="23"/>
  <c r="T57" i="1"/>
  <c r="S57" i="23"/>
  <c r="S57" i="1"/>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46" i="1"/>
  <c r="K53" i="1" s="1"/>
  <c r="K9" i="4"/>
  <c r="B32" i="1"/>
  <c r="D28" i="1"/>
  <c r="C32" i="1"/>
  <c r="J47" i="1"/>
  <c r="J48" i="1" s="1"/>
  <c r="J54" i="1" s="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H9" i="4"/>
  <c r="G7" i="4"/>
  <c r="C4" i="4"/>
  <c r="C47" i="23"/>
  <c r="C48" i="23" s="1"/>
  <c r="C54" i="23" s="1"/>
  <c r="J47" i="23"/>
  <c r="J48" i="23" s="1"/>
  <c r="J54" i="23" s="1"/>
  <c r="P47" i="23"/>
  <c r="P48" i="23" s="1"/>
  <c r="P54" i="23" s="1"/>
  <c r="E47" i="23"/>
  <c r="E48" i="23" s="1"/>
  <c r="E54" i="23" s="1"/>
  <c r="I46" i="23"/>
  <c r="I53" i="23" s="1"/>
  <c r="F47" i="23"/>
  <c r="F48" i="23" s="1"/>
  <c r="F54" i="23" s="1"/>
  <c r="U47" i="23"/>
  <c r="U48" i="23" s="1"/>
  <c r="U54" i="23" s="1"/>
  <c r="A47" i="22"/>
  <c r="F46" i="23"/>
  <c r="F53" i="23" s="1"/>
  <c r="J46" i="23"/>
  <c r="J53" i="23" s="1"/>
  <c r="I47" i="23"/>
  <c r="I48" i="23" s="1"/>
  <c r="I54" i="23" s="1"/>
  <c r="C46" i="23"/>
  <c r="C53" i="23" s="1"/>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K56" i="1"/>
  <c r="G56" i="1"/>
  <c r="J56" i="1"/>
  <c r="F56" i="23"/>
  <c r="M56" i="1"/>
  <c r="R56" i="1"/>
  <c r="D56" i="23"/>
  <c r="B56" i="23"/>
  <c r="O56" i="23"/>
  <c r="B56" i="1"/>
  <c r="T78" i="4"/>
  <c r="V78" i="4"/>
  <c r="G56" i="23"/>
  <c r="P56" i="1"/>
  <c r="F56" i="1"/>
  <c r="K56" i="23"/>
  <c r="E56" i="1"/>
  <c r="E56" i="23"/>
  <c r="S78" i="4"/>
  <c r="D56" i="1"/>
  <c r="C56" i="1"/>
  <c r="J56" i="23"/>
  <c r="Q56" i="1"/>
  <c r="H56" i="23"/>
  <c r="L56" i="23"/>
  <c r="L56" i="1"/>
  <c r="I56" i="1"/>
  <c r="H56" i="1"/>
  <c r="C56" i="23"/>
  <c r="O56" i="1"/>
  <c r="M56" i="23"/>
  <c r="I56" i="23"/>
  <c r="U78" i="4"/>
  <c r="F46" i="1" l="1"/>
  <c r="F53" i="1" s="1"/>
  <c r="K47" i="1"/>
  <c r="K48" i="1" s="1"/>
  <c r="K54" i="1" s="1"/>
  <c r="K57" i="1"/>
  <c r="J57" i="1"/>
  <c r="M57" i="1"/>
  <c r="L57" i="1"/>
  <c r="J46" i="1"/>
  <c r="J53" i="1" s="1"/>
  <c r="L7" i="4"/>
  <c r="L46" i="1"/>
  <c r="L53" i="1" s="1"/>
  <c r="M6" i="4"/>
  <c r="M63" i="4" s="1"/>
  <c r="M64" i="4" s="1"/>
  <c r="K6" i="4"/>
  <c r="J6" i="4"/>
  <c r="L47" i="1"/>
  <c r="L48" i="1" s="1"/>
  <c r="L54" i="1" s="1"/>
  <c r="M46" i="1"/>
  <c r="M53" i="1" s="1"/>
  <c r="P47" i="1"/>
  <c r="P48" i="1" s="1"/>
  <c r="P54" i="1" s="1"/>
  <c r="D57" i="23"/>
  <c r="J57" i="23"/>
  <c r="J23" i="4"/>
  <c r="L57" i="23"/>
  <c r="C57" i="23"/>
  <c r="I57" i="23"/>
  <c r="K57" i="23"/>
  <c r="M57" i="23"/>
  <c r="E57" i="23"/>
  <c r="G57" i="23"/>
  <c r="H57" i="23"/>
  <c r="F57" i="23"/>
  <c r="I23" i="4"/>
  <c r="K22" i="4"/>
  <c r="L22" i="4"/>
  <c r="E24" i="4"/>
  <c r="G25" i="4"/>
  <c r="H29" i="4"/>
  <c r="F23" i="4"/>
  <c r="D6" i="4"/>
  <c r="R6" i="4"/>
  <c r="C6" i="4"/>
  <c r="B22" i="4"/>
  <c r="I6" i="4"/>
  <c r="P7" i="4"/>
  <c r="E6" i="4"/>
  <c r="H6" i="4"/>
  <c r="F6" i="4"/>
  <c r="O6" i="4"/>
  <c r="B6" i="4"/>
  <c r="G6" i="4"/>
  <c r="Q7" i="4"/>
  <c r="U63" i="4"/>
  <c r="U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S56" i="4"/>
  <c r="S75" i="4" s="1"/>
  <c r="O55" i="4"/>
  <c r="O62" i="4"/>
  <c r="F55" i="4"/>
  <c r="F62" i="4"/>
  <c r="M55" i="4"/>
  <c r="M62" i="4"/>
  <c r="J55" i="4"/>
  <c r="J62" i="4"/>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V79" i="4"/>
  <c r="U79" i="4"/>
  <c r="T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C63" i="4" s="1"/>
  <c r="C64" i="4" s="1"/>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M78" i="4"/>
  <c r="Q78" i="4"/>
  <c r="I78" i="4"/>
  <c r="E78" i="4"/>
  <c r="L78" i="4"/>
  <c r="H78" i="4"/>
  <c r="D78" i="4"/>
  <c r="J78" i="4"/>
  <c r="C78" i="4"/>
  <c r="B78" i="4"/>
  <c r="R78" i="4"/>
  <c r="F78" i="4"/>
  <c r="P78" i="4"/>
  <c r="K78" i="4"/>
  <c r="O78" i="4"/>
  <c r="G78" i="4"/>
  <c r="K57" i="4" l="1"/>
  <c r="K58" i="4" s="1"/>
  <c r="K76" i="4" s="1"/>
  <c r="J56" i="4"/>
  <c r="J75" i="4" s="1"/>
  <c r="K63" i="4"/>
  <c r="K64" i="4" s="1"/>
  <c r="K56" i="4"/>
  <c r="K75" i="4" s="1"/>
  <c r="J57" i="4"/>
  <c r="J58" i="4" s="1"/>
  <c r="J76" i="4" s="1"/>
  <c r="J63" i="4"/>
  <c r="J64" i="4" s="1"/>
  <c r="M79" i="4"/>
  <c r="M56" i="4"/>
  <c r="M75" i="4" s="1"/>
  <c r="I3" i="12" s="1"/>
  <c r="M57" i="4"/>
  <c r="M58" i="4" s="1"/>
  <c r="M76" i="4" s="1"/>
  <c r="F63" i="4"/>
  <c r="F64" i="4" s="1"/>
  <c r="G55" i="1"/>
  <c r="I63" i="4"/>
  <c r="I64" i="4" s="1"/>
  <c r="I57" i="4"/>
  <c r="I58" i="4" s="1"/>
  <c r="I76" i="4" s="1"/>
  <c r="V4" i="4"/>
  <c r="V55" i="4" s="1"/>
  <c r="U55" i="1"/>
  <c r="J79" i="4"/>
  <c r="K79" i="4"/>
  <c r="L79" i="4"/>
  <c r="F55" i="23"/>
  <c r="L57" i="4"/>
  <c r="L58" i="4" s="1"/>
  <c r="L76" i="4" s="1"/>
  <c r="H4" i="12" s="1"/>
  <c r="L56" i="4"/>
  <c r="L75" i="4" s="1"/>
  <c r="H3" i="12" s="1"/>
  <c r="H56" i="4"/>
  <c r="H75" i="4" s="1"/>
  <c r="L63" i="4"/>
  <c r="L64" i="4" s="1"/>
  <c r="C55" i="23"/>
  <c r="P55" i="23"/>
  <c r="V55" i="23"/>
  <c r="S55" i="23"/>
  <c r="R63" i="4"/>
  <c r="R64" i="4" s="1"/>
  <c r="R55" i="1"/>
  <c r="P55" i="1"/>
  <c r="R55" i="23"/>
  <c r="Q55" i="23"/>
  <c r="U55" i="23"/>
  <c r="T55" i="1"/>
  <c r="Q55" i="1"/>
  <c r="S55" i="1"/>
  <c r="T55" i="23"/>
  <c r="V55" i="1"/>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V74" i="4"/>
  <c r="Z2" i="12" s="1"/>
  <c r="V62" i="4"/>
  <c r="P56" i="4"/>
  <c r="R57" i="4"/>
  <c r="R58" i="4" s="1"/>
  <c r="R76" i="4" s="1"/>
  <c r="Q57" i="4"/>
  <c r="Q58" i="4" s="1"/>
  <c r="Q76" i="4" s="1"/>
  <c r="Q79" i="4"/>
  <c r="P79" i="4"/>
  <c r="R79" i="4"/>
  <c r="R80" i="4" s="1"/>
  <c r="U4" i="4"/>
  <c r="F2" i="27"/>
  <c r="F4" i="27" s="1"/>
  <c r="O2" i="12"/>
  <c r="O4" i="12" s="1"/>
  <c r="U27" i="1"/>
  <c r="U52" i="1" s="1"/>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O79" i="4"/>
  <c r="B79" i="4"/>
  <c r="B64" i="23"/>
  <c r="Q59" i="23"/>
  <c r="P59" i="23"/>
  <c r="B65" i="23"/>
  <c r="N2" i="12"/>
  <c r="N4" i="12" s="1"/>
  <c r="R45" i="23"/>
  <c r="S4" i="4"/>
  <c r="S62" i="4" s="1"/>
  <c r="S45" i="1"/>
  <c r="S27" i="1"/>
  <c r="S52" i="1" s="1"/>
  <c r="S22" i="1"/>
  <c r="S2" i="12"/>
  <c r="U27" i="23"/>
  <c r="U52" i="23" s="1"/>
  <c r="U45" i="23"/>
  <c r="S45" i="23"/>
  <c r="S27" i="23"/>
  <c r="S52" i="23" s="1"/>
  <c r="S22" i="23"/>
  <c r="R45" i="1"/>
  <c r="R4" i="4"/>
  <c r="R62" i="4" s="1"/>
  <c r="R27" i="1"/>
  <c r="R52" i="1" s="1"/>
  <c r="R27" i="23"/>
  <c r="R52" i="23" s="1"/>
  <c r="O59" i="23"/>
  <c r="C55" i="1"/>
  <c r="H55" i="1"/>
  <c r="F55" i="1"/>
  <c r="I55" i="1"/>
  <c r="L55" i="1"/>
  <c r="J55" i="1"/>
  <c r="D55" i="1"/>
  <c r="K55" i="1"/>
  <c r="E55" i="1"/>
  <c r="O59" i="1"/>
  <c r="M55" i="1"/>
  <c r="P59" i="1"/>
  <c r="Q59" i="1"/>
  <c r="B65" i="1"/>
  <c r="B64" i="1"/>
  <c r="B55" i="1"/>
  <c r="G3" i="12"/>
  <c r="T27" i="23"/>
  <c r="T52" i="23" s="1"/>
  <c r="T45" i="23"/>
  <c r="T22" i="23"/>
  <c r="F3" i="12"/>
  <c r="J3" i="12"/>
  <c r="T27" i="1"/>
  <c r="T52" i="1" s="1"/>
  <c r="T45" i="1"/>
  <c r="T4" i="4"/>
  <c r="T62" i="4" s="1"/>
  <c r="T22" i="1"/>
  <c r="AH2" i="12" l="1"/>
  <c r="J80" i="4"/>
  <c r="AA2" i="12"/>
  <c r="S4" i="12"/>
  <c r="B80" i="4"/>
  <c r="P75" i="4"/>
  <c r="B5" i="27" s="1"/>
  <c r="O81" i="4"/>
  <c r="AE2" i="12"/>
  <c r="U74" i="4"/>
  <c r="Y2" i="12" s="1"/>
  <c r="U62" i="4"/>
  <c r="B5" i="12"/>
  <c r="B6" i="12"/>
  <c r="B6" i="27"/>
  <c r="R61" i="23"/>
  <c r="U55" i="4"/>
  <c r="F3" i="27"/>
  <c r="V77" i="4"/>
  <c r="U77" i="4"/>
  <c r="O77" i="4"/>
  <c r="S77" i="4"/>
  <c r="Q77" i="4"/>
  <c r="R77" i="4"/>
  <c r="P81" i="4"/>
  <c r="Q81" i="4"/>
  <c r="B86" i="4"/>
  <c r="B87" i="4"/>
  <c r="B75" i="4"/>
  <c r="M61" i="23"/>
  <c r="I61" i="23"/>
  <c r="Q61" i="23"/>
  <c r="U61" i="23"/>
  <c r="P61" i="23"/>
  <c r="K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AB2" i="12"/>
  <c r="AF2" i="12"/>
  <c r="T55" i="4"/>
  <c r="T74" i="4"/>
  <c r="P77" i="4" l="1"/>
  <c r="AB4" i="12"/>
  <c r="AD4" i="12"/>
  <c r="AE4" i="12"/>
  <c r="Z4" i="12"/>
  <c r="W4" i="12"/>
  <c r="AG4" i="12"/>
  <c r="AC4" i="12"/>
  <c r="AH4" i="12"/>
  <c r="AF4" i="12"/>
  <c r="Y4" i="12"/>
  <c r="AA4" i="12"/>
  <c r="I81" i="4"/>
  <c r="F3" i="28" s="1"/>
  <c r="F81" i="4"/>
  <c r="G81" i="4"/>
  <c r="H81" i="4"/>
  <c r="D81" i="4"/>
  <c r="D83" i="4" s="1"/>
  <c r="E81" i="4"/>
  <c r="C81" i="4"/>
  <c r="K77" i="4"/>
  <c r="E5" i="28" s="1"/>
  <c r="J77" i="4"/>
  <c r="E4" i="28" s="1"/>
  <c r="G77" i="4"/>
  <c r="F77" i="4"/>
  <c r="L77" i="4"/>
  <c r="E6" i="28" s="1"/>
  <c r="B77" i="4"/>
  <c r="B2" i="27"/>
  <c r="G6" i="27" s="1"/>
  <c r="M77" i="4"/>
  <c r="E7" i="28" s="1"/>
  <c r="I77" i="4"/>
  <c r="E3" i="28" s="1"/>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V83" i="4"/>
  <c r="T83" i="4"/>
  <c r="M83" i="4"/>
  <c r="P83" i="4"/>
  <c r="U83" i="4"/>
  <c r="F83" i="4"/>
  <c r="Q83" i="4"/>
  <c r="K83" i="4"/>
  <c r="J83" i="4"/>
  <c r="R83" i="4"/>
  <c r="S83" i="4"/>
  <c r="O83" i="4"/>
  <c r="O61" i="23"/>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J11" i="28"/>
  <c r="I6" i="28"/>
  <c r="J9" i="28"/>
  <c r="I8" i="28"/>
  <c r="F14" i="28"/>
  <c r="F12" i="28"/>
  <c r="J6" i="28"/>
  <c r="J7" i="28"/>
  <c r="E12" i="28"/>
  <c r="I10" i="28"/>
  <c r="I13" i="28"/>
  <c r="E15" i="28"/>
  <c r="E11" i="28"/>
  <c r="F11" i="28"/>
  <c r="F6" i="28"/>
  <c r="J14" i="28"/>
  <c r="I15" i="28"/>
  <c r="I9" i="28"/>
  <c r="J5" i="28"/>
  <c r="J8" i="28"/>
  <c r="F10" i="28"/>
  <c r="I5" i="28"/>
  <c r="I4" i="28"/>
  <c r="I7" i="28"/>
  <c r="E13" i="28"/>
  <c r="E9" i="28"/>
  <c r="J10" i="28"/>
  <c r="I14" i="28"/>
  <c r="J4" i="28"/>
  <c r="J12" i="28"/>
  <c r="I12" i="28"/>
  <c r="F7" i="28"/>
  <c r="J15" i="28"/>
  <c r="AI2" i="12"/>
  <c r="AI4" i="12" s="1"/>
  <c r="X2" i="12"/>
  <c r="X4" i="12" s="1"/>
  <c r="S5" i="12" l="1"/>
  <c r="P5" i="12"/>
  <c r="R5" i="12"/>
  <c r="Q5" i="12"/>
  <c r="G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F12" i="22"/>
  <c r="I12" i="22" s="1"/>
  <c r="F16" i="22"/>
  <c r="G16" i="22" s="1"/>
  <c r="F22" i="22"/>
  <c r="I22" i="22" s="1"/>
  <c r="J5" i="12"/>
  <c r="F15" i="22"/>
  <c r="G15" i="22" s="1"/>
  <c r="L5" i="12"/>
  <c r="F21" i="22"/>
  <c r="G21" i="22" s="1"/>
  <c r="F5" i="12"/>
  <c r="F24" i="22"/>
  <c r="G24" i="22" s="1"/>
  <c r="F10" i="22"/>
  <c r="K10" i="22" s="1"/>
  <c r="F11" i="22"/>
  <c r="I11" i="22" s="1"/>
  <c r="F13" i="22"/>
  <c r="I13" i="22" s="1"/>
  <c r="F14" i="22"/>
  <c r="G14" i="22" s="1"/>
  <c r="F18" i="22"/>
  <c r="G18" i="22" s="1"/>
  <c r="F8" i="22"/>
  <c r="G8" i="22" s="1"/>
  <c r="F5" i="27"/>
  <c r="F25" i="22"/>
  <c r="K25" i="22" s="1"/>
  <c r="M25" i="22" s="1"/>
  <c r="G5" i="12"/>
  <c r="H5" i="12"/>
  <c r="F17" i="22"/>
  <c r="K17" i="22" s="1"/>
  <c r="M17" i="22" s="1"/>
  <c r="K5" i="12"/>
  <c r="G7" i="22"/>
  <c r="I7" i="22"/>
  <c r="G3" i="28" s="1"/>
  <c r="G51" i="22"/>
  <c r="J51" i="22" s="1"/>
  <c r="I51" i="22"/>
  <c r="M51" i="22" s="1"/>
  <c r="K51" i="22"/>
  <c r="N51" i="22" s="1"/>
  <c r="G44" i="22"/>
  <c r="J44" i="22" s="1"/>
  <c r="I44" i="22"/>
  <c r="M44" i="22" s="1"/>
  <c r="K44" i="22"/>
  <c r="N44" i="22" s="1"/>
  <c r="G9" i="22"/>
  <c r="I17" i="22"/>
  <c r="G38" i="22"/>
  <c r="J38" i="22" s="1"/>
  <c r="I38" i="22"/>
  <c r="M38" i="22" s="1"/>
  <c r="K38" i="22"/>
  <c r="N38" i="22" s="1"/>
  <c r="G33" i="22"/>
  <c r="J33" i="22" s="1"/>
  <c r="I33" i="22"/>
  <c r="K33" i="22"/>
  <c r="G46" i="22"/>
  <c r="J46" i="22" s="1"/>
  <c r="I46" i="22"/>
  <c r="M46" i="22" s="1"/>
  <c r="K46" i="22"/>
  <c r="N46" i="22" s="1"/>
  <c r="G37" i="22"/>
  <c r="J37" i="22" s="1"/>
  <c r="I37" i="22"/>
  <c r="M37" i="22" s="1"/>
  <c r="K37" i="22"/>
  <c r="N37" i="22" s="1"/>
  <c r="G40" i="22"/>
  <c r="J40" i="22" s="1"/>
  <c r="I40" i="22"/>
  <c r="M40" i="22" s="1"/>
  <c r="K40" i="22"/>
  <c r="N40" i="22" s="1"/>
  <c r="K26" i="22"/>
  <c r="M26" i="22" s="1"/>
  <c r="G41" i="22"/>
  <c r="J41" i="22" s="1"/>
  <c r="I41" i="22"/>
  <c r="M41" i="22" s="1"/>
  <c r="K41" i="22"/>
  <c r="N41" i="22" s="1"/>
  <c r="G25" i="22"/>
  <c r="I25" i="22"/>
  <c r="I14" i="22"/>
  <c r="G13"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I15" i="22"/>
  <c r="K15" i="22"/>
  <c r="M15" i="22" s="1"/>
  <c r="G12" i="22"/>
  <c r="K12" i="22"/>
  <c r="M12"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K24" i="22" l="1"/>
  <c r="M24" i="22" s="1"/>
  <c r="I9" i="22"/>
  <c r="I10" i="22"/>
  <c r="G11" i="22"/>
  <c r="I32" i="22"/>
  <c r="K32" i="22" s="1"/>
  <c r="L3" i="28" s="1"/>
  <c r="G10" i="22"/>
  <c r="I34" i="22"/>
  <c r="K34" i="22" s="1"/>
  <c r="L5" i="28" s="1"/>
  <c r="I35" i="22"/>
  <c r="K35" i="22" s="1"/>
  <c r="N35" i="22" s="1"/>
  <c r="K14" i="22"/>
  <c r="M14" i="22" s="1"/>
  <c r="I24" i="22"/>
  <c r="I36" i="22"/>
  <c r="K36" i="22" s="1"/>
  <c r="L7" i="28" s="1"/>
  <c r="K19" i="22"/>
  <c r="M19" i="22" s="1"/>
  <c r="I19" i="22"/>
  <c r="M33" i="22"/>
  <c r="K4" i="28"/>
  <c r="N36" i="22"/>
  <c r="N34" i="22"/>
  <c r="N33" i="22"/>
  <c r="L4" i="28"/>
  <c r="K18" i="22"/>
  <c r="M18" i="22" s="1"/>
  <c r="G22" i="22"/>
  <c r="K21" i="22"/>
  <c r="M21" i="22" s="1"/>
  <c r="I18" i="22"/>
  <c r="K16" i="22"/>
  <c r="M16" i="22" s="1"/>
  <c r="I26" i="22"/>
  <c r="G17" i="22"/>
  <c r="K13" i="22"/>
  <c r="M13" i="22" s="1"/>
  <c r="K9" i="22"/>
  <c r="M9" i="22" s="1"/>
  <c r="M10" i="22"/>
  <c r="N10" i="22"/>
  <c r="I16" i="22"/>
  <c r="G20" i="22"/>
  <c r="K8" i="22"/>
  <c r="M8" i="22" s="1"/>
  <c r="K23" i="22"/>
  <c r="M23" i="22" s="1"/>
  <c r="I21" i="22"/>
  <c r="K22" i="22"/>
  <c r="M22" i="22" s="1"/>
  <c r="I8" i="22"/>
  <c r="G4" i="28" s="1"/>
  <c r="I23" i="22"/>
  <c r="K20" i="22"/>
  <c r="M20" i="22" s="1"/>
  <c r="K11" i="22"/>
  <c r="M11" i="22" s="1"/>
  <c r="M7" i="22"/>
  <c r="H3" i="28"/>
  <c r="N15" i="22"/>
  <c r="N12" i="22"/>
  <c r="N7" i="22"/>
  <c r="N21" i="22"/>
  <c r="N24" i="22"/>
  <c r="N25" i="22"/>
  <c r="N17" i="22"/>
  <c r="N26" i="22"/>
  <c r="L2" i="28"/>
  <c r="K2" i="28"/>
  <c r="G2" i="28"/>
  <c r="G13" i="28"/>
  <c r="G14" i="28"/>
  <c r="G8" i="28"/>
  <c r="G11" i="28"/>
  <c r="G12" i="28"/>
  <c r="G9" i="28"/>
  <c r="G6" i="28"/>
  <c r="G15" i="28"/>
  <c r="G7" i="28"/>
  <c r="G5" i="28"/>
  <c r="G10" i="28"/>
  <c r="H6" i="28"/>
  <c r="H15" i="28"/>
  <c r="H12" i="28"/>
  <c r="H9" i="28"/>
  <c r="H14" i="28"/>
  <c r="H10" i="28"/>
  <c r="H13" i="28"/>
  <c r="H11" i="28"/>
  <c r="H8" i="28"/>
  <c r="H2" i="28"/>
  <c r="L6" i="28" l="1"/>
  <c r="K6" i="28"/>
  <c r="M36" i="22"/>
  <c r="M35" i="22"/>
  <c r="K7" i="28"/>
  <c r="K5" i="28"/>
  <c r="N14" i="22"/>
  <c r="N32" i="22"/>
  <c r="K3" i="28"/>
  <c r="M34" i="22"/>
  <c r="M32" i="22"/>
  <c r="N19" i="22"/>
  <c r="H7" i="28"/>
  <c r="H5" i="28"/>
  <c r="N18" i="22"/>
  <c r="N8" i="22"/>
  <c r="H4" i="28"/>
  <c r="N20" i="22"/>
  <c r="N13" i="22"/>
  <c r="N16" i="22"/>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<sst xmlns="http://schemas.openxmlformats.org/spreadsheetml/2006/main" count="7889" uniqueCount="4268">
  <si>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</si>
  <si>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</si>
  <si>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</si>
  <si>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</si>
  <si>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</si>
  <si>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</si>
  <si>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</si>
  <si>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</si>
  <si>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</si>
  <si>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</si>
  <si>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</si>
  <si>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</si>
  <si>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</si>
  <si>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</si>
  <si>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</si>
  <si>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</si>
  <si>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</si>
  <si>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</si>
  <si>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</si>
  <si>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</si>
  <si>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</si>
  <si>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</si>
  <si>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</si>
  <si>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</si>
  <si>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</si>
  <si>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</si>
  <si>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</si>
  <si>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</si>
  <si>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</si>
  <si>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</si>
  <si>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</si>
  <si>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</si>
  <si>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</si>
  <si>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</si>
  <si>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</si>
  <si>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</si>
  <si>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</si>
  <si>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</si>
  <si>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</si>
  <si>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</si>
  <si>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</si>
  <si>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</si>
  <si>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</si>
  <si>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</si>
  <si>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</si>
  <si>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</si>
  <si>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</si>
  <si>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</si>
  <si>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</si>
  <si>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</si>
  <si>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</si>
  <si>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</si>
  <si>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</si>
  <si>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</si>
  <si>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</si>
  <si>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</si>
  <si>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</si>
  <si>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</si>
  <si>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</si>
  <si>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</si>
  <si>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</si>
  <si>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</si>
  <si>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</si>
  <si>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</si>
  <si>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</si>
  <si>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</si>
  <si>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</si>
  <si>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</si>
  <si>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</si>
  <si>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</si>
  <si>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</si>
  <si>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</si>
  <si>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</si>
  <si>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</si>
  <si>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</si>
  <si>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</si>
  <si>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</si>
  <si>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</si>
  <si>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</si>
  <si>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</si>
  <si>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</si>
  <si>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</si>
  <si>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</si>
  <si>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</si>
  <si>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</si>
  <si>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</si>
  <si>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</si>
  <si>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</si>
  <si>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</si>
  <si>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</si>
  <si>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</si>
  <si>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</si>
  <si>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</si>
  <si>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</si>
  <si>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</si>
  <si>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</si>
  <si>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</si>
  <si>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</si>
  <si>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</si>
  <si>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</si>
  <si>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</si>
  <si>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</si>
  <si>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</si>
  <si>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</si>
  <si>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</si>
  <si>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</si>
  <si>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</si>
  <si>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</si>
  <si>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</si>
  <si>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</si>
  <si>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</si>
  <si>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</si>
  <si>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</si>
  <si>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</si>
  <si>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</si>
  <si>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</si>
  <si>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</si>
  <si>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</si>
  <si>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</si>
  <si>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</si>
  <si>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</si>
  <si>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</si>
  <si>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</si>
  <si>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</si>
  <si>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</si>
  <si>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</si>
  <si>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</si>
  <si>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</si>
  <si>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</si>
  <si>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</si>
  <si>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</si>
  <si>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</si>
  <si>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</si>
  <si>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</si>
  <si>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</si>
  <si>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</si>
  <si>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</si>
  <si>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</si>
  <si>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</si>
  <si>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</si>
  <si>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</si>
  <si>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</si>
  <si>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</si>
  <si>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</si>
  <si>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</si>
  <si>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</si>
  <si>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</si>
  <si>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</si>
  <si>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</si>
  <si>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</si>
  <si>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</si>
  <si>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</si>
  <si>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</si>
  <si>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</si>
  <si>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</si>
  <si>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</si>
  <si>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</si>
  <si>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</si>
  <si>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</si>
  <si>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</si>
  <si>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</si>
  <si>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</si>
  <si>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</si>
  <si>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</si>
  <si>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</si>
  <si>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</si>
  <si>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Atrazine-0,625mg/L</t>
  </si>
  <si>
    <t>Atrazine-1,25mg/L</t>
  </si>
  <si>
    <t>Atrazine-2,5mg/L</t>
  </si>
  <si>
    <t>Atrazine-5mg/L</t>
  </si>
  <si>
    <t>Atrazine-10mg/L</t>
  </si>
  <si>
    <t>Atrazine</t>
  </si>
  <si>
    <t xml:space="preserve">F:\images\20210604\plaque 1/@01 Evian + DMSO/A1_01.tif </t>
  </si>
  <si>
    <t xml:space="preserve"> 302.8185 </t>
  </si>
  <si>
    <t xml:space="preserve"> 64.0714 </t>
  </si>
  <si>
    <t xml:space="preserve">F:\images\20210604\plaque 1/@01 Evian + DMSO/A1_02.tif </t>
  </si>
  <si>
    <t xml:space="preserve"> 324.4484 </t>
  </si>
  <si>
    <t xml:space="preserve"> 64.8 </t>
  </si>
  <si>
    <t xml:space="preserve">F:\images\20210604\plaque 1/@01 Evian + DMSO/A1_03.tif </t>
  </si>
  <si>
    <t xml:space="preserve"> 151.4093 </t>
  </si>
  <si>
    <t xml:space="preserve"> 63.7143 </t>
  </si>
  <si>
    <t xml:space="preserve">F:\images\20210604\plaque 1/@01 Evian + DMSO/B1_01.tif </t>
  </si>
  <si>
    <t xml:space="preserve"> 410.968 </t>
  </si>
  <si>
    <t xml:space="preserve"> 63.5263 </t>
  </si>
  <si>
    <t xml:space="preserve">F:\images\20210604\plaque 1/@01 Evian + DMSO/B1_02.tif </t>
  </si>
  <si>
    <t xml:space="preserve">F:\images\20210604\plaque 1/@01 Evian + DMSO/B1_03.tif </t>
  </si>
  <si>
    <t xml:space="preserve"> 173.0392 </t>
  </si>
  <si>
    <t xml:space="preserve"> 62.875 </t>
  </si>
  <si>
    <t xml:space="preserve">F:\images\20210604\plaque 1/@01 Evian + DMSO/C1_01.tif </t>
  </si>
  <si>
    <t xml:space="preserve"> 3439.1532 </t>
  </si>
  <si>
    <t xml:space="preserve"> 65.1006 </t>
  </si>
  <si>
    <t xml:space="preserve">F:\images\20210604\plaque 1/@01 Evian + DMSO/C1_02.tif </t>
  </si>
  <si>
    <t xml:space="preserve"> 7786.7621 </t>
  </si>
  <si>
    <t xml:space="preserve"> 65.2167 </t>
  </si>
  <si>
    <t xml:space="preserve">F:\images\20210604\plaque 1/@01 Evian + DMSO/C1_03.tif </t>
  </si>
  <si>
    <t xml:space="preserve"> 3655.4522 </t>
  </si>
  <si>
    <t xml:space="preserve"> 66.7988 </t>
  </si>
  <si>
    <t xml:space="preserve">F:\images\20210604\plaque 1/@01 Evian + DMSO/D1_01.tif </t>
  </si>
  <si>
    <t xml:space="preserve"> 2076.4699 </t>
  </si>
  <si>
    <t xml:space="preserve"> 64.1667 </t>
  </si>
  <si>
    <t xml:space="preserve">F:\images\20210604\plaque 1/@01 Evian + DMSO/D1_02.tif </t>
  </si>
  <si>
    <t xml:space="preserve"> 2487.4379 </t>
  </si>
  <si>
    <t xml:space="preserve"> 65.0435 </t>
  </si>
  <si>
    <t xml:space="preserve">F:\images\20210604\plaque 1/@01 Evian + DMSO/D1_03.tif </t>
  </si>
  <si>
    <t xml:space="preserve"> 2292.7688 </t>
  </si>
  <si>
    <t xml:space="preserve"> 65.3113 </t>
  </si>
  <si>
    <t xml:space="preserve">F:\images\20210604\plaque 1/@01 Evian + DMSO/E1_01.tif </t>
  </si>
  <si>
    <t xml:space="preserve"> 5667.0324 </t>
  </si>
  <si>
    <t xml:space="preserve"> 68.4313 </t>
  </si>
  <si>
    <t xml:space="preserve">F:\images\20210604\plaque 1/@01 Evian + DMSO/E1_02.tif </t>
  </si>
  <si>
    <t xml:space="preserve"> 2119.7297 </t>
  </si>
  <si>
    <t xml:space="preserve"> 64.0102 </t>
  </si>
  <si>
    <t xml:space="preserve">F:\images\20210604\plaque 1/@01 Evian + DMSO/E1_03.tif </t>
  </si>
  <si>
    <t xml:space="preserve"> 2336.0286 </t>
  </si>
  <si>
    <t xml:space="preserve"> 64.7593 </t>
  </si>
  <si>
    <t xml:space="preserve">F:\images\20210604\plaque 1/@01 Evian + DMSO/F1_01.tif </t>
  </si>
  <si>
    <t xml:space="preserve"> 346.0783 </t>
  </si>
  <si>
    <t xml:space="preserve"> 62.4375 </t>
  </si>
  <si>
    <t xml:space="preserve">F:\images\20210604\plaque 1/@01 Evian + DMSO/F1_02.tif </t>
  </si>
  <si>
    <t xml:space="preserve"> 475.8577 </t>
  </si>
  <si>
    <t xml:space="preserve"> 62.0909 </t>
  </si>
  <si>
    <t xml:space="preserve">F:\images\20210604\plaque 1/@01 Evian + DMSO/F1_03.tif </t>
  </si>
  <si>
    <t xml:space="preserve"> 1168.0143 </t>
  </si>
  <si>
    <t xml:space="preserve"> 63.537 </t>
  </si>
  <si>
    <t xml:space="preserve">F:\images\20210604\plaque 1/@01 Evian + DMSO/G1_01.tif </t>
  </si>
  <si>
    <t xml:space="preserve"> 3006.5554 </t>
  </si>
  <si>
    <t xml:space="preserve"> 68.4964 </t>
  </si>
  <si>
    <t xml:space="preserve">F:\images\20210604\plaque 1/@01 Evian + DMSO/G1_02.tif </t>
  </si>
  <si>
    <t xml:space="preserve"> 2811.8863 </t>
  </si>
  <si>
    <t xml:space="preserve"> 66.4231 </t>
  </si>
  <si>
    <t xml:space="preserve">F:\images\20210604\plaque 1/@01 Evian + DMSO/G1_03.tif </t>
  </si>
  <si>
    <t xml:space="preserve"> 2249.509 </t>
  </si>
  <si>
    <t xml:space="preserve"> 64.5096 </t>
  </si>
  <si>
    <t xml:space="preserve">F:\images\20210604\plaque 1/@01 Evian + DMSO/H1_01.tif </t>
  </si>
  <si>
    <t xml:space="preserve"> 648.8968 </t>
  </si>
  <si>
    <t xml:space="preserve">F:\images\20210604\plaque 1/@01 Evian + DMSO/H1_02.tif </t>
  </si>
  <si>
    <t xml:space="preserve"> 670.5267 </t>
  </si>
  <si>
    <t xml:space="preserve"> 65.4839 </t>
  </si>
  <si>
    <t xml:space="preserve">F:\images\20210604\plaque 1/@01 Evian + DMSO/H1_03.tif </t>
  </si>
  <si>
    <t xml:space="preserve"> 389.3381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</si>
  <si>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</si>
  <si>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</si>
  <si>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</si>
  <si>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</si>
  <si>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</si>
  <si>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</si>
  <si>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</si>
  <si>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F:\images\20210604\plaque 1/@01 Evian + DMSO/ </t>
  </si>
  <si>
    <t xml:space="preserve"> 64.6238 </t>
  </si>
  <si>
    <t xml:space="preserve"> 1.6854 </t>
  </si>
  <si>
    <t xml:space="preserve"> 123544.5 </t>
  </si>
  <si>
    <t xml:space="preserve"> 126938.974 </t>
  </si>
  <si>
    <t xml:space="preserve">file name </t>
  </si>
  <si>
    <t xml:space="preserve">F:\images\20210604\plaque 1/@02 EE2 33.8 ng_L/A2_01.tif </t>
  </si>
  <si>
    <t xml:space="preserve"> 6856.6766 </t>
  </si>
  <si>
    <t xml:space="preserve"> 66.7129 </t>
  </si>
  <si>
    <t xml:space="preserve">F:\images\20210604\plaque 1/@02 EE2 33.8 ng_L/A2_02.tif </t>
  </si>
  <si>
    <t xml:space="preserve"> 63.1667 </t>
  </si>
  <si>
    <t xml:space="preserve">F:\images\20210604\plaque 1/@02 EE2 33.8 ng_L/A2_03.tif </t>
  </si>
  <si>
    <t xml:space="preserve"> 3893.381 </t>
  </si>
  <si>
    <t xml:space="preserve"> 65.1889 </t>
  </si>
  <si>
    <t xml:space="preserve">F:\images\20210604\plaque 1/@02 EE2 33.8 ng_L/B2_01.tif </t>
  </si>
  <si>
    <t xml:space="preserve"> 62.75 </t>
  </si>
  <si>
    <t xml:space="preserve">F:\images\20210604\plaque 1/@02 EE2 33.8 ng_L/B2_02.tif </t>
  </si>
  <si>
    <t xml:space="preserve"> 281.1886 </t>
  </si>
  <si>
    <t xml:space="preserve"> 63.0769 </t>
  </si>
  <si>
    <t xml:space="preserve">F:\images\20210604\plaque 1/@02 EE2 33.8 ng_L/B2_03.tif </t>
  </si>
  <si>
    <t xml:space="preserve"> 1081.4947 </t>
  </si>
  <si>
    <t xml:space="preserve"> 63.6 </t>
  </si>
  <si>
    <t xml:space="preserve">F:\images\20210604\plaque 1/@02 EE2 33.8 ng_L/C2_01.tif </t>
  </si>
  <si>
    <t xml:space="preserve"> 3633.8223 </t>
  </si>
  <si>
    <t xml:space="preserve"> 67.6607 </t>
  </si>
  <si>
    <t xml:space="preserve">F:\images\20210604\plaque 1/@02 EE2 33.8 ng_L/C2_02.tif </t>
  </si>
  <si>
    <t xml:space="preserve"> 735.4164 </t>
  </si>
  <si>
    <t xml:space="preserve"> 63.6765 </t>
  </si>
  <si>
    <t xml:space="preserve">F:\images\20210604\plaque 1/@02 EE2 33.8 ng_L/C2_03.tif </t>
  </si>
  <si>
    <t xml:space="preserve"> 3222.8543 </t>
  </si>
  <si>
    <t xml:space="preserve"> 64.9933 </t>
  </si>
  <si>
    <t xml:space="preserve">F:\images\20210604\plaque 1/@02 EE2 33.8 ng_L/D2_01.tif </t>
  </si>
  <si>
    <t xml:space="preserve"> 259.5587 </t>
  </si>
  <si>
    <t xml:space="preserve">F:\images\20210604\plaque 1/@02 EE2 33.8 ng_L/D2_02.tif </t>
  </si>
  <si>
    <t xml:space="preserve"> 62.9667 </t>
  </si>
  <si>
    <t xml:space="preserve">F:\images\20210604\plaque 1/@02 EE2 33.8 ng_L/D2_03.tif </t>
  </si>
  <si>
    <t xml:space="preserve"> 61.75 </t>
  </si>
  <si>
    <t xml:space="preserve">F:\images\20210604\plaque 1/@02 EE2 33.8 ng_L/E2_01.tif </t>
  </si>
  <si>
    <t xml:space="preserve"> 63.375 </t>
  </si>
  <si>
    <t xml:space="preserve">F:\images\20210604\plaque 1/@02 EE2 33.8 ng_L/E2_02.tif </t>
  </si>
  <si>
    <t xml:space="preserve"> 64.6154 </t>
  </si>
  <si>
    <t xml:space="preserve">F:\images\20210604\plaque 1/@02 EE2 33.8 ng_L/E2_03.tif </t>
  </si>
  <si>
    <t xml:space="preserve"> 540.7474 </t>
  </si>
  <si>
    <t xml:space="preserve"> 64.36 </t>
  </si>
  <si>
    <t xml:space="preserve">F:\images\20210604\plaque 1/@02 EE2 33.8 ng_L/F2_01.tif </t>
  </si>
  <si>
    <t xml:space="preserve"> 692.1566 </t>
  </si>
  <si>
    <t xml:space="preserve"> 64.6562 </t>
  </si>
  <si>
    <t xml:space="preserve">F:\images\20210604\plaque 1/@02 EE2 33.8 ng_L/F2_02.tif </t>
  </si>
  <si>
    <t xml:space="preserve">F:\images\20210604\plaque 1/@02 EE2 33.8 ng_L/F2_03.tif </t>
  </si>
  <si>
    <t xml:space="preserve"> 821.936 </t>
  </si>
  <si>
    <t xml:space="preserve"> 63.6316 </t>
  </si>
  <si>
    <t xml:space="preserve">F:\images\20210604\plaque 1/@02 EE2 33.8 ng_L/G2_01.tif </t>
  </si>
  <si>
    <t xml:space="preserve"> 5320.9541 </t>
  </si>
  <si>
    <t xml:space="preserve"> 67.3496 </t>
  </si>
  <si>
    <t xml:space="preserve">F:\images\20210604\plaque 1/@02 EE2 33.8 ng_L/G2_02.tif </t>
  </si>
  <si>
    <t xml:space="preserve"> 65.3669 </t>
  </si>
  <si>
    <t xml:space="preserve">F:\images\20210604\plaque 1/@02 EE2 33.8 ng_L/G2_03.tif </t>
  </si>
  <si>
    <t xml:space="preserve"> 64.2353 </t>
  </si>
  <si>
    <t xml:space="preserve">F:\images\20210604\plaque 1/@02 EE2 33.8 ng_L/H2_01.tif </t>
  </si>
  <si>
    <t xml:space="preserve"> 3395.8935 </t>
  </si>
  <si>
    <t xml:space="preserve"> 67.1338 </t>
  </si>
  <si>
    <t xml:space="preserve">F:\images\20210604\plaque 1/@02 EE2 33.8 ng_L/H2_02.tif </t>
  </si>
  <si>
    <t xml:space="preserve"> 5710.2922 </t>
  </si>
  <si>
    <t xml:space="preserve"> 68.5568 </t>
  </si>
  <si>
    <t xml:space="preserve">F:\images\20210604\plaque 1/@02 EE2 33.8 ng_L/H2_03.tif </t>
  </si>
  <si>
    <t xml:space="preserve"> 4304.349 </t>
  </si>
  <si>
    <t xml:space="preserve"> 67.9296 </t>
  </si>
  <si>
    <t xml:space="preserve">F:\images\20210604\plaque 1/@02 EE2 33.8 ng_L/ </t>
  </si>
  <si>
    <t xml:space="preserve"> 64.7623 </t>
  </si>
  <si>
    <t xml:space="preserve"> 1.8624 </t>
  </si>
  <si>
    <t xml:space="preserve"> 133222.083 </t>
  </si>
  <si>
    <t xml:space="preserve"> 139861.315 </t>
  </si>
  <si>
    <t xml:space="preserve">F:\images\20210604\plaque 1/@03 EE2 50.6 ng_L/A3_01.tif </t>
  </si>
  <si>
    <t xml:space="preserve"> 1405.9432 </t>
  </si>
  <si>
    <t xml:space="preserve"> 63.2615 </t>
  </si>
  <si>
    <t xml:space="preserve">F:\images\20210604\plaque 1/@03 EE2 50.6 ng_L/A3_02.tif </t>
  </si>
  <si>
    <t xml:space="preserve"> 2898.4059 </t>
  </si>
  <si>
    <t xml:space="preserve"> 66.5224 </t>
  </si>
  <si>
    <t xml:space="preserve">F:\images\20210604\plaque 1/@03 EE2 50.6 ng_L/A3_03.tif </t>
  </si>
  <si>
    <t xml:space="preserve"> 454.2278 </t>
  </si>
  <si>
    <t xml:space="preserve"> 62.3333 </t>
  </si>
  <si>
    <t xml:space="preserve">F:\images\20210604\plaque 1/@03 EE2 50.6 ng_L/B3_01.tif </t>
  </si>
  <si>
    <t xml:space="preserve"> 61.7778 </t>
  </si>
  <si>
    <t xml:space="preserve">F:\images\20210604\plaque 1/@03 EE2 50.6 ng_L/B3_02.tif </t>
  </si>
  <si>
    <t xml:space="preserve"> 62.6842 </t>
  </si>
  <si>
    <t xml:space="preserve">F:\images\20210604\plaque 1/@03 EE2 50.6 ng_L/B3_03.tif </t>
  </si>
  <si>
    <t xml:space="preserve"> 757.0463 </t>
  </si>
  <si>
    <t xml:space="preserve">F:\images\20210604\plaque 1/@03 EE2 50.6 ng_L/C3_01.tif </t>
  </si>
  <si>
    <t xml:space="preserve"> 1059.8648 </t>
  </si>
  <si>
    <t xml:space="preserve"> 63.4286 </t>
  </si>
  <si>
    <t xml:space="preserve">F:\images\20210604\plaque 1/@03 EE2 50.6 ng_L/C3_02.tif </t>
  </si>
  <si>
    <t xml:space="preserve"> 713.7865 </t>
  </si>
  <si>
    <t xml:space="preserve"> 63.2727 </t>
  </si>
  <si>
    <t xml:space="preserve">F:\images\20210604\plaque 1/@03 EE2 50.6 ng_L/C3_03.tif </t>
  </si>
  <si>
    <t xml:space="preserve"> 930.0855 </t>
  </si>
  <si>
    <t xml:space="preserve"> 63.3023 </t>
  </si>
  <si>
    <t xml:space="preserve">F:\images\20210604\plaque 1/@03 EE2 50.6 ng_L/D3_01.tif </t>
  </si>
  <si>
    <t xml:space="preserve"> 62.2308 </t>
  </si>
  <si>
    <t xml:space="preserve">F:\images\20210604\plaque 1/@03 EE2 50.6 ng_L/D3_02.tif </t>
  </si>
  <si>
    <t xml:space="preserve"> 63.3333 </t>
  </si>
  <si>
    <t xml:space="preserve">F:\images\20210604\plaque 1/@03 EE2 50.6 ng_L/D3_03.tif </t>
  </si>
  <si>
    <t xml:space="preserve"> 64.75 </t>
  </si>
  <si>
    <t xml:space="preserve">F:\images\20210604\plaque 1/@03 EE2 50.6 ng_L/E3_01.tif </t>
  </si>
  <si>
    <t xml:space="preserve"> 64.875 </t>
  </si>
  <si>
    <t xml:space="preserve">F:\images\20210604\plaque 1/@03 EE2 50.6 ng_L/E3_02.tif </t>
  </si>
  <si>
    <t xml:space="preserve"> 4066.4202 </t>
  </si>
  <si>
    <t xml:space="preserve"> 66.9149 </t>
  </si>
  <si>
    <t>F:\images\20210604\plaque 1/@03 EE2 50.6 ng_L/E3_03- exclu.tif</t>
  </si>
  <si>
    <t xml:space="preserve">F:\images\20210604\plaque 1/@03 EE2 50.6 ng_L/F3_01.tif </t>
  </si>
  <si>
    <t xml:space="preserve"> 63.36 </t>
  </si>
  <si>
    <t xml:space="preserve">F:\images\20210604\plaque 1/@03 EE2 50.6 ng_L/F3_02.tif </t>
  </si>
  <si>
    <t xml:space="preserve"> 562.3773 </t>
  </si>
  <si>
    <t xml:space="preserve">F:\images\20210604\plaque 1/@03 EE2 50.6 ng_L/F3_03.tif </t>
  </si>
  <si>
    <t xml:space="preserve"> 1470.8328 </t>
  </si>
  <si>
    <t xml:space="preserve"> 64.0441 </t>
  </si>
  <si>
    <t xml:space="preserve">F:\images\20210604\plaque 1/@03 EE2 50.6 ng_L/G3_01.tif </t>
  </si>
  <si>
    <t xml:space="preserve">F:\images\20210604\plaque 1/@03 EE2 50.6 ng_L/G3_02.tif </t>
  </si>
  <si>
    <t xml:space="preserve"> 1276.1638 </t>
  </si>
  <si>
    <t xml:space="preserve"> 65.2542 </t>
  </si>
  <si>
    <t xml:space="preserve">F:\images\20210604\plaque 1/@03 EE2 50.6 ng_L/G3_03.tif </t>
  </si>
  <si>
    <t xml:space="preserve"> 1341.0535 </t>
  </si>
  <si>
    <t xml:space="preserve"> 63.5 </t>
  </si>
  <si>
    <t xml:space="preserve">F:\images\20210604\plaque 1/@03 EE2 50.6 ng_L/H3_01.tif </t>
  </si>
  <si>
    <t xml:space="preserve"> 63.3548 </t>
  </si>
  <si>
    <t xml:space="preserve">F:\images\20210604\plaque 1/@03 EE2 50.6 ng_L/H3_02.tif </t>
  </si>
  <si>
    <t xml:space="preserve"> 800.3061 </t>
  </si>
  <si>
    <t xml:space="preserve"> 63.2432 </t>
  </si>
  <si>
    <t xml:space="preserve">F:\images\20210604\plaque 1/@03 EE2 50.6 ng_L/H3_03.tif </t>
  </si>
  <si>
    <t xml:space="preserve"> 62.0556 </t>
  </si>
  <si>
    <t xml:space="preserve">F:\images\20210604\plaque 1/@03 EE2 50.6 ng_L/ </t>
  </si>
  <si>
    <t xml:space="preserve"> 63.7953 </t>
  </si>
  <si>
    <t xml:space="preserve"> 1.3624 </t>
  </si>
  <si>
    <t xml:space="preserve"> 60246.5833 </t>
  </si>
  <si>
    <t xml:space="preserve"> 59356.543 </t>
  </si>
  <si>
    <t xml:space="preserve">F:\images\20210604\plaque 1/@04 EE2 76 ng_L/A4_01.tif </t>
  </si>
  <si>
    <t xml:space="preserve"> 12437.1894 </t>
  </si>
  <si>
    <t xml:space="preserve"> 70.7548 </t>
  </si>
  <si>
    <t xml:space="preserve">F:\images\20210604\plaque 1/@04 EE2 76 ng_L/A4_02.tif </t>
  </si>
  <si>
    <t xml:space="preserve"> 7483.9435 </t>
  </si>
  <si>
    <t xml:space="preserve"> 67.2428 </t>
  </si>
  <si>
    <t xml:space="preserve">F:\images\20210604\plaque 1/@04 EE2 76 ng_L/A4_03.tif </t>
  </si>
  <si>
    <t xml:space="preserve"> 5796.8118 </t>
  </si>
  <si>
    <t xml:space="preserve"> 66.653 </t>
  </si>
  <si>
    <t xml:space="preserve">F:\images\20210604\plaque 1/@04 EE2 76 ng_L/B4_01.tif </t>
  </si>
  <si>
    <t xml:space="preserve"> 3136.3347 </t>
  </si>
  <si>
    <t xml:space="preserve"> 63.3862 </t>
  </si>
  <si>
    <t xml:space="preserve">F:\images\20210604\plaque 1/@04 EE2 76 ng_L/B4_02.tif </t>
  </si>
  <si>
    <t xml:space="preserve"> 3915.0109 </t>
  </si>
  <si>
    <t xml:space="preserve"> 63.326 </t>
  </si>
  <si>
    <t xml:space="preserve">F:\images\20210604\plaque 1/@04 EE2 76 ng_L/B4_03.tif </t>
  </si>
  <si>
    <t xml:space="preserve"> 5688.6623 </t>
  </si>
  <si>
    <t xml:space="preserve"> 63.7643 </t>
  </si>
  <si>
    <t xml:space="preserve">F:\images\20210604\plaque 1/@04 EE2 76 ng_L/C4_01.tif </t>
  </si>
  <si>
    <t xml:space="preserve"> 65.0671 </t>
  </si>
  <si>
    <t xml:space="preserve">F:\images\20210604\plaque 1/@04 EE2 76 ng_L/C4_02.tif </t>
  </si>
  <si>
    <t xml:space="preserve"> 4174.5697 </t>
  </si>
  <si>
    <t xml:space="preserve"> 66.0933 </t>
  </si>
  <si>
    <t xml:space="preserve">F:\images\20210604\plaque 1/@04 EE2 76 ng_L/C4_03.tif </t>
  </si>
  <si>
    <t xml:space="preserve"> 3806.8615 </t>
  </si>
  <si>
    <t xml:space="preserve"> 65.4602 </t>
  </si>
  <si>
    <t xml:space="preserve">F:\images\20210604\plaque 1/@04 EE2 76 ng_L/D4_01.tif </t>
  </si>
  <si>
    <t xml:space="preserve"> 1773.6514 </t>
  </si>
  <si>
    <t xml:space="preserve"> 64.5 </t>
  </si>
  <si>
    <t xml:space="preserve">F:\images\20210604\plaque 1/@04 EE2 76 ng_L/D4_02.tif </t>
  </si>
  <si>
    <t xml:space="preserve"> 2573.9575 </t>
  </si>
  <si>
    <t xml:space="preserve"> 64.6807 </t>
  </si>
  <si>
    <t xml:space="preserve">F:\images\20210604\plaque 1/@04 EE2 76 ng_L/D4_03.tif </t>
  </si>
  <si>
    <t xml:space="preserve"> 63.9375 </t>
  </si>
  <si>
    <t xml:space="preserve">F:\images\20210604\plaque 1/@04 EE2 76 ng_L/E4_01.tif </t>
  </si>
  <si>
    <t xml:space="preserve"> 367.7082 </t>
  </si>
  <si>
    <t xml:space="preserve"> 63.7647 </t>
  </si>
  <si>
    <t xml:space="preserve">F:\images\20210604\plaque 1/@04 EE2 76 ng_L/E4_02.tif </t>
  </si>
  <si>
    <t xml:space="preserve"> 3179.5945 </t>
  </si>
  <si>
    <t xml:space="preserve"> 65.3129 </t>
  </si>
  <si>
    <t xml:space="preserve">F:\images\20210604\plaque 1/@04 EE2 76 ng_L/E4_03.tif </t>
  </si>
  <si>
    <t xml:space="preserve"> 1427.573 </t>
  </si>
  <si>
    <t xml:space="preserve"> 63.2879 </t>
  </si>
  <si>
    <t xml:space="preserve">F:\images\20210604\plaque 1/@04 EE2 76 ng_L/F4_01.tif </t>
  </si>
  <si>
    <t xml:space="preserve"> 6142.8901 </t>
  </si>
  <si>
    <t xml:space="preserve"> 64.3345 </t>
  </si>
  <si>
    <t xml:space="preserve">F:\images\20210604\plaque 1/@04 EE2 76 ng_L/F4_02.tif </t>
  </si>
  <si>
    <t xml:space="preserve"> 3504.0429 </t>
  </si>
  <si>
    <t xml:space="preserve"> 63.8272 </t>
  </si>
  <si>
    <t xml:space="preserve">F:\images\20210604\plaque 1/@04 EE2 76 ng_L/F4_03.tif </t>
  </si>
  <si>
    <t xml:space="preserve"> 6532.2282 </t>
  </si>
  <si>
    <t xml:space="preserve"> 64.596 </t>
  </si>
  <si>
    <t xml:space="preserve">F:\images\20210604\plaque 1/@04 EE2 76 ng_L/G4_01.tif </t>
  </si>
  <si>
    <t xml:space="preserve"> 36965.4899 </t>
  </si>
  <si>
    <t xml:space="preserve"> 74.4722 </t>
  </si>
  <si>
    <t xml:space="preserve">F:\images\20210604\plaque 1/@04 EE2 76 ng_L/G4_02.tif </t>
  </si>
  <si>
    <t xml:space="preserve"> 38890.5505 </t>
  </si>
  <si>
    <t xml:space="preserve"> 71.802 </t>
  </si>
  <si>
    <t xml:space="preserve">F:\images\20210604\plaque 1/@04 EE2 76 ng_L/G4_03.tif </t>
  </si>
  <si>
    <t xml:space="preserve"> 38328.1733 </t>
  </si>
  <si>
    <t xml:space="preserve"> 72.1563 </t>
  </si>
  <si>
    <t xml:space="preserve">F:\images\20210604\plaque 1/@04 EE2 76 ng_L/H4_01.tif </t>
  </si>
  <si>
    <t xml:space="preserve"> 778.6762 </t>
  </si>
  <si>
    <t xml:space="preserve"> 64.0556 </t>
  </si>
  <si>
    <t xml:space="preserve">F:\images\20210604\plaque 1/@04 EE2 76 ng_L/H4_02.tif </t>
  </si>
  <si>
    <t xml:space="preserve"> 63.381 </t>
  </si>
  <si>
    <t xml:space="preserve">F:\images\20210604\plaque 1/@04 EE2 76 ng_L/H4_03.tif </t>
  </si>
  <si>
    <t xml:space="preserve"> 129.7794 </t>
  </si>
  <si>
    <t xml:space="preserve">F:\images\20210604\plaque 1/@04 EE2 76 ng_L/ </t>
  </si>
  <si>
    <t xml:space="preserve"> 65.869 </t>
  </si>
  <si>
    <t xml:space="preserve"> 3.1611 </t>
  </si>
  <si>
    <t xml:space="preserve"> 558263.125 </t>
  </si>
  <si>
    <t xml:space="preserve"> 875430.289 </t>
  </si>
  <si>
    <t xml:space="preserve">F:\images\20210604\plaque 1/@05 EE2 114 ng_L/A5_01.tif </t>
  </si>
  <si>
    <t xml:space="preserve"> 9690.1928 </t>
  </si>
  <si>
    <t xml:space="preserve"> 67.5268 </t>
  </si>
  <si>
    <t xml:space="preserve">F:\images\20210604\plaque 1/@05 EE2 114 ng_L/A5_02.tif </t>
  </si>
  <si>
    <t xml:space="preserve"> 7700.2425 </t>
  </si>
  <si>
    <t xml:space="preserve"> 66.4663 </t>
  </si>
  <si>
    <t xml:space="preserve">F:\images\20210604\plaque 1/@05 EE2 114 ng_L/A5_03.tif </t>
  </si>
  <si>
    <t xml:space="preserve"> 8240.9899 </t>
  </si>
  <si>
    <t xml:space="preserve"> 66.2336 </t>
  </si>
  <si>
    <t xml:space="preserve">F:\images\20210604\plaque 1/@05 EE2 114 ng_L/B5_01.tif </t>
  </si>
  <si>
    <t xml:space="preserve"> 13734.9831 </t>
  </si>
  <si>
    <t xml:space="preserve"> 66.6157 </t>
  </si>
  <si>
    <t xml:space="preserve">F:\images\20210604\plaque 1/@05 EE2 114 ng_L/B5_02.tif </t>
  </si>
  <si>
    <t xml:space="preserve"> 10101.1608 </t>
  </si>
  <si>
    <t xml:space="preserve"> 64.5289 </t>
  </si>
  <si>
    <t xml:space="preserve">F:\images\20210604\plaque 1/@05 EE2 114 ng_L/B5_03.tif </t>
  </si>
  <si>
    <t xml:space="preserve"> 14405.5098 </t>
  </si>
  <si>
    <t xml:space="preserve"> 66.5976 </t>
  </si>
  <si>
    <t xml:space="preserve">F:\images\20210604\plaque 1/@05 EE2 114 ng_L/C5_01.tif </t>
  </si>
  <si>
    <t xml:space="preserve"> 14016.1717 </t>
  </si>
  <si>
    <t xml:space="preserve"> 67.1019 </t>
  </si>
  <si>
    <t xml:space="preserve">F:\images\20210604\plaque 1/@05 EE2 114 ng_L/C5_02.tif </t>
  </si>
  <si>
    <t xml:space="preserve"> 8111.2105 </t>
  </si>
  <si>
    <t xml:space="preserve"> 64.5307 </t>
  </si>
  <si>
    <t xml:space="preserve">F:\images\20210604\plaque 1/@05 EE2 114 ng_L/C5_03.tif </t>
  </si>
  <si>
    <t xml:space="preserve"> 10425.6092 </t>
  </si>
  <si>
    <t xml:space="preserve"> 65.9212 </t>
  </si>
  <si>
    <t xml:space="preserve">F:\images\20210604\plaque 1/@05 EE2 114 ng_L/D5_01.tif </t>
  </si>
  <si>
    <t xml:space="preserve"> 20851.2184 </t>
  </si>
  <si>
    <t xml:space="preserve"> 74.1411 </t>
  </si>
  <si>
    <t xml:space="preserve">F:\images\20210604\plaque 1/@05 EE2 114 ng_L/D5_02.tif </t>
  </si>
  <si>
    <t xml:space="preserve"> 25458.386 </t>
  </si>
  <si>
    <t xml:space="preserve"> 82.2634 </t>
  </si>
  <si>
    <t xml:space="preserve">F:\images\20210604\plaque 1/@05 EE2 114 ng_L/D5_03.tif </t>
  </si>
  <si>
    <t xml:space="preserve"> 33526.3367 </t>
  </si>
  <si>
    <t xml:space="preserve"> 76.7981 </t>
  </si>
  <si>
    <t xml:space="preserve">F:\images\20210604\plaque 1/@05 EE2 114 ng_L/E5_01.tif </t>
  </si>
  <si>
    <t xml:space="preserve"> 4347.6088 </t>
  </si>
  <si>
    <t xml:space="preserve"> 63.7264 </t>
  </si>
  <si>
    <t xml:space="preserve">F:\images\20210604\plaque 1/@05 EE2 114 ng_L/E5_02.tif </t>
  </si>
  <si>
    <t xml:space="preserve"> 63.3836 </t>
  </si>
  <si>
    <t xml:space="preserve">F:\images\20210604\plaque 1/@05 EE2 114 ng_L/E5_03.tif </t>
  </si>
  <si>
    <t xml:space="preserve"> 8651.9579 </t>
  </si>
  <si>
    <t xml:space="preserve"> 64.21 </t>
  </si>
  <si>
    <t xml:space="preserve">F:\images\20210604\plaque 1/@05 EE2 114 ng_L/F5_01.tif </t>
  </si>
  <si>
    <t xml:space="preserve"> 44384.5438 </t>
  </si>
  <si>
    <t xml:space="preserve"> 70.7261 </t>
  </si>
  <si>
    <t xml:space="preserve">F:\images\20210604\plaque 1/@05 EE2 114 ng_L/F5_02.tif </t>
  </si>
  <si>
    <t xml:space="preserve"> 45941.8962 </t>
  </si>
  <si>
    <t xml:space="preserve"> 71.186 </t>
  </si>
  <si>
    <t xml:space="preserve">F:\images\20210604\plaque 1/@05 EE2 114 ng_L/F5_03.tif </t>
  </si>
  <si>
    <t xml:space="preserve"> 40664.2019 </t>
  </si>
  <si>
    <t xml:space="preserve"> 71.3117 </t>
  </si>
  <si>
    <t xml:space="preserve">F:\images\20210604\plaque 1/@05 EE2 114 ng_L/G5_01.tif </t>
  </si>
  <si>
    <t xml:space="preserve"> 20699.8092 </t>
  </si>
  <si>
    <t xml:space="preserve"> 66.534 </t>
  </si>
  <si>
    <t xml:space="preserve">F:\images\20210604\plaque 1/@05 EE2 114 ng_L/G5_02.tif </t>
  </si>
  <si>
    <t xml:space="preserve"> 24095.7026 </t>
  </si>
  <si>
    <t xml:space="preserve"> 65.8438 </t>
  </si>
  <si>
    <t xml:space="preserve">F:\images\20210604\plaque 1/@05 EE2 114 ng_L/G5_03.tif </t>
  </si>
  <si>
    <t xml:space="preserve"> 16611.7591 </t>
  </si>
  <si>
    <t xml:space="preserve"> 65.5091 </t>
  </si>
  <si>
    <t xml:space="preserve">F:\images\20210604\plaque 1/@05 EE2 114 ng_L/H5_01.tif </t>
  </si>
  <si>
    <t xml:space="preserve"> 39604.3371 </t>
  </si>
  <si>
    <t xml:space="preserve"> 70.6281 </t>
  </si>
  <si>
    <t xml:space="preserve">F:\images\20210604\plaque 1/@05 EE2 114 ng_L/H5_02.tif </t>
  </si>
  <si>
    <t xml:space="preserve"> 23317.0264 </t>
  </si>
  <si>
    <t xml:space="preserve"> 65.6976 </t>
  </si>
  <si>
    <t xml:space="preserve">F:\images\20210604\plaque 1/@05 EE2 114 ng_L/H5_03.tif </t>
  </si>
  <si>
    <t xml:space="preserve"> 37527.8672 </t>
  </si>
  <si>
    <t xml:space="preserve"> 70.0248 </t>
  </si>
  <si>
    <t xml:space="preserve">F:\images\20210604\plaque 1/@05 EE2 114 ng_L/ </t>
  </si>
  <si>
    <t xml:space="preserve"> 68.2294 </t>
  </si>
  <si>
    <t xml:space="preserve"> 4.5103 </t>
  </si>
  <si>
    <t xml:space="preserve"> 1415552.21 </t>
  </si>
  <si>
    <t xml:space="preserve"> 982064.184 </t>
  </si>
  <si>
    <t xml:space="preserve">F:\images\20210604\plaque 1/@06 EE2 170.9 ng_L/A6_01.tif </t>
  </si>
  <si>
    <t xml:space="preserve"> 18342.1506 </t>
  </si>
  <si>
    <t xml:space="preserve"> 69.6781 </t>
  </si>
  <si>
    <t xml:space="preserve">F:\images\20210604\plaque 1/@06 EE2 170.9 ng_L/A6_02.tif </t>
  </si>
  <si>
    <t xml:space="preserve"> 18796.3784 </t>
  </si>
  <si>
    <t xml:space="preserve"> 69.1623 </t>
  </si>
  <si>
    <t xml:space="preserve">F:\images\20210604\plaque 1/@06 EE2 170.9 ng_L/A6_03.tif </t>
  </si>
  <si>
    <t xml:space="preserve"> 7159.4951 </t>
  </si>
  <si>
    <t xml:space="preserve"> 65.2749 </t>
  </si>
  <si>
    <t xml:space="preserve">F:\images\20210604\plaque 1/@06 EE2 170.9 ng_L/B6_01.tif </t>
  </si>
  <si>
    <t xml:space="preserve"> 20202.3216 </t>
  </si>
  <si>
    <t xml:space="preserve"> 65.9293 </t>
  </si>
  <si>
    <t xml:space="preserve">F:\images\20210604\plaque 1/@06 EE2 170.9 ng_L/B6_02.tif </t>
  </si>
  <si>
    <t xml:space="preserve"> 19488.5351 </t>
  </si>
  <si>
    <t xml:space="preserve"> 65.8646 </t>
  </si>
  <si>
    <t xml:space="preserve">F:\images\20210604\plaque 1/@06 EE2 170.9 ng_L/B6_03.tif </t>
  </si>
  <si>
    <t xml:space="preserve"> 33721.0057 </t>
  </si>
  <si>
    <t xml:space="preserve"> 67.4246 </t>
  </si>
  <si>
    <t xml:space="preserve">F:\images\20210604\plaque 1/@06 EE2 170.9 ng_L/C6_01.tif </t>
  </si>
  <si>
    <t xml:space="preserve"> 19358.7557 </t>
  </si>
  <si>
    <t xml:space="preserve"> 66.8626 </t>
  </si>
  <si>
    <t xml:space="preserve">F:\images\20210604\plaque 1/@06 EE2 170.9 ng_L/C6_02.tif </t>
  </si>
  <si>
    <t xml:space="preserve"> 18428.6702 </t>
  </si>
  <si>
    <t xml:space="preserve"> 66.9026 </t>
  </si>
  <si>
    <t xml:space="preserve">F:\images\20210604\plaque 1/@06 EE2 170.9 ng_L/C6_03.tif </t>
  </si>
  <si>
    <t xml:space="preserve"> 23641.4748 </t>
  </si>
  <si>
    <t xml:space="preserve"> 68.5489 </t>
  </si>
  <si>
    <t xml:space="preserve">F:\images\20210604\plaque 1/@06 EE2 170.9 ng_L/D6_01.tif </t>
  </si>
  <si>
    <t xml:space="preserve"> 41269.839 </t>
  </si>
  <si>
    <t xml:space="preserve"> 73.2683 </t>
  </si>
  <si>
    <t xml:space="preserve">F:\images\20210604\plaque 1/@06 EE2 170.9 ng_L/D6_02.tif </t>
  </si>
  <si>
    <t xml:space="preserve"> 38457.9527 </t>
  </si>
  <si>
    <t xml:space="preserve"> 73.0838 </t>
  </si>
  <si>
    <t xml:space="preserve">F:\images\20210604\plaque 1/@06 EE2 170.9 ng_L/D6_03.tif </t>
  </si>
  <si>
    <t xml:space="preserve"> 40274.8638 </t>
  </si>
  <si>
    <t xml:space="preserve"> 73.2159 </t>
  </si>
  <si>
    <t xml:space="preserve">F:\images\20210604\plaque 1/@06 EE2 170.9 ng_L/E6_01.tif </t>
  </si>
  <si>
    <t xml:space="preserve"> 46093.3055 </t>
  </si>
  <si>
    <t xml:space="preserve"> 72.4453 </t>
  </si>
  <si>
    <t xml:space="preserve">F:\images\20210604\plaque 1/@06 EE2 170.9 ng_L/E6_02.tif </t>
  </si>
  <si>
    <t xml:space="preserve"> 42113.4048 </t>
  </si>
  <si>
    <t xml:space="preserve"> 73.5552 </t>
  </si>
  <si>
    <t xml:space="preserve">F:\images\20210604\plaque 1/@06 EE2 170.9 ng_L/E6_03.tif </t>
  </si>
  <si>
    <t xml:space="preserve"> 41572.6575 </t>
  </si>
  <si>
    <t xml:space="preserve"> 71.1093 </t>
  </si>
  <si>
    <t xml:space="preserve">F:\images\20210604\plaque 1/@06 EE2 170.9 ng_L/F6_01.tif </t>
  </si>
  <si>
    <t xml:space="preserve"> 15768.1932 </t>
  </si>
  <si>
    <t xml:space="preserve"> 68.9657 </t>
  </si>
  <si>
    <t xml:space="preserve">F:\images\20210604\plaque 1/@06 EE2 170.9 ng_L/F6_02.tif </t>
  </si>
  <si>
    <t xml:space="preserve"> 20440.2504 </t>
  </si>
  <si>
    <t xml:space="preserve"> 72.8138 </t>
  </si>
  <si>
    <t xml:space="preserve">F:\images\20210604\plaque 1/@06 EE2 170.9 ng_L/F6_03.tif </t>
  </si>
  <si>
    <t xml:space="preserve"> 19921.133 </t>
  </si>
  <si>
    <t xml:space="preserve"> 71.7883 </t>
  </si>
  <si>
    <t xml:space="preserve">F:\images\20210604\plaque 1/@06 EE2 170.9 ng_L/G6_01.tif </t>
  </si>
  <si>
    <t xml:space="preserve"> 27296.927 </t>
  </si>
  <si>
    <t xml:space="preserve"> 69.5507 </t>
  </si>
  <si>
    <t xml:space="preserve">F:\images\20210604\plaque 1/@06 EE2 170.9 ng_L/G6_02.tif </t>
  </si>
  <si>
    <t xml:space="preserve"> 70.5183 </t>
  </si>
  <si>
    <t xml:space="preserve">F:\images\20210604\plaque 1/@06 EE2 170.9 ng_L/G6_03.tif </t>
  </si>
  <si>
    <t xml:space="preserve"> 31082.1586 </t>
  </si>
  <si>
    <t xml:space="preserve"> 71.0863 </t>
  </si>
  <si>
    <t xml:space="preserve">F:\images\20210604\plaque 1/@06 EE2 170.9 ng_L/H6_01.tif </t>
  </si>
  <si>
    <t xml:space="preserve"> 32812.5502 </t>
  </si>
  <si>
    <t xml:space="preserve"> 66.2591 </t>
  </si>
  <si>
    <t xml:space="preserve">F:\images\20210604\plaque 1/@06 EE2 170.9 ng_L/H6_02.tif </t>
  </si>
  <si>
    <t xml:space="preserve"> 27491.5961 </t>
  </si>
  <si>
    <t xml:space="preserve"> 66.1739 </t>
  </si>
  <si>
    <t xml:space="preserve">F:\images\20210604\plaque 1/@06 EE2 170.9 ng_L/H6_03.tif </t>
  </si>
  <si>
    <t xml:space="preserve"> 31038.8988 </t>
  </si>
  <si>
    <t xml:space="preserve"> 66.4174 </t>
  </si>
  <si>
    <t xml:space="preserve">F:\images\20210604\plaque 1/@06 EE2 170.9 ng_L/ </t>
  </si>
  <si>
    <t xml:space="preserve"> 69.4125 </t>
  </si>
  <si>
    <t xml:space="preserve"> 2.816 </t>
  </si>
  <si>
    <t xml:space="preserve"> 1925951.08 </t>
  </si>
  <si>
    <t xml:space="preserve"> 768785.493 </t>
  </si>
  <si>
    <t xml:space="preserve">F:\images\20210604\plaque 1/@07 EE2 488 ng_L/A7_01.tif </t>
  </si>
  <si>
    <t xml:space="preserve"> 53469.0995 </t>
  </si>
  <si>
    <t xml:space="preserve"> 77.9939 </t>
  </si>
  <si>
    <t xml:space="preserve">F:\images\20210604\plaque 1/@07 EE2 488 ng_L/A7_02.tif </t>
  </si>
  <si>
    <t xml:space="preserve"> 39885.5257 </t>
  </si>
  <si>
    <t xml:space="preserve"> 88.6611 </t>
  </si>
  <si>
    <t xml:space="preserve">F:\images\20210604\plaque 1/@07 EE2 488 ng_L/A7_03.tif </t>
  </si>
  <si>
    <t xml:space="preserve"> 42935.3408 </t>
  </si>
  <si>
    <t xml:space="preserve"> 95.4126 </t>
  </si>
  <si>
    <t xml:space="preserve">F:\images\20210604\plaque 1/@07 EE2 488 ng_L/B7_01.tif </t>
  </si>
  <si>
    <t xml:space="preserve"> 47023.3909 </t>
  </si>
  <si>
    <t xml:space="preserve"> 89.5083 </t>
  </si>
  <si>
    <t xml:space="preserve">F:\images\20210604\plaque 1/@07 EE2 488 ng_L/B7_02.tif </t>
  </si>
  <si>
    <t xml:space="preserve"> 42783.9316 </t>
  </si>
  <si>
    <t xml:space="preserve"> 91.5743 </t>
  </si>
  <si>
    <t xml:space="preserve">F:\images\20210604\plaque 1/@07 EE2 488 ng_L/B7_03.tif </t>
  </si>
  <si>
    <t xml:space="preserve"> 45963.5261 </t>
  </si>
  <si>
    <t xml:space="preserve"> 89.4659 </t>
  </si>
  <si>
    <t xml:space="preserve">F:\images\20210604\plaque 1/@07 EE2 488 ng_L/C7_01.tif </t>
  </si>
  <si>
    <t xml:space="preserve"> 46179.825 </t>
  </si>
  <si>
    <t xml:space="preserve"> 90.7775 </t>
  </si>
  <si>
    <t xml:space="preserve">F:\images\20210604\plaque 1/@07 EE2 488 ng_L/C7_02.tif </t>
  </si>
  <si>
    <t xml:space="preserve"> 45509.2983 </t>
  </si>
  <si>
    <t xml:space="preserve"> 85.4701 </t>
  </si>
  <si>
    <t xml:space="preserve">F:\images\20210604\plaque 1/@07 EE2 488 ng_L/C7_03.tif </t>
  </si>
  <si>
    <t xml:space="preserve"> 47282.9497 </t>
  </si>
  <si>
    <t xml:space="preserve"> 87.9039 </t>
  </si>
  <si>
    <t xml:space="preserve">F:\images\20210604\plaque 1/@07 EE2 488 ng_L/D7_01.tif </t>
  </si>
  <si>
    <t xml:space="preserve"> 58011.3774 </t>
  </si>
  <si>
    <t xml:space="preserve"> 96.2103 </t>
  </si>
  <si>
    <t xml:space="preserve">F:\images\20210604\plaque 1/@07 EE2 488 ng_L/D7_02.tif </t>
  </si>
  <si>
    <t xml:space="preserve"> 62553.6553 </t>
  </si>
  <si>
    <t xml:space="preserve"> 92.6985 </t>
  </si>
  <si>
    <t xml:space="preserve">F:\images\20210604\plaque 1/@07 EE2 488 ng_L/D7_03.tif </t>
  </si>
  <si>
    <t xml:space="preserve"> 70578.3462 </t>
  </si>
  <si>
    <t xml:space="preserve"> 80.9182 </t>
  </si>
  <si>
    <t>F:\images\20210604\plaque 1/@07 EE2 488 ng_L/E7_01- exclu.tif</t>
  </si>
  <si>
    <t xml:space="preserve">F:\images\20210604\plaque 1/@07 EE2 488 ng_L/E7_02.tif </t>
  </si>
  <si>
    <t xml:space="preserve"> 29048.9485 </t>
  </si>
  <si>
    <t xml:space="preserve"> 84.5086 </t>
  </si>
  <si>
    <t xml:space="preserve">F:\images\20210604\plaque 1/@07 EE2 488 ng_L/E7_03.tif </t>
  </si>
  <si>
    <t xml:space="preserve"> 35191.8386 </t>
  </si>
  <si>
    <t xml:space="preserve"> 82.0854 </t>
  </si>
  <si>
    <t xml:space="preserve">F:\images\20210604\plaque 1/@07 EE2 488 ng_L/F7_01.tif </t>
  </si>
  <si>
    <t xml:space="preserve"> 58379.0856 </t>
  </si>
  <si>
    <t xml:space="preserve"> 81.3157 </t>
  </si>
  <si>
    <t xml:space="preserve">F:\images\20210604\plaque 1/@07 EE2 488 ng_L/F7_02.tif </t>
  </si>
  <si>
    <t xml:space="preserve"> 55675.3488 </t>
  </si>
  <si>
    <t xml:space="preserve"> 83.3535 </t>
  </si>
  <si>
    <t xml:space="preserve">F:\images\20210604\plaque 1/@07 EE2 488 ng_L/F7_03.tif </t>
  </si>
  <si>
    <t xml:space="preserve"> 57903.2279 </t>
  </si>
  <si>
    <t xml:space="preserve"> 79.4557 </t>
  </si>
  <si>
    <t xml:space="preserve">F:\images\20210604\plaque 1/@07 EE2 488 ng_L/G7_01.tif </t>
  </si>
  <si>
    <t xml:space="preserve"> 54550.5943 </t>
  </si>
  <si>
    <t xml:space="preserve"> 95.4334 </t>
  </si>
  <si>
    <t xml:space="preserve">F:\images\20210604\plaque 1/@07 EE2 488 ng_L/G7_02.tif </t>
  </si>
  <si>
    <t xml:space="preserve"> 56237.726 </t>
  </si>
  <si>
    <t xml:space="preserve"> 94.7354 </t>
  </si>
  <si>
    <t xml:space="preserve">F:\images\20210604\plaque 1/@07 EE2 488 ng_L/G7_03.tif </t>
  </si>
  <si>
    <t xml:space="preserve"> 64046.118 </t>
  </si>
  <si>
    <t xml:space="preserve"> 89.3691 </t>
  </si>
  <si>
    <t xml:space="preserve">F:\images\20210604\plaque 1/@07 EE2 488 ng_L/H7_01.tif </t>
  </si>
  <si>
    <t xml:space="preserve"> 66793.1146 </t>
  </si>
  <si>
    <t xml:space="preserve"> 93.5994 </t>
  </si>
  <si>
    <t xml:space="preserve">F:\images\20210604\plaque 1/@07 EE2 488 ng_L/H7_02.tif </t>
  </si>
  <si>
    <t xml:space="preserve"> 63937.9685 </t>
  </si>
  <si>
    <t xml:space="preserve"> 95.0396 </t>
  </si>
  <si>
    <t xml:space="preserve">F:\images\20210604\plaque 1/@07 EE2 488 ng_L/H7_03.tif </t>
  </si>
  <si>
    <t xml:space="preserve"> 62661.8047 </t>
  </si>
  <si>
    <t xml:space="preserve"> 90.2889 </t>
  </si>
  <si>
    <t xml:space="preserve">F:\images\20210604\plaque 1/@07 EE2 488 ng_L/ </t>
  </si>
  <si>
    <t xml:space="preserve"> 88.3393 </t>
  </si>
  <si>
    <t xml:space="preserve"> 5.5639 </t>
  </si>
  <si>
    <t xml:space="preserve"> 4501898.42 </t>
  </si>
  <si>
    <t xml:space="preserve"> 1228242.49 </t>
  </si>
  <si>
    <t xml:space="preserve">F:\images\20210604\plaque 1/@08 Atrazine 0.625 mg_L/A8_01.tif </t>
  </si>
  <si>
    <t xml:space="preserve"> 4607.1676 </t>
  </si>
  <si>
    <t xml:space="preserve"> 65.2066 </t>
  </si>
  <si>
    <t xml:space="preserve">F:\images\20210604\plaque 1/@08 Atrazine 0.625 mg_L/A8_02.tif </t>
  </si>
  <si>
    <t xml:space="preserve"> 64.375 </t>
  </si>
  <si>
    <t xml:space="preserve">F:\images\20210604\plaque 1/@08 Atrazine 0.625 mg_L/A8_03.tif </t>
  </si>
  <si>
    <t xml:space="preserve"> 5472.3633 </t>
  </si>
  <si>
    <t xml:space="preserve"> 68.0435 </t>
  </si>
  <si>
    <t xml:space="preserve">F:\images\20210604\plaque 1/@08 Atrazine 0.625 mg_L/B8_01.tif </t>
  </si>
  <si>
    <t xml:space="preserve"> 64.9615 </t>
  </si>
  <si>
    <t xml:space="preserve">F:\images\20210604\plaque 1/@08 Atrazine 0.625 mg_L/B8_02.tif </t>
  </si>
  <si>
    <t xml:space="preserve"> 64.449 </t>
  </si>
  <si>
    <t xml:space="preserve">F:\images\20210604\plaque 1/@08 Atrazine 0.625 mg_L/B8_03.tif </t>
  </si>
  <si>
    <t xml:space="preserve"> 1687.1318 </t>
  </si>
  <si>
    <t xml:space="preserve"> 64.0769 </t>
  </si>
  <si>
    <t xml:space="preserve">F:\images\20210604\plaque 1/@08 Atrazine 0.625 mg_L/C8_01.tif </t>
  </si>
  <si>
    <t xml:space="preserve"> 497.4876 </t>
  </si>
  <si>
    <t xml:space="preserve"> 63.087 </t>
  </si>
  <si>
    <t xml:space="preserve">F:\images\20210604\plaque 1/@08 Atrazine 0.625 mg_L/C8_02.tif </t>
  </si>
  <si>
    <t xml:space="preserve"> 108.1495 </t>
  </si>
  <si>
    <t xml:space="preserve"> 64.2 </t>
  </si>
  <si>
    <t xml:space="preserve">F:\images\20210604\plaque 1/@08 Atrazine 0.625 mg_L/C8_03.tif </t>
  </si>
  <si>
    <t xml:space="preserve"> 2444.1781 </t>
  </si>
  <si>
    <t xml:space="preserve"> 65.8496 </t>
  </si>
  <si>
    <t xml:space="preserve">F:\images\20210604\plaque 1/@08 Atrazine 0.625 mg_L/D8_01.tif </t>
  </si>
  <si>
    <t xml:space="preserve"> 63.186 </t>
  </si>
  <si>
    <t xml:space="preserve">F:\images\20210604\plaque 1/@08 Atrazine 0.625 mg_L/D8_02.tif </t>
  </si>
  <si>
    <t xml:space="preserve"> 8543.8084 </t>
  </si>
  <si>
    <t xml:space="preserve"> 74.0861 </t>
  </si>
  <si>
    <t xml:space="preserve">F:\images\20210604\plaque 1/@08 Atrazine 0.625 mg_L/D8_03.tif </t>
  </si>
  <si>
    <t xml:space="preserve"> 7462.3136 </t>
  </si>
  <si>
    <t xml:space="preserve"> 67.1304 </t>
  </si>
  <si>
    <t xml:space="preserve">F:\images\20210604\plaque 1/@08 Atrazine 0.625 mg_L/E8_01.tif </t>
  </si>
  <si>
    <t xml:space="preserve"> 6618.7478 </t>
  </si>
  <si>
    <t xml:space="preserve"> 77.8007 </t>
  </si>
  <si>
    <t xml:space="preserve">F:\images\20210604\plaque 1/@08 Atrazine 0.625 mg_L/E8_02.tif </t>
  </si>
  <si>
    <t xml:space="preserve"> 4909.9861 </t>
  </si>
  <si>
    <t xml:space="preserve"> 71.6344 </t>
  </si>
  <si>
    <t xml:space="preserve">F:\images\20210604\plaque 1/@08 Atrazine 0.625 mg_L/E8_03.tif </t>
  </si>
  <si>
    <t xml:space="preserve"> 8954.7764 </t>
  </si>
  <si>
    <t xml:space="preserve"> 72.2971 </t>
  </si>
  <si>
    <t xml:space="preserve">F:\images\20210604\plaque 1/@08 Atrazine 0.625 mg_L/F8_01.tif </t>
  </si>
  <si>
    <t xml:space="preserve"> 6964.8261 </t>
  </si>
  <si>
    <t xml:space="preserve"> 66.9099 </t>
  </si>
  <si>
    <t xml:space="preserve">F:\images\20210604\plaque 1/@08 Atrazine 0.625 mg_L/F8_02.tif </t>
  </si>
  <si>
    <t xml:space="preserve"> 3612.1924 </t>
  </si>
  <si>
    <t xml:space="preserve"> 64.4311 </t>
  </si>
  <si>
    <t xml:space="preserve">F:\images\20210604\plaque 1/@08 Atrazine 0.625 mg_L/F8_03.tif </t>
  </si>
  <si>
    <t xml:space="preserve"> 7332.5343 </t>
  </si>
  <si>
    <t xml:space="preserve"> 66.2743 </t>
  </si>
  <si>
    <t xml:space="preserve">F:\images\20210604\plaque 1/@08 Atrazine 0.625 mg_L/G8_01.tif </t>
  </si>
  <si>
    <t xml:space="preserve"> 65.7197 </t>
  </si>
  <si>
    <t xml:space="preserve">F:\images\20210604\plaque 1/@08 Atrazine 0.625 mg_L/G8_02.tif </t>
  </si>
  <si>
    <t xml:space="preserve"> 908.4556 </t>
  </si>
  <si>
    <t xml:space="preserve"> 62.9286 </t>
  </si>
  <si>
    <t xml:space="preserve">F:\images\20210604\plaque 1/@08 Atrazine 0.625 mg_L/G8_03.tif </t>
  </si>
  <si>
    <t xml:space="preserve"> 1838.541 </t>
  </si>
  <si>
    <t xml:space="preserve"> 64.1412 </t>
  </si>
  <si>
    <t xml:space="preserve">F:\images\20210604\plaque 1/@08 Atrazine 0.625 mg_L/H8_01.tif </t>
  </si>
  <si>
    <t xml:space="preserve"> 5450.7334 </t>
  </si>
  <si>
    <t xml:space="preserve"> 71.4643 </t>
  </si>
  <si>
    <t xml:space="preserve">F:\images\20210604\plaque 1/@08 Atrazine 0.625 mg_L/H8_02.tif </t>
  </si>
  <si>
    <t xml:space="preserve"> 1016.605 </t>
  </si>
  <si>
    <t xml:space="preserve"> 63.4468 </t>
  </si>
  <si>
    <t xml:space="preserve">F:\images\20210604\plaque 1/@08 Atrazine 0.625 mg_L/H8_03.tif </t>
  </si>
  <si>
    <t xml:space="preserve">F:\images\20210604\plaque 1/@08 Atrazine 0.625 mg_L/ </t>
  </si>
  <si>
    <t xml:space="preserve"> 66.6443 </t>
  </si>
  <si>
    <t xml:space="preserve"> 3.9527 </t>
  </si>
  <si>
    <t xml:space="preserve"> 257374.083 </t>
  </si>
  <si>
    <t xml:space="preserve"> 200755.407 </t>
  </si>
  <si>
    <t xml:space="preserve">F:\images\20210604\plaque 1/@09 Atrazine 1.25 mg_L/A9_01.tif </t>
  </si>
  <si>
    <t xml:space="preserve">F:\images\20210604\plaque 1/@09 Atrazine 1.25 mg_L/A9_02.tif </t>
  </si>
  <si>
    <t xml:space="preserve">F:\images\20210604\plaque 1/@09 Atrazine 1.25 mg_L/A9_03.tif </t>
  </si>
  <si>
    <t xml:space="preserve"> 64.3125 </t>
  </si>
  <si>
    <t xml:space="preserve">F:\images\20210604\plaque 1/@09 Atrazine 1.25 mg_L/B9_01.tif </t>
  </si>
  <si>
    <t xml:space="preserve"> 4542.2779 </t>
  </si>
  <si>
    <t xml:space="preserve"> 71.4905 </t>
  </si>
  <si>
    <t xml:space="preserve">F:\images\20210604\plaque 1/@09 Atrazine 1.25 mg_L/B9_02.tif </t>
  </si>
  <si>
    <t xml:space="preserve"> 70.2767 </t>
  </si>
  <si>
    <t xml:space="preserve">F:\images\20210604\plaque 1/@09 Atrazine 1.25 mg_L/B9_03.tif </t>
  </si>
  <si>
    <t xml:space="preserve"> 5061.3953 </t>
  </si>
  <si>
    <t xml:space="preserve"> 67.2735 </t>
  </si>
  <si>
    <t xml:space="preserve">F:\images\20210604\plaque 1/@09 Atrazine 1.25 mg_L/C9_01.tif </t>
  </si>
  <si>
    <t xml:space="preserve"> 3763.6017 </t>
  </si>
  <si>
    <t xml:space="preserve"> 66.2126 </t>
  </si>
  <si>
    <t xml:space="preserve">F:\images\20210604\plaque 1/@09 Atrazine 1.25 mg_L/C9_02.tif </t>
  </si>
  <si>
    <t xml:space="preserve"> 6424.0787 </t>
  </si>
  <si>
    <t xml:space="preserve"> 69.5421 </t>
  </si>
  <si>
    <t xml:space="preserve">F:\images\20210604\plaque 1/@09 Atrazine 1.25 mg_L/C9_03.tif </t>
  </si>
  <si>
    <t xml:space="preserve"> 4282.7191 </t>
  </si>
  <si>
    <t xml:space="preserve"> 67.5152 </t>
  </si>
  <si>
    <t xml:space="preserve">F:\images\20210604\plaque 1/@09 Atrazine 1.25 mg_L/D9_01.tif </t>
  </si>
  <si>
    <t xml:space="preserve">F:\images\20210604\plaque 1/@09 Atrazine 1.25 mg_L/D9_02.tif </t>
  </si>
  <si>
    <t xml:space="preserve"> 63.125 </t>
  </si>
  <si>
    <t xml:space="preserve">F:\images\20210604\plaque 1/@09 Atrazine 1.25 mg_L/D9_03.tif </t>
  </si>
  <si>
    <t xml:space="preserve"> 63.2778 </t>
  </si>
  <si>
    <t xml:space="preserve">F:\images\20210604\plaque 1/@09 Atrazine 1.25 mg_L/E9_01.tif </t>
  </si>
  <si>
    <t xml:space="preserve"> 6683.6374 </t>
  </si>
  <si>
    <t xml:space="preserve"> 69.7314 </t>
  </si>
  <si>
    <t xml:space="preserve">F:\images\20210604\plaque 1/@09 Atrazine 1.25 mg_L/E9_02.tif </t>
  </si>
  <si>
    <t xml:space="preserve"> 9646.933 </t>
  </si>
  <si>
    <t xml:space="preserve"> 76.4753 </t>
  </si>
  <si>
    <t xml:space="preserve">F:\images\20210604\plaque 1/@09 Atrazine 1.25 mg_L/E9_03.tif </t>
  </si>
  <si>
    <t xml:space="preserve"> 4520.648 </t>
  </si>
  <si>
    <t xml:space="preserve"> 66.0478 </t>
  </si>
  <si>
    <t xml:space="preserve">F:\images\20210604\plaque 1/@09 Atrazine 1.25 mg_L/F9_01.tif </t>
  </si>
  <si>
    <t xml:space="preserve"> 5169.5448 </t>
  </si>
  <si>
    <t xml:space="preserve"> 67.6736 </t>
  </si>
  <si>
    <t xml:space="preserve">F:\images\20210604\plaque 1/@09 Atrazine 1.25 mg_L/F9_02.tif </t>
  </si>
  <si>
    <t xml:space="preserve"> 4780.2067 </t>
  </si>
  <si>
    <t xml:space="preserve"> 70.3258 </t>
  </si>
  <si>
    <t xml:space="preserve">F:\images\20210604\plaque 1/@09 Atrazine 1.25 mg_L/F9_03.tif </t>
  </si>
  <si>
    <t xml:space="preserve"> 63.2857 </t>
  </si>
  <si>
    <t xml:space="preserve">F:\images\20210604\plaque 1/@09 Atrazine 1.25 mg_L/G9_01.tif </t>
  </si>
  <si>
    <t xml:space="preserve"> 865.1958 </t>
  </si>
  <si>
    <t xml:space="preserve"> 62.525 </t>
  </si>
  <si>
    <t xml:space="preserve">F:\images\20210604\plaque 1/@09 Atrazine 1.25 mg_L/G9_02.tif </t>
  </si>
  <si>
    <t xml:space="preserve"> 64.28 </t>
  </si>
  <si>
    <t xml:space="preserve">F:\images\20210604\plaque 1/@09 Atrazine 1.25 mg_L/G9_03.tif </t>
  </si>
  <si>
    <t xml:space="preserve">F:\images\20210604\plaque 1/@09 Atrazine 1.25 mg_L/H9_01.tif </t>
  </si>
  <si>
    <t xml:space="preserve"> 6099.6303 </t>
  </si>
  <si>
    <t xml:space="preserve"> 66.9929 </t>
  </si>
  <si>
    <t xml:space="preserve">F:\images\20210604\plaque 1/@09 Atrazine 1.25 mg_L/H9_02.tif </t>
  </si>
  <si>
    <t xml:space="preserve"> 67.3553 </t>
  </si>
  <si>
    <t xml:space="preserve">F:\images\20210604\plaque 1/@09 Atrazine 1.25 mg_L/H9_03.tif </t>
  </si>
  <si>
    <t xml:space="preserve"> 2595.5874 </t>
  </si>
  <si>
    <t xml:space="preserve"> 67.2917 </t>
  </si>
  <si>
    <t xml:space="preserve">F:\images\20210604\plaque 1/@09 Atrazine 1.25 mg_L/ </t>
  </si>
  <si>
    <t xml:space="preserve"> 66.5504 </t>
  </si>
  <si>
    <t xml:space="preserve"> 3.5205 </t>
  </si>
  <si>
    <t xml:space="preserve"> 225526.667 </t>
  </si>
  <si>
    <t xml:space="preserve"> 197569.227 </t>
  </si>
  <si>
    <t xml:space="preserve">F:\images\20210604\plaque 1/@10 Atrazine 2.5 mg_L/A10_01.tif </t>
  </si>
  <si>
    <t xml:space="preserve"> 64.5185 </t>
  </si>
  <si>
    <t xml:space="preserve">F:\images\20210604\plaque 1/@10 Atrazine 2.5 mg_L/A10_02.tif </t>
  </si>
  <si>
    <t xml:space="preserve"> 63.4 </t>
  </si>
  <si>
    <t xml:space="preserve">F:\images\20210604\plaque 1/@10 Atrazine 2.5 mg_L/A10_03.tif </t>
  </si>
  <si>
    <t xml:space="preserve">F:\images\20210604\plaque 1/@10 Atrazine 2.5 mg_L/B10_01.tif </t>
  </si>
  <si>
    <t xml:space="preserve"> 3049.8151 </t>
  </si>
  <si>
    <t xml:space="preserve"> 67.922 </t>
  </si>
  <si>
    <t xml:space="preserve">F:\images\20210604\plaque 1/@10 Atrazine 2.5 mg_L/B10_02.tif </t>
  </si>
  <si>
    <t xml:space="preserve"> 1989.9503 </t>
  </si>
  <si>
    <t xml:space="preserve"> 64.9783 </t>
  </si>
  <si>
    <t xml:space="preserve">F:\images\20210604\plaque 1/@10 Atrazine 2.5 mg_L/B10_03.tif </t>
  </si>
  <si>
    <t xml:space="preserve"> 1946.6905 </t>
  </si>
  <si>
    <t xml:space="preserve"> 64.1111 </t>
  </si>
  <si>
    <t xml:space="preserve">F:\images\20210604\plaque 1/@10 Atrazine 2.5 mg_L/C10_01.tif </t>
  </si>
  <si>
    <t xml:space="preserve"> 63.4884 </t>
  </si>
  <si>
    <t xml:space="preserve">F:\images\20210604\plaque 1/@10 Atrazine 2.5 mg_L/C10_02.tif </t>
  </si>
  <si>
    <t xml:space="preserve"> 4455.7583 </t>
  </si>
  <si>
    <t xml:space="preserve"> 69.5388 </t>
  </si>
  <si>
    <t xml:space="preserve">F:\images\20210604\plaque 1/@10 Atrazine 2.5 mg_L/C10_03.tif </t>
  </si>
  <si>
    <t xml:space="preserve"> 2530.6977 </t>
  </si>
  <si>
    <t xml:space="preserve"> 65.5128 </t>
  </si>
  <si>
    <t xml:space="preserve">F:\images\20210604\plaque 1/@10 Atrazine 2.5 mg_L/D10_01.tif </t>
  </si>
  <si>
    <t xml:space="preserve"> 4390.8686 </t>
  </si>
  <si>
    <t xml:space="preserve"> 66.5172 </t>
  </si>
  <si>
    <t xml:space="preserve">F:\images\20210604\plaque 1/@10 Atrazine 2.5 mg_L/D10_02.tif </t>
  </si>
  <si>
    <t xml:space="preserve"> 2552.3276 </t>
  </si>
  <si>
    <t xml:space="preserve"> 64.0678 </t>
  </si>
  <si>
    <t>F:\images\20210604\plaque 1/@10 Atrazine 2.5 mg_L/D10_03- exclu.tif</t>
  </si>
  <si>
    <t>F:\images\20210604\plaque 1/@10 Atrazine 2.5 mg_L/E10_01- exclu.tif</t>
  </si>
  <si>
    <t>F:\images\20210604\plaque 1/@10 Atrazine 2.5 mg_L/E10_02- exclu.tif</t>
  </si>
  <si>
    <t>F:\images\20210604\plaque 1/@10 Atrazine 2.5 mg_L/E10_03- exclu.tif</t>
  </si>
  <si>
    <t xml:space="preserve">F:\images\20210604\plaque 1/@10 Atrazine 2.5 mg_L/F10_01.tif </t>
  </si>
  <si>
    <t xml:space="preserve"> 5493.9932 </t>
  </si>
  <si>
    <t xml:space="preserve"> 67.0591 </t>
  </si>
  <si>
    <t xml:space="preserve">F:\images\20210604\plaque 1/@10 Atrazine 2.5 mg_L/F10_02.tif </t>
  </si>
  <si>
    <t xml:space="preserve"> 5083.0252 </t>
  </si>
  <si>
    <t xml:space="preserve"> 68.4894 </t>
  </si>
  <si>
    <t xml:space="preserve">F:\images\20210604\plaque 1/@10 Atrazine 2.5 mg_L/F10_03.tif </t>
  </si>
  <si>
    <t xml:space="preserve"> 65.3992 </t>
  </si>
  <si>
    <t xml:space="preserve">F:\images\20210604\plaque 1/@10 Atrazine 2.5 mg_L/G10_01.tif </t>
  </si>
  <si>
    <t xml:space="preserve"> 63.8235 </t>
  </si>
  <si>
    <t xml:space="preserve">F:\images\20210604\plaque 1/@10 Atrazine 2.5 mg_L/G10_02.tif </t>
  </si>
  <si>
    <t xml:space="preserve"> 64.7 </t>
  </si>
  <si>
    <t xml:space="preserve">F:\images\20210604\plaque 1/@10 Atrazine 2.5 mg_L/G10_03.tif </t>
  </si>
  <si>
    <t xml:space="preserve"> 62.4444 </t>
  </si>
  <si>
    <t xml:space="preserve">F:\images\20210604\plaque 1/@10 Atrazine 2.5 mg_L/H10_01.tif </t>
  </si>
  <si>
    <t xml:space="preserve"> 9041.296 </t>
  </si>
  <si>
    <t xml:space="preserve"> 74.8301 </t>
  </si>
  <si>
    <t xml:space="preserve">F:\images\20210604\plaque 1/@10 Atrazine 2.5 mg_L/H10_02.tif </t>
  </si>
  <si>
    <t xml:space="preserve"> 432.5979 </t>
  </si>
  <si>
    <t xml:space="preserve"> 63.45 </t>
  </si>
  <si>
    <t xml:space="preserve">F:\images\20210604\plaque 1/@10 Atrazine 2.5 mg_L/H10_03.tif </t>
  </si>
  <si>
    <t xml:space="preserve"> 62.1667 </t>
  </si>
  <si>
    <t xml:space="preserve">F:\images\20210604\plaque 1/@10 Atrazine 2.5 mg_L/ </t>
  </si>
  <si>
    <t xml:space="preserve"> 65.1217 </t>
  </si>
  <si>
    <t xml:space="preserve"> 2.8777 </t>
  </si>
  <si>
    <t xml:space="preserve"> 166461.918 </t>
  </si>
  <si>
    <t xml:space="preserve">F:\images\20210604\plaque 1/@11 Atrazine 5 mg_L/A11_01.tif </t>
  </si>
  <si>
    <t xml:space="preserve">F:\images\20210604\plaque 1/@11 Atrazine 5 mg_L/A11_02.tif </t>
  </si>
  <si>
    <t xml:space="preserve">F:\images\20210604\plaque 1/@11 Atrazine 5 mg_L/A11_03.tif </t>
  </si>
  <si>
    <t xml:space="preserve"> 216.2989 </t>
  </si>
  <si>
    <t xml:space="preserve"> 70.4 </t>
  </si>
  <si>
    <t xml:space="preserve">F:\images\20210604\plaque 1/@11 Atrazine 5 mg_L/B11_01.tif </t>
  </si>
  <si>
    <t xml:space="preserve"> 62.5714 </t>
  </si>
  <si>
    <t>F:\images\20210604\plaque 1/@11 Atrazine 5 mg_L/B11_02- exclu.tif</t>
  </si>
  <si>
    <t xml:space="preserve">F:\images\20210604\plaque 1/@11 Atrazine 5 mg_L/B11_03.tif </t>
  </si>
  <si>
    <t xml:space="preserve"> 237.9288 </t>
  </si>
  <si>
    <t xml:space="preserve"> 64.4545 </t>
  </si>
  <si>
    <t>F:\images\20210604\plaque 1/@11 Atrazine 5 mg_L/C11_01- exclu.tif</t>
  </si>
  <si>
    <t xml:space="preserve">F:\images\20210604\plaque 1/@11 Atrazine 5 mg_L/C11_02.tif </t>
  </si>
  <si>
    <t xml:space="preserve"> 519.1175 </t>
  </si>
  <si>
    <t xml:space="preserve"> 64.6667 </t>
  </si>
  <si>
    <t xml:space="preserve">F:\images\20210604\plaque 1/@11 Atrazine 5 mg_L/C11_03.tif </t>
  </si>
  <si>
    <t xml:space="preserve"> 65.9048 </t>
  </si>
  <si>
    <t>F:\images\20210604\plaque 1/@11 Atrazine 5 mg_L/D11_01- exclu.tif</t>
  </si>
  <si>
    <t xml:space="preserve">F:\images\20210604\plaque 1/@11 Atrazine 5 mg_L/D11_02.tif </t>
  </si>
  <si>
    <t xml:space="preserve"> 63.95 </t>
  </si>
  <si>
    <t xml:space="preserve">F:\images\20210604\plaque 1/@11 Atrazine 5 mg_L/D11_03.tif </t>
  </si>
  <si>
    <t xml:space="preserve"> 62.92 </t>
  </si>
  <si>
    <t xml:space="preserve">F:\images\20210604\plaque 1/@11 Atrazine 5 mg_L/E11_01.tif </t>
  </si>
  <si>
    <t xml:space="preserve"> 6359.189 </t>
  </si>
  <si>
    <t xml:space="preserve"> 72.7959 </t>
  </si>
  <si>
    <t xml:space="preserve">F:\images\20210604\plaque 1/@11 Atrazine 5 mg_L/E11_02.tif </t>
  </si>
  <si>
    <t xml:space="preserve"> 4088.0501 </t>
  </si>
  <si>
    <t xml:space="preserve"> 73.5132 </t>
  </si>
  <si>
    <t xml:space="preserve">F:\images\20210604\plaque 1/@11 Atrazine 5 mg_L/E11_03.tif </t>
  </si>
  <si>
    <t xml:space="preserve"> 8262.6197 </t>
  </si>
  <si>
    <t xml:space="preserve"> 75.0471 </t>
  </si>
  <si>
    <t xml:space="preserve">F:\images\20210604\plaque 1/@11 Atrazine 5 mg_L/F11_01.tif </t>
  </si>
  <si>
    <t xml:space="preserve"> 6315.9292 </t>
  </si>
  <si>
    <t xml:space="preserve"> 67.0651 </t>
  </si>
  <si>
    <t xml:space="preserve">F:\images\20210604\plaque 1/@11 Atrazine 5 mg_L/F11_02.tif </t>
  </si>
  <si>
    <t xml:space="preserve"> 2509.0678 </t>
  </si>
  <si>
    <t xml:space="preserve"> 66.7069 </t>
  </si>
  <si>
    <t xml:space="preserve">F:\images\20210604\plaque 1/@11 Atrazine 5 mg_L/F11_03.tif </t>
  </si>
  <si>
    <t xml:space="preserve"> 2184.6194 </t>
  </si>
  <si>
    <t xml:space="preserve"> 66.703 </t>
  </si>
  <si>
    <t xml:space="preserve">F:\images\20210604\plaque 1/@11 Atrazine 5 mg_L/G11_01.tif </t>
  </si>
  <si>
    <t xml:space="preserve"> 7678.6126 </t>
  </si>
  <si>
    <t xml:space="preserve"> 77.3042 </t>
  </si>
  <si>
    <t>F:\images\20210604\plaque 1/@11 Atrazine 5 mg_L/G11_02- exclu.tif</t>
  </si>
  <si>
    <t xml:space="preserve">F:\images\20210604\plaque 1/@11 Atrazine 5 mg_L/G11_03.tif </t>
  </si>
  <si>
    <t xml:space="preserve"> 3309.3739 </t>
  </si>
  <si>
    <t xml:space="preserve"> 66.6863 </t>
  </si>
  <si>
    <t xml:space="preserve">F:\images\20210604\plaque 1/@11 Atrazine 5 mg_L/H11_01.tif </t>
  </si>
  <si>
    <t xml:space="preserve"> 62.7391 </t>
  </si>
  <si>
    <t xml:space="preserve">F:\images\20210604\plaque 1/@11 Atrazine 5 mg_L/H11_02.tif </t>
  </si>
  <si>
    <t xml:space="preserve"> 62.9375 </t>
  </si>
  <si>
    <t xml:space="preserve">F:\images\20210604\plaque 1/@11 Atrazine 5 mg_L/H11_03.tif </t>
  </si>
  <si>
    <t xml:space="preserve"> 66.2795 </t>
  </si>
  <si>
    <t xml:space="preserve">F:\images\20210604\plaque 1/@11 Atrazine 5 mg_L/ </t>
  </si>
  <si>
    <t xml:space="preserve"> 66.746 </t>
  </si>
  <si>
    <t xml:space="preserve"> 4.0937 </t>
  </si>
  <si>
    <t xml:space="preserve"> 154895.375 </t>
  </si>
  <si>
    <t xml:space="preserve"> 201600.314 </t>
  </si>
  <si>
    <t xml:space="preserve">F:\images\20210604\plaque 1/@12 Atrazine 10 mg_L/A12_01.tif </t>
  </si>
  <si>
    <t xml:space="preserve"> 63.3226 </t>
  </si>
  <si>
    <t xml:space="preserve">F:\images\20210604\plaque 1/@12 Atrazine 10 mg_L/A12_02.tif </t>
  </si>
  <si>
    <t xml:space="preserve"> 64.8679 </t>
  </si>
  <si>
    <t xml:space="preserve">F:\images\20210604\plaque 1/@12 Atrazine 10 mg_L/A12_03.tif </t>
  </si>
  <si>
    <t xml:space="preserve"> 64.8523 </t>
  </si>
  <si>
    <t xml:space="preserve">F:\images\20210604\plaque 1/@12 Atrazine 10 mg_L/B12_01.tif </t>
  </si>
  <si>
    <t xml:space="preserve"> 9517.1536 </t>
  </si>
  <si>
    <t xml:space="preserve"> 81.2682 </t>
  </si>
  <si>
    <t xml:space="preserve">F:\images\20210604\plaque 1/@12 Atrazine 10 mg_L/B12_02.tif </t>
  </si>
  <si>
    <t xml:space="preserve"> 10079.5309 </t>
  </si>
  <si>
    <t xml:space="preserve"> 84.3884 </t>
  </si>
  <si>
    <t xml:space="preserve">F:\images\20210604\plaque 1/@12 Atrazine 10 mg_L/B12_03.tif </t>
  </si>
  <si>
    <t xml:space="preserve"> 9409.0042 </t>
  </si>
  <si>
    <t xml:space="preserve"> 82.8253 </t>
  </si>
  <si>
    <t xml:space="preserve">F:\images\20210604\plaque 1/@12 Atrazine 10 mg_L/C12_01.tif </t>
  </si>
  <si>
    <t xml:space="preserve"> 86.5196 </t>
  </si>
  <si>
    <t xml:space="preserve">F:\images\20210604\plaque 1/@12 Atrazine 10 mg_L/C12_02.tif </t>
  </si>
  <si>
    <t xml:space="preserve"> 18212.3713 </t>
  </si>
  <si>
    <t xml:space="preserve"> 71.0416 </t>
  </si>
  <si>
    <t>F:\images\20210604\plaque 1/@12 Atrazine 10 mg_L/C12_03- exclu.tif</t>
  </si>
  <si>
    <t xml:space="preserve">F:\images\20210604\plaque 1/@12 Atrazine 10 mg_L/D12_01.tif </t>
  </si>
  <si>
    <t xml:space="preserve"> 2011.5802 </t>
  </si>
  <si>
    <t xml:space="preserve"> 64.5914 </t>
  </si>
  <si>
    <t xml:space="preserve">F:\images\20210604\plaque 1/@12 Atrazine 10 mg_L/D12_02.tif </t>
  </si>
  <si>
    <t xml:space="preserve"> 1254.5339 </t>
  </si>
  <si>
    <t xml:space="preserve"> 64.0172 </t>
  </si>
  <si>
    <t xml:space="preserve">F:\images\20210604\plaque 1/@12 Atrazine 10 mg_L/D12_03.tif </t>
  </si>
  <si>
    <t xml:space="preserve"> 1752.0215 </t>
  </si>
  <si>
    <t xml:space="preserve"> 64.6543 </t>
  </si>
  <si>
    <t xml:space="preserve">F:\images\20210604\plaque 1/@12 Atrazine 10 mg_L/E12_01.tif </t>
  </si>
  <si>
    <t xml:space="preserve"> 63.7308 </t>
  </si>
  <si>
    <t xml:space="preserve">F:\images\20210604\plaque 1/@12 Atrazine 10 mg_L/E12_02.tif </t>
  </si>
  <si>
    <t xml:space="preserve"> 63.6296 </t>
  </si>
  <si>
    <t xml:space="preserve">F:\images\20210604\plaque 1/@12 Atrazine 10 mg_L/E12_03.tif </t>
  </si>
  <si>
    <t xml:space="preserve"> 1103.1246 </t>
  </si>
  <si>
    <t xml:space="preserve"> 62.8235 </t>
  </si>
  <si>
    <t xml:space="preserve">F:\images\20210604\plaque 1/@12 Atrazine 10 mg_L/F12_01.tif </t>
  </si>
  <si>
    <t xml:space="preserve"> 62.2326 </t>
  </si>
  <si>
    <t xml:space="preserve">F:\images\20210604\plaque 1/@12 Atrazine 10 mg_L/F12_02.tif </t>
  </si>
  <si>
    <t xml:space="preserve"> 6380.8189 </t>
  </si>
  <si>
    <t xml:space="preserve"> 64.5831 </t>
  </si>
  <si>
    <t xml:space="preserve">F:\images\20210604\plaque 1/@12 Atrazine 10 mg_L/F12_03.tif </t>
  </si>
  <si>
    <t xml:space="preserve"> 1600.6122 </t>
  </si>
  <si>
    <t xml:space="preserve"> 63.473 </t>
  </si>
  <si>
    <t xml:space="preserve">F:\images\20210604\plaque 1/@12 Atrazine 10 mg_L/G12_01.tif </t>
  </si>
  <si>
    <t xml:space="preserve"> 2617.2173 </t>
  </si>
  <si>
    <t xml:space="preserve"> 67.7355 </t>
  </si>
  <si>
    <t xml:space="preserve">F:\images\20210604\plaque 1/@12 Atrazine 10 mg_L/G12_02.tif </t>
  </si>
  <si>
    <t xml:space="preserve"> 95.6296 </t>
  </si>
  <si>
    <t>F:\images\20210604\plaque 1/@12 Atrazine 10 mg_L/G12_03- exclu.tif</t>
  </si>
  <si>
    <t xml:space="preserve">F:\images\20210604\plaque 1/@12 Atrazine 10 mg_L/H12_01.tif </t>
  </si>
  <si>
    <t xml:space="preserve"> 1124.7545 </t>
  </si>
  <si>
    <t xml:space="preserve"> 63.4808 </t>
  </si>
  <si>
    <t xml:space="preserve">F:\images\20210604\plaque 1/@12 Atrazine 10 mg_L/H12_02.tif </t>
  </si>
  <si>
    <t xml:space="preserve"> 843.5659 </t>
  </si>
  <si>
    <t xml:space="preserve"> 64.0256 </t>
  </si>
  <si>
    <t xml:space="preserve">F:\images\20210604\plaque 1/@12 Atrazine 10 mg_L/H12_03.tif </t>
  </si>
  <si>
    <t xml:space="preserve">F:\images\20210604\plaque 1/@12 Atrazine 10 mg_L/ </t>
  </si>
  <si>
    <t xml:space="preserve"> 67.989 </t>
  </si>
  <si>
    <t xml:space="preserve"> 8.75 </t>
  </si>
  <si>
    <t xml:space="preserve"> 288188.667 </t>
  </si>
  <si>
    <t xml:space="preserve"> 403971.399 </t>
  </si>
  <si>
    <t xml:space="preserve">F:\images\20210604\plaque 2/@1 TESTO 30/A1_01.tif </t>
  </si>
  <si>
    <t xml:space="preserve"> 64.6452 </t>
  </si>
  <si>
    <t xml:space="preserve">F:\images\20210604\plaque 2/@1 TESTO 30/A1_02.tif </t>
  </si>
  <si>
    <t xml:space="preserve"> 64.6383 </t>
  </si>
  <si>
    <t xml:space="preserve">F:\images\20210604\plaque 2/@1 TESTO 30/A1_03.tif </t>
  </si>
  <si>
    <t xml:space="preserve"> 62.9216 </t>
  </si>
  <si>
    <t xml:space="preserve">F:\images\20210604\plaque 2/@1 TESTO 30/B1_01.tif </t>
  </si>
  <si>
    <t xml:space="preserve"> 30498.1514 </t>
  </si>
  <si>
    <t xml:space="preserve"> 67.7809 </t>
  </si>
  <si>
    <t xml:space="preserve">F:\images\20210604\plaque 2/@1 TESTO 30/B1_02.tif </t>
  </si>
  <si>
    <t xml:space="preserve"> 27989.0836 </t>
  </si>
  <si>
    <t xml:space="preserve"> 67.5039 </t>
  </si>
  <si>
    <t xml:space="preserve">F:\images\20210604\plaque 2/@1 TESTO 30/B1_03.tif </t>
  </si>
  <si>
    <t xml:space="preserve"> 29459.9165 </t>
  </si>
  <si>
    <t xml:space="preserve"> 68.92 </t>
  </si>
  <si>
    <t xml:space="preserve">F:\images\20210604\plaque 2/@1 TESTO 30/C1_01.tif </t>
  </si>
  <si>
    <t xml:space="preserve"> 34694.351 </t>
  </si>
  <si>
    <t xml:space="preserve"> 71.0087 </t>
  </si>
  <si>
    <t xml:space="preserve">F:\images\20210604\plaque 2/@1 TESTO 30/C1_02.tif </t>
  </si>
  <si>
    <t xml:space="preserve"> 33742.6356 </t>
  </si>
  <si>
    <t xml:space="preserve"> 69.9853 </t>
  </si>
  <si>
    <t xml:space="preserve">F:\images\20210604\plaque 2/@1 TESTO 30/C1_03.tif </t>
  </si>
  <si>
    <t xml:space="preserve"> 33850.7851 </t>
  </si>
  <si>
    <t xml:space="preserve"> 70.354 </t>
  </si>
  <si>
    <t xml:space="preserve">F:\images\20210604\plaque 2/@1 TESTO 30/D1_01.tif </t>
  </si>
  <si>
    <t xml:space="preserve"> 24312.0016 </t>
  </si>
  <si>
    <t xml:space="preserve"> 66.758 </t>
  </si>
  <si>
    <t xml:space="preserve">F:\images\20210604\plaque 2/@1 TESTO 30/D1_02.tif </t>
  </si>
  <si>
    <t xml:space="preserve"> 16417.09 </t>
  </si>
  <si>
    <t xml:space="preserve"> 65.054 </t>
  </si>
  <si>
    <t xml:space="preserve">F:\images\20210604\plaque 2/@1 TESTO 30/D1_03.tif </t>
  </si>
  <si>
    <t xml:space="preserve"> 21391.9658 </t>
  </si>
  <si>
    <t xml:space="preserve"> 65.9484 </t>
  </si>
  <si>
    <t xml:space="preserve">F:\images\20210604\plaque 2/@1 TESTO 30/E1_01.tif </t>
  </si>
  <si>
    <t xml:space="preserve"> 2271.1389 </t>
  </si>
  <si>
    <t xml:space="preserve"> 63.0095 </t>
  </si>
  <si>
    <t xml:space="preserve">F:\images\20210604\plaque 2/@1 TESTO 30/E1_02.tif </t>
  </si>
  <si>
    <t xml:space="preserve"> 63.2898 </t>
  </si>
  <si>
    <t xml:space="preserve">F:\images\20210604\plaque 2/@1 TESTO 30/E1_03.tif </t>
  </si>
  <si>
    <t xml:space="preserve"> 63.9698 </t>
  </si>
  <si>
    <t xml:space="preserve">F:\images\20210604\plaque 2/@1 TESTO 30/F1_01.tif </t>
  </si>
  <si>
    <t xml:space="preserve"> 17649.994 </t>
  </si>
  <si>
    <t xml:space="preserve"> 67.3971 </t>
  </si>
  <si>
    <t xml:space="preserve">F:\images\20210604\plaque 2/@1 TESTO 30/F1_02.tif </t>
  </si>
  <si>
    <t xml:space="preserve"> 10057.901 </t>
  </si>
  <si>
    <t xml:space="preserve"> 64.5247 </t>
  </si>
  <si>
    <t xml:space="preserve">F:\images\20210604\plaque 2/@1 TESTO 30/F1_03.tif </t>
  </si>
  <si>
    <t xml:space="preserve"> 20115.802 </t>
  </si>
  <si>
    <t xml:space="preserve"> 65.886 </t>
  </si>
  <si>
    <t xml:space="preserve">F:\images\20210604\plaque 2/@1 TESTO 30/G1_01.tif </t>
  </si>
  <si>
    <t xml:space="preserve"> 11182.6555 </t>
  </si>
  <si>
    <t xml:space="preserve"> 65.3346 </t>
  </si>
  <si>
    <t xml:space="preserve">F:\images\20210604\plaque 2/@1 TESTO 30/G1_02.tif </t>
  </si>
  <si>
    <t xml:space="preserve"> 7181.125 </t>
  </si>
  <si>
    <t xml:space="preserve"> 64.8434 </t>
  </si>
  <si>
    <t xml:space="preserve">F:\images\20210604\plaque 2/@1 TESTO 30/G1_03.tif </t>
  </si>
  <si>
    <t xml:space="preserve"> 8846.6269 </t>
  </si>
  <si>
    <t xml:space="preserve"> 64.5159 </t>
  </si>
  <si>
    <t xml:space="preserve">F:\images\20210604\plaque 2/@1 TESTO 30/H1_01.tif </t>
  </si>
  <si>
    <t xml:space="preserve"> 25263.7169 </t>
  </si>
  <si>
    <t xml:space="preserve"> 66.6969 </t>
  </si>
  <si>
    <t xml:space="preserve">F:\images\20210604\plaque 2/@1 TESTO 30/H1_02.tif </t>
  </si>
  <si>
    <t xml:space="preserve"> 25653.055 </t>
  </si>
  <si>
    <t xml:space="preserve"> 66.2816 </t>
  </si>
  <si>
    <t xml:space="preserve">F:\images\20210604\plaque 2/@1 TESTO 30/H1_03.tif </t>
  </si>
  <si>
    <t xml:space="preserve"> 27664.6352 </t>
  </si>
  <si>
    <t xml:space="preserve"> 66.4292 </t>
  </si>
  <si>
    <t xml:space="preserve">F:\images\20210604\plaque 2/@1 TESTO 30/ </t>
  </si>
  <si>
    <t xml:space="preserve"> 66.154 </t>
  </si>
  <si>
    <t xml:space="preserve"> 2.2577 </t>
  </si>
  <si>
    <t xml:space="preserve"> 1178632.83 </t>
  </si>
  <si>
    <t xml:space="preserve"> 824889.142 </t>
  </si>
  <si>
    <t xml:space="preserve">F:\images\20210604\plaque 2/@2 testo 30/A2_01.tif </t>
  </si>
  <si>
    <t xml:space="preserve"> 2227.8791 </t>
  </si>
  <si>
    <t xml:space="preserve"> 64.7184 </t>
  </si>
  <si>
    <t xml:space="preserve">F:\images\20210604\plaque 2/@2 testo 30/A2_02.tif </t>
  </si>
  <si>
    <t xml:space="preserve">F:\images\20210604\plaque 2/@2 testo 30/A2_03.tif </t>
  </si>
  <si>
    <t xml:space="preserve"> 63.6731 </t>
  </si>
  <si>
    <t xml:space="preserve">F:\images\20210604\plaque 2/@2 testo 30/B2_01.tif </t>
  </si>
  <si>
    <t xml:space="preserve"> 16373.8302 </t>
  </si>
  <si>
    <t xml:space="preserve"> 71.3236 </t>
  </si>
  <si>
    <t xml:space="preserve">F:\images\20210604\plaque 2/@2 testo 30/B2_02.tif </t>
  </si>
  <si>
    <t xml:space="preserve"> 12588.5987 </t>
  </si>
  <si>
    <t xml:space="preserve"> 71.3849 </t>
  </si>
  <si>
    <t xml:space="preserve">F:\images\20210604\plaque 2/@2 testo 30/B2_03.tif </t>
  </si>
  <si>
    <t xml:space="preserve"> 13648.4635 </t>
  </si>
  <si>
    <t xml:space="preserve"> 91.4295 </t>
  </si>
  <si>
    <t xml:space="preserve">F:\images\20210604\plaque 2/@2 testo 30/C2_01.tif </t>
  </si>
  <si>
    <t xml:space="preserve"> 24290.3717 </t>
  </si>
  <si>
    <t xml:space="preserve"> 71.9038 </t>
  </si>
  <si>
    <t xml:space="preserve">F:\images\20210604\plaque 2/@2 testo 30/C2_02.tif </t>
  </si>
  <si>
    <t xml:space="preserve"> 69.2285 </t>
  </si>
  <si>
    <t xml:space="preserve">F:\images\20210604\plaque 2/@2 testo 30/C2_03.tif </t>
  </si>
  <si>
    <t xml:space="preserve"> 20548.3999 </t>
  </si>
  <si>
    <t xml:space="preserve"> 71.6874 </t>
  </si>
  <si>
    <t xml:space="preserve">F:\images\20210604\plaque 2/@2 testo 30/D2_01.tif </t>
  </si>
  <si>
    <t xml:space="preserve"> 31211.9379 </t>
  </si>
  <si>
    <t xml:space="preserve"> 69.6015 </t>
  </si>
  <si>
    <t xml:space="preserve">F:\images\20210604\plaque 2/@2 testo 30/D2_02.tif </t>
  </si>
  <si>
    <t xml:space="preserve"> 23987.5531 </t>
  </si>
  <si>
    <t xml:space="preserve"> 66.9937 </t>
  </si>
  <si>
    <t xml:space="preserve">F:\images\20210604\plaque 2/@2 testo 30/D2_03.tif </t>
  </si>
  <si>
    <t xml:space="preserve"> 27599.7455 </t>
  </si>
  <si>
    <t xml:space="preserve"> 68.0502 </t>
  </si>
  <si>
    <t xml:space="preserve">F:\images\20210604\plaque 2/@2 testo 30/E2_01.tif </t>
  </si>
  <si>
    <t xml:space="preserve"> 5904.9612 </t>
  </si>
  <si>
    <t xml:space="preserve"> 64.0806 </t>
  </si>
  <si>
    <t xml:space="preserve">F:\images\20210604\plaque 2/@2 testo 30/E2_02.tif </t>
  </si>
  <si>
    <t xml:space="preserve"> 5212.8046 </t>
  </si>
  <si>
    <t xml:space="preserve"> 66.1743 </t>
  </si>
  <si>
    <t xml:space="preserve">F:\images\20210604\plaque 2/@2 testo 30/E2_03.tif </t>
  </si>
  <si>
    <t xml:space="preserve"> 65.2127 </t>
  </si>
  <si>
    <t xml:space="preserve">F:\images\20210604\plaque 2/@2 testo 30/F2_01.tif </t>
  </si>
  <si>
    <t xml:space="preserve"> 15919.6024 </t>
  </si>
  <si>
    <t xml:space="preserve"> 65.9049 </t>
  </si>
  <si>
    <t xml:space="preserve">F:\images\20210604\plaque 2/@2 testo 30/F2_02.tif </t>
  </si>
  <si>
    <t xml:space="preserve"> 27967.4538 </t>
  </si>
  <si>
    <t xml:space="preserve"> 68.4285 </t>
  </si>
  <si>
    <t xml:space="preserve">F:\images\20210604\plaque 2/@2 testo 30/F2_03.tif </t>
  </si>
  <si>
    <t xml:space="preserve"> 11031.2463 </t>
  </si>
  <si>
    <t xml:space="preserve"> 64.5608 </t>
  </si>
  <si>
    <t xml:space="preserve">F:\images\20210604\plaque 2/@2 testo 30/G2_01.tif </t>
  </si>
  <si>
    <t xml:space="preserve"> 73.196 </t>
  </si>
  <si>
    <t xml:space="preserve">F:\images\20210604\plaque 2/@2 testo 30/G2_02.tif </t>
  </si>
  <si>
    <t xml:space="preserve"> 44903.6612 </t>
  </si>
  <si>
    <t xml:space="preserve"> 75.8285 </t>
  </si>
  <si>
    <t xml:space="preserve">F:\images\20210604\plaque 2/@2 testo 30/G2_03.tif </t>
  </si>
  <si>
    <t xml:space="preserve"> 53966.5871 </t>
  </si>
  <si>
    <t xml:space="preserve"> 74.9299 </t>
  </si>
  <si>
    <t xml:space="preserve">F:\images\20210604\plaque 2/@2 testo 30/H2_01.tif </t>
  </si>
  <si>
    <t xml:space="preserve"> 10339.0896 </t>
  </si>
  <si>
    <t xml:space="preserve"> 65.6025 </t>
  </si>
  <si>
    <t xml:space="preserve">F:\images\20210604\plaque 2/@2 testo 30/H2_02.tif </t>
  </si>
  <si>
    <t xml:space="preserve"> 12199.2606 </t>
  </si>
  <si>
    <t xml:space="preserve"> 66.0035 </t>
  </si>
  <si>
    <t xml:space="preserve">F:\images\20210604\plaque 2/@2 testo 30/H2_03.tif </t>
  </si>
  <si>
    <t xml:space="preserve"> 10209.3103 </t>
  </si>
  <si>
    <t xml:space="preserve"> 66.6081 </t>
  </si>
  <si>
    <t xml:space="preserve">F:\images\20210604\plaque 2/@2 testo 30/ </t>
  </si>
  <si>
    <t xml:space="preserve"> 69.1885 </t>
  </si>
  <si>
    <t xml:space="preserve"> 5.9264 </t>
  </si>
  <si>
    <t xml:space="preserve"> 1324101.08 </t>
  </si>
  <si>
    <t xml:space="preserve"> 1082705.68 </t>
  </si>
  <si>
    <t xml:space="preserve">F:\images\20210604\plaque 2/@3 testo +ee2/A3_01.tif </t>
  </si>
  <si>
    <t xml:space="preserve"> 33699.3758 </t>
  </si>
  <si>
    <t xml:space="preserve"> 74.6065 </t>
  </si>
  <si>
    <t xml:space="preserve">F:\images\20210604\plaque 2/@3 testo +ee2/A3_02.tif </t>
  </si>
  <si>
    <t xml:space="preserve"> 29870.8845 </t>
  </si>
  <si>
    <t xml:space="preserve"> 79.3382 </t>
  </si>
  <si>
    <t xml:space="preserve">F:\images\20210604\plaque 2/@3 testo +ee2/A3_03.tif </t>
  </si>
  <si>
    <t xml:space="preserve"> 32920.6996 </t>
  </si>
  <si>
    <t xml:space="preserve"> 75.5762 </t>
  </si>
  <si>
    <t xml:space="preserve">F:\images\20210604\plaque 2/@3 testo +ee2/B3_01.tif </t>
  </si>
  <si>
    <t xml:space="preserve"> 26215.4323 </t>
  </si>
  <si>
    <t xml:space="preserve"> 68.4026 </t>
  </si>
  <si>
    <t xml:space="preserve">F:\images\20210604\plaque 2/@3 testo +ee2/B3_02.tif </t>
  </si>
  <si>
    <t xml:space="preserve"> 25566.5355 </t>
  </si>
  <si>
    <t xml:space="preserve"> 67.9805 </t>
  </si>
  <si>
    <t xml:space="preserve">F:\images\20210604\plaque 2/@3 testo +ee2/B3_03.tif </t>
  </si>
  <si>
    <t xml:space="preserve"> 67.8979 </t>
  </si>
  <si>
    <t xml:space="preserve">F:\images\20210604\plaque 2/@3 testo +ee2/C3_01.tif </t>
  </si>
  <si>
    <t xml:space="preserve"> 37636.0167 </t>
  </si>
  <si>
    <t xml:space="preserve"> 73.4776 </t>
  </si>
  <si>
    <t xml:space="preserve">F:\images\20210604\plaque 2/@3 testo +ee2/C3_02.tif </t>
  </si>
  <si>
    <t xml:space="preserve"> 34326.6428 </t>
  </si>
  <si>
    <t xml:space="preserve"> 72.7549 </t>
  </si>
  <si>
    <t xml:space="preserve">F:\images\20210604\plaque 2/@3 testo +ee2/C3_03.tif </t>
  </si>
  <si>
    <t xml:space="preserve"> 34910.6499 </t>
  </si>
  <si>
    <t xml:space="preserve"> 75.303 </t>
  </si>
  <si>
    <t xml:space="preserve">F:\images\20210604\plaque 2/@3 testo +ee2/D3_01.tif </t>
  </si>
  <si>
    <t xml:space="preserve"> 12134.3709 </t>
  </si>
  <si>
    <t xml:space="preserve"> 67.6881 </t>
  </si>
  <si>
    <t xml:space="preserve">F:\images\20210604\plaque 2/@3 testo +ee2/D3_02.tif </t>
  </si>
  <si>
    <t xml:space="preserve"> 8457.2888 </t>
  </si>
  <si>
    <t xml:space="preserve"> 65.8721 </t>
  </si>
  <si>
    <t xml:space="preserve">F:\images\20210604\plaque 2/@3 testo +ee2/D3_03.tif </t>
  </si>
  <si>
    <t xml:space="preserve"> 13778.2429 </t>
  </si>
  <si>
    <t xml:space="preserve"> 67.7096 </t>
  </si>
  <si>
    <t xml:space="preserve">F:\images\20210604\plaque 2/@3 testo +ee2/E3_01.tif </t>
  </si>
  <si>
    <t xml:space="preserve"> 45574.188 </t>
  </si>
  <si>
    <t xml:space="preserve"> 73.7893 </t>
  </si>
  <si>
    <t xml:space="preserve">F:\images\20210604\plaque 2/@3 testo +ee2/E3_02.tif </t>
  </si>
  <si>
    <t xml:space="preserve"> 76.6004 </t>
  </si>
  <si>
    <t xml:space="preserve">F:\images\20210604\plaque 2/@3 testo +ee2/E3_03.tif </t>
  </si>
  <si>
    <t xml:space="preserve"> 77.6271 </t>
  </si>
  <si>
    <t xml:space="preserve">F:\images\20210604\plaque 2/@3 testo +ee2/F3_01.tif </t>
  </si>
  <si>
    <t xml:space="preserve"> 68.9068 </t>
  </si>
  <si>
    <t xml:space="preserve">F:\images\20210604\plaque 2/@3 testo +ee2/F3_02.tif </t>
  </si>
  <si>
    <t xml:space="preserve"> 70.5068 </t>
  </si>
  <si>
    <t xml:space="preserve">F:\images\20210604\plaque 2/@3 testo +ee2/F3_03.tif </t>
  </si>
  <si>
    <t xml:space="preserve"> 64.289 </t>
  </si>
  <si>
    <t xml:space="preserve">F:\images\20210604\plaque 2/@3 testo +ee2/G3_01.tif </t>
  </si>
  <si>
    <t xml:space="preserve"> 53663.7686 </t>
  </si>
  <si>
    <t xml:space="preserve"> 77.2765 </t>
  </si>
  <si>
    <t xml:space="preserve">F:\images\20210604\plaque 2/@3 testo +ee2/G3_02.tif </t>
  </si>
  <si>
    <t xml:space="preserve"> 47434.3589 </t>
  </si>
  <si>
    <t xml:space="preserve"> 80.1281 </t>
  </si>
  <si>
    <t xml:space="preserve">F:\images\20210604\plaque 2/@3 testo +ee2/G3_03.tif </t>
  </si>
  <si>
    <t xml:space="preserve"> 49402.6793 </t>
  </si>
  <si>
    <t xml:space="preserve"> 78.9645 </t>
  </si>
  <si>
    <t xml:space="preserve">F:\images\20210604\plaque 2/@3 testo +ee2/H3_01.tif </t>
  </si>
  <si>
    <t xml:space="preserve"> 28205.3826 </t>
  </si>
  <si>
    <t xml:space="preserve"> 68.0222 </t>
  </si>
  <si>
    <t xml:space="preserve">F:\images\20210604\plaque 2/@3 testo +ee2/H3_02.tif </t>
  </si>
  <si>
    <t xml:space="preserve"> 26453.3611 </t>
  </si>
  <si>
    <t xml:space="preserve"> 67.7817 </t>
  </si>
  <si>
    <t xml:space="preserve">F:\images\20210604\plaque 2/@3 testo +ee2/H3_03.tif </t>
  </si>
  <si>
    <t xml:space="preserve"> 18039.3321 </t>
  </si>
  <si>
    <t xml:space="preserve"> 66.4305 </t>
  </si>
  <si>
    <t xml:space="preserve">F:\images\20210604\plaque 2/@3 testo +ee2/ </t>
  </si>
  <si>
    <t xml:space="preserve"> 71.9554 </t>
  </si>
  <si>
    <t xml:space="preserve"> 4.8538 </t>
  </si>
  <si>
    <t xml:space="preserve"> 2095175.29 </t>
  </si>
  <si>
    <t xml:space="preserve"> 1129656.4 </t>
  </si>
  <si>
    <t xml:space="preserve">F:\images\20210604\plaque 2/@4 testo +fad/A4_01.tif </t>
  </si>
  <si>
    <t xml:space="preserve"> 4736.9469 </t>
  </si>
  <si>
    <t xml:space="preserve"> 74.4977 </t>
  </si>
  <si>
    <t xml:space="preserve">F:\images\20210604\plaque 2/@4 testo +fad/A4_02.tif </t>
  </si>
  <si>
    <t xml:space="preserve"> 63.4706 </t>
  </si>
  <si>
    <t xml:space="preserve">F:\images\20210604\plaque 2/@4 testo +fad/A4_03.tif </t>
  </si>
  <si>
    <t xml:space="preserve"> 66.2593 </t>
  </si>
  <si>
    <t xml:space="preserve">F:\images\20210604\plaque 2/@4 testo +fad/B4_01.tif </t>
  </si>
  <si>
    <t xml:space="preserve"> 63.7333 </t>
  </si>
  <si>
    <t xml:space="preserve">F:\images\20210604\plaque 2/@4 testo +fad/B4_02.tif </t>
  </si>
  <si>
    <t xml:space="preserve"> 62.7273 </t>
  </si>
  <si>
    <t xml:space="preserve">F:\images\20210604\plaque 2/@4 testo +fad/B4_03.tif </t>
  </si>
  <si>
    <t xml:space="preserve"> 65.1667 </t>
  </si>
  <si>
    <t xml:space="preserve">F:\images\20210604\plaque 2/@4 testo +fad/C4_01.tif </t>
  </si>
  <si>
    <t xml:space="preserve"> 1319.4236 </t>
  </si>
  <si>
    <t xml:space="preserve"> 64.2459 </t>
  </si>
  <si>
    <t xml:space="preserve">F:\images\20210604\plaque 2/@4 testo +fad/C4_02.tif </t>
  </si>
  <si>
    <t xml:space="preserve"> 63.7 </t>
  </si>
  <si>
    <t xml:space="preserve">F:\images\20210604\plaque 2/@4 testo +fad/C4_03.tif </t>
  </si>
  <si>
    <t xml:space="preserve"> 64.0833 </t>
  </si>
  <si>
    <t xml:space="preserve">F:\images\20210604\plaque 2/@4 testo +fad/D4_01.tif </t>
  </si>
  <si>
    <t xml:space="preserve"> 1038.2349 </t>
  </si>
  <si>
    <t xml:space="preserve"> 62.6458 </t>
  </si>
  <si>
    <t xml:space="preserve">F:\images\20210604\plaque 2/@4 testo +fad/D4_02.tif </t>
  </si>
  <si>
    <t xml:space="preserve"> 2876.776 </t>
  </si>
  <si>
    <t xml:space="preserve"> 65.1504 </t>
  </si>
  <si>
    <t xml:space="preserve">F:\images\20210604\plaque 2/@4 testo +fad/D4_03.tif </t>
  </si>
  <si>
    <t xml:space="preserve"> 2162.9895 </t>
  </si>
  <si>
    <t xml:space="preserve"> 64.6 </t>
  </si>
  <si>
    <t xml:space="preserve">F:\images\20210604\plaque 2/@4 testo +fad/E4_01.tif </t>
  </si>
  <si>
    <t xml:space="preserve"> 1211.2741 </t>
  </si>
  <si>
    <t xml:space="preserve"> 62.6964 </t>
  </si>
  <si>
    <t xml:space="preserve">F:\images\20210604\plaque 2/@4 testo +fad/E4_02.tif </t>
  </si>
  <si>
    <t xml:space="preserve"> 3417.5234 </t>
  </si>
  <si>
    <t xml:space="preserve"> 67.0506 </t>
  </si>
  <si>
    <t xml:space="preserve">F:\images\20210604\plaque 2/@4 testo +fad/E4_03.tif </t>
  </si>
  <si>
    <t xml:space="preserve"> 951.7154 </t>
  </si>
  <si>
    <t xml:space="preserve"> 63.1136 </t>
  </si>
  <si>
    <t xml:space="preserve">F:\images\20210604\plaque 2/@4 testo +fad/F4_01.tif </t>
  </si>
  <si>
    <t xml:space="preserve"> 63.1739 </t>
  </si>
  <si>
    <t xml:space="preserve">F:\images\20210604\plaque 2/@4 testo +fad/F4_02.tif </t>
  </si>
  <si>
    <t xml:space="preserve"> 65.3478 </t>
  </si>
  <si>
    <t xml:space="preserve">F:\images\20210604\plaque 2/@4 testo +fad/F4_03.tif </t>
  </si>
  <si>
    <t xml:space="preserve"> 63.8182 </t>
  </si>
  <si>
    <t xml:space="preserve">F:\images\20210604\plaque 2/@4 testo +fad/G4_01.tif </t>
  </si>
  <si>
    <t xml:space="preserve"> 1903.4307 </t>
  </si>
  <si>
    <t xml:space="preserve"> 64.6932 </t>
  </si>
  <si>
    <t xml:space="preserve">F:\images\20210604\plaque 2/@4 testo +fad/G4_02.tif </t>
  </si>
  <si>
    <t xml:space="preserve">F:\images\20210604\plaque 2/@4 testo +fad/G4_03.tif </t>
  </si>
  <si>
    <t xml:space="preserve"> 64.5424 </t>
  </si>
  <si>
    <t xml:space="preserve">F:\images\20210604\plaque 2/@4 testo +fad/H4_01.tif </t>
  </si>
  <si>
    <t xml:space="preserve"> 4758.5768 </t>
  </si>
  <si>
    <t xml:space="preserve"> 67.7545 </t>
  </si>
  <si>
    <t xml:space="preserve">F:\images\20210604\plaque 2/@4 testo +fad/H4_02.tif </t>
  </si>
  <si>
    <t xml:space="preserve"> 973.3453 </t>
  </si>
  <si>
    <t xml:space="preserve"> 63.8 </t>
  </si>
  <si>
    <t xml:space="preserve">F:\images\20210604\plaque 2/@4 testo +fad/H4_03.tif </t>
  </si>
  <si>
    <t xml:space="preserve"> 2400.9183 </t>
  </si>
  <si>
    <t xml:space="preserve"> 65.1532 </t>
  </si>
  <si>
    <t xml:space="preserve">F:\images\20210604\plaque 2/@4 testo +fad/ </t>
  </si>
  <si>
    <t xml:space="preserve"> 64.7573 </t>
  </si>
  <si>
    <t xml:space="preserve"> 2.4731 </t>
  </si>
  <si>
    <t xml:space="preserve"> 102193.958 </t>
  </si>
  <si>
    <t xml:space="preserve"> 93762.2069 </t>
  </si>
  <si>
    <t xml:space="preserve">F:\images\20210604\plaque 2/@5 Atrazine 0.625 mg_L+testo/A5_01.tif </t>
  </si>
  <si>
    <t xml:space="preserve"> 45660.7076 </t>
  </si>
  <si>
    <t xml:space="preserve"> 74.0317 </t>
  </si>
  <si>
    <t xml:space="preserve">F:\images\20210604\plaque 2/@5 Atrazine 0.625 mg_L+testo/A5_02.tif </t>
  </si>
  <si>
    <t xml:space="preserve"> 43324.6789 </t>
  </si>
  <si>
    <t xml:space="preserve"> 75.0754 </t>
  </si>
  <si>
    <t xml:space="preserve">F:\images\20210604\plaque 2/@5 Atrazine 0.625 mg_L+testo/A5_03.tif </t>
  </si>
  <si>
    <t xml:space="preserve"> 42243.1842 </t>
  </si>
  <si>
    <t xml:space="preserve"> 71.6334 </t>
  </si>
  <si>
    <t>F:\images\20210604\plaque 2/@5 Atrazine 0.625 mg_L+testo/B5_01- exclu.tif</t>
  </si>
  <si>
    <t xml:space="preserve">F:\images\20210604\plaque 2/@5 Atrazine 0.625 mg_L+testo/B5_02.tif </t>
  </si>
  <si>
    <t xml:space="preserve"> 3352.6337 </t>
  </si>
  <si>
    <t xml:space="preserve"> 65.8129 </t>
  </si>
  <si>
    <t>F:\images\20210604\plaque 2/@5 Atrazine 0.625 mg_L+testo/B5_03- exclu.tif</t>
  </si>
  <si>
    <t xml:space="preserve">F:\images\20210604\plaque 2/@5 Atrazine 0.625 mg_L+testo/C5_01.tif </t>
  </si>
  <si>
    <t xml:space="preserve"> 47737.1774 </t>
  </si>
  <si>
    <t xml:space="preserve"> 71.8768 </t>
  </si>
  <si>
    <t xml:space="preserve">F:\images\20210604\plaque 2/@5 Atrazine 0.625 mg_L+testo/C5_02.tif </t>
  </si>
  <si>
    <t xml:space="preserve"> 45141.5901 </t>
  </si>
  <si>
    <t xml:space="preserve"> 72.2444 </t>
  </si>
  <si>
    <t xml:space="preserve">F:\images\20210604\plaque 2/@5 Atrazine 0.625 mg_L+testo/C5_03.tif </t>
  </si>
  <si>
    <t xml:space="preserve"> 72.7904 </t>
  </si>
  <si>
    <t xml:space="preserve">F:\images\20210604\plaque 2/@5 Atrazine 0.625 mg_L+testo/D5_01.tif </t>
  </si>
  <si>
    <t xml:space="preserve"> 56107.9467 </t>
  </si>
  <si>
    <t xml:space="preserve"> 81.2271 </t>
  </si>
  <si>
    <t xml:space="preserve">F:\images\20210604\plaque 2/@5 Atrazine 0.625 mg_L+testo/D5_02.tif </t>
  </si>
  <si>
    <t xml:space="preserve"> 57838.3382 </t>
  </si>
  <si>
    <t xml:space="preserve"> 79.4693 </t>
  </si>
  <si>
    <t xml:space="preserve">F:\images\20210604\plaque 2/@5 Atrazine 0.625 mg_L+testo/D5_03.tif </t>
  </si>
  <si>
    <t xml:space="preserve"> 48602.3732 </t>
  </si>
  <si>
    <t xml:space="preserve"> 77.2991 </t>
  </si>
  <si>
    <t xml:space="preserve">F:\images\20210604\plaque 2/@5 Atrazine 0.625 mg_L+testo/E5_01.tif </t>
  </si>
  <si>
    <t xml:space="preserve"> 35775.8457 </t>
  </si>
  <si>
    <t xml:space="preserve"> 72.4299 </t>
  </si>
  <si>
    <t xml:space="preserve">F:\images\20210604\plaque 2/@5 Atrazine 0.625 mg_L+testo/E5_02.tif </t>
  </si>
  <si>
    <t xml:space="preserve"> 28270.2723 </t>
  </si>
  <si>
    <t xml:space="preserve"> 71.3902 </t>
  </si>
  <si>
    <t xml:space="preserve">F:\images\20210604\plaque 2/@5 Atrazine 0.625 mg_L+testo/E5_03.tif </t>
  </si>
  <si>
    <t xml:space="preserve"> 33937.3047 </t>
  </si>
  <si>
    <t xml:space="preserve"> 72.3901 </t>
  </si>
  <si>
    <t xml:space="preserve">F:\images\20210604\plaque 2/@5 Atrazine 0.625 mg_L+testo/F5_01.tif </t>
  </si>
  <si>
    <t xml:space="preserve"> 14946.2572 </t>
  </si>
  <si>
    <t xml:space="preserve"> 67.437 </t>
  </si>
  <si>
    <t xml:space="preserve">F:\images\20210604\plaque 2/@5 Atrazine 0.625 mg_L+testo/F5_02.tif </t>
  </si>
  <si>
    <t xml:space="preserve"> 17931.1826 </t>
  </si>
  <si>
    <t xml:space="preserve"> 67.8408 </t>
  </si>
  <si>
    <t xml:space="preserve">F:\images\20210604\plaque 2/@5 Atrazine 0.625 mg_L+testo/F5_03.tif </t>
  </si>
  <si>
    <t xml:space="preserve"> 19769.7237 </t>
  </si>
  <si>
    <t xml:space="preserve"> 68.4245 </t>
  </si>
  <si>
    <t xml:space="preserve">F:\images\20210604\plaque 2/@5 Atrazine 0.625 mg_L+testo/G5_01.tif </t>
  </si>
  <si>
    <t xml:space="preserve"> 65.1506 </t>
  </si>
  <si>
    <t xml:space="preserve">F:\images\20210604\plaque 2/@5 Atrazine 0.625 mg_L+testo/G5_02.tif </t>
  </si>
  <si>
    <t xml:space="preserve"> 12653.4884 </t>
  </si>
  <si>
    <t xml:space="preserve"> 64.8171 </t>
  </si>
  <si>
    <t xml:space="preserve">F:\images\20210604\plaque 2/@5 Atrazine 0.625 mg_L+testo/G5_03.tif </t>
  </si>
  <si>
    <t xml:space="preserve"> 65.855 </t>
  </si>
  <si>
    <t xml:space="preserve">F:\images\20210604\plaque 2/@5 Atrazine 0.625 mg_L+testo/H5_01.tif </t>
  </si>
  <si>
    <t xml:space="preserve"> 63.7781 </t>
  </si>
  <si>
    <t xml:space="preserve">F:\images\20210604\plaque 2/@5 Atrazine 0.625 mg_L+testo/H5_02.tif </t>
  </si>
  <si>
    <t xml:space="preserve"> 5104.6551 </t>
  </si>
  <si>
    <t xml:space="preserve"> 63.6102 </t>
  </si>
  <si>
    <t xml:space="preserve">F:\images\20210604\plaque 2/@5 Atrazine 0.625 mg_L+testo/H5_03.tif </t>
  </si>
  <si>
    <t xml:space="preserve"> 4499.0181 </t>
  </si>
  <si>
    <t xml:space="preserve"> 63.6106 </t>
  </si>
  <si>
    <t xml:space="preserve">F:\images\20210604\plaque 2/@5 Atrazine 0.625 mg_L+testo/ </t>
  </si>
  <si>
    <t xml:space="preserve"> 69.7768 </t>
  </si>
  <si>
    <t xml:space="preserve"> 5.3365 </t>
  </si>
  <si>
    <t xml:space="preserve"> 1967634.58 </t>
  </si>
  <si>
    <t xml:space="preserve"> 1483512.95 </t>
  </si>
  <si>
    <t xml:space="preserve">F:\images\20210604\plaque 2/@6  Atrazine 1.25 mg_L+testo/A6_01.tif </t>
  </si>
  <si>
    <t xml:space="preserve"> 41356.3585 </t>
  </si>
  <si>
    <t xml:space="preserve"> 69.9226 </t>
  </si>
  <si>
    <t xml:space="preserve">F:\images\20210604\plaque 2/@6  Atrazine 1.25 mg_L+testo/A6_02.tif </t>
  </si>
  <si>
    <t xml:space="preserve"> 41248.2091 </t>
  </si>
  <si>
    <t xml:space="preserve"> 68.6308 </t>
  </si>
  <si>
    <t xml:space="preserve">F:\images\20210604\plaque 2/@6  Atrazine 1.25 mg_L+testo/A6_03.tif </t>
  </si>
  <si>
    <t xml:space="preserve"> 45033.4406 </t>
  </si>
  <si>
    <t xml:space="preserve"> 70.9597 </t>
  </si>
  <si>
    <t xml:space="preserve">F:\images\20210604\plaque 2/@6  Atrazine 1.25 mg_L+testo/B6_01.tif </t>
  </si>
  <si>
    <t xml:space="preserve"> 13064.4564 </t>
  </si>
  <si>
    <t xml:space="preserve"> 65.1424 </t>
  </si>
  <si>
    <t xml:space="preserve">F:\images\20210604\plaque 2/@6  Atrazine 1.25 mg_L+testo/B6_02.tif </t>
  </si>
  <si>
    <t xml:space="preserve"> 8781.7372 </t>
  </si>
  <si>
    <t xml:space="preserve"> 64.165 </t>
  </si>
  <si>
    <t xml:space="preserve">F:\images\20210604\plaque 2/@6  Atrazine 1.25 mg_L+testo/B6_03.tif </t>
  </si>
  <si>
    <t xml:space="preserve"> 13626.8336 </t>
  </si>
  <si>
    <t xml:space="preserve"> 65.1063 </t>
  </si>
  <si>
    <t xml:space="preserve">F:\images\20210604\plaque 2/@6  Atrazine 1.25 mg_L+testo/C6_01.tif </t>
  </si>
  <si>
    <t xml:space="preserve"> 24074.0727 </t>
  </si>
  <si>
    <t xml:space="preserve"> 69.4079 </t>
  </si>
  <si>
    <t xml:space="preserve">F:\images\20210604\plaque 2/@6  Atrazine 1.25 mg_L+testo/C6_02.tif </t>
  </si>
  <si>
    <t xml:space="preserve"> 67.8126 </t>
  </si>
  <si>
    <t xml:space="preserve">F:\images\20210604\plaque 2/@6  Atrazine 1.25 mg_L+testo/C6_03.tif </t>
  </si>
  <si>
    <t xml:space="preserve"> 14318.9902 </t>
  </si>
  <si>
    <t xml:space="preserve"> 67.7462 </t>
  </si>
  <si>
    <t xml:space="preserve">F:\images\20210604\plaque 2/@6  Atrazine 1.25 mg_L+testo/D6_01.tif </t>
  </si>
  <si>
    <t xml:space="preserve"> 64.8854 </t>
  </si>
  <si>
    <t xml:space="preserve">F:\images\20210604\plaque 2/@6  Atrazine 1.25 mg_L+testo/D6_02.tif </t>
  </si>
  <si>
    <t xml:space="preserve"> 1860.1709 </t>
  </si>
  <si>
    <t xml:space="preserve"> 64.4419 </t>
  </si>
  <si>
    <t xml:space="preserve">F:\images\20210604\plaque 2/@6  Atrazine 1.25 mg_L+testo/D6_03.tif </t>
  </si>
  <si>
    <t xml:space="preserve"> 63.8704 </t>
  </si>
  <si>
    <t xml:space="preserve">F:\images\20210604\plaque 2/@6  Atrazine 1.25 mg_L+testo/E6_01.tif </t>
  </si>
  <si>
    <t xml:space="preserve"> 57492.2599 </t>
  </si>
  <si>
    <t xml:space="preserve"> 71.7923 </t>
  </si>
  <si>
    <t xml:space="preserve">F:\images\20210604\plaque 2/@6  Atrazine 1.25 mg_L+testo/E6_02.tif </t>
  </si>
  <si>
    <t xml:space="preserve"> 58508.865 </t>
  </si>
  <si>
    <t xml:space="preserve"> 71.4865 </t>
  </si>
  <si>
    <t xml:space="preserve">F:\images\20210604\plaque 2/@6  Atrazine 1.25 mg_L+testo/E6_03.tif </t>
  </si>
  <si>
    <t xml:space="preserve"> 55761.8684 </t>
  </si>
  <si>
    <t xml:space="preserve"> 72.2052 </t>
  </si>
  <si>
    <t xml:space="preserve">F:\images\20210604\plaque 2/@6  Atrazine 1.25 mg_L+testo/F6_01.tif </t>
  </si>
  <si>
    <t xml:space="preserve"> 7527.2033 </t>
  </si>
  <si>
    <t xml:space="preserve"> 67.0632 </t>
  </si>
  <si>
    <t xml:space="preserve">F:\images\20210604\plaque 2/@6  Atrazine 1.25 mg_L+testo/F6_02.tif </t>
  </si>
  <si>
    <t xml:space="preserve"> 6597.1179 </t>
  </si>
  <si>
    <t xml:space="preserve"> 67.882 </t>
  </si>
  <si>
    <t xml:space="preserve">F:\images\20210604\plaque 2/@6  Atrazine 1.25 mg_L+testo/F6_03.tif </t>
  </si>
  <si>
    <t xml:space="preserve"> 7635.3528 </t>
  </si>
  <si>
    <t xml:space="preserve"> 66.0227 </t>
  </si>
  <si>
    <t xml:space="preserve">F:\images\20210604\plaque 2/@6  Atrazine 1.25 mg_L+testo/G6_01.tif </t>
  </si>
  <si>
    <t xml:space="preserve"> 21673.1544 </t>
  </si>
  <si>
    <t xml:space="preserve"> 68.1457 </t>
  </si>
  <si>
    <t xml:space="preserve">F:\images\20210604\plaque 2/@6  Atrazine 1.25 mg_L+testo/G6_02.tif </t>
  </si>
  <si>
    <t xml:space="preserve"> 24030.8129 </t>
  </si>
  <si>
    <t xml:space="preserve"> 67.5302 </t>
  </si>
  <si>
    <t xml:space="preserve">F:\images\20210604\plaque 2/@6  Atrazine 1.25 mg_L+testo/G6_03.tif </t>
  </si>
  <si>
    <t xml:space="preserve"> 24679.7098 </t>
  </si>
  <si>
    <t xml:space="preserve"> 67.7476 </t>
  </si>
  <si>
    <t xml:space="preserve">F:\images\20210604\plaque 2/@6  Atrazine 1.25 mg_L+testo/H6_01.tif </t>
  </si>
  <si>
    <t xml:space="preserve"> 51219.5905 </t>
  </si>
  <si>
    <t xml:space="preserve"> 87.0498 </t>
  </si>
  <si>
    <t xml:space="preserve">F:\images\20210604\plaque 2/@6  Atrazine 1.25 mg_L+testo/H6_02.tif </t>
  </si>
  <si>
    <t xml:space="preserve"> 50462.5442 </t>
  </si>
  <si>
    <t xml:space="preserve"> 82.5705 </t>
  </si>
  <si>
    <t xml:space="preserve">F:\images\20210604\plaque 2/@6  Atrazine 1.25 mg_L+testo/H6_03.tif </t>
  </si>
  <si>
    <t xml:space="preserve"> 50202.9854 </t>
  </si>
  <si>
    <t xml:space="preserve"> 81.3309 </t>
  </si>
  <si>
    <t xml:space="preserve">F:\images\20210604\plaque 2/@6  Atrazine 1.25 mg_L+testo/ </t>
  </si>
  <si>
    <t xml:space="preserve"> 69.7049 </t>
  </si>
  <si>
    <t xml:space="preserve"> 5.9639 </t>
  </si>
  <si>
    <t xml:space="preserve"> 1958410.25 </t>
  </si>
  <si>
    <t xml:space="preserve"> 1550206.4 </t>
  </si>
  <si>
    <t xml:space="preserve">F:\images\20210604\plaque 2/@7 Atrazine 2.5 mg_L+testo/A7_01.tif </t>
  </si>
  <si>
    <t xml:space="preserve"> 60693.4843 </t>
  </si>
  <si>
    <t xml:space="preserve"> 75.6151 </t>
  </si>
  <si>
    <t xml:space="preserve">F:\images\20210604\plaque 2/@7 Atrazine 2.5 mg_L+testo/A7_02.tif </t>
  </si>
  <si>
    <t xml:space="preserve"> 59265.9113 </t>
  </si>
  <si>
    <t xml:space="preserve"> 74.0493 </t>
  </si>
  <si>
    <t xml:space="preserve">F:\images\20210604\plaque 2/@7 Atrazine 2.5 mg_L+testo/A7_03.tif </t>
  </si>
  <si>
    <t xml:space="preserve"> 63483.7407 </t>
  </si>
  <si>
    <t xml:space="preserve"> 74.6903 </t>
  </si>
  <si>
    <t xml:space="preserve">F:\images\20210604\plaque 2/@7 Atrazine 2.5 mg_L+testo/B7_01.tif </t>
  </si>
  <si>
    <t xml:space="preserve"> 22430.2007 </t>
  </si>
  <si>
    <t xml:space="preserve"> 68.2768 </t>
  </si>
  <si>
    <t xml:space="preserve">F:\images\20210604\plaque 2/@7 Atrazine 2.5 mg_L+testo/B7_02.tif </t>
  </si>
  <si>
    <t xml:space="preserve"> 24398.5211 </t>
  </si>
  <si>
    <t xml:space="preserve"> 69.8165 </t>
  </si>
  <si>
    <t xml:space="preserve">F:\images\20210604\plaque 2/@7 Atrazine 2.5 mg_L+testo/B7_03.tif </t>
  </si>
  <si>
    <t xml:space="preserve"> 26972.4786 </t>
  </si>
  <si>
    <t xml:space="preserve"> 69.4836 </t>
  </si>
  <si>
    <t xml:space="preserve">F:\images\20210604\plaque 2/@7 Atrazine 2.5 mg_L+testo/C7_01.tif </t>
  </si>
  <si>
    <t xml:space="preserve"> 25804.4643 </t>
  </si>
  <si>
    <t xml:space="preserve"> 74.9044 </t>
  </si>
  <si>
    <t xml:space="preserve">F:\images\20210604\plaque 2/@7 Atrazine 2.5 mg_L+testo/C7_02.tif </t>
  </si>
  <si>
    <t xml:space="preserve"> 29308.5072 </t>
  </si>
  <si>
    <t xml:space="preserve"> 72.9417 </t>
  </si>
  <si>
    <t xml:space="preserve">F:\images\20210604\plaque 2/@7 Atrazine 2.5 mg_L+testo/C7_03.tif </t>
  </si>
  <si>
    <t xml:space="preserve"> 32358.3224 </t>
  </si>
  <si>
    <t xml:space="preserve"> 73.1718 </t>
  </si>
  <si>
    <t xml:space="preserve">F:\images\20210604\plaque 2/@7 Atrazine 2.5 mg_L+testo/D7_01.tif </t>
  </si>
  <si>
    <t xml:space="preserve"> 10295.8298 </t>
  </si>
  <si>
    <t xml:space="preserve"> 67.8403 </t>
  </si>
  <si>
    <t xml:space="preserve">F:\images\20210604\plaque 2/@7 Atrazine 2.5 mg_L+testo/D7_02.tif </t>
  </si>
  <si>
    <t xml:space="preserve"> 7137.8652 </t>
  </si>
  <si>
    <t xml:space="preserve"> 66.3394 </t>
  </si>
  <si>
    <t xml:space="preserve">F:\images\20210604\plaque 2/@7 Atrazine 2.5 mg_L+testo/D7_03.tif </t>
  </si>
  <si>
    <t xml:space="preserve"> 8154.4703 </t>
  </si>
  <si>
    <t xml:space="preserve"> 66.7082 </t>
  </si>
  <si>
    <t xml:space="preserve">F:\images\20210604\plaque 2/@7 Atrazine 2.5 mg_L+testo/E7_01.tif </t>
  </si>
  <si>
    <t xml:space="preserve"> 5731.9221 </t>
  </si>
  <si>
    <t xml:space="preserve"> 66.6226 </t>
  </si>
  <si>
    <t xml:space="preserve">F:\images\20210604\plaque 2/@7 Atrazine 2.5 mg_L+testo/E7_02.tif </t>
  </si>
  <si>
    <t xml:space="preserve"> 65.0065 </t>
  </si>
  <si>
    <t xml:space="preserve">F:\images\20210604\plaque 2/@7 Atrazine 2.5 mg_L+testo/E7_03.tif </t>
  </si>
  <si>
    <t xml:space="preserve"> 64.1206 </t>
  </si>
  <si>
    <t xml:space="preserve">F:\images\20210604\plaque 2/@7 Atrazine 2.5 mg_L+testo/F7_01.tif </t>
  </si>
  <si>
    <t xml:space="preserve"> 70.0755 </t>
  </si>
  <si>
    <t xml:space="preserve">F:\images\20210604\plaque 2/@7 Atrazine 2.5 mg_L+testo/F7_02.tif </t>
  </si>
  <si>
    <t xml:space="preserve"> 22213.9018 </t>
  </si>
  <si>
    <t xml:space="preserve"> 70.2405 </t>
  </si>
  <si>
    <t xml:space="preserve">F:\images\20210604\plaque 2/@7 Atrazine 2.5 mg_L+testo/F7_03.tif </t>
  </si>
  <si>
    <t xml:space="preserve"> 25069.0479 </t>
  </si>
  <si>
    <t xml:space="preserve"> 69.6022 </t>
  </si>
  <si>
    <t xml:space="preserve">F:\images\20210604\plaque 2/@7 Atrazine 2.5 mg_L+testo/G7_01.tif </t>
  </si>
  <si>
    <t xml:space="preserve"> 49208.0103 </t>
  </si>
  <si>
    <t xml:space="preserve"> 72.4611 </t>
  </si>
  <si>
    <t xml:space="preserve">F:\images\20210604\plaque 2/@7 Atrazine 2.5 mg_L+testo/G7_02.tif </t>
  </si>
  <si>
    <t xml:space="preserve"> 40318.1236 </t>
  </si>
  <si>
    <t xml:space="preserve"> 70.0848 </t>
  </si>
  <si>
    <t xml:space="preserve">F:\images\20210604\plaque 2/@7 Atrazine 2.5 mg_L+testo/G7_03.tif </t>
  </si>
  <si>
    <t xml:space="preserve"> 41745.6966 </t>
  </si>
  <si>
    <t xml:space="preserve"> 70.828 </t>
  </si>
  <si>
    <t xml:space="preserve">F:\images\20210604\plaque 2/@7 Atrazine 2.5 mg_L+testo/H7_01.tif </t>
  </si>
  <si>
    <t xml:space="preserve"> 34542.9417 </t>
  </si>
  <si>
    <t xml:space="preserve"> 70.8654 </t>
  </si>
  <si>
    <t xml:space="preserve">F:\images\20210604\plaque 2/@7 Atrazine 2.5 mg_L+testo/H7_02.tif </t>
  </si>
  <si>
    <t xml:space="preserve"> 32444.8419 </t>
  </si>
  <si>
    <t xml:space="preserve"> 70.636 </t>
  </si>
  <si>
    <t xml:space="preserve">F:\images\20210604\plaque 2/@7 Atrazine 2.5 mg_L+testo/H7_03.tif </t>
  </si>
  <si>
    <t xml:space="preserve"> 30043.9236 </t>
  </si>
  <si>
    <t xml:space="preserve"> 69.7459 </t>
  </si>
  <si>
    <t xml:space="preserve">F:\images\20210604\plaque 2/@7 Atrazine 2.5 mg_L+testo/ </t>
  </si>
  <si>
    <t xml:space="preserve"> 70.1719 </t>
  </si>
  <si>
    <t xml:space="preserve"> 3.1155 </t>
  </si>
  <si>
    <t xml:space="preserve"> 2042973.21 </t>
  </si>
  <si>
    <t xml:space="preserve"> 1318503.78 </t>
  </si>
  <si>
    <t xml:space="preserve">F:\images\20210604\plaque 2/@8 Atrazine 5 mg_L+testo/A8_01.tif </t>
  </si>
  <si>
    <t xml:space="preserve"> 20786.3287 </t>
  </si>
  <si>
    <t xml:space="preserve"> 76.8699 </t>
  </si>
  <si>
    <t xml:space="preserve">F:\images\20210604\plaque 2/@8 Atrazine 5 mg_L+testo/A8_02.tif </t>
  </si>
  <si>
    <t xml:space="preserve"> 28854.2794 </t>
  </si>
  <si>
    <t xml:space="preserve"> 73.1664 </t>
  </si>
  <si>
    <t xml:space="preserve">F:\images\20210604\plaque 2/@8 Atrazine 5 mg_L+testo/A8_03.tif </t>
  </si>
  <si>
    <t xml:space="preserve"> 12783.2677 </t>
  </si>
  <si>
    <t xml:space="preserve"> 72.6853 </t>
  </si>
  <si>
    <t xml:space="preserve">F:\images\20210604\plaque 2/@8 Atrazine 5 mg_L+testo/B8_01.tif </t>
  </si>
  <si>
    <t xml:space="preserve"> 24182.2222 </t>
  </si>
  <si>
    <t xml:space="preserve"> 67.8247 </t>
  </si>
  <si>
    <t xml:space="preserve">F:\images\20210604\plaque 2/@8 Atrazine 5 mg_L+testo/B8_02.tif </t>
  </si>
  <si>
    <t xml:space="preserve"> 21197.2967 </t>
  </si>
  <si>
    <t xml:space="preserve"> 67.7296 </t>
  </si>
  <si>
    <t xml:space="preserve">F:\images\20210604\plaque 2/@8 Atrazine 5 mg_L+testo/B8_03.tif </t>
  </si>
  <si>
    <t xml:space="preserve"> 22646.4997 </t>
  </si>
  <si>
    <t xml:space="preserve"> 67.0038 </t>
  </si>
  <si>
    <t xml:space="preserve">F:\images\20210604\plaque 2/@8 Atrazine 5 mg_L+testo/C8_01.tif </t>
  </si>
  <si>
    <t xml:space="preserve"> 26799.4394 </t>
  </si>
  <si>
    <t xml:space="preserve"> 73.1146 </t>
  </si>
  <si>
    <t>F:\images\20210604\plaque 2/@8 Atrazine 5 mg_L+testo/C8_02- exclu.tif</t>
  </si>
  <si>
    <t xml:space="preserve">F:\images\20210604\plaque 2/@8 Atrazine 5 mg_L+testo/C8_03.tif </t>
  </si>
  <si>
    <t xml:space="preserve"> 29070.5784 </t>
  </si>
  <si>
    <t xml:space="preserve"> 66.7857 </t>
  </si>
  <si>
    <t xml:space="preserve">F:\images\20210604\plaque 2/@8 Atrazine 5 mg_L+testo/D8_01.tif </t>
  </si>
  <si>
    <t xml:space="preserve"> 14686.6985 </t>
  </si>
  <si>
    <t xml:space="preserve"> 87.0368 </t>
  </si>
  <si>
    <t xml:space="preserve">F:\images\20210604\plaque 2/@8 Atrazine 5 mg_L+testo/D8_02.tif </t>
  </si>
  <si>
    <t xml:space="preserve"> 16395.4601 </t>
  </si>
  <si>
    <t xml:space="preserve"> 96.2071 </t>
  </si>
  <si>
    <t xml:space="preserve">F:\images\20210604\plaque 2/@8 Atrazine 5 mg_L+testo/D8_03.tif </t>
  </si>
  <si>
    <t xml:space="preserve"> 63.2797 </t>
  </si>
  <si>
    <t xml:space="preserve">F:\images\20210604\plaque 2/@8 Atrazine 5 mg_L+testo/E8_01.tif </t>
  </si>
  <si>
    <t xml:space="preserve"> 29741.1051 </t>
  </si>
  <si>
    <t xml:space="preserve"> 78.8538 </t>
  </si>
  <si>
    <t>F:\images\20210604\plaque 2/@8 Atrazine 5 mg_L+testo/E8_02- exclu.tif</t>
  </si>
  <si>
    <t>F:\images\20210604\plaque 2/@8 Atrazine 5 mg_L+testo/E8_03- exclu.tif</t>
  </si>
  <si>
    <t xml:space="preserve">F:\images\20210604\plaque 2/@8 Atrazine 5 mg_L+testo/F8_01.tif </t>
  </si>
  <si>
    <t xml:space="preserve"> 54961.5623 </t>
  </si>
  <si>
    <t xml:space="preserve"> 73.2944 </t>
  </si>
  <si>
    <t xml:space="preserve">F:\images\20210604\plaque 2/@8 Atrazine 5 mg_L+testo/F8_02.tif </t>
  </si>
  <si>
    <t xml:space="preserve"> 57470.63 </t>
  </si>
  <si>
    <t xml:space="preserve"> 79.0542 </t>
  </si>
  <si>
    <t xml:space="preserve">F:\images\20210604\plaque 2/@8 Atrazine 5 mg_L+testo/F8_03.tif </t>
  </si>
  <si>
    <t xml:space="preserve"> 63375.5913 </t>
  </si>
  <si>
    <t xml:space="preserve"> 74.9829 </t>
  </si>
  <si>
    <t xml:space="preserve">F:\images\20210604\plaque 2/@8 Atrazine 5 mg_L+testo/G8_01.tif </t>
  </si>
  <si>
    <t xml:space="preserve"> 24203.8521 </t>
  </si>
  <si>
    <t xml:space="preserve"> 75.3146 </t>
  </si>
  <si>
    <t xml:space="preserve">F:\images\20210604\plaque 2/@8 Atrazine 5 mg_L+testo/G8_02.tif </t>
  </si>
  <si>
    <t xml:space="preserve"> 24420.151 </t>
  </si>
  <si>
    <t xml:space="preserve"> 74.9929 </t>
  </si>
  <si>
    <t xml:space="preserve">F:\images\20210604\plaque 2/@8 Atrazine 5 mg_L+testo/G8_03.tif </t>
  </si>
  <si>
    <t xml:space="preserve"> 24441.7809 </t>
  </si>
  <si>
    <t xml:space="preserve"> 73.346 </t>
  </si>
  <si>
    <t xml:space="preserve">F:\images\20210604\plaque 2/@8 Atrazine 5 mg_L+testo/H8_01.tif </t>
  </si>
  <si>
    <t xml:space="preserve"> 31709.4255 </t>
  </si>
  <si>
    <t xml:space="preserve"> 68.6521 </t>
  </si>
  <si>
    <t xml:space="preserve">F:\images\20210604\plaque 2/@8 Atrazine 5 mg_L+testo/H8_02.tif </t>
  </si>
  <si>
    <t xml:space="preserve"> 32552.9914 </t>
  </si>
  <si>
    <t xml:space="preserve"> 68.9934 </t>
  </si>
  <si>
    <t xml:space="preserve">F:\images\20210604\plaque 2/@8 Atrazine 5 mg_L+testo/H8_03.tif </t>
  </si>
  <si>
    <t xml:space="preserve"> 24744.5995 </t>
  </si>
  <si>
    <t xml:space="preserve"> 70.8304 </t>
  </si>
  <si>
    <t xml:space="preserve">F:\images\20210604\plaque 2/@8 Atrazine 5 mg_L+testo/ </t>
  </si>
  <si>
    <t xml:space="preserve"> 72.7006 </t>
  </si>
  <si>
    <t xml:space="preserve"> 7.5509 </t>
  </si>
  <si>
    <t xml:space="preserve"> 1838576.12 </t>
  </si>
  <si>
    <t xml:space="preserve"> 1208538.83 </t>
  </si>
  <si>
    <t xml:space="preserve">F:\images\20210604\plaque 2/@9 Atrazine 10 mg_L+testo/A9_01.tif </t>
  </si>
  <si>
    <t xml:space="preserve"> 48039.996 </t>
  </si>
  <si>
    <t xml:space="preserve"> 77.5367 </t>
  </si>
  <si>
    <t xml:space="preserve">F:\images\20210604\plaque 2/@9 Atrazine 10 mg_L+testo/A9_02.tif </t>
  </si>
  <si>
    <t xml:space="preserve"> 43130.0099 </t>
  </si>
  <si>
    <t xml:space="preserve"> 77.9112 </t>
  </si>
  <si>
    <t xml:space="preserve">F:\images\20210604\plaque 2/@9 Atrazine 10 mg_L+testo/A9_03.tif </t>
  </si>
  <si>
    <t xml:space="preserve"> 42848.8213 </t>
  </si>
  <si>
    <t xml:space="preserve"> 77.4846 </t>
  </si>
  <si>
    <t xml:space="preserve">F:\images\20210604\plaque 2/@9 Atrazine 10 mg_L+testo/B9_01.tif </t>
  </si>
  <si>
    <t xml:space="preserve"> 36381.4828 </t>
  </si>
  <si>
    <t xml:space="preserve"> 71.8341 </t>
  </si>
  <si>
    <t xml:space="preserve">F:\images\20210604\plaque 2/@9 Atrazine 10 mg_L+testo/B9_02.tif </t>
  </si>
  <si>
    <t xml:space="preserve"> 39193.3691 </t>
  </si>
  <si>
    <t xml:space="preserve"> 71.1032 </t>
  </si>
  <si>
    <t xml:space="preserve">F:\images\20210604\plaque 2/@9 Atrazine 10 mg_L+testo/B9_03.tif </t>
  </si>
  <si>
    <t xml:space="preserve"> 37052.0095 </t>
  </si>
  <si>
    <t xml:space="preserve"> 74.0362 </t>
  </si>
  <si>
    <t xml:space="preserve">F:\images\20210604\plaque 2/@9 Atrazine 10 mg_L+testo/C9_01.tif </t>
  </si>
  <si>
    <t xml:space="preserve"> 74.9565 </t>
  </si>
  <si>
    <t xml:space="preserve">F:\images\20210604\plaque 2/@9 Atrazine 10 mg_L+testo/C9_02.tif </t>
  </si>
  <si>
    <t xml:space="preserve"> 38760.7712 </t>
  </si>
  <si>
    <t xml:space="preserve"> 77.7182 </t>
  </si>
  <si>
    <t xml:space="preserve">F:\images\20210604\plaque 2/@9 Atrazine 10 mg_L+testo/C9_03.tif </t>
  </si>
  <si>
    <t xml:space="preserve"> 38782.4011 </t>
  </si>
  <si>
    <t xml:space="preserve"> 77.0402 </t>
  </si>
  <si>
    <t xml:space="preserve">F:\images\20210604\plaque 2/@9 Atrazine 10 mg_L+testo/D9_01.tif </t>
  </si>
  <si>
    <t xml:space="preserve"> 32271.8028 </t>
  </si>
  <si>
    <t xml:space="preserve"> 79.5034 </t>
  </si>
  <si>
    <t xml:space="preserve">F:\images\20210604\plaque 2/@9 Atrazine 10 mg_L+testo/D9_02.tif </t>
  </si>
  <si>
    <t xml:space="preserve"> 41615.9173 </t>
  </si>
  <si>
    <t xml:space="preserve"> 75.0541 </t>
  </si>
  <si>
    <t xml:space="preserve">F:\images\20210604\plaque 2/@9 Atrazine 10 mg_L+testo/D9_03.tif </t>
  </si>
  <si>
    <t xml:space="preserve"> 44773.8819 </t>
  </si>
  <si>
    <t xml:space="preserve"> 76.1304 </t>
  </si>
  <si>
    <t xml:space="preserve">F:\images\20210604\plaque 2/@9 Atrazine 10 mg_L+testo/E9_01.tif </t>
  </si>
  <si>
    <t xml:space="preserve"> 47758.8073 </t>
  </si>
  <si>
    <t xml:space="preserve"> 78.5371 </t>
  </si>
  <si>
    <t xml:space="preserve">F:\images\20210604\plaque 2/@9 Atrazine 10 mg_L+testo/E9_02.tif </t>
  </si>
  <si>
    <t xml:space="preserve"> 50051.5762 </t>
  </si>
  <si>
    <t xml:space="preserve"> 76.5782 </t>
  </si>
  <si>
    <t xml:space="preserve">F:\images\20210604\plaque 2/@9 Atrazine 10 mg_L+testo/E9_03.tif </t>
  </si>
  <si>
    <t xml:space="preserve"> 49424.3092 </t>
  </si>
  <si>
    <t xml:space="preserve"> 76.5033 </t>
  </si>
  <si>
    <t xml:space="preserve">F:\images\20210604\plaque 2/@9 Atrazine 10 mg_L+testo/F9_01.tif </t>
  </si>
  <si>
    <t xml:space="preserve"> 23727.9944 </t>
  </si>
  <si>
    <t xml:space="preserve"> 71.7156 </t>
  </si>
  <si>
    <t xml:space="preserve">F:\images\20210604\plaque 2/@9 Atrazine 10 mg_L+testo/F9_02.tif </t>
  </si>
  <si>
    <t xml:space="preserve"> 25912.6138 </t>
  </si>
  <si>
    <t xml:space="preserve"> 72.475 </t>
  </si>
  <si>
    <t xml:space="preserve">F:\images\20210604\plaque 2/@9 Atrazine 10 mg_L+testo/F9_03.tif </t>
  </si>
  <si>
    <t xml:space="preserve"> 13410.5347 </t>
  </si>
  <si>
    <t xml:space="preserve"> 66.0032 </t>
  </si>
  <si>
    <t xml:space="preserve">F:\images\20210604\plaque 2/@9 Atrazine 10 mg_L+testo/G9_01.tif </t>
  </si>
  <si>
    <t xml:space="preserve"> 53923.3273 </t>
  </si>
  <si>
    <t xml:space="preserve"> 76.1392 </t>
  </si>
  <si>
    <t xml:space="preserve">F:\images\20210604\plaque 2/@9 Atrazine 10 mg_L+testo/G9_02.tif </t>
  </si>
  <si>
    <t xml:space="preserve"> 50397.6545 </t>
  </si>
  <si>
    <t xml:space="preserve"> 75.6901 </t>
  </si>
  <si>
    <t xml:space="preserve">F:\images\20210604\plaque 2/@9 Atrazine 10 mg_L+testo/G9_03.tif </t>
  </si>
  <si>
    <t xml:space="preserve"> 50916.772 </t>
  </si>
  <si>
    <t xml:space="preserve"> 73.7124 </t>
  </si>
  <si>
    <t xml:space="preserve">F:\images\20210604\plaque 2/@9 Atrazine 10 mg_L+testo/H9_01.tif </t>
  </si>
  <si>
    <t xml:space="preserve"> 25242.087 </t>
  </si>
  <si>
    <t xml:space="preserve"> 83.048 </t>
  </si>
  <si>
    <t xml:space="preserve">F:\images\20210604\plaque 2/@9 Atrazine 10 mg_L+testo/H9_02.tif </t>
  </si>
  <si>
    <t xml:space="preserve"> 25999.1333 </t>
  </si>
  <si>
    <t xml:space="preserve"> 81.8453 </t>
  </si>
  <si>
    <t xml:space="preserve">F:\images\20210604\plaque 2/@9 Atrazine 10 mg_L+testo/H9_03.tif </t>
  </si>
  <si>
    <t xml:space="preserve"> 26648.0302 </t>
  </si>
  <si>
    <t xml:space="preserve"> 82.3474 </t>
  </si>
  <si>
    <t xml:space="preserve">F:\images\20210604\plaque 2/@9 Atrazine 10 mg_L+testo/ </t>
  </si>
  <si>
    <t xml:space="preserve"> 76.0376 </t>
  </si>
  <si>
    <t xml:space="preserve"> 3.8386 </t>
  </si>
  <si>
    <t xml:space="preserve"> 2944245.96 </t>
  </si>
  <si>
    <t xml:space="preserve"> 815294.025 </t>
  </si>
  <si>
    <t>Colonne1</t>
  </si>
  <si>
    <t>01 Evian + DMSO</t>
  </si>
  <si>
    <t>02 EE2 33.8 ng_L</t>
  </si>
  <si>
    <t>03 EE2 50.6 ng_L</t>
  </si>
  <si>
    <t>04 EE2 76 ng_L</t>
  </si>
  <si>
    <t>05 EE2 114 ng_L</t>
  </si>
  <si>
    <t>06 EE2 170.9 ng_L</t>
  </si>
  <si>
    <t>07 EE2 488 ng_L</t>
  </si>
  <si>
    <t>08 Atrazine 0.625 mg_L</t>
  </si>
  <si>
    <t>09 Atrazine 1.25 mg_L</t>
  </si>
  <si>
    <t>10 Atrazine 2.5 mg_L</t>
  </si>
  <si>
    <t>11 Atrazine 5 mg_L</t>
  </si>
  <si>
    <t>12 Atrazine 10 mg_L</t>
  </si>
  <si>
    <t>1 TESTO 30</t>
  </si>
  <si>
    <t>2 testo 30</t>
  </si>
  <si>
    <t>3 testo +ee2</t>
  </si>
  <si>
    <t>4 testo +fad</t>
  </si>
  <si>
    <t>5 Atrazine 0.625 mg_L+testo</t>
  </si>
  <si>
    <t>6  Atrazine 1.25 mg_L+testo</t>
  </si>
  <si>
    <t>7 Atrazine 2.5 mg_L+testo</t>
  </si>
  <si>
    <t>8 Atrazine 5 mg_L+testo</t>
  </si>
  <si>
    <t>9 Atrazine 10 mg_L+testo</t>
  </si>
  <si>
    <t>B</t>
  </si>
  <si>
    <t>C</t>
  </si>
  <si>
    <t>D</t>
  </si>
  <si>
    <t>E</t>
  </si>
  <si>
    <t>F</t>
  </si>
  <si>
    <t>G</t>
  </si>
  <si>
    <t>H</t>
  </si>
  <si>
    <t>Atrazine-0,625mg/L + Testostérone</t>
  </si>
  <si>
    <t>Atrazine-1,25mg/L + Testostérone</t>
  </si>
  <si>
    <t>Atrazine-2,5mg/L + Testostérone</t>
  </si>
  <si>
    <t>Atrazine-5mg/L + Testostérone</t>
  </si>
  <si>
    <t>Atrazine-10mg/L + Testostérone</t>
  </si>
  <si>
    <t>Krustall Wallis</t>
  </si>
  <si>
    <t xml:space="preserve">F:\images\20210609\plaque 1/@01 Evian + DMSO/A1_01.tif </t>
  </si>
  <si>
    <t xml:space="preserve"> 66.432 </t>
  </si>
  <si>
    <t xml:space="preserve">F:\images\20210609\plaque 1/@01 Evian + DMSO/A1_02.tif </t>
  </si>
  <si>
    <t xml:space="preserve"> 8219.36 </t>
  </si>
  <si>
    <t xml:space="preserve"> 73.4684 </t>
  </si>
  <si>
    <t xml:space="preserve">F:\images\20210609\plaque 1/@01 Evian + DMSO/A1_03.tif </t>
  </si>
  <si>
    <t xml:space="preserve"> 5623.7726 </t>
  </si>
  <si>
    <t xml:space="preserve">F:\images\20210609\plaque 1/@01 Evian + DMSO/B1_01.tif </t>
  </si>
  <si>
    <t xml:space="preserve"> 4217.8295 </t>
  </si>
  <si>
    <t xml:space="preserve"> 70.2462 </t>
  </si>
  <si>
    <t xml:space="preserve">F:\images\20210609\plaque 1/@01 Evian + DMSO/B1_02.tif </t>
  </si>
  <si>
    <t xml:space="preserve"> 5039.7654 </t>
  </si>
  <si>
    <t xml:space="preserve"> 72.0086 </t>
  </si>
  <si>
    <t xml:space="preserve">F:\images\20210609\plaque 1/@01 Evian + DMSO/B1_03.tif </t>
  </si>
  <si>
    <t xml:space="preserve"> 5407.4737 </t>
  </si>
  <si>
    <t xml:space="preserve"> 72.708 </t>
  </si>
  <si>
    <t xml:space="preserve">F:\images\20210609\plaque 1/@01 Evian + DMSO/C1_01.tif </t>
  </si>
  <si>
    <t xml:space="preserve">F:\images\20210609\plaque 1/@01 Evian + DMSO/C1_02.tif </t>
  </si>
  <si>
    <t xml:space="preserve"> 63.6111 </t>
  </si>
  <si>
    <t xml:space="preserve">F:\images\20210609\plaque 1/@01 Evian + DMSO/C1_03.tif </t>
  </si>
  <si>
    <t xml:space="preserve"> 64.8897 </t>
  </si>
  <si>
    <t xml:space="preserve">F:\images\20210609\plaque 1/@01 Evian + DMSO/D1_01.tif </t>
  </si>
  <si>
    <t xml:space="preserve"> 5342.584 </t>
  </si>
  <si>
    <t xml:space="preserve"> 67.5223 </t>
  </si>
  <si>
    <t xml:space="preserve">F:\images\20210609\plaque 1/@01 Evian + DMSO/D1_02.tif </t>
  </si>
  <si>
    <t xml:space="preserve"> 66.9657 </t>
  </si>
  <si>
    <t xml:space="preserve">F:\images\20210609\plaque 1/@01 Evian + DMSO/D1_03.tif </t>
  </si>
  <si>
    <t xml:space="preserve"> 3266.1141 </t>
  </si>
  <si>
    <t xml:space="preserve"> 66.4503 </t>
  </si>
  <si>
    <t xml:space="preserve">F:\images\20210609\plaque 1/@01 Evian + DMSO/E1_01.tif </t>
  </si>
  <si>
    <t xml:space="preserve"> 70.1604 </t>
  </si>
  <si>
    <t xml:space="preserve">F:\images\20210609\plaque 1/@01 Evian + DMSO/E1_02.tif </t>
  </si>
  <si>
    <t xml:space="preserve"> 5256.0644 </t>
  </si>
  <si>
    <t xml:space="preserve"> 70.8148 </t>
  </si>
  <si>
    <t xml:space="preserve">F:\images\20210609\plaque 1/@01 Evian + DMSO/E1_03.tif </t>
  </si>
  <si>
    <t xml:space="preserve"> 62.7429 </t>
  </si>
  <si>
    <t xml:space="preserve">F:\images\20210609\plaque 1/@01 Evian + DMSO/F1_01.tif </t>
  </si>
  <si>
    <t xml:space="preserve"> 63.7255 </t>
  </si>
  <si>
    <t xml:space="preserve">F:\images\20210609\plaque 1/@01 Evian + DMSO/F1_02.tif </t>
  </si>
  <si>
    <t xml:space="preserve"> 61.5 </t>
  </si>
  <si>
    <t xml:space="preserve">F:\images\20210609\plaque 1/@01 Evian + DMSO/F1_03.tif </t>
  </si>
  <si>
    <t xml:space="preserve"> 1297.7937 </t>
  </si>
  <si>
    <t xml:space="preserve"> 64.7167 </t>
  </si>
  <si>
    <t xml:space="preserve">F:\images\20210609\plaque 1/@01 Evian + DMSO/G1_01.tif </t>
  </si>
  <si>
    <t xml:space="preserve"> 994.9752 </t>
  </si>
  <si>
    <t xml:space="preserve"> 65.3913 </t>
  </si>
  <si>
    <t xml:space="preserve">F:\images\20210609\plaque 1/@01 Evian + DMSO/G1_02.tif </t>
  </si>
  <si>
    <t xml:space="preserve"> 3741.9718 </t>
  </si>
  <si>
    <t xml:space="preserve"> 68.578 </t>
  </si>
  <si>
    <t xml:space="preserve">F:\images\20210609\plaque 1/@01 Evian + DMSO/G1_03.tif </t>
  </si>
  <si>
    <t xml:space="preserve"> 1492.4627 </t>
  </si>
  <si>
    <t xml:space="preserve"> 63.8841 </t>
  </si>
  <si>
    <t xml:space="preserve">F:\images\20210609\plaque 1/@01 Evian + DMSO/H1_01.tif </t>
  </si>
  <si>
    <t xml:space="preserve"> 62.7143 </t>
  </si>
  <si>
    <t xml:space="preserve">F:\images\20210609\plaque 1/@01 Evian + DMSO/H1_02.tif </t>
  </si>
  <si>
    <t xml:space="preserve"> 65.4 </t>
  </si>
  <si>
    <t xml:space="preserve">F:\images\20210609\plaque 1/@01 Evian + DMSO/H1_03.tif </t>
  </si>
  <si>
    <t xml:space="preserve"> 65.625 </t>
  </si>
  <si>
    <t xml:space="preserve">F:\images\20210609\plaque 1/@01 Evian + DMSO/ </t>
  </si>
  <si>
    <t xml:space="preserve"> 67.0638 </t>
  </si>
  <si>
    <t xml:space="preserve"> 3.3862 </t>
  </si>
  <si>
    <t xml:space="preserve"> 196271.417 </t>
  </si>
  <si>
    <t xml:space="preserve"> 177347.575 </t>
  </si>
  <si>
    <t xml:space="preserve">F:\images\20210609\plaque 1/@02 EE2 33.8 ng_L/A2_01.tif </t>
  </si>
  <si>
    <t xml:space="preserve">F:\images\20210609\plaque 1/@02 EE2 33.8 ng_L/A2_02.tif </t>
  </si>
  <si>
    <t xml:space="preserve"> 66.25 </t>
  </si>
  <si>
    <t xml:space="preserve">F:\images\20210609\plaque 1/@02 EE2 33.8 ng_L/A2_03.tif </t>
  </si>
  <si>
    <t xml:space="preserve"> 63.8824 </t>
  </si>
  <si>
    <t xml:space="preserve">F:\images\20210609\plaque 1/@02 EE2 33.8 ng_L/B2_01.tif </t>
  </si>
  <si>
    <t xml:space="preserve"> 63.7857 </t>
  </si>
  <si>
    <t xml:space="preserve">F:\images\20210609\plaque 1/@02 EE2 33.8 ng_L/B2_02.tif </t>
  </si>
  <si>
    <t xml:space="preserve"> 1557.3524 </t>
  </si>
  <si>
    <t xml:space="preserve"> 63.75 </t>
  </si>
  <si>
    <t xml:space="preserve">F:\images\20210609\plaque 1/@02 EE2 33.8 ng_L/B2_03.tif </t>
  </si>
  <si>
    <t xml:space="preserve"> 63.9048 </t>
  </si>
  <si>
    <t>F:\images\20210609\plaque 1/@02 EE2 33.8 ng_L/C2_01- exclu.tif</t>
  </si>
  <si>
    <t>F:\images\20210609\plaque 1/@02 EE2 33.8 ng_L/C2_02- exclu.tif</t>
  </si>
  <si>
    <t xml:space="preserve">F:\images\20210609\plaque 1/@02 EE2 33.8 ng_L/C2_03.tif </t>
  </si>
  <si>
    <t xml:space="preserve"> 64.8571 </t>
  </si>
  <si>
    <t>F:\images\20210609\plaque 1/@02 EE2 33.8 ng_L/D2_01- exclu.tif</t>
  </si>
  <si>
    <t xml:space="preserve">F:\images\20210609\plaque 1/@02 EE2 33.8 ng_L/D2_02.tif </t>
  </si>
  <si>
    <t xml:space="preserve"> 8695.2176 </t>
  </si>
  <si>
    <t xml:space="preserve"> 66.8607 </t>
  </si>
  <si>
    <t xml:space="preserve">F:\images\20210609\plaque 1/@02 EE2 33.8 ng_L/D2_03.tif </t>
  </si>
  <si>
    <t xml:space="preserve"> 5645.4025 </t>
  </si>
  <si>
    <t xml:space="preserve"> 69.0805 </t>
  </si>
  <si>
    <t xml:space="preserve">F:\images\20210609\plaque 1/@02 EE2 33.8 ng_L/E2_01.tif </t>
  </si>
  <si>
    <t xml:space="preserve">F:\images\20210609\plaque 1/@02 EE2 33.8 ng_L/E2_02.tif </t>
  </si>
  <si>
    <t xml:space="preserve">F:\images\20210609\plaque 1/@02 EE2 33.8 ng_L/E2_03.tif </t>
  </si>
  <si>
    <t xml:space="preserve"> 66.4237 </t>
  </si>
  <si>
    <t xml:space="preserve">F:\images\20210609\plaque 1/@02 EE2 33.8 ng_L/F2_01.tif </t>
  </si>
  <si>
    <t xml:space="preserve"> 194.6691 </t>
  </si>
  <si>
    <t xml:space="preserve"> 62.7778 </t>
  </si>
  <si>
    <t xml:space="preserve">F:\images\20210609\plaque 1/@02 EE2 33.8 ng_L/F2_02.tif </t>
  </si>
  <si>
    <t xml:space="preserve"> 63.7273 </t>
  </si>
  <si>
    <t xml:space="preserve">F:\images\20210609\plaque 1/@02 EE2 33.8 ng_L/F2_03.tif </t>
  </si>
  <si>
    <t xml:space="preserve"> 67.1579 </t>
  </si>
  <si>
    <t xml:space="preserve">F:\images\20210609\plaque 1/@02 EE2 33.8 ng_L/G2_01.tif </t>
  </si>
  <si>
    <t xml:space="preserve"> 584.0072 </t>
  </si>
  <si>
    <t xml:space="preserve"> 63.8889 </t>
  </si>
  <si>
    <t xml:space="preserve">F:\images\20210609\plaque 1/@02 EE2 33.8 ng_L/G2_02.tif </t>
  </si>
  <si>
    <t xml:space="preserve"> 66.7934 </t>
  </si>
  <si>
    <t xml:space="preserve">F:\images\20210609\plaque 1/@02 EE2 33.8 ng_L/G2_03.tif </t>
  </si>
  <si>
    <t xml:space="preserve"> 627.2669 </t>
  </si>
  <si>
    <t xml:space="preserve"> 64.3103 </t>
  </si>
  <si>
    <t xml:space="preserve">F:\images\20210609\plaque 1/@02 EE2 33.8 ng_L/H2_01.tif </t>
  </si>
  <si>
    <t xml:space="preserve"> 66.1707 </t>
  </si>
  <si>
    <t xml:space="preserve">F:\images\20210609\plaque 1/@02 EE2 33.8 ng_L/H2_02.tif </t>
  </si>
  <si>
    <t xml:space="preserve"> 2465.808 </t>
  </si>
  <si>
    <t xml:space="preserve"> 68.693 </t>
  </si>
  <si>
    <t xml:space="preserve">F:\images\20210609\plaque 1/@02 EE2 33.8 ng_L/H2_03.tif </t>
  </si>
  <si>
    <t xml:space="preserve"> 64.3443 </t>
  </si>
  <si>
    <t xml:space="preserve">F:\images\20210609\plaque 1/@02 EE2 33.8 ng_L/ </t>
  </si>
  <si>
    <t xml:space="preserve"> 65.015 </t>
  </si>
  <si>
    <t xml:space="preserve"> 1.8016 </t>
  </si>
  <si>
    <t xml:space="preserve"> 102666.375 </t>
  </si>
  <si>
    <t xml:space="preserve"> 137533.396 </t>
  </si>
  <si>
    <t xml:space="preserve">F:\images\20210609\plaque 1/@03 EE2 50.6 ng_L/A3_01.tif </t>
  </si>
  <si>
    <t xml:space="preserve"> 65.5634 </t>
  </si>
  <si>
    <t xml:space="preserve">F:\images\20210609\plaque 1/@03 EE2 50.6 ng_L/A3_02.tif </t>
  </si>
  <si>
    <t xml:space="preserve"> 67.6058 </t>
  </si>
  <si>
    <t xml:space="preserve">F:\images\20210609\plaque 1/@03 EE2 50.6 ng_L/A3_03.tif </t>
  </si>
  <si>
    <t xml:space="preserve"> 67.7966 </t>
  </si>
  <si>
    <t xml:space="preserve">F:\images\20210609\plaque 1/@03 EE2 50.6 ng_L/B3_01.tif </t>
  </si>
  <si>
    <t xml:space="preserve"> 69.1538 </t>
  </si>
  <si>
    <t xml:space="preserve">F:\images\20210609\plaque 1/@03 EE2 50.6 ng_L/B3_02.tif </t>
  </si>
  <si>
    <t xml:space="preserve"> 68.2222 </t>
  </si>
  <si>
    <t xml:space="preserve">F:\images\20210609\plaque 1/@03 EE2 50.6 ng_L/B3_03.tif </t>
  </si>
  <si>
    <t xml:space="preserve"> 63.9231 </t>
  </si>
  <si>
    <t xml:space="preserve">F:\images\20210609\plaque 1/@03 EE2 50.6 ng_L/C3_01.tif </t>
  </si>
  <si>
    <t xml:space="preserve"> 886.8257 </t>
  </si>
  <si>
    <t xml:space="preserve"> 63.3171 </t>
  </si>
  <si>
    <t xml:space="preserve">F:\images\20210609\plaque 1/@03 EE2 50.6 ng_L/C3_02.tif </t>
  </si>
  <si>
    <t xml:space="preserve"> 65.0215 </t>
  </si>
  <si>
    <t xml:space="preserve">F:\images\20210609\plaque 1/@03 EE2 50.6 ng_L/C3_03.tif </t>
  </si>
  <si>
    <t xml:space="preserve"> 4866.7263 </t>
  </si>
  <si>
    <t xml:space="preserve"> 66.8133 </t>
  </si>
  <si>
    <t xml:space="preserve">F:\images\20210609\plaque 1/@03 EE2 50.6 ng_L/D3_01.tif </t>
  </si>
  <si>
    <t xml:space="preserve"> 62.125 </t>
  </si>
  <si>
    <t xml:space="preserve">F:\images\20210609\plaque 1/@03 EE2 50.6 ng_L/D3_02.tif </t>
  </si>
  <si>
    <t xml:space="preserve"> 1232.904 </t>
  </si>
  <si>
    <t xml:space="preserve"> 66.6316 </t>
  </si>
  <si>
    <t xml:space="preserve">F:\images\20210609\plaque 1/@03 EE2 50.6 ng_L/D3_03.tif </t>
  </si>
  <si>
    <t xml:space="preserve"> 66.7414 </t>
  </si>
  <si>
    <t xml:space="preserve">F:\images\20210609\plaque 1/@03 EE2 50.6 ng_L/E3_01.tif </t>
  </si>
  <si>
    <t xml:space="preserve"> 63.4167 </t>
  </si>
  <si>
    <t xml:space="preserve">F:\images\20210609\plaque 1/@03 EE2 50.6 ng_L/E3_02.tif </t>
  </si>
  <si>
    <t xml:space="preserve"> 62.8571 </t>
  </si>
  <si>
    <t xml:space="preserve">F:\images\20210609\plaque 1/@03 EE2 50.6 ng_L/E3_03.tif </t>
  </si>
  <si>
    <t xml:space="preserve"> 75.3321 </t>
  </si>
  <si>
    <t xml:space="preserve">F:\images\20210609\plaque 1/@03 EE2 50.6 ng_L/F3_01.tif </t>
  </si>
  <si>
    <t xml:space="preserve"> 4196.1996 </t>
  </si>
  <si>
    <t xml:space="preserve"> 67.7526 </t>
  </si>
  <si>
    <t xml:space="preserve">F:\images\20210609\plaque 1/@03 EE2 50.6 ng_L/F3_02.tif </t>
  </si>
  <si>
    <t xml:space="preserve"> 3374.2636 </t>
  </si>
  <si>
    <t xml:space="preserve"> 66.5577 </t>
  </si>
  <si>
    <t xml:space="preserve">F:\images\20210609\plaque 1/@03 EE2 50.6 ng_L/F3_03.tif </t>
  </si>
  <si>
    <t xml:space="preserve"> 3720.3419 </t>
  </si>
  <si>
    <t xml:space="preserve"> 66.2384 </t>
  </si>
  <si>
    <t xml:space="preserve">F:\images\20210609\plaque 1/@03 EE2 50.6 ng_L/G3_01.tif </t>
  </si>
  <si>
    <t xml:space="preserve"> 64.2727 </t>
  </si>
  <si>
    <t xml:space="preserve">F:\images\20210609\plaque 1/@03 EE2 50.6 ng_L/G3_02.tif </t>
  </si>
  <si>
    <t xml:space="preserve"> 64.1695 </t>
  </si>
  <si>
    <t xml:space="preserve">F:\images\20210609\plaque 1/@03 EE2 50.6 ng_L/G3_03.tif </t>
  </si>
  <si>
    <t xml:space="preserve"> 66.7377 </t>
  </si>
  <si>
    <t xml:space="preserve">F:\images\20210609\plaque 1/@03 EE2 50.6 ng_L/H3_01.tif </t>
  </si>
  <si>
    <t xml:space="preserve"> 64.6429 </t>
  </si>
  <si>
    <t xml:space="preserve">F:\images\20210609\plaque 1/@03 EE2 50.6 ng_L/H3_02.tif </t>
  </si>
  <si>
    <t xml:space="preserve"> 9387.3743 </t>
  </si>
  <si>
    <t xml:space="preserve"> 72.1498 </t>
  </si>
  <si>
    <t xml:space="preserve">F:\images\20210609\plaque 1/@03 EE2 50.6 ng_L/H3_03.tif </t>
  </si>
  <si>
    <t xml:space="preserve"> 65.2516 </t>
  </si>
  <si>
    <t xml:space="preserve">F:\images\20210609\plaque 1/@03 EE2 50.6 ng_L/ </t>
  </si>
  <si>
    <t xml:space="preserve"> 66.3456 </t>
  </si>
  <si>
    <t xml:space="preserve"> 2.9583 </t>
  </si>
  <si>
    <t xml:space="preserve"> 164690.875 </t>
  </si>
  <si>
    <t xml:space="preserve"> 164265.893 </t>
  </si>
  <si>
    <t xml:space="preserve">F:\images\20210609\plaque 1/@04 EE2 76 ng_L/A4_01.tif </t>
  </si>
  <si>
    <t xml:space="preserve"> 3460.7831 </t>
  </si>
  <si>
    <t xml:space="preserve">F:\images\20210609\plaque 1/@04 EE2 76 ng_L/A4_02.tif </t>
  </si>
  <si>
    <t xml:space="preserve"> 2054.84 </t>
  </si>
  <si>
    <t xml:space="preserve"> 66.4947 </t>
  </si>
  <si>
    <t xml:space="preserve">F:\images\20210609\plaque 1/@04 EE2 76 ng_L/A4_03.tif </t>
  </si>
  <si>
    <t xml:space="preserve"> 2314.3987 </t>
  </si>
  <si>
    <t xml:space="preserve"> 66.3271 </t>
  </si>
  <si>
    <t xml:space="preserve">F:\images\20210609\plaque 1/@04 EE2 76 ng_L/B4_01.tif </t>
  </si>
  <si>
    <t xml:space="preserve"> 9473.8938 </t>
  </si>
  <si>
    <t xml:space="preserve"> 70.153 </t>
  </si>
  <si>
    <t xml:space="preserve">F:\images\20210609\plaque 1/@04 EE2 76 ng_L/B4_02.tif </t>
  </si>
  <si>
    <t xml:space="preserve"> 11788.2926 </t>
  </si>
  <si>
    <t xml:space="preserve"> 67.7927 </t>
  </si>
  <si>
    <t xml:space="preserve">F:\images\20210609\plaque 1/@04 EE2 76 ng_L/B4_03.tif </t>
  </si>
  <si>
    <t xml:space="preserve"> 8587.0682 </t>
  </si>
  <si>
    <t xml:space="preserve"> 69.0151 </t>
  </si>
  <si>
    <t xml:space="preserve">F:\images\20210609\plaque 1/@04 EE2 76 ng_L/C4_01.tif </t>
  </si>
  <si>
    <t xml:space="preserve"> 69.0133 </t>
  </si>
  <si>
    <t xml:space="preserve">F:\images\20210609\plaque 1/@04 EE2 76 ng_L/C4_02.tif </t>
  </si>
  <si>
    <t xml:space="preserve"> 4693.6871 </t>
  </si>
  <si>
    <t xml:space="preserve"> 67.3963 </t>
  </si>
  <si>
    <t xml:space="preserve">F:\images\20210609\plaque 1/@04 EE2 76 ng_L/C4_03.tif </t>
  </si>
  <si>
    <t xml:space="preserve"> 65.1176 </t>
  </si>
  <si>
    <t xml:space="preserve">F:\images\20210609\plaque 1/@04 EE2 76 ng_L/D4_01.tif </t>
  </si>
  <si>
    <t xml:space="preserve"> 13259.1254 </t>
  </si>
  <si>
    <t xml:space="preserve"> 91.2692 </t>
  </si>
  <si>
    <t xml:space="preserve">F:\images\20210609\plaque 1/@04 EE2 76 ng_L/D4_02.tif </t>
  </si>
  <si>
    <t xml:space="preserve"> 85.4772 </t>
  </si>
  <si>
    <t xml:space="preserve">F:\images\20210609\plaque 1/@04 EE2 76 ng_L/D4_03.tif </t>
  </si>
  <si>
    <t xml:space="preserve"> 13280.7553 </t>
  </si>
  <si>
    <t xml:space="preserve"> 89.241 </t>
  </si>
  <si>
    <t xml:space="preserve">F:\images\20210609\plaque 1/@04 EE2 76 ng_L/E4_01.tif </t>
  </si>
  <si>
    <t xml:space="preserve"> 65.7778 </t>
  </si>
  <si>
    <t xml:space="preserve">F:\images\20210609\plaque 1/@04 EE2 76 ng_L/E4_02.tif </t>
  </si>
  <si>
    <t xml:space="preserve"> 63.5455 </t>
  </si>
  <si>
    <t xml:space="preserve">F:\images\20210609\plaque 1/@04 EE2 76 ng_L/E4_03.tif </t>
  </si>
  <si>
    <t xml:space="preserve"> 65.0093 </t>
  </si>
  <si>
    <t xml:space="preserve">F:\images\20210609\plaque 1/@04 EE2 76 ng_L/F4_01.tif </t>
  </si>
  <si>
    <t xml:space="preserve"> 1514.0926 </t>
  </si>
  <si>
    <t xml:space="preserve">F:\images\20210609\plaque 1/@04 EE2 76 ng_L/F4_02.tif </t>
  </si>
  <si>
    <t xml:space="preserve"> 5385.8438 </t>
  </si>
  <si>
    <t xml:space="preserve"> 66.8193 </t>
  </si>
  <si>
    <t xml:space="preserve">F:\images\20210609\plaque 1/@04 EE2 76 ng_L/F4_03.tif </t>
  </si>
  <si>
    <t xml:space="preserve"> 5775.1819 </t>
  </si>
  <si>
    <t xml:space="preserve"> 68.4944 </t>
  </si>
  <si>
    <t xml:space="preserve">F:\images\20210609\plaque 1/@04 EE2 76 ng_L/G4_01.tif </t>
  </si>
  <si>
    <t xml:space="preserve"> 2141.3596 </t>
  </si>
  <si>
    <t xml:space="preserve"> 63.9798 </t>
  </si>
  <si>
    <t xml:space="preserve">F:\images\20210609\plaque 1/@04 EE2 76 ng_L/G4_02.tif </t>
  </si>
  <si>
    <t xml:space="preserve"> 65.9 </t>
  </si>
  <si>
    <t xml:space="preserve">F:\images\20210609\plaque 1/@04 EE2 76 ng_L/G4_03.tif </t>
  </si>
  <si>
    <t xml:space="preserve"> 63.9545 </t>
  </si>
  <si>
    <t xml:space="preserve">F:\images\20210609\plaque 1/@04 EE2 76 ng_L/H4_01.tif </t>
  </si>
  <si>
    <t xml:space="preserve"> 1146.3844 </t>
  </si>
  <si>
    <t xml:space="preserve"> 65.6604 </t>
  </si>
  <si>
    <t xml:space="preserve">F:\images\20210609\plaque 1/@04 EE2 76 ng_L/H4_02.tif </t>
  </si>
  <si>
    <t xml:space="preserve"> 64.8205 </t>
  </si>
  <si>
    <t xml:space="preserve">F:\images\20210609\plaque 1/@04 EE2 76 ng_L/H4_03.tif </t>
  </si>
  <si>
    <t xml:space="preserve"> 65.48 </t>
  </si>
  <si>
    <t xml:space="preserve">F:\images\20210609\plaque 1/@04 EE2 76 ng_L/ </t>
  </si>
  <si>
    <t xml:space="preserve"> 69.2481 </t>
  </si>
  <si>
    <t xml:space="preserve"> 7.7377 </t>
  </si>
  <si>
    <t xml:space="preserve"> 349825.667 </t>
  </si>
  <si>
    <t xml:space="preserve"> 376183.211 </t>
  </si>
  <si>
    <t xml:space="preserve">F:\images\20210609\plaque 1/@05 EE2 114 ng_L/A5_01.tif </t>
  </si>
  <si>
    <t xml:space="preserve"> 9971.3814 </t>
  </si>
  <si>
    <t xml:space="preserve"> 65.603 </t>
  </si>
  <si>
    <t xml:space="preserve">F:\images\20210609\plaque 1/@05 EE2 114 ng_L/A5_02.tif </t>
  </si>
  <si>
    <t xml:space="preserve"> 7375.7941 </t>
  </si>
  <si>
    <t xml:space="preserve"> 64.7126 </t>
  </si>
  <si>
    <t xml:space="preserve">F:\images\20210609\plaque 1/@05 EE2 114 ng_L/A5_03.tif </t>
  </si>
  <si>
    <t xml:space="preserve"> 64.7457 </t>
  </si>
  <si>
    <t xml:space="preserve">F:\images\20210609\plaque 1/@05 EE2 114 ng_L/B5_01.tif </t>
  </si>
  <si>
    <t xml:space="preserve"> 66.9286 </t>
  </si>
  <si>
    <t xml:space="preserve">F:\images\20210609\plaque 1/@05 EE2 114 ng_L/B5_02.tif </t>
  </si>
  <si>
    <t xml:space="preserve"> 1795.2813 </t>
  </si>
  <si>
    <t xml:space="preserve"> 64.5542 </t>
  </si>
  <si>
    <t xml:space="preserve">F:\images\20210609\plaque 1/@05 EE2 114 ng_L/B5_03.tif </t>
  </si>
  <si>
    <t xml:space="preserve"> 63.8095 </t>
  </si>
  <si>
    <t xml:space="preserve">F:\images\20210609\plaque 1/@05 EE2 114 ng_L/C5_01.tif </t>
  </si>
  <si>
    <t xml:space="preserve"> 5126.285 </t>
  </si>
  <si>
    <t xml:space="preserve"> 63.5865 </t>
  </si>
  <si>
    <t xml:space="preserve">F:\images\20210609\plaque 1/@05 EE2 114 ng_L/C5_02.tif </t>
  </si>
  <si>
    <t xml:space="preserve"> 3287.744 </t>
  </si>
  <si>
    <t xml:space="preserve"> 62.7895 </t>
  </si>
  <si>
    <t xml:space="preserve">F:\images\20210609\plaque 1/@05 EE2 114 ng_L/C5_03.tif </t>
  </si>
  <si>
    <t xml:space="preserve"> 63.7385 </t>
  </si>
  <si>
    <t xml:space="preserve">F:\images\20210609\plaque 1/@05 EE2 114 ng_L/D5_01.tif </t>
  </si>
  <si>
    <t xml:space="preserve"> 12502.0791 </t>
  </si>
  <si>
    <t xml:space="preserve"> 68.5761 </t>
  </si>
  <si>
    <t xml:space="preserve">F:\images\20210609\plaque 1/@05 EE2 114 ng_L/D5_02.tif </t>
  </si>
  <si>
    <t xml:space="preserve"> 11334.0648 </t>
  </si>
  <si>
    <t xml:space="preserve"> 66.9885 </t>
  </si>
  <si>
    <t xml:space="preserve">F:\images\20210609\plaque 1/@05 EE2 114 ng_L/D5_03.tif </t>
  </si>
  <si>
    <t xml:space="preserve"> 11507.1039 </t>
  </si>
  <si>
    <t xml:space="preserve"> 67.0883 </t>
  </si>
  <si>
    <t xml:space="preserve">F:\images\20210609\plaque 1/@05 EE2 114 ng_L/E5_01.tif </t>
  </si>
  <si>
    <t xml:space="preserve"> 12091.1111 </t>
  </si>
  <si>
    <t xml:space="preserve"> 64.9857 </t>
  </si>
  <si>
    <t xml:space="preserve">F:\images\20210609\plaque 1/@05 EE2 114 ng_L/E5_02.tif </t>
  </si>
  <si>
    <t xml:space="preserve"> 15011.1469 </t>
  </si>
  <si>
    <t xml:space="preserve"> 65.8112 </t>
  </si>
  <si>
    <t xml:space="preserve">F:\images\20210609\plaque 1/@05 EE2 114 ng_L/E5_03.tif </t>
  </si>
  <si>
    <t xml:space="preserve"> 64.4579 </t>
  </si>
  <si>
    <t xml:space="preserve">F:\images\20210609\plaque 1/@05 EE2 114 ng_L/F5_01.tif </t>
  </si>
  <si>
    <t xml:space="preserve"> 13150.9759 </t>
  </si>
  <si>
    <t xml:space="preserve"> 65.9638 </t>
  </si>
  <si>
    <t xml:space="preserve">F:\images\20210609\plaque 1/@05 EE2 114 ng_L/F5_02.tif </t>
  </si>
  <si>
    <t xml:space="preserve"> 9776.7124 </t>
  </si>
  <si>
    <t xml:space="preserve"> 64.531 </t>
  </si>
  <si>
    <t xml:space="preserve">F:\images\20210609\plaque 1/@05 EE2 114 ng_L/F5_03.tif </t>
  </si>
  <si>
    <t xml:space="preserve"> 12047.8513 </t>
  </si>
  <si>
    <t xml:space="preserve"> 66.289 </t>
  </si>
  <si>
    <t xml:space="preserve">F:\images\20210609\plaque 1/@05 EE2 114 ng_L/G5_01.tif </t>
  </si>
  <si>
    <t xml:space="preserve"> 6878.3065 </t>
  </si>
  <si>
    <t xml:space="preserve"> 66.2704 </t>
  </si>
  <si>
    <t xml:space="preserve">F:\images\20210609\plaque 1/@05 EE2 114 ng_L/G5_02.tif </t>
  </si>
  <si>
    <t xml:space="preserve"> 64.7864 </t>
  </si>
  <si>
    <t xml:space="preserve">F:\images\20210609\plaque 1/@05 EE2 114 ng_L/G5_03.tif </t>
  </si>
  <si>
    <t xml:space="preserve"> 66.1863 </t>
  </si>
  <si>
    <t xml:space="preserve">F:\images\20210609\plaque 1/@05 EE2 114 ng_L/H5_01.tif </t>
  </si>
  <si>
    <t xml:space="preserve"> 9106.1856 </t>
  </si>
  <si>
    <t xml:space="preserve"> 66.0143 </t>
  </si>
  <si>
    <t xml:space="preserve">F:\images\20210609\plaque 1/@05 EE2 114 ng_L/H5_02.tif </t>
  </si>
  <si>
    <t xml:space="preserve"> 67.9174 </t>
  </si>
  <si>
    <t xml:space="preserve">F:\images\20210609\plaque 1/@05 EE2 114 ng_L/H5_03.tif </t>
  </si>
  <si>
    <t xml:space="preserve"> 6943.1962 </t>
  </si>
  <si>
    <t xml:space="preserve"> 66.5607 </t>
  </si>
  <si>
    <t xml:space="preserve">F:\images\20210609\plaque 1/@05 EE2 114 ng_L/ </t>
  </si>
  <si>
    <t xml:space="preserve"> 65.5373 </t>
  </si>
  <si>
    <t xml:space="preserve"> 1.4341 </t>
  </si>
  <si>
    <t xml:space="preserve"> 511586.792 </t>
  </si>
  <si>
    <t xml:space="preserve"> 272855.447 </t>
  </si>
  <si>
    <t xml:space="preserve">F:\images\20210609\plaque 1/@06 EE2 170.9 ng_L/A6_01.tif </t>
  </si>
  <si>
    <t xml:space="preserve"> 4001.5305 </t>
  </si>
  <si>
    <t xml:space="preserve"> 63.7514 </t>
  </si>
  <si>
    <t xml:space="preserve">F:\images\20210609\plaque 1/@06 EE2 170.9 ng_L/A6_02.tif </t>
  </si>
  <si>
    <t xml:space="preserve"> 64.8808 </t>
  </si>
  <si>
    <t xml:space="preserve">F:\images\20210609\plaque 1/@06 EE2 170.9 ng_L/A6_03.tif </t>
  </si>
  <si>
    <t xml:space="preserve"> 9733.4526 </t>
  </si>
  <si>
    <t xml:space="preserve"> 64.88 </t>
  </si>
  <si>
    <t xml:space="preserve">F:\images\20210609\plaque 1/@06 EE2 170.9 ng_L/B6_01.tif </t>
  </si>
  <si>
    <t xml:space="preserve"> 63.2368 </t>
  </si>
  <si>
    <t xml:space="preserve">F:\images\20210609\plaque 1/@06 EE2 170.9 ng_L/B6_02.tif </t>
  </si>
  <si>
    <t xml:space="preserve"> 5191.1747 </t>
  </si>
  <si>
    <t xml:space="preserve"> 66.9958 </t>
  </si>
  <si>
    <t xml:space="preserve">F:\images\20210609\plaque 1/@06 EE2 170.9 ng_L/B6_03.tif </t>
  </si>
  <si>
    <t xml:space="preserve"> 65.6601 </t>
  </si>
  <si>
    <t xml:space="preserve">F:\images\20210609\plaque 1/@06 EE2 170.9 ng_L/C6_01.tif </t>
  </si>
  <si>
    <t xml:space="preserve"> 40166.7143 </t>
  </si>
  <si>
    <t xml:space="preserve"> 69.7496 </t>
  </si>
  <si>
    <t xml:space="preserve">F:\images\20210609\plaque 1/@06 EE2 170.9 ng_L/C6_02.tif </t>
  </si>
  <si>
    <t xml:space="preserve"> 45444.4086 </t>
  </si>
  <si>
    <t xml:space="preserve"> 70.416 </t>
  </si>
  <si>
    <t xml:space="preserve">F:\images\20210609\plaque 1/@06 EE2 170.9 ng_L/C6_03.tif </t>
  </si>
  <si>
    <t xml:space="preserve"> 43238.1594 </t>
  </si>
  <si>
    <t xml:space="preserve"> 69.7539 </t>
  </si>
  <si>
    <t xml:space="preserve">F:\images\20210609\plaque 1/@06 EE2 170.9 ng_L/D6_01.tif </t>
  </si>
  <si>
    <t xml:space="preserve"> 15660.0437 </t>
  </si>
  <si>
    <t xml:space="preserve"> 73.1602 </t>
  </si>
  <si>
    <t xml:space="preserve">F:\images\20210609\plaque 1/@06 EE2 170.9 ng_L/D6_02.tif </t>
  </si>
  <si>
    <t xml:space="preserve"> 15422.1149 </t>
  </si>
  <si>
    <t xml:space="preserve"> 79.5021 </t>
  </si>
  <si>
    <t xml:space="preserve">F:\images\20210609\plaque 1/@06 EE2 170.9 ng_L/D6_03.tif </t>
  </si>
  <si>
    <t xml:space="preserve"> 14989.517 </t>
  </si>
  <si>
    <t xml:space="preserve"> 82.0274 </t>
  </si>
  <si>
    <t xml:space="preserve">F:\images\20210609\plaque 1/@06 EE2 170.9 ng_L/E6_01.tif </t>
  </si>
  <si>
    <t xml:space="preserve"> 25306.9767 </t>
  </si>
  <si>
    <t xml:space="preserve"> 68.8231 </t>
  </si>
  <si>
    <t>F:\images\20210609\plaque 1/@06 EE2 170.9 ng_L/E6_02- exclu.tif</t>
  </si>
  <si>
    <t xml:space="preserve">F:\images\20210609\plaque 1/@06 EE2 170.9 ng_L/E6_03.tif </t>
  </si>
  <si>
    <t xml:space="preserve"> 26128.9127 </t>
  </si>
  <si>
    <t xml:space="preserve"> 69.7425 </t>
  </si>
  <si>
    <t xml:space="preserve">F:\images\20210609\plaque 1/@06 EE2 170.9 ng_L/F6_01.tif </t>
  </si>
  <si>
    <t xml:space="preserve"> 13042.8265 </t>
  </si>
  <si>
    <t xml:space="preserve"> 66.4229 </t>
  </si>
  <si>
    <t xml:space="preserve">F:\images\20210609\plaque 1/@06 EE2 170.9 ng_L/F6_02.tif </t>
  </si>
  <si>
    <t xml:space="preserve"> 17152.5064 </t>
  </si>
  <si>
    <t xml:space="preserve"> 70.1362 </t>
  </si>
  <si>
    <t xml:space="preserve">F:\images\20210609\plaque 1/@06 EE2 170.9 ng_L/F6_03.tif </t>
  </si>
  <si>
    <t xml:space="preserve"> 13583.5738 </t>
  </si>
  <si>
    <t xml:space="preserve"> 68.4347 </t>
  </si>
  <si>
    <t xml:space="preserve">F:\images\20210609\plaque 1/@06 EE2 170.9 ng_L/G6_01.tif </t>
  </si>
  <si>
    <t xml:space="preserve"> 43627.4975 </t>
  </si>
  <si>
    <t xml:space="preserve"> 74.8651 </t>
  </si>
  <si>
    <t xml:space="preserve">F:\images\20210609\plaque 1/@06 EE2 170.9 ng_L/G6_02.tif </t>
  </si>
  <si>
    <t xml:space="preserve"> 75.1472 </t>
  </si>
  <si>
    <t xml:space="preserve">F:\images\20210609\plaque 1/@06 EE2 170.9 ng_L/G6_03.tif </t>
  </si>
  <si>
    <t xml:space="preserve"> 43021.8604 </t>
  </si>
  <si>
    <t xml:space="preserve"> 75.1393 </t>
  </si>
  <si>
    <t xml:space="preserve">F:\images\20210609\plaque 1/@06 EE2 170.9 ng_L/H6_01.tif </t>
  </si>
  <si>
    <t xml:space="preserve"> 65.7733 </t>
  </si>
  <si>
    <t xml:space="preserve">F:\images\20210609\plaque 1/@06 EE2 170.9 ng_L/H6_02.tif </t>
  </si>
  <si>
    <t xml:space="preserve"> 16763.1683 </t>
  </si>
  <si>
    <t xml:space="preserve"> 66.8194 </t>
  </si>
  <si>
    <t xml:space="preserve">F:\images\20210609\plaque 1/@06 EE2 170.9 ng_L/H6_03.tif </t>
  </si>
  <si>
    <t xml:space="preserve"> 15508.6344 </t>
  </si>
  <si>
    <t xml:space="preserve"> 67.3821 </t>
  </si>
  <si>
    <t xml:space="preserve">F:\images\20210609\plaque 1/@06 EE2 170.9 ng_L/ </t>
  </si>
  <si>
    <t xml:space="preserve"> 69.7503 </t>
  </si>
  <si>
    <t xml:space="preserve"> 4.8393 </t>
  </si>
  <si>
    <t xml:space="preserve"> 1486217.92 </t>
  </si>
  <si>
    <t xml:space="preserve"> 1074506.11 </t>
  </si>
  <si>
    <t xml:space="preserve">F:\images\20210609\plaque 1/@07 EE2 488 ng_L/A7_01.tif </t>
  </si>
  <si>
    <t xml:space="preserve"> 20807.9586 </t>
  </si>
  <si>
    <t xml:space="preserve"> 77.2328 </t>
  </si>
  <si>
    <t xml:space="preserve">F:\images\20210609\plaque 1/@07 EE2 488 ng_L/A7_02.tif </t>
  </si>
  <si>
    <t xml:space="preserve"> 23879.4037 </t>
  </si>
  <si>
    <t xml:space="preserve"> 77.8822 </t>
  </si>
  <si>
    <t xml:space="preserve">F:\images\20210609\plaque 1/@07 EE2 488 ng_L/A7_03.tif </t>
  </si>
  <si>
    <t xml:space="preserve"> 23922.6635 </t>
  </si>
  <si>
    <t xml:space="preserve"> 79.679 </t>
  </si>
  <si>
    <t xml:space="preserve">F:\images\20210609\plaque 1/@07 EE2 488 ng_L/B7_01.tif </t>
  </si>
  <si>
    <t xml:space="preserve"> 58141.1568 </t>
  </si>
  <si>
    <t xml:space="preserve"> 74.8687 </t>
  </si>
  <si>
    <t xml:space="preserve">F:\images\20210609\plaque 1/@07 EE2 488 ng_L/B7_02.tif </t>
  </si>
  <si>
    <t xml:space="preserve"> 46634.0528 </t>
  </si>
  <si>
    <t xml:space="preserve"> 77.8465 </t>
  </si>
  <si>
    <t xml:space="preserve">F:\images\20210609\plaque 1/@07 EE2 488 ng_L/B7_03.tif </t>
  </si>
  <si>
    <t xml:space="preserve"> 48407.7042 </t>
  </si>
  <si>
    <t xml:space="preserve"> 80.3387 </t>
  </si>
  <si>
    <t xml:space="preserve">F:\images\20210609\plaque 1/@07 EE2 488 ng_L/C7_01.tif </t>
  </si>
  <si>
    <t xml:space="preserve"> 36943.86 </t>
  </si>
  <si>
    <t xml:space="preserve"> 74.147 </t>
  </si>
  <si>
    <t xml:space="preserve">F:\images\20210609\plaque 1/@07 EE2 488 ng_L/C7_02.tif </t>
  </si>
  <si>
    <t xml:space="preserve"> 35170.2087 </t>
  </si>
  <si>
    <t xml:space="preserve"> 73.5978 </t>
  </si>
  <si>
    <t xml:space="preserve">F:\images\20210609\plaque 1/@07 EE2 488 ng_L/C7_03.tif </t>
  </si>
  <si>
    <t xml:space="preserve"> 36294.9632 </t>
  </si>
  <si>
    <t xml:space="preserve"> 72.3856 </t>
  </si>
  <si>
    <t xml:space="preserve">F:\images\20210609\plaque 1/@07 EE2 488 ng_L/D7_01.tif </t>
  </si>
  <si>
    <t xml:space="preserve"> 40253.2339 </t>
  </si>
  <si>
    <t xml:space="preserve"> 88.2676 </t>
  </si>
  <si>
    <t xml:space="preserve">F:\images\20210609\plaque 1/@07 EE2 488 ng_L/D7_02.tif </t>
  </si>
  <si>
    <t xml:space="preserve"> 47931.8465 </t>
  </si>
  <si>
    <t xml:space="preserve"> 77.2509 </t>
  </si>
  <si>
    <t>F:\images\20210609\plaque 1/@07 EE2 488 ng_L/D7_03- exclu.tif</t>
  </si>
  <si>
    <t xml:space="preserve">F:\images\20210609\plaque 1/@07 EE2 488 ng_L/E7_01.tif </t>
  </si>
  <si>
    <t xml:space="preserve"> 56021.4271 </t>
  </si>
  <si>
    <t xml:space="preserve"> 80.7104 </t>
  </si>
  <si>
    <t xml:space="preserve">F:\images\20210609\plaque 1/@07 EE2 488 ng_L/E7_02.tif </t>
  </si>
  <si>
    <t xml:space="preserve"> 55459.0498 </t>
  </si>
  <si>
    <t xml:space="preserve"> 83.2968 </t>
  </si>
  <si>
    <t xml:space="preserve">F:\images\20210609\plaque 1/@07 EE2 488 ng_L/E7_03.tif </t>
  </si>
  <si>
    <t xml:space="preserve"> 50851.8823 </t>
  </si>
  <si>
    <t xml:space="preserve"> 82.5691 </t>
  </si>
  <si>
    <t xml:space="preserve">F:\images\20210609\plaque 1/@07 EE2 488 ng_L/F7_01.tif </t>
  </si>
  <si>
    <t xml:space="preserve"> 55588.8292 </t>
  </si>
  <si>
    <t xml:space="preserve"> 94.0447 </t>
  </si>
  <si>
    <t xml:space="preserve">F:\images\20210609\plaque 1/@07 EE2 488 ng_L/F7_02.tif </t>
  </si>
  <si>
    <t xml:space="preserve"> 56821.7332 </t>
  </si>
  <si>
    <t xml:space="preserve"> 88.7587 </t>
  </si>
  <si>
    <t xml:space="preserve">F:\images\20210609\plaque 1/@07 EE2 488 ng_L/F7_03.tif </t>
  </si>
  <si>
    <t xml:space="preserve"> 62272.4666 </t>
  </si>
  <si>
    <t xml:space="preserve"> 87.1129 </t>
  </si>
  <si>
    <t xml:space="preserve">F:\images\20210609\plaque 1/@07 EE2 488 ng_L/G7_01.tif </t>
  </si>
  <si>
    <t xml:space="preserve"> 55264.3808 </t>
  </si>
  <si>
    <t xml:space="preserve"> 96.2219 </t>
  </si>
  <si>
    <t xml:space="preserve">F:\images\20210609\plaque 1/@07 EE2 488 ng_L/G7_02.tif </t>
  </si>
  <si>
    <t xml:space="preserve"> 58162.7867 </t>
  </si>
  <si>
    <t xml:space="preserve"> 93.5277 </t>
  </si>
  <si>
    <t xml:space="preserve">F:\images\20210609\plaque 1/@07 EE2 488 ng_L/G7_03.tif </t>
  </si>
  <si>
    <t xml:space="preserve"> 55718.6086 </t>
  </si>
  <si>
    <t xml:space="preserve"> 96.4476 </t>
  </si>
  <si>
    <t xml:space="preserve">F:\images\20210609\plaque 1/@07 EE2 488 ng_L/H7_01.tif </t>
  </si>
  <si>
    <t xml:space="preserve"> 60325.7761 </t>
  </si>
  <si>
    <t xml:space="preserve"> 83.2531 </t>
  </si>
  <si>
    <t xml:space="preserve">F:\images\20210609\plaque 1/@07 EE2 488 ng_L/H7_02.tif </t>
  </si>
  <si>
    <t xml:space="preserve"> 54615.4839 </t>
  </si>
  <si>
    <t xml:space="preserve"> 86.3719 </t>
  </si>
  <si>
    <t xml:space="preserve">F:\images\20210609\plaque 1/@07 EE2 488 ng_L/H7_03.tif </t>
  </si>
  <si>
    <t xml:space="preserve"> 52106.4162 </t>
  </si>
  <si>
    <t xml:space="preserve"> 85.8219 </t>
  </si>
  <si>
    <t xml:space="preserve">F:\images\20210609\plaque 1/@07 EE2 488 ng_L/ </t>
  </si>
  <si>
    <t xml:space="preserve"> 82.8987 </t>
  </si>
  <si>
    <t xml:space="preserve"> 7.2212 </t>
  </si>
  <si>
    <t xml:space="preserve"> 3860652.25 </t>
  </si>
  <si>
    <t xml:space="preserve"> 1369864.5 </t>
  </si>
  <si>
    <t xml:space="preserve">F:\images\20210609\plaque 1/@08 Atrazine 0.625 mg_L/A8_01.tif </t>
  </si>
  <si>
    <t xml:space="preserve"> 64.3302 </t>
  </si>
  <si>
    <t xml:space="preserve">F:\images\20210609\plaque 1/@08 Atrazine 0.625 mg_L/A8_02.tif </t>
  </si>
  <si>
    <t xml:space="preserve"> 75.9565 </t>
  </si>
  <si>
    <t xml:space="preserve">F:\images\20210609\plaque 1/@08 Atrazine 0.625 mg_L/A8_03.tif </t>
  </si>
  <si>
    <t xml:space="preserve"> 4152.9398 </t>
  </si>
  <si>
    <t xml:space="preserve"> 66.6094 </t>
  </si>
  <si>
    <t xml:space="preserve">F:\images\20210609\plaque 1/@08 Atrazine 0.625 mg_L/B8_01.tif </t>
  </si>
  <si>
    <t xml:space="preserve"> 13843.1326 </t>
  </si>
  <si>
    <t xml:space="preserve"> 83.3359 </t>
  </si>
  <si>
    <t xml:space="preserve">F:\images\20210609\plaque 1/@08 Atrazine 0.625 mg_L/B8_02.tif </t>
  </si>
  <si>
    <t xml:space="preserve"> 64.5298 </t>
  </si>
  <si>
    <t xml:space="preserve">F:\images\20210609\plaque 1/@08 Atrazine 0.625 mg_L/B8_03.tif </t>
  </si>
  <si>
    <t xml:space="preserve"> 4953.2459 </t>
  </si>
  <si>
    <t xml:space="preserve"> 66.1834 </t>
  </si>
  <si>
    <t>F:\images\20210609\plaque 1/@08 Atrazine 0.625 mg_L/C8_01- exclu.tif</t>
  </si>
  <si>
    <t xml:space="preserve">F:\images\20210609\plaque 1/@08 Atrazine 0.625 mg_L/C8_02.tif </t>
  </si>
  <si>
    <t xml:space="preserve">F:\images\20210609\plaque 1/@08 Atrazine 0.625 mg_L/C8_03.tif </t>
  </si>
  <si>
    <t xml:space="preserve"> 64.2143 </t>
  </si>
  <si>
    <t xml:space="preserve">F:\images\20210609\plaque 1/@08 Atrazine 0.625 mg_L/D8_01.tif </t>
  </si>
  <si>
    <t xml:space="preserve"> 1968.3204 </t>
  </si>
  <si>
    <t xml:space="preserve"> 69.7363 </t>
  </si>
  <si>
    <t xml:space="preserve">F:\images\20210609\plaque 1/@08 Atrazine 0.625 mg_L/D8_02.tif </t>
  </si>
  <si>
    <t xml:space="preserve"> 65.563 </t>
  </si>
  <si>
    <t xml:space="preserve">F:\images\20210609\plaque 1/@08 Atrazine 0.625 mg_L/D8_03.tif </t>
  </si>
  <si>
    <t xml:space="preserve"> 68.2316 </t>
  </si>
  <si>
    <t xml:space="preserve">F:\images\20210609\plaque 1/@08 Atrazine 0.625 mg_L/E8_01.tif </t>
  </si>
  <si>
    <t xml:space="preserve"> 4650.4273 </t>
  </si>
  <si>
    <t xml:space="preserve"> 66.6419 </t>
  </si>
  <si>
    <t xml:space="preserve">F:\images\20210609\plaque 1/@08 Atrazine 0.625 mg_L/E8_02.tif </t>
  </si>
  <si>
    <t xml:space="preserve"> 66.7315 </t>
  </si>
  <si>
    <t xml:space="preserve">F:\images\20210609\plaque 1/@08 Atrazine 0.625 mg_L/E8_03.tif </t>
  </si>
  <si>
    <t xml:space="preserve"> 67.098 </t>
  </si>
  <si>
    <t xml:space="preserve">F:\images\20210609\plaque 1/@08 Atrazine 0.625 mg_L/F8_01.tif </t>
  </si>
  <si>
    <t xml:space="preserve"> 10187.6804 </t>
  </si>
  <si>
    <t xml:space="preserve"> 70.2505 </t>
  </si>
  <si>
    <t xml:space="preserve">F:\images\20210609\plaque 1/@08 Atrazine 0.625 mg_L/F8_02.tif </t>
  </si>
  <si>
    <t xml:space="preserve"> 4369.2387 </t>
  </si>
  <si>
    <t xml:space="preserve"> 68.1287 </t>
  </si>
  <si>
    <t xml:space="preserve">F:\images\20210609\plaque 1/@08 Atrazine 0.625 mg_L/F8_03.tif </t>
  </si>
  <si>
    <t xml:space="preserve"> 66.625 </t>
  </si>
  <si>
    <t xml:space="preserve">F:\images\20210609\plaque 1/@08 Atrazine 0.625 mg_L/G8_01.tif </t>
  </si>
  <si>
    <t xml:space="preserve"> 64.129 </t>
  </si>
  <si>
    <t xml:space="preserve">F:\images\20210609\plaque 1/@08 Atrazine 0.625 mg_L/G8_02.tif </t>
  </si>
  <si>
    <t xml:space="preserve"> 67.954 </t>
  </si>
  <si>
    <t xml:space="preserve">F:\images\20210609\plaque 1/@08 Atrazine 0.625 mg_L/G8_03.tif </t>
  </si>
  <si>
    <t xml:space="preserve"> 10317.4597 </t>
  </si>
  <si>
    <t xml:space="preserve"> 75.6562 </t>
  </si>
  <si>
    <t xml:space="preserve">F:\images\20210609\plaque 1/@08 Atrazine 0.625 mg_L/H8_01.tif </t>
  </si>
  <si>
    <t xml:space="preserve"> 13756.613 </t>
  </si>
  <si>
    <t xml:space="preserve"> 80.717 </t>
  </si>
  <si>
    <t xml:space="preserve">F:\images\20210609\plaque 1/@08 Atrazine 0.625 mg_L/H8_02.tif </t>
  </si>
  <si>
    <t xml:space="preserve"> 9668.5629 </t>
  </si>
  <si>
    <t xml:space="preserve"> 73.0582 </t>
  </si>
  <si>
    <t xml:space="preserve">F:\images\20210609\plaque 1/@08 Atrazine 0.625 mg_L/H8_03.tif </t>
  </si>
  <si>
    <t xml:space="preserve"> 63.0286 </t>
  </si>
  <si>
    <t xml:space="preserve">F:\images\20210609\plaque 1/@08 Atrazine 0.625 mg_L/ </t>
  </si>
  <si>
    <t xml:space="preserve"> 68.4938 </t>
  </si>
  <si>
    <t xml:space="preserve"> 5.5282 </t>
  </si>
  <si>
    <t xml:space="preserve"> 328966.292 </t>
  </si>
  <si>
    <t xml:space="preserve"> 337238.833 </t>
  </si>
  <si>
    <t xml:space="preserve">F:\images\20210609\plaque 1/@09 Atrazine 1.25 mg_L/A9_01.tif </t>
  </si>
  <si>
    <t xml:space="preserve">F:\images\20210609\plaque 1/@09 Atrazine 1.25 mg_L/A9_02.tif </t>
  </si>
  <si>
    <t xml:space="preserve">F:\images\20210609\plaque 1/@09 Atrazine 1.25 mg_L/A9_03.tif </t>
  </si>
  <si>
    <t xml:space="preserve"> 63.6471 </t>
  </si>
  <si>
    <t>F:\images\20210609\plaque 1/@09 Atrazine 1.25 mg_L/B9_01- exclu.tif</t>
  </si>
  <si>
    <t>F:\images\20210609\plaque 1/@09 Atrazine 1.25 mg_L/B9_02- exclu.tif</t>
  </si>
  <si>
    <t>F:\images\20210609\plaque 1/@09 Atrazine 1.25 mg_L/B9_03- exclu.tif</t>
  </si>
  <si>
    <t xml:space="preserve">F:\images\20210609\plaque 1/@09 Atrazine 1.25 mg_L/C9_01.tif </t>
  </si>
  <si>
    <t xml:space="preserve"> 76.2946 </t>
  </si>
  <si>
    <t xml:space="preserve">F:\images\20210609\plaque 1/@09 Atrazine 1.25 mg_L/C9_02.tif </t>
  </si>
  <si>
    <t xml:space="preserve">F:\images\20210609\plaque 1/@09 Atrazine 1.25 mg_L/C9_03.tif </t>
  </si>
  <si>
    <t xml:space="preserve"> 66.8305 </t>
  </si>
  <si>
    <t>F:\images\20210609\plaque 1/@09 Atrazine 1.25 mg_L/D9_01- exclu.tif</t>
  </si>
  <si>
    <t xml:space="preserve">F:\images\20210609\plaque 1/@09 Atrazine 1.25 mg_L/D9_02.tif </t>
  </si>
  <si>
    <t xml:space="preserve"> 64.8636 </t>
  </si>
  <si>
    <t xml:space="preserve">F:\images\20210609\plaque 1/@09 Atrazine 1.25 mg_L/D9_03.tif </t>
  </si>
  <si>
    <t xml:space="preserve"> 6510.5983 </t>
  </si>
  <si>
    <t xml:space="preserve"> 70.7874 </t>
  </si>
  <si>
    <t xml:space="preserve">F:\images\20210609\plaque 1/@09 Atrazine 1.25 mg_L/E9_01.tif </t>
  </si>
  <si>
    <t xml:space="preserve"> 64.9928 </t>
  </si>
  <si>
    <t xml:space="preserve">F:\images\20210609\plaque 1/@09 Atrazine 1.25 mg_L/E9_02.tif </t>
  </si>
  <si>
    <t xml:space="preserve"> 63.7627 </t>
  </si>
  <si>
    <t xml:space="preserve">F:\images\20210609\plaque 1/@09 Atrazine 1.25 mg_L/E9_03.tif </t>
  </si>
  <si>
    <t xml:space="preserve"> 63.6792 </t>
  </si>
  <si>
    <t xml:space="preserve">F:\images\20210609\plaque 1/@09 Atrazine 1.25 mg_L/F9_01.tif </t>
  </si>
  <si>
    <t xml:space="preserve"> 62.9412 </t>
  </si>
  <si>
    <t xml:space="preserve">F:\images\20210609\plaque 1/@09 Atrazine 1.25 mg_L/F9_02.tif </t>
  </si>
  <si>
    <t xml:space="preserve"> 63.5614 </t>
  </si>
  <si>
    <t xml:space="preserve">F:\images\20210609\plaque 1/@09 Atrazine 1.25 mg_L/F9_03.tif </t>
  </si>
  <si>
    <t xml:space="preserve"> 66.8974 </t>
  </si>
  <si>
    <t>F:\images\20210609\plaque 1/@09 Atrazine 1.25 mg_L/G9_01- exclu.tif</t>
  </si>
  <si>
    <t xml:space="preserve">F:\images\20210609\plaque 1/@09 Atrazine 1.25 mg_L/G9_02.tif </t>
  </si>
  <si>
    <t xml:space="preserve"> 63.4667 </t>
  </si>
  <si>
    <t xml:space="preserve">F:\images\20210609\plaque 1/@09 Atrazine 1.25 mg_L/G9_03.tif </t>
  </si>
  <si>
    <t xml:space="preserve"> 63.5185 </t>
  </si>
  <si>
    <t xml:space="preserve">F:\images\20210609\plaque 1/@09 Atrazine 1.25 mg_L/H9_01.tif </t>
  </si>
  <si>
    <t xml:space="preserve"> 6791.7869 </t>
  </si>
  <si>
    <t xml:space="preserve"> 71.7516 </t>
  </si>
  <si>
    <t xml:space="preserve">F:\images\20210609\plaque 1/@09 Atrazine 1.25 mg_L/H9_02.tif </t>
  </si>
  <si>
    <t xml:space="preserve"> 66.434 </t>
  </si>
  <si>
    <t xml:space="preserve">F:\images\20210609\plaque 1/@09 Atrazine 1.25 mg_L/H9_03.tif </t>
  </si>
  <si>
    <t xml:space="preserve"> 605.637 </t>
  </si>
  <si>
    <t xml:space="preserve"> 62.5357 </t>
  </si>
  <si>
    <t xml:space="preserve">F:\images\20210609\plaque 1/@09 Atrazine 1.25 mg_L/ </t>
  </si>
  <si>
    <t xml:space="preserve"> 66.6327 </t>
  </si>
  <si>
    <t xml:space="preserve"> 5.9258 </t>
  </si>
  <si>
    <t xml:space="preserve"> 178602.583 </t>
  </si>
  <si>
    <t xml:space="preserve"> 271442.034 </t>
  </si>
  <si>
    <t xml:space="preserve">F:\images\20210609\plaque 1/@10 Atrazine 2.5 mg_L/A10_01.tif </t>
  </si>
  <si>
    <t xml:space="preserve"> 6986.456 </t>
  </si>
  <si>
    <t xml:space="preserve"> 81.8576 </t>
  </si>
  <si>
    <t xml:space="preserve">F:\images\20210609\plaque 1/@10 Atrazine 2.5 mg_L/A10_02.tif </t>
  </si>
  <si>
    <t xml:space="preserve"> 6575.488 </t>
  </si>
  <si>
    <t xml:space="preserve"> 71.9375 </t>
  </si>
  <si>
    <t xml:space="preserve">F:\images\20210609\plaque 1/@10 Atrazine 2.5 mg_L/A10_03.tif </t>
  </si>
  <si>
    <t xml:space="preserve"> 73.3668 </t>
  </si>
  <si>
    <t xml:space="preserve">F:\images\20210609\plaque 1/@10 Atrazine 2.5 mg_L/B10_01.tif </t>
  </si>
  <si>
    <t xml:space="preserve"> 63.875 </t>
  </si>
  <si>
    <t xml:space="preserve">F:\images\20210609\plaque 1/@10 Atrazine 2.5 mg_L/B10_02.tif </t>
  </si>
  <si>
    <t xml:space="preserve"> 70.1456 </t>
  </si>
  <si>
    <t xml:space="preserve">F:\images\20210609\plaque 1/@10 Atrazine 2.5 mg_L/B10_03.tif </t>
  </si>
  <si>
    <t xml:space="preserve">F:\images\20210609\plaque 1/@10 Atrazine 2.5 mg_L/C10_01.tif </t>
  </si>
  <si>
    <t xml:space="preserve"> 62.8333 </t>
  </si>
  <si>
    <t xml:space="preserve">F:\images\20210609\plaque 1/@10 Atrazine 2.5 mg_L/C10_02.tif </t>
  </si>
  <si>
    <t xml:space="preserve"> 65.5543 </t>
  </si>
  <si>
    <t xml:space="preserve">F:\images\20210609\plaque 1/@10 Atrazine 2.5 mg_L/C10_03.tif </t>
  </si>
  <si>
    <t xml:space="preserve"> 63.9804 </t>
  </si>
  <si>
    <t xml:space="preserve">F:\images\20210609\plaque 1/@10 Atrazine 2.5 mg_L/D10_01.tif </t>
  </si>
  <si>
    <t xml:space="preserve"> 10858.2071 </t>
  </si>
  <si>
    <t xml:space="preserve"> 73.2729 </t>
  </si>
  <si>
    <t xml:space="preserve">F:\images\20210609\plaque 1/@10 Atrazine 2.5 mg_L/D10_02.tif </t>
  </si>
  <si>
    <t xml:space="preserve"> 14448.7696 </t>
  </si>
  <si>
    <t xml:space="preserve"> 91.7066 </t>
  </si>
  <si>
    <t xml:space="preserve">F:\images\20210609\plaque 1/@10 Atrazine 2.5 mg_L/D10_03.tif </t>
  </si>
  <si>
    <t xml:space="preserve"> 14102.6913 </t>
  </si>
  <si>
    <t xml:space="preserve"> 92.7224 </t>
  </si>
  <si>
    <t xml:space="preserve">F:\images\20210609\plaque 1/@10 Atrazine 2.5 mg_L/E10_01.tif </t>
  </si>
  <si>
    <t xml:space="preserve"> 63.2143 </t>
  </si>
  <si>
    <t xml:space="preserve">F:\images\20210609\plaque 1/@10 Atrazine 2.5 mg_L/E10_02.tif </t>
  </si>
  <si>
    <t xml:space="preserve"> 63.9744 </t>
  </si>
  <si>
    <t xml:space="preserve">F:\images\20210609\plaque 1/@10 Atrazine 2.5 mg_L/E10_03.tif </t>
  </si>
  <si>
    <t xml:space="preserve">F:\images\20210609\plaque 1/@10 Atrazine 2.5 mg_L/F10_01.tif </t>
  </si>
  <si>
    <t xml:space="preserve"> 89.5759 </t>
  </si>
  <si>
    <t xml:space="preserve">F:\images\20210609\plaque 1/@10 Atrazine 2.5 mg_L/F10_02.tif </t>
  </si>
  <si>
    <t xml:space="preserve"> 61.9231 </t>
  </si>
  <si>
    <t xml:space="preserve">F:\images\20210609\plaque 1/@10 Atrazine 2.5 mg_L/F10_03.tif </t>
  </si>
  <si>
    <t xml:space="preserve"> 12480.4492 </t>
  </si>
  <si>
    <t xml:space="preserve"> 84.948 </t>
  </si>
  <si>
    <t xml:space="preserve">F:\images\20210609\plaque 1/@10 Atrazine 2.5 mg_L/G10_01.tif </t>
  </si>
  <si>
    <t xml:space="preserve"> 3850.1212 </t>
  </si>
  <si>
    <t xml:space="preserve"> 65.3034 </t>
  </si>
  <si>
    <t xml:space="preserve">F:\images\20210609\plaque 1/@10 Atrazine 2.5 mg_L/G10_02.tif </t>
  </si>
  <si>
    <t xml:space="preserve"> 69.2 </t>
  </si>
  <si>
    <t xml:space="preserve">F:\images\20210609\plaque 1/@10 Atrazine 2.5 mg_L/G10_03.tif </t>
  </si>
  <si>
    <t xml:space="preserve"> 7202.7549 </t>
  </si>
  <si>
    <t xml:space="preserve"> 71.8769 </t>
  </si>
  <si>
    <t xml:space="preserve">F:\images\20210609\plaque 1/@10 Atrazine 2.5 mg_L/H10_01.tif </t>
  </si>
  <si>
    <t xml:space="preserve"> 11204.2854 </t>
  </si>
  <si>
    <t xml:space="preserve"> 71.2876 </t>
  </si>
  <si>
    <t xml:space="preserve">F:\images\20210609\plaque 1/@10 Atrazine 2.5 mg_L/H10_02.tif </t>
  </si>
  <si>
    <t xml:space="preserve"> 9279.2248 </t>
  </si>
  <si>
    <t xml:space="preserve"> 72.7855 </t>
  </si>
  <si>
    <t xml:space="preserve">F:\images\20210609\plaque 1/@10 Atrazine 2.5 mg_L/H10_03.tif </t>
  </si>
  <si>
    <t xml:space="preserve"> 8349.1393 </t>
  </si>
  <si>
    <t xml:space="preserve"> 72.9922 </t>
  </si>
  <si>
    <t xml:space="preserve">F:\images\20210609\plaque 1/@10 Atrazine 2.5 mg_L/ </t>
  </si>
  <si>
    <t xml:space="preserve"> 71.8785 </t>
  </si>
  <si>
    <t xml:space="preserve"> 9.5587 </t>
  </si>
  <si>
    <t xml:space="preserve"> 487115.917 </t>
  </si>
  <si>
    <t xml:space="preserve"> 440662.731 </t>
  </si>
  <si>
    <t>F:\images\20210609\plaque 1/@11 Atrazine 5 mg_L/A11_01- exclu.tif</t>
  </si>
  <si>
    <t>F:\images\20210609\plaque 1/@11 Atrazine 5 mg_L/A11_02- exclu.tif</t>
  </si>
  <si>
    <t>F:\images\20210609\plaque 1/@11 Atrazine 5 mg_L/A11_03- exclu.tif</t>
  </si>
  <si>
    <t xml:space="preserve">F:\images\20210609\plaque 1/@11 Atrazine 5 mg_L/B11_01.tif </t>
  </si>
  <si>
    <t xml:space="preserve"> 65.8621 </t>
  </si>
  <si>
    <t xml:space="preserve">F:\images\20210609\plaque 1/@11 Atrazine 5 mg_L/B11_02.tif </t>
  </si>
  <si>
    <t xml:space="preserve">F:\images\20210609\plaque 1/@11 Atrazine 5 mg_L/B11_03.tif </t>
  </si>
  <si>
    <t xml:space="preserve">F:\images\20210609\plaque 1/@11 Atrazine 5 mg_L/C11_01.tif </t>
  </si>
  <si>
    <t xml:space="preserve"> 72.8369 </t>
  </si>
  <si>
    <t xml:space="preserve">F:\images\20210609\plaque 1/@11 Atrazine 5 mg_L/C11_02.tif </t>
  </si>
  <si>
    <t xml:space="preserve"> 6748.5271 </t>
  </si>
  <si>
    <t xml:space="preserve"> 66.141 </t>
  </si>
  <si>
    <t xml:space="preserve">F:\images\20210609\plaque 1/@11 Atrazine 5 mg_L/C11_03.tif </t>
  </si>
  <si>
    <t xml:space="preserve"> 65.3158 </t>
  </si>
  <si>
    <t xml:space="preserve">F:\images\20210609\plaque 1/@11 Atrazine 5 mg_L/D11_01.tif </t>
  </si>
  <si>
    <t xml:space="preserve"> 63.5842 </t>
  </si>
  <si>
    <t xml:space="preserve">F:\images\20210609\plaque 1/@11 Atrazine 5 mg_L/D11_02.tif </t>
  </si>
  <si>
    <t xml:space="preserve"> 2357.6585 </t>
  </si>
  <si>
    <t xml:space="preserve"> 66.156 </t>
  </si>
  <si>
    <t xml:space="preserve">F:\images\20210609\plaque 1/@11 Atrazine 5 mg_L/D11_03.tif </t>
  </si>
  <si>
    <t xml:space="preserve"> 66.2588 </t>
  </si>
  <si>
    <t xml:space="preserve">F:\images\20210609\plaque 1/@11 Atrazine 5 mg_L/E11_01.tif </t>
  </si>
  <si>
    <t xml:space="preserve"> 12675.1183 </t>
  </si>
  <si>
    <t xml:space="preserve"> 72.3669 </t>
  </si>
  <si>
    <t xml:space="preserve">F:\images\20210609\plaque 1/@11 Atrazine 5 mg_L/E11_02.tif </t>
  </si>
  <si>
    <t xml:space="preserve"> 68.6163 </t>
  </si>
  <si>
    <t xml:space="preserve">F:\images\20210609\plaque 1/@11 Atrazine 5 mg_L/E11_03.tif </t>
  </si>
  <si>
    <t xml:space="preserve"> 7029.7158 </t>
  </si>
  <si>
    <t xml:space="preserve"> 68.6062 </t>
  </si>
  <si>
    <t>F:\images\20210609\plaque 1/@11 Atrazine 5 mg_L/F11_01- exclu.tif</t>
  </si>
  <si>
    <t>F:\images\20210609\plaque 1/@11 Atrazine 5 mg_L/F11_02- exclu.tif</t>
  </si>
  <si>
    <t>F:\images\20210609\plaque 1/@11 Atrazine 5 mg_L/F11_03- exclu.tif</t>
  </si>
  <si>
    <t xml:space="preserve">F:\images\20210609\plaque 1/@11 Atrazine 5 mg_L/G11_01.tif </t>
  </si>
  <si>
    <t xml:space="preserve"> 68.5282 </t>
  </si>
  <si>
    <t xml:space="preserve">F:\images\20210609\plaque 1/@11 Atrazine 5 mg_L/G11_02.tif </t>
  </si>
  <si>
    <t xml:space="preserve"> 67.4409 </t>
  </si>
  <si>
    <t xml:space="preserve">F:\images\20210609\plaque 1/@11 Atrazine 5 mg_L/G11_03.tif </t>
  </si>
  <si>
    <t xml:space="preserve"> 64.2073 </t>
  </si>
  <si>
    <t xml:space="preserve">F:\images\20210609\plaque 1/@11 Atrazine 5 mg_L/H11_01.tif </t>
  </si>
  <si>
    <t xml:space="preserve"> 3590.5625 </t>
  </si>
  <si>
    <t xml:space="preserve"> 65.3554 </t>
  </si>
  <si>
    <t>F:\images\20210609\plaque 1/@11 Atrazine 5 mg_L/H11_02- exclu.tif</t>
  </si>
  <si>
    <t xml:space="preserve">F:\images\20210609\plaque 1/@11 Atrazine 5 mg_L/H11_03.tif </t>
  </si>
  <si>
    <t xml:space="preserve">F:\images\20210609\plaque 1/@11 Atrazine 5 mg_L/ </t>
  </si>
  <si>
    <t xml:space="preserve"> 66.232 </t>
  </si>
  <si>
    <t xml:space="preserve"> 2.7337 </t>
  </si>
  <si>
    <t xml:space="preserve"> 249317.926 </t>
  </si>
  <si>
    <t xml:space="preserve">F:\images\20210609\plaque 1/@12 Atrazine 10 mg_L/A12_01.tif </t>
  </si>
  <si>
    <t xml:space="preserve"> 1925.0606 </t>
  </si>
  <si>
    <t xml:space="preserve"> 64.7079 </t>
  </si>
  <si>
    <t xml:space="preserve">F:\images\20210609\plaque 1/@12 Atrazine 10 mg_L/A12_02.tif </t>
  </si>
  <si>
    <t xml:space="preserve"> 64.4444 </t>
  </si>
  <si>
    <t xml:space="preserve">F:\images\20210609\plaque 1/@12 Atrazine 10 mg_L/A12_03.tif </t>
  </si>
  <si>
    <t xml:space="preserve"> 64.4667 </t>
  </si>
  <si>
    <t xml:space="preserve">F:\images\20210609\plaque 1/@12 Atrazine 10 mg_L/B12_01.tif </t>
  </si>
  <si>
    <t xml:space="preserve"> 4477.3882 </t>
  </si>
  <si>
    <t xml:space="preserve"> 65.343 </t>
  </si>
  <si>
    <t>F:\images\20210609\plaque 1/@12 Atrazine 10 mg_L/B12_02- exclu.tif</t>
  </si>
  <si>
    <t xml:space="preserve">F:\images\20210609\plaque 1/@12 Atrazine 10 mg_L/B12_03.tif </t>
  </si>
  <si>
    <t xml:space="preserve"> 5991.4808 </t>
  </si>
  <si>
    <t xml:space="preserve"> 67.1805 </t>
  </si>
  <si>
    <t xml:space="preserve">F:\images\20210609\plaque 1/@12 Atrazine 10 mg_L/C12_01.tif </t>
  </si>
  <si>
    <t xml:space="preserve"> 65.9474 </t>
  </si>
  <si>
    <t xml:space="preserve">F:\images\20210609\plaque 1/@12 Atrazine 10 mg_L/C12_02.tif </t>
  </si>
  <si>
    <t xml:space="preserve"> 64.125 </t>
  </si>
  <si>
    <t xml:space="preserve">F:\images\20210609\plaque 1/@12 Atrazine 10 mg_L/C12_03.tif </t>
  </si>
  <si>
    <t xml:space="preserve"> 64.15 </t>
  </si>
  <si>
    <t>F:\images\20210609\plaque 1/@12 Atrazine 10 mg_L/D12_01- exclu.tif</t>
  </si>
  <si>
    <t xml:space="preserve">F:\images\20210609\plaque 1/@12 Atrazine 10 mg_L/D12_02.tif </t>
  </si>
  <si>
    <t xml:space="preserve"> 66.6214 </t>
  </si>
  <si>
    <t xml:space="preserve">F:\images\20210609\plaque 1/@12 Atrazine 10 mg_L/D12_03.tif </t>
  </si>
  <si>
    <t xml:space="preserve"> 10923.0968 </t>
  </si>
  <si>
    <t xml:space="preserve"> 71.0614 </t>
  </si>
  <si>
    <t xml:space="preserve">F:\images\20210609\plaque 1/@12 Atrazine 10 mg_L/E12_01.tif </t>
  </si>
  <si>
    <t xml:space="preserve"> 62.8421 </t>
  </si>
  <si>
    <t xml:space="preserve">F:\images\20210609\plaque 1/@12 Atrazine 10 mg_L/E12_02.tif </t>
  </si>
  <si>
    <t xml:space="preserve">F:\images\20210609\plaque 1/@12 Atrazine 10 mg_L/E12_03.tif </t>
  </si>
  <si>
    <t xml:space="preserve"> 64.9231 </t>
  </si>
  <si>
    <t xml:space="preserve">F:\images\20210609\plaque 1/@12 Atrazine 10 mg_L/F12_01.tif </t>
  </si>
  <si>
    <t xml:space="preserve"> 2920.0358 </t>
  </si>
  <si>
    <t xml:space="preserve"> 63.8148 </t>
  </si>
  <si>
    <t xml:space="preserve">F:\images\20210609\plaque 1/@12 Atrazine 10 mg_L/F12_02.tif </t>
  </si>
  <si>
    <t xml:space="preserve">F:\images\20210609\plaque 1/@12 Atrazine 10 mg_L/F12_03.tif </t>
  </si>
  <si>
    <t xml:space="preserve"> 2422.5482 </t>
  </si>
  <si>
    <t xml:space="preserve"> 63.7054 </t>
  </si>
  <si>
    <t xml:space="preserve">F:\images\20210609\plaque 1/@12 Atrazine 10 mg_L/G12_01.tif </t>
  </si>
  <si>
    <t xml:space="preserve"> 63.6364 </t>
  </si>
  <si>
    <t xml:space="preserve">F:\images\20210609\plaque 1/@12 Atrazine 10 mg_L/G12_02.tif </t>
  </si>
  <si>
    <t xml:space="preserve"> 62.9167 </t>
  </si>
  <si>
    <t xml:space="preserve">F:\images\20210609\plaque 1/@12 Atrazine 10 mg_L/G12_03.tif </t>
  </si>
  <si>
    <t xml:space="preserve"> 62.2857 </t>
  </si>
  <si>
    <t xml:space="preserve">F:\images\20210609\plaque 1/@12 Atrazine 10 mg_L/H12_01.tif </t>
  </si>
  <si>
    <t xml:space="preserve"> 63.3636 </t>
  </si>
  <si>
    <t xml:space="preserve">F:\images\20210609\plaque 1/@12 Atrazine 10 mg_L/H12_02.tif </t>
  </si>
  <si>
    <t xml:space="preserve"> 60.4 </t>
  </si>
  <si>
    <t xml:space="preserve">F:\images\20210609\plaque 1/@12 Atrazine 10 mg_L/H12_03.tif </t>
  </si>
  <si>
    <t xml:space="preserve"> 64.25 </t>
  </si>
  <si>
    <t xml:space="preserve">F:\images\20210609\plaque 1/@12 Atrazine 10 mg_L/ </t>
  </si>
  <si>
    <t xml:space="preserve"> 64.4575 </t>
  </si>
  <si>
    <t xml:space="preserve"> 1.9993 </t>
  </si>
  <si>
    <t xml:space="preserve"> 108281.083 </t>
  </si>
  <si>
    <t xml:space="preserve"> 179671.837 </t>
  </si>
  <si>
    <t xml:space="preserve">F:\images\20210609\plaque 2/@01 TESTO 30/A1_01.tif </t>
  </si>
  <si>
    <t xml:space="preserve"> 68.5345 </t>
  </si>
  <si>
    <t xml:space="preserve">F:\images\20210609\plaque 2/@01 TESTO 30/A1_02.tif </t>
  </si>
  <si>
    <t xml:space="preserve"> 7592.093 </t>
  </si>
  <si>
    <t xml:space="preserve"> 70.3732 </t>
  </si>
  <si>
    <t xml:space="preserve">F:\images\20210609\plaque 2/@01 TESTO 30/A1_03.tif </t>
  </si>
  <si>
    <t xml:space="preserve"> 8673.5877 </t>
  </si>
  <si>
    <t xml:space="preserve"> 68.8454 </t>
  </si>
  <si>
    <t xml:space="preserve">F:\images\20210609\plaque 2/@01 TESTO 30/B1_01.tif </t>
  </si>
  <si>
    <t xml:space="preserve"> 6921.5663 </t>
  </si>
  <si>
    <t xml:space="preserve"> 65.3531 </t>
  </si>
  <si>
    <t xml:space="preserve">F:\images\20210609\plaque 2/@01 TESTO 30/B1_02.tif </t>
  </si>
  <si>
    <t xml:space="preserve"> 9214.3351 </t>
  </si>
  <si>
    <t xml:space="preserve"> 65.0822 </t>
  </si>
  <si>
    <t xml:space="preserve">F:\images\20210609\plaque 2/@01 TESTO 30/B1_03.tif </t>
  </si>
  <si>
    <t xml:space="preserve"> 63.5111 </t>
  </si>
  <si>
    <t xml:space="preserve">F:\images\20210609\plaque 2/@01 TESTO 30/C1_01.tif </t>
  </si>
  <si>
    <t xml:space="preserve"> 4261.0892 </t>
  </si>
  <si>
    <t xml:space="preserve"> 64.6497 </t>
  </si>
  <si>
    <t xml:space="preserve">F:\images\20210609\plaque 2/@01 TESTO 30/C1_02.tif </t>
  </si>
  <si>
    <t xml:space="preserve"> 65.1949 </t>
  </si>
  <si>
    <t xml:space="preserve">F:\images\20210609\plaque 2/@01 TESTO 30/C1_03.tif </t>
  </si>
  <si>
    <t xml:space="preserve"> 64.6174 </t>
  </si>
  <si>
    <t xml:space="preserve">F:\images\20210609\plaque 2/@01 TESTO 30/D1_01.tif </t>
  </si>
  <si>
    <t xml:space="preserve"> 19077.5671 </t>
  </si>
  <si>
    <t xml:space="preserve"> 69.7132 </t>
  </si>
  <si>
    <t xml:space="preserve">F:\images\20210609\plaque 2/@01 TESTO 30/D1_02.tif </t>
  </si>
  <si>
    <t xml:space="preserve"> 19142.4567 </t>
  </si>
  <si>
    <t xml:space="preserve"> 69.2102 </t>
  </si>
  <si>
    <t xml:space="preserve">F:\images\20210609\plaque 2/@01 TESTO 30/D1_03.tif </t>
  </si>
  <si>
    <t xml:space="preserve"> 19661.5742 </t>
  </si>
  <si>
    <t xml:space="preserve"> 68.3619 </t>
  </si>
  <si>
    <t xml:space="preserve">F:\images\20210609\plaque 2/@01 TESTO 30/E1_01.tif </t>
  </si>
  <si>
    <t xml:space="preserve"> 32769.2904 </t>
  </si>
  <si>
    <t xml:space="preserve"> 69.9611 </t>
  </si>
  <si>
    <t xml:space="preserve">F:\images\20210609\plaque 2/@01 TESTO 30/E1_02.tif </t>
  </si>
  <si>
    <t xml:space="preserve"> 20050.9123 </t>
  </si>
  <si>
    <t xml:space="preserve"> 66.9827 </t>
  </si>
  <si>
    <t xml:space="preserve">F:\images\20210609\plaque 2/@01 TESTO 30/E1_03.tif </t>
  </si>
  <si>
    <t xml:space="preserve"> 36403.1127 </t>
  </si>
  <si>
    <t xml:space="preserve"> 70.5621 </t>
  </si>
  <si>
    <t xml:space="preserve">F:\images\20210609\plaque 2/@01 TESTO 30/F1_01.tif </t>
  </si>
  <si>
    <t xml:space="preserve"> 21348.706 </t>
  </si>
  <si>
    <t xml:space="preserve"> 67.8055 </t>
  </si>
  <si>
    <t xml:space="preserve">F:\images\20210609\plaque 2/@01 TESTO 30/F1_02.tif </t>
  </si>
  <si>
    <t xml:space="preserve"> 17001.0972 </t>
  </si>
  <si>
    <t xml:space="preserve"> 66.3359 </t>
  </si>
  <si>
    <t xml:space="preserve">F:\images\20210609\plaque 2/@01 TESTO 30/F1_03.tif </t>
  </si>
  <si>
    <t xml:space="preserve"> 18169.1115 </t>
  </si>
  <si>
    <t xml:space="preserve"> 66.0476 </t>
  </si>
  <si>
    <t xml:space="preserve">F:\images\20210609\plaque 2/@01 TESTO 30/G1_01.tif </t>
  </si>
  <si>
    <t xml:space="preserve"> 24874.3788 </t>
  </si>
  <si>
    <t xml:space="preserve"> 67.0287 </t>
  </si>
  <si>
    <t xml:space="preserve">F:\images\20210609\plaque 2/@01 TESTO 30/G1_02.tif </t>
  </si>
  <si>
    <t xml:space="preserve"> 27383.4466 </t>
  </si>
  <si>
    <t xml:space="preserve"> 68.1177 </t>
  </si>
  <si>
    <t xml:space="preserve">F:\images\20210609\plaque 2/@01 TESTO 30/G1_03.tif </t>
  </si>
  <si>
    <t xml:space="preserve"> 19726.4639 </t>
  </si>
  <si>
    <t xml:space="preserve"> 66.0768 </t>
  </si>
  <si>
    <t xml:space="preserve">F:\images\20210609\plaque 2/@01 TESTO 30/H1_01.tif </t>
  </si>
  <si>
    <t xml:space="preserve"> 11528.7338 </t>
  </si>
  <si>
    <t xml:space="preserve"> 68.2852 </t>
  </si>
  <si>
    <t xml:space="preserve">F:\images\20210609\plaque 2/@01 TESTO 30/H1_02.tif </t>
  </si>
  <si>
    <t xml:space="preserve"> 65.7589 </t>
  </si>
  <si>
    <t xml:space="preserve">F:\images\20210609\plaque 2/@01 TESTO 30/H1_03.tif </t>
  </si>
  <si>
    <t xml:space="preserve"> 65.1019 </t>
  </si>
  <si>
    <t xml:space="preserve">F:\images\20210609\plaque 2/@01 TESTO 30/ </t>
  </si>
  <si>
    <t xml:space="preserve"> 67.1463 </t>
  </si>
  <si>
    <t xml:space="preserve"> 2.0441 </t>
  </si>
  <si>
    <t xml:space="preserve"> 1004349.04 </t>
  </si>
  <si>
    <t xml:space="preserve"> 671674.239 </t>
  </si>
  <si>
    <t xml:space="preserve">F:\images\20210609\plaque 2/@02 testo 30/A2_01.tif </t>
  </si>
  <si>
    <t xml:space="preserve"> 24982.5283 </t>
  </si>
  <si>
    <t xml:space="preserve"> 69.1342 </t>
  </si>
  <si>
    <t>F:\images\20210609\plaque 2/@02 testo 30/A2_02- exclu.tif</t>
  </si>
  <si>
    <t xml:space="preserve">F:\images\20210609\plaque 2/@02 testo 30/A2_03.tif </t>
  </si>
  <si>
    <t xml:space="preserve"> 25934.2437 </t>
  </si>
  <si>
    <t xml:space="preserve"> 68.0133 </t>
  </si>
  <si>
    <t xml:space="preserve">F:\images\20210609\plaque 2/@02 testo 30/B2_01.tif </t>
  </si>
  <si>
    <t xml:space="preserve"> 14254.1006 </t>
  </si>
  <si>
    <t xml:space="preserve"> 66.8923 </t>
  </si>
  <si>
    <t xml:space="preserve">F:\images\20210609\plaque 2/@02 testo 30/B2_02.tif </t>
  </si>
  <si>
    <t xml:space="preserve"> 15443.7448 </t>
  </si>
  <si>
    <t xml:space="preserve"> 66.7675 </t>
  </si>
  <si>
    <t xml:space="preserve">F:\images\20210609\plaque 2/@02 testo 30/B2_03.tif </t>
  </si>
  <si>
    <t xml:space="preserve"> 11139.3957 </t>
  </si>
  <si>
    <t xml:space="preserve"> 66.4408 </t>
  </si>
  <si>
    <t xml:space="preserve">F:\images\20210609\plaque 2/@02 testo 30/C2_01.tif </t>
  </si>
  <si>
    <t xml:space="preserve"> 16006.122 </t>
  </si>
  <si>
    <t xml:space="preserve"> 66.6149 </t>
  </si>
  <si>
    <t xml:space="preserve">F:\images\20210609\plaque 2/@02 testo 30/C2_02.tif </t>
  </si>
  <si>
    <t xml:space="preserve"> 13605.2037 </t>
  </si>
  <si>
    <t xml:space="preserve"> 70.7059 </t>
  </si>
  <si>
    <t xml:space="preserve">F:\images\20210609\plaque 2/@02 testo 30/C2_03.tif </t>
  </si>
  <si>
    <t xml:space="preserve"> 18385.4104 </t>
  </si>
  <si>
    <t xml:space="preserve"> 66.3706 </t>
  </si>
  <si>
    <t xml:space="preserve">F:\images\20210609\plaque 2/@02 testo 30/D2_01.tif </t>
  </si>
  <si>
    <t xml:space="preserve"> 65.5556 </t>
  </si>
  <si>
    <t xml:space="preserve">F:\images\20210609\plaque 2/@02 testo 30/D2_02.tif </t>
  </si>
  <si>
    <t xml:space="preserve"> 64.3019 </t>
  </si>
  <si>
    <t xml:space="preserve">F:\images\20210609\plaque 2/@02 testo 30/D2_03.tif </t>
  </si>
  <si>
    <t xml:space="preserve"> 1578.9823 </t>
  </si>
  <si>
    <t xml:space="preserve">F:\images\20210609\plaque 2/@02 testo 30/E2_01.tif </t>
  </si>
  <si>
    <t xml:space="preserve"> 18017.7022 </t>
  </si>
  <si>
    <t xml:space="preserve"> 67.5318 </t>
  </si>
  <si>
    <t xml:space="preserve">F:\images\20210609\plaque 2/@02 testo 30/E2_02.tif </t>
  </si>
  <si>
    <t xml:space="preserve"> 17866.293 </t>
  </si>
  <si>
    <t xml:space="preserve"> 69.1404 </t>
  </si>
  <si>
    <t xml:space="preserve">F:\images\20210609\plaque 2/@02 testo 30/E2_03.tif </t>
  </si>
  <si>
    <t xml:space="preserve"> 20634.9195 </t>
  </si>
  <si>
    <t xml:space="preserve"> 69.1981 </t>
  </si>
  <si>
    <t xml:space="preserve">F:\images\20210609\plaque 2/@02 testo 30/F2_01.tif </t>
  </si>
  <si>
    <t xml:space="preserve">F:\images\20210609\plaque 2/@02 testo 30/F2_02.tif </t>
  </si>
  <si>
    <t xml:space="preserve"> 3331.0038 </t>
  </si>
  <si>
    <t xml:space="preserve"> 65.8701 </t>
  </si>
  <si>
    <t xml:space="preserve">F:\images\20210609\plaque 2/@02 testo 30/F2_03.tif </t>
  </si>
  <si>
    <t xml:space="preserve"> 62.8681 </t>
  </si>
  <si>
    <t xml:space="preserve">F:\images\20210609\plaque 2/@02 testo 30/G2_01.tif </t>
  </si>
  <si>
    <t xml:space="preserve"> 29697.8453 </t>
  </si>
  <si>
    <t xml:space="preserve"> 69.4538 </t>
  </si>
  <si>
    <t xml:space="preserve">F:\images\20210609\plaque 2/@02 testo 30/G2_02.tif </t>
  </si>
  <si>
    <t xml:space="preserve"> 29200.3577 </t>
  </si>
  <si>
    <t xml:space="preserve"> 69.8089 </t>
  </si>
  <si>
    <t xml:space="preserve">F:\images\20210609\plaque 2/@02 testo 30/G2_03.tif </t>
  </si>
  <si>
    <t xml:space="preserve"> 28032.3434 </t>
  </si>
  <si>
    <t xml:space="preserve"> 69.3256 </t>
  </si>
  <si>
    <t xml:space="preserve">F:\images\20210609\plaque 2/@02 testo 30/H2_01.tif </t>
  </si>
  <si>
    <t xml:space="preserve"> 63.5349 </t>
  </si>
  <si>
    <t xml:space="preserve">F:\images\20210609\plaque 2/@02 testo 30/H2_02.tif </t>
  </si>
  <si>
    <t xml:space="preserve"> 63.6239 </t>
  </si>
  <si>
    <t xml:space="preserve">F:\images\20210609\plaque 2/@02 testo 30/H2_03.tif </t>
  </si>
  <si>
    <t xml:space="preserve"> 65.0258 </t>
  </si>
  <si>
    <t xml:space="preserve">F:\images\20210609\plaque 2/@02 testo 30/ </t>
  </si>
  <si>
    <t xml:space="preserve"> 66.6436 </t>
  </si>
  <si>
    <t xml:space="preserve"> 2.3057 </t>
  </si>
  <si>
    <t xml:space="preserve"> 893950.958 </t>
  </si>
  <si>
    <t xml:space="preserve"> 683705.572 </t>
  </si>
  <si>
    <t xml:space="preserve">F:\images\20210609\plaque 2/@03 testo +ee2/A3_01.tif </t>
  </si>
  <si>
    <t xml:space="preserve"> 56713.5837 </t>
  </si>
  <si>
    <t xml:space="preserve"> 76.693 </t>
  </si>
  <si>
    <t xml:space="preserve">F:\images\20210609\plaque 2/@03 testo +ee2/A3_02.tif </t>
  </si>
  <si>
    <t xml:space="preserve"> 25523.2757 </t>
  </si>
  <si>
    <t xml:space="preserve"> 66.1585 </t>
  </si>
  <si>
    <t xml:space="preserve">F:\images\20210609\plaque 2/@03 testo +ee2/A3_03.tif </t>
  </si>
  <si>
    <t xml:space="preserve"> 58184.4166 </t>
  </si>
  <si>
    <t xml:space="preserve"> 73.5576 </t>
  </si>
  <si>
    <t xml:space="preserve">F:\images\20210609\plaque 2/@03 testo +ee2/B3_01.tif </t>
  </si>
  <si>
    <t xml:space="preserve"> 16849.6879 </t>
  </si>
  <si>
    <t xml:space="preserve"> 73.3017 </t>
  </si>
  <si>
    <t>F:\images\20210609\plaque 2/@03 testo +ee2/B3_02- exclu.tif</t>
  </si>
  <si>
    <t xml:space="preserve">F:\images\20210609\plaque 2/@03 testo +ee2/B3_03.tif </t>
  </si>
  <si>
    <t xml:space="preserve"> 72.5714 </t>
  </si>
  <si>
    <t xml:space="preserve">F:\images\20210609\plaque 2/@03 testo +ee2/C3_01.tif </t>
  </si>
  <si>
    <t xml:space="preserve"> 44817.1417 </t>
  </si>
  <si>
    <t xml:space="preserve"> 74.902 </t>
  </si>
  <si>
    <t xml:space="preserve">F:\images\20210609\plaque 2/@03 testo +ee2/C3_02.tif </t>
  </si>
  <si>
    <t xml:space="preserve"> 45119.9602 </t>
  </si>
  <si>
    <t xml:space="preserve"> 73.4957 </t>
  </si>
  <si>
    <t xml:space="preserve">F:\images\20210609\plaque 2/@03 testo +ee2/C3_03.tif </t>
  </si>
  <si>
    <t xml:space="preserve"> 44600.8427 </t>
  </si>
  <si>
    <t xml:space="preserve"> 78.8007 </t>
  </si>
  <si>
    <t xml:space="preserve">F:\images\20210609\plaque 2/@03 testo +ee2/D3_01.tif </t>
  </si>
  <si>
    <t xml:space="preserve"> 11571.9936 </t>
  </si>
  <si>
    <t xml:space="preserve"> 73.5065 </t>
  </si>
  <si>
    <t xml:space="preserve">F:\images\20210609\plaque 2/@03 testo +ee2/D3_02.tif </t>
  </si>
  <si>
    <t xml:space="preserve"> 11377.3246 </t>
  </si>
  <si>
    <t xml:space="preserve"> 71.9144 </t>
  </si>
  <si>
    <t xml:space="preserve">F:\images\20210609\plaque 2/@03 testo +ee2/D3_03.tif </t>
  </si>
  <si>
    <t xml:space="preserve"> 12523.709 </t>
  </si>
  <si>
    <t xml:space="preserve"> 73.6908 </t>
  </si>
  <si>
    <t xml:space="preserve">F:\images\20210609\plaque 2/@03 testo +ee2/E3_01.tif </t>
  </si>
  <si>
    <t xml:space="preserve"> 30800.97 </t>
  </si>
  <si>
    <t xml:space="preserve"> 73.0456 </t>
  </si>
  <si>
    <t xml:space="preserve">F:\images\20210609\plaque 2/@03 testo +ee2/E3_02.tif </t>
  </si>
  <si>
    <t xml:space="preserve"> 27426.7064 </t>
  </si>
  <si>
    <t xml:space="preserve"> 82.1262 </t>
  </si>
  <si>
    <t xml:space="preserve">F:\images\20210609\plaque 2/@03 testo +ee2/E3_03.tif </t>
  </si>
  <si>
    <t xml:space="preserve"> 25328.6066 </t>
  </si>
  <si>
    <t xml:space="preserve"> 76.6721 </t>
  </si>
  <si>
    <t>F:\images\20210609\plaque 2/@03 testo +ee2/F3_01- exclu.tif</t>
  </si>
  <si>
    <t>F:\images\20210609\plaque 2/@03 testo +ee2/F3_02- exclu.tif</t>
  </si>
  <si>
    <t>F:\images\20210609\plaque 2/@03 testo +ee2/F3_03- exclu.tif</t>
  </si>
  <si>
    <t xml:space="preserve">F:\images\20210609\plaque 2/@03 testo +ee2/G3_01.tif </t>
  </si>
  <si>
    <t xml:space="preserve"> 21889.4534 </t>
  </si>
  <si>
    <t xml:space="preserve"> 77.3152 </t>
  </si>
  <si>
    <t xml:space="preserve">F:\images\20210609\plaque 2/@03 testo +ee2/G3_02.tif </t>
  </si>
  <si>
    <t xml:space="preserve"> 20159.0618 </t>
  </si>
  <si>
    <t xml:space="preserve"> 75.0268 </t>
  </si>
  <si>
    <t xml:space="preserve">F:\images\20210609\plaque 2/@03 testo +ee2/G3_03.tif </t>
  </si>
  <si>
    <t xml:space="preserve"> 75.6123 </t>
  </si>
  <si>
    <t xml:space="preserve">F:\images\20210609\plaque 2/@03 testo +ee2/H3_01.tif </t>
  </si>
  <si>
    <t xml:space="preserve"> 46158.1951 </t>
  </si>
  <si>
    <t xml:space="preserve"> 80.0187 </t>
  </si>
  <si>
    <t xml:space="preserve">F:\images\20210609\plaque 2/@03 testo +ee2/H3_02.tif </t>
  </si>
  <si>
    <t xml:space="preserve"> 50267.8751 </t>
  </si>
  <si>
    <t xml:space="preserve"> 78.6596 </t>
  </si>
  <si>
    <t xml:space="preserve">F:\images\20210609\plaque 2/@03 testo +ee2/H3_03.tif </t>
  </si>
  <si>
    <t xml:space="preserve"> 77.2789 </t>
  </si>
  <si>
    <t xml:space="preserve">F:\images\20210609\plaque 2/@03 testo +ee2/ </t>
  </si>
  <si>
    <t xml:space="preserve"> 75.5718 </t>
  </si>
  <si>
    <t xml:space="preserve"> 4.0961 </t>
  </si>
  <si>
    <t xml:space="preserve"> 2185492.71 </t>
  </si>
  <si>
    <t xml:space="preserve"> 1309153.15 </t>
  </si>
  <si>
    <t xml:space="preserve">F:\images\20210609\plaque 2/@04 testo +fad/A4_01.tif </t>
  </si>
  <si>
    <t xml:space="preserve"> 66.5333 </t>
  </si>
  <si>
    <t xml:space="preserve">F:\images\20210609\plaque 2/@04 testo +fad/A4_02.tif </t>
  </si>
  <si>
    <t xml:space="preserve"> 65.7857 </t>
  </si>
  <si>
    <t xml:space="preserve">F:\images\20210609\plaque 2/@04 testo +fad/A4_03.tif </t>
  </si>
  <si>
    <t xml:space="preserve">F:\images\20210609\plaque 2/@04 testo +fad/B4_01.tif </t>
  </si>
  <si>
    <t xml:space="preserve"> 62.9474 </t>
  </si>
  <si>
    <t xml:space="preserve">F:\images\20210609\plaque 2/@04 testo +fad/B4_02.tif </t>
  </si>
  <si>
    <t xml:space="preserve"> 64.6875 </t>
  </si>
  <si>
    <t xml:space="preserve">F:\images\20210609\plaque 2/@04 testo +fad/B4_03.tif </t>
  </si>
  <si>
    <t xml:space="preserve"> 64.0968 </t>
  </si>
  <si>
    <t xml:space="preserve">F:\images\20210609\plaque 2/@04 testo +fad/C4_01.tif </t>
  </si>
  <si>
    <t xml:space="preserve"> 63.7609 </t>
  </si>
  <si>
    <t xml:space="preserve">F:\images\20210609\plaque 2/@04 testo +fad/C4_02.tif </t>
  </si>
  <si>
    <t xml:space="preserve"> 3785.2316 </t>
  </si>
  <si>
    <t xml:space="preserve"> 67.1429 </t>
  </si>
  <si>
    <t xml:space="preserve">F:\images\20210609\plaque 2/@04 testo +fad/C4_03.tif </t>
  </si>
  <si>
    <t xml:space="preserve"> 65.5472 </t>
  </si>
  <si>
    <t xml:space="preserve">F:\images\20210609\plaque 2/@04 testo +fad/D4_01.tif </t>
  </si>
  <si>
    <t xml:space="preserve"> 65.6983 </t>
  </si>
  <si>
    <t xml:space="preserve">F:\images\20210609\plaque 2/@04 testo +fad/D4_02.tif </t>
  </si>
  <si>
    <t xml:space="preserve"> 1730.3916 </t>
  </si>
  <si>
    <t xml:space="preserve">F:\images\20210609\plaque 2/@04 testo +fad/D4_03.tif </t>
  </si>
  <si>
    <t xml:space="preserve"> 65.3333 </t>
  </si>
  <si>
    <t xml:space="preserve">F:\images\20210609\plaque 2/@04 testo +fad/E4_01.tif </t>
  </si>
  <si>
    <t xml:space="preserve"> 2941.6657 </t>
  </si>
  <si>
    <t xml:space="preserve"> 65.0588 </t>
  </si>
  <si>
    <t xml:space="preserve">F:\images\20210609\plaque 2/@04 testo +fad/E4_02.tif </t>
  </si>
  <si>
    <t xml:space="preserve"> 63.6098 </t>
  </si>
  <si>
    <t xml:space="preserve">F:\images\20210609\plaque 2/@04 testo +fad/E4_03.tif </t>
  </si>
  <si>
    <t xml:space="preserve"> 65.4444 </t>
  </si>
  <si>
    <t xml:space="preserve">F:\images\20210609\plaque 2/@04 testo +fad/F4_01.tif </t>
  </si>
  <si>
    <t xml:space="preserve"> 66.9651 </t>
  </si>
  <si>
    <t xml:space="preserve">F:\images\20210609\plaque 2/@04 testo +fad/F4_02.tif </t>
  </si>
  <si>
    <t xml:space="preserve"> 64.5714 </t>
  </si>
  <si>
    <t xml:space="preserve">F:\images\20210609\plaque 2/@04 testo +fad/F4_03.tif </t>
  </si>
  <si>
    <t xml:space="preserve">F:\images\20210609\plaque 2/@04 testo +fad/G4_01.tif </t>
  </si>
  <si>
    <t xml:space="preserve"> 64.3485 </t>
  </si>
  <si>
    <t xml:space="preserve">F:\images\20210609\plaque 2/@04 testo +fad/G4_02.tif </t>
  </si>
  <si>
    <t xml:space="preserve"> 66.9625 </t>
  </si>
  <si>
    <t xml:space="preserve">F:\images\20210609\plaque 2/@04 testo +fad/G4_03.tif </t>
  </si>
  <si>
    <t xml:space="preserve">F:\images\20210609\plaque 2/@04 testo +fad/H4_01.tif </t>
  </si>
  <si>
    <t xml:space="preserve"> 70.7773 </t>
  </si>
  <si>
    <t xml:space="preserve">F:\images\20210609\plaque 2/@04 testo +fad/H4_02.tif </t>
  </si>
  <si>
    <t xml:space="preserve"> 2984.9255 </t>
  </si>
  <si>
    <t xml:space="preserve"> 66.7609 </t>
  </si>
  <si>
    <t xml:space="preserve">F:\images\20210609\plaque 2/@04 testo +fad/H4_03.tif </t>
  </si>
  <si>
    <t xml:space="preserve"> 3568.9326 </t>
  </si>
  <si>
    <t xml:space="preserve"> 66.9758 </t>
  </si>
  <si>
    <t xml:space="preserve">F:\images\20210609\plaque 2/@04 testo +fad/ </t>
  </si>
  <si>
    <t xml:space="preserve"> 65.442 </t>
  </si>
  <si>
    <t xml:space="preserve"> 1.6557 </t>
  </si>
  <si>
    <t xml:space="preserve"> 113772.25 </t>
  </si>
  <si>
    <t xml:space="preserve"> 84820.4073 </t>
  </si>
  <si>
    <t xml:space="preserve">F:\images\20210609\plaque 2/@05 Atrazine 0.625 mg_L+testo/A5_01.tif </t>
  </si>
  <si>
    <t xml:space="preserve"> 70.6838 </t>
  </si>
  <si>
    <t xml:space="preserve">F:\images\20210609\plaque 2/@05 Atrazine 0.625 mg_L+testo/A5_02.tif </t>
  </si>
  <si>
    <t xml:space="preserve"> 12761.6378 </t>
  </si>
  <si>
    <t xml:space="preserve"> 71.1508 </t>
  </si>
  <si>
    <t xml:space="preserve">F:\images\20210609\plaque 2/@05 Atrazine 0.625 mg_L+testo/A5_03.tif </t>
  </si>
  <si>
    <t xml:space="preserve"> 20526.77 </t>
  </si>
  <si>
    <t xml:space="preserve"> 67.9305 </t>
  </si>
  <si>
    <t xml:space="preserve">F:\images\20210609\plaque 2/@05 Atrazine 0.625 mg_L+testo/B5_01.tif </t>
  </si>
  <si>
    <t xml:space="preserve"> 72.6534 </t>
  </si>
  <si>
    <t xml:space="preserve">F:\images\20210609\plaque 2/@05 Atrazine 0.625 mg_L+testo/B5_02.tif </t>
  </si>
  <si>
    <t xml:space="preserve"> 43389.5686 </t>
  </si>
  <si>
    <t xml:space="preserve"> 73.3594 </t>
  </si>
  <si>
    <t xml:space="preserve">F:\images\20210609\plaque 2/@05 Atrazine 0.625 mg_L+testo/B5_03.tif </t>
  </si>
  <si>
    <t xml:space="preserve"> 41313.0987 </t>
  </si>
  <si>
    <t xml:space="preserve"> 74.177 </t>
  </si>
  <si>
    <t xml:space="preserve">F:\images\20210609\plaque 2/@05 Atrazine 0.625 mg_L+testo/C5_01.tif </t>
  </si>
  <si>
    <t xml:space="preserve"> 40642.572 </t>
  </si>
  <si>
    <t xml:space="preserve"> 69.0724 </t>
  </si>
  <si>
    <t xml:space="preserve">F:\images\20210609\plaque 2/@05 Atrazine 0.625 mg_L+testo/C5_02.tif </t>
  </si>
  <si>
    <t xml:space="preserve"> 35451.3973 </t>
  </si>
  <si>
    <t xml:space="preserve"> 68.806 </t>
  </si>
  <si>
    <t xml:space="preserve">F:\images\20210609\plaque 2/@05 Atrazine 0.625 mg_L+testo/C5_03.tif </t>
  </si>
  <si>
    <t xml:space="preserve"> 37116.8992 </t>
  </si>
  <si>
    <t xml:space="preserve"> 68.8007 </t>
  </si>
  <si>
    <t xml:space="preserve">F:\images\20210609\plaque 2/@05 Atrazine 0.625 mg_L+testo/D5_01.tif </t>
  </si>
  <si>
    <t xml:space="preserve"> 41118.4297 </t>
  </si>
  <si>
    <t xml:space="preserve"> 72.4045 </t>
  </si>
  <si>
    <t xml:space="preserve">F:\images\20210609\plaque 2/@05 Atrazine 0.625 mg_L+testo/D5_02.tif </t>
  </si>
  <si>
    <t xml:space="preserve"> 41918.7358 </t>
  </si>
  <si>
    <t xml:space="preserve"> 80.9644 </t>
  </si>
  <si>
    <t xml:space="preserve">F:\images\20210609\plaque 2/@05 Atrazine 0.625 mg_L+testo/D5_03.tif </t>
  </si>
  <si>
    <t xml:space="preserve"> 72.8637 </t>
  </si>
  <si>
    <t xml:space="preserve">F:\images\20210609\plaque 2/@05 Atrazine 0.625 mg_L+testo/E5_01.tif </t>
  </si>
  <si>
    <t xml:space="preserve"> 44471.0634 </t>
  </si>
  <si>
    <t xml:space="preserve"> 69.4669 </t>
  </si>
  <si>
    <t xml:space="preserve">F:\images\20210609\plaque 2/@05 Atrazine 0.625 mg_L+testo/E5_02.tif </t>
  </si>
  <si>
    <t xml:space="preserve"> 35473.0272 </t>
  </si>
  <si>
    <t xml:space="preserve"> 70.339 </t>
  </si>
  <si>
    <t xml:space="preserve">F:\images\20210609\plaque 2/@05 Atrazine 0.625 mg_L+testo/E5_03.tif </t>
  </si>
  <si>
    <t xml:space="preserve"> 69.7584 </t>
  </si>
  <si>
    <t xml:space="preserve">F:\images\20210609\plaque 2/@05 Atrazine 0.625 mg_L+testo/F5_01.tif </t>
  </si>
  <si>
    <t xml:space="preserve"> 36749.191 </t>
  </si>
  <si>
    <t xml:space="preserve"> 74.7104 </t>
  </si>
  <si>
    <t xml:space="preserve">F:\images\20210609\plaque 2/@05 Atrazine 0.625 mg_L+testo/F5_02.tif </t>
  </si>
  <si>
    <t xml:space="preserve"> 33374.9274 </t>
  </si>
  <si>
    <t xml:space="preserve"> 70.5476 </t>
  </si>
  <si>
    <t xml:space="preserve">F:\images\20210609\plaque 2/@05 Atrazine 0.625 mg_L+testo/F5_03.tif </t>
  </si>
  <si>
    <t xml:space="preserve"> 34672.7211 </t>
  </si>
  <si>
    <t xml:space="preserve"> 74.1391 </t>
  </si>
  <si>
    <t xml:space="preserve">F:\images\20210609\plaque 2/@05 Atrazine 0.625 mg_L+testo/G5_01.tif </t>
  </si>
  <si>
    <t xml:space="preserve"> 30995.639 </t>
  </si>
  <si>
    <t xml:space="preserve"> 74.8472 </t>
  </si>
  <si>
    <t xml:space="preserve">F:\images\20210609\plaque 2/@05 Atrazine 0.625 mg_L+testo/G5_02.tif </t>
  </si>
  <si>
    <t xml:space="preserve"> 38566.1021 </t>
  </si>
  <si>
    <t xml:space="preserve"> 70.2619 </t>
  </si>
  <si>
    <t xml:space="preserve">F:\images\20210609\plaque 2/@05 Atrazine 0.625 mg_L+testo/G5_03.tif </t>
  </si>
  <si>
    <t xml:space="preserve"> 27102.258 </t>
  </si>
  <si>
    <t xml:space="preserve"> 73.9417 </t>
  </si>
  <si>
    <t>F:\images\20210609\plaque 2/@05 Atrazine 0.625 mg_L+testo/H5_01- exclu.tif</t>
  </si>
  <si>
    <t>F:\images\20210609\plaque 2/@05 Atrazine 0.625 mg_L+testo/H5_02- exclu.tif</t>
  </si>
  <si>
    <t>F:\images\20210609\plaque 2/@05 Atrazine 0.625 mg_L+testo/H5_03- exclu.tif</t>
  </si>
  <si>
    <t xml:space="preserve">F:\images\20210609\plaque 2/@05 Atrazine 0.625 mg_L+testo/ </t>
  </si>
  <si>
    <t xml:space="preserve"> 71.3162 </t>
  </si>
  <si>
    <t xml:space="preserve"> 3.4057 </t>
  </si>
  <si>
    <t xml:space="preserve"> 2193475.83 </t>
  </si>
  <si>
    <t xml:space="preserve"> 1009271.84 </t>
  </si>
  <si>
    <t xml:space="preserve">F:\images\20210609\plaque 2/@06  Atrazine 1.25 mg_L+testo/A6_01.tif </t>
  </si>
  <si>
    <t xml:space="preserve"> 26237.0622 </t>
  </si>
  <si>
    <t xml:space="preserve"> 68.2069 </t>
  </si>
  <si>
    <t xml:space="preserve">F:\images\20210609\plaque 2/@06  Atrazine 1.25 mg_L+testo/A6_02.tif </t>
  </si>
  <si>
    <t xml:space="preserve"> 69.6746 </t>
  </si>
  <si>
    <t xml:space="preserve">F:\images\20210609\plaque 2/@06  Atrazine 1.25 mg_L+testo/A6_03.tif </t>
  </si>
  <si>
    <t xml:space="preserve"> 26301.9519 </t>
  </si>
  <si>
    <t xml:space="preserve"> 70.0724 </t>
  </si>
  <si>
    <t xml:space="preserve">F:\images\20210609\plaque 2/@06  Atrazine 1.25 mg_L+testo/B6_01.tif </t>
  </si>
  <si>
    <t xml:space="preserve"> 61558.6801 </t>
  </si>
  <si>
    <t xml:space="preserve"> 85.8563 </t>
  </si>
  <si>
    <t xml:space="preserve">F:\images\20210609\plaque 2/@06  Atrazine 1.25 mg_L+testo/B6_02.tif </t>
  </si>
  <si>
    <t xml:space="preserve"> 64565.2355 </t>
  </si>
  <si>
    <t xml:space="preserve"> 77.4489 </t>
  </si>
  <si>
    <t xml:space="preserve">F:\images\20210609\plaque 2/@06  Atrazine 1.25 mg_L+testo/B6_03.tif </t>
  </si>
  <si>
    <t xml:space="preserve"> 66100.958 </t>
  </si>
  <si>
    <t xml:space="preserve"> 79.7205 </t>
  </si>
  <si>
    <t xml:space="preserve">F:\images\20210609\plaque 2/@06  Atrazine 1.25 mg_L+testo/C6_01.tif </t>
  </si>
  <si>
    <t xml:space="preserve"> 6899.9364 </t>
  </si>
  <si>
    <t xml:space="preserve"> 67.0188 </t>
  </si>
  <si>
    <t xml:space="preserve">F:\images\20210609\plaque 2/@06  Atrazine 1.25 mg_L+testo/C6_02.tif </t>
  </si>
  <si>
    <t xml:space="preserve"> 66.757 </t>
  </si>
  <si>
    <t xml:space="preserve">F:\images\20210609\plaque 2/@06  Atrazine 1.25 mg_L+testo/C6_03.tif </t>
  </si>
  <si>
    <t xml:space="preserve"> 4888.3562 </t>
  </si>
  <si>
    <t xml:space="preserve">F:\images\20210609\plaque 2/@06  Atrazine 1.25 mg_L+testo/D6_01.tif </t>
  </si>
  <si>
    <t xml:space="preserve"> 71.2755 </t>
  </si>
  <si>
    <t xml:space="preserve">F:\images\20210609\plaque 2/@06  Atrazine 1.25 mg_L+testo/D6_02.tif </t>
  </si>
  <si>
    <t xml:space="preserve"> 35235.0984 </t>
  </si>
  <si>
    <t xml:space="preserve"> 74.2032 </t>
  </si>
  <si>
    <t xml:space="preserve">F:\images\20210609\plaque 2/@06  Atrazine 1.25 mg_L+testo/D6_03.tif </t>
  </si>
  <si>
    <t xml:space="preserve"> 33569.5965 </t>
  </si>
  <si>
    <t xml:space="preserve"> 75.8325 </t>
  </si>
  <si>
    <t>F:\images\20210609\plaque 2/@06  Atrazine 1.25 mg_L+testo/E6_01- exclu.tif</t>
  </si>
  <si>
    <t xml:space="preserve">F:\images\20210609\plaque 2/@06  Atrazine 1.25 mg_L+testo/E6_02.tif </t>
  </si>
  <si>
    <t xml:space="preserve"> 64.3214 </t>
  </si>
  <si>
    <t xml:space="preserve">F:\images\20210609\plaque 2/@06  Atrazine 1.25 mg_L+testo/E6_03.tif </t>
  </si>
  <si>
    <t xml:space="preserve">F:\images\20210609\plaque 2/@06  Atrazine 1.25 mg_L+testo/F6_01.tif </t>
  </si>
  <si>
    <t xml:space="preserve"> 66.4124 </t>
  </si>
  <si>
    <t xml:space="preserve">F:\images\20210609\plaque 2/@06  Atrazine 1.25 mg_L+testo/F6_02.tif </t>
  </si>
  <si>
    <t xml:space="preserve"> 20267.2113 </t>
  </si>
  <si>
    <t xml:space="preserve"> 68.0779 </t>
  </si>
  <si>
    <t xml:space="preserve">F:\images\20210609\plaque 2/@06  Atrazine 1.25 mg_L+testo/F6_03.tif </t>
  </si>
  <si>
    <t xml:space="preserve"> 66.1765 </t>
  </si>
  <si>
    <t xml:space="preserve">F:\images\20210609\plaque 2/@06  Atrazine 1.25 mg_L+testo/G6_01.tif </t>
  </si>
  <si>
    <t xml:space="preserve"> 73.6455 </t>
  </si>
  <si>
    <t xml:space="preserve">F:\images\20210609\plaque 2/@06  Atrazine 1.25 mg_L+testo/G6_02.tif </t>
  </si>
  <si>
    <t xml:space="preserve"> 38630.9918 </t>
  </si>
  <si>
    <t xml:space="preserve"> 72.8712 </t>
  </si>
  <si>
    <t xml:space="preserve">F:\images\20210609\plaque 2/@06  Atrazine 1.25 mg_L+testo/G6_03.tif </t>
  </si>
  <si>
    <t xml:space="preserve"> 36468.0023 </t>
  </si>
  <si>
    <t xml:space="preserve"> 72.1388 </t>
  </si>
  <si>
    <t xml:space="preserve">F:\images\20210609\plaque 2/@06  Atrazine 1.25 mg_L+testo/H6_01.tif </t>
  </si>
  <si>
    <t xml:space="preserve"> 4325.9789 </t>
  </si>
  <si>
    <t xml:space="preserve"> 65.13 </t>
  </si>
  <si>
    <t xml:space="preserve">F:\images\20210609\plaque 2/@06  Atrazine 1.25 mg_L+testo/H6_02.tif </t>
  </si>
  <si>
    <t xml:space="preserve"> 63.9538 </t>
  </si>
  <si>
    <t xml:space="preserve">F:\images\20210609\plaque 2/@06  Atrazine 1.25 mg_L+testo/H6_03.tif </t>
  </si>
  <si>
    <t xml:space="preserve"> 66.3439 </t>
  </si>
  <si>
    <t xml:space="preserve">F:\images\20210609\plaque 2/@06  Atrazine 1.25 mg_L+testo/ </t>
  </si>
  <si>
    <t xml:space="preserve"> 69.9621 </t>
  </si>
  <si>
    <t xml:space="preserve"> 5.6257 </t>
  </si>
  <si>
    <t xml:space="preserve"> 1831384.38 </t>
  </si>
  <si>
    <t xml:space="preserve"> 1648018.79 </t>
  </si>
  <si>
    <t xml:space="preserve">F:\images\20210609\plaque 2/@07 Atrazine 2.5 mg_L+testo/A7_01.tif </t>
  </si>
  <si>
    <t xml:space="preserve"> 46374.4941 </t>
  </si>
  <si>
    <t xml:space="preserve"> 79.375 </t>
  </si>
  <si>
    <t xml:space="preserve">F:\images\20210609\plaque 2/@07 Atrazine 2.5 mg_L+testo/A7_02.tif </t>
  </si>
  <si>
    <t xml:space="preserve"> 52863.4625 </t>
  </si>
  <si>
    <t xml:space="preserve"> 74.7627 </t>
  </si>
  <si>
    <t xml:space="preserve">F:\images\20210609\plaque 2/@07 Atrazine 2.5 mg_L+testo/A7_03.tif </t>
  </si>
  <si>
    <t xml:space="preserve"> 47693.9177 </t>
  </si>
  <si>
    <t xml:space="preserve"> 77.8395 </t>
  </si>
  <si>
    <t xml:space="preserve">F:\images\20210609\plaque 2/@07 Atrazine 2.5 mg_L+testo/B7_01.tif </t>
  </si>
  <si>
    <t xml:space="preserve"> 56043.057 </t>
  </si>
  <si>
    <t xml:space="preserve"> 78.9876 </t>
  </si>
  <si>
    <t xml:space="preserve">F:\images\20210609\plaque 2/@07 Atrazine 2.5 mg_L+testo/B7_02.tif </t>
  </si>
  <si>
    <t xml:space="preserve"> 51998.2667 </t>
  </si>
  <si>
    <t xml:space="preserve"> 79.5894 </t>
  </si>
  <si>
    <t xml:space="preserve">F:\images\20210609\plaque 2/@07 Atrazine 2.5 mg_L+testo/B7_03.tif </t>
  </si>
  <si>
    <t xml:space="preserve"> 59352.4309 </t>
  </si>
  <si>
    <t xml:space="preserve"> 78.8375 </t>
  </si>
  <si>
    <t>F:\images\20210609\plaque 2/@07 Atrazine 2.5 mg_L+testo/C7_01- exclu.tif</t>
  </si>
  <si>
    <t>F:\images\20210609\plaque 2/@07 Atrazine 2.5 mg_L+testo/C7_02- exclu.tif</t>
  </si>
  <si>
    <t>F:\images\20210609\plaque 2/@07 Atrazine 2.5 mg_L+testo/C7_03- exclu.tif</t>
  </si>
  <si>
    <t xml:space="preserve">F:\images\20210609\plaque 2/@07 Atrazine 2.5 mg_L+testo/D7_01.tif </t>
  </si>
  <si>
    <t xml:space="preserve"> 72.9062 </t>
  </si>
  <si>
    <t xml:space="preserve">F:\images\20210609\plaque 2/@07 Atrazine 2.5 mg_L+testo/D7_02.tif </t>
  </si>
  <si>
    <t xml:space="preserve"> 77.0497 </t>
  </si>
  <si>
    <t xml:space="preserve">F:\images\20210609\plaque 2/@07 Atrazine 2.5 mg_L+testo/D7_03.tif </t>
  </si>
  <si>
    <t xml:space="preserve"> 22970.9481 </t>
  </si>
  <si>
    <t xml:space="preserve"> 76.4746 </t>
  </si>
  <si>
    <t xml:space="preserve">F:\images\20210609\plaque 2/@07 Atrazine 2.5 mg_L+testo/E7_01.tif </t>
  </si>
  <si>
    <t xml:space="preserve"> 65322.2818 </t>
  </si>
  <si>
    <t xml:space="preserve"> 77.4523 </t>
  </si>
  <si>
    <t xml:space="preserve">F:\images\20210609\plaque 2/@07 Atrazine 2.5 mg_L+testo/E7_02.tif </t>
  </si>
  <si>
    <t xml:space="preserve"> 61472.1605 </t>
  </si>
  <si>
    <t xml:space="preserve"> 77.9525 </t>
  </si>
  <si>
    <t xml:space="preserve">F:\images\20210609\plaque 2/@07 Atrazine 2.5 mg_L+testo/E7_03.tif </t>
  </si>
  <si>
    <t xml:space="preserve"> 51868.4873 </t>
  </si>
  <si>
    <t xml:space="preserve"> 78.0321 </t>
  </si>
  <si>
    <t xml:space="preserve">F:\images\20210609\plaque 2/@07 Atrazine 2.5 mg_L+testo/F7_01.tif </t>
  </si>
  <si>
    <t xml:space="preserve"> 42546.0027 </t>
  </si>
  <si>
    <t xml:space="preserve"> 73.548 </t>
  </si>
  <si>
    <t xml:space="preserve">F:\images\20210609\plaque 2/@07 Atrazine 2.5 mg_L+testo/F7_02.tif </t>
  </si>
  <si>
    <t xml:space="preserve"> 34586.2015 </t>
  </si>
  <si>
    <t xml:space="preserve"> 80.4059 </t>
  </si>
  <si>
    <t xml:space="preserve">F:\images\20210609\plaque 2/@07 Atrazine 2.5 mg_L+testo/F7_03.tif </t>
  </si>
  <si>
    <t xml:space="preserve"> 40556.0524 </t>
  </si>
  <si>
    <t xml:space="preserve"> 79.2848 </t>
  </si>
  <si>
    <t xml:space="preserve">F:\images\20210609\plaque 2/@07 Atrazine 2.5 mg_L+testo/G7_01.tif </t>
  </si>
  <si>
    <t xml:space="preserve"> 67.4491 </t>
  </si>
  <si>
    <t xml:space="preserve">F:\images\20210609\plaque 2/@07 Atrazine 2.5 mg_L+testo/G7_02.tif </t>
  </si>
  <si>
    <t xml:space="preserve"> 65.9912 </t>
  </si>
  <si>
    <t xml:space="preserve">F:\images\20210609\plaque 2/@07 Atrazine 2.5 mg_L+testo/G7_03.tif </t>
  </si>
  <si>
    <t xml:space="preserve"> 68.1307 </t>
  </si>
  <si>
    <t xml:space="preserve">F:\images\20210609\plaque 2/@07 Atrazine 2.5 mg_L+testo/H7_01.tif </t>
  </si>
  <si>
    <t xml:space="preserve"> 22668.1296 </t>
  </si>
  <si>
    <t xml:space="preserve"> 69.5448 </t>
  </si>
  <si>
    <t xml:space="preserve">F:\images\20210609\plaque 2/@07 Atrazine 2.5 mg_L+testo/H7_02.tif </t>
  </si>
  <si>
    <t xml:space="preserve"> 9171.0753 </t>
  </si>
  <si>
    <t xml:space="preserve"> 64.4434 </t>
  </si>
  <si>
    <t xml:space="preserve">F:\images\20210609\plaque 2/@07 Atrazine 2.5 mg_L+testo/H7_03.tif </t>
  </si>
  <si>
    <t xml:space="preserve"> 21824.5637 </t>
  </si>
  <si>
    <t xml:space="preserve"> 70.4658 </t>
  </si>
  <si>
    <t xml:space="preserve">F:\images\20210609\plaque 2/@07 Atrazine 2.5 mg_L+testo/ </t>
  </si>
  <si>
    <t xml:space="preserve"> 73.6755 </t>
  </si>
  <si>
    <t xml:space="preserve"> 5.4479 </t>
  </si>
  <si>
    <t xml:space="preserve"> 2438385.79 </t>
  </si>
  <si>
    <t xml:space="preserve"> 1727008.89 </t>
  </si>
  <si>
    <t xml:space="preserve">F:\images\20210609\plaque 2/@08 Atrazine 5 mg_L+testo/A8_01.tif </t>
  </si>
  <si>
    <t xml:space="preserve"> 30433.2617 </t>
  </si>
  <si>
    <t xml:space="preserve"> 75.204 </t>
  </si>
  <si>
    <t xml:space="preserve">F:\images\20210609\plaque 2/@08 Atrazine 5 mg_L+testo/A8_02.tif </t>
  </si>
  <si>
    <t xml:space="preserve"> 32315.0626 </t>
  </si>
  <si>
    <t xml:space="preserve"> 76.5415 </t>
  </si>
  <si>
    <t xml:space="preserve">F:\images\20210609\plaque 2/@08 Atrazine 5 mg_L+testo/A8_03.tif </t>
  </si>
  <si>
    <t xml:space="preserve"> 30411.6318 </t>
  </si>
  <si>
    <t xml:space="preserve"> 79.1821 </t>
  </si>
  <si>
    <t xml:space="preserve">F:\images\20210609\plaque 2/@08 Atrazine 5 mg_L+testo/B8_01.tif </t>
  </si>
  <si>
    <t xml:space="preserve"> 66.1897 </t>
  </si>
  <si>
    <t>F:\images\20210609\plaque 2/@08 Atrazine 5 mg_L+testo/B8_02- exclu.tif</t>
  </si>
  <si>
    <t>F:\images\20210609\plaque 2/@08 Atrazine 5 mg_L+testo/B8_03- exclu.tif</t>
  </si>
  <si>
    <t xml:space="preserve">F:\images\20210609\plaque 2/@08 Atrazine 5 mg_L+testo/C8_01.tif </t>
  </si>
  <si>
    <t xml:space="preserve"> 44124.985 </t>
  </si>
  <si>
    <t xml:space="preserve"> 79.8779 </t>
  </si>
  <si>
    <t xml:space="preserve">F:\images\20210609\plaque 2/@08 Atrazine 5 mg_L+testo/C8_02.tif </t>
  </si>
  <si>
    <t xml:space="preserve"> 79.6433 </t>
  </si>
  <si>
    <t xml:space="preserve">F:\images\20210609\plaque 2/@08 Atrazine 5 mg_L+testo/C8_03.tif </t>
  </si>
  <si>
    <t xml:space="preserve"> 39712.4865 </t>
  </si>
  <si>
    <t xml:space="preserve"> 81.1514 </t>
  </si>
  <si>
    <t xml:space="preserve">F:\images\20210609\plaque 2/@08 Atrazine 5 mg_L+testo/D8_01.tif </t>
  </si>
  <si>
    <t xml:space="preserve"> 45877.0065 </t>
  </si>
  <si>
    <t xml:space="preserve"> 78.7992 </t>
  </si>
  <si>
    <t xml:space="preserve">F:\images\20210609\plaque 2/@08 Atrazine 5 mg_L+testo/D8_02.tif </t>
  </si>
  <si>
    <t xml:space="preserve"> 40858.871 </t>
  </si>
  <si>
    <t xml:space="preserve"> 77.5019 </t>
  </si>
  <si>
    <t xml:space="preserve">F:\images\20210609\plaque 2/@08 Atrazine 5 mg_L+testo/D8_03.tif </t>
  </si>
  <si>
    <t xml:space="preserve"> 43584.2377 </t>
  </si>
  <si>
    <t xml:space="preserve"> 81.3672 </t>
  </si>
  <si>
    <t xml:space="preserve">F:\images\20210609\plaque 2/@08 Atrazine 5 mg_L+testo/E8_01.tif </t>
  </si>
  <si>
    <t xml:space="preserve"> 27880.9342 </t>
  </si>
  <si>
    <t xml:space="preserve"> 89.9379 </t>
  </si>
  <si>
    <t xml:space="preserve">F:\images\20210609\plaque 2/@08 Atrazine 5 mg_L+testo/E8_02.tif </t>
  </si>
  <si>
    <t xml:space="preserve"> 27794.4146 </t>
  </si>
  <si>
    <t xml:space="preserve"> 86.2669 </t>
  </si>
  <si>
    <t xml:space="preserve">F:\images\20210609\plaque 2/@08 Atrazine 5 mg_L+testo/E8_03.tif </t>
  </si>
  <si>
    <t xml:space="preserve"> 23446.8058 </t>
  </si>
  <si>
    <t xml:space="preserve"> 96.1061 </t>
  </si>
  <si>
    <t xml:space="preserve">F:\images\20210609\plaque 2/@08 Atrazine 5 mg_L+testo/F8_01.tif </t>
  </si>
  <si>
    <t xml:space="preserve"> 73.1235 </t>
  </si>
  <si>
    <t>F:\images\20210609\plaque 2/@08 Atrazine 5 mg_L+testo/F8_02- exclu.tif</t>
  </si>
  <si>
    <t>F:\images\20210609\plaque 2/@08 Atrazine 5 mg_L+testo/F8_03- exclu.tif</t>
  </si>
  <si>
    <t xml:space="preserve">F:\images\20210609\plaque 2/@08 Atrazine 5 mg_L+testo/G8_01.tif </t>
  </si>
  <si>
    <t xml:space="preserve"> 31514.7565 </t>
  </si>
  <si>
    <t xml:space="preserve"> 76.5319 </t>
  </si>
  <si>
    <t xml:space="preserve">F:\images\20210609\plaque 2/@08 Atrazine 5 mg_L+testo/G8_02.tif </t>
  </si>
  <si>
    <t xml:space="preserve"> 29005.6887 </t>
  </si>
  <si>
    <t xml:space="preserve"> 77.0075 </t>
  </si>
  <si>
    <t xml:space="preserve">F:\images\20210609\plaque 2/@08 Atrazine 5 mg_L+testo/G8_03.tif </t>
  </si>
  <si>
    <t xml:space="preserve"> 30000.6639 </t>
  </si>
  <si>
    <t xml:space="preserve"> 77.7239 </t>
  </si>
  <si>
    <t>F:\images\20210609\plaque 2/@08 Atrazine 5 mg_L+testo/H8_01- exclu.tif</t>
  </si>
  <si>
    <t xml:space="preserve">F:\images\20210609\plaque 2/@08 Atrazine 5 mg_L+testo/H8_02.tif </t>
  </si>
  <si>
    <t xml:space="preserve"> 62.9333 </t>
  </si>
  <si>
    <t xml:space="preserve">F:\images\20210609\plaque 2/@08 Atrazine 5 mg_L+testo/H8_03.tif </t>
  </si>
  <si>
    <t xml:space="preserve"> 62.2222 </t>
  </si>
  <si>
    <t xml:space="preserve">F:\images\20210609\plaque 2/@08 Atrazine 5 mg_L+testo/ </t>
  </si>
  <si>
    <t xml:space="preserve"> 75.681 </t>
  </si>
  <si>
    <t xml:space="preserve"> 9.253 </t>
  </si>
  <si>
    <t xml:space="preserve"> 2037273.83 </t>
  </si>
  <si>
    <t xml:space="preserve"> 1371073.24 </t>
  </si>
  <si>
    <t xml:space="preserve">F:\images\20210609\plaque 2/@09 Atrazine 10 mg_L+testo/A9_01.tif </t>
  </si>
  <si>
    <t xml:space="preserve"> 12156.0008 </t>
  </si>
  <si>
    <t xml:space="preserve"> 69.1228 </t>
  </si>
  <si>
    <t xml:space="preserve">F:\images\20210609\plaque 2/@09 Atrazine 10 mg_L+testo/A9_02.tif </t>
  </si>
  <si>
    <t xml:space="preserve"> 10382.3494 </t>
  </si>
  <si>
    <t xml:space="preserve"> 67.1646 </t>
  </si>
  <si>
    <t xml:space="preserve">F:\images\20210609\plaque 2/@09 Atrazine 10 mg_L+testo/A9_03.tif </t>
  </si>
  <si>
    <t xml:space="preserve"> 68.2729 </t>
  </si>
  <si>
    <t xml:space="preserve">F:\images\20210609\plaque 2/@09 Atrazine 10 mg_L+testo/B9_01.tif </t>
  </si>
  <si>
    <t xml:space="preserve">F:\images\20210609\plaque 2/@09 Atrazine 10 mg_L+testo/B9_02.tif </t>
  </si>
  <si>
    <t xml:space="preserve"> 17368.8054 </t>
  </si>
  <si>
    <t xml:space="preserve"> 72.4047 </t>
  </si>
  <si>
    <t xml:space="preserve">F:\images\20210609\plaque 2/@09 Atrazine 10 mg_L+testo/B9_03.tif </t>
  </si>
  <si>
    <t xml:space="preserve"> 17022.7271 </t>
  </si>
  <si>
    <t xml:space="preserve"> 69.7306 </t>
  </si>
  <si>
    <t xml:space="preserve">F:\images\20210609\plaque 2/@09 Atrazine 10 mg_L+testo/C9_01.tif </t>
  </si>
  <si>
    <t xml:space="preserve"> 26777.8096 </t>
  </si>
  <si>
    <t xml:space="preserve"> 72.2132 </t>
  </si>
  <si>
    <t xml:space="preserve">F:\images\20210609\plaque 2/@09 Atrazine 10 mg_L+testo/C9_02.tif </t>
  </si>
  <si>
    <t xml:space="preserve"> 23143.9873 </t>
  </si>
  <si>
    <t xml:space="preserve"> 73.0486 </t>
  </si>
  <si>
    <t xml:space="preserve">F:\images\20210609\plaque 2/@09 Atrazine 10 mg_L+testo/C9_03.tif </t>
  </si>
  <si>
    <t xml:space="preserve"> 64.2167 </t>
  </si>
  <si>
    <t xml:space="preserve">F:\images\20210609\plaque 2/@09 Atrazine 10 mg_L+testo/D9_01.tif </t>
  </si>
  <si>
    <t xml:space="preserve"> 62878.1037 </t>
  </si>
  <si>
    <t xml:space="preserve"> 86.6708 </t>
  </si>
  <si>
    <t xml:space="preserve">F:\images\20210609\plaque 2/@09 Atrazine 10 mg_L+testo/D9_02.tif </t>
  </si>
  <si>
    <t xml:space="preserve"> 58357.4557 </t>
  </si>
  <si>
    <t xml:space="preserve"> 85.9173 </t>
  </si>
  <si>
    <t xml:space="preserve">F:\images\20210609\plaque 2/@09 Atrazine 10 mg_L+testo/D9_03.tif </t>
  </si>
  <si>
    <t xml:space="preserve"> 59676.8793 </t>
  </si>
  <si>
    <t xml:space="preserve"> 84.6858 </t>
  </si>
  <si>
    <t xml:space="preserve">F:\images\20210609\plaque 2/@09 Atrazine 10 mg_L+testo/E9_01.tif </t>
  </si>
  <si>
    <t xml:space="preserve"> 28573.0908 </t>
  </si>
  <si>
    <t xml:space="preserve"> 81.0038 </t>
  </si>
  <si>
    <t xml:space="preserve">F:\images\20210609\plaque 2/@09 Atrazine 10 mg_L+testo/E9_02.tif </t>
  </si>
  <si>
    <t xml:space="preserve"> 78.8364 </t>
  </si>
  <si>
    <t>F:\images\20210609\plaque 2/@09 Atrazine 10 mg_L+testo/E9_03- exclu.tif</t>
  </si>
  <si>
    <t xml:space="preserve">F:\images\20210609\plaque 2/@09 Atrazine 10 mg_L+testo/F9_01.tif </t>
  </si>
  <si>
    <t xml:space="preserve"> 47910.2166 </t>
  </si>
  <si>
    <t xml:space="preserve"> 79.7219 </t>
  </si>
  <si>
    <t xml:space="preserve">F:\images\20210609\plaque 2/@09 Atrazine 10 mg_L+testo/F9_02.tif </t>
  </si>
  <si>
    <t xml:space="preserve"> 47477.6187 </t>
  </si>
  <si>
    <t xml:space="preserve"> 75.5699 </t>
  </si>
  <si>
    <t xml:space="preserve">F:\images\20210609\plaque 2/@09 Atrazine 10 mg_L+testo/F9_03.tif </t>
  </si>
  <si>
    <t xml:space="preserve"> 49229.6402 </t>
  </si>
  <si>
    <t xml:space="preserve"> 74.8475 </t>
  </si>
  <si>
    <t xml:space="preserve">F:\images\20210609\plaque 2/@09 Atrazine 10 mg_L+testo/G9_01.tif </t>
  </si>
  <si>
    <t xml:space="preserve"> 31493.1266 </t>
  </si>
  <si>
    <t xml:space="preserve"> 78.272 </t>
  </si>
  <si>
    <t xml:space="preserve">F:\images\20210609\plaque 2/@09 Atrazine 10 mg_L+testo/G9_02.tif </t>
  </si>
  <si>
    <t xml:space="preserve"> 74.2327 </t>
  </si>
  <si>
    <t xml:space="preserve">F:\images\20210609\plaque 2/@09 Atrazine 10 mg_L+testo/G9_03.tif </t>
  </si>
  <si>
    <t xml:space="preserve"> 10447.2391 </t>
  </si>
  <si>
    <t xml:space="preserve"> 72.5217 </t>
  </si>
  <si>
    <t xml:space="preserve">F:\images\20210609\plaque 2/@09 Atrazine 10 mg_L+testo/H9_01.tif </t>
  </si>
  <si>
    <t xml:space="preserve"> 65.4575 </t>
  </si>
  <si>
    <t xml:space="preserve">F:\images\20210609\plaque 2/@09 Atrazine 10 mg_L+testo/H9_02.tif </t>
  </si>
  <si>
    <t xml:space="preserve"> 6445.7086 </t>
  </si>
  <si>
    <t xml:space="preserve"> 64.943 </t>
  </si>
  <si>
    <t xml:space="preserve">F:\images\20210609\plaque 2/@09 Atrazine 10 mg_L+testo/H9_03.tif </t>
  </si>
  <si>
    <t xml:space="preserve"> 66.0461 </t>
  </si>
  <si>
    <t xml:space="preserve">F:\images\20210609\plaque 2/@09 Atrazine 10 mg_L+testo/ </t>
  </si>
  <si>
    <t xml:space="preserve"> 73.657 </t>
  </si>
  <si>
    <t xml:space="preserve"> 6.9428 </t>
  </si>
  <si>
    <t xml:space="preserve"> 1665726.13 </t>
  </si>
  <si>
    <t>01 TESTO 30</t>
  </si>
  <si>
    <t>02 testo 30</t>
  </si>
  <si>
    <t>03 testo +ee2</t>
  </si>
  <si>
    <t>04 testo +fad</t>
  </si>
  <si>
    <t>05 Atrazine 0.625 mg_L+testo</t>
  </si>
  <si>
    <t>06  Atrazine 1.25 mg_L+testo</t>
  </si>
  <si>
    <t>07 Atrazine 2.5 mg_L+testo</t>
  </si>
  <si>
    <t>08 Atrazine 5 mg_L+testo</t>
  </si>
  <si>
    <t>09 Atrazine 10 mg_L+testo</t>
  </si>
  <si>
    <t>Anova</t>
  </si>
  <si>
    <t xml:space="preserve">F:\images\20210610\plaque 1/@01 Evian + DMSO/A1_01.tif </t>
  </si>
  <si>
    <t xml:space="preserve"> 66.1667 </t>
  </si>
  <si>
    <t xml:space="preserve">F:\images\20210610\plaque 1/@01 Evian + DMSO/A1_02.tif </t>
  </si>
  <si>
    <t xml:space="preserve"> 64.0897 </t>
  </si>
  <si>
    <t xml:space="preserve">F:\images\20210610\plaque 1/@01 Evian + DMSO/A1_03.tif </t>
  </si>
  <si>
    <t xml:space="preserve"> 67.575 </t>
  </si>
  <si>
    <t xml:space="preserve">F:\images\20210610\plaque 1/@01 Evian + DMSO/B1_01.tif </t>
  </si>
  <si>
    <t xml:space="preserve">F:\images\20210610\plaque 1/@01 Evian + DMSO/B1_02.tif </t>
  </si>
  <si>
    <t xml:space="preserve">F:\images\20210610\plaque 1/@01 Evian + DMSO/B1_03.tif </t>
  </si>
  <si>
    <t xml:space="preserve"> 1665.5019 </t>
  </si>
  <si>
    <t xml:space="preserve"> 66.4675 </t>
  </si>
  <si>
    <t xml:space="preserve">F:\images\20210610\plaque 1/@01 Evian + DMSO/C1_01.tif </t>
  </si>
  <si>
    <t xml:space="preserve"> 65.1892 </t>
  </si>
  <si>
    <t xml:space="preserve">F:\images\20210610\plaque 1/@01 Evian + DMSO/C1_02.tif </t>
  </si>
  <si>
    <t xml:space="preserve"> 66.4035 </t>
  </si>
  <si>
    <t xml:space="preserve">F:\images\20210610\plaque 1/@01 Evian + DMSO/C1_03.tif </t>
  </si>
  <si>
    <t xml:space="preserve"> 66.1591 </t>
  </si>
  <si>
    <t xml:space="preserve">F:\images\20210610\plaque 1/@01 Evian + DMSO/D1_01.tif </t>
  </si>
  <si>
    <t xml:space="preserve"> 5018.1356 </t>
  </si>
  <si>
    <t xml:space="preserve"> 68.5776 </t>
  </si>
  <si>
    <t>F:\images\20210610\plaque 1/@01 Evian + DMSO/D1_02- exclu.tif</t>
  </si>
  <si>
    <t xml:space="preserve">F:\images\20210610\plaque 1/@01 Evian + DMSO/D1_03.tif </t>
  </si>
  <si>
    <t xml:space="preserve"> 69.3016 </t>
  </si>
  <si>
    <t xml:space="preserve">F:\images\20210610\plaque 1/@01 Evian + DMSO/E1_01.tif </t>
  </si>
  <si>
    <t xml:space="preserve"> 63.9643 </t>
  </si>
  <si>
    <t xml:space="preserve">F:\images\20210610\plaque 1/@01 Evian + DMSO/E1_02.tif </t>
  </si>
  <si>
    <t xml:space="preserve"> 66.6 </t>
  </si>
  <si>
    <t xml:space="preserve">F:\images\20210610\plaque 1/@01 Evian + DMSO/E1_03.tif </t>
  </si>
  <si>
    <t xml:space="preserve"> 64.4167 </t>
  </si>
  <si>
    <t xml:space="preserve">F:\images\20210610\plaque 1/@01 Evian + DMSO/F1_01.tif </t>
  </si>
  <si>
    <t xml:space="preserve"> 62.4211 </t>
  </si>
  <si>
    <t xml:space="preserve">F:\images\20210610\plaque 1/@01 Evian + DMSO/F1_02.tif </t>
  </si>
  <si>
    <t xml:space="preserve"> 63.9286 </t>
  </si>
  <si>
    <t xml:space="preserve">F:\images\20210610\plaque 1/@01 Evian + DMSO/F1_03.tif </t>
  </si>
  <si>
    <t xml:space="preserve"> 62.6667 </t>
  </si>
  <si>
    <t xml:space="preserve">F:\images\20210610\plaque 1/@01 Evian + DMSO/G1_01.tif </t>
  </si>
  <si>
    <t xml:space="preserve">F:\images\20210610\plaque 1/@01 Evian + DMSO/G1_02.tif </t>
  </si>
  <si>
    <t xml:space="preserve"> 4845.0964 </t>
  </si>
  <si>
    <t xml:space="preserve"> 65.2634 </t>
  </si>
  <si>
    <t xml:space="preserve">F:\images\20210610\plaque 1/@01 Evian + DMSO/G1_03.tif </t>
  </si>
  <si>
    <t xml:space="preserve"> 6121.2602 </t>
  </si>
  <si>
    <t xml:space="preserve"> 64.8622 </t>
  </si>
  <si>
    <t>F:\images\20210610\plaque 1/@01 Evian + DMSO/H1_01- exclu.tif</t>
  </si>
  <si>
    <t>F:\images\20210610\plaque 1/@01 Evian + DMSO/H1_02- exclu.tif</t>
  </si>
  <si>
    <t>F:\images\20210610\plaque 1/@01 Evian + DMSO/H1_03- exclu.tif</t>
  </si>
  <si>
    <t xml:space="preserve">F:\images\20210610\plaque 1/@01 Evian + DMSO/ </t>
  </si>
  <si>
    <t xml:space="preserve"> 65.0845 </t>
  </si>
  <si>
    <t xml:space="preserve"> 1.9433 </t>
  </si>
  <si>
    <t xml:space="preserve"> 108382.833 </t>
  </si>
  <si>
    <t xml:space="preserve"> 122051.556 </t>
  </si>
  <si>
    <t xml:space="preserve">F:\images\20210610\plaque 1/@02 EE2 33.8 ng_L/A2_01.tif </t>
  </si>
  <si>
    <t xml:space="preserve"> 64.5094 </t>
  </si>
  <si>
    <t xml:space="preserve">F:\images\20210610\plaque 1/@02 EE2 33.8 ng_L/A2_02.tif </t>
  </si>
  <si>
    <t xml:space="preserve"> 63.1274 </t>
  </si>
  <si>
    <t xml:space="preserve">F:\images\20210610\plaque 1/@02 EE2 33.8 ng_L/A2_03.tif </t>
  </si>
  <si>
    <t xml:space="preserve"> 64.7037 </t>
  </si>
  <si>
    <t xml:space="preserve">F:\images\20210610\plaque 1/@02 EE2 33.8 ng_L/B2_01.tif </t>
  </si>
  <si>
    <t xml:space="preserve"> 64.0588 </t>
  </si>
  <si>
    <t xml:space="preserve">F:\images\20210610\plaque 1/@02 EE2 33.8 ng_L/B2_02.tif </t>
  </si>
  <si>
    <t xml:space="preserve"> 65.5 </t>
  </si>
  <si>
    <t xml:space="preserve">F:\images\20210610\plaque 1/@02 EE2 33.8 ng_L/B2_03.tif </t>
  </si>
  <si>
    <t xml:space="preserve"> 62.24 </t>
  </si>
  <si>
    <t xml:space="preserve">F:\images\20210610\plaque 1/@02 EE2 33.8 ng_L/C2_01.tif </t>
  </si>
  <si>
    <t xml:space="preserve"> 67.3189 </t>
  </si>
  <si>
    <t xml:space="preserve">F:\images\20210610\plaque 1/@02 EE2 33.8 ng_L/C2_02.tif </t>
  </si>
  <si>
    <t xml:space="preserve"> 64.4744 </t>
  </si>
  <si>
    <t xml:space="preserve">F:\images\20210610\plaque 1/@02 EE2 33.8 ng_L/C2_03.tif </t>
  </si>
  <si>
    <t>F:\images\20210610\plaque 1/@02 EE2 33.8 ng_L/D2_01- exclu.tif</t>
  </si>
  <si>
    <t xml:space="preserve">F:\images\20210610\plaque 1/@02 EE2 33.8 ng_L/D2_02.tif </t>
  </si>
  <si>
    <t xml:space="preserve"> 4672.0572 </t>
  </si>
  <si>
    <t xml:space="preserve"> 64.5509 </t>
  </si>
  <si>
    <t xml:space="preserve">F:\images\20210610\plaque 1/@02 EE2 33.8 ng_L/D2_03.tif </t>
  </si>
  <si>
    <t xml:space="preserve"> 64.8699 </t>
  </si>
  <si>
    <t xml:space="preserve">F:\images\20210610\plaque 1/@02 EE2 33.8 ng_L/E2_01.tif </t>
  </si>
  <si>
    <t xml:space="preserve"> 4715.317 </t>
  </si>
  <si>
    <t xml:space="preserve"> 65.1147 </t>
  </si>
  <si>
    <t xml:space="preserve">F:\images\20210610\plaque 1/@02 EE2 33.8 ng_L/E2_02.tif </t>
  </si>
  <si>
    <t xml:space="preserve"> 66.569 </t>
  </si>
  <si>
    <t xml:space="preserve">F:\images\20210610\plaque 1/@02 EE2 33.8 ng_L/E2_03.tif </t>
  </si>
  <si>
    <t xml:space="preserve"> 2855.1461 </t>
  </si>
  <si>
    <t xml:space="preserve">F:\images\20210610\plaque 1/@02 EE2 33.8 ng_L/F2_01.tif </t>
  </si>
  <si>
    <t xml:space="preserve"> 64.8824 </t>
  </si>
  <si>
    <t xml:space="preserve">F:\images\20210610\plaque 1/@02 EE2 33.8 ng_L/F2_02.tif </t>
  </si>
  <si>
    <t xml:space="preserve"> 63.4118 </t>
  </si>
  <si>
    <t xml:space="preserve">F:\images\20210610\plaque 1/@02 EE2 33.8 ng_L/F2_03.tif </t>
  </si>
  <si>
    <t xml:space="preserve"> 1189.6442 </t>
  </si>
  <si>
    <t xml:space="preserve"> 66.3273 </t>
  </si>
  <si>
    <t xml:space="preserve">F:\images\20210610\plaque 1/@02 EE2 33.8 ng_L/G2_01.tif </t>
  </si>
  <si>
    <t xml:space="preserve"> 64.9889 </t>
  </si>
  <si>
    <t>F:\images\20210610\plaque 1/@02 EE2 33.8 ng_L/G2_02- exclu.tif</t>
  </si>
  <si>
    <t xml:space="preserve">F:\images\20210610\plaque 1/@02 EE2 33.8 ng_L/G2_03.tif </t>
  </si>
  <si>
    <t xml:space="preserve"> 62.5556 </t>
  </si>
  <si>
    <t xml:space="preserve">F:\images\20210610\plaque 1/@02 EE2 33.8 ng_L/H2_01.tif </t>
  </si>
  <si>
    <t xml:space="preserve"> 65.2946 </t>
  </si>
  <si>
    <t xml:space="preserve">F:\images\20210610\plaque 1/@02 EE2 33.8 ng_L/H2_02.tif </t>
  </si>
  <si>
    <t xml:space="preserve"> 73.622 </t>
  </si>
  <si>
    <t xml:space="preserve">F:\images\20210610\plaque 1/@02 EE2 33.8 ng_L/H2_03.tif </t>
  </si>
  <si>
    <t xml:space="preserve"> 65.8286 </t>
  </si>
  <si>
    <t xml:space="preserve">F:\images\20210610\plaque 1/@02 EE2 33.8 ng_L/ </t>
  </si>
  <si>
    <t xml:space="preserve"> 65.221 </t>
  </si>
  <si>
    <t xml:space="preserve"> 2.2841 </t>
  </si>
  <si>
    <t xml:space="preserve"> 195427.917 </t>
  </si>
  <si>
    <t xml:space="preserve"> 156798.218 </t>
  </si>
  <si>
    <t xml:space="preserve">F:\images\20210610\plaque 1/@03 EE2 50.6 ng_L/A3_01.tif </t>
  </si>
  <si>
    <t xml:space="preserve"> 8284.2496 </t>
  </si>
  <si>
    <t xml:space="preserve"> 73.3446 </t>
  </si>
  <si>
    <t xml:space="preserve">F:\images\20210610\plaque 1/@03 EE2 50.6 ng_L/A3_02.tif </t>
  </si>
  <si>
    <t xml:space="preserve"> 8738.4774 </t>
  </si>
  <si>
    <t xml:space="preserve"> 77.3639 </t>
  </si>
  <si>
    <t xml:space="preserve">F:\images\20210610\plaque 1/@03 EE2 50.6 ng_L/A3_03.tif </t>
  </si>
  <si>
    <t xml:space="preserve"> 68.0837 </t>
  </si>
  <si>
    <t xml:space="preserve">F:\images\20210610\plaque 1/@03 EE2 50.6 ng_L/B3_01.tif </t>
  </si>
  <si>
    <t xml:space="preserve"> 62.1429 </t>
  </si>
  <si>
    <t xml:space="preserve">F:\images\20210610\plaque 1/@03 EE2 50.6 ng_L/B3_02.tif </t>
  </si>
  <si>
    <t xml:space="preserve"> 62.2381 </t>
  </si>
  <si>
    <t xml:space="preserve">F:\images\20210610\plaque 1/@03 EE2 50.6 ng_L/B3_03.tif </t>
  </si>
  <si>
    <t xml:space="preserve"> 61.1667 </t>
  </si>
  <si>
    <t xml:space="preserve">F:\images\20210610\plaque 1/@03 EE2 50.6 ng_L/C3_01.tif </t>
  </si>
  <si>
    <t xml:space="preserve"> 66.7209 </t>
  </si>
  <si>
    <t xml:space="preserve">F:\images\20210610\plaque 1/@03 EE2 50.6 ng_L/C3_02.tif </t>
  </si>
  <si>
    <t xml:space="preserve"> 62.65 </t>
  </si>
  <si>
    <t xml:space="preserve">F:\images\20210610\plaque 1/@03 EE2 50.6 ng_L/C3_03.tif </t>
  </si>
  <si>
    <t xml:space="preserve"> 65.5771 </t>
  </si>
  <si>
    <t xml:space="preserve">F:\images\20210610\plaque 1/@03 EE2 50.6 ng_L/D3_01.tif </t>
  </si>
  <si>
    <t xml:space="preserve"> 67.5028 </t>
  </si>
  <si>
    <t xml:space="preserve">F:\images\20210610\plaque 1/@03 EE2 50.6 ng_L/D3_02.tif </t>
  </si>
  <si>
    <t xml:space="preserve"> 63.3571 </t>
  </si>
  <si>
    <t>F:\images\20210610\plaque 1/@03 EE2 50.6 ng_L/D3_03- exclu.tif</t>
  </si>
  <si>
    <t xml:space="preserve">F:\images\20210610\plaque 1/@03 EE2 50.6 ng_L/E3_01.tif </t>
  </si>
  <si>
    <t xml:space="preserve"> 62.4891 </t>
  </si>
  <si>
    <t xml:space="preserve">F:\images\20210610\plaque 1/@03 EE2 50.6 ng_L/E3_02.tif </t>
  </si>
  <si>
    <t xml:space="preserve"> 63.1 </t>
  </si>
  <si>
    <t xml:space="preserve">F:\images\20210610\plaque 1/@03 EE2 50.6 ng_L/E3_03.tif </t>
  </si>
  <si>
    <t xml:space="preserve"> 65.8889 </t>
  </si>
  <si>
    <t xml:space="preserve">F:\images\20210610\plaque 1/@03 EE2 50.6 ng_L/F3_01.tif </t>
  </si>
  <si>
    <t xml:space="preserve"> 2098.0998 </t>
  </si>
  <si>
    <t xml:space="preserve"> 64.5876 </t>
  </si>
  <si>
    <t xml:space="preserve">F:\images\20210610\plaque 1/@03 EE2 50.6 ng_L/F3_02.tif </t>
  </si>
  <si>
    <t xml:space="preserve"> 1816.9111 </t>
  </si>
  <si>
    <t xml:space="preserve"> 65.8929 </t>
  </si>
  <si>
    <t xml:space="preserve">F:\images\20210610\plaque 1/@03 EE2 50.6 ng_L/F3_03.tif </t>
  </si>
  <si>
    <t xml:space="preserve"> 1643.872 </t>
  </si>
  <si>
    <t xml:space="preserve"> 64.6974 </t>
  </si>
  <si>
    <t xml:space="preserve">F:\images\20210610\plaque 1/@03 EE2 50.6 ng_L/G3_01.tif </t>
  </si>
  <si>
    <t xml:space="preserve"> 62.5385 </t>
  </si>
  <si>
    <t xml:space="preserve">F:\images\20210610\plaque 1/@03 EE2 50.6 ng_L/G3_02.tif </t>
  </si>
  <si>
    <t xml:space="preserve">F:\images\20210610\plaque 1/@03 EE2 50.6 ng_L/G3_03.tif </t>
  </si>
  <si>
    <t xml:space="preserve"> 63.2889 </t>
  </si>
  <si>
    <t xml:space="preserve">F:\images\20210610\plaque 1/@03 EE2 50.6 ng_L/H3_01.tif </t>
  </si>
  <si>
    <t xml:space="preserve"> 62.975 </t>
  </si>
  <si>
    <t xml:space="preserve">F:\images\20210610\plaque 1/@03 EE2 50.6 ng_L/H3_02.tif </t>
  </si>
  <si>
    <t xml:space="preserve">F:\images\20210610\plaque 1/@03 EE2 50.6 ng_L/H3_03.tif </t>
  </si>
  <si>
    <t xml:space="preserve"> 62.8 </t>
  </si>
  <si>
    <t xml:space="preserve">F:\images\20210610\plaque 1/@03 EE2 50.6 ng_L/ </t>
  </si>
  <si>
    <t xml:space="preserve"> 64.8534 </t>
  </si>
  <si>
    <t xml:space="preserve"> 3.7635 </t>
  </si>
  <si>
    <t xml:space="preserve"> 154659.958 </t>
  </si>
  <si>
    <t xml:space="preserve"> 171348.335 </t>
  </si>
  <si>
    <t xml:space="preserve">F:\images\20210610\plaque 1/@04 EE2 76 ng_L/A4_01.tif </t>
  </si>
  <si>
    <t xml:space="preserve"> 5429.1036 </t>
  </si>
  <si>
    <t xml:space="preserve"> 63.502 </t>
  </si>
  <si>
    <t xml:space="preserve">F:\images\20210610\plaque 1/@04 EE2 76 ng_L/A4_02.tif </t>
  </si>
  <si>
    <t xml:space="preserve"> 9127.8155 </t>
  </si>
  <si>
    <t xml:space="preserve"> 64.6185 </t>
  </si>
  <si>
    <t xml:space="preserve">F:\images\20210610\plaque 1/@04 EE2 76 ng_L/A4_03.tif </t>
  </si>
  <si>
    <t xml:space="preserve"> 7289.2745 </t>
  </si>
  <si>
    <t xml:space="preserve"> 64.1395 </t>
  </si>
  <si>
    <t xml:space="preserve">F:\images\20210610\plaque 1/@04 EE2 76 ng_L/B4_01.tif </t>
  </si>
  <si>
    <t xml:space="preserve">F:\images\20210610\plaque 1/@04 EE2 76 ng_L/B4_02.tif </t>
  </si>
  <si>
    <t xml:space="preserve"> 9149.4454 </t>
  </si>
  <si>
    <t xml:space="preserve"> 64.5366 </t>
  </si>
  <si>
    <t xml:space="preserve">F:\images\20210610\plaque 1/@04 EE2 76 ng_L/B4_03.tif </t>
  </si>
  <si>
    <t xml:space="preserve"> 4239.4593 </t>
  </si>
  <si>
    <t xml:space="preserve"> 63.1684 </t>
  </si>
  <si>
    <t xml:space="preserve">F:\images\20210610\plaque 1/@04 EE2 76 ng_L/C4_01.tif </t>
  </si>
  <si>
    <t xml:space="preserve"> 63.5093 </t>
  </si>
  <si>
    <t xml:space="preserve">F:\images\20210610\plaque 1/@04 EE2 76 ng_L/C4_02.tif </t>
  </si>
  <si>
    <t xml:space="preserve"> 5580.5128 </t>
  </si>
  <si>
    <t xml:space="preserve"> 63.9922 </t>
  </si>
  <si>
    <t xml:space="preserve">F:\images\20210610\plaque 1/@04 EE2 76 ng_L/C4_03.tif </t>
  </si>
  <si>
    <t xml:space="preserve"> 65.2528 </t>
  </si>
  <si>
    <t>F:\images\20210610\plaque 1/@04 EE2 76 ng_L/D4_01- exclu.tif</t>
  </si>
  <si>
    <t xml:space="preserve">F:\images\20210610\plaque 1/@04 EE2 76 ng_L/D4_02.tif </t>
  </si>
  <si>
    <t xml:space="preserve"> 63.1138 </t>
  </si>
  <si>
    <t xml:space="preserve">F:\images\20210610\plaque 1/@04 EE2 76 ng_L/D4_03.tif </t>
  </si>
  <si>
    <t xml:space="preserve">F:\images\20210610\plaque 1/@04 EE2 76 ng_L/E4_01.tif </t>
  </si>
  <si>
    <t xml:space="preserve"> 66.5257 </t>
  </si>
  <si>
    <t>F:\images\20210610\plaque 1/@04 EE2 76 ng_L/E4_02- exclu.tif</t>
  </si>
  <si>
    <t xml:space="preserve">F:\images\20210610\plaque 1/@04 EE2 76 ng_L/E4_03.tif </t>
  </si>
  <si>
    <t xml:space="preserve"> 3157.9646 </t>
  </si>
  <si>
    <t xml:space="preserve"> 66.2603 </t>
  </si>
  <si>
    <t xml:space="preserve">F:\images\20210610\plaque 1/@04 EE2 76 ng_L/F4_01.tif </t>
  </si>
  <si>
    <t xml:space="preserve"> 5926.5911 </t>
  </si>
  <si>
    <t xml:space="preserve"> 64.7628 </t>
  </si>
  <si>
    <t xml:space="preserve">F:\images\20210610\plaque 1/@04 EE2 76 ng_L/F4_02.tif </t>
  </si>
  <si>
    <t xml:space="preserve"> 11161.0256 </t>
  </si>
  <si>
    <t xml:space="preserve"> 64.8488 </t>
  </si>
  <si>
    <t xml:space="preserve">F:\images\20210610\plaque 1/@04 EE2 76 ng_L/F4_03.tif </t>
  </si>
  <si>
    <t xml:space="preserve"> 64.6824 </t>
  </si>
  <si>
    <t>F:\images\20210610\plaque 1/@04 EE2 76 ng_L/G4_01- exclu.tif</t>
  </si>
  <si>
    <t>F:\images\20210610\plaque 1/@04 EE2 76 ng_L/G4_02- exclu.tif</t>
  </si>
  <si>
    <t>F:\images\20210610\plaque 1/@04 EE2 76 ng_L/G4_03- exclu.tif</t>
  </si>
  <si>
    <t xml:space="preserve">F:\images\20210610\plaque 1/@04 EE2 76 ng_L/H4_01.tif </t>
  </si>
  <si>
    <t xml:space="preserve"> 3936.6408 </t>
  </si>
  <si>
    <t xml:space="preserve"> 63.6648 </t>
  </si>
  <si>
    <t xml:space="preserve">F:\images\20210610\plaque 1/@04 EE2 76 ng_L/H4_02.tif </t>
  </si>
  <si>
    <t xml:space="preserve"> 63.6848 </t>
  </si>
  <si>
    <t xml:space="preserve">F:\images\20210610\plaque 1/@04 EE2 76 ng_L/H4_03.tif </t>
  </si>
  <si>
    <t xml:space="preserve"> 63.3281 </t>
  </si>
  <si>
    <t xml:space="preserve">F:\images\20210610\plaque 1/@04 EE2 76 ng_L/ </t>
  </si>
  <si>
    <t xml:space="preserve"> 65.4712 </t>
  </si>
  <si>
    <t xml:space="preserve"> 3.0558 </t>
  </si>
  <si>
    <t xml:space="preserve"> 390223.208 </t>
  </si>
  <si>
    <t xml:space="preserve"> 191322.632 </t>
  </si>
  <si>
    <t xml:space="preserve">F:\images\20210610\plaque 1/@05 EE2 114 ng_L/A5_01.tif </t>
  </si>
  <si>
    <t xml:space="preserve"> 8197.7301 </t>
  </si>
  <si>
    <t xml:space="preserve"> 66.5884 </t>
  </si>
  <si>
    <t xml:space="preserve">F:\images\20210610\plaque 1/@05 EE2 114 ng_L/A5_02.tif </t>
  </si>
  <si>
    <t xml:space="preserve"> 66.0509 </t>
  </si>
  <si>
    <t xml:space="preserve">F:\images\20210610\plaque 1/@05 EE2 114 ng_L/A5_03.tif </t>
  </si>
  <si>
    <t xml:space="preserve"> 6813.4168 </t>
  </si>
  <si>
    <t xml:space="preserve"> 65.8444 </t>
  </si>
  <si>
    <t xml:space="preserve">F:\images\20210610\plaque 1/@05 EE2 114 ng_L/B5_01.tif </t>
  </si>
  <si>
    <t xml:space="preserve"> 17476.9549 </t>
  </si>
  <si>
    <t xml:space="preserve"> 67.172 </t>
  </si>
  <si>
    <t xml:space="preserve">F:\images\20210610\plaque 1/@05 EE2 114 ng_L/B5_02.tif </t>
  </si>
  <si>
    <t xml:space="preserve"> 9993.0113 </t>
  </si>
  <si>
    <t xml:space="preserve"> 63.816 </t>
  </si>
  <si>
    <t xml:space="preserve">F:\images\20210610\plaque 1/@05 EE2 114 ng_L/B5_03.tif </t>
  </si>
  <si>
    <t xml:space="preserve"> 14729.9582 </t>
  </si>
  <si>
    <t xml:space="preserve"> 66.0984 </t>
  </si>
  <si>
    <t xml:space="preserve">F:\images\20210610\plaque 1/@05 EE2 114 ng_L/C5_01.tif </t>
  </si>
  <si>
    <t xml:space="preserve"> 67.8318 </t>
  </si>
  <si>
    <t xml:space="preserve">F:\images\20210610\plaque 1/@05 EE2 114 ng_L/C5_02.tif </t>
  </si>
  <si>
    <t xml:space="preserve"> 72.7176 </t>
  </si>
  <si>
    <t xml:space="preserve">F:\images\20210610\plaque 1/@05 EE2 114 ng_L/C5_03.tif </t>
  </si>
  <si>
    <t xml:space="preserve"> 3201.2244 </t>
  </si>
  <si>
    <t xml:space="preserve"> 63.6689 </t>
  </si>
  <si>
    <t xml:space="preserve">F:\images\20210610\plaque 1/@05 EE2 114 ng_L/D5_01.tif </t>
  </si>
  <si>
    <t xml:space="preserve"> 73.8617 </t>
  </si>
  <si>
    <t xml:space="preserve">F:\images\20210610\plaque 1/@05 EE2 114 ng_L/D5_02.tif </t>
  </si>
  <si>
    <t xml:space="preserve"> 37462.9775 </t>
  </si>
  <si>
    <t xml:space="preserve"> 73.0035 </t>
  </si>
  <si>
    <t xml:space="preserve">F:\images\20210610\plaque 1/@05 EE2 114 ng_L/D5_03.tif </t>
  </si>
  <si>
    <t xml:space="preserve"> 37311.5682 </t>
  </si>
  <si>
    <t xml:space="preserve"> 74.2765 </t>
  </si>
  <si>
    <t xml:space="preserve">F:\images\20210610\plaque 1/@05 EE2 114 ng_L/E5_01.tif </t>
  </si>
  <si>
    <t xml:space="preserve"> 69.8816 </t>
  </si>
  <si>
    <t xml:space="preserve">F:\images\20210610\plaque 1/@05 EE2 114 ng_L/E5_02.tif </t>
  </si>
  <si>
    <t xml:space="preserve"> 71.6937 </t>
  </si>
  <si>
    <t xml:space="preserve">F:\images\20210610\plaque 1/@05 EE2 114 ng_L/E5_03.tif </t>
  </si>
  <si>
    <t xml:space="preserve"> 70.3144 </t>
  </si>
  <si>
    <t xml:space="preserve">F:\images\20210610\plaque 1/@05 EE2 114 ng_L/F5_01.tif </t>
  </si>
  <si>
    <t xml:space="preserve"> 24549.9304 </t>
  </si>
  <si>
    <t xml:space="preserve"> 66.5648 </t>
  </si>
  <si>
    <t>F:\images\20210610\plaque 1/@05 EE2 114 ng_L/F5_02- exclu.tif</t>
  </si>
  <si>
    <t xml:space="preserve">F:\images\20210610\plaque 1/@05 EE2 114 ng_L/F5_03.tif </t>
  </si>
  <si>
    <t xml:space="preserve"> 14643.4387 </t>
  </si>
  <si>
    <t xml:space="preserve"> 65.223 </t>
  </si>
  <si>
    <t xml:space="preserve">F:\images\20210610\plaque 1/@05 EE2 114 ng_L/G5_01.tif </t>
  </si>
  <si>
    <t xml:space="preserve"> 7224.3848 </t>
  </si>
  <si>
    <t xml:space="preserve"> 63.9222 </t>
  </si>
  <si>
    <t xml:space="preserve">F:\images\20210610\plaque 1/@05 EE2 114 ng_L/G5_02.tif </t>
  </si>
  <si>
    <t xml:space="preserve"> 65.2488 </t>
  </si>
  <si>
    <t xml:space="preserve">F:\images\20210610\plaque 1/@05 EE2 114 ng_L/G5_03.tif </t>
  </si>
  <si>
    <t xml:space="preserve"> 64.4136 </t>
  </si>
  <si>
    <t xml:space="preserve">F:\images\20210610\plaque 1/@05 EE2 114 ng_L/H5_01.tif </t>
  </si>
  <si>
    <t xml:space="preserve"> 21110.7772 </t>
  </si>
  <si>
    <t xml:space="preserve"> 67.8156 </t>
  </si>
  <si>
    <t xml:space="preserve">F:\images\20210610\plaque 1/@05 EE2 114 ng_L/H5_02.tif </t>
  </si>
  <si>
    <t xml:space="preserve"> 67.2826 </t>
  </si>
  <si>
    <t xml:space="preserve">F:\images\20210610\plaque 1/@05 EE2 114 ng_L/H5_03.tif </t>
  </si>
  <si>
    <t xml:space="preserve"> 13194.2357 </t>
  </si>
  <si>
    <t xml:space="preserve"> 65.4869 </t>
  </si>
  <si>
    <t xml:space="preserve">F:\images\20210610\plaque 1/@05 EE2 114 ng_L/ </t>
  </si>
  <si>
    <t xml:space="preserve"> 67.5668 </t>
  </si>
  <si>
    <t xml:space="preserve"> 3.4299 </t>
  </si>
  <si>
    <t xml:space="preserve"> 1166927.33 </t>
  </si>
  <si>
    <t xml:space="preserve"> 814501.305 </t>
  </si>
  <si>
    <t xml:space="preserve">F:\images\20210610\plaque 1/@06 EE2 170.9 ng_L/A6_01.tif </t>
  </si>
  <si>
    <t xml:space="preserve"> 46071.6756 </t>
  </si>
  <si>
    <t xml:space="preserve"> 71.8962 </t>
  </si>
  <si>
    <t xml:space="preserve">F:\images\20210610\plaque 1/@06 EE2 170.9 ng_L/A6_02.tif </t>
  </si>
  <si>
    <t xml:space="preserve"> 74.2664 </t>
  </si>
  <si>
    <t xml:space="preserve">F:\images\20210610\plaque 1/@06 EE2 170.9 ng_L/A6_03.tif </t>
  </si>
  <si>
    <t xml:space="preserve"> 65.4703 </t>
  </si>
  <si>
    <t xml:space="preserve">F:\images\20210610\plaque 1/@06 EE2 170.9 ng_L/B6_01.tif </t>
  </si>
  <si>
    <t xml:space="preserve"> 41442.8781 </t>
  </si>
  <si>
    <t xml:space="preserve"> 84.1336 </t>
  </si>
  <si>
    <t xml:space="preserve">F:\images\20210610\plaque 1/@06 EE2 170.9 ng_L/B6_02.tif </t>
  </si>
  <si>
    <t xml:space="preserve"> 43346.3088 </t>
  </si>
  <si>
    <t xml:space="preserve"> 83.5649 </t>
  </si>
  <si>
    <t xml:space="preserve">F:\images\20210610\plaque 1/@06 EE2 170.9 ng_L/B6_03.tif </t>
  </si>
  <si>
    <t xml:space="preserve"> 39236.6289 </t>
  </si>
  <si>
    <t xml:space="preserve"> 88.3754 </t>
  </si>
  <si>
    <t xml:space="preserve">F:\images\20210610\plaque 1/@06 EE2 170.9 ng_L/C6_01.tif </t>
  </si>
  <si>
    <t xml:space="preserve"> 45184.8499 </t>
  </si>
  <si>
    <t xml:space="preserve"> 69.5649 </t>
  </si>
  <si>
    <t xml:space="preserve">F:\images\20210610\plaque 1/@06 EE2 170.9 ng_L/C6_02.tif </t>
  </si>
  <si>
    <t xml:space="preserve"> 48018.3661 </t>
  </si>
  <si>
    <t xml:space="preserve"> 70.3018 </t>
  </si>
  <si>
    <t xml:space="preserve">F:\images\20210610\plaque 1/@06 EE2 170.9 ng_L/C6_03.tif </t>
  </si>
  <si>
    <t xml:space="preserve"> 44946.921 </t>
  </si>
  <si>
    <t xml:space="preserve"> 70.2238 </t>
  </si>
  <si>
    <t xml:space="preserve">F:\images\20210610\plaque 1/@06 EE2 170.9 ng_L/D6_01.tif </t>
  </si>
  <si>
    <t xml:space="preserve"> 18147.4816 </t>
  </si>
  <si>
    <t xml:space="preserve"> 67.7282 </t>
  </si>
  <si>
    <t xml:space="preserve">F:\images\20210610\plaque 1/@06 EE2 170.9 ng_L/D6_02.tif </t>
  </si>
  <si>
    <t xml:space="preserve"> 18255.6311 </t>
  </si>
  <si>
    <t xml:space="preserve"> 67.8306 </t>
  </si>
  <si>
    <t xml:space="preserve">F:\images\20210610\plaque 1/@06 EE2 170.9 ng_L/D6_03.tif </t>
  </si>
  <si>
    <t xml:space="preserve"> 17260.6559 </t>
  </si>
  <si>
    <t xml:space="preserve"> 67.4236 </t>
  </si>
  <si>
    <t xml:space="preserve">F:\images\20210610\plaque 1/@06 EE2 170.9 ng_L/E6_01.tif </t>
  </si>
  <si>
    <t xml:space="preserve"> 26410.1013 </t>
  </si>
  <si>
    <t xml:space="preserve"> 70.8436 </t>
  </si>
  <si>
    <t xml:space="preserve">F:\images\20210610\plaque 1/@06 EE2 170.9 ng_L/E6_02.tif </t>
  </si>
  <si>
    <t xml:space="preserve"> 70.9382 </t>
  </si>
  <si>
    <t xml:space="preserve">F:\images\20210610\plaque 1/@06 EE2 170.9 ng_L/E6_03.tif </t>
  </si>
  <si>
    <t xml:space="preserve"> 25696.3148 </t>
  </si>
  <si>
    <t xml:space="preserve"> 68.6726 </t>
  </si>
  <si>
    <t xml:space="preserve">F:\images\20210610\plaque 1/@06 EE2 170.9 ng_L/F6_01.tif </t>
  </si>
  <si>
    <t xml:space="preserve"> 73.9266 </t>
  </si>
  <si>
    <t xml:space="preserve">F:\images\20210610\plaque 1/@06 EE2 170.9 ng_L/F6_02.tif </t>
  </si>
  <si>
    <t xml:space="preserve"> 73.7049 </t>
  </si>
  <si>
    <t xml:space="preserve">F:\images\20210610\plaque 1/@06 EE2 170.9 ng_L/F6_03.tif </t>
  </si>
  <si>
    <t xml:space="preserve"> 25739.5746 </t>
  </si>
  <si>
    <t xml:space="preserve"> 68.9555 </t>
  </si>
  <si>
    <t xml:space="preserve">F:\images\20210610\plaque 1/@06 EE2 170.9 ng_L/G6_01.tif </t>
  </si>
  <si>
    <t xml:space="preserve"> 37376.4579 </t>
  </si>
  <si>
    <t xml:space="preserve"> 71.2604 </t>
  </si>
  <si>
    <t xml:space="preserve">F:\images\20210610\plaque 1/@06 EE2 170.9 ng_L/G6_02.tif </t>
  </si>
  <si>
    <t xml:space="preserve"> 32639.511 </t>
  </si>
  <si>
    <t xml:space="preserve"> 71.0384 </t>
  </si>
  <si>
    <t xml:space="preserve">F:\images\20210610\plaque 1/@06 EE2 170.9 ng_L/G6_03.tif </t>
  </si>
  <si>
    <t xml:space="preserve"> 32423.212 </t>
  </si>
  <si>
    <t xml:space="preserve"> 70.4003 </t>
  </si>
  <si>
    <t xml:space="preserve">F:\images\20210610\plaque 1/@06 EE2 170.9 ng_L/H6_01.tif </t>
  </si>
  <si>
    <t xml:space="preserve"> 62640.1748 </t>
  </si>
  <si>
    <t xml:space="preserve"> 76.566 </t>
  </si>
  <si>
    <t xml:space="preserve">F:\images\20210610\plaque 1/@06 EE2 170.9 ng_L/H6_02.tif </t>
  </si>
  <si>
    <t xml:space="preserve"> 76.2778 </t>
  </si>
  <si>
    <t xml:space="preserve">F:\images\20210610\plaque 1/@06 EE2 170.9 ng_L/H6_03.tif </t>
  </si>
  <si>
    <t xml:space="preserve"> 79.129 </t>
  </si>
  <si>
    <t xml:space="preserve">F:\images\20210610\plaque 1/@06 EE2 170.9 ng_L/ </t>
  </si>
  <si>
    <t xml:space="preserve"> 73.0205 </t>
  </si>
  <si>
    <t xml:space="preserve"> 5.763 </t>
  </si>
  <si>
    <t xml:space="preserve"> 2582079.54 </t>
  </si>
  <si>
    <t xml:space="preserve"> 1119630.66 </t>
  </si>
  <si>
    <t xml:space="preserve">F:\images\20210610\plaque 1/@07 EE2 488 ng_L/A7_01.tif </t>
  </si>
  <si>
    <t xml:space="preserve"> 31817.575 </t>
  </si>
  <si>
    <t xml:space="preserve"> 74.981 </t>
  </si>
  <si>
    <t xml:space="preserve">F:\images\20210610\plaque 1/@07 EE2 488 ng_L/A7_02.tif </t>
  </si>
  <si>
    <t xml:space="preserve"> 35299.988 </t>
  </si>
  <si>
    <t xml:space="preserve"> 74.4369 </t>
  </si>
  <si>
    <t xml:space="preserve">F:\images\20210610\plaque 1/@07 EE2 488 ng_L/A7_03.tif </t>
  </si>
  <si>
    <t xml:space="preserve"> 33050.479 </t>
  </si>
  <si>
    <t xml:space="preserve"> 71.5013 </t>
  </si>
  <si>
    <t xml:space="preserve">F:\images\20210610\plaque 1/@07 EE2 488 ng_L/B7_01.tif </t>
  </si>
  <si>
    <t xml:space="preserve"> 81804.2615 </t>
  </si>
  <si>
    <t xml:space="preserve"> 98.7975 </t>
  </si>
  <si>
    <t xml:space="preserve">F:\images\20210610\plaque 1/@07 EE2 488 ng_L/B7_02.tif </t>
  </si>
  <si>
    <t xml:space="preserve"> 72525.0367 </t>
  </si>
  <si>
    <t xml:space="preserve"> 97.4644 </t>
  </si>
  <si>
    <t xml:space="preserve">F:\images\20210610\plaque 1/@07 EE2 488 ng_L/B7_03.tif </t>
  </si>
  <si>
    <t xml:space="preserve"> 81479.8131 </t>
  </si>
  <si>
    <t xml:space="preserve"> 96.4871 </t>
  </si>
  <si>
    <t xml:space="preserve">F:\images\20210610\plaque 1/@07 EE2 488 ng_L/C7_01.tif </t>
  </si>
  <si>
    <t xml:space="preserve"> 83880.7314 </t>
  </si>
  <si>
    <t xml:space="preserve"> 91.3767 </t>
  </si>
  <si>
    <t xml:space="preserve">F:\images\20210610\plaque 1/@07 EE2 488 ng_L/C7_02.tif </t>
  </si>
  <si>
    <t xml:space="preserve"> 79165.4143 </t>
  </si>
  <si>
    <t xml:space="preserve"> 91.7691 </t>
  </si>
  <si>
    <t xml:space="preserve">F:\images\20210610\plaque 1/@07 EE2 488 ng_L/C7_03.tif </t>
  </si>
  <si>
    <t xml:space="preserve"> 81414.9234 </t>
  </si>
  <si>
    <t xml:space="preserve"> 91.5074 </t>
  </si>
  <si>
    <t xml:space="preserve">F:\images\20210610\plaque 1/@07 EE2 488 ng_L/D7_01.tif </t>
  </si>
  <si>
    <t xml:space="preserve"> 57211.0713 </t>
  </si>
  <si>
    <t xml:space="preserve"> 87.5376 </t>
  </si>
  <si>
    <t xml:space="preserve">F:\images\20210610\plaque 1/@07 EE2 488 ng_L/D7_02.tif </t>
  </si>
  <si>
    <t xml:space="preserve"> 62315.7264 </t>
  </si>
  <si>
    <t xml:space="preserve"> 85.0646 </t>
  </si>
  <si>
    <t xml:space="preserve">F:\images\20210610\plaque 1/@07 EE2 488 ng_L/D7_03.tif </t>
  </si>
  <si>
    <t xml:space="preserve"> 50613.9534 </t>
  </si>
  <si>
    <t xml:space="preserve"> 92.6205 </t>
  </si>
  <si>
    <t xml:space="preserve">F:\images\20210610\plaque 1/@07 EE2 488 ng_L/E7_01.tif </t>
  </si>
  <si>
    <t xml:space="preserve"> 53166.281 </t>
  </si>
  <si>
    <t xml:space="preserve"> 77.6819 </t>
  </si>
  <si>
    <t xml:space="preserve">F:\images\20210610\plaque 1/@07 EE2 488 ng_L/E7_02.tif </t>
  </si>
  <si>
    <t xml:space="preserve"> 48148.1454 </t>
  </si>
  <si>
    <t xml:space="preserve"> 79.5615 </t>
  </si>
  <si>
    <t xml:space="preserve">F:\images\20210610\plaque 1/@07 EE2 488 ng_L/E7_03.tif </t>
  </si>
  <si>
    <t xml:space="preserve"> 51457.5193 </t>
  </si>
  <si>
    <t xml:space="preserve"> 80.1602 </t>
  </si>
  <si>
    <t xml:space="preserve">F:\images\20210610\plaque 1/@07 EE2 488 ng_L/F7_01.tif </t>
  </si>
  <si>
    <t xml:space="preserve"> 57102.9218 </t>
  </si>
  <si>
    <t xml:space="preserve"> 87.375 </t>
  </si>
  <si>
    <t xml:space="preserve">F:\images\20210610\plaque 1/@07 EE2 488 ng_L/F7_02.tif </t>
  </si>
  <si>
    <t xml:space="preserve"> 30152.0731 </t>
  </si>
  <si>
    <t xml:space="preserve"> 101.3816 </t>
  </si>
  <si>
    <t xml:space="preserve">F:\images\20210610\plaque 1/@07 EE2 488 ng_L/F7_03.tif </t>
  </si>
  <si>
    <t xml:space="preserve"> 44644.1025 </t>
  </si>
  <si>
    <t xml:space="preserve"> 98.7897 </t>
  </si>
  <si>
    <t xml:space="preserve">F:\images\20210610\plaque 1/@07 EE2 488 ng_L/G7_01.tif </t>
  </si>
  <si>
    <t xml:space="preserve"> 57275.961 </t>
  </si>
  <si>
    <t xml:space="preserve"> 92.1635 </t>
  </si>
  <si>
    <t xml:space="preserve">F:\images\20210610\plaque 1/@07 EE2 488 ng_L/G7_02.tif </t>
  </si>
  <si>
    <t xml:space="preserve"> 60044.5875 </t>
  </si>
  <si>
    <t xml:space="preserve"> 86.9809 </t>
  </si>
  <si>
    <t xml:space="preserve">F:\images\20210610\plaque 1/@07 EE2 488 ng_L/G7_03.tif </t>
  </si>
  <si>
    <t xml:space="preserve"> 53101.3913 </t>
  </si>
  <si>
    <t xml:space="preserve"> 94.4122 </t>
  </si>
  <si>
    <t xml:space="preserve">F:\images\20210610\plaque 1/@07 EE2 488 ng_L/H7_01.tif </t>
  </si>
  <si>
    <t xml:space="preserve"> 59785.0288 </t>
  </si>
  <si>
    <t xml:space="preserve"> 83.0279 </t>
  </si>
  <si>
    <t xml:space="preserve">F:\images\20210610\plaque 1/@07 EE2 488 ng_L/H7_02.tif </t>
  </si>
  <si>
    <t xml:space="preserve"> 65408.8014 </t>
  </si>
  <si>
    <t xml:space="preserve"> 80.5258 </t>
  </si>
  <si>
    <t xml:space="preserve">F:\images\20210610\plaque 1/@07 EE2 488 ng_L/H7_03.tif </t>
  </si>
  <si>
    <t xml:space="preserve"> 81.4339 </t>
  </si>
  <si>
    <t xml:space="preserve">F:\images\20210610\plaque 1/@07 EE2 488 ng_L/ </t>
  </si>
  <si>
    <t xml:space="preserve"> 87.3766 </t>
  </si>
  <si>
    <t xml:space="preserve"> 8.5486 </t>
  </si>
  <si>
    <t xml:space="preserve"> 5089242.92 </t>
  </si>
  <si>
    <t xml:space="preserve"> 1715135.74 </t>
  </si>
  <si>
    <t xml:space="preserve">F:\images\20210610\plaque 1/@08 Atrazine 0.625 mg_L/A8_01.tif </t>
  </si>
  <si>
    <t xml:space="preserve"> 64.9375 </t>
  </si>
  <si>
    <t>F:\images\20210610\plaque 1/@08 Atrazine 0.625 mg_L/A8_02- exclu.tif</t>
  </si>
  <si>
    <t>F:\images\20210610\plaque 1/@08 Atrazine 0.625 mg_L/A8_03- exclu.tif</t>
  </si>
  <si>
    <t>F:\images\20210610\plaque 1/@08 Atrazine 0.625 mg_L/B8_01- exclu.tif</t>
  </si>
  <si>
    <t xml:space="preserve">F:\images\20210610\plaque 1/@08 Atrazine 0.625 mg_L/B8_02.tif </t>
  </si>
  <si>
    <t xml:space="preserve"> 9019.6661 </t>
  </si>
  <si>
    <t xml:space="preserve"> 71.4556 </t>
  </si>
  <si>
    <t xml:space="preserve">F:\images\20210610\plaque 1/@08 Atrazine 0.625 mg_L/B8_03.tif </t>
  </si>
  <si>
    <t xml:space="preserve"> 7072.9755 </t>
  </si>
  <si>
    <t xml:space="preserve"> 64.1254 </t>
  </si>
  <si>
    <t xml:space="preserve">F:\images\20210610\plaque 1/@08 Atrazine 0.625 mg_L/C8_01.tif </t>
  </si>
  <si>
    <t xml:space="preserve"> 63.4643 </t>
  </si>
  <si>
    <t xml:space="preserve">F:\images\20210610\plaque 1/@08 Atrazine 0.625 mg_L/C8_02.tif </t>
  </si>
  <si>
    <t xml:space="preserve"> 64.642 </t>
  </si>
  <si>
    <t xml:space="preserve">F:\images\20210610\plaque 1/@08 Atrazine 0.625 mg_L/C8_03.tif </t>
  </si>
  <si>
    <t xml:space="preserve"> 63.383 </t>
  </si>
  <si>
    <t xml:space="preserve">F:\images\20210610\plaque 1/@08 Atrazine 0.625 mg_L/D8_01.tif </t>
  </si>
  <si>
    <t xml:space="preserve">F:\images\20210610\plaque 1/@08 Atrazine 0.625 mg_L/D8_02.tif </t>
  </si>
  <si>
    <t xml:space="preserve"> 64.0702 </t>
  </si>
  <si>
    <t xml:space="preserve">F:\images\20210610\plaque 1/@08 Atrazine 0.625 mg_L/D8_03.tif </t>
  </si>
  <si>
    <t xml:space="preserve"> 65.4299 </t>
  </si>
  <si>
    <t xml:space="preserve">F:\images\20210610\plaque 1/@08 Atrazine 0.625 mg_L/E8_01.tif </t>
  </si>
  <si>
    <t xml:space="preserve"> 2768.6265 </t>
  </si>
  <si>
    <t xml:space="preserve"> 64.1172 </t>
  </si>
  <si>
    <t xml:space="preserve">F:\images\20210610\plaque 1/@08 Atrazine 0.625 mg_L/E8_02.tif </t>
  </si>
  <si>
    <t xml:space="preserve"> 2790.2564 </t>
  </si>
  <si>
    <t xml:space="preserve">F:\images\20210610\plaque 1/@08 Atrazine 0.625 mg_L/E8_03.tif </t>
  </si>
  <si>
    <t xml:space="preserve"> 66.9801 </t>
  </si>
  <si>
    <t xml:space="preserve">F:\images\20210610\plaque 1/@08 Atrazine 0.625 mg_L/F8_01.tif </t>
  </si>
  <si>
    <t xml:space="preserve"> 67.3234 </t>
  </si>
  <si>
    <t>F:\images\20210610\plaque 1/@08 Atrazine 0.625 mg_L/F8_02- exclu.tif</t>
  </si>
  <si>
    <t xml:space="preserve">F:\images\20210610\plaque 1/@08 Atrazine 0.625 mg_L/F8_03.tif </t>
  </si>
  <si>
    <t xml:space="preserve"> 63.6949 </t>
  </si>
  <si>
    <t xml:space="preserve">F:\images\20210610\plaque 1/@08 Atrazine 0.625 mg_L/G8_01.tif </t>
  </si>
  <si>
    <t xml:space="preserve"> 67.9107 </t>
  </si>
  <si>
    <t xml:space="preserve">F:\images\20210610\plaque 1/@08 Atrazine 0.625 mg_L/G8_02.tif </t>
  </si>
  <si>
    <t xml:space="preserve"> 65.9769 </t>
  </si>
  <si>
    <t xml:space="preserve">F:\images\20210610\plaque 1/@08 Atrazine 0.625 mg_L/G8_03.tif </t>
  </si>
  <si>
    <t xml:space="preserve"> 64.3158 </t>
  </si>
  <si>
    <t xml:space="preserve">F:\images\20210610\plaque 1/@08 Atrazine 0.625 mg_L/H8_01.tif </t>
  </si>
  <si>
    <t xml:space="preserve"> 1881.8008 </t>
  </si>
  <si>
    <t xml:space="preserve"> 65.5977 </t>
  </si>
  <si>
    <t xml:space="preserve">F:\images\20210610\plaque 1/@08 Atrazine 0.625 mg_L/H8_02.tif </t>
  </si>
  <si>
    <t xml:space="preserve"> 6186.1499 </t>
  </si>
  <si>
    <t xml:space="preserve"> 72.3427 </t>
  </si>
  <si>
    <t xml:space="preserve">F:\images\20210610\plaque 1/@08 Atrazine 0.625 mg_L/H8_03.tif </t>
  </si>
  <si>
    <t xml:space="preserve">F:\images\20210610\plaque 1/@08 Atrazine 0.625 mg_L/ </t>
  </si>
  <si>
    <t xml:space="preserve"> 65.4574 </t>
  </si>
  <si>
    <t xml:space="preserve"> 2.5693 </t>
  </si>
  <si>
    <t xml:space="preserve"> 186177.542 </t>
  </si>
  <si>
    <t xml:space="preserve"> 166437.297 </t>
  </si>
  <si>
    <t xml:space="preserve">F:\images\20210610\plaque 1/@09 Atrazine 1.25 mg_L/A9_01.tif </t>
  </si>
  <si>
    <t xml:space="preserve"> 66.2077 </t>
  </si>
  <si>
    <t xml:space="preserve">F:\images\20210610\plaque 1/@09 Atrazine 1.25 mg_L/A9_02.tif </t>
  </si>
  <si>
    <t xml:space="preserve"> 69.7716 </t>
  </si>
  <si>
    <t xml:space="preserve">F:\images\20210610\plaque 1/@09 Atrazine 1.25 mg_L/A9_03.tif </t>
  </si>
  <si>
    <t xml:space="preserve"> 4109.68 </t>
  </si>
  <si>
    <t xml:space="preserve"> 66.0842 </t>
  </si>
  <si>
    <t xml:space="preserve">F:\images\20210610\plaque 1/@09 Atrazine 1.25 mg_L/B9_01.tif </t>
  </si>
  <si>
    <t xml:space="preserve"> 63.8611 </t>
  </si>
  <si>
    <t xml:space="preserve">F:\images\20210610\plaque 1/@09 Atrazine 1.25 mg_L/B9_02.tif </t>
  </si>
  <si>
    <t xml:space="preserve"> 64.0667 </t>
  </si>
  <si>
    <t xml:space="preserve">F:\images\20210610\plaque 1/@09 Atrazine 1.25 mg_L/B9_03.tif </t>
  </si>
  <si>
    <t xml:space="preserve"> 62.6875 </t>
  </si>
  <si>
    <t xml:space="preserve">F:\images\20210610\plaque 1/@09 Atrazine 1.25 mg_L/C9_01.tif </t>
  </si>
  <si>
    <t xml:space="preserve"> 3114.7048 </t>
  </si>
  <si>
    <t xml:space="preserve"> 65.1319 </t>
  </si>
  <si>
    <t xml:space="preserve">F:\images\20210610\plaque 1/@09 Atrazine 1.25 mg_L/C9_02.tif </t>
  </si>
  <si>
    <t xml:space="preserve"> 63.6538 </t>
  </si>
  <si>
    <t>F:\images\20210610\plaque 1/@09 Atrazine 1.25 mg_L/C9_03- exclu.tif</t>
  </si>
  <si>
    <t xml:space="preserve">F:\images\20210610\plaque 1/@09 Atrazine 1.25 mg_L/D9_01.tif </t>
  </si>
  <si>
    <t xml:space="preserve"> 5861.7014 </t>
  </si>
  <si>
    <t xml:space="preserve"> 74.4059 </t>
  </si>
  <si>
    <t>F:\images\20210610\plaque 1/@09 Atrazine 1.25 mg_L/D9_02- exclu.tif</t>
  </si>
  <si>
    <t>F:\images\20210610\plaque 1/@09 Atrazine 1.25 mg_L/D9_03- exclu.tif</t>
  </si>
  <si>
    <t xml:space="preserve">F:\images\20210610\plaque 1/@09 Atrazine 1.25 mg_L/E9_01.tif </t>
  </si>
  <si>
    <t xml:space="preserve"> 65.3131 </t>
  </si>
  <si>
    <t xml:space="preserve">F:\images\20210610\plaque 1/@09 Atrazine 1.25 mg_L/E9_02.tif </t>
  </si>
  <si>
    <t xml:space="preserve"> 67.3779 </t>
  </si>
  <si>
    <t xml:space="preserve">F:\images\20210610\plaque 1/@09 Atrazine 1.25 mg_L/E9_03.tif </t>
  </si>
  <si>
    <t xml:space="preserve"> 3093.0749 </t>
  </si>
  <si>
    <t xml:space="preserve"> 66.1259 </t>
  </si>
  <si>
    <t xml:space="preserve">F:\images\20210610\plaque 1/@09 Atrazine 1.25 mg_L/F9_01.tif </t>
  </si>
  <si>
    <t xml:space="preserve"> 2682.1069 </t>
  </si>
  <si>
    <t xml:space="preserve"> 64.7581 </t>
  </si>
  <si>
    <t xml:space="preserve">F:\images\20210610\plaque 1/@09 Atrazine 1.25 mg_L/F9_02.tif </t>
  </si>
  <si>
    <t xml:space="preserve">F:\images\20210610\plaque 1/@09 Atrazine 1.25 mg_L/F9_03.tif </t>
  </si>
  <si>
    <t xml:space="preserve"> 3871.7511 </t>
  </si>
  <si>
    <t xml:space="preserve">F:\images\20210610\plaque 1/@09 Atrazine 1.25 mg_L/G9_01.tif </t>
  </si>
  <si>
    <t xml:space="preserve"> 67.5258 </t>
  </si>
  <si>
    <t xml:space="preserve">F:\images\20210610\plaque 1/@09 Atrazine 1.25 mg_L/G9_02.tif </t>
  </si>
  <si>
    <t xml:space="preserve"> 65.2929 </t>
  </si>
  <si>
    <t xml:space="preserve">F:\images\20210610\plaque 1/@09 Atrazine 1.25 mg_L/G9_03.tif </t>
  </si>
  <si>
    <t xml:space="preserve"> 5299.3242 </t>
  </si>
  <si>
    <t xml:space="preserve"> 64.9551 </t>
  </si>
  <si>
    <t xml:space="preserve">F:\images\20210610\plaque 1/@09 Atrazine 1.25 mg_L/H9_01.tif </t>
  </si>
  <si>
    <t xml:space="preserve"> 3071.445 </t>
  </si>
  <si>
    <t xml:space="preserve"> 63.7887 </t>
  </si>
  <si>
    <t xml:space="preserve">F:\images\20210610\plaque 1/@09 Atrazine 1.25 mg_L/H9_02.tif </t>
  </si>
  <si>
    <t xml:space="preserve"> 64.7384 </t>
  </si>
  <si>
    <t xml:space="preserve">F:\images\20210610\plaque 1/@09 Atrazine 1.25 mg_L/H9_03.tif </t>
  </si>
  <si>
    <t xml:space="preserve"> 63.9394 </t>
  </si>
  <si>
    <t xml:space="preserve">F:\images\20210610\plaque 1/@09 Atrazine 1.25 mg_L/ </t>
  </si>
  <si>
    <t xml:space="preserve"> 66.0803 </t>
  </si>
  <si>
    <t xml:space="preserve"> 3.3603 </t>
  </si>
  <si>
    <t xml:space="preserve"> 192423.208 </t>
  </si>
  <si>
    <t xml:space="preserve"> 121283.67 </t>
  </si>
  <si>
    <t xml:space="preserve">F:\images\20210610\plaque 1/@10 Atrazine 2.5 mg_L/A10_01.tif </t>
  </si>
  <si>
    <t xml:space="preserve"> 67.7825 </t>
  </si>
  <si>
    <t xml:space="preserve">F:\images\20210610\plaque 1/@10 Atrazine 2.5 mg_L/A10_02.tif </t>
  </si>
  <si>
    <t xml:space="preserve"> 62.9506 </t>
  </si>
  <si>
    <t xml:space="preserve">F:\images\20210610\plaque 1/@10 Atrazine 2.5 mg_L/A10_03.tif </t>
  </si>
  <si>
    <t xml:space="preserve"> 8976.4063 </t>
  </si>
  <si>
    <t xml:space="preserve"> 73.0458 </t>
  </si>
  <si>
    <t xml:space="preserve">F:\images\20210610\plaque 1/@10 Atrazine 2.5 mg_L/B10_01.tif </t>
  </si>
  <si>
    <t xml:space="preserve"> 64.3108 </t>
  </si>
  <si>
    <t xml:space="preserve">F:\images\20210610\plaque 1/@10 Atrazine 2.5 mg_L/B10_02.tif </t>
  </si>
  <si>
    <t xml:space="preserve"> 62.0667 </t>
  </si>
  <si>
    <t xml:space="preserve">F:\images\20210610\plaque 1/@10 Atrazine 2.5 mg_L/B10_03.tif </t>
  </si>
  <si>
    <t xml:space="preserve">F:\images\20210610\plaque 1/@10 Atrazine 2.5 mg_L/C10_01.tif </t>
  </si>
  <si>
    <t xml:space="preserve"> 19466.9052 </t>
  </si>
  <si>
    <t xml:space="preserve"> 69.6811 </t>
  </si>
  <si>
    <t xml:space="preserve">F:\images\20210610\plaque 1/@10 Atrazine 2.5 mg_L/C10_02.tif </t>
  </si>
  <si>
    <t xml:space="preserve"> 8024.6909 </t>
  </si>
  <si>
    <t xml:space="preserve"> 65.8221 </t>
  </si>
  <si>
    <t xml:space="preserve">F:\images\20210610\plaque 1/@10 Atrazine 2.5 mg_L/C10_03.tif </t>
  </si>
  <si>
    <t xml:space="preserve"> 13129.346 </t>
  </si>
  <si>
    <t xml:space="preserve"> 69.346 </t>
  </si>
  <si>
    <t xml:space="preserve">F:\images\20210610\plaque 1/@10 Atrazine 2.5 mg_L/D10_01.tif </t>
  </si>
  <si>
    <t xml:space="preserve"> 63.5763 </t>
  </si>
  <si>
    <t xml:space="preserve">F:\images\20210610\plaque 1/@10 Atrazine 2.5 mg_L/D10_02.tif </t>
  </si>
  <si>
    <t xml:space="preserve"> 65.285 </t>
  </si>
  <si>
    <t xml:space="preserve">F:\images\20210610\plaque 1/@10 Atrazine 2.5 mg_L/D10_03.tif </t>
  </si>
  <si>
    <t xml:space="preserve"> 1708.7617 </t>
  </si>
  <si>
    <t xml:space="preserve"> 63.9747 </t>
  </si>
  <si>
    <t xml:space="preserve">F:\images\20210610\plaque 1/@10 Atrazine 2.5 mg_L/E10_01.tif </t>
  </si>
  <si>
    <t xml:space="preserve"> 63.4935 </t>
  </si>
  <si>
    <t xml:space="preserve">F:\images\20210610\plaque 1/@10 Atrazine 2.5 mg_L/E10_02.tif </t>
  </si>
  <si>
    <t xml:space="preserve"> 2638.8471 </t>
  </si>
  <si>
    <t xml:space="preserve"> 64.6803 </t>
  </si>
  <si>
    <t xml:space="preserve">F:\images\20210610\plaque 1/@10 Atrazine 2.5 mg_L/E10_03.tif </t>
  </si>
  <si>
    <t xml:space="preserve"> 64.0357 </t>
  </si>
  <si>
    <t xml:space="preserve">F:\images\20210610\plaque 1/@10 Atrazine 2.5 mg_L/F10_01.tif </t>
  </si>
  <si>
    <t xml:space="preserve"> 64.952 </t>
  </si>
  <si>
    <t>F:\images\20210610\plaque 1/@10 Atrazine 2.5 mg_L/F10_02- exclu.tif</t>
  </si>
  <si>
    <t xml:space="preserve">F:\images\20210610\plaque 1/@10 Atrazine 2.5 mg_L/F10_03.tif </t>
  </si>
  <si>
    <t xml:space="preserve"> 63.9626 </t>
  </si>
  <si>
    <t xml:space="preserve">F:\images\20210610\plaque 1/@10 Atrazine 2.5 mg_L/G10_01.tif </t>
  </si>
  <si>
    <t xml:space="preserve"> 64.3291 </t>
  </si>
  <si>
    <t xml:space="preserve">F:\images\20210610\plaque 1/@10 Atrazine 2.5 mg_L/G10_02.tif </t>
  </si>
  <si>
    <t xml:space="preserve"> 64.3151 </t>
  </si>
  <si>
    <t xml:space="preserve">F:\images\20210610\plaque 1/@10 Atrazine 2.5 mg_L/G10_03.tif </t>
  </si>
  <si>
    <t xml:space="preserve"> 63.692 </t>
  </si>
  <si>
    <t xml:space="preserve">F:\images\20210610\plaque 1/@10 Atrazine 2.5 mg_L/H10_01.tif </t>
  </si>
  <si>
    <t xml:space="preserve"> 63.1053 </t>
  </si>
  <si>
    <t xml:space="preserve">F:\images\20210610\plaque 1/@10 Atrazine 2.5 mg_L/H10_02.tif </t>
  </si>
  <si>
    <t xml:space="preserve"> 61.8636 </t>
  </si>
  <si>
    <t xml:space="preserve">F:\images\20210610\plaque 1/@10 Atrazine 2.5 mg_L/H10_03.tif </t>
  </si>
  <si>
    <t xml:space="preserve">F:\images\20210610\plaque 1/@10 Atrazine 2.5 mg_L/ </t>
  </si>
  <si>
    <t xml:space="preserve"> 64.8388 </t>
  </si>
  <si>
    <t xml:space="preserve"> 2.6339 </t>
  </si>
  <si>
    <t xml:space="preserve"> 283687.75 </t>
  </si>
  <si>
    <t xml:space="preserve"> 327883.988 </t>
  </si>
  <si>
    <t xml:space="preserve">F:\images\20210610\plaque 1/@11 Atrazine 5 mg_L/A11_01.tif </t>
  </si>
  <si>
    <t xml:space="preserve"> 64.7353 </t>
  </si>
  <si>
    <t xml:space="preserve">F:\images\20210610\plaque 1/@11 Atrazine 5 mg_L/A11_02.tif </t>
  </si>
  <si>
    <t xml:space="preserve"> 64.4211 </t>
  </si>
  <si>
    <t xml:space="preserve">F:\images\20210610\plaque 1/@11 Atrazine 5 mg_L/A11_03.tif </t>
  </si>
  <si>
    <t xml:space="preserve"> 63.8333 </t>
  </si>
  <si>
    <t xml:space="preserve">F:\images\20210610\plaque 1/@11 Atrazine 5 mg_L/B11_01.tif </t>
  </si>
  <si>
    <t xml:space="preserve"> 64.2857 </t>
  </si>
  <si>
    <t xml:space="preserve">F:\images\20210610\plaque 1/@11 Atrazine 5 mg_L/B11_02.tif </t>
  </si>
  <si>
    <t xml:space="preserve"> 65.4831 </t>
  </si>
  <si>
    <t xml:space="preserve">F:\images\20210610\plaque 1/@11 Atrazine 5 mg_L/B11_03.tif </t>
  </si>
  <si>
    <t xml:space="preserve">F:\images\20210610\plaque 1/@11 Atrazine 5 mg_L/C11_01.tif </t>
  </si>
  <si>
    <t xml:space="preserve">F:\images\20210610\plaque 1/@11 Atrazine 5 mg_L/C11_02.tif </t>
  </si>
  <si>
    <t xml:space="preserve"> 64.7719 </t>
  </si>
  <si>
    <t xml:space="preserve">F:\images\20210610\plaque 1/@11 Atrazine 5 mg_L/C11_03.tif </t>
  </si>
  <si>
    <t xml:space="preserve">F:\images\20210610\plaque 1/@11 Atrazine 5 mg_L/D11_01.tif </t>
  </si>
  <si>
    <t xml:space="preserve"> 63.2414 </t>
  </si>
  <si>
    <t xml:space="preserve">F:\images\20210610\plaque 1/@11 Atrazine 5 mg_L/D11_02.tif </t>
  </si>
  <si>
    <t xml:space="preserve">F:\images\20210610\plaque 1/@11 Atrazine 5 mg_L/D11_03.tif </t>
  </si>
  <si>
    <t xml:space="preserve"> 7938.1713 </t>
  </si>
  <si>
    <t xml:space="preserve"> 70.297 </t>
  </si>
  <si>
    <t xml:space="preserve">F:\images\20210610\plaque 1/@11 Atrazine 5 mg_L/E11_01.tif </t>
  </si>
  <si>
    <t xml:space="preserve">F:\images\20210610\plaque 1/@11 Atrazine 5 mg_L/E11_02.tif </t>
  </si>
  <si>
    <t xml:space="preserve"> 65.9091 </t>
  </si>
  <si>
    <t xml:space="preserve">F:\images\20210610\plaque 1/@11 Atrazine 5 mg_L/E11_03.tif </t>
  </si>
  <si>
    <t xml:space="preserve"> 66.3451 </t>
  </si>
  <si>
    <t xml:space="preserve">F:\images\20210610\plaque 1/@11 Atrazine 5 mg_L/F11_01.tif </t>
  </si>
  <si>
    <t xml:space="preserve"> 12956.3069 </t>
  </si>
  <si>
    <t xml:space="preserve"> 90.7012 </t>
  </si>
  <si>
    <t xml:space="preserve">F:\images\20210610\plaque 1/@11 Atrazine 5 mg_L/F11_02.tif </t>
  </si>
  <si>
    <t xml:space="preserve"> 13540.314 </t>
  </si>
  <si>
    <t xml:space="preserve"> 88.9105 </t>
  </si>
  <si>
    <t xml:space="preserve">F:\images\20210610\plaque 1/@11 Atrazine 5 mg_L/F11_03.tif </t>
  </si>
  <si>
    <t xml:space="preserve"> 11658.5132 </t>
  </si>
  <si>
    <t xml:space="preserve"> 79.2505 </t>
  </si>
  <si>
    <t xml:space="preserve">F:\images\20210610\plaque 1/@11 Atrazine 5 mg_L/G11_01.tif </t>
  </si>
  <si>
    <t xml:space="preserve"> 62.6522 </t>
  </si>
  <si>
    <t xml:space="preserve">F:\images\20210610\plaque 1/@11 Atrazine 5 mg_L/G11_02.tif </t>
  </si>
  <si>
    <t xml:space="preserve">F:\images\20210610\plaque 1/@11 Atrazine 5 mg_L/G11_03.tif </t>
  </si>
  <si>
    <t xml:space="preserve"> 63.5556 </t>
  </si>
  <si>
    <t xml:space="preserve">F:\images\20210610\plaque 1/@11 Atrazine 5 mg_L/H11_01.tif </t>
  </si>
  <si>
    <t xml:space="preserve"> 62.7576 </t>
  </si>
  <si>
    <t xml:space="preserve">F:\images\20210610\plaque 1/@11 Atrazine 5 mg_L/H11_02.tif </t>
  </si>
  <si>
    <t xml:space="preserve"> 14145.9511 </t>
  </si>
  <si>
    <t xml:space="preserve"> 75.5627 </t>
  </si>
  <si>
    <t xml:space="preserve">F:\images\20210610\plaque 1/@11 Atrazine 5 mg_L/H11_03.tif </t>
  </si>
  <si>
    <t xml:space="preserve"> 88.0547 </t>
  </si>
  <si>
    <t xml:space="preserve">F:\images\20210610\plaque 1/@11 Atrazine 5 mg_L/ </t>
  </si>
  <si>
    <t xml:space="preserve"> 68.8331 </t>
  </si>
  <si>
    <t xml:space="preserve"> 8.8207 </t>
  </si>
  <si>
    <t xml:space="preserve"> 299404.625 </t>
  </si>
  <si>
    <t xml:space="preserve"> 437935.7 </t>
  </si>
  <si>
    <t xml:space="preserve">F:\images\20210610\plaque 1/@12 Atrazine 10 mg_L/A12_01.tif </t>
  </si>
  <si>
    <t xml:space="preserve"> 83.4351 </t>
  </si>
  <si>
    <t xml:space="preserve">F:\images\20210610\plaque 1/@12 Atrazine 10 mg_L/A12_02.tif </t>
  </si>
  <si>
    <t xml:space="preserve"> 8716.8475 </t>
  </si>
  <si>
    <t xml:space="preserve"> 74.7792 </t>
  </si>
  <si>
    <t xml:space="preserve">F:\images\20210610\plaque 1/@12 Atrazine 10 mg_L/A12_03.tif </t>
  </si>
  <si>
    <t>F:\images\20210610\plaque 1/@12 Atrazine 10 mg_L/B12_01- exclu.tif</t>
  </si>
  <si>
    <t xml:space="preserve">F:\images\20210610\plaque 1/@12 Atrazine 10 mg_L/B12_02.tif </t>
  </si>
  <si>
    <t xml:space="preserve"> 7008.0859 </t>
  </si>
  <si>
    <t xml:space="preserve"> 66.8457 </t>
  </si>
  <si>
    <t xml:space="preserve">F:\images\20210610\plaque 1/@12 Atrazine 10 mg_L/B12_03.tif </t>
  </si>
  <si>
    <t xml:space="preserve"> 8630.328 </t>
  </si>
  <si>
    <t xml:space="preserve"> 74.0802 </t>
  </si>
  <si>
    <t xml:space="preserve">F:\images\20210610\plaque 1/@12 Atrazine 10 mg_L/C12_01.tif </t>
  </si>
  <si>
    <t xml:space="preserve"> 2660.477 </t>
  </si>
  <si>
    <t xml:space="preserve"> 66.1382 </t>
  </si>
  <si>
    <t xml:space="preserve">F:\images\20210610\plaque 1/@12 Atrazine 10 mg_L/C12_02.tif </t>
  </si>
  <si>
    <t xml:space="preserve"> 68.2402 </t>
  </si>
  <si>
    <t xml:space="preserve">F:\images\20210610\plaque 1/@12 Atrazine 10 mg_L/C12_03.tif </t>
  </si>
  <si>
    <t xml:space="preserve"> 72.3455 </t>
  </si>
  <si>
    <t xml:space="preserve">F:\images\20210610\plaque 1/@12 Atrazine 10 mg_L/D12_01.tif </t>
  </si>
  <si>
    <t xml:space="preserve"> 5948.221 </t>
  </si>
  <si>
    <t xml:space="preserve"> 75.4364 </t>
  </si>
  <si>
    <t xml:space="preserve">F:\images\20210610\plaque 1/@12 Atrazine 10 mg_L/D12_02.tif </t>
  </si>
  <si>
    <t xml:space="preserve"> 70.7052 </t>
  </si>
  <si>
    <t xml:space="preserve">F:\images\20210610\plaque 1/@12 Atrazine 10 mg_L/D12_03.tif </t>
  </si>
  <si>
    <t xml:space="preserve"> 3525.6728 </t>
  </si>
  <si>
    <t xml:space="preserve"> 70.2147 </t>
  </si>
  <si>
    <t>F:\images\20210610\plaque 1/@12 Atrazine 10 mg_L/E12_01- exclu.tif</t>
  </si>
  <si>
    <t xml:space="preserve">F:\images\20210610\plaque 1/@12 Atrazine 10 mg_L/E12_02.tif </t>
  </si>
  <si>
    <t xml:space="preserve"> 67.3092 </t>
  </si>
  <si>
    <t xml:space="preserve">F:\images\20210610\plaque 1/@12 Atrazine 10 mg_L/E12_03.tif </t>
  </si>
  <si>
    <t xml:space="preserve"> 68.2023 </t>
  </si>
  <si>
    <t xml:space="preserve">F:\images\20210610\plaque 1/@12 Atrazine 10 mg_L/F12_01.tif </t>
  </si>
  <si>
    <t xml:space="preserve"> 64.5375 </t>
  </si>
  <si>
    <t xml:space="preserve">F:\images\20210610\plaque 1/@12 Atrazine 10 mg_L/F12_02.tif </t>
  </si>
  <si>
    <t xml:space="preserve"> 63.5843 </t>
  </si>
  <si>
    <t xml:space="preserve">F:\images\20210610\plaque 1/@12 Atrazine 10 mg_L/F12_03.tif </t>
  </si>
  <si>
    <t xml:space="preserve"> 62.96 </t>
  </si>
  <si>
    <t xml:space="preserve">F:\images\20210610\plaque 1/@12 Atrazine 10 mg_L/G12_01.tif </t>
  </si>
  <si>
    <t xml:space="preserve"> 11009.6164 </t>
  </si>
  <si>
    <t xml:space="preserve"> 82.0668 </t>
  </si>
  <si>
    <t xml:space="preserve">F:\images\20210610\plaque 1/@12 Atrazine 10 mg_L/G12_02.tif </t>
  </si>
  <si>
    <t xml:space="preserve"> 12112.741 </t>
  </si>
  <si>
    <t xml:space="preserve"> 91.7036 </t>
  </si>
  <si>
    <t xml:space="preserve">F:\images\20210610\plaque 1/@12 Atrazine 10 mg_L/G12_03.tif </t>
  </si>
  <si>
    <t xml:space="preserve"> 96.0444 </t>
  </si>
  <si>
    <t xml:space="preserve">F:\images\20210610\plaque 1/@12 Atrazine 10 mg_L/H12_01.tif </t>
  </si>
  <si>
    <t xml:space="preserve"> 65.5385 </t>
  </si>
  <si>
    <t xml:space="preserve">F:\images\20210610\plaque 1/@12 Atrazine 10 mg_L/H12_02.tif </t>
  </si>
  <si>
    <t xml:space="preserve"> 67.3333 </t>
  </si>
  <si>
    <t xml:space="preserve">F:\images\20210610\plaque 1/@12 Atrazine 10 mg_L/H12_03.tif </t>
  </si>
  <si>
    <t xml:space="preserve"> 63.25 </t>
  </si>
  <si>
    <t xml:space="preserve">F:\images\20210610\plaque 1/@12 Atrazine 10 mg_L/ </t>
  </si>
  <si>
    <t xml:space="preserve"> 71.1451 </t>
  </si>
  <si>
    <t xml:space="preserve"> 8.9777 </t>
  </si>
  <si>
    <t xml:space="preserve"> 383602.5 </t>
  </si>
  <si>
    <t xml:space="preserve"> 365213.438 </t>
  </si>
  <si>
    <t xml:space="preserve">F:\images\20210610\plaque 2/@01 TESTO 30/A1_01.tif </t>
  </si>
  <si>
    <t xml:space="preserve"> 6272.6694 </t>
  </si>
  <si>
    <t xml:space="preserve"> 64.4414 </t>
  </si>
  <si>
    <t xml:space="preserve">F:\images\20210610\plaque 2/@01 TESTO 30/A1_02.tif </t>
  </si>
  <si>
    <t xml:space="preserve"> 64.5351 </t>
  </si>
  <si>
    <t xml:space="preserve">F:\images\20210610\plaque 2/@01 TESTO 30/A1_03.tif </t>
  </si>
  <si>
    <t xml:space="preserve"> 6013.1107 </t>
  </si>
  <si>
    <t xml:space="preserve"> 64.4137 </t>
  </si>
  <si>
    <t xml:space="preserve">F:\images\20210610\plaque 2/@01 TESTO 30/B1_01.tif </t>
  </si>
  <si>
    <t xml:space="preserve"> 8998.0362 </t>
  </si>
  <si>
    <t xml:space="preserve"> 65.2957 </t>
  </si>
  <si>
    <t xml:space="preserve">F:\images\20210610\plaque 2/@01 TESTO 30/B1_02.tif </t>
  </si>
  <si>
    <t xml:space="preserve"> 14340.6201 </t>
  </si>
  <si>
    <t xml:space="preserve"> 65.7783 </t>
  </si>
  <si>
    <t xml:space="preserve">F:\images\20210610\plaque 2/@01 TESTO 30/B1_03.tif </t>
  </si>
  <si>
    <t xml:space="preserve"> 12999.5667 </t>
  </si>
  <si>
    <t xml:space="preserve"> 64.817 </t>
  </si>
  <si>
    <t xml:space="preserve">F:\images\20210610\plaque 2/@01 TESTO 30/C1_01.tif </t>
  </si>
  <si>
    <t xml:space="preserve"> 72.6555 </t>
  </si>
  <si>
    <t xml:space="preserve">F:\images\20210610\plaque 2/@01 TESTO 30/C1_02.tif </t>
  </si>
  <si>
    <t xml:space="preserve"> 41421.2482 </t>
  </si>
  <si>
    <t xml:space="preserve"> 70.9264 </t>
  </si>
  <si>
    <t xml:space="preserve">F:\images\20210610\plaque 2/@01 TESTO 30/C1_03.tif </t>
  </si>
  <si>
    <t xml:space="preserve"> 40231.604 </t>
  </si>
  <si>
    <t xml:space="preserve"> 72.1591 </t>
  </si>
  <si>
    <t xml:space="preserve">F:\images\20210610\plaque 2/@01 TESTO 30/D1_01.tif </t>
  </si>
  <si>
    <t xml:space="preserve"> 19856.2433 </t>
  </si>
  <si>
    <t xml:space="preserve"> 66.3747 </t>
  </si>
  <si>
    <t xml:space="preserve">F:\images\20210610\plaque 2/@01 TESTO 30/D1_02.tif </t>
  </si>
  <si>
    <t xml:space="preserve"> 21521.7452 </t>
  </si>
  <si>
    <t xml:space="preserve"> 66.4945 </t>
  </si>
  <si>
    <t xml:space="preserve">F:\images\20210610\plaque 2/@01 TESTO 30/D1_03.tif </t>
  </si>
  <si>
    <t xml:space="preserve"> 20396.9906 </t>
  </si>
  <si>
    <t xml:space="preserve"> 66.3075 </t>
  </si>
  <si>
    <t xml:space="preserve">F:\images\20210610\plaque 2/@01 TESTO 30/E1_01.tif </t>
  </si>
  <si>
    <t xml:space="preserve"> 49316.1598 </t>
  </si>
  <si>
    <t xml:space="preserve"> 72.9912 </t>
  </si>
  <si>
    <t xml:space="preserve">F:\images\20210610\plaque 2/@01 TESTO 30/E1_02.tif </t>
  </si>
  <si>
    <t xml:space="preserve"> 8760.1073 </t>
  </si>
  <si>
    <t xml:space="preserve"> 64.1951 </t>
  </si>
  <si>
    <t xml:space="preserve">F:\images\20210610\plaque 2/@01 TESTO 30/E1_03.tif </t>
  </si>
  <si>
    <t xml:space="preserve"> 29113.8382 </t>
  </si>
  <si>
    <t xml:space="preserve"> 80.0111 </t>
  </si>
  <si>
    <t xml:space="preserve">F:\images\20210610\plaque 2/@01 TESTO 30/F1_01.tif </t>
  </si>
  <si>
    <t xml:space="preserve"> 37917.2053 </t>
  </si>
  <si>
    <t xml:space="preserve"> 69.1169 </t>
  </si>
  <si>
    <t xml:space="preserve">F:\images\20210610\plaque 2/@01 TESTO 30/F1_02.tif </t>
  </si>
  <si>
    <t xml:space="preserve"> 28140.4929 </t>
  </si>
  <si>
    <t xml:space="preserve">F:\images\20210610\plaque 2/@01 TESTO 30/F1_03.tif </t>
  </si>
  <si>
    <t xml:space="preserve"> 36230.0735 </t>
  </si>
  <si>
    <t xml:space="preserve"> 69.1725 </t>
  </si>
  <si>
    <t xml:space="preserve">F:\images\20210610\plaque 2/@01 TESTO 30/G1_01.tif </t>
  </si>
  <si>
    <t xml:space="preserve"> 66.1306 </t>
  </si>
  <si>
    <t xml:space="preserve">F:\images\20210610\plaque 2/@01 TESTO 30/G1_02.tif </t>
  </si>
  <si>
    <t xml:space="preserve"> 15335.5953 </t>
  </si>
  <si>
    <t xml:space="preserve"> 65.2948 </t>
  </si>
  <si>
    <t xml:space="preserve">F:\images\20210610\plaque 2/@01 TESTO 30/G1_03.tif </t>
  </si>
  <si>
    <t xml:space="preserve"> 19315.4959 </t>
  </si>
  <si>
    <t xml:space="preserve"> 65.6585 </t>
  </si>
  <si>
    <t>F:\images\20210610\plaque 2/@01 TESTO 30/H1_01- exclu.tif</t>
  </si>
  <si>
    <t xml:space="preserve">F:\images\20210610\plaque 2/@01 TESTO 30/H1_02.tif </t>
  </si>
  <si>
    <t xml:space="preserve"> 48667.2629 </t>
  </si>
  <si>
    <t xml:space="preserve"> 75.1636 </t>
  </si>
  <si>
    <t xml:space="preserve">F:\images\20210610\plaque 2/@01 TESTO 30/H1_03.tif </t>
  </si>
  <si>
    <t xml:space="preserve"> 47953.4764 </t>
  </si>
  <si>
    <t xml:space="preserve"> 76.392 </t>
  </si>
  <si>
    <t xml:space="preserve">F:\images\20210610\plaque 2/@01 TESTO 30/ </t>
  </si>
  <si>
    <t xml:space="preserve"> 68.3799 </t>
  </si>
  <si>
    <t xml:space="preserve"> 4.3989 </t>
  </si>
  <si>
    <t xml:space="preserve"> 1772613.21 </t>
  </si>
  <si>
    <t xml:space="preserve">F:\images\20210610\plaque 2/@02 testo 30/A2_01.tif </t>
  </si>
  <si>
    <t xml:space="preserve"> 69.8324 </t>
  </si>
  <si>
    <t xml:space="preserve">F:\images\20210610\plaque 2/@02 testo 30/A2_02.tif </t>
  </si>
  <si>
    <t xml:space="preserve"> 35516.287 </t>
  </si>
  <si>
    <t xml:space="preserve"> 67.2698 </t>
  </si>
  <si>
    <t xml:space="preserve">F:\images\20210610\plaque 2/@02 testo 30/A2_03.tif </t>
  </si>
  <si>
    <t xml:space="preserve"> 42762.3017 </t>
  </si>
  <si>
    <t xml:space="preserve"> 68.1077 </t>
  </si>
  <si>
    <t xml:space="preserve">F:\images\20210610\plaque 2/@02 testo 30/B2_01.tif </t>
  </si>
  <si>
    <t xml:space="preserve"> 32228.543 </t>
  </si>
  <si>
    <t xml:space="preserve"> 68.5611 </t>
  </si>
  <si>
    <t xml:space="preserve">F:\images\20210610\plaque 2/@02 testo 30/B2_02.tif </t>
  </si>
  <si>
    <t xml:space="preserve"> 67.9498 </t>
  </si>
  <si>
    <t xml:space="preserve">F:\images\20210610\plaque 2/@02 testo 30/B2_03.tif </t>
  </si>
  <si>
    <t xml:space="preserve"> 32142.0234 </t>
  </si>
  <si>
    <t xml:space="preserve"> 69.4455 </t>
  </si>
  <si>
    <t xml:space="preserve">F:\images\20210610\plaque 2/@02 testo 30/C2_01.tif </t>
  </si>
  <si>
    <t xml:space="preserve"> 50635.5833 </t>
  </si>
  <si>
    <t xml:space="preserve"> 71.6882 </t>
  </si>
  <si>
    <t>F:\images\20210610\plaque 2/@02 testo 30/C2_02- exclu.tif</t>
  </si>
  <si>
    <t>F:\images\20210610\plaque 2/@02 testo 30/C2_03- exclu.tif</t>
  </si>
  <si>
    <t xml:space="preserve">F:\images\20210610\plaque 2/@02 testo 30/D2_01.tif </t>
  </si>
  <si>
    <t xml:space="preserve"> 40620.9421 </t>
  </si>
  <si>
    <t xml:space="preserve"> 72.3456 </t>
  </si>
  <si>
    <t xml:space="preserve">F:\images\20210610\plaque 2/@02 testo 30/D2_02.tif </t>
  </si>
  <si>
    <t xml:space="preserve"> 28356.7919 </t>
  </si>
  <si>
    <t xml:space="preserve"> 67.9161 </t>
  </si>
  <si>
    <t xml:space="preserve">F:\images\20210610\plaque 2/@02 testo 30/D2_03.tif </t>
  </si>
  <si>
    <t xml:space="preserve"> 26366.8416 </t>
  </si>
  <si>
    <t xml:space="preserve"> 67.8778 </t>
  </si>
  <si>
    <t xml:space="preserve">F:\images\20210610\plaque 2/@02 testo 30/E2_01.tif </t>
  </si>
  <si>
    <t xml:space="preserve"> 11874.8122 </t>
  </si>
  <si>
    <t xml:space="preserve"> 67.2113 </t>
  </si>
  <si>
    <t xml:space="preserve">F:\images\20210610\plaque 2/@02 testo 30/E2_02.tif </t>
  </si>
  <si>
    <t xml:space="preserve"> 15746.5633 </t>
  </si>
  <si>
    <t xml:space="preserve"> 67.3132 </t>
  </si>
  <si>
    <t xml:space="preserve">F:\images\20210610\plaque 2/@02 testo 30/E2_03.tif </t>
  </si>
  <si>
    <t xml:space="preserve"> 66.0141 </t>
  </si>
  <si>
    <t xml:space="preserve">F:\images\20210610\plaque 2/@02 testo 30/F2_01.tif </t>
  </si>
  <si>
    <t xml:space="preserve"> 67.2593 </t>
  </si>
  <si>
    <t xml:space="preserve">F:\images\20210610\plaque 2/@02 testo 30/F2_02.tif </t>
  </si>
  <si>
    <t xml:space="preserve"> 63.6066 </t>
  </si>
  <si>
    <t xml:space="preserve">F:\images\20210610\plaque 2/@02 testo 30/F2_03.tif </t>
  </si>
  <si>
    <t xml:space="preserve"> 70.3229 </t>
  </si>
  <si>
    <t xml:space="preserve">F:\images\20210610\plaque 2/@02 testo 30/G2_01.tif </t>
  </si>
  <si>
    <t xml:space="preserve"> 30909.1194 </t>
  </si>
  <si>
    <t xml:space="preserve"> 66.2428 </t>
  </si>
  <si>
    <t xml:space="preserve">F:\images\20210610\plaque 2/@02 testo 30/G2_02.tif </t>
  </si>
  <si>
    <t xml:space="preserve"> 40145.0844 </t>
  </si>
  <si>
    <t xml:space="preserve"> 69.5819 </t>
  </si>
  <si>
    <t xml:space="preserve">F:\images\20210610\plaque 2/@02 testo 30/G2_03.tif </t>
  </si>
  <si>
    <t xml:space="preserve"> 45530.9282 </t>
  </si>
  <si>
    <t xml:space="preserve"> 71.1815 </t>
  </si>
  <si>
    <t xml:space="preserve">F:\images\20210610\plaque 2/@02 testo 30/H2_01.tif </t>
  </si>
  <si>
    <t xml:space="preserve"> 64.9911 </t>
  </si>
  <si>
    <t xml:space="preserve">F:\images\20210610\plaque 2/@02 testo 30/H2_02.tif </t>
  </si>
  <si>
    <t xml:space="preserve"> 10706.7978 </t>
  </si>
  <si>
    <t xml:space="preserve"> 65.5455 </t>
  </si>
  <si>
    <t xml:space="preserve">F:\images\20210610\plaque 2/@02 testo 30/H2_03.tif </t>
  </si>
  <si>
    <t xml:space="preserve"> 65.7707 </t>
  </si>
  <si>
    <t xml:space="preserve">F:\images\20210610\plaque 2/@02 testo 30/ </t>
  </si>
  <si>
    <t xml:space="preserve"> 67.6244 </t>
  </si>
  <si>
    <t xml:space="preserve"> 2.4891 </t>
  </si>
  <si>
    <t xml:space="preserve"> 1584963.83 </t>
  </si>
  <si>
    <t xml:space="preserve"> 1152014.15 </t>
  </si>
  <si>
    <t xml:space="preserve">F:\images\20210610\plaque 2/@03 testo +ee2/A3_01.tif </t>
  </si>
  <si>
    <t xml:space="preserve"> 44211.5046 </t>
  </si>
  <si>
    <t xml:space="preserve"> 71.7544 </t>
  </si>
  <si>
    <t xml:space="preserve">F:\images\20210610\plaque 2/@03 testo +ee2/A3_02.tif </t>
  </si>
  <si>
    <t xml:space="preserve"> 43930.316 </t>
  </si>
  <si>
    <t xml:space="preserve"> 73.1108 </t>
  </si>
  <si>
    <t xml:space="preserve">F:\images\20210610\plaque 2/@03 testo +ee2/A3_03.tif </t>
  </si>
  <si>
    <t xml:space="preserve"> 45855.3766 </t>
  </si>
  <si>
    <t xml:space="preserve"> 71.3769 </t>
  </si>
  <si>
    <t xml:space="preserve">F:\images\20210610\plaque 2/@03 testo +ee2/B3_01.tif </t>
  </si>
  <si>
    <t xml:space="preserve"> 64.1854 </t>
  </si>
  <si>
    <t xml:space="preserve">F:\images\20210610\plaque 2/@03 testo +ee2/B3_02.tif </t>
  </si>
  <si>
    <t xml:space="preserve"> 8500.5486 </t>
  </si>
  <si>
    <t xml:space="preserve"> 63.9898 </t>
  </si>
  <si>
    <t xml:space="preserve">F:\images\20210610\plaque 2/@03 testo +ee2/B3_03.tif </t>
  </si>
  <si>
    <t xml:space="preserve"> 15119.2963 </t>
  </si>
  <si>
    <t xml:space="preserve"> 65.3863 </t>
  </si>
  <si>
    <t xml:space="preserve">F:\images\20210610\plaque 2/@03 testo +ee2/C3_01.tif </t>
  </si>
  <si>
    <t xml:space="preserve">F:\images\20210610\plaque 2/@03 testo +ee2/C3_02.tif </t>
  </si>
  <si>
    <t xml:space="preserve"> 64.4 </t>
  </si>
  <si>
    <t xml:space="preserve">F:\images\20210610\plaque 2/@03 testo +ee2/C3_03.tif </t>
  </si>
  <si>
    <t xml:space="preserve"> 65.7396 </t>
  </si>
  <si>
    <t xml:space="preserve">F:\images\20210610\plaque 2/@03 testo +ee2/D3_01.tif </t>
  </si>
  <si>
    <t xml:space="preserve"> 27859.3043 </t>
  </si>
  <si>
    <t xml:space="preserve"> 67.8913 </t>
  </si>
  <si>
    <t xml:space="preserve">F:\images\20210610\plaque 2/@03 testo +ee2/D3_02.tif </t>
  </si>
  <si>
    <t xml:space="preserve"> 28659.6104 </t>
  </si>
  <si>
    <t xml:space="preserve"> 67.6309 </t>
  </si>
  <si>
    <t xml:space="preserve">F:\images\20210610\plaque 2/@03 testo +ee2/D3_03.tif </t>
  </si>
  <si>
    <t xml:space="preserve"> 68.4732 </t>
  </si>
  <si>
    <t xml:space="preserve">F:\images\20210610\plaque 2/@03 testo +ee2/E3_01.tif </t>
  </si>
  <si>
    <t xml:space="preserve"> 39517.8175 </t>
  </si>
  <si>
    <t xml:space="preserve"> 72.7827 </t>
  </si>
  <si>
    <t xml:space="preserve">F:\images\20210610\plaque 2/@03 testo +ee2/E3_02.tif </t>
  </si>
  <si>
    <t xml:space="preserve"> 42719.0419 </t>
  </si>
  <si>
    <t xml:space="preserve"> 72.2638 </t>
  </si>
  <si>
    <t xml:space="preserve">F:\images\20210610\plaque 2/@03 testo +ee2/E3_03.tif </t>
  </si>
  <si>
    <t xml:space="preserve"> 28097.2331 </t>
  </si>
  <si>
    <t xml:space="preserve"> 73.5142 </t>
  </si>
  <si>
    <t xml:space="preserve">F:\images\20210610\plaque 2/@03 testo +ee2/F3_01.tif </t>
  </si>
  <si>
    <t xml:space="preserve"> 45401.1488 </t>
  </si>
  <si>
    <t xml:space="preserve"> 69.9495 </t>
  </si>
  <si>
    <t xml:space="preserve">F:\images\20210610\plaque 2/@03 testo +ee2/F3_02.tif </t>
  </si>
  <si>
    <t xml:space="preserve"> 68.736 </t>
  </si>
  <si>
    <t xml:space="preserve">F:\images\20210610\plaque 2/@03 testo +ee2/F3_03.tif </t>
  </si>
  <si>
    <t xml:space="preserve"> 41702.4368 </t>
  </si>
  <si>
    <t xml:space="preserve"> 71.3325 </t>
  </si>
  <si>
    <t xml:space="preserve">F:\images\20210610\plaque 2/@03 testo +ee2/G3_01.tif </t>
  </si>
  <si>
    <t xml:space="preserve"> 72.5711 </t>
  </si>
  <si>
    <t xml:space="preserve">F:\images\20210610\plaque 2/@03 testo +ee2/G3_02.tif </t>
  </si>
  <si>
    <t xml:space="preserve"> 73.2635 </t>
  </si>
  <si>
    <t xml:space="preserve">F:\images\20210610\plaque 2/@03 testo +ee2/G3_03.tif </t>
  </si>
  <si>
    <t xml:space="preserve"> 43865.4263 </t>
  </si>
  <si>
    <t xml:space="preserve"> 75.2643 </t>
  </si>
  <si>
    <t xml:space="preserve">F:\images\20210610\plaque 2/@03 testo +ee2/H3_01.tif </t>
  </si>
  <si>
    <t xml:space="preserve"> 71.5075 </t>
  </si>
  <si>
    <t xml:space="preserve">F:\images\20210610\plaque 2/@03 testo +ee2/H3_02.tif </t>
  </si>
  <si>
    <t xml:space="preserve"> 70.0811 </t>
  </si>
  <si>
    <t xml:space="preserve">F:\images\20210610\plaque 2/@03 testo +ee2/H3_03.tif </t>
  </si>
  <si>
    <t xml:space="preserve"> 36121.924 </t>
  </si>
  <si>
    <t xml:space="preserve"> 70.6689 </t>
  </si>
  <si>
    <t xml:space="preserve">F:\images\20210610\plaque 2/@03 testo +ee2/ </t>
  </si>
  <si>
    <t xml:space="preserve"> 69.5416 </t>
  </si>
  <si>
    <t xml:space="preserve"> 3.5281 </t>
  </si>
  <si>
    <t xml:space="preserve"> 2168769.25 </t>
  </si>
  <si>
    <t xml:space="preserve"> 1161807.97 </t>
  </si>
  <si>
    <t xml:space="preserve">F:\images\20210610\plaque 2/@04 testo +fad/A4_01.tif </t>
  </si>
  <si>
    <t xml:space="preserve">F:\images\20210610\plaque 2/@04 testo +fad/A4_02.tif </t>
  </si>
  <si>
    <t xml:space="preserve"> 65.1059 </t>
  </si>
  <si>
    <t xml:space="preserve">F:\images\20210610\plaque 2/@04 testo +fad/A4_03.tif </t>
  </si>
  <si>
    <t xml:space="preserve"> 66.5926 </t>
  </si>
  <si>
    <t xml:space="preserve">F:\images\20210610\plaque 2/@04 testo +fad/B4_01.tif </t>
  </si>
  <si>
    <t xml:space="preserve"> 69.7801 </t>
  </si>
  <si>
    <t xml:space="preserve">F:\images\20210610\plaque 2/@04 testo +fad/B4_02.tif </t>
  </si>
  <si>
    <t xml:space="preserve"> 7354.1642 </t>
  </si>
  <si>
    <t xml:space="preserve"> 70.6059 </t>
  </si>
  <si>
    <t xml:space="preserve">F:\images\20210610\plaque 2/@04 testo +fad/B4_03.tif </t>
  </si>
  <si>
    <t xml:space="preserve"> 1384.3133 </t>
  </si>
  <si>
    <t xml:space="preserve"> 63.3906 </t>
  </si>
  <si>
    <t xml:space="preserve">F:\images\20210610\plaque 2/@04 testo +fad/C4_01.tif </t>
  </si>
  <si>
    <t xml:space="preserve"> 62.5758 </t>
  </si>
  <si>
    <t>F:\images\20210610\plaque 2/@04 testo +fad/C4_02- exclu.tif</t>
  </si>
  <si>
    <t>F:\images\20210610\plaque 2/@04 testo +fad/C4_03- exclu.tif</t>
  </si>
  <si>
    <t xml:space="preserve">F:\images\20210610\plaque 2/@04 testo +fad/D4_01.tif </t>
  </si>
  <si>
    <t xml:space="preserve"> 4434.1284 </t>
  </si>
  <si>
    <t xml:space="preserve"> 66.1561 </t>
  </si>
  <si>
    <t xml:space="preserve">F:\images\20210610\plaque 2/@04 testo +fad/D4_02.tif </t>
  </si>
  <si>
    <t xml:space="preserve"> 6726.8972 </t>
  </si>
  <si>
    <t xml:space="preserve"> 68.9743 </t>
  </si>
  <si>
    <t xml:space="preserve">F:\images\20210610\plaque 2/@04 testo +fad/D4_03.tif </t>
  </si>
  <si>
    <t xml:space="preserve"> 69.6595 </t>
  </si>
  <si>
    <t xml:space="preserve">F:\images\20210610\plaque 2/@04 testo +fad/E4_01.tif </t>
  </si>
  <si>
    <t xml:space="preserve"> 63.2295 </t>
  </si>
  <si>
    <t xml:space="preserve">F:\images\20210610\plaque 2/@04 testo +fad/E4_02.tif </t>
  </si>
  <si>
    <t xml:space="preserve"> 69.4205 </t>
  </si>
  <si>
    <t xml:space="preserve">F:\images\20210610\plaque 2/@04 testo +fad/E4_03.tif </t>
  </si>
  <si>
    <t xml:space="preserve"> 71.9574 </t>
  </si>
  <si>
    <t xml:space="preserve">F:\images\20210610\plaque 2/@04 testo +fad/F4_01.tif </t>
  </si>
  <si>
    <t xml:space="preserve"> 63.2667 </t>
  </si>
  <si>
    <t xml:space="preserve">F:\images\20210610\plaque 2/@04 testo +fad/F4_02.tif </t>
  </si>
  <si>
    <t xml:space="preserve"> 61.7619 </t>
  </si>
  <si>
    <t xml:space="preserve">F:\images\20210610\plaque 2/@04 testo +fad/F4_03.tif </t>
  </si>
  <si>
    <t xml:space="preserve"> 62.3077 </t>
  </si>
  <si>
    <t xml:space="preserve">F:\images\20210610\plaque 2/@04 testo +fad/G4_01.tif </t>
  </si>
  <si>
    <t>F:\images\20210610\plaque 2/@04 testo +fad/G4_02- exclu.tif</t>
  </si>
  <si>
    <t xml:space="preserve">F:\images\20210610\plaque 2/@04 testo +fad/G4_03.tif </t>
  </si>
  <si>
    <t xml:space="preserve"> 64.2609 </t>
  </si>
  <si>
    <t xml:space="preserve">F:\images\20210610\plaque 2/@04 testo +fad/H4_01.tif </t>
  </si>
  <si>
    <t xml:space="preserve"> 62.9688 </t>
  </si>
  <si>
    <t xml:space="preserve">F:\images\20210610\plaque 2/@04 testo +fad/H4_02.tif </t>
  </si>
  <si>
    <t xml:space="preserve"> 62.6429 </t>
  </si>
  <si>
    <t xml:space="preserve">F:\images\20210610\plaque 2/@04 testo +fad/H4_03.tif </t>
  </si>
  <si>
    <t xml:space="preserve"> 63.3514 </t>
  </si>
  <si>
    <t xml:space="preserve">F:\images\20210610\plaque 2/@04 testo +fad/ </t>
  </si>
  <si>
    <t xml:space="preserve"> 65.2568 </t>
  </si>
  <si>
    <t xml:space="preserve"> 3.1151 </t>
  </si>
  <si>
    <t xml:space="preserve"> 157896.333 </t>
  </si>
  <si>
    <t xml:space="preserve"> 168664.454 </t>
  </si>
  <si>
    <t xml:space="preserve">F:\images\20210610\plaque 2/@05 Atrazine 0.625 mg_L+testo/A5_01.tif </t>
  </si>
  <si>
    <t xml:space="preserve"> 23554.9553 </t>
  </si>
  <si>
    <t xml:space="preserve"> 68.8531 </t>
  </si>
  <si>
    <t xml:space="preserve">F:\images\20210610\plaque 2/@05 Atrazine 0.625 mg_L+testo/A5_02.tif </t>
  </si>
  <si>
    <t xml:space="preserve"> 29330.1371 </t>
  </si>
  <si>
    <t xml:space="preserve"> 71.6187 </t>
  </si>
  <si>
    <t xml:space="preserve">F:\images\20210610\plaque 2/@05 Atrazine 0.625 mg_L+testo/A5_03.tif </t>
  </si>
  <si>
    <t xml:space="preserve"> 25198.8272 </t>
  </si>
  <si>
    <t xml:space="preserve"> 71.7528 </t>
  </si>
  <si>
    <t xml:space="preserve">F:\images\20210610\plaque 2/@05 Atrazine 0.625 mg_L+testo/B5_01.tif </t>
  </si>
  <si>
    <t xml:space="preserve"> 68.0815 </t>
  </si>
  <si>
    <t xml:space="preserve">F:\images\20210610\plaque 2/@05 Atrazine 0.625 mg_L+testo/B5_02.tif </t>
  </si>
  <si>
    <t xml:space="preserve"> 67.2282 </t>
  </si>
  <si>
    <t xml:space="preserve">F:\images\20210610\plaque 2/@05 Atrazine 0.625 mg_L+testo/B5_03.tif </t>
  </si>
  <si>
    <t xml:space="preserve"> 20894.4782 </t>
  </si>
  <si>
    <t xml:space="preserve"> 66.9814 </t>
  </si>
  <si>
    <t xml:space="preserve">F:\images\20210610\plaque 2/@05 Atrazine 0.625 mg_L+testo/C5_01.tif </t>
  </si>
  <si>
    <t xml:space="preserve"> 33980.5645 </t>
  </si>
  <si>
    <t xml:space="preserve"> 68.1299 </t>
  </si>
  <si>
    <t xml:space="preserve">F:\images\20210610\plaque 2/@05 Atrazine 0.625 mg_L+testo/C5_02.tif </t>
  </si>
  <si>
    <t xml:space="preserve"> 67.9273 </t>
  </si>
  <si>
    <t xml:space="preserve">F:\images\20210610\plaque 2/@05 Atrazine 0.625 mg_L+testo/C5_03.tif </t>
  </si>
  <si>
    <t xml:space="preserve"> 21738.0441 </t>
  </si>
  <si>
    <t xml:space="preserve"> 66.5483 </t>
  </si>
  <si>
    <t xml:space="preserve">F:\images\20210610\plaque 2/@05 Atrazine 0.625 mg_L+testo/D5_01.tif </t>
  </si>
  <si>
    <t xml:space="preserve"> 16308.9406 </t>
  </si>
  <si>
    <t xml:space="preserve"> 65.9934 </t>
  </si>
  <si>
    <t xml:space="preserve">F:\images\20210610\plaque 2/@05 Atrazine 0.625 mg_L+testo/D5_02.tif </t>
  </si>
  <si>
    <t xml:space="preserve"> 16892.9477 </t>
  </si>
  <si>
    <t xml:space="preserve"> 65.9987 </t>
  </si>
  <si>
    <t xml:space="preserve">F:\images\20210610\plaque 2/@05 Atrazine 0.625 mg_L+testo/D5_03.tif </t>
  </si>
  <si>
    <t xml:space="preserve"> 14773.218 </t>
  </si>
  <si>
    <t xml:space="preserve"> 67.4861 </t>
  </si>
  <si>
    <t>F:\images\20210610\plaque 2/@05 Atrazine 0.625 mg_L+testo/E5_01- exclu.tif</t>
  </si>
  <si>
    <t>F:\images\20210610\plaque 2/@05 Atrazine 0.625 mg_L+testo/E5_02- exclu.tif</t>
  </si>
  <si>
    <t>F:\images\20210610\plaque 2/@05 Atrazine 0.625 mg_L+testo/E5_03- exclu.tif</t>
  </si>
  <si>
    <t xml:space="preserve">F:\images\20210610\plaque 2/@05 Atrazine 0.625 mg_L+testo/F5_01.tif </t>
  </si>
  <si>
    <t xml:space="preserve"> 41680.8069 </t>
  </si>
  <si>
    <t xml:space="preserve"> 69.4022 </t>
  </si>
  <si>
    <t xml:space="preserve">F:\images\20210610\plaque 2/@05 Atrazine 0.625 mg_L+testo/F5_02.tif </t>
  </si>
  <si>
    <t xml:space="preserve"> 39388.0381 </t>
  </si>
  <si>
    <t xml:space="preserve"> 69.5502 </t>
  </si>
  <si>
    <t xml:space="preserve">F:\images\20210610\plaque 2/@05 Atrazine 0.625 mg_L+testo/F5_03.tif </t>
  </si>
  <si>
    <t xml:space="preserve"> 34997.1695 </t>
  </si>
  <si>
    <t xml:space="preserve"> 69.1693 </t>
  </si>
  <si>
    <t xml:space="preserve">F:\images\20210610\plaque 2/@05 Atrazine 0.625 mg_L+testo/G5_01.tif </t>
  </si>
  <si>
    <t xml:space="preserve">F:\images\20210610\plaque 2/@05 Atrazine 0.625 mg_L+testo/G5_02.tif </t>
  </si>
  <si>
    <t xml:space="preserve"> 64.2183 </t>
  </si>
  <si>
    <t xml:space="preserve">F:\images\20210610\plaque 2/@05 Atrazine 0.625 mg_L+testo/G5_03.tif </t>
  </si>
  <si>
    <t xml:space="preserve"> 11442.2143 </t>
  </si>
  <si>
    <t xml:space="preserve"> 66.0605 </t>
  </si>
  <si>
    <t xml:space="preserve">F:\images\20210610\plaque 2/@05 Atrazine 0.625 mg_L+testo/H5_01.tif </t>
  </si>
  <si>
    <t xml:space="preserve"> 44254.7644 </t>
  </si>
  <si>
    <t xml:space="preserve"> 71.8881 </t>
  </si>
  <si>
    <t xml:space="preserve">F:\images\20210610\plaque 2/@05 Atrazine 0.625 mg_L+testo/H5_02.tif </t>
  </si>
  <si>
    <t xml:space="preserve"> 42913.7109 </t>
  </si>
  <si>
    <t xml:space="preserve"> 69.3987 </t>
  </si>
  <si>
    <t xml:space="preserve">F:\images\20210610\plaque 2/@05 Atrazine 0.625 mg_L+testo/H5_03.tif </t>
  </si>
  <si>
    <t xml:space="preserve"> 68.53 </t>
  </si>
  <si>
    <t xml:space="preserve">F:\images\20210610\plaque 2/@05 Atrazine 0.625 mg_L+testo/ </t>
  </si>
  <si>
    <t xml:space="preserve"> 68.3503 </t>
  </si>
  <si>
    <t xml:space="preserve"> 2.9214 </t>
  </si>
  <si>
    <t xml:space="preserve"> 1623037.92 </t>
  </si>
  <si>
    <t xml:space="preserve"> 944013.113 </t>
  </si>
  <si>
    <t xml:space="preserve">F:\images\20210610\plaque 2/@06  Atrazine 1.25 mg_L+testo/A6_01.tif </t>
  </si>
  <si>
    <t xml:space="preserve"> 38868.9206 </t>
  </si>
  <si>
    <t xml:space="preserve"> 75.2632 </t>
  </si>
  <si>
    <t xml:space="preserve">F:\images\20210610\plaque 2/@06  Atrazine 1.25 mg_L+testo/A6_02.tif </t>
  </si>
  <si>
    <t xml:space="preserve"> 34218.4933 </t>
  </si>
  <si>
    <t xml:space="preserve"> 77.1492 </t>
  </si>
  <si>
    <t xml:space="preserve">F:\images\20210610\plaque 2/@06  Atrazine 1.25 mg_L+testo/A6_03.tif </t>
  </si>
  <si>
    <t xml:space="preserve"> 40339.7535 </t>
  </si>
  <si>
    <t xml:space="preserve"> 74.7887 </t>
  </si>
  <si>
    <t xml:space="preserve">F:\images\20210610\plaque 2/@06  Atrazine 1.25 mg_L+testo/B6_01.tif </t>
  </si>
  <si>
    <t xml:space="preserve"> 49965.0566 </t>
  </si>
  <si>
    <t xml:space="preserve"> 72.6052 </t>
  </si>
  <si>
    <t xml:space="preserve">F:\images\20210610\plaque 2/@06  Atrazine 1.25 mg_L+testo/B6_02.tif </t>
  </si>
  <si>
    <t xml:space="preserve"> 37030.3796 </t>
  </si>
  <si>
    <t xml:space="preserve"> 74.3949 </t>
  </si>
  <si>
    <t xml:space="preserve">F:\images\20210610\plaque 2/@06  Atrazine 1.25 mg_L+testo/B6_03.tif </t>
  </si>
  <si>
    <t xml:space="preserve"> 74.157 </t>
  </si>
  <si>
    <t xml:space="preserve">F:\images\20210610\plaque 2/@06  Atrazine 1.25 mg_L+testo/C6_01.tif </t>
  </si>
  <si>
    <t xml:space="preserve"> 49337.7896 </t>
  </si>
  <si>
    <t xml:space="preserve"> 73.1271 </t>
  </si>
  <si>
    <t xml:space="preserve">F:\images\20210610\plaque 2/@06  Atrazine 1.25 mg_L+testo/C6_02.tif </t>
  </si>
  <si>
    <t xml:space="preserve"> 47153.1703 </t>
  </si>
  <si>
    <t xml:space="preserve"> 73.7335 </t>
  </si>
  <si>
    <t xml:space="preserve">F:\images\20210610\plaque 2/@06  Atrazine 1.25 mg_L+testo/C6_03.tif </t>
  </si>
  <si>
    <t xml:space="preserve"> 44233.1345 </t>
  </si>
  <si>
    <t xml:space="preserve"> 73.0108 </t>
  </si>
  <si>
    <t xml:space="preserve">F:\images\20210610\plaque 2/@06  Atrazine 1.25 mg_L+testo/D6_01.tif </t>
  </si>
  <si>
    <t xml:space="preserve"> 63.2925 </t>
  </si>
  <si>
    <t xml:space="preserve">F:\images\20210610\plaque 2/@06  Atrazine 1.25 mg_L+testo/D6_02.tif </t>
  </si>
  <si>
    <t xml:space="preserve"> 7397.424 </t>
  </si>
  <si>
    <t xml:space="preserve"> 68.3041 </t>
  </si>
  <si>
    <t xml:space="preserve">F:\images\20210610\plaque 2/@06  Atrazine 1.25 mg_L+testo/D6_03.tif </t>
  </si>
  <si>
    <t xml:space="preserve"> 2379.2884 </t>
  </si>
  <si>
    <t xml:space="preserve"> 63.7182 </t>
  </si>
  <si>
    <t xml:space="preserve">F:\images\20210610\plaque 2/@06  Atrazine 1.25 mg_L+testo/E6_01.tif </t>
  </si>
  <si>
    <t xml:space="preserve">F:\images\20210610\plaque 2/@06  Atrazine 1.25 mg_L+testo/E6_02.tif </t>
  </si>
  <si>
    <t xml:space="preserve"> 43735.6469 </t>
  </si>
  <si>
    <t xml:space="preserve"> 76.1029 </t>
  </si>
  <si>
    <t xml:space="preserve">F:\images\20210610\plaque 2/@06  Atrazine 1.25 mg_L+testo/E6_03.tif </t>
  </si>
  <si>
    <t xml:space="preserve"> 41983.6255 </t>
  </si>
  <si>
    <t xml:space="preserve"> 78.1432 </t>
  </si>
  <si>
    <t xml:space="preserve">F:\images\20210610\plaque 2/@06  Atrazine 1.25 mg_L+testo/F6_01.tif </t>
  </si>
  <si>
    <t xml:space="preserve"> 24117.3325 </t>
  </si>
  <si>
    <t xml:space="preserve"> 67.2099 </t>
  </si>
  <si>
    <t xml:space="preserve">F:\images\20210610\plaque 2/@06  Atrazine 1.25 mg_L+testo/F6_02.tif </t>
  </si>
  <si>
    <t xml:space="preserve"> 18082.5919 </t>
  </si>
  <si>
    <t xml:space="preserve"> 66.2356 </t>
  </si>
  <si>
    <t xml:space="preserve">F:\images\20210610\plaque 2/@06  Atrazine 1.25 mg_L+testo/F6_03.tif </t>
  </si>
  <si>
    <t xml:space="preserve"> 67.6453 </t>
  </si>
  <si>
    <t xml:space="preserve">F:\images\20210610\plaque 2/@06  Atrazine 1.25 mg_L+testo/G6_01.tif </t>
  </si>
  <si>
    <t xml:space="preserve"> 22624.8698 </t>
  </si>
  <si>
    <t xml:space="preserve"> 67.2486 </t>
  </si>
  <si>
    <t xml:space="preserve">F:\images\20210610\plaque 2/@06  Atrazine 1.25 mg_L+testo/G6_02.tif </t>
  </si>
  <si>
    <t xml:space="preserve"> 20418.6205 </t>
  </si>
  <si>
    <t xml:space="preserve"> 67.3061 </t>
  </si>
  <si>
    <t xml:space="preserve">F:\images\20210610\plaque 2/@06  Atrazine 1.25 mg_L+testo/G6_03.tif </t>
  </si>
  <si>
    <t xml:space="preserve"> 24831.119 </t>
  </si>
  <si>
    <t xml:space="preserve"> 70.0296 </t>
  </si>
  <si>
    <t>F:\images\20210610\plaque 2/@06  Atrazine 1.25 mg_L+testo/H6_01- exclu.tif</t>
  </si>
  <si>
    <t xml:space="preserve">F:\images\20210610\plaque 2/@06  Atrazine 1.25 mg_L+testo/H6_02.tif </t>
  </si>
  <si>
    <t xml:space="preserve"> 7765.1322 </t>
  </si>
  <si>
    <t xml:space="preserve"> 64.2981 </t>
  </si>
  <si>
    <t xml:space="preserve">F:\images\20210610\plaque 2/@06  Atrazine 1.25 mg_L+testo/H6_03.tif </t>
  </si>
  <si>
    <t xml:space="preserve"> 67.0592 </t>
  </si>
  <si>
    <t xml:space="preserve">F:\images\20210610\plaque 2/@06  Atrazine 1.25 mg_L+testo/ </t>
  </si>
  <si>
    <t xml:space="preserve"> 70.6704 </t>
  </si>
  <si>
    <t xml:space="preserve"> 4.7877 </t>
  </si>
  <si>
    <t xml:space="preserve"> 2067578.25 </t>
  </si>
  <si>
    <t xml:space="preserve"> 1220313.5 </t>
  </si>
  <si>
    <t xml:space="preserve">F:\images\20210610\plaque 2/@07 Atrazine 2.5 mg_L+testo/A7_01.tif </t>
  </si>
  <si>
    <t xml:space="preserve"> 38436.3228 </t>
  </si>
  <si>
    <t xml:space="preserve"> 72.1581 </t>
  </si>
  <si>
    <t xml:space="preserve">F:\images\20210610\plaque 2/@07 Atrazine 2.5 mg_L+testo/A7_02.tif </t>
  </si>
  <si>
    <t xml:space="preserve"> 34521.3118 </t>
  </si>
  <si>
    <t xml:space="preserve"> 72.1347 </t>
  </si>
  <si>
    <t xml:space="preserve">F:\images\20210610\plaque 2/@07 Atrazine 2.5 mg_L+testo/A7_03.tif </t>
  </si>
  <si>
    <t xml:space="preserve"> 71.0574 </t>
  </si>
  <si>
    <t xml:space="preserve">F:\images\20210610\plaque 2/@07 Atrazine 2.5 mg_L+testo/B7_01.tif </t>
  </si>
  <si>
    <t xml:space="preserve"> 72.8121 </t>
  </si>
  <si>
    <t xml:space="preserve">F:\images\20210610\plaque 2/@07 Atrazine 2.5 mg_L+testo/B7_02.tif </t>
  </si>
  <si>
    <t xml:space="preserve"> 24701.3397 </t>
  </si>
  <si>
    <t xml:space="preserve"> 70.366 </t>
  </si>
  <si>
    <t xml:space="preserve">F:\images\20210610\plaque 2/@07 Atrazine 2.5 mg_L+testo/B7_03.tif </t>
  </si>
  <si>
    <t xml:space="preserve"> 24160.5923 </t>
  </si>
  <si>
    <t xml:space="preserve"> 71.0466 </t>
  </si>
  <si>
    <t xml:space="preserve">F:\images\20210610\plaque 2/@07 Atrazine 2.5 mg_L+testo/C7_01.tif </t>
  </si>
  <si>
    <t xml:space="preserve"> 66.1208 </t>
  </si>
  <si>
    <t xml:space="preserve">F:\images\20210610\plaque 2/@07 Atrazine 2.5 mg_L+testo/C7_02.tif </t>
  </si>
  <si>
    <t xml:space="preserve">F:\images\20210610\plaque 2/@07 Atrazine 2.5 mg_L+testo/C7_03.tif </t>
  </si>
  <si>
    <t xml:space="preserve"> 65.7077 </t>
  </si>
  <si>
    <t xml:space="preserve">F:\images\20210610\plaque 2/@07 Atrazine 2.5 mg_L+testo/D7_01.tif </t>
  </si>
  <si>
    <t xml:space="preserve"> 39106.8495 </t>
  </si>
  <si>
    <t xml:space="preserve"> 69.9071 </t>
  </si>
  <si>
    <t xml:space="preserve">F:\images\20210610\plaque 2/@07 Atrazine 2.5 mg_L+testo/D7_02.tif </t>
  </si>
  <si>
    <t xml:space="preserve"> 69.7685 </t>
  </si>
  <si>
    <t xml:space="preserve">F:\images\20210610\plaque 2/@07 Atrazine 2.5 mg_L+testo/D7_03.tif </t>
  </si>
  <si>
    <t xml:space="preserve"> 71.7627 </t>
  </si>
  <si>
    <t xml:space="preserve">F:\images\20210610\plaque 2/@07 Atrazine 2.5 mg_L+testo/E7_01.tif </t>
  </si>
  <si>
    <t xml:space="preserve"> 45163.22 </t>
  </si>
  <si>
    <t xml:space="preserve"> 77.3376 </t>
  </si>
  <si>
    <t xml:space="preserve">F:\images\20210610\plaque 2/@07 Atrazine 2.5 mg_L+testo/E7_02.tif </t>
  </si>
  <si>
    <t xml:space="preserve"> 52517.3842 </t>
  </si>
  <si>
    <t xml:space="preserve"> 76.3509 </t>
  </si>
  <si>
    <t xml:space="preserve">F:\images\20210610\plaque 2/@07 Atrazine 2.5 mg_L+testo/E7_03.tif </t>
  </si>
  <si>
    <t xml:space="preserve"> 35040.4293 </t>
  </si>
  <si>
    <t xml:space="preserve"> 89.0864 </t>
  </si>
  <si>
    <t xml:space="preserve">F:\images\20210610\plaque 2/@07 Atrazine 2.5 mg_L+testo/F7_01.tif </t>
  </si>
  <si>
    <t xml:space="preserve"> 36922.2301 </t>
  </si>
  <si>
    <t xml:space="preserve"> 69.6239 </t>
  </si>
  <si>
    <t xml:space="preserve">F:\images\20210610\plaque 2/@07 Atrazine 2.5 mg_L+testo/F7_02.tif </t>
  </si>
  <si>
    <t xml:space="preserve"> 70.1048 </t>
  </si>
  <si>
    <t xml:space="preserve">F:\images\20210610\plaque 2/@07 Atrazine 2.5 mg_L+testo/F7_03.tif </t>
  </si>
  <si>
    <t xml:space="preserve"> 72.3869 </t>
  </si>
  <si>
    <t xml:space="preserve">F:\images\20210610\plaque 2/@07 Atrazine 2.5 mg_L+testo/G7_01.tif </t>
  </si>
  <si>
    <t xml:space="preserve"> 21629.8946 </t>
  </si>
  <si>
    <t xml:space="preserve"> 71.797 </t>
  </si>
  <si>
    <t xml:space="preserve">F:\images\20210610\plaque 2/@07 Atrazine 2.5 mg_L+testo/G7_02.tif </t>
  </si>
  <si>
    <t xml:space="preserve"> 22559.9801 </t>
  </si>
  <si>
    <t xml:space="preserve"> 66.8198 </t>
  </si>
  <si>
    <t xml:space="preserve">F:\images\20210610\plaque 2/@07 Atrazine 2.5 mg_L+testo/G7_03.tif </t>
  </si>
  <si>
    <t xml:space="preserve"> 26258.6921 </t>
  </si>
  <si>
    <t xml:space="preserve"> 68.6013 </t>
  </si>
  <si>
    <t xml:space="preserve">F:\images\20210610\plaque 2/@07 Atrazine 2.5 mg_L+testo/H7_01.tif </t>
  </si>
  <si>
    <t xml:space="preserve"> 72.5 </t>
  </si>
  <si>
    <t xml:space="preserve">F:\images\20210610\plaque 2/@07 Atrazine 2.5 mg_L+testo/H7_02.tif </t>
  </si>
  <si>
    <t xml:space="preserve"> 24463.4108 </t>
  </si>
  <si>
    <t xml:space="preserve"> 73.9549 </t>
  </si>
  <si>
    <t xml:space="preserve">F:\images\20210610\plaque 2/@07 Atrazine 2.5 mg_L+testo/H7_03.tif </t>
  </si>
  <si>
    <t xml:space="preserve"> 29243.6175 </t>
  </si>
  <si>
    <t xml:space="preserve"> 72.5385 </t>
  </si>
  <si>
    <t xml:space="preserve">F:\images\20210610\plaque 2/@07 Atrazine 2.5 mg_L+testo/ </t>
  </si>
  <si>
    <t xml:space="preserve"> 71.6004 </t>
  </si>
  <si>
    <t xml:space="preserve"> 4.8149 </t>
  </si>
  <si>
    <t xml:space="preserve"> 2159625.17 </t>
  </si>
  <si>
    <t xml:space="preserve"> 941524.336 </t>
  </si>
  <si>
    <t>F:\images\20210610\plaque 2/@08 Atrazine 5 mg_L+testo/A8_01- exclu.tif</t>
  </si>
  <si>
    <t>F:\images\20210610\plaque 2/@08 Atrazine 5 mg_L+testo/A8_02- exclu.tif</t>
  </si>
  <si>
    <t>F:\images\20210610\plaque 2/@08 Atrazine 5 mg_L+testo/A8_03- exclu.tif</t>
  </si>
  <si>
    <t xml:space="preserve">F:\images\20210610\plaque 2/@08 Atrazine 5 mg_L+testo/B8_01.tif </t>
  </si>
  <si>
    <t xml:space="preserve"> 75.2543 </t>
  </si>
  <si>
    <t xml:space="preserve">F:\images\20210610\plaque 2/@08 Atrazine 5 mg_L+testo/B8_02.tif </t>
  </si>
  <si>
    <t xml:space="preserve"> 18601.7094 </t>
  </si>
  <si>
    <t xml:space="preserve"> 73.1419 </t>
  </si>
  <si>
    <t xml:space="preserve">F:\images\20210610\plaque 2/@08 Atrazine 5 mg_L+testo/B8_03.tif </t>
  </si>
  <si>
    <t xml:space="preserve"> 17087.6168 </t>
  </si>
  <si>
    <t xml:space="preserve"> 72.4506 </t>
  </si>
  <si>
    <t xml:space="preserve">F:\images\20210610\plaque 2/@08 Atrazine 5 mg_L+testo/C8_01.tif </t>
  </si>
  <si>
    <t xml:space="preserve"> 57189.4414 </t>
  </si>
  <si>
    <t xml:space="preserve"> 73.98 </t>
  </si>
  <si>
    <t xml:space="preserve">F:\images\20210610\plaque 2/@08 Atrazine 5 mg_L+testo/C8_02.tif </t>
  </si>
  <si>
    <t xml:space="preserve"> 56800.1033 </t>
  </si>
  <si>
    <t xml:space="preserve"> 72.9509 </t>
  </si>
  <si>
    <t xml:space="preserve">F:\images\20210610\plaque 2/@08 Atrazine 5 mg_L+testo/C8_03.tif </t>
  </si>
  <si>
    <t xml:space="preserve"> 79.6503 </t>
  </si>
  <si>
    <t xml:space="preserve">F:\images\20210610\plaque 2/@08 Atrazine 5 mg_L+testo/D8_01.tif </t>
  </si>
  <si>
    <t xml:space="preserve"> 32704.4007 </t>
  </si>
  <si>
    <t xml:space="preserve"> 71.0278 </t>
  </si>
  <si>
    <t xml:space="preserve">F:\images\20210610\plaque 2/@08 Atrazine 5 mg_L+testo/D8_02.tif </t>
  </si>
  <si>
    <t xml:space="preserve"> 71.5005 </t>
  </si>
  <si>
    <t xml:space="preserve">F:\images\20210610\plaque 2/@08 Atrazine 5 mg_L+testo/D8_03.tif </t>
  </si>
  <si>
    <t xml:space="preserve"> 65.7867 </t>
  </si>
  <si>
    <t xml:space="preserve">F:\images\20210610\plaque 2/@08 Atrazine 5 mg_L+testo/E8_01.tif </t>
  </si>
  <si>
    <t xml:space="preserve"> 42070.1451 </t>
  </si>
  <si>
    <t xml:space="preserve"> 68.3805 </t>
  </si>
  <si>
    <t xml:space="preserve">F:\images\20210610\plaque 2/@08 Atrazine 5 mg_L+testo/E8_02.tif </t>
  </si>
  <si>
    <t xml:space="preserve"> 38263.2836 </t>
  </si>
  <si>
    <t xml:space="preserve"> 68.0475 </t>
  </si>
  <si>
    <t xml:space="preserve">F:\images\20210610\plaque 2/@08 Atrazine 5 mg_L+testo/E8_03.tif </t>
  </si>
  <si>
    <t xml:space="preserve"> 41594.2874 </t>
  </si>
  <si>
    <t xml:space="preserve"> 67.8222 </t>
  </si>
  <si>
    <t xml:space="preserve">F:\images\20210610\plaque 2/@08 Atrazine 5 mg_L+testo/F8_01.tif </t>
  </si>
  <si>
    <t xml:space="preserve"> 49662.2381 </t>
  </si>
  <si>
    <t xml:space="preserve"> 73.118 </t>
  </si>
  <si>
    <t xml:space="preserve">F:\images\20210610\plaque 2/@08 Atrazine 5 mg_L+testo/F8_02.tif </t>
  </si>
  <si>
    <t xml:space="preserve"> 44189.8747 </t>
  </si>
  <si>
    <t xml:space="preserve"> 75.072 </t>
  </si>
  <si>
    <t xml:space="preserve">F:\images\20210610\plaque 2/@08 Atrazine 5 mg_L+testo/F8_03.tif </t>
  </si>
  <si>
    <t xml:space="preserve"> 73.0468 </t>
  </si>
  <si>
    <t xml:space="preserve">F:\images\20210610\plaque 2/@08 Atrazine 5 mg_L+testo/G8_01.tif </t>
  </si>
  <si>
    <t xml:space="preserve"> 41853.8461 </t>
  </si>
  <si>
    <t xml:space="preserve"> 71.4853 </t>
  </si>
  <si>
    <t xml:space="preserve">F:\images\20210610\plaque 2/@08 Atrazine 5 mg_L+testo/G8_02.tif </t>
  </si>
  <si>
    <t xml:space="preserve"> 40296.4937 </t>
  </si>
  <si>
    <t xml:space="preserve"> 71.6189 </t>
  </si>
  <si>
    <t xml:space="preserve">F:\images\20210610\plaque 2/@08 Atrazine 5 mg_L+testo/G8_03.tif </t>
  </si>
  <si>
    <t xml:space="preserve"> 71.0069 </t>
  </si>
  <si>
    <t xml:space="preserve">F:\images\20210610\plaque 2/@08 Atrazine 5 mg_L+testo/H8_01.tif </t>
  </si>
  <si>
    <t xml:space="preserve"> 73.2969 </t>
  </si>
  <si>
    <t xml:space="preserve">F:\images\20210610\plaque 2/@08 Atrazine 5 mg_L+testo/H8_02.tif </t>
  </si>
  <si>
    <t xml:space="preserve"> 30216.9628 </t>
  </si>
  <si>
    <t xml:space="preserve"> 72.6786 </t>
  </si>
  <si>
    <t>F:\images\20210610\plaque 2/@08 Atrazine 5 mg_L+testo/H8_03- exclu.tif</t>
  </si>
  <si>
    <t xml:space="preserve">F:\images\20210610\plaque 2/@08 Atrazine 5 mg_L+testo/ </t>
  </si>
  <si>
    <t xml:space="preserve"> 71.9226 </t>
  </si>
  <si>
    <t xml:space="preserve"> 3.6047 </t>
  </si>
  <si>
    <t xml:space="preserve"> 2404836.88 </t>
  </si>
  <si>
    <t xml:space="preserve"> 1233513.86 </t>
  </si>
  <si>
    <t xml:space="preserve">F:\images\20210610\plaque 2/@09 Atrazine 10 mg_L+testo/A9_01.tif </t>
  </si>
  <si>
    <t xml:space="preserve"> 84.6142 </t>
  </si>
  <si>
    <t xml:space="preserve">F:\images\20210610\plaque 2/@09 Atrazine 10 mg_L+testo/A9_02.tif </t>
  </si>
  <si>
    <t xml:space="preserve"> 37398.0878 </t>
  </si>
  <si>
    <t xml:space="preserve"> 84.0127 </t>
  </si>
  <si>
    <t xml:space="preserve">F:\images\20210610\plaque 2/@09 Atrazine 10 mg_L+testo/A9_03.tif </t>
  </si>
  <si>
    <t xml:space="preserve"> 39366.4082 </t>
  </si>
  <si>
    <t xml:space="preserve"> 82.1099 </t>
  </si>
  <si>
    <t xml:space="preserve">F:\images\20210610\plaque 2/@09 Atrazine 10 mg_L+testo/B9_01.tif </t>
  </si>
  <si>
    <t xml:space="preserve"> 41724.0667 </t>
  </si>
  <si>
    <t xml:space="preserve"> 75.8051 </t>
  </si>
  <si>
    <t xml:space="preserve">F:\images\20210610\plaque 2/@09 Atrazine 10 mg_L+testo/B9_02.tif </t>
  </si>
  <si>
    <t xml:space="preserve"> 45747.2271 </t>
  </si>
  <si>
    <t xml:space="preserve"> 75.0208 </t>
  </si>
  <si>
    <t xml:space="preserve">F:\images\20210610\plaque 2/@09 Atrazine 10 mg_L+testo/B9_03.tif </t>
  </si>
  <si>
    <t xml:space="preserve"> 43519.348 </t>
  </si>
  <si>
    <t xml:space="preserve"> 72.8484 </t>
  </si>
  <si>
    <t xml:space="preserve">F:\images\20210610\plaque 2/@09 Atrazine 10 mg_L+testo/C9_01.tif </t>
  </si>
  <si>
    <t xml:space="preserve"> 72.9212 </t>
  </si>
  <si>
    <t xml:space="preserve">F:\images\20210610\plaque 2/@09 Atrazine 10 mg_L+testo/C9_02.tif </t>
  </si>
  <si>
    <t xml:space="preserve"> 72.5215 </t>
  </si>
  <si>
    <t xml:space="preserve">F:\images\20210610\plaque 2/@09 Atrazine 10 mg_L+testo/C9_03.tif </t>
  </si>
  <si>
    <t xml:space="preserve"> 73.2084 </t>
  </si>
  <si>
    <t xml:space="preserve">F:\images\20210610\plaque 2/@09 Atrazine 10 mg_L+testo/D9_01.tif </t>
  </si>
  <si>
    <t xml:space="preserve"> 21002.6277 </t>
  </si>
  <si>
    <t xml:space="preserve"> 78.1658 </t>
  </si>
  <si>
    <t xml:space="preserve">F:\images\20210610\plaque 2/@09 Atrazine 10 mg_L+testo/D9_02.tif </t>
  </si>
  <si>
    <t xml:space="preserve"> 67.4645 </t>
  </si>
  <si>
    <t xml:space="preserve">F:\images\20210610\plaque 2/@09 Atrazine 10 mg_L+testo/D9_03.tif </t>
  </si>
  <si>
    <t xml:space="preserve"> 73.4282 </t>
  </si>
  <si>
    <t xml:space="preserve">F:\images\20210610\plaque 2/@09 Atrazine 10 mg_L+testo/E9_01.tif </t>
  </si>
  <si>
    <t xml:space="preserve"> 79.1402 </t>
  </si>
  <si>
    <t xml:space="preserve">F:\images\20210610\plaque 2/@09 Atrazine 10 mg_L+testo/E9_02.tif </t>
  </si>
  <si>
    <t xml:space="preserve"> 41486.1379 </t>
  </si>
  <si>
    <t xml:space="preserve"> 76.5209 </t>
  </si>
  <si>
    <t xml:space="preserve">F:\images\20210610\plaque 2/@09 Atrazine 10 mg_L+testo/E9_03.tif </t>
  </si>
  <si>
    <t xml:space="preserve"> 41161.6895 </t>
  </si>
  <si>
    <t xml:space="preserve"> 78.4325 </t>
  </si>
  <si>
    <t xml:space="preserve">F:\images\20210610\plaque 2/@09 Atrazine 10 mg_L+testo/F9_01.tif </t>
  </si>
  <si>
    <t xml:space="preserve"> 47780.4372 </t>
  </si>
  <si>
    <t xml:space="preserve"> 80.1431 </t>
  </si>
  <si>
    <t>F:\images\20210610\plaque 2/@09 Atrazine 10 mg_L+testo/F9_02- exclu.tif</t>
  </si>
  <si>
    <t xml:space="preserve">F:\images\20210610\plaque 2/@09 Atrazine 10 mg_L+testo/F9_03.tif </t>
  </si>
  <si>
    <t xml:space="preserve"> 48104.8857 </t>
  </si>
  <si>
    <t xml:space="preserve"> 77.1385 </t>
  </si>
  <si>
    <t xml:space="preserve">F:\images\20210610\plaque 2/@09 Atrazine 10 mg_L+testo/G9_01.tif </t>
  </si>
  <si>
    <t xml:space="preserve"> 30108.8133 </t>
  </si>
  <si>
    <t xml:space="preserve"> 71.5036 </t>
  </si>
  <si>
    <t xml:space="preserve">F:\images\20210610\plaque 2/@09 Atrazine 10 mg_L+testo/G9_02.tif </t>
  </si>
  <si>
    <t xml:space="preserve"> 28984.0588 </t>
  </si>
  <si>
    <t xml:space="preserve"> 71.2761 </t>
  </si>
  <si>
    <t xml:space="preserve">F:\images\20210610\plaque 2/@09 Atrazine 10 mg_L+testo/G9_03.tif </t>
  </si>
  <si>
    <t xml:space="preserve"> 70.179 </t>
  </si>
  <si>
    <t xml:space="preserve">F:\images\20210610\plaque 2/@09 Atrazine 10 mg_L+testo/H9_01.tif </t>
  </si>
  <si>
    <t xml:space="preserve"> 48494.2238 </t>
  </si>
  <si>
    <t xml:space="preserve"> 73.3006 </t>
  </si>
  <si>
    <t xml:space="preserve">F:\images\20210610\plaque 2/@09 Atrazine 10 mg_L+testo/H9_02.tif </t>
  </si>
  <si>
    <t xml:space="preserve"> 49792.0174 </t>
  </si>
  <si>
    <t xml:space="preserve"> 74.7368 </t>
  </si>
  <si>
    <t xml:space="preserve">F:\images\20210610\plaque 2/@09 Atrazine 10 mg_L+testo/H9_03.tif </t>
  </si>
  <si>
    <t xml:space="preserve"> 42827.1914 </t>
  </si>
  <si>
    <t xml:space="preserve"> 74.0338 </t>
  </si>
  <si>
    <t xml:space="preserve">F:\images\20210610\plaque 2/@09 Atrazine 10 mg_L+testo/ </t>
  </si>
  <si>
    <t xml:space="preserve"> 75.1126 </t>
  </si>
  <si>
    <t xml:space="preserve"> 4.8667 </t>
  </si>
  <si>
    <t xml:space="preserve"> 2909749.79 </t>
  </si>
  <si>
    <t xml:space="preserve"> 756318.587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</si>
</sst>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3" fillId="0" borderId="22" xfId="0" applyNumberFormat="1" applyFont="1" applyFill="1" applyBorder="1" applyAlignment="1">
      <alignment horizontal="center" vertical="center"/>
    </xf>
    <xf numFmtId="0" fontId="3" fillId="14" borderId="46" xfId="0" applyNumberFormat="1" applyFont="1" applyFill="1" applyBorder="1" applyAlignment="1">
      <alignment horizontal="center" vertical="center"/>
    </xf>
    <xf numFmtId="0" fontId="0" fillId="0" borderId="0" xfId="0" applyNumberFormat="1" applyFont="1"/>
    <xf numFmtId="0" fontId="14"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8837-4CC5-9E8F-D67E9306F68A}"/>
              </c:ext>
            </c:extLst>
          </c:dPt>
          <c:dPt>
            <c:idx val="1"/>
            <c:invertIfNegative val="0"/>
            <c:bubble3D val="0"/>
            <c:spPr>
              <a:solidFill>
                <a:srgbClr val="FF0000"/>
              </a:solidFill>
            </c:spPr>
            <c:extLst>
              <c:ext xmlns:c16="http://schemas.microsoft.com/office/drawing/2014/chart" uri="{C3380CC4-5D6E-409C-BE32-E72D297353CC}">
                <c16:uniqueId val="{00000002-8837-4CC5-9E8F-D67E9306F68A}"/>
              </c:ext>
            </c:extLst>
          </c:dPt>
          <c:dPt>
            <c:idx val="2"/>
            <c:invertIfNegative val="0"/>
            <c:bubble3D val="0"/>
            <c:spPr>
              <a:solidFill>
                <a:srgbClr val="FF0000"/>
              </a:solidFill>
            </c:spPr>
            <c:extLst>
              <c:ext xmlns:c16="http://schemas.microsoft.com/office/drawing/2014/chart" uri="{C3380CC4-5D6E-409C-BE32-E72D297353CC}">
                <c16:uniqueId val="{00000003-8837-4CC5-9E8F-D67E9306F68A}"/>
              </c:ext>
            </c:extLst>
          </c:dPt>
          <c:dPt>
            <c:idx val="3"/>
            <c:invertIfNegative val="0"/>
            <c:bubble3D val="0"/>
            <c:spPr>
              <a:solidFill>
                <a:srgbClr val="FF0000"/>
              </a:solidFill>
            </c:spPr>
            <c:extLst>
              <c:ext xmlns:c16="http://schemas.microsoft.com/office/drawing/2014/chart" uri="{C3380CC4-5D6E-409C-BE32-E72D297353CC}">
                <c16:uniqueId val="{00000004-8837-4CC5-9E8F-D67E9306F68A}"/>
              </c:ext>
            </c:extLst>
          </c:dPt>
          <c:dPt>
            <c:idx val="4"/>
            <c:invertIfNegative val="0"/>
            <c:bubble3D val="0"/>
            <c:spPr>
              <a:solidFill>
                <a:srgbClr val="FF0000"/>
              </a:solidFill>
            </c:spPr>
            <c:extLst>
              <c:ext xmlns:c16="http://schemas.microsoft.com/office/drawing/2014/chart" uri="{C3380CC4-5D6E-409C-BE32-E72D297353CC}">
                <c16:uniqueId val="{00000005-8837-4CC5-9E8F-D67E9306F68A}"/>
              </c:ext>
            </c:extLst>
          </c:dPt>
          <c:dPt>
            <c:idx val="5"/>
            <c:invertIfNegative val="0"/>
            <c:bubble3D val="0"/>
            <c:spPr>
              <a:solidFill>
                <a:srgbClr val="FF0000"/>
              </a:solidFill>
            </c:spPr>
            <c:extLst>
              <c:ext xmlns:c16="http://schemas.microsoft.com/office/drawing/2014/chart" uri="{C3380CC4-5D6E-409C-BE32-E72D297353CC}">
                <c16:uniqueId val="{00000006-8837-4CC5-9E8F-D67E9306F68A}"/>
              </c:ext>
            </c:extLst>
          </c:dPt>
          <c:dPt>
            <c:idx val="6"/>
            <c:invertIfNegative val="0"/>
            <c:bubble3D val="0"/>
            <c:spPr>
              <a:solidFill>
                <a:srgbClr val="FF0000"/>
              </a:solidFill>
            </c:spPr>
            <c:extLst>
              <c:ext xmlns:c16="http://schemas.microsoft.com/office/drawing/2014/chart" uri="{C3380CC4-5D6E-409C-BE32-E72D297353CC}">
                <c16:uniqueId val="{00000007-8837-4CC5-9E8F-D67E9306F68A}"/>
              </c:ext>
            </c:extLst>
          </c:dPt>
          <c:dPt>
            <c:idx val="7"/>
            <c:invertIfNegative val="0"/>
            <c:bubble3D val="0"/>
            <c:spPr>
              <a:solidFill>
                <a:schemeClr val="bg1">
                  <a:lumMod val="65000"/>
                </a:schemeClr>
              </a:solidFill>
            </c:spPr>
            <c:extLst>
              <c:ext xmlns:c16="http://schemas.microsoft.com/office/drawing/2014/chart" uri="{C3380CC4-5D6E-409C-BE32-E72D297353CC}">
                <c16:uniqueId val="{00000008-8837-4CC5-9E8F-D67E9306F68A}"/>
              </c:ext>
            </c:extLst>
          </c:dPt>
          <c:dPt>
            <c:idx val="8"/>
            <c:invertIfNegative val="0"/>
            <c:bubble3D val="0"/>
            <c:spPr>
              <a:solidFill>
                <a:schemeClr val="bg1">
                  <a:lumMod val="65000"/>
                </a:schemeClr>
              </a:solidFill>
            </c:spPr>
            <c:extLst>
              <c:ext xmlns:c16="http://schemas.microsoft.com/office/drawing/2014/chart" uri="{C3380CC4-5D6E-409C-BE32-E72D297353CC}">
                <c16:uniqueId val="{00000009-8837-4CC5-9E8F-D67E9306F68A}"/>
              </c:ext>
            </c:extLst>
          </c:dPt>
          <c:dPt>
            <c:idx val="9"/>
            <c:invertIfNegative val="0"/>
            <c:bubble3D val="0"/>
            <c:spPr>
              <a:solidFill>
                <a:schemeClr val="bg1">
                  <a:lumMod val="65000"/>
                </a:schemeClr>
              </a:solidFill>
            </c:spPr>
            <c:extLst>
              <c:ext xmlns:c16="http://schemas.microsoft.com/office/drawing/2014/chart" uri="{C3380CC4-5D6E-409C-BE32-E72D297353CC}">
                <c16:uniqueId val="{0000000A-8837-4CC5-9E8F-D67E9306F68A}"/>
              </c:ext>
            </c:extLst>
          </c:dPt>
          <c:dPt>
            <c:idx val="10"/>
            <c:invertIfNegative val="0"/>
            <c:bubble3D val="0"/>
            <c:spPr>
              <a:solidFill>
                <a:schemeClr val="bg1">
                  <a:lumMod val="65000"/>
                </a:schemeClr>
              </a:solidFill>
            </c:spPr>
            <c:extLst>
              <c:ext xmlns:c16="http://schemas.microsoft.com/office/drawing/2014/chart" uri="{C3380CC4-5D6E-409C-BE32-E72D297353CC}">
                <c16:uniqueId val="{0000000B-8837-4CC5-9E8F-D67E9306F68A}"/>
              </c:ext>
            </c:extLst>
          </c:dPt>
          <c:dPt>
            <c:idx val="11"/>
            <c:invertIfNegative val="0"/>
            <c:bubble3D val="0"/>
            <c:spPr>
              <a:solidFill>
                <a:schemeClr val="bg1">
                  <a:lumMod val="65000"/>
                </a:schemeClr>
              </a:solidFill>
            </c:spPr>
            <c:extLst>
              <c:ext xmlns:c16="http://schemas.microsoft.com/office/drawing/2014/chart" uri="{C3380CC4-5D6E-409C-BE32-E72D297353CC}">
                <c16:uniqueId val="{0000000C-8837-4CC5-9E8F-D67E9306F68A}"/>
              </c:ext>
            </c:extLst>
          </c:dPt>
          <c:dPt>
            <c:idx val="14"/>
            <c:invertIfNegative val="0"/>
            <c:bubble3D val="0"/>
            <c:spPr>
              <a:solidFill>
                <a:srgbClr val="92D050"/>
              </a:solidFill>
            </c:spPr>
            <c:extLst>
              <c:ext xmlns:c16="http://schemas.microsoft.com/office/drawing/2014/chart" uri="{C3380CC4-5D6E-409C-BE32-E72D297353CC}">
                <c16:uniqueId val="{0000000F-8837-4CC5-9E8F-D67E9306F68A}"/>
              </c:ext>
            </c:extLst>
          </c:dPt>
          <c:dPt>
            <c:idx val="15"/>
            <c:invertIfNegative val="0"/>
            <c:bubble3D val="0"/>
            <c:spPr>
              <a:solidFill>
                <a:srgbClr val="92D050"/>
              </a:solidFill>
            </c:spPr>
            <c:extLst>
              <c:ext xmlns:c16="http://schemas.microsoft.com/office/drawing/2014/chart" uri="{C3380CC4-5D6E-409C-BE32-E72D297353CC}">
                <c16:uniqueId val="{00000010-8837-4CC5-9E8F-D67E9306F68A}"/>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1-8837-4CC5-9E8F-D67E9306F68A}"/>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2-8837-4CC5-9E8F-D67E9306F68A}"/>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3-8837-4CC5-9E8F-D67E9306F68A}"/>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4-8837-4CC5-9E8F-D67E9306F68A}"/>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5-8837-4CC5-9E8F-D67E9306F68A}"/>
              </c:ext>
            </c:extLst>
          </c:dPt>
          <c:dLbls>
            <c:dLbl>
              <c:idx val="0"/>
              <c:tx>
                <c:rich>
                  <a:bodyPr/>
                  <a:lstStyle/>
                  <a:p>
                    <a:fld id="{71AABECA-B30E-4320-A016-8F0CD5CC8DC5}"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837-4CC5-9E8F-D67E9306F68A}"/>
                </c:ext>
              </c:extLst>
            </c:dLbl>
            <c:dLbl>
              <c:idx val="1"/>
              <c:tx>
                <c:rich>
                  <a:bodyPr/>
                  <a:lstStyle/>
                  <a:p>
                    <a:fld id="{A0275745-47CD-4BC5-89EF-F065FE21926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837-4CC5-9E8F-D67E9306F68A}"/>
                </c:ext>
              </c:extLst>
            </c:dLbl>
            <c:dLbl>
              <c:idx val="2"/>
              <c:tx>
                <c:rich>
                  <a:bodyPr/>
                  <a:lstStyle/>
                  <a:p>
                    <a:fld id="{E2A7B8BE-E70A-4419-A4EF-64926572AF7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837-4CC5-9E8F-D67E9306F68A}"/>
                </c:ext>
              </c:extLst>
            </c:dLbl>
            <c:dLbl>
              <c:idx val="3"/>
              <c:tx>
                <c:rich>
                  <a:bodyPr/>
                  <a:lstStyle/>
                  <a:p>
                    <a:fld id="{DB2C5455-E211-484E-B48D-CA06BD01FBE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837-4CC5-9E8F-D67E9306F68A}"/>
                </c:ext>
              </c:extLst>
            </c:dLbl>
            <c:dLbl>
              <c:idx val="4"/>
              <c:tx>
                <c:rich>
                  <a:bodyPr/>
                  <a:lstStyle/>
                  <a:p>
                    <a:fld id="{F644B67C-1932-450F-9441-740C04142E2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837-4CC5-9E8F-D67E9306F68A}"/>
                </c:ext>
              </c:extLst>
            </c:dLbl>
            <c:dLbl>
              <c:idx val="5"/>
              <c:tx>
                <c:rich>
                  <a:bodyPr/>
                  <a:lstStyle/>
                  <a:p>
                    <a:fld id="{10FF6ADA-92B5-485F-A35D-E7188841EE0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837-4CC5-9E8F-D67E9306F68A}"/>
                </c:ext>
              </c:extLst>
            </c:dLbl>
            <c:dLbl>
              <c:idx val="6"/>
              <c:tx>
                <c:rich>
                  <a:bodyPr/>
                  <a:lstStyle/>
                  <a:p>
                    <a:fld id="{C0414AFA-2F5A-42B6-8CA4-0B4A5F43736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837-4CC5-9E8F-D67E9306F68A}"/>
                </c:ext>
              </c:extLst>
            </c:dLbl>
            <c:dLbl>
              <c:idx val="7"/>
              <c:tx>
                <c:rich>
                  <a:bodyPr/>
                  <a:lstStyle/>
                  <a:p>
                    <a:fld id="{7811B9A8-C39F-4BC5-9DA5-3831A327CF3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837-4CC5-9E8F-D67E9306F68A}"/>
                </c:ext>
              </c:extLst>
            </c:dLbl>
            <c:dLbl>
              <c:idx val="8"/>
              <c:tx>
                <c:rich>
                  <a:bodyPr/>
                  <a:lstStyle/>
                  <a:p>
                    <a:fld id="{488E8976-C598-46EC-AC61-66C6686564F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837-4CC5-9E8F-D67E9306F68A}"/>
                </c:ext>
              </c:extLst>
            </c:dLbl>
            <c:dLbl>
              <c:idx val="9"/>
              <c:tx>
                <c:rich>
                  <a:bodyPr/>
                  <a:lstStyle/>
                  <a:p>
                    <a:fld id="{EB504D59-19C7-4203-AFAB-DE85C38F117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837-4CC5-9E8F-D67E9306F68A}"/>
                </c:ext>
              </c:extLst>
            </c:dLbl>
            <c:dLbl>
              <c:idx val="10"/>
              <c:tx>
                <c:rich>
                  <a:bodyPr/>
                  <a:lstStyle/>
                  <a:p>
                    <a:fld id="{C3F0BCE0-01A6-41C0-AFCC-59F2EACADBE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837-4CC5-9E8F-D67E9306F68A}"/>
                </c:ext>
              </c:extLst>
            </c:dLbl>
            <c:dLbl>
              <c:idx val="11"/>
              <c:tx>
                <c:rich>
                  <a:bodyPr/>
                  <a:lstStyle/>
                  <a:p>
                    <a:fld id="{164BBC4A-91CF-40E8-AAA1-AF96D8DF2F7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837-4CC5-9E8F-D67E9306F68A}"/>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837-4CC5-9E8F-D67E9306F68A}"/>
                </c:ext>
              </c:extLst>
            </c:dLbl>
            <c:dLbl>
              <c:idx val="13"/>
              <c:tx>
                <c:rich>
                  <a:bodyPr/>
                  <a:lstStyle/>
                  <a:p>
                    <a:fld id="{9E7ECAD6-95FF-4EF7-A57B-DD9A13E455B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837-4CC5-9E8F-D67E9306F68A}"/>
                </c:ext>
              </c:extLst>
            </c:dLbl>
            <c:dLbl>
              <c:idx val="14"/>
              <c:tx>
                <c:rich>
                  <a:bodyPr/>
                  <a:lstStyle/>
                  <a:p>
                    <a:fld id="{17F55FDD-75D6-41A3-AFA0-6961A10E420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837-4CC5-9E8F-D67E9306F68A}"/>
                </c:ext>
              </c:extLst>
            </c:dLbl>
            <c:dLbl>
              <c:idx val="15"/>
              <c:tx>
                <c:rich>
                  <a:bodyPr/>
                  <a:lstStyle/>
                  <a:p>
                    <a:fld id="{B85D40CD-84CB-4431-A92A-182A3E2A4F7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837-4CC5-9E8F-D67E9306F68A}"/>
                </c:ext>
              </c:extLst>
            </c:dLbl>
            <c:dLbl>
              <c:idx val="16"/>
              <c:tx>
                <c:rich>
                  <a:bodyPr/>
                  <a:lstStyle/>
                  <a:p>
                    <a:fld id="{CED064AA-0BFD-42C4-A915-68ABD75A566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837-4CC5-9E8F-D67E9306F68A}"/>
                </c:ext>
              </c:extLst>
            </c:dLbl>
            <c:dLbl>
              <c:idx val="17"/>
              <c:tx>
                <c:rich>
                  <a:bodyPr/>
                  <a:lstStyle/>
                  <a:p>
                    <a:fld id="{59EC9C54-AB02-411B-8445-FA1B13B14E8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837-4CC5-9E8F-D67E9306F68A}"/>
                </c:ext>
              </c:extLst>
            </c:dLbl>
            <c:dLbl>
              <c:idx val="18"/>
              <c:tx>
                <c:rich>
                  <a:bodyPr/>
                  <a:lstStyle/>
                  <a:p>
                    <a:fld id="{B6FC737D-A159-4160-96F9-127FC57695C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837-4CC5-9E8F-D67E9306F68A}"/>
                </c:ext>
              </c:extLst>
            </c:dLbl>
            <c:dLbl>
              <c:idx val="19"/>
              <c:tx>
                <c:rich>
                  <a:bodyPr/>
                  <a:lstStyle/>
                  <a:p>
                    <a:fld id="{C50037F2-A47D-4D7E-BE6C-74CB43442B1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837-4CC5-9E8F-D67E9306F68A}"/>
                </c:ext>
              </c:extLst>
            </c:dLbl>
            <c:dLbl>
              <c:idx val="20"/>
              <c:tx>
                <c:rich>
                  <a:bodyPr/>
                  <a:lstStyle/>
                  <a:p>
                    <a:fld id="{AFC53FE7-5609-4F93-B331-4F30760400A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837-4CC5-9E8F-D67E9306F68A}"/>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5.7598881000605E-2</c:v>
                  </c:pt>
                  <c:pt idx="1">
                    <c:v>5.5456568936722302E-2</c:v>
                  </c:pt>
                  <c:pt idx="2">
                    <c:v>3.6579771687246534E-2</c:v>
                  </c:pt>
                  <c:pt idx="3">
                    <c:v>0.13843858756513805</c:v>
                  </c:pt>
                  <c:pt idx="4">
                    <c:v>9.4309249099760795E-2</c:v>
                  </c:pt>
                  <c:pt idx="5">
                    <c:v>0.40295216695663055</c:v>
                  </c:pt>
                  <c:pt idx="6">
                    <c:v>0.45145249129959752</c:v>
                  </c:pt>
                  <c:pt idx="7">
                    <c:v>7.405820606539093E-2</c:v>
                  </c:pt>
                  <c:pt idx="8">
                    <c:v>4.8730222066460022E-2</c:v>
                  </c:pt>
                  <c:pt idx="9">
                    <c:v>0.14054694686800229</c:v>
                  </c:pt>
                  <c:pt idx="10">
                    <c:v>9.3915263795867482E-2</c:v>
                  </c:pt>
                  <c:pt idx="11">
                    <c:v>7.0506786804136384E-2</c:v>
                  </c:pt>
                  <c:pt idx="13">
                    <c:v>0.16916548913976234</c:v>
                  </c:pt>
                  <c:pt idx="14">
                    <c:v>0.48475402014672297</c:v>
                  </c:pt>
                  <c:pt idx="15">
                    <c:v>2.5958537150848782E-2</c:v>
                  </c:pt>
                  <c:pt idx="16">
                    <c:v>0.21764398410716354</c:v>
                  </c:pt>
                  <c:pt idx="17">
                    <c:v>0.61946778217063181</c:v>
                  </c:pt>
                  <c:pt idx="18">
                    <c:v>0.64455542100372964</c:v>
                  </c:pt>
                  <c:pt idx="19">
                    <c:v>0.43056523361313936</c:v>
                  </c:pt>
                  <c:pt idx="20">
                    <c:v>0.59870753997156212</c:v>
                  </c:pt>
                </c:numCache>
              </c:numRef>
            </c:plus>
            <c:minus>
              <c:numRef>
                <c:f>'R1'!$N$48:$V$48</c:f>
                <c:numCache>
                  <c:formatCode>General</c:formatCode>
                  <c:ptCount val="9"/>
                  <c:pt idx="0">
                    <c:v>0</c:v>
                  </c:pt>
                  <c:pt idx="1">
                    <c:v>0.16916548913976234</c:v>
                  </c:pt>
                  <c:pt idx="2">
                    <c:v>0.48475402014672297</c:v>
                  </c:pt>
                  <c:pt idx="3">
                    <c:v>2.5958537150848782E-2</c:v>
                  </c:pt>
                  <c:pt idx="4">
                    <c:v>0.21764398410716354</c:v>
                  </c:pt>
                  <c:pt idx="5">
                    <c:v>0.61946778217063181</c:v>
                  </c:pt>
                  <c:pt idx="6">
                    <c:v>0.64455542100372964</c:v>
                  </c:pt>
                  <c:pt idx="7">
                    <c:v>0.43056523361313936</c:v>
                  </c:pt>
                  <c:pt idx="8">
                    <c:v>0.59870753997156212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Atrazine-0,625mg/L</c:v>
                </c:pt>
                <c:pt idx="8">
                  <c:v>Atrazine-1,25mg/L</c:v>
                </c:pt>
                <c:pt idx="9">
                  <c:v>Atrazine-2,5mg/L</c:v>
                </c:pt>
                <c:pt idx="10">
                  <c:v>Atrazine-5mg/L</c:v>
                </c:pt>
                <c:pt idx="11">
                  <c:v>Atrazine-10mg/L</c:v>
                </c:pt>
                <c:pt idx="13">
                  <c:v>Testo -30µg/L</c:v>
                </c:pt>
                <c:pt idx="14">
                  <c:v>Testo 30µg/L + EE2 -64ng/L</c:v>
                </c:pt>
                <c:pt idx="15">
                  <c:v>Testo 30µg/L + FAD-10µg/L</c:v>
                </c:pt>
                <c:pt idx="16">
                  <c:v>Atrazine-0,625mg/L + Testostérone</c:v>
                </c:pt>
                <c:pt idx="17">
                  <c:v>Atrazine-1,25mg/L + Testostérone</c:v>
                </c:pt>
                <c:pt idx="18">
                  <c:v>Atrazine-2,5mg/L + Testostérone</c:v>
                </c:pt>
                <c:pt idx="19">
                  <c:v>Atrazine-5mg/L + Testostérone</c:v>
                </c:pt>
                <c:pt idx="20">
                  <c:v>Atrazine-10mg/L + Testostérone</c:v>
                </c:pt>
              </c:strCache>
            </c:strRef>
          </c:cat>
          <c:val>
            <c:numRef>
              <c:f>'R1'!$B$53:$V$53</c:f>
              <c:numCache>
                <c:formatCode>0.0000</c:formatCode>
                <c:ptCount val="21"/>
                <c:pt idx="0">
                  <c:v>0.20000508662311112</c:v>
                </c:pt>
                <c:pt idx="1">
                  <c:v>0.12414160581294875</c:v>
                </c:pt>
                <c:pt idx="2">
                  <c:v>0.16782378850585372</c:v>
                </c:pt>
                <c:pt idx="3">
                  <c:v>0.35648039817983812</c:v>
                </c:pt>
                <c:pt idx="4">
                  <c:v>0.52131870406939618</c:v>
                </c:pt>
                <c:pt idx="5">
                  <c:v>1.5182464558911015</c:v>
                </c:pt>
                <c:pt idx="6">
                  <c:v>4.0532756260611915</c:v>
                </c:pt>
                <c:pt idx="7">
                  <c:v>0.33538216398109533</c:v>
                </c:pt>
                <c:pt idx="8">
                  <c:v>0.15985239015209629</c:v>
                </c:pt>
                <c:pt idx="9">
                  <c:v>0.49638231976423547</c:v>
                </c:pt>
                <c:pt idx="10">
                  <c:v>0.28646301690277504</c:v>
                </c:pt>
                <c:pt idx="11">
                  <c:v>0.14422079578817418</c:v>
                </c:pt>
                <c:pt idx="13">
                  <c:v>1.0000000000000002</c:v>
                </c:pt>
                <c:pt idx="14">
                  <c:v>2.4168561640006385</c:v>
                </c:pt>
                <c:pt idx="15">
                  <c:v>0.11593653881452216</c:v>
                </c:pt>
                <c:pt idx="16">
                  <c:v>2.5524261339195045</c:v>
                </c:pt>
                <c:pt idx="17">
                  <c:v>1.8674892432569659</c:v>
                </c:pt>
                <c:pt idx="18">
                  <c:v>2.8056363641800632</c:v>
                </c:pt>
                <c:pt idx="19">
                  <c:v>2.0859373935200582</c:v>
                </c:pt>
                <c:pt idx="20">
                  <c:v>2.0432502018620862</c:v>
                </c:pt>
              </c:numCache>
            </c:numRef>
          </c:val>
          <c:extLst>
            <c:ext xmlns:c15="http://schemas.microsoft.com/office/drawing/2012/chart" uri="{02D57815-91ED-43cb-92C2-25804820EDAC}">
              <c15:datalabelsRange>
                <c15:f>'R1'!$B$61:$V$61</c15:f>
                <c15:dlblRangeCache>
                  <c:ptCount val="21"/>
                  <c:pt idx="1">
                    <c:v>NS</c:v>
                  </c:pt>
                  <c:pt idx="2">
                    <c:v>NS</c:v>
                  </c:pt>
                  <c:pt idx="3">
                    <c:v>NS</c:v>
                  </c:pt>
                  <c:pt idx="4">
                    <c:v>NS</c:v>
                  </c:pt>
                  <c:pt idx="5">
                    <c:v>*</c:v>
                  </c:pt>
                  <c:pt idx="6">
                    <c:v>***</c:v>
                  </c:pt>
                  <c:pt idx="7">
                    <c:v>NS</c:v>
                  </c:pt>
                  <c:pt idx="8">
                    <c:v>NS</c:v>
                  </c:pt>
                  <c:pt idx="9">
                    <c:v>NS</c:v>
                  </c:pt>
                  <c:pt idx="10">
                    <c:v>NS</c:v>
                  </c:pt>
                  <c:pt idx="11">
                    <c:v>NS</c:v>
                  </c:pt>
                  <c:pt idx="13">
                    <c:v>***</c:v>
                  </c:pt>
                  <c:pt idx="14">
                    <c:v>*</c:v>
                  </c:pt>
                  <c:pt idx="15">
                    <c:v>***</c:v>
                  </c:pt>
                  <c:pt idx="16">
                    <c:v>*</c:v>
                  </c:pt>
                  <c:pt idx="17">
                    <c:v>NS</c:v>
                  </c:pt>
                  <c:pt idx="18">
                    <c:v>*</c:v>
                  </c:pt>
                  <c:pt idx="19">
                    <c:v>NS</c:v>
                  </c:pt>
                  <c:pt idx="20">
                    <c:v>NS</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4.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9532-4BCB-AFD9-C515107DB12D}"/>
              </c:ext>
            </c:extLst>
          </c:dPt>
          <c:dPt>
            <c:idx val="1"/>
            <c:invertIfNegative val="0"/>
            <c:bubble3D val="0"/>
            <c:spPr>
              <a:solidFill>
                <a:srgbClr val="FF0000"/>
              </a:solidFill>
            </c:spPr>
            <c:extLst>
              <c:ext xmlns:c16="http://schemas.microsoft.com/office/drawing/2014/chart" uri="{C3380CC4-5D6E-409C-BE32-E72D297353CC}">
                <c16:uniqueId val="{00000018-9532-4BCB-AFD9-C515107DB12D}"/>
              </c:ext>
            </c:extLst>
          </c:dPt>
          <c:dPt>
            <c:idx val="2"/>
            <c:invertIfNegative val="0"/>
            <c:bubble3D val="0"/>
            <c:spPr>
              <a:solidFill>
                <a:srgbClr val="FF0000"/>
              </a:solidFill>
            </c:spPr>
            <c:extLst>
              <c:ext xmlns:c16="http://schemas.microsoft.com/office/drawing/2014/chart" uri="{C3380CC4-5D6E-409C-BE32-E72D297353CC}">
                <c16:uniqueId val="{0000001D-9532-4BCB-AFD9-C515107DB12D}"/>
              </c:ext>
            </c:extLst>
          </c:dPt>
          <c:dPt>
            <c:idx val="3"/>
            <c:invertIfNegative val="0"/>
            <c:bubble3D val="0"/>
            <c:spPr>
              <a:solidFill>
                <a:srgbClr val="FF0000"/>
              </a:solidFill>
            </c:spPr>
            <c:extLst>
              <c:ext xmlns:c16="http://schemas.microsoft.com/office/drawing/2014/chart" uri="{C3380CC4-5D6E-409C-BE32-E72D297353CC}">
                <c16:uniqueId val="{00000019-9532-4BCB-AFD9-C515107DB12D}"/>
              </c:ext>
            </c:extLst>
          </c:dPt>
          <c:dPt>
            <c:idx val="4"/>
            <c:invertIfNegative val="0"/>
            <c:bubble3D val="0"/>
            <c:spPr>
              <a:solidFill>
                <a:srgbClr val="FF0000"/>
              </a:solidFill>
            </c:spPr>
            <c:extLst>
              <c:ext xmlns:c16="http://schemas.microsoft.com/office/drawing/2014/chart" uri="{C3380CC4-5D6E-409C-BE32-E72D297353CC}">
                <c16:uniqueId val="{0000001A-9532-4BCB-AFD9-C515107DB12D}"/>
              </c:ext>
            </c:extLst>
          </c:dPt>
          <c:dPt>
            <c:idx val="5"/>
            <c:invertIfNegative val="0"/>
            <c:bubble3D val="0"/>
            <c:spPr>
              <a:solidFill>
                <a:srgbClr val="FF0000"/>
              </a:solidFill>
            </c:spPr>
            <c:extLst>
              <c:ext xmlns:c16="http://schemas.microsoft.com/office/drawing/2014/chart" uri="{C3380CC4-5D6E-409C-BE32-E72D297353CC}">
                <c16:uniqueId val="{0000001B-9532-4BCB-AFD9-C515107DB12D}"/>
              </c:ext>
            </c:extLst>
          </c:dPt>
          <c:dPt>
            <c:idx val="6"/>
            <c:invertIfNegative val="0"/>
            <c:bubble3D val="0"/>
            <c:spPr>
              <a:solidFill>
                <a:srgbClr val="FF0000"/>
              </a:solidFill>
            </c:spPr>
            <c:extLst>
              <c:ext xmlns:c16="http://schemas.microsoft.com/office/drawing/2014/chart" uri="{C3380CC4-5D6E-409C-BE32-E72D297353CC}">
                <c16:uniqueId val="{0000001C-9532-4BCB-AFD9-C515107DB12D}"/>
              </c:ext>
            </c:extLst>
          </c:dPt>
          <c:dPt>
            <c:idx val="7"/>
            <c:invertIfNegative val="0"/>
            <c:bubble3D val="0"/>
            <c:spPr>
              <a:solidFill>
                <a:schemeClr val="bg1">
                  <a:lumMod val="65000"/>
                </a:schemeClr>
              </a:solidFill>
            </c:spPr>
            <c:extLst>
              <c:ext xmlns:c16="http://schemas.microsoft.com/office/drawing/2014/chart" uri="{C3380CC4-5D6E-409C-BE32-E72D297353CC}">
                <c16:uniqueId val="{0000001E-9532-4BCB-AFD9-C515107DB12D}"/>
              </c:ext>
            </c:extLst>
          </c:dPt>
          <c:dPt>
            <c:idx val="8"/>
            <c:invertIfNegative val="0"/>
            <c:bubble3D val="0"/>
            <c:spPr>
              <a:solidFill>
                <a:schemeClr val="bg1">
                  <a:lumMod val="65000"/>
                </a:schemeClr>
              </a:solidFill>
            </c:spPr>
            <c:extLst>
              <c:ext xmlns:c16="http://schemas.microsoft.com/office/drawing/2014/chart" uri="{C3380CC4-5D6E-409C-BE32-E72D297353CC}">
                <c16:uniqueId val="{0000001F-9532-4BCB-AFD9-C515107DB12D}"/>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9532-4BCB-AFD9-C515107DB12D}"/>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9532-4BCB-AFD9-C515107DB12D}"/>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9532-4BCB-AFD9-C515107DB12D}"/>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9532-4BCB-AFD9-C515107DB12D}"/>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9532-4BCB-AFD9-C515107DB12D}"/>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9532-4BCB-AFD9-C515107DB12D}"/>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9532-4BCB-AFD9-C515107DB12D}"/>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E421A005-73F6-4E01-A633-781A87F7094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9532-4BCB-AFD9-C515107DB12D}"/>
                </c:ext>
              </c:extLst>
            </c:dLbl>
            <c:dLbl>
              <c:idx val="1"/>
              <c:tx>
                <c:rich>
                  <a:bodyPr/>
                  <a:lstStyle/>
                  <a:p>
                    <a:fld id="{FB2706E5-E84C-4DA9-83AA-62EFA06184C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532-4BCB-AFD9-C515107DB12D}"/>
                </c:ext>
              </c:extLst>
            </c:dLbl>
            <c:dLbl>
              <c:idx val="2"/>
              <c:tx>
                <c:rich>
                  <a:bodyPr/>
                  <a:lstStyle/>
                  <a:p>
                    <a:fld id="{B24F31A4-8EDC-405E-9512-4DF35FC3CE2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532-4BCB-AFD9-C515107DB12D}"/>
                </c:ext>
              </c:extLst>
            </c:dLbl>
            <c:dLbl>
              <c:idx val="3"/>
              <c:tx>
                <c:rich>
                  <a:bodyPr/>
                  <a:lstStyle/>
                  <a:p>
                    <a:fld id="{FEA23F89-40A1-4F3C-968D-95AEC686AB4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532-4BCB-AFD9-C515107DB12D}"/>
                </c:ext>
              </c:extLst>
            </c:dLbl>
            <c:dLbl>
              <c:idx val="4"/>
              <c:tx>
                <c:rich>
                  <a:bodyPr/>
                  <a:lstStyle/>
                  <a:p>
                    <a:fld id="{DCE12927-467D-4DFD-B718-143DFBBBB79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532-4BCB-AFD9-C515107DB12D}"/>
                </c:ext>
              </c:extLst>
            </c:dLbl>
            <c:dLbl>
              <c:idx val="5"/>
              <c:tx>
                <c:rich>
                  <a:bodyPr/>
                  <a:lstStyle/>
                  <a:p>
                    <a:fld id="{AA5C8A8D-12D2-4DC7-A37D-BC341C709B1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532-4BCB-AFD9-C515107DB12D}"/>
                </c:ext>
              </c:extLst>
            </c:dLbl>
            <c:dLbl>
              <c:idx val="6"/>
              <c:tx>
                <c:rich>
                  <a:bodyPr/>
                  <a:lstStyle/>
                  <a:p>
                    <a:fld id="{77A7F1AB-CC2D-433E-9692-F7023F26E72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532-4BCB-AFD9-C515107DB12D}"/>
                </c:ext>
              </c:extLst>
            </c:dLbl>
            <c:dLbl>
              <c:idx val="7"/>
              <c:tx>
                <c:rich>
                  <a:bodyPr/>
                  <a:lstStyle/>
                  <a:p>
                    <a:fld id="{AB8C3964-9F8B-4C22-894B-DE7FD6FBBAA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532-4BCB-AFD9-C515107DB12D}"/>
                </c:ext>
              </c:extLst>
            </c:dLbl>
            <c:dLbl>
              <c:idx val="8"/>
              <c:tx>
                <c:rich>
                  <a:bodyPr/>
                  <a:lstStyle/>
                  <a:p>
                    <a:fld id="{856B2B8E-572A-47F6-8EC3-1F161EE794E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9532-4BCB-AFD9-C515107DB12D}"/>
                </c:ext>
              </c:extLst>
            </c:dLbl>
            <c:dLbl>
              <c:idx val="9"/>
              <c:tx>
                <c:rich>
                  <a:bodyPr/>
                  <a:lstStyle/>
                  <a:p>
                    <a:fld id="{FB1A7A73-C53C-4583-990B-56C3C2FFC27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C8C901C0-FA26-43FE-BC87-3B81EC1AD7C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532-4BCB-AFD9-C515107DB12D}"/>
                </c:ext>
              </c:extLst>
            </c:dLbl>
            <c:dLbl>
              <c:idx val="11"/>
              <c:tx>
                <c:rich>
                  <a:bodyPr/>
                  <a:lstStyle/>
                  <a:p>
                    <a:fld id="{CF793E44-6219-4CE9-AD7A-8A132BA09C5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9532-4BCB-AFD9-C515107DB12D}"/>
                </c:ext>
              </c:extLst>
            </c:dLbl>
            <c:dLbl>
              <c:idx val="13"/>
              <c:tx>
                <c:rich>
                  <a:bodyPr/>
                  <a:lstStyle/>
                  <a:p>
                    <a:fld id="{8A97AB04-EE3A-4A68-9AA8-55290A45B2B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2168EF7D-9317-4D4B-B070-54841CC2EE4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532-4BCB-AFD9-C515107DB12D}"/>
                </c:ext>
              </c:extLst>
            </c:dLbl>
            <c:dLbl>
              <c:idx val="15"/>
              <c:tx>
                <c:rich>
                  <a:bodyPr/>
                  <a:lstStyle/>
                  <a:p>
                    <a:fld id="{20DE8A15-E360-466D-BF69-8A4179913E1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15B4C27F-8CE4-4284-A8AB-2484B479DF7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532-4BCB-AFD9-C515107DB12D}"/>
                </c:ext>
              </c:extLst>
            </c:dLbl>
            <c:dLbl>
              <c:idx val="17"/>
              <c:tx>
                <c:rich>
                  <a:bodyPr/>
                  <a:lstStyle/>
                  <a:p>
                    <a:fld id="{407EB58D-F88F-43AD-92CB-7D147EC4769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532-4BCB-AFD9-C515107DB12D}"/>
                </c:ext>
              </c:extLst>
            </c:dLbl>
            <c:dLbl>
              <c:idx val="18"/>
              <c:tx>
                <c:rich>
                  <a:bodyPr/>
                  <a:lstStyle/>
                  <a:p>
                    <a:fld id="{817BDF96-1F95-442F-B1A6-A4EA88BC925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532-4BCB-AFD9-C515107DB12D}"/>
                </c:ext>
              </c:extLst>
            </c:dLbl>
            <c:dLbl>
              <c:idx val="19"/>
              <c:tx>
                <c:rich>
                  <a:bodyPr/>
                  <a:lstStyle/>
                  <a:p>
                    <a:fld id="{D378872A-B697-4695-91C7-39D74B9701F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532-4BCB-AFD9-C515107DB12D}"/>
                </c:ext>
              </c:extLst>
            </c:dLbl>
            <c:dLbl>
              <c:idx val="20"/>
              <c:tx>
                <c:rich>
                  <a:bodyPr/>
                  <a:lstStyle/>
                  <a:p>
                    <a:fld id="{80A056C5-9B78-477F-B970-7AEDF996B71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9532-4BCB-AFD9-C515107DB12D}"/>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3.2395177589693812E-2</c:v>
                  </c:pt>
                  <c:pt idx="1">
                    <c:v>3.1958367500500566E-2</c:v>
                  </c:pt>
                  <c:pt idx="2">
                    <c:v>1.257562107558444E-2</c:v>
                  </c:pt>
                  <c:pt idx="3">
                    <c:v>0.25736739731439245</c:v>
                  </c:pt>
                  <c:pt idx="4">
                    <c:v>0.27773846767135751</c:v>
                  </c:pt>
                  <c:pt idx="5">
                    <c:v>0.21430777988697314</c:v>
                  </c:pt>
                  <c:pt idx="6">
                    <c:v>0.31169669687239787</c:v>
                  </c:pt>
                  <c:pt idx="7">
                    <c:v>4.5306398962271135E-2</c:v>
                  </c:pt>
                  <c:pt idx="8">
                    <c:v>5.128767084685619E-2</c:v>
                  </c:pt>
                  <c:pt idx="9">
                    <c:v>3.2712296112865039E-2</c:v>
                  </c:pt>
                  <c:pt idx="10">
                    <c:v>5.124196351514991E-2</c:v>
                  </c:pt>
                  <c:pt idx="11">
                    <c:v>9.2803229784287594E-2</c:v>
                  </c:pt>
                  <c:pt idx="13">
                    <c:v>0.19082038687463304</c:v>
                  </c:pt>
                  <c:pt idx="14">
                    <c:v>0.32994237647685476</c:v>
                  </c:pt>
                  <c:pt idx="15">
                    <c:v>1.7683951081566718E-2</c:v>
                  </c:pt>
                  <c:pt idx="16">
                    <c:v>0.42833060268747697</c:v>
                  </c:pt>
                  <c:pt idx="17">
                    <c:v>0.45623965977911091</c:v>
                  </c:pt>
                  <c:pt idx="18">
                    <c:v>0.38668151993256417</c:v>
                  </c:pt>
                  <c:pt idx="19">
                    <c:v>0.29192514087438592</c:v>
                  </c:pt>
                  <c:pt idx="20">
                    <c:v>0.23198724826882997</c:v>
                  </c:pt>
                </c:numCache>
              </c:numRef>
            </c:plus>
            <c:minus>
              <c:numRef>
                <c:f>'R1'!$N$48:$V$48</c:f>
                <c:numCache>
                  <c:formatCode>General</c:formatCode>
                  <c:ptCount val="9"/>
                  <c:pt idx="0">
                    <c:v>0</c:v>
                  </c:pt>
                  <c:pt idx="1">
                    <c:v>0.16916548913976234</c:v>
                  </c:pt>
                  <c:pt idx="2">
                    <c:v>0.48475402014672297</c:v>
                  </c:pt>
                  <c:pt idx="3">
                    <c:v>2.5958537150848782E-2</c:v>
                  </c:pt>
                  <c:pt idx="4">
                    <c:v>0.21764398410716354</c:v>
                  </c:pt>
                  <c:pt idx="5">
                    <c:v>0.61946778217063181</c:v>
                  </c:pt>
                  <c:pt idx="6">
                    <c:v>0.64455542100372964</c:v>
                  </c:pt>
                  <c:pt idx="7">
                    <c:v>0.43056523361313936</c:v>
                  </c:pt>
                  <c:pt idx="8">
                    <c:v>0.59870753997156212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Atrazine-0,625mg/L</c:v>
                </c:pt>
                <c:pt idx="8">
                  <c:v>Atrazine-1,25mg/L</c:v>
                </c:pt>
                <c:pt idx="9">
                  <c:v>Atrazine-2,5mg/L</c:v>
                </c:pt>
                <c:pt idx="10">
                  <c:v>Atrazine-5mg/L</c:v>
                </c:pt>
                <c:pt idx="11">
                  <c:v>Atrazine-10mg/L</c:v>
                </c:pt>
                <c:pt idx="13">
                  <c:v>Testo -30µg/L</c:v>
                </c:pt>
                <c:pt idx="14">
                  <c:v>Testo 30µg/L + EE2 -64ng/L</c:v>
                </c:pt>
                <c:pt idx="15">
                  <c:v>Testo 30µg/L + FAD-10µg/L</c:v>
                </c:pt>
                <c:pt idx="16">
                  <c:v>Atrazine-0,625mg/L + Testostérone</c:v>
                </c:pt>
                <c:pt idx="17">
                  <c:v>Atrazine-1,25mg/L + Testostérone</c:v>
                </c:pt>
                <c:pt idx="18">
                  <c:v>Atrazine-2,5mg/L + Testostérone</c:v>
                </c:pt>
                <c:pt idx="19">
                  <c:v>Atrazine-5mg/L + Testostérone</c:v>
                </c:pt>
                <c:pt idx="20">
                  <c:v>Atrazine-10mg/L + Testostérone</c:v>
                </c:pt>
              </c:strCache>
            </c:strRef>
          </c:cat>
          <c:val>
            <c:numRef>
              <c:f>'R2'!$B$53:$V$53</c:f>
              <c:numCache>
                <c:formatCode>0.0000</c:formatCode>
                <c:ptCount val="21"/>
                <c:pt idx="0">
                  <c:v>9.8727634749559021E-2</c:v>
                </c:pt>
                <c:pt idx="1">
                  <c:v>0.10646124419871907</c:v>
                </c:pt>
                <c:pt idx="2">
                  <c:v>5.3042760871469648E-2</c:v>
                </c:pt>
                <c:pt idx="3">
                  <c:v>0.44612263515694678</c:v>
                </c:pt>
                <c:pt idx="4">
                  <c:v>1.1312047188929091</c:v>
                </c:pt>
                <c:pt idx="5">
                  <c:v>1.5390777825063104</c:v>
                </c:pt>
                <c:pt idx="6">
                  <c:v>3.6499703807239863</c:v>
                </c:pt>
                <c:pt idx="7">
                  <c:v>0.20567434805544479</c:v>
                </c:pt>
                <c:pt idx="8">
                  <c:v>0.18022424610526747</c:v>
                </c:pt>
                <c:pt idx="9">
                  <c:v>0.14458702730365114</c:v>
                </c:pt>
                <c:pt idx="10">
                  <c:v>0.13818405319223073</c:v>
                </c:pt>
                <c:pt idx="11">
                  <c:v>0.27659445885294698</c:v>
                </c:pt>
                <c:pt idx="13">
                  <c:v>0.99999999999999978</c:v>
                </c:pt>
                <c:pt idx="14">
                  <c:v>1.6743092645319497</c:v>
                </c:pt>
                <c:pt idx="15">
                  <c:v>8.1665859604798177E-2</c:v>
                </c:pt>
                <c:pt idx="16">
                  <c:v>1.5851862931093987</c:v>
                </c:pt>
                <c:pt idx="17">
                  <c:v>1.5650167498495895</c:v>
                </c:pt>
                <c:pt idx="18">
                  <c:v>1.6325932171441715</c:v>
                </c:pt>
                <c:pt idx="19">
                  <c:v>1.6675691353125932</c:v>
                </c:pt>
                <c:pt idx="20">
                  <c:v>2.3528237969897381</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NS</c:v>
                  </c:pt>
                  <c:pt idx="15">
                    <c:v>***</c:v>
                  </c:pt>
                  <c:pt idx="16">
                    <c:v>NS</c:v>
                  </c:pt>
                  <c:pt idx="17">
                    <c:v>NS</c:v>
                  </c:pt>
                  <c:pt idx="18">
                    <c:v>NS</c:v>
                  </c:pt>
                  <c:pt idx="19">
                    <c:v>NS</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4"/>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5860-46A8-A4F1-ED27C09EBE1B}"/>
              </c:ext>
            </c:extLst>
          </c:dPt>
          <c:dPt>
            <c:idx val="1"/>
            <c:invertIfNegative val="0"/>
            <c:bubble3D val="0"/>
            <c:spPr>
              <a:solidFill>
                <a:srgbClr val="FF0000"/>
              </a:solidFill>
            </c:spPr>
            <c:extLst>
              <c:ext xmlns:c16="http://schemas.microsoft.com/office/drawing/2014/chart" uri="{C3380CC4-5D6E-409C-BE32-E72D297353CC}">
                <c16:uniqueId val="{00000018-5860-46A8-A4F1-ED27C09EBE1B}"/>
              </c:ext>
            </c:extLst>
          </c:dPt>
          <c:dPt>
            <c:idx val="2"/>
            <c:invertIfNegative val="0"/>
            <c:bubble3D val="0"/>
            <c:spPr>
              <a:solidFill>
                <a:srgbClr val="FF0000"/>
              </a:solidFill>
            </c:spPr>
            <c:extLst>
              <c:ext xmlns:c16="http://schemas.microsoft.com/office/drawing/2014/chart" uri="{C3380CC4-5D6E-409C-BE32-E72D297353CC}">
                <c16:uniqueId val="{00000019-5860-46A8-A4F1-ED27C09EBE1B}"/>
              </c:ext>
            </c:extLst>
          </c:dPt>
          <c:dPt>
            <c:idx val="3"/>
            <c:invertIfNegative val="0"/>
            <c:bubble3D val="0"/>
            <c:spPr>
              <a:solidFill>
                <a:srgbClr val="FF0000"/>
              </a:solidFill>
            </c:spPr>
            <c:extLst>
              <c:ext xmlns:c16="http://schemas.microsoft.com/office/drawing/2014/chart" uri="{C3380CC4-5D6E-409C-BE32-E72D297353CC}">
                <c16:uniqueId val="{0000001A-5860-46A8-A4F1-ED27C09EBE1B}"/>
              </c:ext>
            </c:extLst>
          </c:dPt>
          <c:dPt>
            <c:idx val="4"/>
            <c:invertIfNegative val="0"/>
            <c:bubble3D val="0"/>
            <c:spPr>
              <a:solidFill>
                <a:srgbClr val="FF0000"/>
              </a:solidFill>
            </c:spPr>
            <c:extLst>
              <c:ext xmlns:c16="http://schemas.microsoft.com/office/drawing/2014/chart" uri="{C3380CC4-5D6E-409C-BE32-E72D297353CC}">
                <c16:uniqueId val="{0000001B-5860-46A8-A4F1-ED27C09EBE1B}"/>
              </c:ext>
            </c:extLst>
          </c:dPt>
          <c:dPt>
            <c:idx val="5"/>
            <c:invertIfNegative val="0"/>
            <c:bubble3D val="0"/>
            <c:spPr>
              <a:solidFill>
                <a:srgbClr val="FF0000"/>
              </a:solidFill>
            </c:spPr>
            <c:extLst>
              <c:ext xmlns:c16="http://schemas.microsoft.com/office/drawing/2014/chart" uri="{C3380CC4-5D6E-409C-BE32-E72D297353CC}">
                <c16:uniqueId val="{0000001C-5860-46A8-A4F1-ED27C09EBE1B}"/>
              </c:ext>
            </c:extLst>
          </c:dPt>
          <c:dPt>
            <c:idx val="6"/>
            <c:invertIfNegative val="0"/>
            <c:bubble3D val="0"/>
            <c:spPr>
              <a:solidFill>
                <a:srgbClr val="FF0000"/>
              </a:solidFill>
            </c:spPr>
            <c:extLst>
              <c:ext xmlns:c16="http://schemas.microsoft.com/office/drawing/2014/chart" uri="{C3380CC4-5D6E-409C-BE32-E72D297353CC}">
                <c16:uniqueId val="{0000001D-5860-46A8-A4F1-ED27C09EBE1B}"/>
              </c:ext>
            </c:extLst>
          </c:dPt>
          <c:dPt>
            <c:idx val="7"/>
            <c:invertIfNegative val="0"/>
            <c:bubble3D val="0"/>
            <c:spPr>
              <a:solidFill>
                <a:schemeClr val="bg1">
                  <a:lumMod val="65000"/>
                </a:schemeClr>
              </a:solidFill>
            </c:spPr>
            <c:extLst>
              <c:ext xmlns:c16="http://schemas.microsoft.com/office/drawing/2014/chart" uri="{C3380CC4-5D6E-409C-BE32-E72D297353CC}">
                <c16:uniqueId val="{0000001E-5860-46A8-A4F1-ED27C09EBE1B}"/>
              </c:ext>
            </c:extLst>
          </c:dPt>
          <c:dPt>
            <c:idx val="8"/>
            <c:invertIfNegative val="0"/>
            <c:bubble3D val="0"/>
            <c:spPr>
              <a:solidFill>
                <a:schemeClr val="bg1">
                  <a:lumMod val="65000"/>
                </a:schemeClr>
              </a:solidFill>
            </c:spPr>
            <c:extLst>
              <c:ext xmlns:c16="http://schemas.microsoft.com/office/drawing/2014/chart" uri="{C3380CC4-5D6E-409C-BE32-E72D297353CC}">
                <c16:uniqueId val="{0000001F-5860-46A8-A4F1-ED27C09EBE1B}"/>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5860-46A8-A4F1-ED27C09EBE1B}"/>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5860-46A8-A4F1-ED27C09EBE1B}"/>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5860-46A8-A4F1-ED27C09EBE1B}"/>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5860-46A8-A4F1-ED27C09EBE1B}"/>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5860-46A8-A4F1-ED27C09EBE1B}"/>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5860-46A8-A4F1-ED27C09EBE1B}"/>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5860-46A8-A4F1-ED27C09EBE1B}"/>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EF1C4ED3-DBE2-464F-9F78-A544F1F0E3D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5860-46A8-A4F1-ED27C09EBE1B}"/>
                </c:ext>
              </c:extLst>
            </c:dLbl>
            <c:dLbl>
              <c:idx val="1"/>
              <c:tx>
                <c:rich>
                  <a:bodyPr/>
                  <a:lstStyle/>
                  <a:p>
                    <a:fld id="{F59A2230-82AF-4623-B556-C18AA93340D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860-46A8-A4F1-ED27C09EBE1B}"/>
                </c:ext>
              </c:extLst>
            </c:dLbl>
            <c:dLbl>
              <c:idx val="2"/>
              <c:tx>
                <c:rich>
                  <a:bodyPr/>
                  <a:lstStyle/>
                  <a:p>
                    <a:fld id="{C6A575F6-AD0A-40FE-8171-04C01E3CC33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860-46A8-A4F1-ED27C09EBE1B}"/>
                </c:ext>
              </c:extLst>
            </c:dLbl>
            <c:dLbl>
              <c:idx val="3"/>
              <c:tx>
                <c:rich>
                  <a:bodyPr/>
                  <a:lstStyle/>
                  <a:p>
                    <a:fld id="{B11B22E1-55F5-4051-B560-F94851764C9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860-46A8-A4F1-ED27C09EBE1B}"/>
                </c:ext>
              </c:extLst>
            </c:dLbl>
            <c:dLbl>
              <c:idx val="4"/>
              <c:tx>
                <c:rich>
                  <a:bodyPr/>
                  <a:lstStyle/>
                  <a:p>
                    <a:fld id="{76C11982-56C3-41AD-B747-E86C9CA34B4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860-46A8-A4F1-ED27C09EBE1B}"/>
                </c:ext>
              </c:extLst>
            </c:dLbl>
            <c:dLbl>
              <c:idx val="5"/>
              <c:tx>
                <c:rich>
                  <a:bodyPr/>
                  <a:lstStyle/>
                  <a:p>
                    <a:fld id="{732A620B-2D8E-4167-B7C4-1E4E3D28B1C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860-46A8-A4F1-ED27C09EBE1B}"/>
                </c:ext>
              </c:extLst>
            </c:dLbl>
            <c:dLbl>
              <c:idx val="6"/>
              <c:tx>
                <c:rich>
                  <a:bodyPr/>
                  <a:lstStyle/>
                  <a:p>
                    <a:fld id="{304C8559-C7B0-4C62-8301-49CC48AD5A7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860-46A8-A4F1-ED27C09EBE1B}"/>
                </c:ext>
              </c:extLst>
            </c:dLbl>
            <c:dLbl>
              <c:idx val="7"/>
              <c:tx>
                <c:rich>
                  <a:bodyPr/>
                  <a:lstStyle/>
                  <a:p>
                    <a:fld id="{46DC0345-F5A2-4E63-839B-135CABD8D10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860-46A8-A4F1-ED27C09EBE1B}"/>
                </c:ext>
              </c:extLst>
            </c:dLbl>
            <c:dLbl>
              <c:idx val="8"/>
              <c:tx>
                <c:rich>
                  <a:bodyPr/>
                  <a:lstStyle/>
                  <a:p>
                    <a:fld id="{2AC69CF5-D0A3-4F9E-8D30-9A3C5AD5624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860-46A8-A4F1-ED27C09EBE1B}"/>
                </c:ext>
              </c:extLst>
            </c:dLbl>
            <c:dLbl>
              <c:idx val="9"/>
              <c:tx>
                <c:rich>
                  <a:bodyPr/>
                  <a:lstStyle/>
                  <a:p>
                    <a:fld id="{F6A0E1CA-FA86-45DF-834A-9BAA06A2B0F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8BCCE1E4-FA15-493E-83CB-92BA17139CD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860-46A8-A4F1-ED27C09EBE1B}"/>
                </c:ext>
              </c:extLst>
            </c:dLbl>
            <c:dLbl>
              <c:idx val="11"/>
              <c:tx>
                <c:rich>
                  <a:bodyPr/>
                  <a:lstStyle/>
                  <a:p>
                    <a:fld id="{A9C95407-AD9E-4599-A4A8-D3F4B4CED31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5860-46A8-A4F1-ED27C09EBE1B}"/>
                </c:ext>
              </c:extLst>
            </c:dLbl>
            <c:dLbl>
              <c:idx val="13"/>
              <c:tx>
                <c:rich>
                  <a:bodyPr/>
                  <a:lstStyle/>
                  <a:p>
                    <a:fld id="{E197088E-D442-426D-B120-43B9533366E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5AE14DB8-71EF-4C3B-BE48-6320323D26B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860-46A8-A4F1-ED27C09EBE1B}"/>
                </c:ext>
              </c:extLst>
            </c:dLbl>
            <c:dLbl>
              <c:idx val="15"/>
              <c:tx>
                <c:rich>
                  <a:bodyPr/>
                  <a:lstStyle/>
                  <a:p>
                    <a:fld id="{E4C20810-6896-4AFE-9944-CEBEEFD72C8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368FAC63-0F7F-49B5-A69E-27A6AC5D655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860-46A8-A4F1-ED27C09EBE1B}"/>
                </c:ext>
              </c:extLst>
            </c:dLbl>
            <c:dLbl>
              <c:idx val="17"/>
              <c:tx>
                <c:rich>
                  <a:bodyPr/>
                  <a:lstStyle/>
                  <a:p>
                    <a:fld id="{75B8A4A5-2CC9-46E4-A0C0-05AFB07950A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860-46A8-A4F1-ED27C09EBE1B}"/>
                </c:ext>
              </c:extLst>
            </c:dLbl>
            <c:dLbl>
              <c:idx val="18"/>
              <c:tx>
                <c:rich>
                  <a:bodyPr/>
                  <a:lstStyle/>
                  <a:p>
                    <a:fld id="{5B1DFF4E-E2C4-4729-A00C-A165811DC02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860-46A8-A4F1-ED27C09EBE1B}"/>
                </c:ext>
              </c:extLst>
            </c:dLbl>
            <c:dLbl>
              <c:idx val="19"/>
              <c:tx>
                <c:rich>
                  <a:bodyPr/>
                  <a:lstStyle/>
                  <a:p>
                    <a:fld id="{2A5399FB-3DE2-4FD7-8008-54CF8A4F960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860-46A8-A4F1-ED27C09EBE1B}"/>
                </c:ext>
              </c:extLst>
            </c:dLbl>
            <c:dLbl>
              <c:idx val="20"/>
              <c:tx>
                <c:rich>
                  <a:bodyPr/>
                  <a:lstStyle/>
                  <a:p>
                    <a:fld id="{4CEDF735-E943-4C6D-9911-685794B5E45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860-46A8-A4F1-ED27C09EBE1B}"/>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plus"/>
            <c:errValType val="cust"/>
            <c:noEndCap val="0"/>
            <c:plus>
              <c:numRef>
                <c:f>'R3'!$B$54:$V$54</c:f>
                <c:numCache>
                  <c:formatCode>General</c:formatCode>
                  <c:ptCount val="21"/>
                  <c:pt idx="0">
                    <c:v>2.7975492485531189E-2</c:v>
                  </c:pt>
                  <c:pt idx="1">
                    <c:v>2.0806594767243582E-2</c:v>
                  </c:pt>
                  <c:pt idx="2">
                    <c:v>3.0464876111226065E-2</c:v>
                  </c:pt>
                  <c:pt idx="3">
                    <c:v>3.3390261758581036E-2</c:v>
                  </c:pt>
                  <c:pt idx="4">
                    <c:v>0.1520287440261674</c:v>
                  </c:pt>
                  <c:pt idx="5">
                    <c:v>0.21349383866981206</c:v>
                  </c:pt>
                  <c:pt idx="6">
                    <c:v>0.32984546032218948</c:v>
                  </c:pt>
                  <c:pt idx="7">
                    <c:v>2.9571709117141378E-2</c:v>
                  </c:pt>
                  <c:pt idx="8">
                    <c:v>2.2821861824188588E-2</c:v>
                  </c:pt>
                  <c:pt idx="9">
                    <c:v>5.5645684786044376E-2</c:v>
                  </c:pt>
                  <c:pt idx="10">
                    <c:v>7.6731269432160368E-2</c:v>
                  </c:pt>
                  <c:pt idx="11">
                    <c:v>6.1254081563018925E-2</c:v>
                  </c:pt>
                  <c:pt idx="13">
                    <c:v>0.15042263010083598</c:v>
                  </c:pt>
                  <c:pt idx="14">
                    <c:v>0.22673100240176372</c:v>
                  </c:pt>
                  <c:pt idx="15">
                    <c:v>2.8254383540500534E-2</c:v>
                  </c:pt>
                  <c:pt idx="16">
                    <c:v>0.17680496786692657</c:v>
                  </c:pt>
                  <c:pt idx="17">
                    <c:v>0.23495011331937185</c:v>
                  </c:pt>
                  <c:pt idx="18">
                    <c:v>0.18280023210534824</c:v>
                  </c:pt>
                  <c:pt idx="19">
                    <c:v>0.19699244743483613</c:v>
                  </c:pt>
                  <c:pt idx="20">
                    <c:v>0.12975328027109345</c:v>
                  </c:pt>
                </c:numCache>
              </c:numRef>
            </c:plus>
            <c:minus>
              <c:numRef>
                <c:f>'R1'!$N$48:$V$48</c:f>
                <c:numCache>
                  <c:formatCode>General</c:formatCode>
                  <c:ptCount val="9"/>
                  <c:pt idx="0">
                    <c:v>0</c:v>
                  </c:pt>
                  <c:pt idx="1">
                    <c:v>0.16916548913976234</c:v>
                  </c:pt>
                  <c:pt idx="2">
                    <c:v>0.48475402014672297</c:v>
                  </c:pt>
                  <c:pt idx="3">
                    <c:v>2.5958537150848782E-2</c:v>
                  </c:pt>
                  <c:pt idx="4">
                    <c:v>0.21764398410716354</c:v>
                  </c:pt>
                  <c:pt idx="5">
                    <c:v>0.61946778217063181</c:v>
                  </c:pt>
                  <c:pt idx="6">
                    <c:v>0.64455542100372964</c:v>
                  </c:pt>
                  <c:pt idx="7">
                    <c:v>0.43056523361313936</c:v>
                  </c:pt>
                  <c:pt idx="8">
                    <c:v>0.59870753997156212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Atrazine-0,625mg/L</c:v>
                </c:pt>
                <c:pt idx="8">
                  <c:v>Atrazine-1,25mg/L</c:v>
                </c:pt>
                <c:pt idx="9">
                  <c:v>Atrazine-2,5mg/L</c:v>
                </c:pt>
                <c:pt idx="10">
                  <c:v>Atrazine-5mg/L</c:v>
                </c:pt>
                <c:pt idx="11">
                  <c:v>Atrazine-10mg/L</c:v>
                </c:pt>
                <c:pt idx="13">
                  <c:v>Testo -30µg/L</c:v>
                </c:pt>
                <c:pt idx="14">
                  <c:v>Testo 30µg/L + EE2 -64ng/L</c:v>
                </c:pt>
                <c:pt idx="15">
                  <c:v>Testo 30µg/L + FAD-10µg/L</c:v>
                </c:pt>
                <c:pt idx="16">
                  <c:v>Atrazine-0,625mg/L + Testostérone</c:v>
                </c:pt>
                <c:pt idx="17">
                  <c:v>Atrazine-1,25mg/L + Testostérone</c:v>
                </c:pt>
                <c:pt idx="18">
                  <c:v>Atrazine-2,5mg/L + Testostérone</c:v>
                </c:pt>
                <c:pt idx="19">
                  <c:v>Atrazine-5mg/L + Testostérone</c:v>
                </c:pt>
                <c:pt idx="20">
                  <c:v>Atrazine-10mg/L + Testostérone</c:v>
                </c:pt>
              </c:strCache>
            </c:strRef>
          </c:cat>
          <c:val>
            <c:numRef>
              <c:f>'R3'!$B$53:$V$53</c:f>
              <c:numCache>
                <c:formatCode>0.0000</c:formatCode>
                <c:ptCount val="21"/>
                <c:pt idx="0">
                  <c:v>7.0665008115461392E-2</c:v>
                </c:pt>
                <c:pt idx="1">
                  <c:v>0.10951694428868056</c:v>
                </c:pt>
                <c:pt idx="2">
                  <c:v>8.3831239474801617E-2</c:v>
                </c:pt>
                <c:pt idx="3">
                  <c:v>0.20068951957583492</c:v>
                </c:pt>
                <c:pt idx="4">
                  <c:v>0.64811443148025705</c:v>
                </c:pt>
                <c:pt idx="5">
                  <c:v>1.3802678779364759</c:v>
                </c:pt>
                <c:pt idx="6">
                  <c:v>2.7204888182323743</c:v>
                </c:pt>
                <c:pt idx="7">
                  <c:v>0.11777683621557389</c:v>
                </c:pt>
                <c:pt idx="8">
                  <c:v>0.1160395826751604</c:v>
                </c:pt>
                <c:pt idx="9">
                  <c:v>0.15568052451414591</c:v>
                </c:pt>
                <c:pt idx="10">
                  <c:v>0.16004874355124182</c:v>
                </c:pt>
                <c:pt idx="11">
                  <c:v>0.22256421228528861</c:v>
                </c:pt>
                <c:pt idx="13">
                  <c:v>1</c:v>
                </c:pt>
                <c:pt idx="14">
                  <c:v>1.1593300989090234</c:v>
                </c:pt>
                <c:pt idx="15">
                  <c:v>8.5378224245459891E-2</c:v>
                </c:pt>
                <c:pt idx="16">
                  <c:v>0.96607252727632742</c:v>
                </c:pt>
                <c:pt idx="17">
                  <c:v>1.1108684260887183</c:v>
                </c:pt>
                <c:pt idx="18">
                  <c:v>1.1544420680430076</c:v>
                </c:pt>
                <c:pt idx="19">
                  <c:v>1.4644520568710273</c:v>
                </c:pt>
                <c:pt idx="20">
                  <c:v>1.614816004698397</c:v>
                </c:pt>
              </c:numCache>
            </c:numRef>
          </c:val>
          <c:extLst>
            <c:ext xmlns:c15="http://schemas.microsoft.com/office/drawing/2012/chart" uri="{02D57815-91ED-43cb-92C2-25804820EDAC}">
              <c15:datalabelsRange>
                <c15:f>'R3'!$B$61:$V$61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NS</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3.2"/>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rgbClr val="00B050"/>
              </a:solidFill>
            </c:spPr>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6CD4DFC6-FFAC-4BE4-8EC1-465FCB99A9E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4856CD2C-F28E-4C25-9207-B4306C7797B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2D5728A9-3CED-4126-A961-F1C2CFB4C3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8B2AB1C9-10EC-4112-8553-4C99F8B882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83E2D5ED-4465-4011-9E5D-A9C878E833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5A98BA53-AD95-414F-8E2E-55C63D60ED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7F18DF95-05D6-443B-B092-64E14C6C228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A559E27C-130F-450E-93DE-2DDBD56D05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94A43D56-0984-4DE6-B77D-D7E55EE112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B20DA30B-EED5-43CF-813F-94887DA10C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801E14C2-DABE-447C-9F79-FE49FE8D92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4697F2D3-645E-4676-9DAD-5C3798C6588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E943242B-B744-45C6-A0A5-7D2A17D202A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80C02950-2F27-42E6-9772-A025836E88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5E2B4F9D-0526-4C01-A6BF-23457DBE3FF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47110BCC-F5FA-4552-BC8A-AA2A057939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7BBBB5A0-21FA-4E80-8FA0-28167ADBF7A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77DEFBF0-9081-48ED-BEE9-ADE21CC85A0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81BF8B24-A64A-4064-AD57-DF80ACD1015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84D069EC-3692-4935-8957-C883937CA7B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2.624816536444341E-2</c:v>
                  </c:pt>
                  <c:pt idx="1">
                    <c:v>2.1497011300940647E-2</c:v>
                  </c:pt>
                  <c:pt idx="2">
                    <c:v>1.8661540445558199E-2</c:v>
                  </c:pt>
                  <c:pt idx="3">
                    <c:v>9.9975549640898956E-2</c:v>
                  </c:pt>
                  <c:pt idx="4">
                    <c:v>0.11863703752533637</c:v>
                  </c:pt>
                  <c:pt idx="5">
                    <c:v>0.16115717357290441</c:v>
                  </c:pt>
                  <c:pt idx="6">
                    <c:v>0.2347567163997957</c:v>
                  </c:pt>
                  <c:pt idx="7">
                    <c:v>3.4651433071400929E-2</c:v>
                  </c:pt>
                  <c:pt idx="8">
                    <c:v>2.4077976427367639E-2</c:v>
                  </c:pt>
                  <c:pt idx="9">
                    <c:v>6.2065320337427281E-2</c:v>
                  </c:pt>
                  <c:pt idx="10">
                    <c:v>4.2272628171022238E-2</c:v>
                  </c:pt>
                  <c:pt idx="11">
                    <c:v>4.3440760546913773E-2</c:v>
                  </c:pt>
                  <c:pt idx="13">
                    <c:v>9.6566783422496347E-2</c:v>
                  </c:pt>
                  <c:pt idx="14">
                    <c:v>0.22127561147147648</c:v>
                  </c:pt>
                  <c:pt idx="15">
                    <c:v>1.3832068910706909E-2</c:v>
                  </c:pt>
                  <c:pt idx="16">
                    <c:v>0.22087306080583788</c:v>
                  </c:pt>
                  <c:pt idx="17">
                    <c:v>0.26429417630636026</c:v>
                  </c:pt>
                  <c:pt idx="18">
                    <c:v>0.27518711381393607</c:v>
                  </c:pt>
                  <c:pt idx="19">
                    <c:v>0.19023464398923945</c:v>
                  </c:pt>
                  <c:pt idx="20">
                    <c:v>0.21797538086716689</c:v>
                  </c:pt>
                </c:numCache>
              </c:numRef>
            </c:plus>
            <c:minus>
              <c:numRef>
                <c:f>'pooled normalised values'!$B$76:$V$76</c:f>
                <c:numCache>
                  <c:formatCode>General</c:formatCode>
                  <c:ptCount val="21"/>
                  <c:pt idx="0">
                    <c:v>2.624816536444341E-2</c:v>
                  </c:pt>
                  <c:pt idx="1">
                    <c:v>2.1497011300940647E-2</c:v>
                  </c:pt>
                  <c:pt idx="2">
                    <c:v>1.8661540445558199E-2</c:v>
                  </c:pt>
                  <c:pt idx="3">
                    <c:v>9.9975549640898956E-2</c:v>
                  </c:pt>
                  <c:pt idx="4">
                    <c:v>0.11863703752533637</c:v>
                  </c:pt>
                  <c:pt idx="5">
                    <c:v>0.16115717357290441</c:v>
                  </c:pt>
                  <c:pt idx="6">
                    <c:v>0.2347567163997957</c:v>
                  </c:pt>
                  <c:pt idx="7">
                    <c:v>3.4651433071400929E-2</c:v>
                  </c:pt>
                  <c:pt idx="8">
                    <c:v>2.4077976427367639E-2</c:v>
                  </c:pt>
                  <c:pt idx="9">
                    <c:v>6.2065320337427281E-2</c:v>
                  </c:pt>
                  <c:pt idx="10">
                    <c:v>4.2272628171022238E-2</c:v>
                  </c:pt>
                  <c:pt idx="11">
                    <c:v>4.3440760546913773E-2</c:v>
                  </c:pt>
                  <c:pt idx="13">
                    <c:v>9.6566783422496347E-2</c:v>
                  </c:pt>
                  <c:pt idx="14">
                    <c:v>0.22127561147147648</c:v>
                  </c:pt>
                  <c:pt idx="15">
                    <c:v>1.3832068910706909E-2</c:v>
                  </c:pt>
                  <c:pt idx="16">
                    <c:v>0.22087306080583788</c:v>
                  </c:pt>
                  <c:pt idx="17">
                    <c:v>0.26429417630636026</c:v>
                  </c:pt>
                  <c:pt idx="18">
                    <c:v>0.27518711381393607</c:v>
                  </c:pt>
                  <c:pt idx="19">
                    <c:v>0.19023464398923945</c:v>
                  </c:pt>
                  <c:pt idx="20">
                    <c:v>0.21797538086716689</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Atrazine-0,625mg/L</c:v>
                </c:pt>
                <c:pt idx="8">
                  <c:v>Atrazine-1,25mg/L</c:v>
                </c:pt>
                <c:pt idx="9">
                  <c:v>Atrazine-2,5mg/L</c:v>
                </c:pt>
                <c:pt idx="10">
                  <c:v>Atrazine-5mg/L</c:v>
                </c:pt>
                <c:pt idx="11">
                  <c:v>Atrazine-10mg/L</c:v>
                </c:pt>
                <c:pt idx="13">
                  <c:v>Testo -30µg/L</c:v>
                </c:pt>
                <c:pt idx="14">
                  <c:v>Testo 30µg/L + EE2 -64ng/L</c:v>
                </c:pt>
                <c:pt idx="15">
                  <c:v>Testo 30µg/L + FAD-10µg/L</c:v>
                </c:pt>
                <c:pt idx="16">
                  <c:v>Atrazine-0,625mg/L + Testostérone</c:v>
                </c:pt>
                <c:pt idx="17">
                  <c:v>Atrazine-1,25mg/L + Testostérone</c:v>
                </c:pt>
                <c:pt idx="18">
                  <c:v>Atrazine-2,5mg/L + Testostérone</c:v>
                </c:pt>
                <c:pt idx="19">
                  <c:v>Atrazine-5mg/L + Testostérone</c:v>
                </c:pt>
                <c:pt idx="20">
                  <c:v>Atrazine-10mg/L + Testostérone</c:v>
                </c:pt>
              </c:strCache>
            </c:strRef>
          </c:cat>
          <c:val>
            <c:numRef>
              <c:f>'pooled normalised values'!$B$75:$V$75</c:f>
              <c:numCache>
                <c:formatCode>0.0000</c:formatCode>
                <c:ptCount val="21"/>
                <c:pt idx="0">
                  <c:v>0.12541377512128657</c:v>
                </c:pt>
                <c:pt idx="1">
                  <c:v>0.11337326476678278</c:v>
                </c:pt>
                <c:pt idx="2">
                  <c:v>0.10156592961737498</c:v>
                </c:pt>
                <c:pt idx="3">
                  <c:v>0.34024569146630979</c:v>
                </c:pt>
                <c:pt idx="4">
                  <c:v>0.76687928481418732</c:v>
                </c:pt>
                <c:pt idx="5">
                  <c:v>1.4791973721112959</c:v>
                </c:pt>
                <c:pt idx="6">
                  <c:v>3.4745782750058503</c:v>
                </c:pt>
                <c:pt idx="7">
                  <c:v>0.21961111608403805</c:v>
                </c:pt>
                <c:pt idx="8">
                  <c:v>0.1516990157090477</c:v>
                </c:pt>
                <c:pt idx="9">
                  <c:v>0.27080921501533078</c:v>
                </c:pt>
                <c:pt idx="10">
                  <c:v>0.18657456706201964</c:v>
                </c:pt>
                <c:pt idx="11">
                  <c:v>0.21445982230880334</c:v>
                </c:pt>
                <c:pt idx="13">
                  <c:v>0.99999999999999989</c:v>
                </c:pt>
                <c:pt idx="14">
                  <c:v>1.7211786111100984</c:v>
                </c:pt>
                <c:pt idx="15">
                  <c:v>9.4326874221593415E-2</c:v>
                </c:pt>
                <c:pt idx="16">
                  <c:v>1.6959536806020916</c:v>
                </c:pt>
                <c:pt idx="17">
                  <c:v>1.514458139731758</c:v>
                </c:pt>
                <c:pt idx="18">
                  <c:v>1.823292905685125</c:v>
                </c:pt>
                <c:pt idx="19">
                  <c:v>1.7512702882068869</c:v>
                </c:pt>
                <c:pt idx="20">
                  <c:v>2.003630001183407</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7F049695-C251-493F-912A-D93A0403B1F6}"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Atrazine-0,625mg/L : 0%</c:v>
                  </c:pt>
                  <c:pt idx="1">
                    <c:v>Atrazine-1,25mg/L : 0%</c:v>
                  </c:pt>
                  <c:pt idx="2">
                    <c:v>Atrazine-2,5mg/L : 0%</c:v>
                  </c:pt>
                  <c:pt idx="3">
                    <c:v>Atrazine-5mg/L : 0%</c:v>
                  </c:pt>
                  <c:pt idx="4">
                    <c:v>Atrazine-10mg/L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F97F87FB-9362-477C-9B11-C22C76A522A0}"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Atrazine-1,25mg/L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Atrazine-0,625mg/L : 0%</c:v>
                  </c:pt>
                  <c:pt idx="1">
                    <c:v>Atrazine-1,25mg/L : 0%</c:v>
                  </c:pt>
                  <c:pt idx="2">
                    <c:v>Atrazine-2,5mg/L : 0%</c:v>
                  </c:pt>
                  <c:pt idx="3">
                    <c:v>Atrazine-5mg/L : 0%</c:v>
                  </c:pt>
                  <c:pt idx="4">
                    <c:v>Atrazine-10mg/L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Atrazine-1,25mg/L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Atrazine-1,25mg/L</c:v>
                </c:pt>
                <c:pt idx="2">
                  <c:v>Atrazine-2,5mg/L</c:v>
                </c:pt>
                <c:pt idx="3">
                  <c:v>Atrazine-5mg/L</c:v>
                </c:pt>
                <c:pt idx="4">
                  <c:v>Atrazine-10mg/L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Atrazine-1,25mg/L</c:v>
                </c:pt>
                <c:pt idx="2">
                  <c:v>Atrazine-2,5mg/L</c:v>
                </c:pt>
                <c:pt idx="3">
                  <c:v>Atrazine-5mg/L</c:v>
                </c:pt>
                <c:pt idx="4">
                  <c:v>Atrazine-10mg/L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Atrazine-1,25mg/L</c:v>
                </c:pt>
                <c:pt idx="2">
                  <c:v>Atrazine-2,5mg/L</c:v>
                </c:pt>
                <c:pt idx="3">
                  <c:v>Atrazine-5mg/L</c:v>
                </c:pt>
                <c:pt idx="4">
                  <c:v>Atrazine-10mg/L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D89E4C1E-FE60-4C6C-8406-99E5715AD3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D49831CA-BE1A-4EB8-8450-711D87D4759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A2A829BC-552E-4EB9-84E1-D4A1458E14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61373C63-37F2-4305-8AD9-356763FCCB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681B200A-0F10-4FE4-87FE-D48F3E6126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8D3B01B3-62F7-4DFA-B163-CAB4D97088F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02A72DD8-70AD-439E-A833-39697CF851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A8C1579C-7264-45CA-B178-78B7CF144F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A57F0EFE-97A0-40D5-97AF-45EF830900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3E044A21-5C67-44CF-BC60-CC33E6FA5C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6E638C02-C05F-4F41-8677-CCE02649DDE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5F547697-02E8-47DB-B3FF-E5B019BBB2A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86386B78-2DC2-4D35-B3CD-9A0716AD902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E3508219-4ECA-4883-9741-07BF4F484B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2.4077976427367639E-2</c:v>
                  </c:pt>
                  <c:pt idx="2">
                    <c:v>6.2065320337427281E-2</c:v>
                  </c:pt>
                  <c:pt idx="3">
                    <c:v>4.2272628171022238E-2</c:v>
                  </c:pt>
                  <c:pt idx="4">
                    <c:v>4.3440760546913773E-2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2.4077976427367639E-2</c:v>
                  </c:pt>
                  <c:pt idx="2">
                    <c:v>6.2065320337427281E-2</c:v>
                  </c:pt>
                  <c:pt idx="3">
                    <c:v>4.2272628171022238E-2</c:v>
                  </c:pt>
                  <c:pt idx="4">
                    <c:v>4.3440760546913773E-2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Atrazine-1,25mg/L</c:v>
                </c:pt>
                <c:pt idx="2">
                  <c:v>Atrazine-2,5mg/L</c:v>
                </c:pt>
                <c:pt idx="3">
                  <c:v>Atrazine-5mg/L</c:v>
                </c:pt>
                <c:pt idx="4">
                  <c:v>Atrazine-10mg/L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0.1516990157090477</c:v>
                </c:pt>
                <c:pt idx="2">
                  <c:v>0.27080921501533078</c:v>
                </c:pt>
                <c:pt idx="3">
                  <c:v>0.18657456706201964</c:v>
                </c:pt>
                <c:pt idx="4">
                  <c:v>0.21445982230880334</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0.12541377512128657</c:v>
                </c:pt>
                <c:pt idx="1">
                  <c:v>0.12541377512128657</c:v>
                </c:pt>
                <c:pt idx="2">
                  <c:v>0.12541377512128657</c:v>
                </c:pt>
                <c:pt idx="3">
                  <c:v>0.12541377512128657</c:v>
                </c:pt>
                <c:pt idx="4">
                  <c:v>0.12541377512128657</c:v>
                </c:pt>
                <c:pt idx="5">
                  <c:v>0.12541377512128657</c:v>
                </c:pt>
                <c:pt idx="6">
                  <c:v>0.12541377512128657</c:v>
                </c:pt>
                <c:pt idx="7">
                  <c:v>0.12541377512128657</c:v>
                </c:pt>
                <c:pt idx="8">
                  <c:v>0.12541377512128657</c:v>
                </c:pt>
                <c:pt idx="9">
                  <c:v>0.12541377512128657</c:v>
                </c:pt>
                <c:pt idx="10">
                  <c:v>0.12541377512128657</c:v>
                </c:pt>
                <c:pt idx="11">
                  <c:v>0.12541377512128657</c:v>
                </c:pt>
                <c:pt idx="12">
                  <c:v>0.12541377512128657</c:v>
                </c:pt>
                <c:pt idx="13">
                  <c:v>0.12541377512128657</c:v>
                </c:pt>
                <c:pt idx="14">
                  <c:v>0.12541377512128657</c:v>
                </c:pt>
                <c:pt idx="15">
                  <c:v>0.12541377512128657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9.4326874221593415E-2</c:v>
                </c:pt>
                <c:pt idx="1">
                  <c:v>9.4326874221593415E-2</c:v>
                </c:pt>
                <c:pt idx="2">
                  <c:v>9.4326874221593415E-2</c:v>
                </c:pt>
                <c:pt idx="3">
                  <c:v>9.4326874221593415E-2</c:v>
                </c:pt>
                <c:pt idx="4">
                  <c:v>9.4326874221593415E-2</c:v>
                </c:pt>
                <c:pt idx="5">
                  <c:v>9.4326874221593415E-2</c:v>
                </c:pt>
                <c:pt idx="6">
                  <c:v>9.4326874221593415E-2</c:v>
                </c:pt>
                <c:pt idx="7">
                  <c:v>9.4326874221593415E-2</c:v>
                </c:pt>
                <c:pt idx="8">
                  <c:v>9.4326874221593415E-2</c:v>
                </c:pt>
                <c:pt idx="9">
                  <c:v>9.4326874221593415E-2</c:v>
                </c:pt>
                <c:pt idx="10">
                  <c:v>9.4326874221593415E-2</c:v>
                </c:pt>
                <c:pt idx="11">
                  <c:v>9.4326874221593415E-2</c:v>
                </c:pt>
                <c:pt idx="12">
                  <c:v>9.4326874221593415E-2</c:v>
                </c:pt>
                <c:pt idx="13">
                  <c:v>9.4326874221593415E-2</c:v>
                </c:pt>
                <c:pt idx="14">
                  <c:v>9.4326874221593415E-2</c:v>
                </c:pt>
                <c:pt idx="15">
                  <c:v>9.4326874221593415E-2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1.6268517368885049</c:v>
                </c:pt>
                <c:pt idx="1">
                  <c:v>1.6268517368885049</c:v>
                </c:pt>
                <c:pt idx="2">
                  <c:v>1.6268517368885049</c:v>
                </c:pt>
                <c:pt idx="3">
                  <c:v>1.6268517368885049</c:v>
                </c:pt>
                <c:pt idx="4">
                  <c:v>1.6268517368885049</c:v>
                </c:pt>
                <c:pt idx="5">
                  <c:v>1.6268517368885049</c:v>
                </c:pt>
                <c:pt idx="6">
                  <c:v>1.6268517368885049</c:v>
                </c:pt>
                <c:pt idx="7">
                  <c:v>1.6268517368885049</c:v>
                </c:pt>
                <c:pt idx="8">
                  <c:v>1.6268517368885049</c:v>
                </c:pt>
                <c:pt idx="9">
                  <c:v>1.6268517368885049</c:v>
                </c:pt>
                <c:pt idx="10">
                  <c:v>1.6268517368885049</c:v>
                </c:pt>
                <c:pt idx="11">
                  <c:v>1.6268517368885049</c:v>
                </c:pt>
                <c:pt idx="12">
                  <c:v>1.6268517368885049</c:v>
                </c:pt>
                <c:pt idx="13">
                  <c:v>1.6268517368885049</c:v>
                </c:pt>
                <c:pt idx="14">
                  <c:v>1.6268517368885049</c:v>
                </c:pt>
                <c:pt idx="15">
                  <c:v>1.6268517368885049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0.87314826311149507</c:v>
                </c:pt>
                <c:pt idx="1">
                  <c:v>0.87314826311149507</c:v>
                </c:pt>
                <c:pt idx="2">
                  <c:v>0.87314826311149507</c:v>
                </c:pt>
                <c:pt idx="3">
                  <c:v>0.87314826311149507</c:v>
                </c:pt>
                <c:pt idx="4">
                  <c:v>0.87314826311149507</c:v>
                </c:pt>
                <c:pt idx="5">
                  <c:v>0.87314826311149507</c:v>
                </c:pt>
                <c:pt idx="6">
                  <c:v>0.87314826311149507</c:v>
                </c:pt>
                <c:pt idx="7">
                  <c:v>0.87314826311149507</c:v>
                </c:pt>
                <c:pt idx="8">
                  <c:v>0.87314826311149507</c:v>
                </c:pt>
                <c:pt idx="9">
                  <c:v>0.87314826311149507</c:v>
                </c:pt>
                <c:pt idx="10">
                  <c:v>0.87314826311149507</c:v>
                </c:pt>
                <c:pt idx="11">
                  <c:v>0.87314826311149507</c:v>
                </c:pt>
                <c:pt idx="12">
                  <c:v>0.87314826311149507</c:v>
                </c:pt>
                <c:pt idx="13">
                  <c:v>0.87314826311149507</c:v>
                </c:pt>
                <c:pt idx="14">
                  <c:v>0.87314826311149507</c:v>
                </c:pt>
                <c:pt idx="15">
                  <c:v>0.87314826311149507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0BFAD5FA-E04B-4C5B-BE8C-028E619478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965A613F-E016-457B-BCE8-F5704256E2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A42E1E5E-898F-4A60-A4E0-4A8CD5728B3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727CC3D0-81D9-4481-8C60-4C576E3F3A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CFB7C85B-FDB0-4405-BB66-CBCB8208BA7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3AD3FE3D-FD76-43EF-86D8-8E901A80B9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67B066F3-913E-4B05-AC8F-BCDC3117D5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97D22D80-DAD9-4DF0-B23E-584D6E3246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83EE4377-EEAC-404A-AC95-5DF5FA8F8E7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3B9571BA-0C94-41E0-9950-0C759C2567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D68D339E-A841-489F-B504-D5F4D74D9CA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E32897CF-8764-450C-B15A-660D868C70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3A42B588-4B7D-4C41-AB57-A01BDED839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1A0E8EBF-1402-4C1A-9788-8BDFAB590C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0.22087306080583788</c:v>
                  </c:pt>
                  <c:pt idx="2">
                    <c:v>0.26429417630636026</c:v>
                  </c:pt>
                  <c:pt idx="3">
                    <c:v>0.27518711381393607</c:v>
                  </c:pt>
                  <c:pt idx="4">
                    <c:v>0.19023464398923945</c:v>
                  </c:pt>
                  <c:pt idx="5">
                    <c:v>0.21797538086716689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0.22087306080583788</c:v>
                  </c:pt>
                  <c:pt idx="2">
                    <c:v>0.26429417630636026</c:v>
                  </c:pt>
                  <c:pt idx="3">
                    <c:v>0.27518711381393607</c:v>
                  </c:pt>
                  <c:pt idx="4">
                    <c:v>0.19023464398923945</c:v>
                  </c:pt>
                  <c:pt idx="5">
                    <c:v>0.21797538086716689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1.6959536806020916</c:v>
                </c:pt>
                <c:pt idx="2">
                  <c:v>1.514458139731758</c:v>
                </c:pt>
                <c:pt idx="3">
                  <c:v>1.823292905685125</c:v>
                </c:pt>
                <c:pt idx="4">
                  <c:v>1.7512702882068869</c:v>
                </c:pt>
                <c:pt idx="5">
                  <c:v>2.003630001183407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0.99999999999999989</c:v>
                </c:pt>
                <c:pt idx="1">
                  <c:v>0.99999999999999989</c:v>
                </c:pt>
                <c:pt idx="2">
                  <c:v>0.99999999999999989</c:v>
                </c:pt>
                <c:pt idx="3">
                  <c:v>0.99999999999999989</c:v>
                </c:pt>
                <c:pt idx="4">
                  <c:v>0.99999999999999989</c:v>
                </c:pt>
                <c:pt idx="5">
                  <c:v>0.99999999999999989</c:v>
                </c:pt>
                <c:pt idx="6">
                  <c:v>0.99999999999999989</c:v>
                </c:pt>
                <c:pt idx="7">
                  <c:v>0.99999999999999989</c:v>
                </c:pt>
                <c:pt idx="8">
                  <c:v>0.99999999999999989</c:v>
                </c:pt>
                <c:pt idx="9">
                  <c:v>0.99999999999999989</c:v>
                </c:pt>
                <c:pt idx="10">
                  <c:v>0.99999999999999989</c:v>
                </c:pt>
                <c:pt idx="11">
                  <c:v>0.99999999999999989</c:v>
                </c:pt>
                <c:pt idx="12">
                  <c:v>0.99999999999999989</c:v>
                </c:pt>
                <c:pt idx="13">
                  <c:v>0.99999999999999989</c:v>
                </c:pt>
                <c:pt idx="14">
                  <c:v>0.99999999999999989</c:v>
                </c:pt>
                <c:pt idx="15">
                  <c:v>0.99999999999999989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Atrazine-1,25mg/L</c:v>
                </c:pt>
                <c:pt idx="2">
                  <c:v>Atrazine-2,5mg/L</c:v>
                </c:pt>
                <c:pt idx="3">
                  <c:v>Atrazine-5mg/L</c:v>
                </c:pt>
                <c:pt idx="4">
                  <c:v>Atrazine-10mg/L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Atrazine-1,25mg/L</c:v>
                </c:pt>
                <c:pt idx="2">
                  <c:v>Atrazine-2,5mg/L</c:v>
                </c:pt>
                <c:pt idx="3">
                  <c:v>Atrazine-5mg/L</c:v>
                </c:pt>
                <c:pt idx="4">
                  <c:v>Atrazine-10mg/L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Atrazine-1,25mg/L</c:v>
                </c:pt>
                <c:pt idx="2">
                  <c:v>Atrazine-2,5mg/L</c:v>
                </c:pt>
                <c:pt idx="3">
                  <c:v>Atrazine-5mg/L</c:v>
                </c:pt>
                <c:pt idx="4">
                  <c:v>Atrazine-10mg/L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E25C10D1-C7DA-4B13-B84D-87992E731DB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42014898-BC26-46BD-9221-A66990C413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5ED0AE43-1A81-4CB5-B998-ED016B32A3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EE68EFA7-4AF4-4B6A-AFFA-27722278FDF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A80F72E7-2A12-415F-BD13-8AAF092309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978351A9-C2CA-4DAD-BB5E-52C23CA8CA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258C954C-476E-473D-BA8C-BC070523A14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1FC5C371-0FE2-4A00-890D-11E7006561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688C21A8-4E0F-4ED3-9A50-0EAB5E1F98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8BD87CB1-DBC2-44D3-9D23-0B4A6AA5AF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21D65D0F-D3AB-48E2-94AC-16E92502DC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DFDC6270-9738-4B5F-A5D3-9477E1C6457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288E08B2-98FE-4393-AF67-54CED071C3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E64F88A3-81E7-4848-A209-4946BC5A23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2.4077976427367639E-2</c:v>
                  </c:pt>
                  <c:pt idx="2">
                    <c:v>6.2065320337427281E-2</c:v>
                  </c:pt>
                  <c:pt idx="3">
                    <c:v>4.2272628171022238E-2</c:v>
                  </c:pt>
                  <c:pt idx="4">
                    <c:v>4.3440760546913773E-2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2.4077976427367639E-2</c:v>
                  </c:pt>
                  <c:pt idx="2">
                    <c:v>6.2065320337427281E-2</c:v>
                  </c:pt>
                  <c:pt idx="3">
                    <c:v>4.2272628171022238E-2</c:v>
                  </c:pt>
                  <c:pt idx="4">
                    <c:v>4.3440760546913773E-2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Atrazine-1,25mg/L</c:v>
                </c:pt>
                <c:pt idx="2">
                  <c:v>Atrazine-2,5mg/L</c:v>
                </c:pt>
                <c:pt idx="3">
                  <c:v>Atrazine-5mg/L</c:v>
                </c:pt>
                <c:pt idx="4">
                  <c:v>Atrazine-10mg/L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0.1516990157090477</c:v>
                </c:pt>
                <c:pt idx="2">
                  <c:v>0.27080921501533078</c:v>
                </c:pt>
                <c:pt idx="3">
                  <c:v>0.18657456706201964</c:v>
                </c:pt>
                <c:pt idx="4">
                  <c:v>0.21445982230880334</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0.12541377512128657</c:v>
                </c:pt>
                <c:pt idx="1">
                  <c:v>0.12541377512128657</c:v>
                </c:pt>
                <c:pt idx="2">
                  <c:v>0.12541377512128657</c:v>
                </c:pt>
                <c:pt idx="3">
                  <c:v>0.12541377512128657</c:v>
                </c:pt>
                <c:pt idx="4">
                  <c:v>0.12541377512128657</c:v>
                </c:pt>
                <c:pt idx="5">
                  <c:v>0.12541377512128657</c:v>
                </c:pt>
                <c:pt idx="6">
                  <c:v>0.12541377512128657</c:v>
                </c:pt>
                <c:pt idx="7">
                  <c:v>0.12541377512128657</c:v>
                </c:pt>
                <c:pt idx="8">
                  <c:v>0.12541377512128657</c:v>
                </c:pt>
                <c:pt idx="9">
                  <c:v>0.12541377512128657</c:v>
                </c:pt>
                <c:pt idx="10">
                  <c:v>0.12541377512128657</c:v>
                </c:pt>
                <c:pt idx="11">
                  <c:v>0.12541377512128657</c:v>
                </c:pt>
                <c:pt idx="12">
                  <c:v>0.12541377512128657</c:v>
                </c:pt>
                <c:pt idx="13">
                  <c:v>0.12541377512128657</c:v>
                </c:pt>
                <c:pt idx="14">
                  <c:v>0.12541377512128657</c:v>
                </c:pt>
                <c:pt idx="15">
                  <c:v>0.12541377512128657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9.4326874221593415E-2</c:v>
                </c:pt>
                <c:pt idx="1">
                  <c:v>9.4326874221593415E-2</c:v>
                </c:pt>
                <c:pt idx="2">
                  <c:v>9.4326874221593415E-2</c:v>
                </c:pt>
                <c:pt idx="3">
                  <c:v>9.4326874221593415E-2</c:v>
                </c:pt>
                <c:pt idx="4">
                  <c:v>9.4326874221593415E-2</c:v>
                </c:pt>
                <c:pt idx="5">
                  <c:v>9.4326874221593415E-2</c:v>
                </c:pt>
                <c:pt idx="6">
                  <c:v>9.4326874221593415E-2</c:v>
                </c:pt>
                <c:pt idx="7">
                  <c:v>9.4326874221593415E-2</c:v>
                </c:pt>
                <c:pt idx="8">
                  <c:v>9.4326874221593415E-2</c:v>
                </c:pt>
                <c:pt idx="9">
                  <c:v>9.4326874221593415E-2</c:v>
                </c:pt>
                <c:pt idx="10">
                  <c:v>9.4326874221593415E-2</c:v>
                </c:pt>
                <c:pt idx="11">
                  <c:v>9.4326874221593415E-2</c:v>
                </c:pt>
                <c:pt idx="12">
                  <c:v>9.4326874221593415E-2</c:v>
                </c:pt>
                <c:pt idx="13">
                  <c:v>9.4326874221593415E-2</c:v>
                </c:pt>
                <c:pt idx="14">
                  <c:v>9.4326874221593415E-2</c:v>
                </c:pt>
                <c:pt idx="15">
                  <c:v>9.4326874221593415E-2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1.6268517368885049</c:v>
                </c:pt>
                <c:pt idx="1">
                  <c:v>1.6268517368885049</c:v>
                </c:pt>
                <c:pt idx="2">
                  <c:v>1.6268517368885049</c:v>
                </c:pt>
                <c:pt idx="3">
                  <c:v>1.6268517368885049</c:v>
                </c:pt>
                <c:pt idx="4">
                  <c:v>1.6268517368885049</c:v>
                </c:pt>
                <c:pt idx="5">
                  <c:v>1.6268517368885049</c:v>
                </c:pt>
                <c:pt idx="6">
                  <c:v>1.6268517368885049</c:v>
                </c:pt>
                <c:pt idx="7">
                  <c:v>1.6268517368885049</c:v>
                </c:pt>
                <c:pt idx="8">
                  <c:v>1.6268517368885049</c:v>
                </c:pt>
                <c:pt idx="9">
                  <c:v>1.6268517368885049</c:v>
                </c:pt>
                <c:pt idx="10">
                  <c:v>1.6268517368885049</c:v>
                </c:pt>
                <c:pt idx="11">
                  <c:v>1.6268517368885049</c:v>
                </c:pt>
                <c:pt idx="12">
                  <c:v>1.6268517368885049</c:v>
                </c:pt>
                <c:pt idx="13">
                  <c:v>1.6268517368885049</c:v>
                </c:pt>
                <c:pt idx="14">
                  <c:v>1.6268517368885049</c:v>
                </c:pt>
                <c:pt idx="15">
                  <c:v>1.6268517368885049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0.87314826311149507</c:v>
                </c:pt>
                <c:pt idx="1">
                  <c:v>0.87314826311149507</c:v>
                </c:pt>
                <c:pt idx="2">
                  <c:v>0.87314826311149507</c:v>
                </c:pt>
                <c:pt idx="3">
                  <c:v>0.87314826311149507</c:v>
                </c:pt>
                <c:pt idx="4">
                  <c:v>0.87314826311149507</c:v>
                </c:pt>
                <c:pt idx="5">
                  <c:v>0.87314826311149507</c:v>
                </c:pt>
                <c:pt idx="6">
                  <c:v>0.87314826311149507</c:v>
                </c:pt>
                <c:pt idx="7">
                  <c:v>0.87314826311149507</c:v>
                </c:pt>
                <c:pt idx="8">
                  <c:v>0.87314826311149507</c:v>
                </c:pt>
                <c:pt idx="9">
                  <c:v>0.87314826311149507</c:v>
                </c:pt>
                <c:pt idx="10">
                  <c:v>0.87314826311149507</c:v>
                </c:pt>
                <c:pt idx="11">
                  <c:v>0.87314826311149507</c:v>
                </c:pt>
                <c:pt idx="12">
                  <c:v>0.87314826311149507</c:v>
                </c:pt>
                <c:pt idx="13">
                  <c:v>0.87314826311149507</c:v>
                </c:pt>
                <c:pt idx="14">
                  <c:v>0.87314826311149507</c:v>
                </c:pt>
                <c:pt idx="15">
                  <c:v>0.87314826311149507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ABAF494B-2E2B-48EC-B2BE-2703EF0F4F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984AB3BA-451B-4A36-A374-37A6A5DE81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DAFD6E1B-E2B7-4DCA-8361-4FB9772085D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6A97F220-4554-4B42-BA67-B691A76AAA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48F2D04C-9F25-4221-BF44-3276CA4C90D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83FB8381-1194-434B-99FE-13D5F6ACD8B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58CDF9C3-3DF5-4BF2-8B72-1FDDAD40E7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3AE971F5-EF09-4E00-AADC-916F3F1A94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A8AB2A75-1877-415F-AFFD-67A8F9127E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08A31680-70B7-423C-B8DA-9E52BF5EF9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1940851A-6F00-44CD-8BEE-40EED78CBA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C7A224AE-92FD-441E-BE1D-5BA355308F2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B478CFAC-63C1-4A1A-8517-FA14024CD7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FD9FAADA-E544-494A-B749-B48C7C747AE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0.22087306080583788</c:v>
                  </c:pt>
                  <c:pt idx="2">
                    <c:v>0.26429417630636026</c:v>
                  </c:pt>
                  <c:pt idx="3">
                    <c:v>0.27518711381393607</c:v>
                  </c:pt>
                  <c:pt idx="4">
                    <c:v>0.19023464398923945</c:v>
                  </c:pt>
                  <c:pt idx="5">
                    <c:v>0.21797538086716689</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0.22087306080583788</c:v>
                  </c:pt>
                  <c:pt idx="2">
                    <c:v>0.26429417630636026</c:v>
                  </c:pt>
                  <c:pt idx="3">
                    <c:v>0.27518711381393607</c:v>
                  </c:pt>
                  <c:pt idx="4">
                    <c:v>0.19023464398923945</c:v>
                  </c:pt>
                  <c:pt idx="5">
                    <c:v>0.21797538086716689</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1.6959536806020916</c:v>
                </c:pt>
                <c:pt idx="2">
                  <c:v>1.514458139731758</c:v>
                </c:pt>
                <c:pt idx="3">
                  <c:v>1.823292905685125</c:v>
                </c:pt>
                <c:pt idx="4">
                  <c:v>1.7512702882068869</c:v>
                </c:pt>
                <c:pt idx="5">
                  <c:v>2.003630001183407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Atrazine-0,625mg/L + Testostérone</c:v>
                </c:pt>
                <c:pt idx="2">
                  <c:v>Atrazine-1,25mg/L + Testostérone</c:v>
                </c:pt>
                <c:pt idx="3">
                  <c:v>Atrazine-2,5mg/L + Testostérone</c:v>
                </c:pt>
                <c:pt idx="4">
                  <c:v>Atrazine-5mg/L + Testostérone</c:v>
                </c:pt>
                <c:pt idx="5">
                  <c:v>Atrazine-10mg/L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0.99999999999999989</c:v>
                </c:pt>
                <c:pt idx="1">
                  <c:v>0.99999999999999989</c:v>
                </c:pt>
                <c:pt idx="2">
                  <c:v>0.99999999999999989</c:v>
                </c:pt>
                <c:pt idx="3">
                  <c:v>0.99999999999999989</c:v>
                </c:pt>
                <c:pt idx="4">
                  <c:v>0.99999999999999989</c:v>
                </c:pt>
                <c:pt idx="5">
                  <c:v>0.99999999999999989</c:v>
                </c:pt>
                <c:pt idx="6">
                  <c:v>0.99999999999999989</c:v>
                </c:pt>
                <c:pt idx="7">
                  <c:v>0.99999999999999989</c:v>
                </c:pt>
                <c:pt idx="8">
                  <c:v>0.99999999999999989</c:v>
                </c:pt>
                <c:pt idx="9">
                  <c:v>0.99999999999999989</c:v>
                </c:pt>
                <c:pt idx="10">
                  <c:v>0.99999999999999989</c:v>
                </c:pt>
                <c:pt idx="11">
                  <c:v>0.99999999999999989</c:v>
                </c:pt>
                <c:pt idx="12">
                  <c:v>0.99999999999999989</c:v>
                </c:pt>
                <c:pt idx="13">
                  <c:v>0.99999999999999989</c:v>
                </c:pt>
                <c:pt idx="14">
                  <c:v>0.99999999999999989</c:v>
                </c:pt>
                <c:pt idx="15">
                  <c:v>0.99999999999999989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Atrazine-1,25mg/L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Atrazine-1,25mg/L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Atrazine-1,25mg/L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BAE03ADF-D781-4052-8E37-CFCB4BE1C5D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9264F6A4-06B2-43F6-A1A0-494C96ACBA3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2.4077976427367639E-2</c:v>
                  </c:pt>
                </c:numCache>
              </c:numRef>
            </c:plus>
            <c:minus>
              <c:numRef>
                <c:f>'Graph format rapport CHG 1éch'!$E$4:$G$4</c:f>
                <c:numCache>
                  <c:formatCode>General</c:formatCode>
                  <c:ptCount val="3"/>
                  <c:pt idx="1">
                    <c:v>2.4077976427367639E-2</c:v>
                  </c:pt>
                </c:numCache>
              </c:numRef>
            </c:minus>
          </c:errBars>
          <c:cat>
            <c:strRef>
              <c:f>'Graph format rapport CHG 1éch'!$E$2:$G$2</c:f>
              <c:strCache>
                <c:ptCount val="2"/>
                <c:pt idx="1">
                  <c:v>Atrazine-1,25mg/L</c:v>
                </c:pt>
              </c:strCache>
            </c:strRef>
          </c:cat>
          <c:val>
            <c:numRef>
              <c:f>'Graph format rapport CHG 1éch'!$E$3:$G$3</c:f>
              <c:numCache>
                <c:formatCode>General</c:formatCode>
                <c:ptCount val="3"/>
                <c:pt idx="1">
                  <c:v>0.1516990157090477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0.12541377512128657</c:v>
                </c:pt>
                <c:pt idx="1">
                  <c:v>0.12541377512128657</c:v>
                </c:pt>
                <c:pt idx="2">
                  <c:v>0.12541377512128657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Atrazine-0,625mg/L + Testostérone</c:v>
                </c:pt>
              </c:strCache>
            </c:strRef>
          </c:cat>
          <c:val>
            <c:numRef>
              <c:f>'Graph format rapport CHG 1éch'!$H$8:$J$8</c:f>
              <c:numCache>
                <c:formatCode>General</c:formatCode>
                <c:ptCount val="3"/>
                <c:pt idx="0">
                  <c:v>9.4326874221593415E-2</c:v>
                </c:pt>
                <c:pt idx="1">
                  <c:v>9.4326874221593415E-2</c:v>
                </c:pt>
                <c:pt idx="2">
                  <c:v>9.4326874221593415E-2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Atrazine-0,625mg/L + Testostérone</c:v>
                </c:pt>
              </c:strCache>
            </c:strRef>
          </c:cat>
          <c:val>
            <c:numRef>
              <c:f>'Graph format rapport CHG 1éch'!$H$9:$J$9</c:f>
              <c:numCache>
                <c:formatCode>General</c:formatCode>
                <c:ptCount val="3"/>
                <c:pt idx="0">
                  <c:v>1.6268517368885049</c:v>
                </c:pt>
                <c:pt idx="1">
                  <c:v>1.6268517368885049</c:v>
                </c:pt>
                <c:pt idx="2">
                  <c:v>1.6268517368885049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Atrazine-0,625mg/L + Testostérone</c:v>
                </c:pt>
              </c:strCache>
            </c:strRef>
          </c:cat>
          <c:val>
            <c:numRef>
              <c:f>'Graph format rapport CHG 1éch'!$H$10:$J$10</c:f>
              <c:numCache>
                <c:formatCode>General</c:formatCode>
                <c:ptCount val="3"/>
                <c:pt idx="0">
                  <c:v>0.87314826311149507</c:v>
                </c:pt>
                <c:pt idx="1">
                  <c:v>0.87314826311149507</c:v>
                </c:pt>
                <c:pt idx="2">
                  <c:v>0.87314826311149507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278BE204-4A55-497B-8CBE-385B71FE6F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5F0657AD-6353-465E-BA68-9C31792E67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0.22087306080583788</c:v>
                  </c:pt>
                </c:numCache>
              </c:numRef>
            </c:plus>
            <c:minus>
              <c:numRef>
                <c:f>'Graph format rapport CHG 1éch'!$H$4:$J$4</c:f>
                <c:numCache>
                  <c:formatCode>General</c:formatCode>
                  <c:ptCount val="3"/>
                  <c:pt idx="1">
                    <c:v>0.22087306080583788</c:v>
                  </c:pt>
                </c:numCache>
              </c:numRef>
            </c:minus>
          </c:errBars>
          <c:cat>
            <c:strRef>
              <c:f>'Graph format rapport CHG 1éch'!$H$2:$J$2</c:f>
              <c:strCache>
                <c:ptCount val="2"/>
                <c:pt idx="1">
                  <c:v>Atrazine-0,625mg/L + Testostérone</c:v>
                </c:pt>
              </c:strCache>
            </c:strRef>
          </c:cat>
          <c:val>
            <c:numRef>
              <c:f>'Graph format rapport CHG 1éch'!$H$3:$J$3</c:f>
              <c:numCache>
                <c:formatCode>General</c:formatCode>
                <c:ptCount val="3"/>
                <c:pt idx="1">
                  <c:v>1.6959536806020916</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Atrazine-0,625mg/L + Testostérone</c:v>
                </c:pt>
              </c:strCache>
            </c:strRef>
          </c:cat>
          <c:val>
            <c:numRef>
              <c:f>'Graph format rapport CHG 1éch'!$H$7:$J$7</c:f>
              <c:numCache>
                <c:formatCode>General</c:formatCode>
                <c:ptCount val="3"/>
                <c:pt idx="0">
                  <c:v>0.99999999999999989</c:v>
                </c:pt>
                <c:pt idx="1">
                  <c:v>0.99999999999999989</c:v>
                </c:pt>
                <c:pt idx="2">
                  <c:v>0.99999999999999989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Atrazine-1,25mg/L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Atrazine-1,25mg/L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Atrazine-1,25mg/L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1C9062E6-4CAF-461A-9BF5-840A787C04B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9D1BA13C-2F4F-4AF8-94E8-1A477B5C11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2.4077976427367639E-2</c:v>
                  </c:pt>
                </c:numCache>
              </c:numRef>
            </c:plus>
            <c:minus>
              <c:numRef>
                <c:f>'Graph format rapport CHG 1éch'!$E$4:$G$4</c:f>
                <c:numCache>
                  <c:formatCode>General</c:formatCode>
                  <c:ptCount val="3"/>
                  <c:pt idx="1">
                    <c:v>2.4077976427367639E-2</c:v>
                  </c:pt>
                </c:numCache>
              </c:numRef>
            </c:minus>
          </c:errBars>
          <c:cat>
            <c:strRef>
              <c:f>'Graph format rapport CHG 1éch'!$E$2:$G$2</c:f>
              <c:strCache>
                <c:ptCount val="2"/>
                <c:pt idx="1">
                  <c:v>Atrazine-1,25mg/L</c:v>
                </c:pt>
              </c:strCache>
            </c:strRef>
          </c:cat>
          <c:val>
            <c:numRef>
              <c:f>'Graph format rapport CHG 1éch'!$E$3:$G$3</c:f>
              <c:numCache>
                <c:formatCode>General</c:formatCode>
                <c:ptCount val="3"/>
                <c:pt idx="1">
                  <c:v>0.1516990157090477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0.12541377512128657</c:v>
                </c:pt>
                <c:pt idx="1">
                  <c:v>0.12541377512128657</c:v>
                </c:pt>
                <c:pt idx="2">
                  <c:v>0.12541377512128657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Atrazine-0,625mg/L + Testostérone</c:v>
                </c:pt>
              </c:strCache>
            </c:strRef>
          </c:cat>
          <c:val>
            <c:numRef>
              <c:f>'Graph format rapport CHG 1éch'!$H$8:$J$8</c:f>
              <c:numCache>
                <c:formatCode>General</c:formatCode>
                <c:ptCount val="3"/>
                <c:pt idx="0">
                  <c:v>9.4326874221593415E-2</c:v>
                </c:pt>
                <c:pt idx="1">
                  <c:v>9.4326874221593415E-2</c:v>
                </c:pt>
                <c:pt idx="2">
                  <c:v>9.4326874221593415E-2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Atrazine-0,625mg/L + Testostérone</c:v>
                </c:pt>
              </c:strCache>
            </c:strRef>
          </c:cat>
          <c:val>
            <c:numRef>
              <c:f>'Graph format rapport CHG 1éch'!$H$9:$J$9</c:f>
              <c:numCache>
                <c:formatCode>General</c:formatCode>
                <c:ptCount val="3"/>
                <c:pt idx="0">
                  <c:v>1.6268517368885049</c:v>
                </c:pt>
                <c:pt idx="1">
                  <c:v>1.6268517368885049</c:v>
                </c:pt>
                <c:pt idx="2">
                  <c:v>1.6268517368885049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Atrazine-0,625mg/L + Testostérone</c:v>
                </c:pt>
              </c:strCache>
            </c:strRef>
          </c:cat>
          <c:val>
            <c:numRef>
              <c:f>'Graph format rapport CHG 1éch'!$H$10:$J$10</c:f>
              <c:numCache>
                <c:formatCode>General</c:formatCode>
                <c:ptCount val="3"/>
                <c:pt idx="0">
                  <c:v>0.87314826311149507</c:v>
                </c:pt>
                <c:pt idx="1">
                  <c:v>0.87314826311149507</c:v>
                </c:pt>
                <c:pt idx="2">
                  <c:v>0.87314826311149507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42BE1F6B-1A90-4E27-92B8-6691D6847A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49BAB447-878D-4093-A9D7-4973CD205BE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0.22087306080583788</c:v>
                  </c:pt>
                </c:numCache>
              </c:numRef>
            </c:plus>
            <c:minus>
              <c:numRef>
                <c:f>'Graph format rapport CHG 1éch'!$H$4:$J$4</c:f>
                <c:numCache>
                  <c:formatCode>General</c:formatCode>
                  <c:ptCount val="3"/>
                  <c:pt idx="1">
                    <c:v>0.22087306080583788</c:v>
                  </c:pt>
                </c:numCache>
              </c:numRef>
            </c:minus>
          </c:errBars>
          <c:cat>
            <c:strRef>
              <c:f>'Graph format rapport CHG 1éch'!$H$2:$J$2</c:f>
              <c:strCache>
                <c:ptCount val="2"/>
                <c:pt idx="1">
                  <c:v>Atrazine-0,625mg/L + Testostérone</c:v>
                </c:pt>
              </c:strCache>
            </c:strRef>
          </c:cat>
          <c:val>
            <c:numRef>
              <c:f>'Graph format rapport CHG 1éch'!$H$3:$J$3</c:f>
              <c:numCache>
                <c:formatCode>General</c:formatCode>
                <c:ptCount val="3"/>
                <c:pt idx="1">
                  <c:v>1.6959536806020916</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Atrazine-0,625mg/L + Testostérone</c:v>
                </c:pt>
              </c:strCache>
            </c:strRef>
          </c:cat>
          <c:val>
            <c:numRef>
              <c:f>'Graph format rapport CHG 1éch'!$H$7:$J$7</c:f>
              <c:numCache>
                <c:formatCode>General</c:formatCode>
                <c:ptCount val="3"/>
                <c:pt idx="0">
                  <c:v>0.99999999999999989</c:v>
                </c:pt>
                <c:pt idx="1">
                  <c:v>0.99999999999999989</c:v>
                </c:pt>
                <c:pt idx="2">
                  <c:v>0.99999999999999989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5" workbookViewId="0"/>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6"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tabSelected="1" zoomScale="116"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804" cy="6046304"/>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57.546126620371" createdVersion="5" refreshedVersion="7" minRefreshableVersion="3" recordCount="1556" xr:uid="{00000000-000A-0000-FFFF-FFFF0C000000}">
  <cacheSource type="worksheet">
    <worksheetSource name="Tableau4"/>
  </cacheSource>
  <cacheFields count="10">
    <cacheField name="Nom groupe" numFmtId="0">
      <sharedItems containsBlank="1" count="23">
        <s v="01 Evian + DMSO"/>
        <s v=""/>
        <s v="02 EE2 33.8 ng_L"/>
        <s v="03 EE2 50.6 ng_L"/>
        <s v="04 EE2 76 ng_L"/>
        <s v="05 EE2 114 ng_L"/>
        <s v="06 EE2 170.9 ng_L"/>
        <s v="07 EE2 488 ng_L"/>
        <s v="08 Atrazine 0.625 mg_L"/>
        <s v="09 Atrazine 1.25 mg_L"/>
        <s v="10 Atrazine 2.5 mg_L"/>
        <s v="11 Atrazine 5 mg_L"/>
        <s v="12 Atrazine 10 mg_L"/>
        <s v="01 TESTO 30"/>
        <s v="02 testo 30"/>
        <s v="03 testo +ee2"/>
        <s v="04 testo +fad"/>
        <s v="05 Atrazine 0.625 mg_L+testo"/>
        <s v="06  Atrazine 1.25 mg_L+testo"/>
        <s v="07 Atrazine 2.5 mg_L+testo"/>
        <s v="08 Atrazine 5 mg_L+testo"/>
        <s v="09 Atrazine 10 mg_L+testo"/>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7"/>
    </cacheField>
    <cacheField name=" " numFmtId="0">
      <sharedItems containsBlank="1" count="24">
        <s v=" "/>
        <m/>
        <s v=" SD mean fluo "/>
        <s v=" 3.3862 "/>
        <s v=" 1.8016 "/>
        <s v=" 2.9583 "/>
        <s v=" 7.7377 "/>
        <s v=" 1.4341 "/>
        <s v=" 4.8393 "/>
        <s v=" 7.2212 "/>
        <s v=" 5.5282 "/>
        <s v=" 5.9258 "/>
        <s v=" 9.5587 "/>
        <s v=" 2.7337 "/>
        <s v=" 1.9993 "/>
        <s v=" 2.0441 "/>
        <s v=" 2.3057 "/>
        <s v=" 4.0961 "/>
        <s v=" 1.6557 "/>
        <s v=" 3.4057 "/>
        <s v=" 5.6257 "/>
        <s v=" 5.4479 "/>
        <s v=" 9.253 "/>
        <s v=" 6.9428 "/>
      </sharedItems>
    </cacheField>
    <cacheField name=" total fluorescence" numFmtId="0">
      <sharedItems containsBlank="1" containsMixedTypes="1" containsNumber="1" containsInteger="1" minValue="4348" maxValue="5449695"/>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57.54612673611" createdVersion="5" refreshedVersion="7" minRefreshableVersion="3" recordCount="1530" xr:uid="{00000000-000A-0000-FFFF-FFFF10000000}">
  <cacheSource type="worksheet">
    <worksheetSource name="Tableau46"/>
  </cacheSource>
  <cacheFields count="10">
    <cacheField name="Nom groupe" numFmtId="0">
      <sharedItems count="22">
        <s v="01 Evian + DMSO"/>
        <s v=""/>
        <s v="02 EE2 33.8 ng_L"/>
        <s v="03 EE2 50.6 ng_L"/>
        <s v="04 EE2 76 ng_L"/>
        <s v="05 EE2 114 ng_L"/>
        <s v="06 EE2 170.9 ng_L"/>
        <s v="07 EE2 488 ng_L"/>
        <s v="08 Atrazine 0.625 mg_L"/>
        <s v="09 Atrazine 1.25 mg_L"/>
        <s v="10 Atrazine 2.5 mg_L"/>
        <s v="11 Atrazine 5 mg_L"/>
        <s v="12 Atrazine 10 mg_L"/>
        <s v="1 TESTO 30"/>
        <s v="2 testo 30"/>
        <s v="3 testo +ee2"/>
        <s v="4 testo +fad"/>
        <s v="5 Atrazine 0.625 mg_L+testo"/>
        <s v="6  Atrazine 1.25 mg_L+testo"/>
        <s v="7 Atrazine 2.5 mg_L+testo"/>
        <s v="8 Atrazine 5 mg_L+testo"/>
        <s v="9 Atrazine 10 mg_L+testo"/>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5"/>
    </cacheField>
    <cacheField name=" " numFmtId="0">
      <sharedItems containsBlank="1" count="24">
        <s v=" "/>
        <m/>
        <s v=" SD mean fluo "/>
        <s v=" 1.6854 "/>
        <s v=" 1.8624 "/>
        <s v=" 1.3624 "/>
        <s v=" 3.1611 "/>
        <s v=" 4.5103 "/>
        <s v=" 2.816 "/>
        <s v=" 5.5639 "/>
        <s v=" 3.9527 "/>
        <s v=" 3.5205 "/>
        <s v=" 2.8777 "/>
        <s v=" 4.0937 "/>
        <s v=" 8.75 "/>
        <s v=" 2.2577 "/>
        <s v=" 5.9264 "/>
        <s v=" 4.8538 "/>
        <s v=" 2.4731 "/>
        <s v=" 5.3365 "/>
        <s v=" 5.9639 "/>
        <s v=" 3.1155 "/>
        <s v=" 7.5509 "/>
        <s v=" 3.8386 "/>
      </sharedItems>
    </cacheField>
    <cacheField name=" total fluorescence" numFmtId="0">
      <sharedItems containsBlank="1" containsMixedTypes="1" containsNumber="1" containsInteger="1" minValue="5451" maxValue="6251797"/>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57.546126967594" createdVersion="5" refreshedVersion="7" minRefreshableVersion="3" recordCount="1710" xr:uid="{00000000-000A-0000-FFFF-FFFF14000000}">
  <cacheSource type="worksheet">
    <worksheetSource name="Tableau467"/>
  </cacheSource>
  <cacheFields count="10">
    <cacheField name="Nom groupe" numFmtId="0">
      <sharedItems count="22">
        <s v="01 Evian + DMSO"/>
        <s v=""/>
        <s v="02 EE2 33.8 ng_L"/>
        <s v="03 EE2 50.6 ng_L"/>
        <s v="04 EE2 76 ng_L"/>
        <s v="05 EE2 114 ng_L"/>
        <s v="06 EE2 170.9 ng_L"/>
        <s v="07 EE2 488 ng_L"/>
        <s v="08 Atrazine 0.625 mg_L"/>
        <s v="09 Atrazine 1.25 mg_L"/>
        <s v="10 Atrazine 2.5 mg_L"/>
        <s v="11 Atrazine 5 mg_L"/>
        <s v="12 Atrazine 10 mg_L"/>
        <s v="01 TESTO 30"/>
        <s v="02 testo 30"/>
        <s v="03 testo +ee2"/>
        <s v="04 testo +fad"/>
        <s v="05 Atrazine 0.625 mg_L+testo"/>
        <s v="06  Atrazine 1.25 mg_L+testo"/>
        <s v="07 Atrazine 2.5 mg_L+testo"/>
        <s v="08 Atrazine 5 mg_L+testo"/>
        <s v="09 Atrazine 10 mg_L+testo"/>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1" maxValue="67"/>
    </cacheField>
    <cacheField name=" " numFmtId="0">
      <sharedItems containsBlank="1" count="24">
        <s v=" "/>
        <m/>
        <s v=" SD mean fluo "/>
        <s v=" 1.9433 "/>
        <s v=" 2.2841 "/>
        <s v=" 3.7635 "/>
        <s v=" 3.0558 "/>
        <s v=" 3.4299 "/>
        <s v=" 5.763 "/>
        <s v=" 8.5486 "/>
        <s v=" 2.5693 "/>
        <s v=" 3.3603 "/>
        <s v=" 2.6339 "/>
        <s v=" 8.8207 "/>
        <s v=" 8.9777 "/>
        <s v=" 4.3989 "/>
        <s v=" 2.4891 "/>
        <s v=" 3.5281 "/>
        <s v=" 3.1151 "/>
        <s v=" 2.9214 "/>
        <s v=" 4.7877 "/>
        <s v=" 4.8149 "/>
        <s v=" 3.6047 "/>
        <s v=" 4.8667 "/>
      </sharedItems>
    </cacheField>
    <cacheField name=" total fluorescence" numFmtId="0">
      <sharedItems containsBlank="1" containsMixedTypes="1" containsNumber="1" containsInteger="1" minValue="5278" maxValue="8082053"/>
    </cacheField>
    <cacheField name="         " numFmtId="0">
      <sharedItems containsBlank="1" containsMixedTypes="1" containsNumber="1" containsInteger="1" minValue="1109824" maxValue="1109824"/>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57.546127083333" createdVersion="6" refreshedVersion="7" minRefreshableVersion="3" recordCount="52" xr:uid="{8DEF666A-6C7D-4C16-AD6D-82242760D5D9}">
  <cacheSource type="worksheet">
    <worksheetSource name="liste_groupe"/>
  </cacheSource>
  <cacheFields count="6">
    <cacheField name="Nom sur le graphique" numFmtId="0">
      <sharedItems count="24">
        <s v="Témoin solvant"/>
        <s v="EE2-22,5ng/L"/>
        <s v="EE2-33,8ng/L"/>
        <s v="EE2-50,6ng/L"/>
        <s v="EE2-76ng/L"/>
        <s v="EE2-114ng/L"/>
        <s v="EE2-170,9ng/L"/>
        <s v="EE2-488ng/L"/>
        <s v="Atrazine-0,625mg/L"/>
        <s v="Atrazine-1,25mg/L"/>
        <s v="Atrazine-2,5mg/L"/>
        <s v="Atrazine-5mg/L"/>
        <s v="Atrazine-10mg/L"/>
        <s v=" "/>
        <s v="Testo -30µg/L"/>
        <s v="Testo 30µg/L + EE2 -64ng/L"/>
        <s v="Testo 30µg/L + FAD-10µg/L"/>
        <s v="Atrazine-0,625mg/L + Testostérone"/>
        <s v="Atrazine-1,25mg/L + Testostérone"/>
        <s v="Atrazine-2,5mg/L + Testostérone"/>
        <s v="Atrazine-5mg/L + Testostérone"/>
        <s v="Atrazine-10mg/L + Testostérone"/>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mages\20210609\plaque 1/@01 Evian + DMSO/A1_01.tif "/>
    <s v=" 3655.4522 "/>
    <s v=" 66.432 "/>
    <x v="0"/>
    <n v="242839"/>
    <m/>
    <m/>
    <m/>
  </r>
  <r>
    <x v="0"/>
    <x v="0"/>
    <s v="F:\images\20210609\plaque 1/@01 Evian + DMSO/A1_02.tif "/>
    <s v=" 8219.36 "/>
    <s v=" 73.4684 "/>
    <x v="0"/>
    <n v="603863"/>
    <m/>
    <m/>
    <m/>
  </r>
  <r>
    <x v="0"/>
    <x v="0"/>
    <s v="F:\images\20210609\plaque 1/@01 Evian + DMSO/A1_03.tif "/>
    <s v=" 5623.7726 "/>
    <s v=" 70.8654 "/>
    <x v="0"/>
    <n v="398531"/>
    <m/>
    <m/>
    <m/>
  </r>
  <r>
    <x v="0"/>
    <x v="1"/>
    <s v="F:\images\20210609\plaque 1/@01 Evian + DMSO/B1_01.tif "/>
    <s v=" 4217.8295 "/>
    <s v=" 70.2462 "/>
    <x v="0"/>
    <n v="296286"/>
    <m/>
    <m/>
    <m/>
  </r>
  <r>
    <x v="0"/>
    <x v="1"/>
    <s v="F:\images\20210609\plaque 1/@01 Evian + DMSO/B1_02.tif "/>
    <s v=" 5039.7654 "/>
    <s v=" 72.0086 "/>
    <x v="0"/>
    <n v="362906"/>
    <m/>
    <m/>
    <m/>
  </r>
  <r>
    <x v="0"/>
    <x v="1"/>
    <s v="F:\images\20210609\plaque 1/@01 Evian + DMSO/B1_03.tif "/>
    <s v=" 5407.4737 "/>
    <s v=" 72.708 "/>
    <x v="0"/>
    <n v="393167"/>
    <m/>
    <m/>
    <m/>
  </r>
  <r>
    <x v="0"/>
    <x v="2"/>
    <s v="F:\images\20210609\plaque 1/@01 Evian + DMSO/C1_01.tif "/>
    <s v=" 151.4093 "/>
    <n v="67"/>
    <x v="0"/>
    <n v="10144"/>
    <m/>
    <m/>
    <m/>
  </r>
  <r>
    <x v="0"/>
    <x v="2"/>
    <s v="F:\images\20210609\plaque 1/@01 Evian + DMSO/C1_02.tif "/>
    <s v=" 778.6762 "/>
    <s v=" 63.6111 "/>
    <x v="0"/>
    <n v="49532"/>
    <m/>
    <m/>
    <m/>
  </r>
  <r>
    <x v="0"/>
    <x v="2"/>
    <s v="F:\images\20210609\plaque 1/@01 Evian + DMSO/C1_03.tif "/>
    <s v=" 64.8897 "/>
    <n v="67"/>
    <x v="0"/>
    <n v="4348"/>
    <m/>
    <m/>
    <m/>
  </r>
  <r>
    <x v="0"/>
    <x v="3"/>
    <s v="F:\images\20210609\plaque 1/@01 Evian + DMSO/D1_01.tif "/>
    <s v=" 5342.584 "/>
    <s v=" 67.5223 "/>
    <x v="0"/>
    <n v="360743"/>
    <m/>
    <m/>
    <m/>
  </r>
  <r>
    <x v="0"/>
    <x v="3"/>
    <s v="F:\images\20210609\plaque 1/@01 Evian + DMSO/D1_02.tif "/>
    <s v=" 5039.7654 "/>
    <s v=" 66.9657 "/>
    <x v="0"/>
    <n v="337491"/>
    <m/>
    <m/>
    <m/>
  </r>
  <r>
    <x v="0"/>
    <x v="3"/>
    <s v="F:\images\20210609\plaque 1/@01 Evian + DMSO/D1_03.tif "/>
    <s v=" 3266.1141 "/>
    <s v=" 66.4503 "/>
    <x v="0"/>
    <n v="217034"/>
    <m/>
    <m/>
    <m/>
  </r>
  <r>
    <x v="0"/>
    <x v="4"/>
    <s v="F:\images\20210609\plaque 1/@01 Evian + DMSO/E1_01.tif "/>
    <s v=" 5796.8118 "/>
    <s v=" 70.1604 "/>
    <x v="0"/>
    <n v="406707"/>
    <m/>
    <m/>
    <m/>
  </r>
  <r>
    <x v="0"/>
    <x v="4"/>
    <s v="F:\images\20210609\plaque 1/@01 Evian + DMSO/E1_02.tif "/>
    <s v=" 5256.0644 "/>
    <s v=" 70.8148 "/>
    <x v="0"/>
    <n v="372207"/>
    <m/>
    <m/>
    <m/>
  </r>
  <r>
    <x v="0"/>
    <x v="4"/>
    <s v="F:\images\20210609\plaque 1/@01 Evian + DMSO/E1_03.tif "/>
    <s v=" 757.0463 "/>
    <s v=" 62.7429 "/>
    <x v="0"/>
    <n v="47499"/>
    <m/>
    <m/>
    <m/>
  </r>
  <r>
    <x v="0"/>
    <x v="5"/>
    <s v="F:\images\20210609\plaque 1/@01 Evian + DMSO/F1_01.tif "/>
    <s v=" 1103.1246 "/>
    <s v=" 63.7255 "/>
    <x v="0"/>
    <n v="70297"/>
    <m/>
    <m/>
    <m/>
  </r>
  <r>
    <x v="0"/>
    <x v="5"/>
    <s v="F:\images\20210609\plaque 1/@01 Evian + DMSO/F1_02.tif "/>
    <s v=" 129.7794 "/>
    <s v=" 61.5 "/>
    <x v="0"/>
    <n v="7981"/>
    <m/>
    <m/>
    <m/>
  </r>
  <r>
    <x v="0"/>
    <x v="5"/>
    <s v="F:\images\20210609\plaque 1/@01 Evian + DMSO/F1_03.tif "/>
    <s v=" 1297.7937 "/>
    <s v=" 64.7167 "/>
    <x v="0"/>
    <n v="83989"/>
    <m/>
    <m/>
    <m/>
  </r>
  <r>
    <x v="0"/>
    <x v="6"/>
    <s v="F:\images\20210609\plaque 1/@01 Evian + DMSO/G1_01.tif "/>
    <s v=" 994.9752 "/>
    <s v=" 65.3913 "/>
    <x v="0"/>
    <n v="65063"/>
    <m/>
    <m/>
    <m/>
  </r>
  <r>
    <x v="0"/>
    <x v="6"/>
    <s v="F:\images\20210609\plaque 1/@01 Evian + DMSO/G1_02.tif "/>
    <s v=" 3741.9718 "/>
    <s v=" 68.578 "/>
    <x v="0"/>
    <n v="256617"/>
    <m/>
    <m/>
    <m/>
  </r>
  <r>
    <x v="0"/>
    <x v="6"/>
    <s v="F:\images\20210609\plaque 1/@01 Evian + DMSO/G1_03.tif "/>
    <s v=" 1492.4627 "/>
    <s v=" 63.8841 "/>
    <x v="0"/>
    <n v="95345"/>
    <m/>
    <m/>
    <m/>
  </r>
  <r>
    <x v="0"/>
    <x v="7"/>
    <s v="F:\images\20210609\plaque 1/@01 Evian + DMSO/H1_01.tif "/>
    <s v=" 151.4093 "/>
    <s v=" 62.7143 "/>
    <x v="0"/>
    <n v="9496"/>
    <m/>
    <m/>
    <m/>
  </r>
  <r>
    <x v="0"/>
    <x v="7"/>
    <s v="F:\images\20210609\plaque 1/@01 Evian + DMSO/H1_02.tif "/>
    <s v=" 108.1495 "/>
    <s v=" 65.4 "/>
    <x v="0"/>
    <n v="7073"/>
    <m/>
    <m/>
    <m/>
  </r>
  <r>
    <x v="0"/>
    <x v="7"/>
    <s v="F:\images\20210609\plaque 1/@01 Evian + DMSO/H1_03.tif "/>
    <s v=" 173.0392 "/>
    <s v=" 65.625 "/>
    <x v="0"/>
    <n v="11356"/>
    <m/>
    <m/>
    <m/>
  </r>
  <r>
    <x v="1"/>
    <x v="8"/>
    <s v=" "/>
    <m/>
    <m/>
    <x v="1"/>
    <m/>
    <m/>
    <m/>
    <m/>
  </r>
  <r>
    <x v="1"/>
    <x v="8"/>
    <s v="group "/>
    <s v=" "/>
    <s v=" mean of mean fluo "/>
    <x v="2"/>
    <s v=" mean of total fluo "/>
    <s v=" SD total fluo "/>
    <s v=" n fluorescent "/>
    <s v=" n total"/>
  </r>
  <r>
    <x v="0"/>
    <x v="9"/>
    <s v="F:\images\20210609\plaque 1/@01 Evian + DMSO/ "/>
    <s v=" "/>
    <s v=" 67.0638 "/>
    <x v="3"/>
    <s v=" 196271.417 "/>
    <s v=" 177347.57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609\plaque 1/@02 EE2 33.8 ng_L/A2_01.tif "/>
    <s v=" 173.0392 "/>
    <s v=" 63.125 "/>
    <x v="0"/>
    <n v="10923"/>
    <m/>
    <m/>
    <m/>
  </r>
  <r>
    <x v="2"/>
    <x v="0"/>
    <s v="F:\images\20210609\plaque 1/@02 EE2 33.8 ng_L/A2_02.tif "/>
    <s v=" 432.5979 "/>
    <s v=" 66.25 "/>
    <x v="0"/>
    <n v="28660"/>
    <m/>
    <m/>
    <m/>
  </r>
  <r>
    <x v="2"/>
    <x v="0"/>
    <s v="F:\images\20210609\plaque 1/@02 EE2 33.8 ng_L/A2_03.tif "/>
    <s v=" 367.7082 "/>
    <s v=" 63.8824 "/>
    <x v="0"/>
    <n v="23490"/>
    <m/>
    <m/>
    <m/>
  </r>
  <r>
    <x v="2"/>
    <x v="1"/>
    <s v="F:\images\20210609\plaque 1/@02 EE2 33.8 ng_L/B2_01.tif "/>
    <s v=" 302.8185 "/>
    <s v=" 63.7857 "/>
    <x v="0"/>
    <n v="19315"/>
    <m/>
    <m/>
    <m/>
  </r>
  <r>
    <x v="2"/>
    <x v="1"/>
    <s v="F:\images\20210609\plaque 1/@02 EE2 33.8 ng_L/B2_02.tif "/>
    <s v=" 1557.3524 "/>
    <s v=" 63.75 "/>
    <x v="0"/>
    <n v="99281"/>
    <m/>
    <m/>
    <m/>
  </r>
  <r>
    <x v="2"/>
    <x v="1"/>
    <s v="F:\images\20210609\plaque 1/@02 EE2 33.8 ng_L/B2_03.tif "/>
    <s v=" 4088.0501 "/>
    <s v=" 63.9048 "/>
    <x v="0"/>
    <n v="261246"/>
    <m/>
    <m/>
    <m/>
  </r>
  <r>
    <x v="2"/>
    <x v="2"/>
    <s v="F:\images\20210609\plaque 1/@02 EE2 33.8 ng_L/C2_01- exclu.tif"/>
    <m/>
    <m/>
    <x v="1"/>
    <m/>
    <m/>
    <m/>
    <m/>
  </r>
  <r>
    <x v="2"/>
    <x v="2"/>
    <s v="F:\images\20210609\plaque 1/@02 EE2 33.8 ng_L/C2_02- exclu.tif"/>
    <m/>
    <m/>
    <x v="1"/>
    <m/>
    <m/>
    <m/>
    <m/>
  </r>
  <r>
    <x v="2"/>
    <x v="2"/>
    <s v="F:\images\20210609\plaque 1/@02 EE2 33.8 ng_L/C2_03.tif "/>
    <s v=" 302.8185 "/>
    <s v=" 64.8571 "/>
    <x v="0"/>
    <n v="19640"/>
    <m/>
    <m/>
    <m/>
  </r>
  <r>
    <x v="2"/>
    <x v="3"/>
    <s v="F:\images\20210609\plaque 1/@02 EE2 33.8 ng_L/D2_01- exclu.tif"/>
    <m/>
    <m/>
    <x v="1"/>
    <m/>
    <m/>
    <m/>
    <m/>
  </r>
  <r>
    <x v="2"/>
    <x v="3"/>
    <s v="F:\images\20210609\plaque 1/@02 EE2 33.8 ng_L/D2_02.tif "/>
    <s v=" 8695.2176 "/>
    <s v=" 66.8607 "/>
    <x v="0"/>
    <n v="581368"/>
    <m/>
    <m/>
    <m/>
  </r>
  <r>
    <x v="2"/>
    <x v="3"/>
    <s v="F:\images\20210609\plaque 1/@02 EE2 33.8 ng_L/D2_03.tif "/>
    <s v=" 5645.4025 "/>
    <s v=" 69.0805 "/>
    <x v="0"/>
    <n v="389987"/>
    <m/>
    <m/>
    <m/>
  </r>
  <r>
    <x v="2"/>
    <x v="4"/>
    <s v="F:\images\20210609\plaque 1/@02 EE2 33.8 ng_L/E2_01.tif "/>
    <s v=" 2249.509 "/>
    <n v="65"/>
    <x v="0"/>
    <n v="146218"/>
    <m/>
    <m/>
    <m/>
  </r>
  <r>
    <x v="2"/>
    <x v="4"/>
    <s v="F:\images\20210609\plaque 1/@02 EE2 33.8 ng_L/E2_02.tif "/>
    <s v=" 865.1958 "/>
    <s v=" 63.375 "/>
    <x v="0"/>
    <n v="54832"/>
    <m/>
    <m/>
    <m/>
  </r>
  <r>
    <x v="2"/>
    <x v="4"/>
    <s v="F:\images\20210609\plaque 1/@02 EE2 33.8 ng_L/E2_03.tif "/>
    <s v=" 1276.1638 "/>
    <s v=" 66.4237 "/>
    <x v="0"/>
    <n v="84768"/>
    <m/>
    <m/>
    <m/>
  </r>
  <r>
    <x v="2"/>
    <x v="5"/>
    <s v="F:\images\20210609\plaque 1/@02 EE2 33.8 ng_L/F2_01.tif "/>
    <s v=" 194.6691 "/>
    <s v=" 62.7778 "/>
    <x v="0"/>
    <n v="12221"/>
    <m/>
    <m/>
    <m/>
  </r>
  <r>
    <x v="2"/>
    <x v="5"/>
    <s v="F:\images\20210609\plaque 1/@02 EE2 33.8 ng_L/F2_02.tif "/>
    <s v=" 237.9288 "/>
    <s v=" 63.7273 "/>
    <x v="0"/>
    <n v="15163"/>
    <m/>
    <m/>
    <m/>
  </r>
  <r>
    <x v="2"/>
    <x v="5"/>
    <s v="F:\images\20210609\plaque 1/@02 EE2 33.8 ng_L/F2_03.tif "/>
    <s v=" 410.968 "/>
    <s v=" 67.1579 "/>
    <x v="0"/>
    <n v="27600"/>
    <m/>
    <m/>
    <m/>
  </r>
  <r>
    <x v="2"/>
    <x v="6"/>
    <s v="F:\images\20210609\plaque 1/@02 EE2 33.8 ng_L/G2_01.tif "/>
    <s v=" 584.0072 "/>
    <s v=" 63.8889 "/>
    <x v="0"/>
    <n v="37312"/>
    <m/>
    <m/>
    <m/>
  </r>
  <r>
    <x v="2"/>
    <x v="6"/>
    <s v="F:\images\20210609\plaque 1/@02 EE2 33.8 ng_L/G2_02.tif "/>
    <s v=" 2617.2173 "/>
    <s v=" 66.7934 "/>
    <x v="0"/>
    <n v="174813"/>
    <m/>
    <m/>
    <m/>
  </r>
  <r>
    <x v="2"/>
    <x v="6"/>
    <s v="F:\images\20210609\plaque 1/@02 EE2 33.8 ng_L/G2_03.tif "/>
    <s v=" 627.2669 "/>
    <s v=" 64.3103 "/>
    <x v="0"/>
    <n v="40340"/>
    <m/>
    <m/>
    <m/>
  </r>
  <r>
    <x v="2"/>
    <x v="7"/>
    <s v="F:\images\20210609\plaque 1/@02 EE2 33.8 ng_L/H2_01.tif "/>
    <s v=" 1773.6514 "/>
    <s v=" 66.1707 "/>
    <x v="0"/>
    <n v="117364"/>
    <m/>
    <m/>
    <m/>
  </r>
  <r>
    <x v="2"/>
    <x v="7"/>
    <s v="F:\images\20210609\plaque 1/@02 EE2 33.8 ng_L/H2_02.tif "/>
    <s v=" 2465.808 "/>
    <s v=" 68.693 "/>
    <x v="0"/>
    <n v="169384"/>
    <m/>
    <m/>
    <m/>
  </r>
  <r>
    <x v="2"/>
    <x v="7"/>
    <s v="F:\images\20210609\plaque 1/@02 EE2 33.8 ng_L/H2_03.tif "/>
    <s v=" 1319.4236 "/>
    <s v=" 64.3443 "/>
    <x v="0"/>
    <n v="84897"/>
    <m/>
    <m/>
    <m/>
  </r>
  <r>
    <x v="1"/>
    <x v="8"/>
    <s v=" "/>
    <m/>
    <m/>
    <x v="1"/>
    <m/>
    <m/>
    <m/>
    <m/>
  </r>
  <r>
    <x v="1"/>
    <x v="8"/>
    <s v="group "/>
    <s v=" "/>
    <s v=" mean of mean fluo "/>
    <x v="2"/>
    <s v=" mean of total fluo "/>
    <s v=" SD total fluo "/>
    <s v=" n fluorescent "/>
    <s v=" n total"/>
  </r>
  <r>
    <x v="2"/>
    <x v="9"/>
    <s v="F:\images\20210609\plaque 1/@02 EE2 33.8 ng_L/ "/>
    <s v=" "/>
    <s v=" 65.015 "/>
    <x v="4"/>
    <s v=" 102666.375 "/>
    <s v=" 137533.3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609\plaque 1/@03 EE2 50.6 ng_L/A3_01.tif "/>
    <s v=" 6142.8901 "/>
    <s v=" 65.5634 "/>
    <x v="0"/>
    <n v="402749"/>
    <m/>
    <m/>
    <m/>
  </r>
  <r>
    <x v="3"/>
    <x v="0"/>
    <s v="F:\images\20210609\plaque 1/@03 EE2 50.6 ng_L/A3_02.tif "/>
    <s v=" 2249.509 "/>
    <s v=" 67.6058 "/>
    <x v="0"/>
    <n v="152080"/>
    <m/>
    <m/>
    <m/>
  </r>
  <r>
    <x v="3"/>
    <x v="0"/>
    <s v="F:\images\20210609\plaque 1/@03 EE2 50.6 ng_L/A3_03.tif "/>
    <s v=" 2552.3276 "/>
    <s v=" 67.7966 "/>
    <x v="0"/>
    <n v="173039"/>
    <m/>
    <m/>
    <m/>
  </r>
  <r>
    <x v="3"/>
    <x v="1"/>
    <s v="F:\images\20210609\plaque 1/@03 EE2 50.6 ng_L/B3_01.tif "/>
    <s v=" 562.3773 "/>
    <s v=" 69.1538 "/>
    <x v="0"/>
    <n v="38891"/>
    <m/>
    <m/>
    <m/>
  </r>
  <r>
    <x v="3"/>
    <x v="1"/>
    <s v="F:\images\20210609\plaque 1/@03 EE2 50.6 ng_L/B3_02.tif "/>
    <s v=" 973.3453 "/>
    <s v=" 68.2222 "/>
    <x v="0"/>
    <n v="66404"/>
    <m/>
    <m/>
    <m/>
  </r>
  <r>
    <x v="3"/>
    <x v="1"/>
    <s v="F:\images\20210609\plaque 1/@03 EE2 50.6 ng_L/B3_03.tif "/>
    <s v=" 562.3773 "/>
    <s v=" 63.9231 "/>
    <x v="0"/>
    <n v="35949"/>
    <m/>
    <m/>
    <m/>
  </r>
  <r>
    <x v="3"/>
    <x v="2"/>
    <s v="F:\images\20210609\plaque 1/@03 EE2 50.6 ng_L/C3_01.tif "/>
    <s v=" 886.8257 "/>
    <s v=" 63.3171 "/>
    <x v="0"/>
    <n v="56151"/>
    <m/>
    <m/>
    <m/>
  </r>
  <r>
    <x v="3"/>
    <x v="2"/>
    <s v="F:\images\20210609\plaque 1/@03 EE2 50.6 ng_L/C3_02.tif "/>
    <s v=" 2011.5802 "/>
    <s v=" 65.0215 "/>
    <x v="0"/>
    <n v="130796"/>
    <m/>
    <m/>
    <m/>
  </r>
  <r>
    <x v="3"/>
    <x v="2"/>
    <s v="F:\images\20210609\plaque 1/@03 EE2 50.6 ng_L/C3_03.tif "/>
    <s v=" 4866.7263 "/>
    <s v=" 66.8133 "/>
    <x v="0"/>
    <n v="325162"/>
    <m/>
    <m/>
    <m/>
  </r>
  <r>
    <x v="3"/>
    <x v="3"/>
    <s v="F:\images\20210609\plaque 1/@03 EE2 50.6 ng_L/D3_01.tif "/>
    <s v=" 346.0783 "/>
    <s v=" 62.125 "/>
    <x v="0"/>
    <n v="21500"/>
    <m/>
    <m/>
    <m/>
  </r>
  <r>
    <x v="3"/>
    <x v="3"/>
    <s v="F:\images\20210609\plaque 1/@03 EE2 50.6 ng_L/D3_02.tif "/>
    <s v=" 1232.904 "/>
    <s v=" 66.6316 "/>
    <x v="0"/>
    <n v="82150"/>
    <m/>
    <m/>
    <m/>
  </r>
  <r>
    <x v="3"/>
    <x v="3"/>
    <s v="F:\images\20210609\plaque 1/@03 EE2 50.6 ng_L/D3_03.tif "/>
    <s v=" 1254.5339 "/>
    <s v=" 66.7414 "/>
    <x v="0"/>
    <n v="83729"/>
    <m/>
    <m/>
    <m/>
  </r>
  <r>
    <x v="3"/>
    <x v="4"/>
    <s v="F:\images\20210609\plaque 1/@03 EE2 50.6 ng_L/E3_01.tif "/>
    <s v=" 519.1175 "/>
    <s v=" 63.4167 "/>
    <x v="0"/>
    <n v="32921"/>
    <m/>
    <m/>
    <m/>
  </r>
  <r>
    <x v="3"/>
    <x v="4"/>
    <s v="F:\images\20210609\plaque 1/@03 EE2 50.6 ng_L/E3_02.tif "/>
    <s v=" 302.8185 "/>
    <s v=" 62.8571 "/>
    <x v="0"/>
    <n v="19034"/>
    <m/>
    <m/>
    <m/>
  </r>
  <r>
    <x v="3"/>
    <x v="4"/>
    <s v="F:\images\20210609\plaque 1/@03 EE2 50.6 ng_L/E3_03.tif "/>
    <s v=" 5796.8118 "/>
    <s v=" 75.3321 "/>
    <x v="0"/>
    <n v="436686"/>
    <m/>
    <m/>
    <m/>
  </r>
  <r>
    <x v="3"/>
    <x v="5"/>
    <s v="F:\images\20210609\plaque 1/@03 EE2 50.6 ng_L/F3_01.tif "/>
    <s v=" 4196.1996 "/>
    <s v=" 67.7526 "/>
    <x v="0"/>
    <n v="284303"/>
    <m/>
    <m/>
    <m/>
  </r>
  <r>
    <x v="3"/>
    <x v="5"/>
    <s v="F:\images\20210609\plaque 1/@03 EE2 50.6 ng_L/F3_02.tif "/>
    <s v=" 3374.2636 "/>
    <s v=" 66.5577 "/>
    <x v="0"/>
    <n v="224583"/>
    <m/>
    <m/>
    <m/>
  </r>
  <r>
    <x v="3"/>
    <x v="5"/>
    <s v="F:\images\20210609\plaque 1/@03 EE2 50.6 ng_L/F3_03.tif "/>
    <s v=" 3720.3419 "/>
    <s v=" 66.2384 "/>
    <x v="0"/>
    <n v="246429"/>
    <m/>
    <m/>
    <m/>
  </r>
  <r>
    <x v="3"/>
    <x v="6"/>
    <s v="F:\images\20210609\plaque 1/@03 EE2 50.6 ng_L/G3_01.tif "/>
    <s v=" 237.9288 "/>
    <s v=" 64.2727 "/>
    <x v="0"/>
    <n v="15292"/>
    <m/>
    <m/>
    <m/>
  </r>
  <r>
    <x v="3"/>
    <x v="6"/>
    <s v="F:\images\20210609\plaque 1/@03 EE2 50.6 ng_L/G3_02.tif "/>
    <s v=" 1276.1638 "/>
    <s v=" 64.1695 "/>
    <x v="0"/>
    <n v="81891"/>
    <m/>
    <m/>
    <m/>
  </r>
  <r>
    <x v="3"/>
    <x v="6"/>
    <s v="F:\images\20210609\plaque 1/@03 EE2 50.6 ng_L/G3_03.tif "/>
    <s v=" 1319.4236 "/>
    <s v=" 66.7377 "/>
    <x v="0"/>
    <n v="88055"/>
    <m/>
    <m/>
    <m/>
  </r>
  <r>
    <x v="3"/>
    <x v="7"/>
    <s v="F:\images\20210609\plaque 1/@03 EE2 50.6 ng_L/H3_01.tif "/>
    <s v=" 908.4556 "/>
    <s v=" 64.6429 "/>
    <x v="0"/>
    <n v="58725"/>
    <m/>
    <m/>
    <m/>
  </r>
  <r>
    <x v="3"/>
    <x v="7"/>
    <s v="F:\images\20210609\plaque 1/@03 EE2 50.6 ng_L/H3_02.tif "/>
    <s v=" 9387.3743 "/>
    <s v=" 72.1498 "/>
    <x v="0"/>
    <n v="677297"/>
    <m/>
    <m/>
    <m/>
  </r>
  <r>
    <x v="3"/>
    <x v="7"/>
    <s v="F:\images\20210609\plaque 1/@03 EE2 50.6 ng_L/H3_03.tif "/>
    <s v=" 3352.6337 "/>
    <s v=" 65.2516 "/>
    <x v="0"/>
    <n v="218765"/>
    <m/>
    <m/>
    <m/>
  </r>
  <r>
    <x v="1"/>
    <x v="8"/>
    <s v=" "/>
    <m/>
    <m/>
    <x v="1"/>
    <m/>
    <m/>
    <m/>
    <m/>
  </r>
  <r>
    <x v="1"/>
    <x v="8"/>
    <s v="group "/>
    <s v=" "/>
    <s v=" mean of mean fluo "/>
    <x v="2"/>
    <s v=" mean of total fluo "/>
    <s v=" SD total fluo "/>
    <s v=" n fluorescent "/>
    <s v=" n total"/>
  </r>
  <r>
    <x v="3"/>
    <x v="9"/>
    <s v="F:\images\20210609\plaque 1/@03 EE2 50.6 ng_L/ "/>
    <s v=" "/>
    <s v=" 66.3456 "/>
    <x v="5"/>
    <s v=" 164690.875 "/>
    <s v=" 164265.8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609\plaque 1/@04 EE2 76 ng_L/A4_01.tif "/>
    <s v=" 3460.7831 "/>
    <s v=" 68.4313 "/>
    <x v="0"/>
    <n v="236826"/>
    <m/>
    <m/>
    <m/>
  </r>
  <r>
    <x v="4"/>
    <x v="0"/>
    <s v="F:\images\20210609\plaque 1/@04 EE2 76 ng_L/A4_02.tif "/>
    <s v=" 2054.84 "/>
    <s v=" 66.4947 "/>
    <x v="0"/>
    <n v="136636"/>
    <m/>
    <m/>
    <m/>
  </r>
  <r>
    <x v="4"/>
    <x v="0"/>
    <s v="F:\images\20210609\plaque 1/@04 EE2 76 ng_L/A4_03.tif "/>
    <s v=" 2314.3987 "/>
    <s v=" 66.3271 "/>
    <x v="0"/>
    <n v="153507"/>
    <m/>
    <m/>
    <m/>
  </r>
  <r>
    <x v="4"/>
    <x v="1"/>
    <s v="F:\images\20210609\plaque 1/@04 EE2 76 ng_L/B4_01.tif "/>
    <s v=" 9473.8938 "/>
    <s v=" 70.153 "/>
    <x v="0"/>
    <n v="664622"/>
    <m/>
    <m/>
    <m/>
  </r>
  <r>
    <x v="4"/>
    <x v="1"/>
    <s v="F:\images\20210609\plaque 1/@04 EE2 76 ng_L/B4_02.tif "/>
    <s v=" 11788.2926 "/>
    <s v=" 67.7927 "/>
    <x v="0"/>
    <n v="799160"/>
    <m/>
    <m/>
    <m/>
  </r>
  <r>
    <x v="4"/>
    <x v="1"/>
    <s v="F:\images\20210609\plaque 1/@04 EE2 76 ng_L/B4_03.tif "/>
    <s v=" 8587.0682 "/>
    <s v=" 69.0151 "/>
    <x v="0"/>
    <n v="592637"/>
    <m/>
    <m/>
    <m/>
  </r>
  <r>
    <x v="4"/>
    <x v="2"/>
    <s v="F:\images\20210609\plaque 1/@04 EE2 76 ng_L/C4_01.tif "/>
    <s v=" 4866.7263 "/>
    <s v=" 69.0133 "/>
    <x v="0"/>
    <n v="335869"/>
    <m/>
    <m/>
    <m/>
  </r>
  <r>
    <x v="4"/>
    <x v="2"/>
    <s v="F:\images\20210609\plaque 1/@04 EE2 76 ng_L/C4_02.tif "/>
    <s v=" 4693.6871 "/>
    <s v=" 67.3963 "/>
    <x v="0"/>
    <n v="316337"/>
    <m/>
    <m/>
    <m/>
  </r>
  <r>
    <x v="4"/>
    <x v="2"/>
    <s v="F:\images\20210609\plaque 1/@04 EE2 76 ng_L/C4_03.tif "/>
    <s v=" 735.4164 "/>
    <s v=" 65.1176 "/>
    <x v="0"/>
    <n v="47889"/>
    <m/>
    <m/>
    <m/>
  </r>
  <r>
    <x v="4"/>
    <x v="3"/>
    <s v="F:\images\20210609\plaque 1/@04 EE2 76 ng_L/D4_01.tif "/>
    <s v=" 13259.1254 "/>
    <s v=" 91.2692 "/>
    <x v="0"/>
    <n v="1210149"/>
    <m/>
    <m/>
    <m/>
  </r>
  <r>
    <x v="4"/>
    <x v="3"/>
    <s v="F:\images\20210609\plaque 1/@04 EE2 76 ng_L/D4_02.tif "/>
    <s v=" 12783.2677 "/>
    <s v=" 85.4772 "/>
    <x v="0"/>
    <n v="1092677"/>
    <m/>
    <m/>
    <m/>
  </r>
  <r>
    <x v="4"/>
    <x v="3"/>
    <s v="F:\images\20210609\plaque 1/@04 EE2 76 ng_L/D4_03.tif "/>
    <s v=" 13280.7553 "/>
    <s v=" 89.241 "/>
    <x v="0"/>
    <n v="1185188"/>
    <m/>
    <m/>
    <m/>
  </r>
  <r>
    <x v="4"/>
    <x v="4"/>
    <s v="F:\images\20210609\plaque 1/@04 EE2 76 ng_L/E4_01.tif "/>
    <s v=" 2530.6977 "/>
    <s v=" 65.7778 "/>
    <x v="0"/>
    <n v="166464"/>
    <m/>
    <m/>
    <m/>
  </r>
  <r>
    <x v="4"/>
    <x v="4"/>
    <s v="F:\images\20210609\plaque 1/@04 EE2 76 ng_L/E4_02.tif "/>
    <s v=" 713.7865 "/>
    <s v=" 63.5455 "/>
    <x v="0"/>
    <n v="45358"/>
    <m/>
    <m/>
    <m/>
  </r>
  <r>
    <x v="4"/>
    <x v="4"/>
    <s v="F:\images\20210609\plaque 1/@04 EE2 76 ng_L/E4_03.tif "/>
    <s v=" 2336.0286 "/>
    <s v=" 65.0093 "/>
    <x v="0"/>
    <n v="151863"/>
    <m/>
    <m/>
    <m/>
  </r>
  <r>
    <x v="4"/>
    <x v="5"/>
    <s v="F:\images\20210609\plaque 1/@04 EE2 76 ng_L/F4_01.tif "/>
    <s v=" 1514.0926 "/>
    <s v=" 66.7857 "/>
    <x v="0"/>
    <n v="101120"/>
    <m/>
    <m/>
    <m/>
  </r>
  <r>
    <x v="4"/>
    <x v="5"/>
    <s v="F:\images\20210609\plaque 1/@04 EE2 76 ng_L/F4_02.tif "/>
    <s v=" 5385.8438 "/>
    <s v=" 66.8193 "/>
    <x v="0"/>
    <n v="359878"/>
    <m/>
    <m/>
    <m/>
  </r>
  <r>
    <x v="4"/>
    <x v="5"/>
    <s v="F:\images\20210609\plaque 1/@04 EE2 76 ng_L/F4_03.tif "/>
    <s v=" 5775.1819 "/>
    <s v=" 68.4944 "/>
    <x v="0"/>
    <n v="395568"/>
    <m/>
    <m/>
    <m/>
  </r>
  <r>
    <x v="4"/>
    <x v="6"/>
    <s v="F:\images\20210609\plaque 1/@04 EE2 76 ng_L/G4_01.tif "/>
    <s v=" 2141.3596 "/>
    <s v=" 63.9798 "/>
    <x v="0"/>
    <n v="137004"/>
    <m/>
    <m/>
    <m/>
  </r>
  <r>
    <x v="4"/>
    <x v="6"/>
    <s v="F:\images\20210609\plaque 1/@04 EE2 76 ng_L/G4_02.tif "/>
    <s v=" 1081.4947 "/>
    <s v=" 65.9 "/>
    <x v="0"/>
    <n v="71271"/>
    <m/>
    <m/>
    <m/>
  </r>
  <r>
    <x v="4"/>
    <x v="6"/>
    <s v="F:\images\20210609\plaque 1/@04 EE2 76 ng_L/G4_03.tif "/>
    <s v=" 475.8577 "/>
    <s v=" 63.9545 "/>
    <x v="0"/>
    <n v="30433"/>
    <m/>
    <m/>
    <m/>
  </r>
  <r>
    <x v="4"/>
    <x v="7"/>
    <s v="F:\images\20210609\plaque 1/@04 EE2 76 ng_L/H4_01.tif "/>
    <s v=" 1146.3844 "/>
    <s v=" 65.6604 "/>
    <x v="0"/>
    <n v="75272"/>
    <m/>
    <m/>
    <m/>
  </r>
  <r>
    <x v="4"/>
    <x v="7"/>
    <s v="F:\images\20210609\plaque 1/@04 EE2 76 ng_L/H4_02.tif "/>
    <s v=" 843.5659 "/>
    <s v=" 64.8205 "/>
    <x v="0"/>
    <n v="54680"/>
    <m/>
    <m/>
    <m/>
  </r>
  <r>
    <x v="4"/>
    <x v="7"/>
    <s v="F:\images\20210609\plaque 1/@04 EE2 76 ng_L/H4_03.tif "/>
    <s v=" 540.7474 "/>
    <s v=" 65.48 "/>
    <x v="0"/>
    <n v="35408"/>
    <m/>
    <m/>
    <m/>
  </r>
  <r>
    <x v="1"/>
    <x v="8"/>
    <s v=" "/>
    <m/>
    <m/>
    <x v="1"/>
    <m/>
    <m/>
    <m/>
    <m/>
  </r>
  <r>
    <x v="1"/>
    <x v="8"/>
    <s v="group "/>
    <s v=" "/>
    <s v=" mean of mean fluo "/>
    <x v="2"/>
    <s v=" mean of total fluo "/>
    <s v=" SD total fluo "/>
    <s v=" n fluorescent "/>
    <s v=" n total"/>
  </r>
  <r>
    <x v="4"/>
    <x v="9"/>
    <s v="F:\images\20210609\plaque 1/@04 EE2 76 ng_L/ "/>
    <s v=" "/>
    <s v=" 69.2481 "/>
    <x v="6"/>
    <s v=" 349825.667 "/>
    <s v=" 376183.2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609\plaque 1/@05 EE2 114 ng_L/A5_01.tif "/>
    <s v=" 9971.3814 "/>
    <s v=" 65.603 "/>
    <x v="0"/>
    <n v="654153"/>
    <m/>
    <m/>
    <m/>
  </r>
  <r>
    <x v="5"/>
    <x v="0"/>
    <s v="F:\images\20210609\plaque 1/@05 EE2 114 ng_L/A5_02.tif "/>
    <s v=" 7375.7941 "/>
    <s v=" 64.7126 "/>
    <x v="0"/>
    <n v="477307"/>
    <m/>
    <m/>
    <m/>
  </r>
  <r>
    <x v="5"/>
    <x v="0"/>
    <s v="F:\images\20210609\plaque 1/@05 EE2 114 ng_L/A5_03.tif "/>
    <s v=" 7483.9435 "/>
    <s v=" 64.7457 "/>
    <x v="0"/>
    <n v="484553"/>
    <m/>
    <m/>
    <m/>
  </r>
  <r>
    <x v="5"/>
    <x v="1"/>
    <s v="F:\images\20210609\plaque 1/@05 EE2 114 ng_L/B5_01.tif "/>
    <s v=" 908.4556 "/>
    <s v=" 66.9286 "/>
    <x v="0"/>
    <n v="60802"/>
    <m/>
    <m/>
    <m/>
  </r>
  <r>
    <x v="5"/>
    <x v="1"/>
    <s v="F:\images\20210609\plaque 1/@05 EE2 114 ng_L/B5_02.tif "/>
    <s v=" 1795.2813 "/>
    <s v=" 64.5542 "/>
    <x v="0"/>
    <n v="115893"/>
    <m/>
    <m/>
    <m/>
  </r>
  <r>
    <x v="5"/>
    <x v="1"/>
    <s v="F:\images\20210609\plaque 1/@05 EE2 114 ng_L/B5_03.tif "/>
    <s v=" 908.4556 "/>
    <s v=" 63.8095 "/>
    <x v="0"/>
    <n v="57968"/>
    <m/>
    <m/>
    <m/>
  </r>
  <r>
    <x v="5"/>
    <x v="2"/>
    <s v="F:\images\20210609\plaque 1/@05 EE2 114 ng_L/C5_01.tif "/>
    <s v=" 5126.285 "/>
    <s v=" 63.5865 "/>
    <x v="0"/>
    <n v="325963"/>
    <m/>
    <m/>
    <m/>
  </r>
  <r>
    <x v="5"/>
    <x v="2"/>
    <s v="F:\images\20210609\plaque 1/@05 EE2 114 ng_L/C5_02.tif "/>
    <s v=" 3287.744 "/>
    <s v=" 62.7895 "/>
    <x v="0"/>
    <n v="206436"/>
    <m/>
    <m/>
    <m/>
  </r>
  <r>
    <x v="5"/>
    <x v="2"/>
    <s v="F:\images\20210609\plaque 1/@05 EE2 114 ng_L/C5_03.tif "/>
    <s v=" 2811.8863 "/>
    <s v=" 63.7385 "/>
    <x v="0"/>
    <n v="179225"/>
    <m/>
    <m/>
    <m/>
  </r>
  <r>
    <x v="5"/>
    <x v="3"/>
    <s v="F:\images\20210609\plaque 1/@05 EE2 114 ng_L/D5_01.tif "/>
    <s v=" 12502.0791 "/>
    <s v=" 68.5761 "/>
    <x v="0"/>
    <n v="857344"/>
    <m/>
    <m/>
    <m/>
  </r>
  <r>
    <x v="5"/>
    <x v="3"/>
    <s v="F:\images\20210609\plaque 1/@05 EE2 114 ng_L/D5_02.tif "/>
    <s v=" 11334.0648 "/>
    <s v=" 66.9885 "/>
    <x v="0"/>
    <n v="759253"/>
    <m/>
    <m/>
    <m/>
  </r>
  <r>
    <x v="5"/>
    <x v="3"/>
    <s v="F:\images\20210609\plaque 1/@05 EE2 114 ng_L/D5_03.tif "/>
    <s v=" 11507.1039 "/>
    <s v=" 67.0883 "/>
    <x v="0"/>
    <n v="771993"/>
    <m/>
    <m/>
    <m/>
  </r>
  <r>
    <x v="5"/>
    <x v="4"/>
    <s v="F:\images\20210609\plaque 1/@05 EE2 114 ng_L/E5_01.tif "/>
    <s v=" 12091.1111 "/>
    <s v=" 64.9857 "/>
    <x v="0"/>
    <n v="785749"/>
    <m/>
    <m/>
    <m/>
  </r>
  <r>
    <x v="5"/>
    <x v="4"/>
    <s v="F:\images\20210609\plaque 1/@05 EE2 114 ng_L/E5_02.tif "/>
    <s v=" 15011.1469 "/>
    <s v=" 65.8112 "/>
    <x v="0"/>
    <n v="987902"/>
    <m/>
    <m/>
    <m/>
  </r>
  <r>
    <x v="5"/>
    <x v="4"/>
    <s v="F:\images\20210609\plaque 1/@05 EE2 114 ng_L/E5_03.tif "/>
    <s v=" 6424.0787 "/>
    <s v=" 64.4579 "/>
    <x v="0"/>
    <n v="414083"/>
    <m/>
    <m/>
    <m/>
  </r>
  <r>
    <x v="5"/>
    <x v="5"/>
    <s v="F:\images\20210609\plaque 1/@05 EE2 114 ng_L/F5_01.tif "/>
    <s v=" 13150.9759 "/>
    <s v=" 65.9638 "/>
    <x v="0"/>
    <n v="867489"/>
    <m/>
    <m/>
    <m/>
  </r>
  <r>
    <x v="5"/>
    <x v="5"/>
    <s v="F:\images\20210609\plaque 1/@05 EE2 114 ng_L/F5_02.tif "/>
    <s v=" 9776.7124 "/>
    <s v=" 64.531 "/>
    <x v="0"/>
    <n v="630901"/>
    <m/>
    <m/>
    <m/>
  </r>
  <r>
    <x v="5"/>
    <x v="5"/>
    <s v="F:\images\20210609\plaque 1/@05 EE2 114 ng_L/F5_03.tif "/>
    <s v=" 12047.8513 "/>
    <s v=" 66.289 "/>
    <x v="0"/>
    <n v="798641"/>
    <m/>
    <m/>
    <m/>
  </r>
  <r>
    <x v="5"/>
    <x v="6"/>
    <s v="F:\images\20210609\plaque 1/@05 EE2 114 ng_L/G5_01.tif "/>
    <s v=" 6878.3065 "/>
    <s v=" 66.2704 "/>
    <x v="0"/>
    <n v="455828"/>
    <m/>
    <m/>
    <m/>
  </r>
  <r>
    <x v="5"/>
    <x v="6"/>
    <s v="F:\images\20210609\plaque 1/@05 EE2 114 ng_L/G5_02.tif "/>
    <s v=" 4455.7583 "/>
    <s v=" 64.7864 "/>
    <x v="0"/>
    <n v="288673"/>
    <m/>
    <m/>
    <m/>
  </r>
  <r>
    <x v="5"/>
    <x v="6"/>
    <s v="F:\images\20210609\plaque 1/@05 EE2 114 ng_L/G5_03.tif "/>
    <s v=" 5688.6623 "/>
    <s v=" 66.1863 "/>
    <x v="0"/>
    <n v="376512"/>
    <m/>
    <m/>
    <m/>
  </r>
  <r>
    <x v="5"/>
    <x v="7"/>
    <s v="F:\images\20210609\plaque 1/@05 EE2 114 ng_L/H5_01.tif "/>
    <s v=" 9106.1856 "/>
    <s v=" 66.0143 "/>
    <x v="0"/>
    <n v="601138"/>
    <m/>
    <m/>
    <m/>
  </r>
  <r>
    <x v="5"/>
    <x v="7"/>
    <s v="F:\images\20210609\plaque 1/@05 EE2 114 ng_L/H5_02.tif "/>
    <s v=" 9690.1928 "/>
    <s v=" 67.9174 "/>
    <x v="0"/>
    <n v="658133"/>
    <m/>
    <m/>
    <m/>
  </r>
  <r>
    <x v="5"/>
    <x v="7"/>
    <s v="F:\images\20210609\plaque 1/@05 EE2 114 ng_L/H5_03.tif "/>
    <s v=" 6943.1962 "/>
    <s v=" 66.5607 "/>
    <x v="0"/>
    <n v="462144"/>
    <m/>
    <m/>
    <m/>
  </r>
  <r>
    <x v="1"/>
    <x v="8"/>
    <s v=" "/>
    <m/>
    <m/>
    <x v="1"/>
    <m/>
    <m/>
    <m/>
    <m/>
  </r>
  <r>
    <x v="1"/>
    <x v="8"/>
    <s v="group "/>
    <s v=" "/>
    <s v=" mean of mean fluo "/>
    <x v="2"/>
    <s v=" mean of total fluo "/>
    <s v=" SD total fluo "/>
    <s v=" n fluorescent "/>
    <s v=" n total"/>
  </r>
  <r>
    <x v="5"/>
    <x v="9"/>
    <s v="F:\images\20210609\plaque 1/@05 EE2 114 ng_L/ "/>
    <s v=" "/>
    <s v=" 65.5373 "/>
    <x v="7"/>
    <s v=" 511586.792 "/>
    <s v=" 272855.44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609\plaque 1/@06 EE2 170.9 ng_L/A6_01.tif "/>
    <s v=" 4001.5305 "/>
    <s v=" 63.7514 "/>
    <x v="0"/>
    <n v="255103"/>
    <m/>
    <m/>
    <m/>
  </r>
  <r>
    <x v="6"/>
    <x v="0"/>
    <s v="F:\images\20210609\plaque 1/@06 EE2 170.9 ng_L/A6_02.tif "/>
    <s v=" 5623.7726 "/>
    <s v=" 64.8808 "/>
    <x v="0"/>
    <n v="364875"/>
    <m/>
    <m/>
    <m/>
  </r>
  <r>
    <x v="6"/>
    <x v="0"/>
    <s v="F:\images\20210609\plaque 1/@06 EE2 170.9 ng_L/A6_03.tif "/>
    <s v=" 9733.4526 "/>
    <s v=" 64.88 "/>
    <x v="0"/>
    <n v="631506"/>
    <m/>
    <m/>
    <m/>
  </r>
  <r>
    <x v="6"/>
    <x v="1"/>
    <s v="F:\images\20210609\plaque 1/@06 EE2 170.9 ng_L/B6_01.tif "/>
    <s v=" 821.936 "/>
    <s v=" 63.2368 "/>
    <x v="0"/>
    <n v="51977"/>
    <m/>
    <m/>
    <m/>
  </r>
  <r>
    <x v="6"/>
    <x v="1"/>
    <s v="F:\images\20210609\plaque 1/@06 EE2 170.9 ng_L/B6_02.tif "/>
    <s v=" 5191.1747 "/>
    <s v=" 66.9958 "/>
    <x v="0"/>
    <n v="347787"/>
    <m/>
    <m/>
    <m/>
  </r>
  <r>
    <x v="6"/>
    <x v="1"/>
    <s v="F:\images\20210609\plaque 1/@06 EE2 170.9 ng_L/B6_03.tif "/>
    <s v=" 5472.3633 "/>
    <s v=" 65.6601 "/>
    <x v="0"/>
    <n v="359316"/>
    <m/>
    <m/>
    <m/>
  </r>
  <r>
    <x v="6"/>
    <x v="2"/>
    <s v="F:\images\20210609\plaque 1/@06 EE2 170.9 ng_L/C6_01.tif "/>
    <s v=" 40166.7143 "/>
    <s v=" 69.7496 "/>
    <x v="0"/>
    <n v="2801612"/>
    <m/>
    <m/>
    <m/>
  </r>
  <r>
    <x v="6"/>
    <x v="2"/>
    <s v="F:\images\20210609\plaque 1/@06 EE2 170.9 ng_L/C6_02.tif "/>
    <s v=" 45444.4086 "/>
    <s v=" 70.416 "/>
    <x v="0"/>
    <n v="3200013"/>
    <m/>
    <m/>
    <m/>
  </r>
  <r>
    <x v="6"/>
    <x v="2"/>
    <s v="F:\images\20210609\plaque 1/@06 EE2 170.9 ng_L/C6_03.tif "/>
    <s v=" 43238.1594 "/>
    <s v=" 69.7539 "/>
    <x v="0"/>
    <n v="3016029"/>
    <m/>
    <m/>
    <m/>
  </r>
  <r>
    <x v="6"/>
    <x v="3"/>
    <s v="F:\images\20210609\plaque 1/@06 EE2 170.9 ng_L/D6_01.tif "/>
    <s v=" 15660.0437 "/>
    <s v=" 73.1602 "/>
    <x v="0"/>
    <n v="1145692"/>
    <m/>
    <m/>
    <m/>
  </r>
  <r>
    <x v="6"/>
    <x v="3"/>
    <s v="F:\images\20210609\plaque 1/@06 EE2 170.9 ng_L/D6_02.tif "/>
    <s v=" 15422.1149 "/>
    <s v=" 79.5021 "/>
    <x v="0"/>
    <n v="1226091"/>
    <m/>
    <m/>
    <m/>
  </r>
  <r>
    <x v="6"/>
    <x v="3"/>
    <s v="F:\images\20210609\plaque 1/@06 EE2 170.9 ng_L/D6_03.tif "/>
    <s v=" 14989.517 "/>
    <s v=" 82.0274 "/>
    <x v="0"/>
    <n v="1229551"/>
    <m/>
    <m/>
    <m/>
  </r>
  <r>
    <x v="6"/>
    <x v="4"/>
    <s v="F:\images\20210609\plaque 1/@06 EE2 170.9 ng_L/E6_01.tif "/>
    <s v=" 25306.9767 "/>
    <s v=" 68.8231 "/>
    <x v="0"/>
    <n v="1741704"/>
    <m/>
    <m/>
    <m/>
  </r>
  <r>
    <x v="6"/>
    <x v="4"/>
    <s v="F:\images\20210609\plaque 1/@06 EE2 170.9 ng_L/E6_02- exclu.tif"/>
    <m/>
    <m/>
    <x v="1"/>
    <m/>
    <m/>
    <m/>
    <m/>
  </r>
  <r>
    <x v="6"/>
    <x v="4"/>
    <s v="F:\images\20210609\plaque 1/@06 EE2 170.9 ng_L/E6_03.tif "/>
    <s v=" 26128.9127 "/>
    <s v=" 69.7425 "/>
    <x v="0"/>
    <n v="1822297"/>
    <m/>
    <m/>
    <m/>
  </r>
  <r>
    <x v="6"/>
    <x v="5"/>
    <s v="F:\images\20210609\plaque 1/@06 EE2 170.9 ng_L/F6_01.tif "/>
    <s v=" 13042.8265 "/>
    <s v=" 66.4229 "/>
    <x v="0"/>
    <n v="866342"/>
    <m/>
    <m/>
    <m/>
  </r>
  <r>
    <x v="6"/>
    <x v="5"/>
    <s v="F:\images\20210609\plaque 1/@06 EE2 170.9 ng_L/F6_02.tif "/>
    <s v=" 17152.5064 "/>
    <s v=" 70.1362 "/>
    <x v="0"/>
    <n v="1203011"/>
    <m/>
    <m/>
    <m/>
  </r>
  <r>
    <x v="6"/>
    <x v="5"/>
    <s v="F:\images\20210609\plaque 1/@06 EE2 170.9 ng_L/F6_03.tif "/>
    <s v=" 13583.5738 "/>
    <s v=" 68.4347 "/>
    <x v="0"/>
    <n v="929588"/>
    <m/>
    <m/>
    <m/>
  </r>
  <r>
    <x v="6"/>
    <x v="6"/>
    <s v="F:\images\20210609\plaque 1/@06 EE2 170.9 ng_L/G6_01.tif "/>
    <s v=" 43627.4975 "/>
    <s v=" 74.8651 "/>
    <x v="0"/>
    <n v="3266179"/>
    <m/>
    <m/>
    <m/>
  </r>
  <r>
    <x v="6"/>
    <x v="6"/>
    <s v="F:\images\20210609\plaque 1/@06 EE2 170.9 ng_L/G6_02.tif "/>
    <s v=" 43627.4975 "/>
    <s v=" 75.1472 "/>
    <x v="0"/>
    <n v="3278486"/>
    <m/>
    <m/>
    <m/>
  </r>
  <r>
    <x v="6"/>
    <x v="6"/>
    <s v="F:\images\20210609\plaque 1/@06 EE2 170.9 ng_L/G6_03.tif "/>
    <s v=" 43021.8604 "/>
    <s v=" 75.1393 "/>
    <x v="0"/>
    <n v="3232631"/>
    <m/>
    <m/>
    <m/>
  </r>
  <r>
    <x v="6"/>
    <x v="7"/>
    <s v="F:\images\20210609\plaque 1/@06 EE2 170.9 ng_L/H6_01.tif "/>
    <s v=" 12783.2677 "/>
    <s v=" 65.7733 "/>
    <x v="0"/>
    <n v="840797"/>
    <m/>
    <m/>
    <m/>
  </r>
  <r>
    <x v="6"/>
    <x v="7"/>
    <s v="F:\images\20210609\plaque 1/@06 EE2 170.9 ng_L/H6_02.tif "/>
    <s v=" 16763.1683 "/>
    <s v=" 66.8194 "/>
    <x v="0"/>
    <n v="1120104"/>
    <m/>
    <m/>
    <m/>
  </r>
  <r>
    <x v="6"/>
    <x v="7"/>
    <s v="F:\images\20210609\plaque 1/@06 EE2 170.9 ng_L/H6_03.tif "/>
    <s v=" 15508.6344 "/>
    <s v=" 67.3821 "/>
    <x v="0"/>
    <n v="1045005"/>
    <m/>
    <m/>
    <m/>
  </r>
  <r>
    <x v="1"/>
    <x v="8"/>
    <s v=" "/>
    <m/>
    <m/>
    <x v="1"/>
    <m/>
    <m/>
    <m/>
    <m/>
  </r>
  <r>
    <x v="1"/>
    <x v="8"/>
    <s v="group "/>
    <s v=" "/>
    <s v=" mean of mean fluo "/>
    <x v="2"/>
    <s v=" mean of total fluo "/>
    <s v=" SD total fluo "/>
    <s v=" n fluorescent "/>
    <s v=" n total"/>
  </r>
  <r>
    <x v="6"/>
    <x v="9"/>
    <s v="F:\images\20210609\plaque 1/@06 EE2 170.9 ng_L/ "/>
    <s v=" "/>
    <s v=" 69.7503 "/>
    <x v="8"/>
    <s v=" 1486217.92 "/>
    <s v=" 1074506.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609\plaque 1/@07 EE2 488 ng_L/A7_01.tif "/>
    <s v=" 20807.9586 "/>
    <s v=" 77.2328 "/>
    <x v="0"/>
    <n v="1607058"/>
    <m/>
    <m/>
    <m/>
  </r>
  <r>
    <x v="7"/>
    <x v="0"/>
    <s v="F:\images\20210609\plaque 1/@07 EE2 488 ng_L/A7_02.tif "/>
    <s v=" 23879.4037 "/>
    <s v=" 77.8822 "/>
    <x v="0"/>
    <n v="1859782"/>
    <m/>
    <m/>
    <m/>
  </r>
  <r>
    <x v="7"/>
    <x v="0"/>
    <s v="F:\images\20210609\plaque 1/@07 EE2 488 ng_L/A7_03.tif "/>
    <s v=" 23922.6635 "/>
    <s v=" 79.679 "/>
    <x v="0"/>
    <n v="1906134"/>
    <m/>
    <m/>
    <m/>
  </r>
  <r>
    <x v="7"/>
    <x v="1"/>
    <s v="F:\images\20210609\plaque 1/@07 EE2 488 ng_L/B7_01.tif "/>
    <s v=" 58141.1568 "/>
    <s v=" 74.8687 "/>
    <x v="0"/>
    <n v="4352951"/>
    <m/>
    <m/>
    <m/>
  </r>
  <r>
    <x v="7"/>
    <x v="1"/>
    <s v="F:\images\20210609\plaque 1/@07 EE2 488 ng_L/B7_02.tif "/>
    <s v=" 46634.0528 "/>
    <s v=" 77.8465 "/>
    <x v="0"/>
    <n v="3630297"/>
    <m/>
    <m/>
    <m/>
  </r>
  <r>
    <x v="7"/>
    <x v="1"/>
    <s v="F:\images\20210609\plaque 1/@07 EE2 488 ng_L/B7_03.tif "/>
    <s v=" 48407.7042 "/>
    <s v=" 80.3387 "/>
    <x v="0"/>
    <n v="3889012"/>
    <m/>
    <m/>
    <m/>
  </r>
  <r>
    <x v="7"/>
    <x v="2"/>
    <s v="F:\images\20210609\plaque 1/@07 EE2 488 ng_L/C7_01.tif "/>
    <s v=" 36943.86 "/>
    <s v=" 74.147 "/>
    <x v="0"/>
    <n v="2739275"/>
    <m/>
    <m/>
    <m/>
  </r>
  <r>
    <x v="7"/>
    <x v="2"/>
    <s v="F:\images\20210609\plaque 1/@07 EE2 488 ng_L/C7_02.tif "/>
    <s v=" 35170.2087 "/>
    <s v=" 73.5978 "/>
    <x v="0"/>
    <n v="2588449"/>
    <m/>
    <m/>
    <m/>
  </r>
  <r>
    <x v="7"/>
    <x v="2"/>
    <s v="F:\images\20210609\plaque 1/@07 EE2 488 ng_L/C7_03.tif "/>
    <s v=" 36294.9632 "/>
    <s v=" 72.3856 "/>
    <x v="0"/>
    <n v="2627232"/>
    <m/>
    <m/>
    <m/>
  </r>
  <r>
    <x v="7"/>
    <x v="3"/>
    <s v="F:\images\20210609\plaque 1/@07 EE2 488 ng_L/D7_01.tif "/>
    <s v=" 40253.2339 "/>
    <s v=" 88.2676 "/>
    <x v="0"/>
    <n v="3553056"/>
    <m/>
    <m/>
    <m/>
  </r>
  <r>
    <x v="7"/>
    <x v="3"/>
    <s v="F:\images\20210609\plaque 1/@07 EE2 488 ng_L/D7_02.tif "/>
    <s v=" 47931.8465 "/>
    <s v=" 77.2509 "/>
    <x v="0"/>
    <n v="3702778"/>
    <m/>
    <m/>
    <m/>
  </r>
  <r>
    <x v="7"/>
    <x v="3"/>
    <s v="F:\images\20210609\plaque 1/@07 EE2 488 ng_L/D7_03- exclu.tif"/>
    <m/>
    <m/>
    <x v="1"/>
    <m/>
    <m/>
    <m/>
    <m/>
  </r>
  <r>
    <x v="7"/>
    <x v="4"/>
    <s v="F:\images\20210609\plaque 1/@07 EE2 488 ng_L/E7_01.tif "/>
    <s v=" 56021.4271 "/>
    <s v=" 80.7104 "/>
    <x v="0"/>
    <n v="4521513"/>
    <m/>
    <m/>
    <m/>
  </r>
  <r>
    <x v="7"/>
    <x v="4"/>
    <s v="F:\images\20210609\plaque 1/@07 EE2 488 ng_L/E7_02.tif "/>
    <s v=" 55459.0498 "/>
    <s v=" 83.2968 "/>
    <x v="0"/>
    <n v="4619561"/>
    <m/>
    <m/>
    <m/>
  </r>
  <r>
    <x v="7"/>
    <x v="4"/>
    <s v="F:\images\20210609\plaque 1/@07 EE2 488 ng_L/E7_03.tif "/>
    <s v=" 50851.8823 "/>
    <s v=" 82.5691 "/>
    <x v="0"/>
    <n v="4198795"/>
    <m/>
    <m/>
    <m/>
  </r>
  <r>
    <x v="7"/>
    <x v="5"/>
    <s v="F:\images\20210609\plaque 1/@07 EE2 488 ng_L/F7_01.tif "/>
    <s v=" 55588.8292 "/>
    <s v=" 94.0447 "/>
    <x v="0"/>
    <n v="5227837"/>
    <m/>
    <m/>
    <m/>
  </r>
  <r>
    <x v="7"/>
    <x v="5"/>
    <s v="F:\images\20210609\plaque 1/@07 EE2 488 ng_L/F7_02.tif "/>
    <s v=" 56821.7332 "/>
    <s v=" 88.7587 "/>
    <x v="0"/>
    <n v="5043421"/>
    <m/>
    <m/>
    <m/>
  </r>
  <r>
    <x v="7"/>
    <x v="5"/>
    <s v="F:\images\20210609\plaque 1/@07 EE2 488 ng_L/F7_03.tif "/>
    <s v=" 62272.4666 "/>
    <s v=" 87.1129 "/>
    <x v="0"/>
    <n v="5424734"/>
    <m/>
    <m/>
    <m/>
  </r>
  <r>
    <x v="7"/>
    <x v="6"/>
    <s v="F:\images\20210609\plaque 1/@07 EE2 488 ng_L/G7_01.tif "/>
    <s v=" 55264.3808 "/>
    <s v=" 96.2219 "/>
    <x v="0"/>
    <n v="5317645"/>
    <m/>
    <m/>
    <m/>
  </r>
  <r>
    <x v="7"/>
    <x v="6"/>
    <s v="F:\images\20210609\plaque 1/@07 EE2 488 ng_L/G7_02.tif "/>
    <s v=" 58162.7867 "/>
    <s v=" 93.5277 "/>
    <x v="0"/>
    <n v="5439832"/>
    <m/>
    <m/>
    <m/>
  </r>
  <r>
    <x v="7"/>
    <x v="6"/>
    <s v="F:\images\20210609\plaque 1/@07 EE2 488 ng_L/G7_03.tif "/>
    <s v=" 55718.6086 "/>
    <s v=" 96.4476 "/>
    <x v="0"/>
    <n v="5373926"/>
    <m/>
    <m/>
    <m/>
  </r>
  <r>
    <x v="7"/>
    <x v="7"/>
    <s v="F:\images\20210609\plaque 1/@07 EE2 488 ng_L/H7_01.tif "/>
    <s v=" 60325.7761 "/>
    <s v=" 83.2531 "/>
    <x v="0"/>
    <n v="5022310"/>
    <m/>
    <m/>
    <m/>
  </r>
  <r>
    <x v="7"/>
    <x v="7"/>
    <s v="F:\images\20210609\plaque 1/@07 EE2 488 ng_L/H7_02.tif "/>
    <s v=" 54615.4839 "/>
    <s v=" 86.3719 "/>
    <x v="0"/>
    <n v="4717242"/>
    <m/>
    <m/>
    <m/>
  </r>
  <r>
    <x v="7"/>
    <x v="7"/>
    <s v="F:\images\20210609\plaque 1/@07 EE2 488 ng_L/H7_03.tif "/>
    <s v=" 52106.4162 "/>
    <s v=" 85.8219 "/>
    <x v="0"/>
    <n v="4471873"/>
    <m/>
    <m/>
    <m/>
  </r>
  <r>
    <x v="1"/>
    <x v="8"/>
    <s v=" "/>
    <m/>
    <m/>
    <x v="1"/>
    <m/>
    <m/>
    <m/>
    <m/>
  </r>
  <r>
    <x v="1"/>
    <x v="8"/>
    <s v="group "/>
    <s v=" "/>
    <s v=" mean of mean fluo "/>
    <x v="2"/>
    <s v=" mean of total fluo "/>
    <s v=" SD total fluo "/>
    <s v=" n fluorescent "/>
    <s v=" n total"/>
  </r>
  <r>
    <x v="7"/>
    <x v="9"/>
    <s v="F:\images\20210609\plaque 1/@07 EE2 488 ng_L/ "/>
    <s v=" "/>
    <s v=" 82.8987 "/>
    <x v="9"/>
    <s v=" 3860652.25 "/>
    <s v=" 1369864.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609\plaque 1/@08 Atrazine 0.625 mg_L/A8_01.tif "/>
    <s v=" 2292.7688 "/>
    <s v=" 64.3302 "/>
    <x v="0"/>
    <n v="147494"/>
    <m/>
    <m/>
    <m/>
  </r>
  <r>
    <x v="8"/>
    <x v="0"/>
    <s v="F:\images\20210609\plaque 1/@08 Atrazine 0.625 mg_L/A8_02.tif "/>
    <s v=" 7462.3136 "/>
    <s v=" 75.9565 "/>
    <x v="0"/>
    <n v="566811"/>
    <m/>
    <m/>
    <m/>
  </r>
  <r>
    <x v="8"/>
    <x v="0"/>
    <s v="F:\images\20210609\plaque 1/@08 Atrazine 0.625 mg_L/A8_03.tif "/>
    <s v=" 4152.9398 "/>
    <s v=" 66.6094 "/>
    <x v="0"/>
    <n v="276625"/>
    <m/>
    <m/>
    <m/>
  </r>
  <r>
    <x v="8"/>
    <x v="1"/>
    <s v="F:\images\20210609\plaque 1/@08 Atrazine 0.625 mg_L/B8_01.tif "/>
    <s v=" 13843.1326 "/>
    <s v=" 83.3359 "/>
    <x v="0"/>
    <n v="1153630"/>
    <m/>
    <m/>
    <m/>
  </r>
  <r>
    <x v="8"/>
    <x v="1"/>
    <s v="F:\images\20210609\plaque 1/@08 Atrazine 0.625 mg_L/B8_02.tif "/>
    <s v=" 3266.1141 "/>
    <s v=" 64.5298 "/>
    <x v="0"/>
    <n v="210762"/>
    <m/>
    <m/>
    <m/>
  </r>
  <r>
    <x v="8"/>
    <x v="1"/>
    <s v="F:\images\20210609\plaque 1/@08 Atrazine 0.625 mg_L/B8_03.tif "/>
    <s v=" 4953.2459 "/>
    <s v=" 66.1834 "/>
    <x v="0"/>
    <n v="327823"/>
    <m/>
    <m/>
    <m/>
  </r>
  <r>
    <x v="8"/>
    <x v="2"/>
    <s v="F:\images\20210609\plaque 1/@08 Atrazine 0.625 mg_L/C8_01- exclu.tif"/>
    <m/>
    <m/>
    <x v="1"/>
    <m/>
    <m/>
    <m/>
    <m/>
  </r>
  <r>
    <x v="8"/>
    <x v="2"/>
    <s v="F:\images\20210609\plaque 1/@08 Atrazine 0.625 mg_L/C8_02.tif "/>
    <s v=" 108.1495 "/>
    <n v="63"/>
    <x v="0"/>
    <n v="6813"/>
    <m/>
    <m/>
    <m/>
  </r>
  <r>
    <x v="8"/>
    <x v="2"/>
    <s v="F:\images\20210609\plaque 1/@08 Atrazine 0.625 mg_L/C8_03.tif "/>
    <s v=" 302.8185 "/>
    <s v=" 64.2143 "/>
    <x v="0"/>
    <n v="19445"/>
    <m/>
    <m/>
    <m/>
  </r>
  <r>
    <x v="8"/>
    <x v="3"/>
    <s v="F:\images\20210609\plaque 1/@08 Atrazine 0.625 mg_L/D8_01.tif "/>
    <s v=" 1968.3204 "/>
    <s v=" 69.7363 "/>
    <x v="0"/>
    <n v="137263"/>
    <m/>
    <m/>
    <m/>
  </r>
  <r>
    <x v="8"/>
    <x v="3"/>
    <s v="F:\images\20210609\plaque 1/@08 Atrazine 0.625 mg_L/D8_02.tif "/>
    <s v=" 2573.9575 "/>
    <s v=" 65.563 "/>
    <x v="0"/>
    <n v="168756"/>
    <m/>
    <m/>
    <m/>
  </r>
  <r>
    <x v="8"/>
    <x v="3"/>
    <s v="F:\images\20210609\plaque 1/@08 Atrazine 0.625 mg_L/D8_03.tif "/>
    <s v=" 2054.84 "/>
    <s v=" 68.2316 "/>
    <x v="0"/>
    <n v="140205"/>
    <m/>
    <m/>
    <m/>
  </r>
  <r>
    <x v="8"/>
    <x v="4"/>
    <s v="F:\images\20210609\plaque 1/@08 Atrazine 0.625 mg_L/E8_01.tif "/>
    <s v=" 4650.4273 "/>
    <s v=" 66.6419 "/>
    <x v="0"/>
    <n v="309913"/>
    <m/>
    <m/>
    <m/>
  </r>
  <r>
    <x v="8"/>
    <x v="4"/>
    <s v="F:\images\20210609\plaque 1/@08 Atrazine 0.625 mg_L/E8_02.tif "/>
    <s v=" 3222.8543 "/>
    <s v=" 66.7315 "/>
    <x v="0"/>
    <n v="215066"/>
    <m/>
    <m/>
    <m/>
  </r>
  <r>
    <x v="8"/>
    <x v="4"/>
    <s v="F:\images\20210609\plaque 1/@08 Atrazine 0.625 mg_L/E8_03.tif "/>
    <s v=" 1103.1246 "/>
    <s v=" 67.098 "/>
    <x v="0"/>
    <n v="74017"/>
    <m/>
    <m/>
    <m/>
  </r>
  <r>
    <x v="8"/>
    <x v="5"/>
    <s v="F:\images\20210609\plaque 1/@08 Atrazine 0.625 mg_L/F8_01.tif "/>
    <s v=" 10187.6804 "/>
    <s v=" 70.2505 "/>
    <x v="0"/>
    <n v="715690"/>
    <m/>
    <m/>
    <m/>
  </r>
  <r>
    <x v="8"/>
    <x v="5"/>
    <s v="F:\images\20210609\plaque 1/@08 Atrazine 0.625 mg_L/F8_02.tif "/>
    <s v=" 4369.2387 "/>
    <s v=" 68.1287 "/>
    <x v="0"/>
    <n v="297671"/>
    <m/>
    <m/>
    <m/>
  </r>
  <r>
    <x v="8"/>
    <x v="5"/>
    <s v="F:\images\20210609\plaque 1/@08 Atrazine 0.625 mg_L/F8_03.tif "/>
    <s v=" 692.1566 "/>
    <s v=" 66.625 "/>
    <x v="0"/>
    <n v="46115"/>
    <m/>
    <m/>
    <m/>
  </r>
  <r>
    <x v="8"/>
    <x v="6"/>
    <s v="F:\images\20210609\plaque 1/@08 Atrazine 0.625 mg_L/G8_01.tif "/>
    <s v=" 670.5267 "/>
    <s v=" 64.129 "/>
    <x v="0"/>
    <n v="43000"/>
    <m/>
    <m/>
    <m/>
  </r>
  <r>
    <x v="8"/>
    <x v="6"/>
    <s v="F:\images\20210609\plaque 1/@08 Atrazine 0.625 mg_L/G8_02.tif "/>
    <s v=" 5645.4025 "/>
    <s v=" 67.954 "/>
    <x v="0"/>
    <n v="383628"/>
    <m/>
    <m/>
    <m/>
  </r>
  <r>
    <x v="8"/>
    <x v="6"/>
    <s v="F:\images\20210609\plaque 1/@08 Atrazine 0.625 mg_L/G8_03.tif "/>
    <s v=" 10317.4597 "/>
    <s v=" 75.6562 "/>
    <x v="0"/>
    <n v="780580"/>
    <m/>
    <m/>
    <m/>
  </r>
  <r>
    <x v="8"/>
    <x v="7"/>
    <s v="F:\images\20210609\plaque 1/@08 Atrazine 0.625 mg_L/H8_01.tif "/>
    <s v=" 13756.613 "/>
    <s v=" 80.717 "/>
    <x v="0"/>
    <n v="1110392"/>
    <m/>
    <m/>
    <m/>
  </r>
  <r>
    <x v="8"/>
    <x v="7"/>
    <s v="F:\images\20210609\plaque 1/@08 Atrazine 0.625 mg_L/H8_02.tif "/>
    <s v=" 9668.5629 "/>
    <s v=" 73.0582 "/>
    <x v="0"/>
    <n v="706367"/>
    <m/>
    <m/>
    <m/>
  </r>
  <r>
    <x v="8"/>
    <x v="7"/>
    <s v="F:\images\20210609\plaque 1/@08 Atrazine 0.625 mg_L/H8_03.tif "/>
    <s v=" 757.0463 "/>
    <s v=" 63.0286 "/>
    <x v="0"/>
    <n v="47716"/>
    <m/>
    <m/>
    <m/>
  </r>
  <r>
    <x v="1"/>
    <x v="8"/>
    <s v=" "/>
    <m/>
    <m/>
    <x v="1"/>
    <m/>
    <m/>
    <m/>
    <m/>
  </r>
  <r>
    <x v="1"/>
    <x v="8"/>
    <s v="group "/>
    <s v=" "/>
    <s v=" mean of mean fluo "/>
    <x v="2"/>
    <s v=" mean of total fluo "/>
    <s v=" SD total fluo "/>
    <s v=" n fluorescent "/>
    <s v=" n total"/>
  </r>
  <r>
    <x v="8"/>
    <x v="9"/>
    <s v="F:\images\20210609\plaque 1/@08 Atrazine 0.625 mg_L/ "/>
    <s v=" "/>
    <s v=" 68.4938 "/>
    <x v="10"/>
    <s v=" 328966.292 "/>
    <s v=" 337238.83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609\plaque 1/@09 Atrazine 1.25 mg_L/A9_01.tif "/>
    <s v=" 237.9288 "/>
    <s v=" 64.4545 "/>
    <x v="0"/>
    <n v="15336"/>
    <m/>
    <m/>
    <m/>
  </r>
  <r>
    <x v="9"/>
    <x v="0"/>
    <s v="F:\images\20210609\plaque 1/@09 Atrazine 1.25 mg_L/A9_02.tif "/>
    <s v=" 389.3381 "/>
    <s v=" 62.7778 "/>
    <x v="0"/>
    <n v="24442"/>
    <m/>
    <m/>
    <m/>
  </r>
  <r>
    <x v="9"/>
    <x v="0"/>
    <s v="F:\images\20210609\plaque 1/@09 Atrazine 1.25 mg_L/A9_03.tif "/>
    <s v=" 367.7082 "/>
    <s v=" 63.6471 "/>
    <x v="0"/>
    <n v="23404"/>
    <m/>
    <m/>
    <m/>
  </r>
  <r>
    <x v="9"/>
    <x v="1"/>
    <s v="F:\images\20210609\plaque 1/@09 Atrazine 1.25 mg_L/B9_01- exclu.tif"/>
    <m/>
    <m/>
    <x v="1"/>
    <m/>
    <m/>
    <m/>
    <m/>
  </r>
  <r>
    <x v="9"/>
    <x v="1"/>
    <s v="F:\images\20210609\plaque 1/@09 Atrazine 1.25 mg_L/B9_02- exclu.tif"/>
    <m/>
    <m/>
    <x v="1"/>
    <m/>
    <m/>
    <m/>
    <m/>
  </r>
  <r>
    <x v="9"/>
    <x v="1"/>
    <s v="F:\images\20210609\plaque 1/@09 Atrazine 1.25 mg_L/B9_03- exclu.tif"/>
    <m/>
    <m/>
    <x v="1"/>
    <m/>
    <m/>
    <m/>
    <m/>
  </r>
  <r>
    <x v="9"/>
    <x v="2"/>
    <s v="F:\images\20210609\plaque 1/@09 Atrazine 1.25 mg_L/C9_01.tif "/>
    <s v=" 10425.6092 "/>
    <s v=" 76.2946 "/>
    <x v="0"/>
    <n v="795418"/>
    <m/>
    <m/>
    <m/>
  </r>
  <r>
    <x v="9"/>
    <x v="2"/>
    <s v="F:\images\20210609\plaque 1/@09 Atrazine 1.25 mg_L/C9_02.tif "/>
    <s v=" 692.1566 "/>
    <s v=" 64.375 "/>
    <x v="0"/>
    <n v="44558"/>
    <m/>
    <m/>
    <m/>
  </r>
  <r>
    <x v="9"/>
    <x v="2"/>
    <s v="F:\images\20210609\plaque 1/@09 Atrazine 1.25 mg_L/C9_03.tif "/>
    <s v=" 1276.1638 "/>
    <s v=" 66.8305 "/>
    <x v="0"/>
    <n v="85287"/>
    <m/>
    <m/>
    <m/>
  </r>
  <r>
    <x v="9"/>
    <x v="3"/>
    <s v="F:\images\20210609\plaque 1/@09 Atrazine 1.25 mg_L/D9_01- exclu.tif"/>
    <m/>
    <m/>
    <x v="1"/>
    <m/>
    <m/>
    <m/>
    <m/>
  </r>
  <r>
    <x v="9"/>
    <x v="3"/>
    <s v="F:\images\20210609\plaque 1/@09 Atrazine 1.25 mg_L/D9_02.tif "/>
    <s v=" 1903.4307 "/>
    <s v=" 64.8636 "/>
    <x v="0"/>
    <n v="123463"/>
    <m/>
    <m/>
    <m/>
  </r>
  <r>
    <x v="9"/>
    <x v="3"/>
    <s v="F:\images\20210609\plaque 1/@09 Atrazine 1.25 mg_L/D9_03.tif "/>
    <s v=" 6510.5983 "/>
    <s v=" 70.7874 "/>
    <x v="0"/>
    <n v="460868"/>
    <m/>
    <m/>
    <m/>
  </r>
  <r>
    <x v="9"/>
    <x v="4"/>
    <s v="F:\images\20210609\plaque 1/@09 Atrazine 1.25 mg_L/E9_01.tif "/>
    <s v=" 3006.5554 "/>
    <s v=" 64.9928 "/>
    <x v="0"/>
    <n v="195404"/>
    <m/>
    <m/>
    <m/>
  </r>
  <r>
    <x v="9"/>
    <x v="4"/>
    <s v="F:\images\20210609\plaque 1/@09 Atrazine 1.25 mg_L/E9_02.tif "/>
    <s v=" 2552.3276 "/>
    <s v=" 63.7627 "/>
    <x v="0"/>
    <n v="162743"/>
    <m/>
    <m/>
    <m/>
  </r>
  <r>
    <x v="9"/>
    <x v="4"/>
    <s v="F:\images\20210609\plaque 1/@09 Atrazine 1.25 mg_L/E9_03.tif "/>
    <s v=" 1146.3844 "/>
    <s v=" 63.6792 "/>
    <x v="0"/>
    <n v="73001"/>
    <m/>
    <m/>
    <m/>
  </r>
  <r>
    <x v="9"/>
    <x v="5"/>
    <s v="F:\images\20210609\plaque 1/@09 Atrazine 1.25 mg_L/F9_01.tif "/>
    <s v=" 367.7082 "/>
    <s v=" 62.9412 "/>
    <x v="0"/>
    <n v="23144"/>
    <m/>
    <m/>
    <m/>
  </r>
  <r>
    <x v="9"/>
    <x v="5"/>
    <s v="F:\images\20210609\plaque 1/@09 Atrazine 1.25 mg_L/F9_02.tif "/>
    <s v=" 1232.904 "/>
    <s v=" 63.5614 "/>
    <x v="0"/>
    <n v="78365"/>
    <m/>
    <m/>
    <m/>
  </r>
  <r>
    <x v="9"/>
    <x v="5"/>
    <s v="F:\images\20210609\plaque 1/@09 Atrazine 1.25 mg_L/F9_03.tif "/>
    <s v=" 843.5659 "/>
    <s v=" 66.8974 "/>
    <x v="0"/>
    <n v="56432"/>
    <m/>
    <m/>
    <m/>
  </r>
  <r>
    <x v="9"/>
    <x v="6"/>
    <s v="F:\images\20210609\plaque 1/@09 Atrazine 1.25 mg_L/G9_01- exclu.tif"/>
    <m/>
    <m/>
    <x v="1"/>
    <m/>
    <m/>
    <m/>
    <m/>
  </r>
  <r>
    <x v="9"/>
    <x v="6"/>
    <s v="F:\images\20210609\plaque 1/@09 Atrazine 1.25 mg_L/G9_02.tif "/>
    <s v=" 324.4484 "/>
    <s v=" 63.4667 "/>
    <x v="0"/>
    <n v="20592"/>
    <m/>
    <m/>
    <m/>
  </r>
  <r>
    <x v="9"/>
    <x v="6"/>
    <s v="F:\images\20210609\plaque 1/@09 Atrazine 1.25 mg_L/G9_03.tif "/>
    <s v=" 584.0072 "/>
    <s v=" 63.5185 "/>
    <x v="0"/>
    <n v="37095"/>
    <m/>
    <m/>
    <m/>
  </r>
  <r>
    <x v="9"/>
    <x v="7"/>
    <s v="F:\images\20210609\plaque 1/@09 Atrazine 1.25 mg_L/H9_01.tif "/>
    <s v=" 6791.7869 "/>
    <s v=" 71.7516 "/>
    <x v="0"/>
    <n v="487322"/>
    <m/>
    <m/>
    <m/>
  </r>
  <r>
    <x v="9"/>
    <x v="7"/>
    <s v="F:\images\20210609\plaque 1/@09 Atrazine 1.25 mg_L/H9_02.tif "/>
    <s v=" 3439.1532 "/>
    <s v=" 66.434 "/>
    <x v="0"/>
    <n v="228477"/>
    <m/>
    <m/>
    <m/>
  </r>
  <r>
    <x v="9"/>
    <x v="7"/>
    <s v="F:\images\20210609\plaque 1/@09 Atrazine 1.25 mg_L/H9_03.tif "/>
    <s v=" 605.637 "/>
    <s v=" 62.5357 "/>
    <x v="0"/>
    <n v="37874"/>
    <m/>
    <m/>
    <m/>
  </r>
  <r>
    <x v="1"/>
    <x v="8"/>
    <s v=" "/>
    <m/>
    <m/>
    <x v="1"/>
    <m/>
    <m/>
    <m/>
    <m/>
  </r>
  <r>
    <x v="1"/>
    <x v="8"/>
    <s v="group "/>
    <s v=" "/>
    <s v=" mean of mean fluo "/>
    <x v="2"/>
    <s v=" mean of total fluo "/>
    <s v=" SD total fluo "/>
    <s v=" n fluorescent "/>
    <s v=" n total"/>
  </r>
  <r>
    <x v="9"/>
    <x v="9"/>
    <s v="F:\images\20210609\plaque 1/@09 Atrazine 1.25 mg_L/ "/>
    <s v=" "/>
    <s v=" 66.6327 "/>
    <x v="11"/>
    <s v=" 178602.583 "/>
    <s v=" 271442.0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609\plaque 1/@10 Atrazine 2.5 mg_L/A10_01.tif "/>
    <s v=" 6986.456 "/>
    <s v=" 81.8576 "/>
    <x v="0"/>
    <n v="571894"/>
    <m/>
    <m/>
    <m/>
  </r>
  <r>
    <x v="10"/>
    <x v="0"/>
    <s v="F:\images\20210609\plaque 1/@10 Atrazine 2.5 mg_L/A10_02.tif "/>
    <s v=" 6575.488 "/>
    <s v=" 71.9375 "/>
    <x v="0"/>
    <n v="473024"/>
    <m/>
    <m/>
    <m/>
  </r>
  <r>
    <x v="10"/>
    <x v="0"/>
    <s v="F:\images\20210609\plaque 1/@10 Atrazine 2.5 mg_L/A10_03.tif "/>
    <s v=" 12502.0791 "/>
    <s v=" 73.3668 "/>
    <x v="0"/>
    <n v="917237"/>
    <m/>
    <m/>
    <m/>
  </r>
  <r>
    <x v="10"/>
    <x v="1"/>
    <s v="F:\images\20210609\plaque 1/@10 Atrazine 2.5 mg_L/B10_01.tif "/>
    <s v=" 173.0392 "/>
    <s v=" 63.875 "/>
    <x v="0"/>
    <n v="11053"/>
    <m/>
    <m/>
    <m/>
  </r>
  <r>
    <x v="10"/>
    <x v="1"/>
    <s v="F:\images\20210609\plaque 1/@10 Atrazine 2.5 mg_L/B10_02.tif "/>
    <s v=" 5645.4025 "/>
    <s v=" 70.1456 "/>
    <x v="0"/>
    <n v="396000"/>
    <m/>
    <m/>
    <m/>
  </r>
  <r>
    <x v="10"/>
    <x v="1"/>
    <s v="F:\images\20210609\plaque 1/@10 Atrazine 2.5 mg_L/B10_03.tif "/>
    <s v=" 302.8185 "/>
    <n v="64"/>
    <x v="0"/>
    <n v="19380"/>
    <m/>
    <m/>
    <m/>
  </r>
  <r>
    <x v="10"/>
    <x v="2"/>
    <s v="F:\images\20210609\plaque 1/@10 Atrazine 2.5 mg_L/C10_01.tif "/>
    <s v=" 519.1175 "/>
    <s v=" 62.8333 "/>
    <x v="0"/>
    <n v="32618"/>
    <m/>
    <m/>
    <m/>
  </r>
  <r>
    <x v="10"/>
    <x v="2"/>
    <s v="F:\images\20210609\plaque 1/@10 Atrazine 2.5 mg_L/C10_02.tif "/>
    <s v=" 1989.9503 "/>
    <s v=" 65.5543 "/>
    <x v="0"/>
    <n v="130450"/>
    <m/>
    <m/>
    <m/>
  </r>
  <r>
    <x v="10"/>
    <x v="2"/>
    <s v="F:\images\20210609\plaque 1/@10 Atrazine 2.5 mg_L/C10_03.tif "/>
    <s v=" 1103.1246 "/>
    <s v=" 63.9804 "/>
    <x v="0"/>
    <n v="70578"/>
    <m/>
    <m/>
    <m/>
  </r>
  <r>
    <x v="10"/>
    <x v="3"/>
    <s v="F:\images\20210609\plaque 1/@10 Atrazine 2.5 mg_L/D10_01.tif "/>
    <s v=" 10858.2071 "/>
    <s v=" 73.2729 "/>
    <x v="0"/>
    <n v="795612"/>
    <m/>
    <m/>
    <m/>
  </r>
  <r>
    <x v="10"/>
    <x v="3"/>
    <s v="F:\images\20210609\plaque 1/@10 Atrazine 2.5 mg_L/D10_02.tif "/>
    <s v=" 14448.7696 "/>
    <s v=" 91.7066 "/>
    <x v="0"/>
    <n v="1325047"/>
    <m/>
    <m/>
    <m/>
  </r>
  <r>
    <x v="10"/>
    <x v="3"/>
    <s v="F:\images\20210609\plaque 1/@10 Atrazine 2.5 mg_L/D10_03.tif "/>
    <s v=" 14102.6913 "/>
    <s v=" 92.7224 "/>
    <x v="0"/>
    <n v="1307635"/>
    <m/>
    <m/>
    <m/>
  </r>
  <r>
    <x v="10"/>
    <x v="4"/>
    <s v="F:\images\20210609\plaque 1/@10 Atrazine 2.5 mg_L/E10_01.tif "/>
    <s v=" 908.4556 "/>
    <s v=" 63.2143 "/>
    <x v="0"/>
    <n v="57427"/>
    <m/>
    <m/>
    <m/>
  </r>
  <r>
    <x v="10"/>
    <x v="4"/>
    <s v="F:\images\20210609\plaque 1/@10 Atrazine 2.5 mg_L/E10_02.tif "/>
    <s v=" 843.5659 "/>
    <s v=" 63.9744 "/>
    <x v="0"/>
    <n v="53967"/>
    <m/>
    <m/>
    <m/>
  </r>
  <r>
    <x v="10"/>
    <x v="4"/>
    <s v="F:\images\20210609\plaque 1/@10 Atrazine 2.5 mg_L/E10_03.tif "/>
    <s v=" 346.0783 "/>
    <s v=" 62.75 "/>
    <x v="0"/>
    <n v="21716"/>
    <m/>
    <m/>
    <m/>
  </r>
  <r>
    <x v="10"/>
    <x v="5"/>
    <s v="F:\images\20210609\plaque 1/@10 Atrazine 2.5 mg_L/F10_01.tif "/>
    <s v=" 13259.1254 "/>
    <s v=" 89.5759 "/>
    <x v="0"/>
    <n v="1187698"/>
    <m/>
    <m/>
    <m/>
  </r>
  <r>
    <x v="10"/>
    <x v="5"/>
    <s v="F:\images\20210609\plaque 1/@10 Atrazine 2.5 mg_L/F10_02.tif "/>
    <s v=" 281.1886 "/>
    <s v=" 61.9231 "/>
    <x v="0"/>
    <n v="17412"/>
    <m/>
    <m/>
    <m/>
  </r>
  <r>
    <x v="10"/>
    <x v="5"/>
    <s v="F:\images\20210609\plaque 1/@10 Atrazine 2.5 mg_L/F10_03.tif "/>
    <s v=" 12480.4492 "/>
    <s v=" 84.948 "/>
    <x v="0"/>
    <n v="1060189"/>
    <m/>
    <m/>
    <m/>
  </r>
  <r>
    <x v="10"/>
    <x v="6"/>
    <s v="F:\images\20210609\plaque 1/@10 Atrazine 2.5 mg_L/G10_01.tif "/>
    <s v=" 3850.1212 "/>
    <s v=" 65.3034 "/>
    <x v="0"/>
    <n v="251426"/>
    <m/>
    <m/>
    <m/>
  </r>
  <r>
    <x v="10"/>
    <x v="6"/>
    <s v="F:\images\20210609\plaque 1/@10 Atrazine 2.5 mg_L/G10_02.tif "/>
    <s v=" 5623.7726 "/>
    <s v=" 69.2 "/>
    <x v="0"/>
    <n v="389165"/>
    <m/>
    <m/>
    <m/>
  </r>
  <r>
    <x v="10"/>
    <x v="6"/>
    <s v="F:\images\20210609\plaque 1/@10 Atrazine 2.5 mg_L/G10_03.tif "/>
    <s v=" 7202.7549 "/>
    <s v=" 71.8769 "/>
    <x v="0"/>
    <n v="517712"/>
    <m/>
    <m/>
    <m/>
  </r>
  <r>
    <x v="10"/>
    <x v="7"/>
    <s v="F:\images\20210609\plaque 1/@10 Atrazine 2.5 mg_L/H10_01.tif "/>
    <s v=" 11204.2854 "/>
    <s v=" 71.2876 "/>
    <x v="0"/>
    <n v="798727"/>
    <m/>
    <m/>
    <m/>
  </r>
  <r>
    <x v="10"/>
    <x v="7"/>
    <s v="F:\images\20210609\plaque 1/@10 Atrazine 2.5 mg_L/H10_02.tif "/>
    <s v=" 9279.2248 "/>
    <s v=" 72.7855 "/>
    <x v="0"/>
    <n v="675393"/>
    <m/>
    <m/>
    <m/>
  </r>
  <r>
    <x v="10"/>
    <x v="7"/>
    <s v="F:\images\20210609\plaque 1/@10 Atrazine 2.5 mg_L/H10_03.tif "/>
    <s v=" 8349.1393 "/>
    <s v=" 72.9922 "/>
    <x v="0"/>
    <n v="609422"/>
    <m/>
    <m/>
    <m/>
  </r>
  <r>
    <x v="1"/>
    <x v="8"/>
    <s v=" "/>
    <m/>
    <m/>
    <x v="1"/>
    <m/>
    <m/>
    <m/>
    <m/>
  </r>
  <r>
    <x v="1"/>
    <x v="8"/>
    <s v="group "/>
    <s v=" "/>
    <s v=" mean of mean fluo "/>
    <x v="2"/>
    <s v=" mean of total fluo "/>
    <s v=" SD total fluo "/>
    <s v=" n fluorescent "/>
    <s v=" n total"/>
  </r>
  <r>
    <x v="10"/>
    <x v="9"/>
    <s v="F:\images\20210609\plaque 1/@10 Atrazine 2.5 mg_L/ "/>
    <s v=" "/>
    <s v=" 71.8785 "/>
    <x v="12"/>
    <s v=" 487115.917 "/>
    <s v=" 440662.73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609\plaque 1/@11 Atrazine 5 mg_L/A11_01- exclu.tif"/>
    <m/>
    <m/>
    <x v="1"/>
    <m/>
    <m/>
    <m/>
    <m/>
  </r>
  <r>
    <x v="11"/>
    <x v="0"/>
    <s v="F:\images\20210609\plaque 1/@11 Atrazine 5 mg_L/A11_02- exclu.tif"/>
    <m/>
    <m/>
    <x v="1"/>
    <m/>
    <m/>
    <m/>
    <m/>
  </r>
  <r>
    <x v="11"/>
    <x v="0"/>
    <s v="F:\images\20210609\plaque 1/@11 Atrazine 5 mg_L/A11_03- exclu.tif"/>
    <m/>
    <m/>
    <x v="1"/>
    <m/>
    <m/>
    <m/>
    <m/>
  </r>
  <r>
    <x v="11"/>
    <x v="1"/>
    <s v="F:\images\20210609\plaque 1/@11 Atrazine 5 mg_L/B11_01.tif "/>
    <s v=" 627.2669 "/>
    <s v=" 65.8621 "/>
    <x v="0"/>
    <n v="41313"/>
    <m/>
    <m/>
    <m/>
  </r>
  <r>
    <x v="11"/>
    <x v="1"/>
    <s v="F:\images\20210609\plaque 1/@11 Atrazine 5 mg_L/B11_02.tif "/>
    <s v=" 237.9288 "/>
    <n v="66"/>
    <x v="0"/>
    <n v="15703"/>
    <m/>
    <m/>
    <m/>
  </r>
  <r>
    <x v="11"/>
    <x v="1"/>
    <s v="F:\images\20210609\plaque 1/@11 Atrazine 5 mg_L/B11_03.tif "/>
    <s v=" 346.0783 "/>
    <s v=" 62.875 "/>
    <x v="0"/>
    <n v="21760"/>
    <m/>
    <m/>
    <m/>
  </r>
  <r>
    <x v="11"/>
    <x v="2"/>
    <s v="F:\images\20210609\plaque 1/@11 Atrazine 5 mg_L/C11_01.tif "/>
    <s v=" 10209.3103 "/>
    <s v=" 72.8369 "/>
    <x v="0"/>
    <n v="743614"/>
    <m/>
    <m/>
    <m/>
  </r>
  <r>
    <x v="11"/>
    <x v="2"/>
    <s v="F:\images\20210609\plaque 1/@11 Atrazine 5 mg_L/C11_02.tif "/>
    <s v=" 6748.5271 "/>
    <s v=" 66.141 "/>
    <x v="0"/>
    <n v="446355"/>
    <m/>
    <m/>
    <m/>
  </r>
  <r>
    <x v="11"/>
    <x v="2"/>
    <s v="F:\images\20210609\plaque 1/@11 Atrazine 5 mg_L/C11_03.tif "/>
    <s v=" 3287.744 "/>
    <s v=" 65.3158 "/>
    <x v="0"/>
    <n v="214742"/>
    <m/>
    <m/>
    <m/>
  </r>
  <r>
    <x v="11"/>
    <x v="3"/>
    <s v="F:\images\20210609\plaque 1/@11 Atrazine 5 mg_L/D11_01.tif "/>
    <s v=" 2184.6194 "/>
    <s v=" 63.5842 "/>
    <x v="0"/>
    <n v="138907"/>
    <m/>
    <m/>
    <m/>
  </r>
  <r>
    <x v="11"/>
    <x v="3"/>
    <s v="F:\images\20210609\plaque 1/@11 Atrazine 5 mg_L/D11_02.tif "/>
    <s v=" 2357.6585 "/>
    <s v=" 66.156 "/>
    <x v="0"/>
    <n v="155973"/>
    <m/>
    <m/>
    <m/>
  </r>
  <r>
    <x v="11"/>
    <x v="3"/>
    <s v="F:\images\20210609\plaque 1/@11 Atrazine 5 mg_L/D11_03.tif "/>
    <s v=" 4931.616 "/>
    <s v=" 66.2588 "/>
    <x v="0"/>
    <n v="326763"/>
    <m/>
    <m/>
    <m/>
  </r>
  <r>
    <x v="11"/>
    <x v="4"/>
    <s v="F:\images\20210609\plaque 1/@11 Atrazine 5 mg_L/E11_01.tif "/>
    <s v=" 12675.1183 "/>
    <s v=" 72.3669 "/>
    <x v="0"/>
    <n v="917259"/>
    <m/>
    <m/>
    <m/>
  </r>
  <r>
    <x v="11"/>
    <x v="4"/>
    <s v="F:\images\20210609\plaque 1/@11 Atrazine 5 mg_L/E11_02.tif "/>
    <s v=" 7159.4951 "/>
    <s v=" 68.6163 "/>
    <x v="0"/>
    <n v="491258"/>
    <m/>
    <m/>
    <m/>
  </r>
  <r>
    <x v="11"/>
    <x v="4"/>
    <s v="F:\images\20210609\plaque 1/@11 Atrazine 5 mg_L/E11_03.tif "/>
    <s v=" 7029.7158 "/>
    <s v=" 68.6062 "/>
    <x v="0"/>
    <n v="482282"/>
    <m/>
    <m/>
    <m/>
  </r>
  <r>
    <x v="11"/>
    <x v="5"/>
    <s v="F:\images\20210609\plaque 1/@11 Atrazine 5 mg_L/F11_01- exclu.tif"/>
    <m/>
    <m/>
    <x v="1"/>
    <m/>
    <m/>
    <m/>
    <m/>
  </r>
  <r>
    <x v="11"/>
    <x v="5"/>
    <s v="F:\images\20210609\plaque 1/@11 Atrazine 5 mg_L/F11_02- exclu.tif"/>
    <m/>
    <m/>
    <x v="1"/>
    <m/>
    <m/>
    <m/>
    <m/>
  </r>
  <r>
    <x v="11"/>
    <x v="5"/>
    <s v="F:\images\20210609\plaque 1/@11 Atrazine 5 mg_L/F11_03- exclu.tif"/>
    <m/>
    <m/>
    <x v="1"/>
    <m/>
    <m/>
    <m/>
    <m/>
  </r>
  <r>
    <x v="11"/>
    <x v="6"/>
    <s v="F:\images\20210609\plaque 1/@11 Atrazine 5 mg_L/G11_01.tif "/>
    <s v=" 6510.5983 "/>
    <s v=" 68.5282 "/>
    <x v="0"/>
    <n v="446160"/>
    <m/>
    <m/>
    <m/>
  </r>
  <r>
    <x v="11"/>
    <x v="6"/>
    <s v="F:\images\20210609\plaque 1/@11 Atrazine 5 mg_L/G11_02.tif "/>
    <s v=" 2011.5802 "/>
    <s v=" 67.4409 "/>
    <x v="0"/>
    <n v="135663"/>
    <m/>
    <m/>
    <m/>
  </r>
  <r>
    <x v="11"/>
    <x v="6"/>
    <s v="F:\images\20210609\plaque 1/@11 Atrazine 5 mg_L/G11_03.tif "/>
    <s v=" 1773.6514 "/>
    <s v=" 64.2073 "/>
    <x v="0"/>
    <n v="113881"/>
    <m/>
    <m/>
    <m/>
  </r>
  <r>
    <x v="11"/>
    <x v="7"/>
    <s v="F:\images\20210609\plaque 1/@11 Atrazine 5 mg_L/H11_01.tif "/>
    <s v=" 3590.5625 "/>
    <s v=" 65.3554 "/>
    <x v="0"/>
    <n v="234663"/>
    <m/>
    <m/>
    <m/>
  </r>
  <r>
    <x v="11"/>
    <x v="7"/>
    <s v="F:\images\20210609\plaque 1/@11 Atrazine 5 mg_L/H11_02- exclu.tif"/>
    <m/>
    <m/>
    <x v="1"/>
    <m/>
    <m/>
    <m/>
    <m/>
  </r>
  <r>
    <x v="11"/>
    <x v="7"/>
    <s v="F:\images\20210609\plaque 1/@11 Atrazine 5 mg_L/H11_03.tif "/>
    <s v=" 173.0392 "/>
    <s v=" 63.375 "/>
    <x v="0"/>
    <n v="10966"/>
    <m/>
    <m/>
    <m/>
  </r>
  <r>
    <x v="1"/>
    <x v="8"/>
    <s v=" "/>
    <m/>
    <m/>
    <x v="1"/>
    <m/>
    <m/>
    <m/>
    <m/>
  </r>
  <r>
    <x v="1"/>
    <x v="8"/>
    <s v="group "/>
    <s v=" "/>
    <s v=" mean of mean fluo "/>
    <x v="2"/>
    <s v=" mean of total fluo "/>
    <s v=" SD total fluo "/>
    <s v=" n fluorescent "/>
    <s v=" n total"/>
  </r>
  <r>
    <x v="11"/>
    <x v="9"/>
    <s v="F:\images\20210609\plaque 1/@11 Atrazine 5 mg_L/ "/>
    <s v=" "/>
    <s v=" 66.232 "/>
    <x v="13"/>
    <n v="217540"/>
    <s v=" 249317.9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609\plaque 1/@12 Atrazine 10 mg_L/A12_01.tif "/>
    <s v=" 1925.0606 "/>
    <s v=" 64.7079 "/>
    <x v="0"/>
    <n v="124567"/>
    <m/>
    <m/>
    <m/>
  </r>
  <r>
    <x v="12"/>
    <x v="0"/>
    <s v="F:\images\20210609\plaque 1/@12 Atrazine 10 mg_L/A12_02.tif "/>
    <s v=" 389.3381 "/>
    <s v=" 64.4444 "/>
    <x v="0"/>
    <n v="25091"/>
    <m/>
    <m/>
    <m/>
  </r>
  <r>
    <x v="12"/>
    <x v="0"/>
    <s v="F:\images\20210609\plaque 1/@12 Atrazine 10 mg_L/A12_03.tif "/>
    <s v=" 648.8968 "/>
    <s v=" 64.4667 "/>
    <x v="0"/>
    <n v="41832"/>
    <m/>
    <m/>
    <m/>
  </r>
  <r>
    <x v="12"/>
    <x v="1"/>
    <s v="F:\images\20210609\plaque 1/@12 Atrazine 10 mg_L/B12_01.tif "/>
    <s v=" 4477.3882 "/>
    <s v=" 65.343 "/>
    <x v="0"/>
    <n v="292566"/>
    <m/>
    <m/>
    <m/>
  </r>
  <r>
    <x v="12"/>
    <x v="1"/>
    <s v="F:\images\20210609\plaque 1/@12 Atrazine 10 mg_L/B12_02- exclu.tif"/>
    <m/>
    <m/>
    <x v="1"/>
    <m/>
    <m/>
    <m/>
    <m/>
  </r>
  <r>
    <x v="12"/>
    <x v="1"/>
    <s v="F:\images\20210609\plaque 1/@12 Atrazine 10 mg_L/B12_03.tif "/>
    <s v=" 5991.4808 "/>
    <s v=" 67.1805 "/>
    <x v="0"/>
    <n v="402511"/>
    <m/>
    <m/>
    <m/>
  </r>
  <r>
    <x v="12"/>
    <x v="2"/>
    <s v="F:\images\20210609\plaque 1/@12 Atrazine 10 mg_L/C12_01.tif "/>
    <s v=" 410.968 "/>
    <s v=" 65.9474 "/>
    <x v="0"/>
    <n v="27102"/>
    <m/>
    <m/>
    <m/>
  </r>
  <r>
    <x v="12"/>
    <x v="2"/>
    <s v="F:\images\20210609\plaque 1/@12 Atrazine 10 mg_L/C12_02.tif "/>
    <s v=" 173.0392 "/>
    <s v=" 64.125 "/>
    <x v="0"/>
    <n v="11096"/>
    <m/>
    <m/>
    <m/>
  </r>
  <r>
    <x v="12"/>
    <x v="2"/>
    <s v="F:\images\20210609\plaque 1/@12 Atrazine 10 mg_L/C12_03.tif "/>
    <s v=" 432.5979 "/>
    <s v=" 64.15 "/>
    <x v="0"/>
    <n v="27751"/>
    <m/>
    <m/>
    <m/>
  </r>
  <r>
    <x v="12"/>
    <x v="3"/>
    <s v="F:\images\20210609\plaque 1/@12 Atrazine 10 mg_L/D12_01- exclu.tif"/>
    <m/>
    <m/>
    <x v="1"/>
    <m/>
    <m/>
    <m/>
    <m/>
  </r>
  <r>
    <x v="12"/>
    <x v="3"/>
    <s v="F:\images\20210609\plaque 1/@12 Atrazine 10 mg_L/D12_02.tif "/>
    <s v=" 4455.7583 "/>
    <s v=" 66.6214 "/>
    <x v="0"/>
    <n v="296849"/>
    <m/>
    <m/>
    <m/>
  </r>
  <r>
    <x v="12"/>
    <x v="3"/>
    <s v="F:\images\20210609\plaque 1/@12 Atrazine 10 mg_L/D12_03.tif "/>
    <s v=" 10923.0968 "/>
    <s v=" 71.0614 "/>
    <x v="0"/>
    <n v="776210"/>
    <m/>
    <m/>
    <m/>
  </r>
  <r>
    <x v="12"/>
    <x v="4"/>
    <s v="F:\images\20210609\plaque 1/@12 Atrazine 10 mg_L/E12_01.tif "/>
    <s v=" 410.968 "/>
    <s v=" 62.8421 "/>
    <x v="0"/>
    <n v="25826"/>
    <m/>
    <m/>
    <m/>
  </r>
  <r>
    <x v="12"/>
    <x v="4"/>
    <s v="F:\images\20210609\plaque 1/@12 Atrazine 10 mg_L/E12_02.tif "/>
    <s v=" 216.2989 "/>
    <s v=" 63.7 "/>
    <x v="0"/>
    <n v="13778"/>
    <m/>
    <m/>
    <m/>
  </r>
  <r>
    <x v="12"/>
    <x v="4"/>
    <s v="F:\images\20210609\plaque 1/@12 Atrazine 10 mg_L/E12_03.tif "/>
    <s v=" 281.1886 "/>
    <s v=" 64.9231 "/>
    <x v="0"/>
    <n v="18256"/>
    <m/>
    <m/>
    <m/>
  </r>
  <r>
    <x v="12"/>
    <x v="5"/>
    <s v="F:\images\20210609\plaque 1/@12 Atrazine 10 mg_L/F12_01.tif "/>
    <s v=" 2920.0358 "/>
    <s v=" 63.8148 "/>
    <x v="0"/>
    <n v="186342"/>
    <m/>
    <m/>
    <m/>
  </r>
  <r>
    <x v="12"/>
    <x v="5"/>
    <s v="F:\images\20210609\plaque 1/@12 Atrazine 10 mg_L/F12_02.tif "/>
    <s v=" 324.4484 "/>
    <n v="63"/>
    <x v="0"/>
    <n v="20440"/>
    <m/>
    <m/>
    <m/>
  </r>
  <r>
    <x v="12"/>
    <x v="5"/>
    <s v="F:\images\20210609\plaque 1/@12 Atrazine 10 mg_L/F12_03.tif "/>
    <s v=" 2422.5482 "/>
    <s v=" 63.7054 "/>
    <x v="0"/>
    <n v="154329"/>
    <m/>
    <m/>
    <m/>
  </r>
  <r>
    <x v="12"/>
    <x v="6"/>
    <s v="F:\images\20210609\plaque 1/@12 Atrazine 10 mg_L/G12_01.tif "/>
    <s v=" 237.9288 "/>
    <s v=" 63.6364 "/>
    <x v="0"/>
    <n v="15141"/>
    <m/>
    <m/>
    <m/>
  </r>
  <r>
    <x v="12"/>
    <x v="6"/>
    <s v="F:\images\20210609\plaque 1/@12 Atrazine 10 mg_L/G12_02.tif "/>
    <s v=" 259.5587 "/>
    <s v=" 62.9167 "/>
    <x v="0"/>
    <n v="16331"/>
    <m/>
    <m/>
    <m/>
  </r>
  <r>
    <x v="12"/>
    <x v="6"/>
    <s v="F:\images\20210609\plaque 1/@12 Atrazine 10 mg_L/G12_03.tif "/>
    <s v=" 151.4093 "/>
    <s v=" 62.2857 "/>
    <x v="0"/>
    <n v="9431"/>
    <m/>
    <m/>
    <m/>
  </r>
  <r>
    <x v="12"/>
    <x v="7"/>
    <s v="F:\images\20210609\plaque 1/@12 Atrazine 10 mg_L/H12_01.tif "/>
    <s v=" 237.9288 "/>
    <s v=" 63.3636 "/>
    <x v="0"/>
    <n v="15076"/>
    <m/>
    <m/>
    <m/>
  </r>
  <r>
    <x v="12"/>
    <x v="7"/>
    <s v="F:\images\20210609\plaque 1/@12 Atrazine 10 mg_L/H12_02.tif "/>
    <s v=" 108.1495 "/>
    <s v=" 60.4 "/>
    <x v="0"/>
    <n v="6532"/>
    <m/>
    <m/>
    <m/>
  </r>
  <r>
    <x v="12"/>
    <x v="7"/>
    <s v="F:\images\20210609\plaque 1/@12 Atrazine 10 mg_L/H12_03.tif "/>
    <s v=" 86.5196 "/>
    <s v=" 64.25 "/>
    <x v="0"/>
    <n v="5559"/>
    <m/>
    <m/>
    <m/>
  </r>
  <r>
    <x v="1"/>
    <x v="8"/>
    <s v=" "/>
    <m/>
    <m/>
    <x v="1"/>
    <m/>
    <m/>
    <m/>
    <m/>
  </r>
  <r>
    <x v="1"/>
    <x v="8"/>
    <s v="group "/>
    <s v=" "/>
    <s v=" mean of mean fluo "/>
    <x v="2"/>
    <s v=" mean of total fluo "/>
    <s v=" SD total fluo "/>
    <s v=" n fluorescent "/>
    <s v=" n total"/>
  </r>
  <r>
    <x v="12"/>
    <x v="9"/>
    <s v="F:\images\20210609\plaque 1/@12 Atrazine 10 mg_L/ "/>
    <s v=" "/>
    <s v=" 64.4575 "/>
    <x v="14"/>
    <s v=" 108281.083 "/>
    <s v=" 179671.8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609\plaque 2/@01 TESTO 30/A1_01.tif "/>
    <s v=" 7202.7549 "/>
    <s v=" 68.5345 "/>
    <x v="0"/>
    <n v="493637"/>
    <m/>
    <m/>
    <m/>
  </r>
  <r>
    <x v="13"/>
    <x v="0"/>
    <s v="F:\images\20210609\plaque 2/@01 TESTO 30/A1_02.tif "/>
    <s v=" 7592.093 "/>
    <s v=" 70.3732 "/>
    <x v="0"/>
    <n v="534280"/>
    <m/>
    <m/>
    <m/>
  </r>
  <r>
    <x v="13"/>
    <x v="0"/>
    <s v="F:\images\20210609\plaque 2/@01 TESTO 30/A1_03.tif "/>
    <s v=" 8673.5877 "/>
    <s v=" 68.8454 "/>
    <x v="0"/>
    <n v="597137"/>
    <m/>
    <m/>
    <m/>
  </r>
  <r>
    <x v="13"/>
    <x v="1"/>
    <s v="F:\images\20210609\plaque 2/@01 TESTO 30/B1_01.tif "/>
    <s v=" 6921.5663 "/>
    <s v=" 65.3531 "/>
    <x v="0"/>
    <n v="452346"/>
    <m/>
    <m/>
    <m/>
  </r>
  <r>
    <x v="13"/>
    <x v="1"/>
    <s v="F:\images\20210609\plaque 2/@01 TESTO 30/B1_02.tif "/>
    <s v=" 9214.3351 "/>
    <s v=" 65.0822 "/>
    <x v="0"/>
    <n v="599689"/>
    <m/>
    <m/>
    <m/>
  </r>
  <r>
    <x v="13"/>
    <x v="1"/>
    <s v="F:\images\20210609\plaque 2/@01 TESTO 30/B1_03.tif "/>
    <s v=" 1946.6905 "/>
    <s v=" 63.5111 "/>
    <x v="0"/>
    <n v="123636"/>
    <m/>
    <m/>
    <m/>
  </r>
  <r>
    <x v="13"/>
    <x v="2"/>
    <s v="F:\images\20210609\plaque 2/@01 TESTO 30/C1_01.tif "/>
    <s v=" 4261.0892 "/>
    <s v=" 64.6497 "/>
    <x v="0"/>
    <n v="275478"/>
    <m/>
    <m/>
    <m/>
  </r>
  <r>
    <x v="13"/>
    <x v="2"/>
    <s v="F:\images\20210609\plaque 2/@01 TESTO 30/C1_02.tif "/>
    <s v=" 2552.3276 "/>
    <s v=" 65.1949 "/>
    <x v="0"/>
    <n v="166399"/>
    <m/>
    <m/>
    <m/>
  </r>
  <r>
    <x v="13"/>
    <x v="2"/>
    <s v="F:\images\20210609\plaque 2/@01 TESTO 30/C1_03.tif "/>
    <s v=" 3222.8543 "/>
    <s v=" 64.6174 "/>
    <x v="0"/>
    <n v="208253"/>
    <m/>
    <m/>
    <m/>
  </r>
  <r>
    <x v="13"/>
    <x v="3"/>
    <s v="F:\images\20210609\plaque 2/@01 TESTO 30/D1_01.tif "/>
    <s v=" 19077.5671 "/>
    <s v=" 69.7132 "/>
    <x v="0"/>
    <n v="1329957"/>
    <m/>
    <m/>
    <m/>
  </r>
  <r>
    <x v="13"/>
    <x v="3"/>
    <s v="F:\images\20210609\plaque 2/@01 TESTO 30/D1_02.tif "/>
    <s v=" 19142.4567 "/>
    <s v=" 69.2102 "/>
    <x v="0"/>
    <n v="1324853"/>
    <m/>
    <m/>
    <m/>
  </r>
  <r>
    <x v="13"/>
    <x v="3"/>
    <s v="F:\images\20210609\plaque 2/@01 TESTO 30/D1_03.tif "/>
    <s v=" 19661.5742 "/>
    <s v=" 68.3619 "/>
    <x v="0"/>
    <n v="1344103"/>
    <m/>
    <m/>
    <m/>
  </r>
  <r>
    <x v="13"/>
    <x v="4"/>
    <s v="F:\images\20210609\plaque 2/@01 TESTO 30/E1_01.tif "/>
    <s v=" 32769.2904 "/>
    <s v=" 69.9611 "/>
    <x v="0"/>
    <n v="2292574"/>
    <m/>
    <m/>
    <m/>
  </r>
  <r>
    <x v="13"/>
    <x v="4"/>
    <s v="F:\images\20210609\plaque 2/@01 TESTO 30/E1_02.tif "/>
    <s v=" 20050.9123 "/>
    <s v=" 66.9827 "/>
    <x v="0"/>
    <n v="1343065"/>
    <m/>
    <m/>
    <m/>
  </r>
  <r>
    <x v="13"/>
    <x v="4"/>
    <s v="F:\images\20210609\plaque 2/@01 TESTO 30/E1_03.tif "/>
    <s v=" 36403.1127 "/>
    <s v=" 70.5621 "/>
    <x v="0"/>
    <n v="2568680"/>
    <m/>
    <m/>
    <m/>
  </r>
  <r>
    <x v="13"/>
    <x v="5"/>
    <s v="F:\images\20210609\plaque 2/@01 TESTO 30/F1_01.tif "/>
    <s v=" 21348.706 "/>
    <s v=" 67.8055 "/>
    <x v="0"/>
    <n v="1447559"/>
    <m/>
    <m/>
    <m/>
  </r>
  <r>
    <x v="13"/>
    <x v="5"/>
    <s v="F:\images\20210609\plaque 2/@01 TESTO 30/F1_02.tif "/>
    <s v=" 17001.0972 "/>
    <s v=" 66.3359 "/>
    <x v="0"/>
    <n v="1127783"/>
    <m/>
    <m/>
    <m/>
  </r>
  <r>
    <x v="13"/>
    <x v="5"/>
    <s v="F:\images\20210609\plaque 2/@01 TESTO 30/F1_03.tif "/>
    <s v=" 18169.1115 "/>
    <s v=" 66.0476 "/>
    <x v="0"/>
    <n v="1200027"/>
    <m/>
    <m/>
    <m/>
  </r>
  <r>
    <x v="13"/>
    <x v="6"/>
    <s v="F:\images\20210609\plaque 2/@01 TESTO 30/G1_01.tif "/>
    <s v=" 24874.3788 "/>
    <s v=" 67.0287 "/>
    <x v="0"/>
    <n v="1667297"/>
    <m/>
    <m/>
    <m/>
  </r>
  <r>
    <x v="13"/>
    <x v="6"/>
    <s v="F:\images\20210609\plaque 2/@01 TESTO 30/G1_02.tif "/>
    <s v=" 27383.4466 "/>
    <s v=" 68.1177 "/>
    <x v="0"/>
    <n v="1865297"/>
    <m/>
    <m/>
    <m/>
  </r>
  <r>
    <x v="13"/>
    <x v="6"/>
    <s v="F:\images\20210609\plaque 2/@01 TESTO 30/G1_03.tif "/>
    <s v=" 19726.4639 "/>
    <s v=" 66.0768 "/>
    <x v="0"/>
    <n v="1303461"/>
    <m/>
    <m/>
    <m/>
  </r>
  <r>
    <x v="13"/>
    <x v="7"/>
    <s v="F:\images\20210609\plaque 2/@01 TESTO 30/H1_01.tif "/>
    <s v=" 11528.7338 "/>
    <s v=" 68.2852 "/>
    <x v="0"/>
    <n v="787242"/>
    <m/>
    <m/>
    <m/>
  </r>
  <r>
    <x v="13"/>
    <x v="7"/>
    <s v="F:\images\20210609\plaque 2/@01 TESTO 30/H1_02.tif "/>
    <s v=" 10317.4597 "/>
    <s v=" 65.7589 "/>
    <x v="0"/>
    <n v="678465"/>
    <m/>
    <m/>
    <m/>
  </r>
  <r>
    <x v="13"/>
    <x v="7"/>
    <s v="F:\images\20210609\plaque 2/@01 TESTO 30/H1_03.tif "/>
    <s v=" 5731.9221 "/>
    <s v=" 65.1019 "/>
    <x v="0"/>
    <n v="373159"/>
    <m/>
    <m/>
    <m/>
  </r>
  <r>
    <x v="1"/>
    <x v="8"/>
    <s v=" "/>
    <m/>
    <m/>
    <x v="1"/>
    <m/>
    <m/>
    <m/>
    <m/>
  </r>
  <r>
    <x v="1"/>
    <x v="8"/>
    <s v="group "/>
    <s v=" "/>
    <s v=" mean of mean fluo "/>
    <x v="2"/>
    <s v=" mean of total fluo "/>
    <s v=" SD total fluo "/>
    <s v=" n fluorescent "/>
    <s v=" n total"/>
  </r>
  <r>
    <x v="13"/>
    <x v="9"/>
    <s v="F:\images\20210609\plaque 2/@01 TESTO 30/ "/>
    <s v=" "/>
    <s v=" 67.1463 "/>
    <x v="15"/>
    <s v=" 1004349.04 "/>
    <s v=" 671674.2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609\plaque 2/@02 testo 30/A2_01.tif "/>
    <s v=" 24982.5283 "/>
    <s v=" 69.1342 "/>
    <x v="0"/>
    <n v="1727147"/>
    <m/>
    <m/>
    <m/>
  </r>
  <r>
    <x v="14"/>
    <x v="0"/>
    <s v="F:\images\20210609\plaque 2/@02 testo 30/A2_02- exclu.tif"/>
    <m/>
    <m/>
    <x v="1"/>
    <m/>
    <m/>
    <m/>
    <m/>
  </r>
  <r>
    <x v="14"/>
    <x v="0"/>
    <s v="F:\images\20210609\plaque 2/@02 testo 30/A2_03.tif "/>
    <s v=" 25934.2437 "/>
    <s v=" 68.0133 "/>
    <x v="0"/>
    <n v="1763875"/>
    <m/>
    <m/>
    <m/>
  </r>
  <r>
    <x v="14"/>
    <x v="1"/>
    <s v="F:\images\20210609\plaque 2/@02 testo 30/B2_01.tif "/>
    <s v=" 14254.1006 "/>
    <s v=" 66.8923 "/>
    <x v="0"/>
    <n v="953489"/>
    <m/>
    <m/>
    <m/>
  </r>
  <r>
    <x v="14"/>
    <x v="1"/>
    <s v="F:\images\20210609\plaque 2/@02 testo 30/B2_02.tif "/>
    <s v=" 15443.7448 "/>
    <s v=" 66.7675 "/>
    <x v="0"/>
    <n v="1031140"/>
    <m/>
    <m/>
    <m/>
  </r>
  <r>
    <x v="14"/>
    <x v="1"/>
    <s v="F:\images\20210609\plaque 2/@02 testo 30/B2_03.tif "/>
    <s v=" 11139.3957 "/>
    <s v=" 66.4408 "/>
    <x v="0"/>
    <n v="740110"/>
    <m/>
    <m/>
    <m/>
  </r>
  <r>
    <x v="14"/>
    <x v="2"/>
    <s v="F:\images\20210609\plaque 2/@02 testo 30/C2_01.tif "/>
    <s v=" 16006.122 "/>
    <s v=" 66.6149 "/>
    <x v="0"/>
    <n v="1066246"/>
    <m/>
    <m/>
    <m/>
  </r>
  <r>
    <x v="14"/>
    <x v="2"/>
    <s v="F:\images\20210609\plaque 2/@02 testo 30/C2_02.tif "/>
    <s v=" 13605.2037 "/>
    <s v=" 70.7059 "/>
    <x v="0"/>
    <n v="961968"/>
    <m/>
    <m/>
    <m/>
  </r>
  <r>
    <x v="14"/>
    <x v="2"/>
    <s v="F:\images\20210609\plaque 2/@02 testo 30/C2_03.tif "/>
    <s v=" 18385.4104 "/>
    <s v=" 66.3706 "/>
    <x v="0"/>
    <n v="1220251"/>
    <m/>
    <m/>
    <m/>
  </r>
  <r>
    <x v="14"/>
    <x v="3"/>
    <s v="F:\images\20210609\plaque 2/@02 testo 30/D2_01.tif "/>
    <s v=" 1946.6905 "/>
    <s v=" 65.5556 "/>
    <x v="0"/>
    <n v="127616"/>
    <m/>
    <m/>
    <m/>
  </r>
  <r>
    <x v="14"/>
    <x v="3"/>
    <s v="F:\images\20210609\plaque 2/@02 testo 30/D2_02.tif "/>
    <s v=" 2292.7688 "/>
    <s v=" 64.3019 "/>
    <x v="0"/>
    <n v="147429"/>
    <m/>
    <m/>
    <m/>
  </r>
  <r>
    <x v="14"/>
    <x v="3"/>
    <s v="F:\images\20210609\plaque 2/@02 testo 30/D2_03.tif "/>
    <s v=" 1578.9823 "/>
    <n v="65"/>
    <x v="0"/>
    <n v="102634"/>
    <m/>
    <m/>
    <m/>
  </r>
  <r>
    <x v="14"/>
    <x v="4"/>
    <s v="F:\images\20210609\plaque 2/@02 testo 30/E2_01.tif "/>
    <s v=" 18017.7022 "/>
    <s v=" 67.5318 "/>
    <x v="0"/>
    <n v="1216768"/>
    <m/>
    <m/>
    <m/>
  </r>
  <r>
    <x v="14"/>
    <x v="4"/>
    <s v="F:\images\20210609\plaque 2/@02 testo 30/E2_02.tif "/>
    <s v=" 17866.293 "/>
    <s v=" 69.1404 "/>
    <x v="0"/>
    <n v="1235283"/>
    <m/>
    <m/>
    <m/>
  </r>
  <r>
    <x v="14"/>
    <x v="4"/>
    <s v="F:\images\20210609\plaque 2/@02 testo 30/E2_03.tif "/>
    <s v=" 20634.9195 "/>
    <s v=" 69.1981 "/>
    <x v="0"/>
    <n v="1427897"/>
    <m/>
    <m/>
    <m/>
  </r>
  <r>
    <x v="14"/>
    <x v="5"/>
    <s v="F:\images\20210609\plaque 2/@02 testo 30/F2_01.tif "/>
    <s v=" 7332.5343 "/>
    <s v=" 64.6932 "/>
    <x v="0"/>
    <n v="474365"/>
    <m/>
    <m/>
    <m/>
  </r>
  <r>
    <x v="14"/>
    <x v="5"/>
    <s v="F:\images\20210609\plaque 2/@02 testo 30/F2_02.tif "/>
    <s v=" 3331.0038 "/>
    <s v=" 65.8701 "/>
    <x v="0"/>
    <n v="219414"/>
    <m/>
    <m/>
    <m/>
  </r>
  <r>
    <x v="14"/>
    <x v="5"/>
    <s v="F:\images\20210609\plaque 2/@02 testo 30/F2_03.tif "/>
    <s v=" 1968.3204 "/>
    <s v=" 62.8681 "/>
    <x v="0"/>
    <n v="123745"/>
    <m/>
    <m/>
    <m/>
  </r>
  <r>
    <x v="14"/>
    <x v="6"/>
    <s v="F:\images\20210609\plaque 2/@02 testo 30/G2_01.tif "/>
    <s v=" 29697.8453 "/>
    <s v=" 69.4538 "/>
    <x v="0"/>
    <n v="2062627"/>
    <m/>
    <m/>
    <m/>
  </r>
  <r>
    <x v="14"/>
    <x v="6"/>
    <s v="F:\images\20210609\plaque 2/@02 testo 30/G2_02.tif "/>
    <s v=" 29200.3577 "/>
    <s v=" 69.8089 "/>
    <x v="0"/>
    <n v="2038445"/>
    <m/>
    <m/>
    <m/>
  </r>
  <r>
    <x v="14"/>
    <x v="6"/>
    <s v="F:\images\20210609\plaque 2/@02 testo 30/G2_03.tif "/>
    <s v=" 28032.3434 "/>
    <s v=" 69.3256 "/>
    <x v="0"/>
    <n v="1943360"/>
    <m/>
    <m/>
    <m/>
  </r>
  <r>
    <x v="14"/>
    <x v="7"/>
    <s v="F:\images\20210609\plaque 2/@02 testo 30/H2_01.tif "/>
    <s v=" 3720.3419 "/>
    <s v=" 63.5349 "/>
    <x v="0"/>
    <n v="236371"/>
    <m/>
    <m/>
    <m/>
  </r>
  <r>
    <x v="14"/>
    <x v="7"/>
    <s v="F:\images\20210609\plaque 2/@02 testo 30/H2_02.tif "/>
    <s v=" 2530.6977 "/>
    <s v=" 63.6239 "/>
    <x v="0"/>
    <n v="161013"/>
    <m/>
    <m/>
    <m/>
  </r>
  <r>
    <x v="14"/>
    <x v="7"/>
    <s v="F:\images\20210609\plaque 2/@02 testo 30/H2_03.tif "/>
    <s v=" 4196.1996 "/>
    <s v=" 65.0258 "/>
    <x v="0"/>
    <n v="272861"/>
    <m/>
    <m/>
    <m/>
  </r>
  <r>
    <x v="1"/>
    <x v="8"/>
    <s v=" "/>
    <m/>
    <m/>
    <x v="1"/>
    <m/>
    <m/>
    <m/>
    <m/>
  </r>
  <r>
    <x v="1"/>
    <x v="8"/>
    <s v="group "/>
    <s v=" "/>
    <s v=" mean of mean fluo "/>
    <x v="2"/>
    <s v=" mean of total fluo "/>
    <s v=" SD total fluo "/>
    <s v=" n fluorescent "/>
    <s v=" n total"/>
  </r>
  <r>
    <x v="14"/>
    <x v="9"/>
    <s v="F:\images\20210609\plaque 2/@02 testo 30/ "/>
    <s v=" "/>
    <s v=" 66.6436 "/>
    <x v="16"/>
    <s v=" 893950.958 "/>
    <s v=" 683705.5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609\plaque 2/@03 testo +ee2/A3_01.tif "/>
    <s v=" 56713.5837 "/>
    <s v=" 76.693 "/>
    <x v="0"/>
    <n v="4349534"/>
    <m/>
    <m/>
    <m/>
  </r>
  <r>
    <x v="15"/>
    <x v="0"/>
    <s v="F:\images\20210609\plaque 2/@03 testo +ee2/A3_02.tif "/>
    <s v=" 25523.2757 "/>
    <s v=" 66.1585 "/>
    <x v="0"/>
    <n v="1688581"/>
    <m/>
    <m/>
    <m/>
  </r>
  <r>
    <x v="15"/>
    <x v="0"/>
    <s v="F:\images\20210609\plaque 2/@03 testo +ee2/A3_03.tif "/>
    <s v=" 58184.4166 "/>
    <s v=" 73.5576 "/>
    <x v="0"/>
    <n v="4279907"/>
    <m/>
    <m/>
    <m/>
  </r>
  <r>
    <x v="15"/>
    <x v="1"/>
    <s v="F:\images\20210609\plaque 2/@03 testo +ee2/B3_01.tif "/>
    <s v=" 16849.6879 "/>
    <s v=" 73.3017 "/>
    <x v="0"/>
    <n v="1235110"/>
    <m/>
    <m/>
    <m/>
  </r>
  <r>
    <x v="15"/>
    <x v="1"/>
    <s v="F:\images\20210609\plaque 2/@03 testo +ee2/B3_02- exclu.tif"/>
    <m/>
    <m/>
    <x v="1"/>
    <m/>
    <m/>
    <m/>
    <m/>
  </r>
  <r>
    <x v="15"/>
    <x v="1"/>
    <s v="F:\images\20210609\plaque 2/@03 testo +ee2/B3_03.tif "/>
    <s v=" 13778.2429 "/>
    <s v=" 72.5714 "/>
    <x v="0"/>
    <n v="999907"/>
    <m/>
    <m/>
    <m/>
  </r>
  <r>
    <x v="15"/>
    <x v="2"/>
    <s v="F:\images\20210609\plaque 2/@03 testo +ee2/C3_01.tif "/>
    <s v=" 44817.1417 "/>
    <s v=" 74.902 "/>
    <x v="0"/>
    <n v="3356895"/>
    <m/>
    <m/>
    <m/>
  </r>
  <r>
    <x v="15"/>
    <x v="2"/>
    <s v="F:\images\20210609\plaque 2/@03 testo +ee2/C3_02.tif "/>
    <s v=" 45119.9602 "/>
    <s v=" 73.4957 "/>
    <x v="0"/>
    <n v="3316122"/>
    <m/>
    <m/>
    <m/>
  </r>
  <r>
    <x v="15"/>
    <x v="2"/>
    <s v="F:\images\20210609\plaque 2/@03 testo +ee2/C3_03.tif "/>
    <s v=" 44600.8427 "/>
    <s v=" 78.8007 "/>
    <x v="0"/>
    <n v="3514577"/>
    <m/>
    <m/>
    <m/>
  </r>
  <r>
    <x v="15"/>
    <x v="3"/>
    <s v="F:\images\20210609\plaque 2/@03 testo +ee2/D3_01.tif "/>
    <s v=" 11571.9936 "/>
    <s v=" 73.5065 "/>
    <x v="0"/>
    <n v="850617"/>
    <m/>
    <m/>
    <m/>
  </r>
  <r>
    <x v="15"/>
    <x v="3"/>
    <s v="F:\images\20210609\plaque 2/@03 testo +ee2/D3_02.tif "/>
    <s v=" 11377.3246 "/>
    <s v=" 71.9144 "/>
    <x v="0"/>
    <n v="818194"/>
    <m/>
    <m/>
    <m/>
  </r>
  <r>
    <x v="15"/>
    <x v="3"/>
    <s v="F:\images\20210609\plaque 2/@03 testo +ee2/D3_03.tif "/>
    <s v=" 12523.709 "/>
    <s v=" 73.6908 "/>
    <x v="0"/>
    <n v="922883"/>
    <m/>
    <m/>
    <m/>
  </r>
  <r>
    <x v="15"/>
    <x v="4"/>
    <s v="F:\images\20210609\plaque 2/@03 testo +ee2/E3_01.tif "/>
    <s v=" 30800.97 "/>
    <s v=" 73.0456 "/>
    <x v="0"/>
    <n v="2249877"/>
    <m/>
    <m/>
    <m/>
  </r>
  <r>
    <x v="15"/>
    <x v="4"/>
    <s v="F:\images\20210609\plaque 2/@03 testo +ee2/E3_02.tif "/>
    <s v=" 27426.7064 "/>
    <s v=" 82.1262 "/>
    <x v="0"/>
    <n v="2252451"/>
    <m/>
    <m/>
    <m/>
  </r>
  <r>
    <x v="15"/>
    <x v="4"/>
    <s v="F:\images\20210609\plaque 2/@03 testo +ee2/E3_03.tif "/>
    <s v=" 25328.6066 "/>
    <s v=" 76.6721 "/>
    <x v="0"/>
    <n v="1941997"/>
    <m/>
    <m/>
    <m/>
  </r>
  <r>
    <x v="15"/>
    <x v="5"/>
    <s v="F:\images\20210609\plaque 2/@03 testo +ee2/F3_01- exclu.tif"/>
    <m/>
    <m/>
    <x v="1"/>
    <m/>
    <m/>
    <m/>
    <m/>
  </r>
  <r>
    <x v="15"/>
    <x v="5"/>
    <s v="F:\images\20210609\plaque 2/@03 testo +ee2/F3_02- exclu.tif"/>
    <m/>
    <m/>
    <x v="1"/>
    <m/>
    <m/>
    <m/>
    <m/>
  </r>
  <r>
    <x v="15"/>
    <x v="5"/>
    <s v="F:\images\20210609\plaque 2/@03 testo +ee2/F3_03- exclu.tif"/>
    <m/>
    <m/>
    <x v="1"/>
    <m/>
    <m/>
    <m/>
    <m/>
  </r>
  <r>
    <x v="15"/>
    <x v="6"/>
    <s v="F:\images\20210609\plaque 2/@03 testo +ee2/G3_01.tif "/>
    <s v=" 21889.4534 "/>
    <s v=" 77.3152 "/>
    <x v="0"/>
    <n v="1692388"/>
    <m/>
    <m/>
    <m/>
  </r>
  <r>
    <x v="15"/>
    <x v="6"/>
    <s v="F:\images\20210609\plaque 2/@03 testo +ee2/G3_02.tif "/>
    <s v=" 20159.0618 "/>
    <s v=" 75.0268 "/>
    <x v="0"/>
    <n v="1512470"/>
    <m/>
    <m/>
    <m/>
  </r>
  <r>
    <x v="15"/>
    <x v="6"/>
    <s v="F:\images\20210609\plaque 2/@03 testo +ee2/G3_03.tif "/>
    <s v=" 20699.8092 "/>
    <s v=" 75.6123 "/>
    <x v="0"/>
    <n v="1565161"/>
    <m/>
    <m/>
    <m/>
  </r>
  <r>
    <x v="15"/>
    <x v="7"/>
    <s v="F:\images\20210609\plaque 2/@03 testo +ee2/H3_01.tif "/>
    <s v=" 46158.1951 "/>
    <s v=" 80.0187 "/>
    <x v="0"/>
    <n v="3693521"/>
    <m/>
    <m/>
    <m/>
  </r>
  <r>
    <x v="15"/>
    <x v="7"/>
    <s v="F:\images\20210609\plaque 2/@03 testo +ee2/H3_02.tif "/>
    <s v=" 50267.8751 "/>
    <s v=" 78.6596 "/>
    <x v="0"/>
    <n v="3954053"/>
    <m/>
    <m/>
    <m/>
  </r>
  <r>
    <x v="15"/>
    <x v="7"/>
    <s v="F:\images\20210609\plaque 2/@03 testo +ee2/H3_03.tif "/>
    <s v=" 58162.7867 "/>
    <s v=" 77.2789 "/>
    <x v="0"/>
    <n v="4494757"/>
    <m/>
    <m/>
    <m/>
  </r>
  <r>
    <x v="1"/>
    <x v="8"/>
    <s v=" "/>
    <m/>
    <m/>
    <x v="1"/>
    <m/>
    <m/>
    <m/>
    <m/>
  </r>
  <r>
    <x v="1"/>
    <x v="8"/>
    <s v="group "/>
    <s v=" "/>
    <s v=" mean of mean fluo "/>
    <x v="2"/>
    <s v=" mean of total fluo "/>
    <s v=" SD total fluo "/>
    <s v=" n fluorescent "/>
    <s v=" n total"/>
  </r>
  <r>
    <x v="15"/>
    <x v="9"/>
    <s v="F:\images\20210609\plaque 2/@03 testo +ee2/ "/>
    <s v=" "/>
    <s v=" 75.5718 "/>
    <x v="17"/>
    <s v=" 2185492.71 "/>
    <s v=" 1309153.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609\plaque 2/@04 testo +fad/A4_01.tif "/>
    <s v=" 648.8968 "/>
    <s v=" 66.5333 "/>
    <x v="0"/>
    <n v="43173"/>
    <m/>
    <m/>
    <m/>
  </r>
  <r>
    <x v="16"/>
    <x v="0"/>
    <s v="F:\images\20210609\plaque 2/@04 testo +fad/A4_02.tif "/>
    <s v=" 302.8185 "/>
    <s v=" 65.7857 "/>
    <x v="0"/>
    <n v="19921"/>
    <m/>
    <m/>
    <m/>
  </r>
  <r>
    <x v="16"/>
    <x v="0"/>
    <s v="F:\images\20210609\plaque 2/@04 testo +fad/A4_03.tif "/>
    <s v=" 519.1175 "/>
    <s v=" 64.25 "/>
    <x v="0"/>
    <n v="33353"/>
    <m/>
    <m/>
    <m/>
  </r>
  <r>
    <x v="16"/>
    <x v="1"/>
    <s v="F:\images\20210609\plaque 2/@04 testo +fad/B4_01.tif "/>
    <s v=" 410.968 "/>
    <s v=" 62.9474 "/>
    <x v="0"/>
    <n v="25869"/>
    <m/>
    <m/>
    <m/>
  </r>
  <r>
    <x v="16"/>
    <x v="1"/>
    <s v="F:\images\20210609\plaque 2/@04 testo +fad/B4_02.tif "/>
    <s v=" 692.1566 "/>
    <s v=" 64.6875 "/>
    <x v="0"/>
    <n v="44774"/>
    <m/>
    <m/>
    <m/>
  </r>
  <r>
    <x v="16"/>
    <x v="1"/>
    <s v="F:\images\20210609\plaque 2/@04 testo +fad/B4_03.tif "/>
    <s v=" 670.5267 "/>
    <s v=" 64.0968 "/>
    <x v="0"/>
    <n v="42979"/>
    <m/>
    <m/>
    <m/>
  </r>
  <r>
    <x v="16"/>
    <x v="2"/>
    <s v="F:\images\20210609\plaque 2/@04 testo +fad/C4_01.tif "/>
    <s v=" 994.9752 "/>
    <s v=" 63.7609 "/>
    <x v="0"/>
    <n v="63440"/>
    <m/>
    <m/>
    <m/>
  </r>
  <r>
    <x v="16"/>
    <x v="2"/>
    <s v="F:\images\20210609\plaque 2/@04 testo +fad/C4_02.tif "/>
    <s v=" 3785.2316 "/>
    <s v=" 67.1429 "/>
    <x v="0"/>
    <n v="254151"/>
    <m/>
    <m/>
    <m/>
  </r>
  <r>
    <x v="16"/>
    <x v="2"/>
    <s v="F:\images\20210609\plaque 2/@04 testo +fad/C4_03.tif "/>
    <s v=" 1146.3844 "/>
    <s v=" 65.5472 "/>
    <x v="0"/>
    <n v="75142"/>
    <m/>
    <m/>
    <m/>
  </r>
  <r>
    <x v="16"/>
    <x v="3"/>
    <s v="F:\images\20210609\plaque 2/@04 testo +fad/D4_01.tif "/>
    <s v=" 2509.0678 "/>
    <s v=" 65.6983 "/>
    <x v="0"/>
    <n v="164841"/>
    <m/>
    <m/>
    <m/>
  </r>
  <r>
    <x v="16"/>
    <x v="3"/>
    <s v="F:\images\20210609\plaque 2/@04 testo +fad/D4_02.tif "/>
    <s v=" 1730.3916 "/>
    <s v=" 64.6 "/>
    <x v="0"/>
    <n v="111783"/>
    <m/>
    <m/>
    <m/>
  </r>
  <r>
    <x v="16"/>
    <x v="3"/>
    <s v="F:\images\20210609\plaque 2/@04 testo +fad/D4_03.tif "/>
    <s v=" 778.6762 "/>
    <s v=" 65.3333 "/>
    <x v="0"/>
    <n v="50874"/>
    <m/>
    <m/>
    <m/>
  </r>
  <r>
    <x v="16"/>
    <x v="4"/>
    <s v="F:\images\20210609\plaque 2/@04 testo +fad/E4_01.tif "/>
    <s v=" 2941.6657 "/>
    <s v=" 65.0588 "/>
    <x v="0"/>
    <n v="191381"/>
    <m/>
    <m/>
    <m/>
  </r>
  <r>
    <x v="16"/>
    <x v="4"/>
    <s v="F:\images\20210609\plaque 2/@04 testo +fad/E4_02.tif "/>
    <s v=" 886.8257 "/>
    <s v=" 63.6098 "/>
    <x v="0"/>
    <n v="56411"/>
    <m/>
    <m/>
    <m/>
  </r>
  <r>
    <x v="16"/>
    <x v="4"/>
    <s v="F:\images\20210609\plaque 2/@04 testo +fad/E4_03.tif "/>
    <s v=" 778.6762 "/>
    <s v=" 65.4444 "/>
    <x v="0"/>
    <n v="50960"/>
    <m/>
    <m/>
    <m/>
  </r>
  <r>
    <x v="16"/>
    <x v="5"/>
    <s v="F:\images\20210609\plaque 2/@04 testo +fad/F4_01.tif "/>
    <s v=" 1860.1709 "/>
    <s v=" 66.9651 "/>
    <x v="0"/>
    <n v="124567"/>
    <m/>
    <m/>
    <m/>
  </r>
  <r>
    <x v="16"/>
    <x v="5"/>
    <s v="F:\images\20210609\plaque 2/@04 testo +fad/F4_02.tif "/>
    <s v=" 2573.9575 "/>
    <s v=" 64.5714 "/>
    <x v="0"/>
    <n v="166204"/>
    <m/>
    <m/>
    <m/>
  </r>
  <r>
    <x v="16"/>
    <x v="5"/>
    <s v="F:\images\20210609\plaque 2/@04 testo +fad/F4_03.tif "/>
    <s v=" 2119.7297 "/>
    <n v="64"/>
    <x v="0"/>
    <n v="135663"/>
    <m/>
    <m/>
    <m/>
  </r>
  <r>
    <x v="16"/>
    <x v="6"/>
    <s v="F:\images\20210609\plaque 2/@04 testo +fad/G4_01.tif "/>
    <s v=" 1427.573 "/>
    <s v=" 64.3485 "/>
    <x v="0"/>
    <n v="91862"/>
    <m/>
    <m/>
    <m/>
  </r>
  <r>
    <x v="16"/>
    <x v="6"/>
    <s v="F:\images\20210609\plaque 2/@04 testo +fad/G4_02.tif "/>
    <s v=" 1730.3916 "/>
    <s v=" 66.9625 "/>
    <x v="0"/>
    <n v="115871"/>
    <m/>
    <m/>
    <m/>
  </r>
  <r>
    <x v="16"/>
    <x v="6"/>
    <s v="F:\images\20210609\plaque 2/@04 testo +fad/G4_03.tif "/>
    <s v=" 1211.2741 "/>
    <s v=" 64.75 "/>
    <x v="0"/>
    <n v="78430"/>
    <m/>
    <m/>
    <m/>
  </r>
  <r>
    <x v="16"/>
    <x v="7"/>
    <s v="F:\images\20210609\plaque 2/@04 testo +fad/H4_01.tif "/>
    <s v=" 4953.2459 "/>
    <s v=" 70.7773 "/>
    <x v="0"/>
    <n v="350577"/>
    <m/>
    <m/>
    <m/>
  </r>
  <r>
    <x v="16"/>
    <x v="7"/>
    <s v="F:\images\20210609\plaque 2/@04 testo +fad/H4_02.tif "/>
    <s v=" 2984.9255 "/>
    <s v=" 66.7609 "/>
    <x v="0"/>
    <n v="199276"/>
    <m/>
    <m/>
    <m/>
  </r>
  <r>
    <x v="16"/>
    <x v="7"/>
    <s v="F:\images\20210609\plaque 2/@04 testo +fad/H4_03.tif "/>
    <s v=" 3568.9326 "/>
    <s v=" 66.9758 "/>
    <x v="0"/>
    <n v="239032"/>
    <m/>
    <m/>
    <m/>
  </r>
  <r>
    <x v="1"/>
    <x v="8"/>
    <s v=" "/>
    <m/>
    <m/>
    <x v="1"/>
    <m/>
    <m/>
    <m/>
    <m/>
  </r>
  <r>
    <x v="1"/>
    <x v="8"/>
    <s v="group "/>
    <s v=" "/>
    <s v=" mean of mean fluo "/>
    <x v="2"/>
    <s v=" mean of total fluo "/>
    <s v=" SD total fluo "/>
    <s v=" n fluorescent "/>
    <s v=" n total"/>
  </r>
  <r>
    <x v="16"/>
    <x v="9"/>
    <s v="F:\images\20210609\plaque 2/@04 testo +fad/ "/>
    <s v=" "/>
    <s v=" 65.442 "/>
    <x v="18"/>
    <s v=" 113772.25 "/>
    <s v=" 84820.40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609\plaque 2/@05 Atrazine 0.625 mg_L+testo/A5_01.tif "/>
    <s v=" 24420.151 "/>
    <s v=" 70.6838 "/>
    <x v="0"/>
    <n v="1726109"/>
    <m/>
    <m/>
    <m/>
  </r>
  <r>
    <x v="17"/>
    <x v="0"/>
    <s v="F:\images\20210609\plaque 2/@05 Atrazine 0.625 mg_L+testo/A5_02.tif "/>
    <s v=" 12761.6378 "/>
    <s v=" 71.1508 "/>
    <x v="0"/>
    <n v="908001"/>
    <m/>
    <m/>
    <m/>
  </r>
  <r>
    <x v="17"/>
    <x v="0"/>
    <s v="F:\images\20210609\plaque 2/@05 Atrazine 0.625 mg_L+testo/A5_03.tif "/>
    <s v=" 20526.77 "/>
    <s v=" 67.9305 "/>
    <x v="0"/>
    <n v="1394393"/>
    <m/>
    <m/>
    <m/>
  </r>
  <r>
    <x v="17"/>
    <x v="1"/>
    <s v="F:\images\20210609\plaque 2/@05 Atrazine 0.625 mg_L+testo/B5_01.tif "/>
    <s v=" 39193.3691 "/>
    <s v=" 72.6534 "/>
    <x v="0"/>
    <n v="2847532"/>
    <m/>
    <m/>
    <m/>
  </r>
  <r>
    <x v="17"/>
    <x v="1"/>
    <s v="F:\images\20210609\plaque 2/@05 Atrazine 0.625 mg_L+testo/B5_02.tif "/>
    <s v=" 43389.5686 "/>
    <s v=" 73.3594 "/>
    <x v="0"/>
    <n v="3183034"/>
    <m/>
    <m/>
    <m/>
  </r>
  <r>
    <x v="17"/>
    <x v="1"/>
    <s v="F:\images\20210609\plaque 2/@05 Atrazine 0.625 mg_L+testo/B5_03.tif "/>
    <s v=" 41313.0987 "/>
    <s v=" 74.177 "/>
    <x v="0"/>
    <n v="3064480"/>
    <m/>
    <m/>
    <m/>
  </r>
  <r>
    <x v="17"/>
    <x v="2"/>
    <s v="F:\images\20210609\plaque 2/@05 Atrazine 0.625 mg_L+testo/C5_01.tif "/>
    <s v=" 40642.572 "/>
    <s v=" 69.0724 "/>
    <x v="0"/>
    <n v="2807279"/>
    <m/>
    <m/>
    <m/>
  </r>
  <r>
    <x v="17"/>
    <x v="2"/>
    <s v="F:\images\20210609\plaque 2/@05 Atrazine 0.625 mg_L+testo/C5_02.tif "/>
    <s v=" 35451.3973 "/>
    <s v=" 68.806 "/>
    <x v="0"/>
    <n v="2439268"/>
    <m/>
    <m/>
    <m/>
  </r>
  <r>
    <x v="17"/>
    <x v="2"/>
    <s v="F:\images\20210609\plaque 2/@05 Atrazine 0.625 mg_L+testo/C5_03.tif "/>
    <s v=" 37116.8992 "/>
    <s v=" 68.8007 "/>
    <x v="0"/>
    <n v="2553669"/>
    <m/>
    <m/>
    <m/>
  </r>
  <r>
    <x v="17"/>
    <x v="3"/>
    <s v="F:\images\20210609\plaque 2/@05 Atrazine 0.625 mg_L+testo/D5_01.tif "/>
    <s v=" 41118.4297 "/>
    <s v=" 72.4045 "/>
    <x v="0"/>
    <n v="2977160"/>
    <m/>
    <m/>
    <m/>
  </r>
  <r>
    <x v="17"/>
    <x v="3"/>
    <s v="F:\images\20210609\plaque 2/@05 Atrazine 0.625 mg_L+testo/D5_02.tif "/>
    <s v=" 41918.7358 "/>
    <s v=" 80.9644 "/>
    <x v="0"/>
    <n v="3393925"/>
    <m/>
    <m/>
    <m/>
  </r>
  <r>
    <x v="17"/>
    <x v="3"/>
    <s v="F:\images\20210609\plaque 2/@05 Atrazine 0.625 mg_L+testo/D5_03.tif "/>
    <s v=" 34910.6499 "/>
    <s v=" 72.8637 "/>
    <x v="0"/>
    <n v="2543719"/>
    <m/>
    <m/>
    <m/>
  </r>
  <r>
    <x v="17"/>
    <x v="4"/>
    <s v="F:\images\20210609\plaque 2/@05 Atrazine 0.625 mg_L+testo/E5_01.tif "/>
    <s v=" 44471.0634 "/>
    <s v=" 69.4669 "/>
    <x v="0"/>
    <n v="3089268"/>
    <m/>
    <m/>
    <m/>
  </r>
  <r>
    <x v="17"/>
    <x v="4"/>
    <s v="F:\images\20210609\plaque 2/@05 Atrazine 0.625 mg_L+testo/E5_02.tif "/>
    <s v=" 35473.0272 "/>
    <s v=" 70.339 "/>
    <x v="0"/>
    <n v="2495138"/>
    <m/>
    <m/>
    <m/>
  </r>
  <r>
    <x v="17"/>
    <x v="4"/>
    <s v="F:\images\20210609\plaque 2/@05 Atrazine 0.625 mg_L+testo/E5_03.tif "/>
    <s v=" 35451.3973 "/>
    <s v=" 69.7584 "/>
    <x v="0"/>
    <n v="2473032"/>
    <m/>
    <m/>
    <m/>
  </r>
  <r>
    <x v="17"/>
    <x v="5"/>
    <s v="F:\images\20210609\plaque 2/@05 Atrazine 0.625 mg_L+testo/F5_01.tif "/>
    <s v=" 36749.191 "/>
    <s v=" 74.7104 "/>
    <x v="0"/>
    <n v="2745547"/>
    <m/>
    <m/>
    <m/>
  </r>
  <r>
    <x v="17"/>
    <x v="5"/>
    <s v="F:\images\20210609\plaque 2/@05 Atrazine 0.625 mg_L+testo/F5_02.tif "/>
    <s v=" 33374.9274 "/>
    <s v=" 70.5476 "/>
    <x v="0"/>
    <n v="2354522"/>
    <m/>
    <m/>
    <m/>
  </r>
  <r>
    <x v="17"/>
    <x v="5"/>
    <s v="F:\images\20210609\plaque 2/@05 Atrazine 0.625 mg_L+testo/F5_03.tif "/>
    <s v=" 34672.7211 "/>
    <s v=" 74.1391 "/>
    <x v="0"/>
    <n v="2570605"/>
    <m/>
    <m/>
    <m/>
  </r>
  <r>
    <x v="17"/>
    <x v="6"/>
    <s v="F:\images\20210609\plaque 2/@05 Atrazine 0.625 mg_L+testo/G5_01.tif "/>
    <s v=" 30995.639 "/>
    <s v=" 74.8472 "/>
    <x v="0"/>
    <n v="2319936"/>
    <m/>
    <m/>
    <m/>
  </r>
  <r>
    <x v="17"/>
    <x v="6"/>
    <s v="F:\images\20210609\plaque 2/@05 Atrazine 0.625 mg_L+testo/G5_02.tif "/>
    <s v=" 38566.1021 "/>
    <s v=" 70.2619 "/>
    <x v="0"/>
    <n v="2709728"/>
    <m/>
    <m/>
    <m/>
  </r>
  <r>
    <x v="17"/>
    <x v="6"/>
    <s v="F:\images\20210609\plaque 2/@05 Atrazine 0.625 mg_L+testo/G5_03.tif "/>
    <s v=" 27102.258 "/>
    <s v=" 73.9417 "/>
    <x v="0"/>
    <n v="2003988"/>
    <m/>
    <m/>
    <m/>
  </r>
  <r>
    <x v="17"/>
    <x v="7"/>
    <s v="F:\images\20210609\plaque 2/@05 Atrazine 0.625 mg_L+testo/H5_01- exclu.tif"/>
    <m/>
    <m/>
    <x v="1"/>
    <m/>
    <m/>
    <m/>
    <m/>
  </r>
  <r>
    <x v="17"/>
    <x v="7"/>
    <s v="F:\images\20210609\plaque 2/@05 Atrazine 0.625 mg_L+testo/H5_02- exclu.tif"/>
    <m/>
    <m/>
    <x v="1"/>
    <m/>
    <m/>
    <m/>
    <m/>
  </r>
  <r>
    <x v="17"/>
    <x v="7"/>
    <s v="F:\images\20210609\plaque 2/@05 Atrazine 0.625 mg_L+testo/H5_03- exclu.tif"/>
    <m/>
    <m/>
    <x v="1"/>
    <m/>
    <m/>
    <m/>
    <m/>
  </r>
  <r>
    <x v="1"/>
    <x v="8"/>
    <s v=" "/>
    <m/>
    <m/>
    <x v="1"/>
    <m/>
    <m/>
    <m/>
    <m/>
  </r>
  <r>
    <x v="1"/>
    <x v="8"/>
    <s v="group "/>
    <s v=" "/>
    <s v=" mean of mean fluo "/>
    <x v="2"/>
    <s v=" mean of total fluo "/>
    <s v=" SD total fluo "/>
    <s v=" n fluorescent "/>
    <s v=" n total"/>
  </r>
  <r>
    <x v="17"/>
    <x v="9"/>
    <s v="F:\images\20210609\plaque 2/@05 Atrazine 0.625 mg_L+testo/ "/>
    <s v=" "/>
    <s v=" 71.3162 "/>
    <x v="19"/>
    <s v=" 2193475.83 "/>
    <s v=" 1009271.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609\plaque 2/@06  Atrazine 1.25 mg_L+testo/A6_01.tif "/>
    <s v=" 26237.0622 "/>
    <s v=" 68.2069 "/>
    <x v="0"/>
    <n v="1789549"/>
    <m/>
    <m/>
    <m/>
  </r>
  <r>
    <x v="18"/>
    <x v="0"/>
    <s v="F:\images\20210609\plaque 2/@06  Atrazine 1.25 mg_L+testo/A6_02.tif "/>
    <s v=" 26453.3611 "/>
    <s v=" 69.6746 "/>
    <x v="0"/>
    <n v="1843127"/>
    <m/>
    <m/>
    <m/>
  </r>
  <r>
    <x v="18"/>
    <x v="0"/>
    <s v="F:\images\20210609\plaque 2/@06  Atrazine 1.25 mg_L+testo/A6_03.tif "/>
    <s v=" 26301.9519 "/>
    <s v=" 70.0724 "/>
    <x v="0"/>
    <n v="1843040"/>
    <m/>
    <m/>
    <m/>
  </r>
  <r>
    <x v="18"/>
    <x v="1"/>
    <s v="F:\images\20210609\plaque 2/@06  Atrazine 1.25 mg_L+testo/B6_01.tif "/>
    <s v=" 61558.6801 "/>
    <s v=" 85.8563 "/>
    <x v="0"/>
    <n v="5285200"/>
    <m/>
    <m/>
    <m/>
  </r>
  <r>
    <x v="18"/>
    <x v="1"/>
    <s v="F:\images\20210609\plaque 2/@06  Atrazine 1.25 mg_L+testo/B6_02.tif "/>
    <s v=" 64565.2355 "/>
    <s v=" 77.4489 "/>
    <x v="0"/>
    <n v="5000507"/>
    <m/>
    <m/>
    <m/>
  </r>
  <r>
    <x v="18"/>
    <x v="1"/>
    <s v="F:\images\20210609\plaque 2/@06  Atrazine 1.25 mg_L+testo/B6_03.tif "/>
    <s v=" 66100.958 "/>
    <s v=" 79.7205 "/>
    <x v="0"/>
    <n v="5269605"/>
    <m/>
    <m/>
    <m/>
  </r>
  <r>
    <x v="18"/>
    <x v="2"/>
    <s v="F:\images\20210609\plaque 2/@06  Atrazine 1.25 mg_L+testo/C6_01.tif "/>
    <s v=" 6899.9364 "/>
    <s v=" 67.0188 "/>
    <x v="0"/>
    <n v="462426"/>
    <m/>
    <m/>
    <m/>
  </r>
  <r>
    <x v="18"/>
    <x v="2"/>
    <s v="F:\images\20210609\plaque 2/@06  Atrazine 1.25 mg_L+testo/C6_02.tif "/>
    <s v=" 9971.3814 "/>
    <s v=" 66.757 "/>
    <x v="0"/>
    <n v="665660"/>
    <m/>
    <m/>
    <m/>
  </r>
  <r>
    <x v="18"/>
    <x v="2"/>
    <s v="F:\images\20210609\plaque 2/@06  Atrazine 1.25 mg_L+testo/C6_03.tif "/>
    <s v=" 4888.3562 "/>
    <s v=" 65.4602 "/>
    <x v="0"/>
    <n v="319993"/>
    <m/>
    <m/>
    <m/>
  </r>
  <r>
    <x v="18"/>
    <x v="3"/>
    <s v="F:\images\20210609\plaque 2/@06  Atrazine 1.25 mg_L+testo/D6_01.tif "/>
    <s v=" 41615.9173 "/>
    <s v=" 71.2755 "/>
    <x v="0"/>
    <n v="2966194"/>
    <m/>
    <m/>
    <m/>
  </r>
  <r>
    <x v="18"/>
    <x v="3"/>
    <s v="F:\images\20210609\plaque 2/@06  Atrazine 1.25 mg_L+testo/D6_02.tif "/>
    <s v=" 35235.0984 "/>
    <s v=" 74.2032 "/>
    <x v="0"/>
    <n v="2614557"/>
    <m/>
    <m/>
    <m/>
  </r>
  <r>
    <x v="18"/>
    <x v="3"/>
    <s v="F:\images\20210609\plaque 2/@06  Atrazine 1.25 mg_L+testo/D6_03.tif "/>
    <s v=" 33569.5965 "/>
    <s v=" 75.8325 "/>
    <x v="0"/>
    <n v="2545666"/>
    <m/>
    <m/>
    <m/>
  </r>
  <r>
    <x v="18"/>
    <x v="4"/>
    <s v="F:\images\20210609\plaque 2/@06  Atrazine 1.25 mg_L+testo/E6_01- exclu.tif"/>
    <m/>
    <m/>
    <x v="1"/>
    <m/>
    <m/>
    <m/>
    <m/>
  </r>
  <r>
    <x v="18"/>
    <x v="4"/>
    <s v="F:\images\20210609\plaque 2/@06  Atrazine 1.25 mg_L+testo/E6_02.tif "/>
    <s v=" 1211.2741 "/>
    <s v=" 64.3214 "/>
    <x v="0"/>
    <n v="77911"/>
    <m/>
    <m/>
    <m/>
  </r>
  <r>
    <x v="18"/>
    <x v="4"/>
    <s v="F:\images\20210609\plaque 2/@06  Atrazine 1.25 mg_L+testo/E6_03.tif "/>
    <s v=" 1038.2349 "/>
    <s v=" 64.75 "/>
    <x v="0"/>
    <n v="67226"/>
    <m/>
    <m/>
    <m/>
  </r>
  <r>
    <x v="18"/>
    <x v="5"/>
    <s v="F:\images\20210609\plaque 2/@06  Atrazine 1.25 mg_L+testo/F6_01.tif "/>
    <s v=" 21348.706 "/>
    <s v=" 66.4124 "/>
    <x v="0"/>
    <n v="1417818"/>
    <m/>
    <m/>
    <m/>
  </r>
  <r>
    <x v="18"/>
    <x v="5"/>
    <s v="F:\images\20210609\plaque 2/@06  Atrazine 1.25 mg_L+testo/F6_02.tif "/>
    <s v=" 20267.2113 "/>
    <s v=" 68.0779 "/>
    <x v="0"/>
    <n v="1379749"/>
    <m/>
    <m/>
    <m/>
  </r>
  <r>
    <x v="18"/>
    <x v="5"/>
    <s v="F:\images\20210609\plaque 2/@06  Atrazine 1.25 mg_L+testo/F6_03.tif "/>
    <s v=" 21197.2967 "/>
    <s v=" 66.1765 "/>
    <x v="0"/>
    <n v="1402764"/>
    <m/>
    <m/>
    <m/>
  </r>
  <r>
    <x v="18"/>
    <x v="6"/>
    <s v="F:\images\20210609\plaque 2/@06  Atrazine 1.25 mg_L+testo/G6_01.tif "/>
    <s v=" 39604.3371 "/>
    <s v=" 73.6455 "/>
    <x v="0"/>
    <n v="2916683"/>
    <m/>
    <m/>
    <m/>
  </r>
  <r>
    <x v="18"/>
    <x v="6"/>
    <s v="F:\images\20210609\plaque 2/@06  Atrazine 1.25 mg_L+testo/G6_02.tif "/>
    <s v=" 38630.9918 "/>
    <s v=" 72.8712 "/>
    <x v="0"/>
    <n v="2815088"/>
    <m/>
    <m/>
    <m/>
  </r>
  <r>
    <x v="18"/>
    <x v="6"/>
    <s v="F:\images\20210609\plaque 2/@06  Atrazine 1.25 mg_L+testo/G6_03.tif "/>
    <s v=" 36468.0023 "/>
    <s v=" 72.1388 "/>
    <x v="0"/>
    <n v="2630758"/>
    <m/>
    <m/>
    <m/>
  </r>
  <r>
    <x v="18"/>
    <x v="7"/>
    <s v="F:\images\20210609\plaque 2/@06  Atrazine 1.25 mg_L+testo/H6_01.tif "/>
    <s v=" 4325.9789 "/>
    <s v=" 65.13 "/>
    <x v="0"/>
    <n v="281751"/>
    <m/>
    <m/>
    <m/>
  </r>
  <r>
    <x v="18"/>
    <x v="7"/>
    <s v="F:\images\20210609\plaque 2/@06  Atrazine 1.25 mg_L+testo/H6_02.tif "/>
    <s v=" 1405.9432 "/>
    <s v=" 63.9538 "/>
    <x v="0"/>
    <n v="89915"/>
    <m/>
    <m/>
    <m/>
  </r>
  <r>
    <x v="18"/>
    <x v="7"/>
    <s v="F:\images\20210609\plaque 2/@06  Atrazine 1.25 mg_L+testo/H6_03.tif "/>
    <s v=" 3395.8935 "/>
    <s v=" 66.3439 "/>
    <x v="0"/>
    <n v="225297"/>
    <m/>
    <m/>
    <m/>
  </r>
  <r>
    <x v="1"/>
    <x v="8"/>
    <s v=" "/>
    <m/>
    <m/>
    <x v="1"/>
    <m/>
    <m/>
    <m/>
    <m/>
  </r>
  <r>
    <x v="1"/>
    <x v="8"/>
    <s v="group "/>
    <s v=" "/>
    <s v=" mean of mean fluo "/>
    <x v="2"/>
    <s v=" mean of total fluo "/>
    <s v=" SD total fluo "/>
    <s v=" n fluorescent "/>
    <s v=" n total"/>
  </r>
  <r>
    <x v="18"/>
    <x v="9"/>
    <s v="F:\images\20210609\plaque 2/@06  Atrazine 1.25 mg_L+testo/ "/>
    <s v=" "/>
    <s v=" 69.9621 "/>
    <x v="20"/>
    <s v=" 1831384.38 "/>
    <s v=" 1648018.7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609\plaque 2/@07 Atrazine 2.5 mg_L+testo/A7_01.tif "/>
    <s v=" 46374.4941 "/>
    <s v=" 79.375 "/>
    <x v="0"/>
    <n v="3680975"/>
    <m/>
    <m/>
    <m/>
  </r>
  <r>
    <x v="19"/>
    <x v="0"/>
    <s v="F:\images\20210609\plaque 2/@07 Atrazine 2.5 mg_L+testo/A7_02.tif "/>
    <s v=" 52863.4625 "/>
    <s v=" 74.7627 "/>
    <x v="0"/>
    <n v="3952214"/>
    <m/>
    <m/>
    <m/>
  </r>
  <r>
    <x v="19"/>
    <x v="0"/>
    <s v="F:\images\20210609\plaque 2/@07 Atrazine 2.5 mg_L+testo/A7_03.tif "/>
    <s v=" 47693.9177 "/>
    <s v=" 77.8395 "/>
    <x v="0"/>
    <n v="3712469"/>
    <m/>
    <m/>
    <m/>
  </r>
  <r>
    <x v="19"/>
    <x v="1"/>
    <s v="F:\images\20210609\plaque 2/@07 Atrazine 2.5 mg_L+testo/B7_01.tif "/>
    <s v=" 56043.057 "/>
    <s v=" 78.9876 "/>
    <x v="0"/>
    <n v="4426709"/>
    <m/>
    <m/>
    <m/>
  </r>
  <r>
    <x v="19"/>
    <x v="1"/>
    <s v="F:\images\20210609\plaque 2/@07 Atrazine 2.5 mg_L+testo/B7_02.tif "/>
    <s v=" 51998.2667 "/>
    <s v=" 79.5894 "/>
    <x v="0"/>
    <n v="4138513"/>
    <m/>
    <m/>
    <m/>
  </r>
  <r>
    <x v="19"/>
    <x v="1"/>
    <s v="F:\images\20210609\plaque 2/@07 Atrazine 2.5 mg_L+testo/B7_03.tif "/>
    <s v=" 59352.4309 "/>
    <s v=" 78.8375 "/>
    <x v="0"/>
    <n v="4679195"/>
    <m/>
    <m/>
    <m/>
  </r>
  <r>
    <x v="19"/>
    <x v="2"/>
    <s v="F:\images\20210609\plaque 2/@07 Atrazine 2.5 mg_L+testo/C7_01- exclu.tif"/>
    <m/>
    <m/>
    <x v="1"/>
    <m/>
    <m/>
    <m/>
    <m/>
  </r>
  <r>
    <x v="19"/>
    <x v="2"/>
    <s v="F:\images\20210609\plaque 2/@07 Atrazine 2.5 mg_L+testo/C7_02- exclu.tif"/>
    <m/>
    <m/>
    <x v="1"/>
    <m/>
    <m/>
    <m/>
    <m/>
  </r>
  <r>
    <x v="19"/>
    <x v="2"/>
    <s v="F:\images\20210609\plaque 2/@07 Atrazine 2.5 mg_L+testo/C7_03- exclu.tif"/>
    <m/>
    <m/>
    <x v="1"/>
    <m/>
    <m/>
    <m/>
    <m/>
  </r>
  <r>
    <x v="19"/>
    <x v="3"/>
    <s v="F:\images\20210609\plaque 2/@07 Atrazine 2.5 mg_L+testo/D7_01.tif "/>
    <s v=" 27426.7064 "/>
    <s v=" 72.9062 "/>
    <x v="0"/>
    <n v="1999576"/>
    <m/>
    <m/>
    <m/>
  </r>
  <r>
    <x v="19"/>
    <x v="3"/>
    <s v="F:\images\20210609\plaque 2/@07 Atrazine 2.5 mg_L+testo/D7_02.tif "/>
    <s v=" 26972.4786 "/>
    <s v=" 77.0497 "/>
    <x v="0"/>
    <n v="2078222"/>
    <m/>
    <m/>
    <m/>
  </r>
  <r>
    <x v="19"/>
    <x v="3"/>
    <s v="F:\images\20210609\plaque 2/@07 Atrazine 2.5 mg_L+testo/D7_03.tif "/>
    <s v=" 22970.9481 "/>
    <s v=" 76.4746 "/>
    <x v="0"/>
    <n v="1756694"/>
    <m/>
    <m/>
    <m/>
  </r>
  <r>
    <x v="19"/>
    <x v="4"/>
    <s v="F:\images\20210609\plaque 2/@07 Atrazine 2.5 mg_L+testo/E7_01.tif "/>
    <s v=" 65322.2818 "/>
    <s v=" 77.4523 "/>
    <x v="0"/>
    <n v="5059362"/>
    <m/>
    <m/>
    <m/>
  </r>
  <r>
    <x v="19"/>
    <x v="4"/>
    <s v="F:\images\20210609\plaque 2/@07 Atrazine 2.5 mg_L+testo/E7_02.tif "/>
    <s v=" 61472.1605 "/>
    <s v=" 77.9525 "/>
    <x v="0"/>
    <n v="4791908"/>
    <m/>
    <m/>
    <m/>
  </r>
  <r>
    <x v="19"/>
    <x v="4"/>
    <s v="F:\images\20210609\plaque 2/@07 Atrazine 2.5 mg_L+testo/E7_03.tif "/>
    <s v=" 51868.4873 "/>
    <s v=" 78.0321 "/>
    <x v="0"/>
    <n v="4047408"/>
    <m/>
    <m/>
    <m/>
  </r>
  <r>
    <x v="19"/>
    <x v="5"/>
    <s v="F:\images\20210609\plaque 2/@07 Atrazine 2.5 mg_L+testo/F7_01.tif "/>
    <s v=" 42546.0027 "/>
    <s v=" 73.548 "/>
    <x v="0"/>
    <n v="3129175"/>
    <m/>
    <m/>
    <m/>
  </r>
  <r>
    <x v="19"/>
    <x v="5"/>
    <s v="F:\images\20210609\plaque 2/@07 Atrazine 2.5 mg_L+testo/F7_02.tif "/>
    <s v=" 34586.2015 "/>
    <s v=" 80.4059 "/>
    <x v="0"/>
    <n v="2780934"/>
    <m/>
    <m/>
    <m/>
  </r>
  <r>
    <x v="19"/>
    <x v="5"/>
    <s v="F:\images\20210609\plaque 2/@07 Atrazine 2.5 mg_L+testo/F7_03.tif "/>
    <s v=" 40556.0524 "/>
    <s v=" 79.2848 "/>
    <x v="0"/>
    <n v="3215479"/>
    <m/>
    <m/>
    <m/>
  </r>
  <r>
    <x v="19"/>
    <x v="6"/>
    <s v="F:\images\20210609\plaque 2/@07 Atrazine 2.5 mg_L+testo/G7_01.tif "/>
    <s v=" 3612.1924 "/>
    <s v=" 67.4491 "/>
    <x v="0"/>
    <n v="243639"/>
    <m/>
    <m/>
    <m/>
  </r>
  <r>
    <x v="19"/>
    <x v="6"/>
    <s v="F:\images\20210609\plaque 2/@07 Atrazine 2.5 mg_L+testo/G7_02.tif "/>
    <s v=" 2444.1781 "/>
    <s v=" 65.9912 "/>
    <x v="0"/>
    <n v="161294"/>
    <m/>
    <m/>
    <m/>
  </r>
  <r>
    <x v="19"/>
    <x v="6"/>
    <s v="F:\images\20210609\plaque 2/@07 Atrazine 2.5 mg_L+testo/G7_03.tif "/>
    <s v=" 3806.8615 "/>
    <s v=" 68.1307 "/>
    <x v="0"/>
    <n v="259364"/>
    <m/>
    <m/>
    <m/>
  </r>
  <r>
    <x v="19"/>
    <x v="7"/>
    <s v="F:\images\20210609\plaque 2/@07 Atrazine 2.5 mg_L+testo/H7_01.tif "/>
    <s v=" 22668.1296 "/>
    <s v=" 69.5448 "/>
    <x v="0"/>
    <n v="1576452"/>
    <m/>
    <m/>
    <m/>
  </r>
  <r>
    <x v="19"/>
    <x v="7"/>
    <s v="F:\images\20210609\plaque 2/@07 Atrazine 2.5 mg_L+testo/H7_02.tif "/>
    <s v=" 9171.0753 "/>
    <s v=" 64.4434 "/>
    <x v="0"/>
    <n v="591015"/>
    <m/>
    <m/>
    <m/>
  </r>
  <r>
    <x v="19"/>
    <x v="7"/>
    <s v="F:\images\20210609\plaque 2/@07 Atrazine 2.5 mg_L+testo/H7_03.tif "/>
    <s v=" 21824.5637 "/>
    <s v=" 70.4658 "/>
    <x v="0"/>
    <n v="1537886"/>
    <m/>
    <m/>
    <m/>
  </r>
  <r>
    <x v="1"/>
    <x v="8"/>
    <s v=" "/>
    <m/>
    <m/>
    <x v="1"/>
    <m/>
    <m/>
    <m/>
    <m/>
  </r>
  <r>
    <x v="1"/>
    <x v="8"/>
    <s v="group "/>
    <s v=" "/>
    <s v=" mean of mean fluo "/>
    <x v="2"/>
    <s v=" mean of total fluo "/>
    <s v=" SD total fluo "/>
    <s v=" n fluorescent "/>
    <s v=" n total"/>
  </r>
  <r>
    <x v="19"/>
    <x v="9"/>
    <s v="F:\images\20210609\plaque 2/@07 Atrazine 2.5 mg_L+testo/ "/>
    <s v=" "/>
    <s v=" 73.6755 "/>
    <x v="21"/>
    <s v=" 2438385.79 "/>
    <s v=" 1727008.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609\plaque 2/@08 Atrazine 5 mg_L+testo/A8_01.tif "/>
    <s v=" 30433.2617 "/>
    <s v=" 75.204 "/>
    <x v="0"/>
    <n v="2288702"/>
    <m/>
    <m/>
    <m/>
  </r>
  <r>
    <x v="20"/>
    <x v="0"/>
    <s v="F:\images\20210609\plaque 2/@08 Atrazine 5 mg_L+testo/A8_02.tif "/>
    <s v=" 32315.0626 "/>
    <s v=" 76.5415 "/>
    <x v="0"/>
    <n v="2473443"/>
    <m/>
    <m/>
    <m/>
  </r>
  <r>
    <x v="20"/>
    <x v="0"/>
    <s v="F:\images\20210609\plaque 2/@08 Atrazine 5 mg_L+testo/A8_03.tif "/>
    <s v=" 30411.6318 "/>
    <s v=" 79.1821 "/>
    <x v="0"/>
    <n v="2408056"/>
    <m/>
    <m/>
    <m/>
  </r>
  <r>
    <x v="20"/>
    <x v="1"/>
    <s v="F:\images\20210609\plaque 2/@08 Atrazine 5 mg_L+testo/B8_01.tif "/>
    <s v=" 12653.4884 "/>
    <s v=" 66.1897 "/>
    <x v="0"/>
    <n v="837531"/>
    <m/>
    <m/>
    <m/>
  </r>
  <r>
    <x v="20"/>
    <x v="1"/>
    <s v="F:\images\20210609\plaque 2/@08 Atrazine 5 mg_L+testo/B8_02- exclu.tif"/>
    <m/>
    <m/>
    <x v="1"/>
    <m/>
    <m/>
    <m/>
    <m/>
  </r>
  <r>
    <x v="20"/>
    <x v="1"/>
    <s v="F:\images\20210609\plaque 2/@08 Atrazine 5 mg_L+testo/B8_03- exclu.tif"/>
    <m/>
    <m/>
    <x v="1"/>
    <m/>
    <m/>
    <m/>
    <m/>
  </r>
  <r>
    <x v="20"/>
    <x v="2"/>
    <s v="F:\images\20210609\plaque 2/@08 Atrazine 5 mg_L+testo/C8_01.tif "/>
    <s v=" 44124.985 "/>
    <s v=" 79.8779 "/>
    <x v="0"/>
    <n v="3524613"/>
    <m/>
    <m/>
    <m/>
  </r>
  <r>
    <x v="20"/>
    <x v="2"/>
    <s v="F:\images\20210609\plaque 2/@08 Atrazine 5 mg_L+testo/C8_02.tif "/>
    <s v=" 44384.5438 "/>
    <s v=" 79.6433 "/>
    <x v="0"/>
    <n v="3534930"/>
    <m/>
    <m/>
    <m/>
  </r>
  <r>
    <x v="20"/>
    <x v="2"/>
    <s v="F:\images\20210609\plaque 2/@08 Atrazine 5 mg_L+testo/C8_03.tif "/>
    <s v=" 39712.4865 "/>
    <s v=" 81.1514 "/>
    <x v="0"/>
    <n v="3222725"/>
    <m/>
    <m/>
    <m/>
  </r>
  <r>
    <x v="20"/>
    <x v="3"/>
    <s v="F:\images\20210609\plaque 2/@08 Atrazine 5 mg_L+testo/D8_01.tif "/>
    <s v=" 45877.0065 "/>
    <s v=" 78.7992 "/>
    <x v="0"/>
    <n v="3615069"/>
    <m/>
    <m/>
    <m/>
  </r>
  <r>
    <x v="20"/>
    <x v="3"/>
    <s v="F:\images\20210609\plaque 2/@08 Atrazine 5 mg_L+testo/D8_02.tif "/>
    <s v=" 40858.871 "/>
    <s v=" 77.5019 "/>
    <x v="0"/>
    <n v="3166638"/>
    <m/>
    <m/>
    <m/>
  </r>
  <r>
    <x v="20"/>
    <x v="3"/>
    <s v="F:\images\20210609\plaque 2/@08 Atrazine 5 mg_L+testo/D8_03.tif "/>
    <s v=" 43584.2377 "/>
    <s v=" 81.3672 "/>
    <x v="0"/>
    <n v="3546329"/>
    <m/>
    <m/>
    <m/>
  </r>
  <r>
    <x v="20"/>
    <x v="4"/>
    <s v="F:\images\20210609\plaque 2/@08 Atrazine 5 mg_L+testo/E8_01.tif "/>
    <s v=" 27880.9342 "/>
    <s v=" 89.9379 "/>
    <x v="0"/>
    <n v="2507554"/>
    <m/>
    <m/>
    <m/>
  </r>
  <r>
    <x v="20"/>
    <x v="4"/>
    <s v="F:\images\20210609\plaque 2/@08 Atrazine 5 mg_L+testo/E8_02.tif "/>
    <s v=" 27794.4146 "/>
    <s v=" 86.2669 "/>
    <x v="0"/>
    <n v="2397739"/>
    <m/>
    <m/>
    <m/>
  </r>
  <r>
    <x v="20"/>
    <x v="4"/>
    <s v="F:\images\20210609\plaque 2/@08 Atrazine 5 mg_L+testo/E8_03.tif "/>
    <s v=" 23446.8058 "/>
    <s v=" 96.1061 "/>
    <x v="0"/>
    <n v="2253381"/>
    <m/>
    <m/>
    <m/>
  </r>
  <r>
    <x v="20"/>
    <x v="5"/>
    <s v="F:\images\20210609\plaque 2/@08 Atrazine 5 mg_L+testo/F8_01.tif "/>
    <s v=" 21197.2967 "/>
    <s v=" 73.1235 "/>
    <x v="0"/>
    <n v="1550020"/>
    <m/>
    <m/>
    <m/>
  </r>
  <r>
    <x v="20"/>
    <x v="5"/>
    <s v="F:\images\20210609\plaque 2/@08 Atrazine 5 mg_L+testo/F8_02- exclu.tif"/>
    <m/>
    <m/>
    <x v="1"/>
    <m/>
    <m/>
    <m/>
    <m/>
  </r>
  <r>
    <x v="20"/>
    <x v="5"/>
    <s v="F:\images\20210609\plaque 2/@08 Atrazine 5 mg_L+testo/F8_03- exclu.tif"/>
    <m/>
    <m/>
    <x v="1"/>
    <m/>
    <m/>
    <m/>
    <m/>
  </r>
  <r>
    <x v="20"/>
    <x v="6"/>
    <s v="F:\images\20210609\plaque 2/@08 Atrazine 5 mg_L+testo/G8_01.tif "/>
    <s v=" 31514.7565 "/>
    <s v=" 76.5319 "/>
    <x v="0"/>
    <n v="2411885"/>
    <m/>
    <m/>
    <m/>
  </r>
  <r>
    <x v="20"/>
    <x v="6"/>
    <s v="F:\images\20210609\plaque 2/@08 Atrazine 5 mg_L+testo/G8_02.tif "/>
    <s v=" 29005.6887 "/>
    <s v=" 77.0075 "/>
    <x v="0"/>
    <n v="2233654"/>
    <m/>
    <m/>
    <m/>
  </r>
  <r>
    <x v="20"/>
    <x v="6"/>
    <s v="F:\images\20210609\plaque 2/@08 Atrazine 5 mg_L+testo/G8_03.tif "/>
    <s v=" 30000.6639 "/>
    <s v=" 77.7239 "/>
    <x v="0"/>
    <n v="2331768"/>
    <m/>
    <m/>
    <m/>
  </r>
  <r>
    <x v="20"/>
    <x v="7"/>
    <s v="F:\images\20210609\plaque 2/@08 Atrazine 5 mg_L+testo/H8_01- exclu.tif"/>
    <m/>
    <m/>
    <x v="1"/>
    <m/>
    <m/>
    <m/>
    <m/>
  </r>
  <r>
    <x v="20"/>
    <x v="7"/>
    <s v="F:\images\20210609\plaque 2/@08 Atrazine 5 mg_L+testo/H8_02.tif "/>
    <s v=" 324.4484 "/>
    <s v=" 62.9333 "/>
    <x v="0"/>
    <n v="20419"/>
    <m/>
    <m/>
    <m/>
  </r>
  <r>
    <x v="20"/>
    <x v="7"/>
    <s v="F:\images\20210609\plaque 2/@08 Atrazine 5 mg_L+testo/H8_03.tif "/>
    <s v=" 194.6691 "/>
    <s v=" 62.2222 "/>
    <x v="0"/>
    <n v="12113"/>
    <m/>
    <m/>
    <m/>
  </r>
  <r>
    <x v="1"/>
    <x v="8"/>
    <s v=" "/>
    <m/>
    <m/>
    <x v="1"/>
    <m/>
    <m/>
    <m/>
    <m/>
  </r>
  <r>
    <x v="1"/>
    <x v="8"/>
    <s v="group "/>
    <s v=" "/>
    <s v=" mean of mean fluo "/>
    <x v="2"/>
    <s v=" mean of total fluo "/>
    <s v=" SD total fluo "/>
    <s v=" n fluorescent "/>
    <s v=" n total"/>
  </r>
  <r>
    <x v="20"/>
    <x v="9"/>
    <s v="F:\images\20210609\plaque 2/@08 Atrazine 5 mg_L+testo/ "/>
    <s v=" "/>
    <s v=" 75.681 "/>
    <x v="22"/>
    <s v=" 2037273.83 "/>
    <s v=" 1371073.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609\plaque 2/@09 Atrazine 10 mg_L+testo/A9_01.tif "/>
    <s v=" 12156.0008 "/>
    <s v=" 69.1228 "/>
    <x v="0"/>
    <n v="840257"/>
    <m/>
    <m/>
    <m/>
  </r>
  <r>
    <x v="21"/>
    <x v="0"/>
    <s v="F:\images\20210609\plaque 2/@09 Atrazine 10 mg_L+testo/A9_02.tif "/>
    <s v=" 10382.3494 "/>
    <s v=" 67.1646 "/>
    <x v="0"/>
    <n v="697326"/>
    <m/>
    <m/>
    <m/>
  </r>
  <r>
    <x v="21"/>
    <x v="0"/>
    <s v="F:\images\20210609\plaque 2/@09 Atrazine 10 mg_L+testo/A9_03.tif "/>
    <s v=" 9668.5629 "/>
    <s v=" 68.2729 "/>
    <x v="0"/>
    <n v="660101"/>
    <m/>
    <m/>
    <m/>
  </r>
  <r>
    <x v="21"/>
    <x v="1"/>
    <s v="F:\images\20210609\plaque 2/@09 Atrazine 10 mg_L+testo/B9_01.tif "/>
    <s v=" 735.4164 "/>
    <n v="64"/>
    <x v="0"/>
    <n v="47067"/>
    <m/>
    <m/>
    <m/>
  </r>
  <r>
    <x v="21"/>
    <x v="1"/>
    <s v="F:\images\20210609\plaque 2/@09 Atrazine 10 mg_L+testo/B9_02.tif "/>
    <s v=" 17368.8054 "/>
    <s v=" 72.4047 "/>
    <x v="0"/>
    <n v="1257584"/>
    <m/>
    <m/>
    <m/>
  </r>
  <r>
    <x v="21"/>
    <x v="1"/>
    <s v="F:\images\20210609\plaque 2/@09 Atrazine 10 mg_L+testo/B9_03.tif "/>
    <s v=" 17022.7271 "/>
    <s v=" 69.7306 "/>
    <x v="0"/>
    <n v="1187005"/>
    <m/>
    <m/>
    <m/>
  </r>
  <r>
    <x v="21"/>
    <x v="2"/>
    <s v="F:\images\20210609\plaque 2/@09 Atrazine 10 mg_L+testo/C9_01.tif "/>
    <s v=" 26777.8096 "/>
    <s v=" 72.2132 "/>
    <x v="0"/>
    <n v="1933713"/>
    <m/>
    <m/>
    <m/>
  </r>
  <r>
    <x v="21"/>
    <x v="2"/>
    <s v="F:\images\20210609\plaque 2/@09 Atrazine 10 mg_L+testo/C9_02.tif "/>
    <s v=" 23143.9873 "/>
    <s v=" 73.0486 "/>
    <x v="0"/>
    <n v="1690636"/>
    <m/>
    <m/>
    <m/>
  </r>
  <r>
    <x v="21"/>
    <x v="2"/>
    <s v="F:\images\20210609\plaque 2/@09 Atrazine 10 mg_L+testo/C9_03.tif "/>
    <s v=" 1297.7937 "/>
    <s v=" 64.2167 "/>
    <x v="0"/>
    <n v="83340"/>
    <m/>
    <m/>
    <m/>
  </r>
  <r>
    <x v="21"/>
    <x v="3"/>
    <s v="F:\images\20210609\plaque 2/@09 Atrazine 10 mg_L+testo/D9_01.tif "/>
    <s v=" 62878.1037 "/>
    <s v=" 86.6708 "/>
    <x v="0"/>
    <n v="5449695"/>
    <m/>
    <m/>
    <m/>
  </r>
  <r>
    <x v="21"/>
    <x v="3"/>
    <s v="F:\images\20210609\plaque 2/@09 Atrazine 10 mg_L+testo/D9_02.tif "/>
    <s v=" 58357.4557 "/>
    <s v=" 85.9173 "/>
    <x v="0"/>
    <n v="5013918"/>
    <m/>
    <m/>
    <m/>
  </r>
  <r>
    <x v="21"/>
    <x v="3"/>
    <s v="F:\images\20210609\plaque 2/@09 Atrazine 10 mg_L+testo/D9_03.tif "/>
    <s v=" 59676.8793 "/>
    <s v=" 84.6858 "/>
    <x v="0"/>
    <n v="5053782"/>
    <m/>
    <m/>
    <m/>
  </r>
  <r>
    <x v="21"/>
    <x v="4"/>
    <s v="F:\images\20210609\plaque 2/@09 Atrazine 10 mg_L+testo/E9_01.tif "/>
    <s v=" 28573.0908 "/>
    <s v=" 81.0038 "/>
    <x v="0"/>
    <n v="2314529"/>
    <m/>
    <m/>
    <m/>
  </r>
  <r>
    <x v="21"/>
    <x v="4"/>
    <s v="F:\images\20210609\plaque 2/@09 Atrazine 10 mg_L+testo/E9_02.tif "/>
    <s v=" 29870.8845 "/>
    <s v=" 78.8364 "/>
    <x v="0"/>
    <n v="2354912"/>
    <m/>
    <m/>
    <m/>
  </r>
  <r>
    <x v="21"/>
    <x v="4"/>
    <s v="F:\images\20210609\plaque 2/@09 Atrazine 10 mg_L+testo/E9_03- exclu.tif"/>
    <m/>
    <m/>
    <x v="1"/>
    <m/>
    <m/>
    <m/>
    <m/>
  </r>
  <r>
    <x v="21"/>
    <x v="5"/>
    <s v="F:\images\20210609\plaque 2/@09 Atrazine 10 mg_L+testo/F9_01.tif "/>
    <s v=" 47910.2166 "/>
    <s v=" 79.7219 "/>
    <x v="0"/>
    <n v="3819493"/>
    <m/>
    <m/>
    <m/>
  </r>
  <r>
    <x v="21"/>
    <x v="5"/>
    <s v="F:\images\20210609\plaque 2/@09 Atrazine 10 mg_L+testo/F9_02.tif "/>
    <s v=" 47477.6187 "/>
    <s v=" 75.5699 "/>
    <x v="0"/>
    <n v="3587880"/>
    <m/>
    <m/>
    <m/>
  </r>
  <r>
    <x v="21"/>
    <x v="5"/>
    <s v="F:\images\20210609\plaque 2/@09 Atrazine 10 mg_L+testo/F9_03.tif "/>
    <s v=" 49229.6402 "/>
    <s v=" 74.8475 "/>
    <x v="0"/>
    <n v="3684717"/>
    <m/>
    <m/>
    <m/>
  </r>
  <r>
    <x v="21"/>
    <x v="6"/>
    <s v="F:\images\20210609\plaque 2/@09 Atrazine 10 mg_L+testo/G9_01.tif "/>
    <s v=" 31493.1266 "/>
    <s v=" 78.272 "/>
    <x v="0"/>
    <n v="2465029"/>
    <m/>
    <m/>
    <m/>
  </r>
  <r>
    <x v="21"/>
    <x v="6"/>
    <s v="F:\images\20210609\plaque 2/@09 Atrazine 10 mg_L+testo/G9_02.tif "/>
    <s v=" 23143.9873 "/>
    <s v=" 74.2327 "/>
    <x v="0"/>
    <n v="1718041"/>
    <m/>
    <m/>
    <m/>
  </r>
  <r>
    <x v="21"/>
    <x v="6"/>
    <s v="F:\images\20210609\plaque 2/@09 Atrazine 10 mg_L+testo/G9_03.tif "/>
    <s v=" 10447.2391 "/>
    <s v=" 72.5217 "/>
    <x v="0"/>
    <n v="757652"/>
    <m/>
    <m/>
    <m/>
  </r>
  <r>
    <x v="21"/>
    <x v="7"/>
    <s v="F:\images\20210609\plaque 2/@09 Atrazine 10 mg_L+testo/H9_01.tif "/>
    <s v=" 5342.584 "/>
    <s v=" 65.4575 "/>
    <x v="0"/>
    <n v="349712"/>
    <m/>
    <m/>
    <m/>
  </r>
  <r>
    <x v="21"/>
    <x v="7"/>
    <s v="F:\images\20210609\plaque 2/@09 Atrazine 10 mg_L+testo/H9_02.tif "/>
    <s v=" 6445.7086 "/>
    <s v=" 64.943 "/>
    <x v="0"/>
    <n v="418603"/>
    <m/>
    <m/>
    <m/>
  </r>
  <r>
    <x v="21"/>
    <x v="7"/>
    <s v="F:\images\20210609\plaque 2/@09 Atrazine 10 mg_L+testo/H9_03.tif "/>
    <s v=" 6099.6303 "/>
    <s v=" 66.0461 "/>
    <x v="0"/>
    <n v="402857"/>
    <m/>
    <m/>
    <m/>
  </r>
  <r>
    <x v="1"/>
    <x v="8"/>
    <s v=" "/>
    <m/>
    <m/>
    <x v="1"/>
    <m/>
    <m/>
    <m/>
    <m/>
  </r>
  <r>
    <x v="1"/>
    <x v="8"/>
    <s v="group "/>
    <s v=" "/>
    <s v=" mean of mean fluo "/>
    <x v="2"/>
    <s v=" mean of total fluo "/>
    <s v=" SD total fluo "/>
    <s v=" n fluorescent "/>
    <s v=" n total"/>
  </r>
  <r>
    <x v="21"/>
    <x v="9"/>
    <s v="F:\images\20210609\plaque 2/@09 Atrazine 10 mg_L+testo/ "/>
    <s v=" "/>
    <s v=" 73.657 "/>
    <x v="23"/>
    <n v="1941092"/>
    <s v=" 1665726.13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604\plaque 1/@01 Evian + DMSO/A1_01.tif "/>
    <s v=" 302.8185 "/>
    <s v=" 64.0714 "/>
    <x v="0"/>
    <n v="19402"/>
    <m/>
    <m/>
    <m/>
  </r>
  <r>
    <x v="0"/>
    <x v="0"/>
    <s v="F:\images\20210604\plaque 1/@01 Evian + DMSO/A1_02.tif "/>
    <s v=" 324.4484 "/>
    <s v=" 64.8 "/>
    <x v="0"/>
    <n v="21024"/>
    <m/>
    <m/>
    <m/>
  </r>
  <r>
    <x v="0"/>
    <x v="0"/>
    <s v="F:\images\20210604\plaque 1/@01 Evian + DMSO/A1_03.tif "/>
    <s v=" 151.4093 "/>
    <s v=" 63.7143 "/>
    <x v="0"/>
    <n v="9647"/>
    <m/>
    <m/>
    <m/>
  </r>
  <r>
    <x v="0"/>
    <x v="1"/>
    <s v="F:\images\20210604\plaque 1/@01 Evian + DMSO/B1_01.tif "/>
    <s v=" 410.968 "/>
    <s v=" 63.5263 "/>
    <x v="0"/>
    <n v="26107"/>
    <m/>
    <m/>
    <m/>
  </r>
  <r>
    <x v="0"/>
    <x v="1"/>
    <s v="F:\images\20210604\plaque 1/@01 Evian + DMSO/B1_02.tif "/>
    <s v=" 151.4093 "/>
    <n v="64"/>
    <x v="0"/>
    <n v="9690"/>
    <m/>
    <m/>
    <m/>
  </r>
  <r>
    <x v="0"/>
    <x v="1"/>
    <s v="F:\images\20210604\plaque 1/@01 Evian + DMSO/B1_03.tif "/>
    <s v=" 173.0392 "/>
    <s v=" 62.875 "/>
    <x v="0"/>
    <n v="10880"/>
    <m/>
    <m/>
    <m/>
  </r>
  <r>
    <x v="0"/>
    <x v="2"/>
    <s v="F:\images\20210604\plaque 1/@01 Evian + DMSO/C1_01.tif "/>
    <s v=" 3439.1532 "/>
    <s v=" 65.1006 "/>
    <x v="0"/>
    <n v="223891"/>
    <m/>
    <m/>
    <m/>
  </r>
  <r>
    <x v="0"/>
    <x v="2"/>
    <s v="F:\images\20210604\plaque 1/@01 Evian + DMSO/C1_02.tif "/>
    <s v=" 7786.7621 "/>
    <s v=" 65.2167 "/>
    <x v="0"/>
    <n v="507827"/>
    <m/>
    <m/>
    <m/>
  </r>
  <r>
    <x v="0"/>
    <x v="2"/>
    <s v="F:\images\20210604\plaque 1/@01 Evian + DMSO/C1_03.tif "/>
    <s v=" 3655.4522 "/>
    <s v=" 66.7988 "/>
    <x v="0"/>
    <n v="244180"/>
    <m/>
    <m/>
    <m/>
  </r>
  <r>
    <x v="0"/>
    <x v="3"/>
    <s v="F:\images\20210604\plaque 1/@01 Evian + DMSO/D1_01.tif "/>
    <s v=" 2076.4699 "/>
    <s v=" 64.1667 "/>
    <x v="0"/>
    <n v="133240"/>
    <m/>
    <m/>
    <m/>
  </r>
  <r>
    <x v="0"/>
    <x v="3"/>
    <s v="F:\images\20210604\plaque 1/@01 Evian + DMSO/D1_02.tif "/>
    <s v=" 2487.4379 "/>
    <s v=" 65.0435 "/>
    <x v="0"/>
    <n v="161792"/>
    <m/>
    <m/>
    <m/>
  </r>
  <r>
    <x v="0"/>
    <x v="3"/>
    <s v="F:\images\20210604\plaque 1/@01 Evian + DMSO/D1_03.tif "/>
    <s v=" 2292.7688 "/>
    <s v=" 65.3113 "/>
    <x v="0"/>
    <n v="149744"/>
    <m/>
    <m/>
    <m/>
  </r>
  <r>
    <x v="0"/>
    <x v="4"/>
    <s v="F:\images\20210604\plaque 1/@01 Evian + DMSO/E1_01.tif "/>
    <s v=" 5667.0324 "/>
    <s v=" 68.4313 "/>
    <x v="0"/>
    <n v="387802"/>
    <m/>
    <m/>
    <m/>
  </r>
  <r>
    <x v="0"/>
    <x v="4"/>
    <s v="F:\images\20210604\plaque 1/@01 Evian + DMSO/E1_02.tif "/>
    <s v=" 2119.7297 "/>
    <s v=" 64.0102 "/>
    <x v="0"/>
    <n v="135684"/>
    <m/>
    <m/>
    <m/>
  </r>
  <r>
    <x v="0"/>
    <x v="4"/>
    <s v="F:\images\20210604\plaque 1/@01 Evian + DMSO/E1_03.tif "/>
    <s v=" 2336.0286 "/>
    <s v=" 64.7593 "/>
    <x v="0"/>
    <n v="151279"/>
    <m/>
    <m/>
    <m/>
  </r>
  <r>
    <x v="0"/>
    <x v="5"/>
    <s v="F:\images\20210604\plaque 1/@01 Evian + DMSO/F1_01.tif "/>
    <s v=" 346.0783 "/>
    <s v=" 62.4375 "/>
    <x v="0"/>
    <n v="21608"/>
    <m/>
    <m/>
    <m/>
  </r>
  <r>
    <x v="0"/>
    <x v="5"/>
    <s v="F:\images\20210604\plaque 1/@01 Evian + DMSO/F1_02.tif "/>
    <s v=" 475.8577 "/>
    <s v=" 62.0909 "/>
    <x v="0"/>
    <n v="29546"/>
    <m/>
    <m/>
    <m/>
  </r>
  <r>
    <x v="0"/>
    <x v="5"/>
    <s v="F:\images\20210604\plaque 1/@01 Evian + DMSO/F1_03.tif "/>
    <s v=" 1168.0143 "/>
    <s v=" 63.537 "/>
    <x v="0"/>
    <n v="74212"/>
    <m/>
    <m/>
    <m/>
  </r>
  <r>
    <x v="0"/>
    <x v="6"/>
    <s v="F:\images\20210604\plaque 1/@01 Evian + DMSO/G1_01.tif "/>
    <s v=" 3006.5554 "/>
    <s v=" 68.4964 "/>
    <x v="0"/>
    <n v="205938"/>
    <m/>
    <m/>
    <m/>
  </r>
  <r>
    <x v="0"/>
    <x v="6"/>
    <s v="F:\images\20210604\plaque 1/@01 Evian + DMSO/G1_02.tif "/>
    <s v=" 2811.8863 "/>
    <s v=" 66.4231 "/>
    <x v="0"/>
    <n v="186774"/>
    <m/>
    <m/>
    <m/>
  </r>
  <r>
    <x v="0"/>
    <x v="6"/>
    <s v="F:\images\20210604\plaque 1/@01 Evian + DMSO/G1_03.tif "/>
    <s v=" 2249.509 "/>
    <s v=" 64.5096 "/>
    <x v="0"/>
    <n v="145115"/>
    <m/>
    <m/>
    <m/>
  </r>
  <r>
    <x v="0"/>
    <x v="7"/>
    <s v="F:\images\20210604\plaque 1/@01 Evian + DMSO/H1_01.tif "/>
    <s v=" 648.8968 "/>
    <s v=" 64.1667 "/>
    <x v="0"/>
    <n v="41638"/>
    <m/>
    <m/>
    <m/>
  </r>
  <r>
    <x v="0"/>
    <x v="7"/>
    <s v="F:\images\20210604\plaque 1/@01 Evian + DMSO/H1_02.tif "/>
    <s v=" 670.5267 "/>
    <s v=" 65.4839 "/>
    <x v="0"/>
    <n v="43909"/>
    <m/>
    <m/>
    <m/>
  </r>
  <r>
    <x v="0"/>
    <x v="7"/>
    <s v="F:\images\20210604\plaque 1/@01 Evian + DMSO/H1_03.tif "/>
    <s v=" 389.3381 "/>
    <n v="62"/>
    <x v="0"/>
    <n v="24139"/>
    <m/>
    <m/>
    <m/>
  </r>
  <r>
    <x v="1"/>
    <x v="8"/>
    <s v=" "/>
    <m/>
    <m/>
    <x v="1"/>
    <m/>
    <m/>
    <m/>
    <m/>
  </r>
  <r>
    <x v="1"/>
    <x v="8"/>
    <s v="group "/>
    <s v=" "/>
    <s v=" mean of mean fluo "/>
    <x v="2"/>
    <s v=" mean of total fluo "/>
    <s v=" SD total fluo "/>
    <s v=" n fluorescent "/>
    <s v=" n total"/>
  </r>
  <r>
    <x v="0"/>
    <x v="9"/>
    <s v="F:\images\20210604\plaque 1/@01 Evian + DMSO/ "/>
    <s v=" "/>
    <s v=" 64.6238 "/>
    <x v="3"/>
    <s v=" 123544.5 "/>
    <s v=" 126938.9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604\plaque 1/@02 EE2 33.8 ng_L/A2_01.tif "/>
    <s v=" 6856.6766 "/>
    <s v=" 66.7129 "/>
    <x v="0"/>
    <n v="457429"/>
    <m/>
    <m/>
    <m/>
  </r>
  <r>
    <x v="2"/>
    <x v="0"/>
    <s v="F:\images\20210604\plaque 1/@02 EE2 33.8 ng_L/A2_02.tif "/>
    <s v=" 389.3381 "/>
    <s v=" 63.1667 "/>
    <x v="0"/>
    <n v="24593"/>
    <m/>
    <m/>
    <m/>
  </r>
  <r>
    <x v="2"/>
    <x v="0"/>
    <s v="F:\images\20210604\plaque 1/@02 EE2 33.8 ng_L/A2_03.tif "/>
    <s v=" 3893.381 "/>
    <s v=" 65.1889 "/>
    <x v="0"/>
    <n v="253805"/>
    <m/>
    <m/>
    <m/>
  </r>
  <r>
    <x v="2"/>
    <x v="1"/>
    <s v="F:\images\20210604\plaque 1/@02 EE2 33.8 ng_L/B2_01.tif "/>
    <s v=" 346.0783 "/>
    <s v=" 62.75 "/>
    <x v="0"/>
    <n v="21716"/>
    <m/>
    <m/>
    <m/>
  </r>
  <r>
    <x v="2"/>
    <x v="1"/>
    <s v="F:\images\20210604\plaque 1/@02 EE2 33.8 ng_L/B2_02.tif "/>
    <s v=" 281.1886 "/>
    <s v=" 63.0769 "/>
    <x v="0"/>
    <n v="17737"/>
    <m/>
    <m/>
    <m/>
  </r>
  <r>
    <x v="2"/>
    <x v="1"/>
    <s v="F:\images\20210604\plaque 1/@02 EE2 33.8 ng_L/B2_03.tif "/>
    <s v=" 1081.4947 "/>
    <s v=" 63.6 "/>
    <x v="0"/>
    <n v="68783"/>
    <m/>
    <m/>
    <m/>
  </r>
  <r>
    <x v="2"/>
    <x v="2"/>
    <s v="F:\images\20210604\plaque 1/@02 EE2 33.8 ng_L/C2_01.tif "/>
    <s v=" 3633.8223 "/>
    <s v=" 67.6607 "/>
    <x v="0"/>
    <n v="245867"/>
    <m/>
    <m/>
    <m/>
  </r>
  <r>
    <x v="2"/>
    <x v="2"/>
    <s v="F:\images\20210604\plaque 1/@02 EE2 33.8 ng_L/C2_02.tif "/>
    <s v=" 735.4164 "/>
    <s v=" 63.6765 "/>
    <x v="0"/>
    <n v="46829"/>
    <m/>
    <m/>
    <m/>
  </r>
  <r>
    <x v="2"/>
    <x v="2"/>
    <s v="F:\images\20210604\plaque 1/@02 EE2 33.8 ng_L/C2_03.tif "/>
    <s v=" 3222.8543 "/>
    <s v=" 64.9933 "/>
    <x v="0"/>
    <n v="209464"/>
    <m/>
    <m/>
    <m/>
  </r>
  <r>
    <x v="2"/>
    <x v="3"/>
    <s v="F:\images\20210604\plaque 1/@02 EE2 33.8 ng_L/D2_01.tif "/>
    <s v=" 259.5587 "/>
    <s v=" 64.1667 "/>
    <x v="0"/>
    <n v="16655"/>
    <m/>
    <m/>
    <m/>
  </r>
  <r>
    <x v="2"/>
    <x v="3"/>
    <s v="F:\images\20210604\plaque 1/@02 EE2 33.8 ng_L/D2_02.tif "/>
    <s v=" 648.8968 "/>
    <s v=" 62.9667 "/>
    <x v="0"/>
    <n v="40859"/>
    <m/>
    <m/>
    <m/>
  </r>
  <r>
    <x v="2"/>
    <x v="3"/>
    <s v="F:\images\20210604\plaque 1/@02 EE2 33.8 ng_L/D2_03.tif "/>
    <s v=" 346.0783 "/>
    <s v=" 61.75 "/>
    <x v="0"/>
    <n v="21370"/>
    <m/>
    <m/>
    <m/>
  </r>
  <r>
    <x v="2"/>
    <x v="4"/>
    <s v="F:\images\20210604\plaque 1/@02 EE2 33.8 ng_L/E2_01.tif "/>
    <s v=" 346.0783 "/>
    <s v=" 63.375 "/>
    <x v="0"/>
    <n v="21933"/>
    <m/>
    <m/>
    <m/>
  </r>
  <r>
    <x v="2"/>
    <x v="4"/>
    <s v="F:\images\20210604\plaque 1/@02 EE2 33.8 ng_L/E2_02.tif "/>
    <s v=" 281.1886 "/>
    <s v=" 64.6154 "/>
    <x v="0"/>
    <n v="18169"/>
    <m/>
    <m/>
    <m/>
  </r>
  <r>
    <x v="2"/>
    <x v="4"/>
    <s v="F:\images\20210604\plaque 1/@02 EE2 33.8 ng_L/E2_03.tif "/>
    <s v=" 540.7474 "/>
    <s v=" 64.36 "/>
    <x v="0"/>
    <n v="34803"/>
    <m/>
    <m/>
    <m/>
  </r>
  <r>
    <x v="2"/>
    <x v="5"/>
    <s v="F:\images\20210604\plaque 1/@02 EE2 33.8 ng_L/F2_01.tif "/>
    <s v=" 692.1566 "/>
    <s v=" 64.6562 "/>
    <x v="0"/>
    <n v="44752"/>
    <m/>
    <m/>
    <m/>
  </r>
  <r>
    <x v="2"/>
    <x v="5"/>
    <s v="F:\images\20210604\plaque 1/@02 EE2 33.8 ng_L/F2_02.tif "/>
    <s v=" 692.1566 "/>
    <s v=" 63.375 "/>
    <x v="0"/>
    <n v="43865"/>
    <m/>
    <m/>
    <m/>
  </r>
  <r>
    <x v="2"/>
    <x v="5"/>
    <s v="F:\images\20210604\plaque 1/@02 EE2 33.8 ng_L/F2_03.tif "/>
    <s v=" 821.936 "/>
    <s v=" 63.6316 "/>
    <x v="0"/>
    <n v="52301"/>
    <m/>
    <m/>
    <m/>
  </r>
  <r>
    <x v="2"/>
    <x v="6"/>
    <s v="F:\images\20210604\plaque 1/@02 EE2 33.8 ng_L/G2_01.tif "/>
    <s v=" 5320.9541 "/>
    <s v=" 67.3496 "/>
    <x v="0"/>
    <n v="358364"/>
    <m/>
    <m/>
    <m/>
  </r>
  <r>
    <x v="2"/>
    <x v="6"/>
    <s v="F:\images\20210604\plaque 1/@02 EE2 33.8 ng_L/G2_02.tif "/>
    <s v=" 3655.4522 "/>
    <s v=" 65.3669 "/>
    <x v="0"/>
    <n v="238945"/>
    <m/>
    <m/>
    <m/>
  </r>
  <r>
    <x v="2"/>
    <x v="6"/>
    <s v="F:\images\20210604\plaque 1/@02 EE2 33.8 ng_L/G2_03.tif "/>
    <s v=" 735.4164 "/>
    <s v=" 64.2353 "/>
    <x v="0"/>
    <n v="47240"/>
    <m/>
    <m/>
    <m/>
  </r>
  <r>
    <x v="2"/>
    <x v="7"/>
    <s v="F:\images\20210604\plaque 1/@02 EE2 33.8 ng_L/H2_01.tif "/>
    <s v=" 3395.8935 "/>
    <s v=" 67.1338 "/>
    <x v="0"/>
    <n v="227979"/>
    <m/>
    <m/>
    <m/>
  </r>
  <r>
    <x v="2"/>
    <x v="7"/>
    <s v="F:\images\20210604\plaque 1/@02 EE2 33.8 ng_L/H2_02.tif "/>
    <s v=" 5710.2922 "/>
    <s v=" 68.5568 "/>
    <x v="0"/>
    <n v="391479"/>
    <m/>
    <m/>
    <m/>
  </r>
  <r>
    <x v="2"/>
    <x v="7"/>
    <s v="F:\images\20210604\plaque 1/@02 EE2 33.8 ng_L/H2_03.tif "/>
    <s v=" 4304.349 "/>
    <s v=" 67.9296 "/>
    <x v="0"/>
    <n v="292393"/>
    <m/>
    <m/>
    <m/>
  </r>
  <r>
    <x v="1"/>
    <x v="8"/>
    <s v=" "/>
    <m/>
    <m/>
    <x v="1"/>
    <m/>
    <m/>
    <m/>
    <m/>
  </r>
  <r>
    <x v="1"/>
    <x v="8"/>
    <s v="group "/>
    <s v=" "/>
    <s v=" mean of mean fluo "/>
    <x v="2"/>
    <s v=" mean of total fluo "/>
    <s v=" SD total fluo "/>
    <s v=" n fluorescent "/>
    <s v=" n total"/>
  </r>
  <r>
    <x v="2"/>
    <x v="9"/>
    <s v="F:\images\20210604\plaque 1/@02 EE2 33.8 ng_L/ "/>
    <s v=" "/>
    <s v=" 64.7623 "/>
    <x v="4"/>
    <s v=" 133222.083 "/>
    <s v=" 139861.3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604\plaque 1/@03 EE2 50.6 ng_L/A3_01.tif "/>
    <s v=" 1405.9432 "/>
    <s v=" 63.2615 "/>
    <x v="0"/>
    <n v="88942"/>
    <m/>
    <m/>
    <m/>
  </r>
  <r>
    <x v="3"/>
    <x v="0"/>
    <s v="F:\images\20210604\plaque 1/@03 EE2 50.6 ng_L/A3_02.tif "/>
    <s v=" 2898.4059 "/>
    <s v=" 66.5224 "/>
    <x v="0"/>
    <n v="192809"/>
    <m/>
    <m/>
    <m/>
  </r>
  <r>
    <x v="3"/>
    <x v="0"/>
    <s v="F:\images\20210604\plaque 1/@03 EE2 50.6 ng_L/A3_03.tif "/>
    <s v=" 454.2278 "/>
    <s v=" 62.3333 "/>
    <x v="0"/>
    <n v="28314"/>
    <m/>
    <m/>
    <m/>
  </r>
  <r>
    <x v="3"/>
    <x v="1"/>
    <s v="F:\images\20210604\plaque 1/@03 EE2 50.6 ng_L/B3_01.tif "/>
    <s v=" 389.3381 "/>
    <s v=" 61.7778 "/>
    <x v="0"/>
    <n v="24052"/>
    <m/>
    <m/>
    <m/>
  </r>
  <r>
    <x v="3"/>
    <x v="1"/>
    <s v="F:\images\20210604\plaque 1/@03 EE2 50.6 ng_L/B3_02.tif "/>
    <s v=" 410.968 "/>
    <s v=" 62.6842 "/>
    <x v="0"/>
    <n v="25761"/>
    <m/>
    <m/>
    <m/>
  </r>
  <r>
    <x v="3"/>
    <x v="1"/>
    <s v="F:\images\20210604\plaque 1/@03 EE2 50.6 ng_L/B3_03.tif "/>
    <s v=" 757.0463 "/>
    <n v="63"/>
    <x v="0"/>
    <n v="47694"/>
    <m/>
    <m/>
    <m/>
  </r>
  <r>
    <x v="3"/>
    <x v="2"/>
    <s v="F:\images\20210604\plaque 1/@03 EE2 50.6 ng_L/C3_01.tif "/>
    <s v=" 1059.8648 "/>
    <s v=" 63.4286 "/>
    <x v="0"/>
    <n v="67226"/>
    <m/>
    <m/>
    <m/>
  </r>
  <r>
    <x v="3"/>
    <x v="2"/>
    <s v="F:\images\20210604\plaque 1/@03 EE2 50.6 ng_L/C3_02.tif "/>
    <s v=" 713.7865 "/>
    <s v=" 63.2727 "/>
    <x v="0"/>
    <n v="45163"/>
    <m/>
    <m/>
    <m/>
  </r>
  <r>
    <x v="3"/>
    <x v="2"/>
    <s v="F:\images\20210604\plaque 1/@03 EE2 50.6 ng_L/C3_03.tif "/>
    <s v=" 930.0855 "/>
    <s v=" 63.3023 "/>
    <x v="0"/>
    <n v="58877"/>
    <m/>
    <m/>
    <m/>
  </r>
  <r>
    <x v="3"/>
    <x v="3"/>
    <s v="F:\images\20210604\plaque 1/@03 EE2 50.6 ng_L/D3_01.tif "/>
    <s v=" 281.1886 "/>
    <s v=" 62.2308 "/>
    <x v="0"/>
    <n v="17499"/>
    <m/>
    <m/>
    <m/>
  </r>
  <r>
    <x v="3"/>
    <x v="3"/>
    <s v="F:\images\20210604\plaque 1/@03 EE2 50.6 ng_L/D3_02.tif "/>
    <s v=" 454.2278 "/>
    <s v=" 63.3333 "/>
    <x v="0"/>
    <n v="28768"/>
    <m/>
    <m/>
    <m/>
  </r>
  <r>
    <x v="3"/>
    <x v="3"/>
    <s v="F:\images\20210604\plaque 1/@03 EE2 50.6 ng_L/D3_03.tif "/>
    <s v=" 346.0783 "/>
    <s v=" 64.75 "/>
    <x v="0"/>
    <n v="22409"/>
    <m/>
    <m/>
    <m/>
  </r>
  <r>
    <x v="3"/>
    <x v="4"/>
    <s v="F:\images\20210604\plaque 1/@03 EE2 50.6 ng_L/E3_01.tif "/>
    <s v=" 692.1566 "/>
    <s v=" 64.875 "/>
    <x v="0"/>
    <n v="44904"/>
    <m/>
    <m/>
    <m/>
  </r>
  <r>
    <x v="3"/>
    <x v="4"/>
    <s v="F:\images\20210604\plaque 1/@03 EE2 50.6 ng_L/E3_02.tif "/>
    <s v=" 4066.4202 "/>
    <s v=" 66.9149 "/>
    <x v="0"/>
    <n v="272104"/>
    <m/>
    <m/>
    <m/>
  </r>
  <r>
    <x v="3"/>
    <x v="4"/>
    <s v="F:\images\20210604\plaque 1/@03 EE2 50.6 ng_L/E3_03- exclu.tif"/>
    <m/>
    <m/>
    <x v="1"/>
    <m/>
    <m/>
    <m/>
    <m/>
  </r>
  <r>
    <x v="3"/>
    <x v="5"/>
    <s v="F:\images\20210604\plaque 1/@03 EE2 50.6 ng_L/F3_01.tif "/>
    <s v=" 540.7474 "/>
    <s v=" 63.36 "/>
    <x v="0"/>
    <n v="34262"/>
    <m/>
    <m/>
    <m/>
  </r>
  <r>
    <x v="3"/>
    <x v="5"/>
    <s v="F:\images\20210604\plaque 1/@03 EE2 50.6 ng_L/F3_02.tif "/>
    <s v=" 562.3773 "/>
    <n v="65"/>
    <x v="0"/>
    <n v="36555"/>
    <m/>
    <m/>
    <m/>
  </r>
  <r>
    <x v="3"/>
    <x v="5"/>
    <s v="F:\images\20210604\plaque 1/@03 EE2 50.6 ng_L/F3_03.tif "/>
    <s v=" 1470.8328 "/>
    <s v=" 64.0441 "/>
    <x v="0"/>
    <n v="94198"/>
    <m/>
    <m/>
    <m/>
  </r>
  <r>
    <x v="3"/>
    <x v="6"/>
    <s v="F:\images\20210604\plaque 1/@03 EE2 50.6 ng_L/G3_01.tif "/>
    <s v=" 302.8185 "/>
    <s v=" 63.7143 "/>
    <x v="0"/>
    <n v="19294"/>
    <m/>
    <m/>
    <m/>
  </r>
  <r>
    <x v="3"/>
    <x v="6"/>
    <s v="F:\images\20210604\plaque 1/@03 EE2 50.6 ng_L/G3_02.tif "/>
    <s v=" 1276.1638 "/>
    <s v=" 65.2542 "/>
    <x v="0"/>
    <n v="83275"/>
    <m/>
    <m/>
    <m/>
  </r>
  <r>
    <x v="3"/>
    <x v="6"/>
    <s v="F:\images\20210604\plaque 1/@03 EE2 50.6 ng_L/G3_03.tif "/>
    <s v=" 1341.0535 "/>
    <s v=" 63.5 "/>
    <x v="0"/>
    <n v="85157"/>
    <m/>
    <m/>
    <m/>
  </r>
  <r>
    <x v="3"/>
    <x v="7"/>
    <s v="F:\images\20210604\plaque 1/@03 EE2 50.6 ng_L/H3_01.tif "/>
    <s v=" 670.5267 "/>
    <s v=" 63.3548 "/>
    <x v="0"/>
    <n v="42481"/>
    <m/>
    <m/>
    <m/>
  </r>
  <r>
    <x v="3"/>
    <x v="7"/>
    <s v="F:\images\20210604\plaque 1/@03 EE2 50.6 ng_L/H3_02.tif "/>
    <s v=" 800.3061 "/>
    <s v=" 63.2432 "/>
    <x v="0"/>
    <n v="50614"/>
    <m/>
    <m/>
    <m/>
  </r>
  <r>
    <x v="3"/>
    <x v="7"/>
    <s v="F:\images\20210604\plaque 1/@03 EE2 50.6 ng_L/H3_03.tif "/>
    <s v=" 389.3381 "/>
    <s v=" 62.0556 "/>
    <x v="0"/>
    <n v="24161"/>
    <m/>
    <m/>
    <m/>
  </r>
  <r>
    <x v="1"/>
    <x v="8"/>
    <s v=" "/>
    <m/>
    <m/>
    <x v="1"/>
    <m/>
    <m/>
    <m/>
    <m/>
  </r>
  <r>
    <x v="1"/>
    <x v="8"/>
    <s v="group "/>
    <s v=" "/>
    <s v=" mean of mean fluo "/>
    <x v="2"/>
    <s v=" mean of total fluo "/>
    <s v=" SD total fluo "/>
    <s v=" n fluorescent "/>
    <s v=" n total"/>
  </r>
  <r>
    <x v="3"/>
    <x v="9"/>
    <s v="F:\images\20210604\plaque 1/@03 EE2 50.6 ng_L/ "/>
    <s v=" "/>
    <s v=" 63.7953 "/>
    <x v="5"/>
    <s v=" 60246.5833 "/>
    <s v=" 59356.5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604\plaque 1/@04 EE2 76 ng_L/A4_01.tif "/>
    <s v=" 12437.1894 "/>
    <s v=" 70.7548 "/>
    <x v="0"/>
    <n v="879991"/>
    <m/>
    <m/>
    <m/>
  </r>
  <r>
    <x v="4"/>
    <x v="0"/>
    <s v="F:\images\20210604\plaque 1/@04 EE2 76 ng_L/A4_02.tif "/>
    <s v=" 7483.9435 "/>
    <s v=" 67.2428 "/>
    <x v="0"/>
    <n v="503241"/>
    <m/>
    <m/>
    <m/>
  </r>
  <r>
    <x v="4"/>
    <x v="0"/>
    <s v="F:\images\20210604\plaque 1/@04 EE2 76 ng_L/A4_03.tif "/>
    <s v=" 5796.8118 "/>
    <s v=" 66.653 "/>
    <x v="0"/>
    <n v="386375"/>
    <m/>
    <m/>
    <m/>
  </r>
  <r>
    <x v="4"/>
    <x v="1"/>
    <s v="F:\images\20210604\plaque 1/@04 EE2 76 ng_L/B4_01.tif "/>
    <s v=" 3136.3347 "/>
    <s v=" 63.3862 "/>
    <x v="0"/>
    <n v="198800"/>
    <m/>
    <m/>
    <m/>
  </r>
  <r>
    <x v="4"/>
    <x v="1"/>
    <s v="F:\images\20210604\plaque 1/@04 EE2 76 ng_L/B4_02.tif "/>
    <s v=" 3915.0109 "/>
    <s v=" 63.326 "/>
    <x v="0"/>
    <n v="247922"/>
    <m/>
    <m/>
    <m/>
  </r>
  <r>
    <x v="4"/>
    <x v="1"/>
    <s v="F:\images\20210604\plaque 1/@04 EE2 76 ng_L/B4_03.tif "/>
    <s v=" 5688.6623 "/>
    <s v=" 63.7643 "/>
    <x v="0"/>
    <n v="362733"/>
    <m/>
    <m/>
    <m/>
  </r>
  <r>
    <x v="4"/>
    <x v="2"/>
    <s v="F:\images\20210604\plaque 1/@04 EE2 76 ng_L/C4_01.tif "/>
    <s v=" 3547.3027 "/>
    <s v=" 65.0671 "/>
    <x v="0"/>
    <n v="230813"/>
    <m/>
    <m/>
    <m/>
  </r>
  <r>
    <x v="4"/>
    <x v="2"/>
    <s v="F:\images\20210604\plaque 1/@04 EE2 76 ng_L/C4_02.tif "/>
    <s v=" 4174.5697 "/>
    <s v=" 66.0933 "/>
    <x v="0"/>
    <n v="275911"/>
    <m/>
    <m/>
    <m/>
  </r>
  <r>
    <x v="4"/>
    <x v="2"/>
    <s v="F:\images\20210604\plaque 1/@04 EE2 76 ng_L/C4_03.tif "/>
    <s v=" 3806.8615 "/>
    <s v=" 65.4602 "/>
    <x v="0"/>
    <n v="249198"/>
    <m/>
    <m/>
    <m/>
  </r>
  <r>
    <x v="4"/>
    <x v="3"/>
    <s v="F:\images\20210604\plaque 1/@04 EE2 76 ng_L/D4_01.tif "/>
    <s v=" 1773.6514 "/>
    <s v=" 64.5 "/>
    <x v="0"/>
    <n v="114401"/>
    <m/>
    <m/>
    <m/>
  </r>
  <r>
    <x v="4"/>
    <x v="3"/>
    <s v="F:\images\20210604\plaque 1/@04 EE2 76 ng_L/D4_02.tif "/>
    <s v=" 2573.9575 "/>
    <s v=" 64.6807 "/>
    <x v="0"/>
    <n v="166485"/>
    <m/>
    <m/>
    <m/>
  </r>
  <r>
    <x v="4"/>
    <x v="3"/>
    <s v="F:\images\20210604\plaque 1/@04 EE2 76 ng_L/D4_03.tif "/>
    <s v=" 346.0783 "/>
    <s v=" 63.9375 "/>
    <x v="0"/>
    <n v="22127"/>
    <m/>
    <m/>
    <m/>
  </r>
  <r>
    <x v="4"/>
    <x v="4"/>
    <s v="F:\images\20210604\plaque 1/@04 EE2 76 ng_L/E4_01.tif "/>
    <s v=" 367.7082 "/>
    <s v=" 63.7647 "/>
    <x v="0"/>
    <n v="23447"/>
    <m/>
    <m/>
    <m/>
  </r>
  <r>
    <x v="4"/>
    <x v="4"/>
    <s v="F:\images\20210604\plaque 1/@04 EE2 76 ng_L/E4_02.tif "/>
    <s v=" 3179.5945 "/>
    <s v=" 65.3129 "/>
    <x v="0"/>
    <n v="207669"/>
    <m/>
    <m/>
    <m/>
  </r>
  <r>
    <x v="4"/>
    <x v="4"/>
    <s v="F:\images\20210604\plaque 1/@04 EE2 76 ng_L/E4_03.tif "/>
    <s v=" 1427.573 "/>
    <s v=" 63.2879 "/>
    <x v="0"/>
    <n v="90348"/>
    <m/>
    <m/>
    <m/>
  </r>
  <r>
    <x v="4"/>
    <x v="5"/>
    <s v="F:\images\20210604\plaque 1/@04 EE2 76 ng_L/F4_01.tif "/>
    <s v=" 6142.8901 "/>
    <s v=" 64.3345 "/>
    <x v="0"/>
    <n v="395200"/>
    <m/>
    <m/>
    <m/>
  </r>
  <r>
    <x v="4"/>
    <x v="5"/>
    <s v="F:\images\20210604\plaque 1/@04 EE2 76 ng_L/F4_02.tif "/>
    <s v=" 3504.0429 "/>
    <s v=" 63.8272 "/>
    <x v="0"/>
    <n v="223653"/>
    <m/>
    <m/>
    <m/>
  </r>
  <r>
    <x v="4"/>
    <x v="5"/>
    <s v="F:\images\20210604\plaque 1/@04 EE2 76 ng_L/F4_03.tif "/>
    <s v=" 6532.2282 "/>
    <s v=" 64.596 "/>
    <x v="0"/>
    <n v="421956"/>
    <m/>
    <m/>
    <m/>
  </r>
  <r>
    <x v="4"/>
    <x v="6"/>
    <s v="F:\images\20210604\plaque 1/@04 EE2 76 ng_L/G4_01.tif "/>
    <s v=" 36965.4899 "/>
    <s v=" 74.4722 "/>
    <x v="0"/>
    <n v="2752902"/>
    <m/>
    <m/>
    <m/>
  </r>
  <r>
    <x v="4"/>
    <x v="6"/>
    <s v="F:\images\20210604\plaque 1/@04 EE2 76 ng_L/G4_02.tif "/>
    <s v=" 38890.5505 "/>
    <s v=" 71.802 "/>
    <x v="0"/>
    <n v="2792419"/>
    <m/>
    <m/>
    <m/>
  </r>
  <r>
    <x v="4"/>
    <x v="6"/>
    <s v="F:\images\20210604\plaque 1/@04 EE2 76 ng_L/G4_03.tif "/>
    <s v=" 38328.1733 "/>
    <s v=" 72.1563 "/>
    <x v="0"/>
    <n v="2765620"/>
    <m/>
    <m/>
    <m/>
  </r>
  <r>
    <x v="4"/>
    <x v="7"/>
    <s v="F:\images\20210604\plaque 1/@04 EE2 76 ng_L/H4_01.tif "/>
    <s v=" 778.6762 "/>
    <s v=" 64.0556 "/>
    <x v="0"/>
    <n v="49879"/>
    <m/>
    <m/>
    <m/>
  </r>
  <r>
    <x v="4"/>
    <x v="7"/>
    <s v="F:\images\20210604\plaque 1/@04 EE2 76 ng_L/H4_02.tif "/>
    <s v=" 454.2278 "/>
    <s v=" 63.381 "/>
    <x v="0"/>
    <n v="28789"/>
    <m/>
    <m/>
    <m/>
  </r>
  <r>
    <x v="4"/>
    <x v="7"/>
    <s v="F:\images\20210604\plaque 1/@04 EE2 76 ng_L/H4_03.tif "/>
    <s v=" 129.7794 "/>
    <n v="65"/>
    <x v="0"/>
    <n v="8436"/>
    <m/>
    <m/>
    <m/>
  </r>
  <r>
    <x v="1"/>
    <x v="8"/>
    <s v=" "/>
    <m/>
    <m/>
    <x v="1"/>
    <m/>
    <m/>
    <m/>
    <m/>
  </r>
  <r>
    <x v="1"/>
    <x v="8"/>
    <s v="group "/>
    <s v=" "/>
    <s v=" mean of mean fluo "/>
    <x v="2"/>
    <s v=" mean of total fluo "/>
    <s v=" SD total fluo "/>
    <s v=" n fluorescent "/>
    <s v=" n total"/>
  </r>
  <r>
    <x v="4"/>
    <x v="9"/>
    <s v="F:\images\20210604\plaque 1/@04 EE2 76 ng_L/ "/>
    <s v=" "/>
    <s v=" 65.869 "/>
    <x v="6"/>
    <s v=" 558263.125 "/>
    <s v=" 875430.2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604\plaque 1/@05 EE2 114 ng_L/A5_01.tif "/>
    <s v=" 9690.1928 "/>
    <s v=" 67.5268 "/>
    <x v="0"/>
    <n v="654348"/>
    <m/>
    <m/>
    <m/>
  </r>
  <r>
    <x v="5"/>
    <x v="0"/>
    <s v="F:\images\20210604\plaque 1/@05 EE2 114 ng_L/A5_02.tif "/>
    <s v=" 7700.2425 "/>
    <s v=" 66.4663 "/>
    <x v="0"/>
    <n v="511807"/>
    <m/>
    <m/>
    <m/>
  </r>
  <r>
    <x v="5"/>
    <x v="0"/>
    <s v="F:\images\20210604\plaque 1/@05 EE2 114 ng_L/A5_03.tif "/>
    <s v=" 8240.9899 "/>
    <s v=" 66.2336 "/>
    <x v="0"/>
    <n v="545830"/>
    <m/>
    <m/>
    <m/>
  </r>
  <r>
    <x v="5"/>
    <x v="1"/>
    <s v="F:\images\20210604\plaque 1/@05 EE2 114 ng_L/B5_01.tif "/>
    <s v=" 13734.9831 "/>
    <s v=" 66.6157 "/>
    <x v="0"/>
    <n v="914966"/>
    <m/>
    <m/>
    <m/>
  </r>
  <r>
    <x v="5"/>
    <x v="1"/>
    <s v="F:\images\20210604\plaque 1/@05 EE2 114 ng_L/B5_02.tif "/>
    <s v=" 10101.1608 "/>
    <s v=" 64.5289 "/>
    <x v="0"/>
    <n v="651817"/>
    <m/>
    <m/>
    <m/>
  </r>
  <r>
    <x v="5"/>
    <x v="1"/>
    <s v="F:\images\20210604\plaque 1/@05 EE2 114 ng_L/B5_03.tif "/>
    <s v=" 14405.5098 "/>
    <s v=" 66.5976 "/>
    <x v="0"/>
    <n v="959372"/>
    <m/>
    <m/>
    <m/>
  </r>
  <r>
    <x v="5"/>
    <x v="2"/>
    <s v="F:\images\20210604\plaque 1/@05 EE2 114 ng_L/C5_01.tif "/>
    <s v=" 14016.1717 "/>
    <s v=" 67.1019 "/>
    <x v="0"/>
    <n v="940511"/>
    <m/>
    <m/>
    <m/>
  </r>
  <r>
    <x v="5"/>
    <x v="2"/>
    <s v="F:\images\20210604\plaque 1/@05 EE2 114 ng_L/C5_02.tif "/>
    <s v=" 8111.2105 "/>
    <s v=" 64.5307 "/>
    <x v="0"/>
    <n v="523422"/>
    <m/>
    <m/>
    <m/>
  </r>
  <r>
    <x v="5"/>
    <x v="2"/>
    <s v="F:\images\20210604\plaque 1/@05 EE2 114 ng_L/C5_03.tif "/>
    <s v=" 10425.6092 "/>
    <s v=" 65.9212 "/>
    <x v="0"/>
    <n v="687268"/>
    <m/>
    <m/>
    <m/>
  </r>
  <r>
    <x v="5"/>
    <x v="3"/>
    <s v="F:\images\20210604\plaque 1/@05 EE2 114 ng_L/D5_01.tif "/>
    <s v=" 20851.2184 "/>
    <s v=" 74.1411 "/>
    <x v="0"/>
    <n v="1545932"/>
    <m/>
    <m/>
    <m/>
  </r>
  <r>
    <x v="5"/>
    <x v="3"/>
    <s v="F:\images\20210604\plaque 1/@05 EE2 114 ng_L/D5_02.tif "/>
    <s v=" 25458.386 "/>
    <s v=" 82.2634 "/>
    <x v="0"/>
    <n v="2094293"/>
    <m/>
    <m/>
    <m/>
  </r>
  <r>
    <x v="5"/>
    <x v="3"/>
    <s v="F:\images\20210604\plaque 1/@05 EE2 114 ng_L/D5_03.tif "/>
    <s v=" 33526.3367 "/>
    <s v=" 76.7981 "/>
    <x v="0"/>
    <n v="2574758"/>
    <m/>
    <m/>
    <m/>
  </r>
  <r>
    <x v="5"/>
    <x v="4"/>
    <s v="F:\images\20210604\plaque 1/@05 EE2 114 ng_L/E5_01.tif "/>
    <s v=" 4347.6088 "/>
    <s v=" 63.7264 "/>
    <x v="0"/>
    <n v="277057"/>
    <m/>
    <m/>
    <m/>
  </r>
  <r>
    <x v="5"/>
    <x v="4"/>
    <s v="F:\images\20210604\plaque 1/@05 EE2 114 ng_L/E5_02.tif "/>
    <s v=" 3439.1532 "/>
    <s v=" 63.3836 "/>
    <x v="0"/>
    <n v="217986"/>
    <m/>
    <m/>
    <m/>
  </r>
  <r>
    <x v="5"/>
    <x v="4"/>
    <s v="F:\images\20210604\plaque 1/@05 EE2 114 ng_L/E5_03.tif "/>
    <s v=" 8651.9579 "/>
    <s v=" 64.21 "/>
    <x v="0"/>
    <n v="555542"/>
    <m/>
    <m/>
    <m/>
  </r>
  <r>
    <x v="5"/>
    <x v="5"/>
    <s v="F:\images\20210604\plaque 1/@05 EE2 114 ng_L/F5_01.tif "/>
    <s v=" 44384.5438 "/>
    <s v=" 70.7261 "/>
    <x v="0"/>
    <n v="3139147"/>
    <m/>
    <m/>
    <m/>
  </r>
  <r>
    <x v="5"/>
    <x v="5"/>
    <s v="F:\images\20210604\plaque 1/@05 EE2 114 ng_L/F5_02.tif "/>
    <s v=" 45941.8962 "/>
    <s v=" 71.186 "/>
    <x v="0"/>
    <n v="3270418"/>
    <m/>
    <m/>
    <m/>
  </r>
  <r>
    <x v="5"/>
    <x v="5"/>
    <s v="F:\images\20210604\plaque 1/@05 EE2 114 ng_L/F5_03.tif "/>
    <s v=" 40664.2019 "/>
    <s v=" 71.3117 "/>
    <x v="0"/>
    <n v="2899833"/>
    <m/>
    <m/>
    <m/>
  </r>
  <r>
    <x v="5"/>
    <x v="6"/>
    <s v="F:\images\20210604\plaque 1/@05 EE2 114 ng_L/G5_01.tif "/>
    <s v=" 20699.8092 "/>
    <s v=" 66.534 "/>
    <x v="0"/>
    <n v="1377240"/>
    <m/>
    <m/>
    <m/>
  </r>
  <r>
    <x v="5"/>
    <x v="6"/>
    <s v="F:\images\20210604\plaque 1/@05 EE2 114 ng_L/G5_02.tif "/>
    <s v=" 24095.7026 "/>
    <s v=" 65.8438 "/>
    <x v="0"/>
    <n v="1586553"/>
    <m/>
    <m/>
    <m/>
  </r>
  <r>
    <x v="5"/>
    <x v="6"/>
    <s v="F:\images\20210604\plaque 1/@05 EE2 114 ng_L/G5_03.tif "/>
    <s v=" 16611.7591 "/>
    <s v=" 65.5091 "/>
    <x v="0"/>
    <n v="1088222"/>
    <m/>
    <m/>
    <m/>
  </r>
  <r>
    <x v="5"/>
    <x v="7"/>
    <s v="F:\images\20210604\plaque 1/@05 EE2 114 ng_L/H5_01.tif "/>
    <s v=" 39604.3371 "/>
    <s v=" 70.6281 "/>
    <x v="0"/>
    <n v="2797178"/>
    <m/>
    <m/>
    <m/>
  </r>
  <r>
    <x v="5"/>
    <x v="7"/>
    <s v="F:\images\20210604\plaque 1/@05 EE2 114 ng_L/H5_02.tif "/>
    <s v=" 23317.0264 "/>
    <s v=" 65.6976 "/>
    <x v="0"/>
    <n v="1531872"/>
    <m/>
    <m/>
    <m/>
  </r>
  <r>
    <x v="5"/>
    <x v="7"/>
    <s v="F:\images\20210604\plaque 1/@05 EE2 114 ng_L/H5_03.tif "/>
    <s v=" 37527.8672 "/>
    <s v=" 70.0248 "/>
    <x v="0"/>
    <n v="2627881"/>
    <m/>
    <m/>
    <m/>
  </r>
  <r>
    <x v="1"/>
    <x v="8"/>
    <s v=" "/>
    <m/>
    <m/>
    <x v="1"/>
    <m/>
    <m/>
    <m/>
    <m/>
  </r>
  <r>
    <x v="1"/>
    <x v="8"/>
    <s v="group "/>
    <s v=" "/>
    <s v=" mean of mean fluo "/>
    <x v="2"/>
    <s v=" mean of total fluo "/>
    <s v=" SD total fluo "/>
    <s v=" n fluorescent "/>
    <s v=" n total"/>
  </r>
  <r>
    <x v="5"/>
    <x v="9"/>
    <s v="F:\images\20210604\plaque 1/@05 EE2 114 ng_L/ "/>
    <s v=" "/>
    <s v=" 68.2294 "/>
    <x v="7"/>
    <s v=" 1415552.21 "/>
    <s v=" 982064.1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604\plaque 1/@06 EE2 170.9 ng_L/A6_01.tif "/>
    <s v=" 18342.1506 "/>
    <s v=" 69.6781 "/>
    <x v="0"/>
    <n v="1278046"/>
    <m/>
    <m/>
    <m/>
  </r>
  <r>
    <x v="6"/>
    <x v="0"/>
    <s v="F:\images\20210604\plaque 1/@06 EE2 170.9 ng_L/A6_02.tif "/>
    <s v=" 18796.3784 "/>
    <s v=" 69.1623 "/>
    <x v="0"/>
    <n v="1300000"/>
    <m/>
    <m/>
    <m/>
  </r>
  <r>
    <x v="6"/>
    <x v="0"/>
    <s v="F:\images\20210604\plaque 1/@06 EE2 170.9 ng_L/A6_03.tif "/>
    <s v=" 7159.4951 "/>
    <s v=" 65.2749 "/>
    <x v="0"/>
    <n v="467336"/>
    <m/>
    <m/>
    <m/>
  </r>
  <r>
    <x v="6"/>
    <x v="1"/>
    <s v="F:\images\20210604\plaque 1/@06 EE2 170.9 ng_L/B6_01.tif "/>
    <s v=" 20202.3216 "/>
    <s v=" 65.9293 "/>
    <x v="0"/>
    <n v="1331926"/>
    <m/>
    <m/>
    <m/>
  </r>
  <r>
    <x v="6"/>
    <x v="1"/>
    <s v="F:\images\20210604\plaque 1/@06 EE2 170.9 ng_L/B6_02.tif "/>
    <s v=" 19488.5351 "/>
    <s v=" 65.8646 "/>
    <x v="0"/>
    <n v="1283604"/>
    <m/>
    <m/>
    <m/>
  </r>
  <r>
    <x v="6"/>
    <x v="1"/>
    <s v="F:\images\20210604\plaque 1/@06 EE2 170.9 ng_L/B6_03.tif "/>
    <s v=" 33721.0057 "/>
    <s v=" 67.4246 "/>
    <x v="0"/>
    <n v="2273626"/>
    <m/>
    <m/>
    <m/>
  </r>
  <r>
    <x v="6"/>
    <x v="2"/>
    <s v="F:\images\20210604\plaque 1/@06 EE2 170.9 ng_L/C6_01.tif "/>
    <s v=" 19358.7557 "/>
    <s v=" 66.8626 "/>
    <x v="0"/>
    <n v="1294376"/>
    <m/>
    <m/>
    <m/>
  </r>
  <r>
    <x v="6"/>
    <x v="2"/>
    <s v="F:\images\20210604\plaque 1/@06 EE2 170.9 ng_L/C6_02.tif "/>
    <s v=" 18428.6702 "/>
    <s v=" 66.9026 "/>
    <x v="0"/>
    <n v="1232926"/>
    <m/>
    <m/>
    <m/>
  </r>
  <r>
    <x v="6"/>
    <x v="2"/>
    <s v="F:\images\20210604\plaque 1/@06 EE2 170.9 ng_L/C6_03.tif "/>
    <s v=" 23641.4748 "/>
    <s v=" 68.5489 "/>
    <x v="0"/>
    <n v="1620598"/>
    <m/>
    <m/>
    <m/>
  </r>
  <r>
    <x v="6"/>
    <x v="3"/>
    <s v="F:\images\20210604\plaque 1/@06 EE2 170.9 ng_L/D6_01.tif "/>
    <s v=" 41269.839 "/>
    <s v=" 73.2683 "/>
    <x v="0"/>
    <n v="3023773"/>
    <m/>
    <m/>
    <m/>
  </r>
  <r>
    <x v="6"/>
    <x v="3"/>
    <s v="F:\images\20210604\plaque 1/@06 EE2 170.9 ng_L/D6_02.tif "/>
    <s v=" 38457.9527 "/>
    <s v=" 73.0838 "/>
    <x v="0"/>
    <n v="2810653"/>
    <m/>
    <m/>
    <m/>
  </r>
  <r>
    <x v="6"/>
    <x v="3"/>
    <s v="F:\images\20210604\plaque 1/@06 EE2 170.9 ng_L/D6_03.tif "/>
    <s v=" 40274.8638 "/>
    <s v=" 73.2159 "/>
    <x v="0"/>
    <n v="2948760"/>
    <m/>
    <m/>
    <m/>
  </r>
  <r>
    <x v="6"/>
    <x v="4"/>
    <s v="F:\images\20210604\plaque 1/@06 EE2 170.9 ng_L/E6_01.tif "/>
    <s v=" 46093.3055 "/>
    <s v=" 72.4453 "/>
    <x v="0"/>
    <n v="3339245"/>
    <m/>
    <m/>
    <m/>
  </r>
  <r>
    <x v="6"/>
    <x v="4"/>
    <s v="F:\images\20210604\plaque 1/@06 EE2 170.9 ng_L/E6_02.tif "/>
    <s v=" 42113.4048 "/>
    <s v=" 73.5552 "/>
    <x v="0"/>
    <n v="3097660"/>
    <m/>
    <m/>
    <m/>
  </r>
  <r>
    <x v="6"/>
    <x v="4"/>
    <s v="F:\images\20210604\plaque 1/@06 EE2 170.9 ng_L/E6_03.tif "/>
    <s v=" 41572.6575 "/>
    <s v=" 71.1093 "/>
    <x v="0"/>
    <n v="2956201"/>
    <m/>
    <m/>
    <m/>
  </r>
  <r>
    <x v="6"/>
    <x v="5"/>
    <s v="F:\images\20210604\plaque 1/@06 EE2 170.9 ng_L/F6_01.tif "/>
    <s v=" 15768.1932 "/>
    <s v=" 68.9657 "/>
    <x v="0"/>
    <n v="1087465"/>
    <m/>
    <m/>
    <m/>
  </r>
  <r>
    <x v="6"/>
    <x v="5"/>
    <s v="F:\images\20210604\plaque 1/@06 EE2 170.9 ng_L/F6_02.tif "/>
    <s v=" 20440.2504 "/>
    <s v=" 72.8138 "/>
    <x v="0"/>
    <n v="1488331"/>
    <m/>
    <m/>
    <m/>
  </r>
  <r>
    <x v="6"/>
    <x v="5"/>
    <s v="F:\images\20210604\plaque 1/@06 EE2 170.9 ng_L/F6_03.tif "/>
    <s v=" 19921.133 "/>
    <s v=" 71.7883 "/>
    <x v="0"/>
    <n v="1430104"/>
    <m/>
    <m/>
    <m/>
  </r>
  <r>
    <x v="6"/>
    <x v="6"/>
    <s v="F:\images\20210604\plaque 1/@06 EE2 170.9 ng_L/G6_01.tif "/>
    <s v=" 27296.927 "/>
    <s v=" 69.5507 "/>
    <x v="0"/>
    <n v="1898521"/>
    <m/>
    <m/>
    <m/>
  </r>
  <r>
    <x v="6"/>
    <x v="6"/>
    <s v="F:\images\20210604\plaque 1/@06 EE2 170.9 ng_L/G6_02.tif "/>
    <s v=" 25458.386 "/>
    <s v=" 70.5183 "/>
    <x v="0"/>
    <n v="1795281"/>
    <m/>
    <m/>
    <m/>
  </r>
  <r>
    <x v="6"/>
    <x v="6"/>
    <s v="F:\images\20210604\plaque 1/@06 EE2 170.9 ng_L/G6_03.tif "/>
    <s v=" 31082.1586 "/>
    <s v=" 71.0863 "/>
    <x v="0"/>
    <n v="2209515"/>
    <m/>
    <m/>
    <m/>
  </r>
  <r>
    <x v="6"/>
    <x v="7"/>
    <s v="F:\images\20210604\plaque 1/@06 EE2 170.9 ng_L/H6_01.tif "/>
    <s v=" 32812.5502 "/>
    <s v=" 66.2591 "/>
    <x v="0"/>
    <n v="2174129"/>
    <m/>
    <m/>
    <m/>
  </r>
  <r>
    <x v="6"/>
    <x v="7"/>
    <s v="F:\images\20210604\plaque 1/@06 EE2 170.9 ng_L/H6_02.tif "/>
    <s v=" 27491.5961 "/>
    <s v=" 66.1739 "/>
    <x v="0"/>
    <n v="1819226"/>
    <m/>
    <m/>
    <m/>
  </r>
  <r>
    <x v="6"/>
    <x v="7"/>
    <s v="F:\images\20210604\plaque 1/@06 EE2 170.9 ng_L/H6_03.tif "/>
    <s v=" 31038.8988 "/>
    <s v=" 66.4174 "/>
    <x v="0"/>
    <n v="2061524"/>
    <m/>
    <m/>
    <m/>
  </r>
  <r>
    <x v="1"/>
    <x v="8"/>
    <s v=" "/>
    <m/>
    <m/>
    <x v="1"/>
    <m/>
    <m/>
    <m/>
    <m/>
  </r>
  <r>
    <x v="1"/>
    <x v="8"/>
    <s v="group "/>
    <s v=" "/>
    <s v=" mean of mean fluo "/>
    <x v="2"/>
    <s v=" mean of total fluo "/>
    <s v=" SD total fluo "/>
    <s v=" n fluorescent "/>
    <s v=" n total"/>
  </r>
  <r>
    <x v="6"/>
    <x v="9"/>
    <s v="F:\images\20210604\plaque 1/@06 EE2 170.9 ng_L/ "/>
    <s v=" "/>
    <s v=" 69.4125 "/>
    <x v="8"/>
    <s v=" 1925951.08 "/>
    <s v=" 768785.4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604\plaque 1/@07 EE2 488 ng_L/A7_01.tif "/>
    <s v=" 53469.0995 "/>
    <s v=" 77.9939 "/>
    <x v="0"/>
    <n v="4170265"/>
    <m/>
    <m/>
    <m/>
  </r>
  <r>
    <x v="7"/>
    <x v="0"/>
    <s v="F:\images\20210604\plaque 1/@07 EE2 488 ng_L/A7_02.tif "/>
    <s v=" 39885.5257 "/>
    <s v=" 88.6611 "/>
    <x v="0"/>
    <n v="3536293"/>
    <m/>
    <m/>
    <m/>
  </r>
  <r>
    <x v="7"/>
    <x v="0"/>
    <s v="F:\images\20210604\plaque 1/@07 EE2 488 ng_L/A7_03.tif "/>
    <s v=" 42935.3408 "/>
    <s v=" 95.4126 "/>
    <x v="0"/>
    <n v="4096572"/>
    <m/>
    <m/>
    <m/>
  </r>
  <r>
    <x v="7"/>
    <x v="1"/>
    <s v="F:\images\20210604\plaque 1/@07 EE2 488 ng_L/B7_01.tif "/>
    <s v=" 47023.3909 "/>
    <s v=" 89.5083 "/>
    <x v="0"/>
    <n v="4208983"/>
    <m/>
    <m/>
    <m/>
  </r>
  <r>
    <x v="7"/>
    <x v="1"/>
    <s v="F:\images\20210604\plaque 1/@07 EE2 488 ng_L/B7_02.tif "/>
    <s v=" 42783.9316 "/>
    <s v=" 91.5743 "/>
    <x v="0"/>
    <n v="3917909"/>
    <m/>
    <m/>
    <m/>
  </r>
  <r>
    <x v="7"/>
    <x v="1"/>
    <s v="F:\images\20210604\plaque 1/@07 EE2 488 ng_L/B7_03.tif "/>
    <s v=" 45963.5261 "/>
    <s v=" 89.4659 "/>
    <x v="0"/>
    <n v="4112167"/>
    <m/>
    <m/>
    <m/>
  </r>
  <r>
    <x v="7"/>
    <x v="2"/>
    <s v="F:\images\20210604\plaque 1/@07 EE2 488 ng_L/C7_01.tif "/>
    <s v=" 46179.825 "/>
    <s v=" 90.7775 "/>
    <x v="0"/>
    <n v="4192090"/>
    <m/>
    <m/>
    <m/>
  </r>
  <r>
    <x v="7"/>
    <x v="2"/>
    <s v="F:\images\20210604\plaque 1/@07 EE2 488 ng_L/C7_02.tif "/>
    <s v=" 45509.2983 "/>
    <s v=" 85.4701 "/>
    <x v="0"/>
    <n v="3889682"/>
    <m/>
    <m/>
    <m/>
  </r>
  <r>
    <x v="7"/>
    <x v="2"/>
    <s v="F:\images\20210604\plaque 1/@07 EE2 488 ng_L/C7_03.tif "/>
    <s v=" 47282.9497 "/>
    <s v=" 87.9039 "/>
    <x v="0"/>
    <n v="4156357"/>
    <m/>
    <m/>
    <m/>
  </r>
  <r>
    <x v="7"/>
    <x v="3"/>
    <s v="F:\images\20210604\plaque 1/@07 EE2 488 ng_L/D7_01.tif "/>
    <s v=" 58011.3774 "/>
    <s v=" 96.2103 "/>
    <x v="0"/>
    <n v="5581291"/>
    <m/>
    <m/>
    <m/>
  </r>
  <r>
    <x v="7"/>
    <x v="3"/>
    <s v="F:\images\20210604\plaque 1/@07 EE2 488 ng_L/D7_02.tif "/>
    <s v=" 62553.6553 "/>
    <s v=" 92.6985 "/>
    <x v="0"/>
    <n v="5798629"/>
    <m/>
    <m/>
    <m/>
  </r>
  <r>
    <x v="7"/>
    <x v="3"/>
    <s v="F:\images\20210604\plaque 1/@07 EE2 488 ng_L/D7_03.tif "/>
    <s v=" 70578.3462 "/>
    <s v=" 80.9182 "/>
    <x v="0"/>
    <n v="5711071"/>
    <m/>
    <m/>
    <m/>
  </r>
  <r>
    <x v="7"/>
    <x v="4"/>
    <s v="F:\images\20210604\plaque 1/@07 EE2 488 ng_L/E7_01- exclu.tif"/>
    <m/>
    <m/>
    <x v="1"/>
    <m/>
    <m/>
    <m/>
    <m/>
  </r>
  <r>
    <x v="7"/>
    <x v="4"/>
    <s v="F:\images\20210604\plaque 1/@07 EE2 488 ng_L/E7_02.tif "/>
    <s v=" 29048.9485 "/>
    <s v=" 84.5086 "/>
    <x v="0"/>
    <n v="2454885"/>
    <m/>
    <m/>
    <m/>
  </r>
  <r>
    <x v="7"/>
    <x v="4"/>
    <s v="F:\images\20210604\plaque 1/@07 EE2 488 ng_L/E7_03.tif "/>
    <s v=" 35191.8386 "/>
    <s v=" 82.0854 "/>
    <x v="0"/>
    <n v="2888737"/>
    <m/>
    <m/>
    <m/>
  </r>
  <r>
    <x v="7"/>
    <x v="5"/>
    <s v="F:\images\20210604\plaque 1/@07 EE2 488 ng_L/F7_01.tif "/>
    <s v=" 58379.0856 "/>
    <s v=" 81.3157 "/>
    <x v="0"/>
    <n v="4747135"/>
    <m/>
    <m/>
    <m/>
  </r>
  <r>
    <x v="7"/>
    <x v="5"/>
    <s v="F:\images\20210604\plaque 1/@07 EE2 488 ng_L/F7_02.tif "/>
    <s v=" 55675.3488 "/>
    <s v=" 83.3535 "/>
    <x v="0"/>
    <n v="4640737"/>
    <m/>
    <m/>
    <m/>
  </r>
  <r>
    <x v="7"/>
    <x v="5"/>
    <s v="F:\images\20210604\plaque 1/@07 EE2 488 ng_L/F7_03.tif "/>
    <s v=" 57903.2279 "/>
    <s v=" 79.4557 "/>
    <x v="0"/>
    <n v="4600743"/>
    <m/>
    <m/>
    <m/>
  </r>
  <r>
    <x v="7"/>
    <x v="6"/>
    <s v="F:\images\20210604\plaque 1/@07 EE2 488 ng_L/G7_01.tif "/>
    <s v=" 54550.5943 "/>
    <s v=" 95.4334 "/>
    <x v="0"/>
    <n v="5205948"/>
    <m/>
    <m/>
    <m/>
  </r>
  <r>
    <x v="7"/>
    <x v="6"/>
    <s v="F:\images\20210604\plaque 1/@07 EE2 488 ng_L/G7_02.tif "/>
    <s v=" 56237.726 "/>
    <s v=" 94.7354 "/>
    <x v="0"/>
    <n v="5327703"/>
    <m/>
    <m/>
    <m/>
  </r>
  <r>
    <x v="7"/>
    <x v="6"/>
    <s v="F:\images\20210604\plaque 1/@07 EE2 488 ng_L/G7_03.tif "/>
    <s v=" 64046.118 "/>
    <s v=" 89.3691 "/>
    <x v="0"/>
    <n v="5723746"/>
    <m/>
    <m/>
    <m/>
  </r>
  <r>
    <x v="7"/>
    <x v="7"/>
    <s v="F:\images\20210604\plaque 1/@07 EE2 488 ng_L/H7_01.tif "/>
    <s v=" 66793.1146 "/>
    <s v=" 93.5994 "/>
    <x v="0"/>
    <n v="6251797"/>
    <m/>
    <m/>
    <m/>
  </r>
  <r>
    <x v="7"/>
    <x v="7"/>
    <s v="F:\images\20210604\plaque 1/@07 EE2 488 ng_L/H7_02.tif "/>
    <s v=" 63937.9685 "/>
    <s v=" 95.0396 "/>
    <x v="0"/>
    <n v="6076638"/>
    <m/>
    <m/>
    <m/>
  </r>
  <r>
    <x v="7"/>
    <x v="7"/>
    <s v="F:\images\20210604\plaque 1/@07 EE2 488 ng_L/H7_03.tif "/>
    <s v=" 62661.8047 "/>
    <s v=" 90.2889 "/>
    <x v="0"/>
    <n v="5657667"/>
    <m/>
    <m/>
    <m/>
  </r>
  <r>
    <x v="1"/>
    <x v="8"/>
    <s v=" "/>
    <m/>
    <m/>
    <x v="1"/>
    <m/>
    <m/>
    <m/>
    <m/>
  </r>
  <r>
    <x v="1"/>
    <x v="8"/>
    <s v="group "/>
    <s v=" "/>
    <s v=" mean of mean fluo "/>
    <x v="2"/>
    <s v=" mean of total fluo "/>
    <s v=" SD total fluo "/>
    <s v=" n fluorescent "/>
    <s v=" n total"/>
  </r>
  <r>
    <x v="7"/>
    <x v="9"/>
    <s v="F:\images\20210604\plaque 1/@07 EE2 488 ng_L/ "/>
    <s v=" "/>
    <s v=" 88.3393 "/>
    <x v="9"/>
    <s v=" 4501898.42 "/>
    <s v=" 1228242.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604\plaque 1/@08 Atrazine 0.625 mg_L/A8_01.tif "/>
    <s v=" 4607.1676 "/>
    <s v=" 65.2066 "/>
    <x v="0"/>
    <n v="300418"/>
    <m/>
    <m/>
    <m/>
  </r>
  <r>
    <x v="8"/>
    <x v="0"/>
    <s v="F:\images\20210604\plaque 1/@08 Atrazine 0.625 mg_L/A8_02.tif "/>
    <s v=" 2249.509 "/>
    <s v=" 64.375 "/>
    <x v="0"/>
    <n v="144812"/>
    <m/>
    <m/>
    <m/>
  </r>
  <r>
    <x v="8"/>
    <x v="0"/>
    <s v="F:\images\20210604\plaque 1/@08 Atrazine 0.625 mg_L/A8_03.tif "/>
    <s v=" 5472.3633 "/>
    <s v=" 68.0435 "/>
    <x v="0"/>
    <n v="372359"/>
    <m/>
    <m/>
    <m/>
  </r>
  <r>
    <x v="8"/>
    <x v="1"/>
    <s v="F:\images\20210604\plaque 1/@08 Atrazine 0.625 mg_L/B8_01.tif "/>
    <s v=" 2249.509 "/>
    <s v=" 64.9615 "/>
    <x v="0"/>
    <n v="146132"/>
    <m/>
    <m/>
    <m/>
  </r>
  <r>
    <x v="8"/>
    <x v="1"/>
    <s v="F:\images\20210604\plaque 1/@08 Atrazine 0.625 mg_L/B8_02.tif "/>
    <s v=" 1059.8648 "/>
    <s v=" 64.449 "/>
    <x v="0"/>
    <n v="68307"/>
    <m/>
    <m/>
    <m/>
  </r>
  <r>
    <x v="8"/>
    <x v="1"/>
    <s v="F:\images\20210604\plaque 1/@08 Atrazine 0.625 mg_L/B8_03.tif "/>
    <s v=" 1687.1318 "/>
    <s v=" 64.0769 "/>
    <x v="0"/>
    <n v="108106"/>
    <m/>
    <m/>
    <m/>
  </r>
  <r>
    <x v="8"/>
    <x v="2"/>
    <s v="F:\images\20210604\plaque 1/@08 Atrazine 0.625 mg_L/C8_01.tif "/>
    <s v=" 497.4876 "/>
    <s v=" 63.087 "/>
    <x v="0"/>
    <n v="31385"/>
    <m/>
    <m/>
    <m/>
  </r>
  <r>
    <x v="8"/>
    <x v="2"/>
    <s v="F:\images\20210604\plaque 1/@08 Atrazine 0.625 mg_L/C8_02.tif "/>
    <s v=" 108.1495 "/>
    <s v=" 64.2 "/>
    <x v="0"/>
    <n v="6943"/>
    <m/>
    <m/>
    <m/>
  </r>
  <r>
    <x v="8"/>
    <x v="2"/>
    <s v="F:\images\20210604\plaque 1/@08 Atrazine 0.625 mg_L/C8_03.tif "/>
    <s v=" 2444.1781 "/>
    <s v=" 65.8496 "/>
    <x v="0"/>
    <n v="160948"/>
    <m/>
    <m/>
    <m/>
  </r>
  <r>
    <x v="8"/>
    <x v="3"/>
    <s v="F:\images\20210604\plaque 1/@08 Atrazine 0.625 mg_L/D8_01.tif "/>
    <s v=" 930.0855 "/>
    <s v=" 63.186 "/>
    <x v="0"/>
    <n v="58768"/>
    <m/>
    <m/>
    <m/>
  </r>
  <r>
    <x v="8"/>
    <x v="3"/>
    <s v="F:\images\20210604\plaque 1/@08 Atrazine 0.625 mg_L/D8_02.tif "/>
    <s v=" 8543.8084 "/>
    <s v=" 74.0861 "/>
    <x v="0"/>
    <n v="632977"/>
    <m/>
    <m/>
    <m/>
  </r>
  <r>
    <x v="8"/>
    <x v="3"/>
    <s v="F:\images\20210604\plaque 1/@08 Atrazine 0.625 mg_L/D8_03.tif "/>
    <s v=" 7462.3136 "/>
    <s v=" 67.1304 "/>
    <x v="0"/>
    <n v="500948"/>
    <m/>
    <m/>
    <m/>
  </r>
  <r>
    <x v="8"/>
    <x v="4"/>
    <s v="F:\images\20210604\plaque 1/@08 Atrazine 0.625 mg_L/E8_01.tif "/>
    <s v=" 6618.7478 "/>
    <s v=" 77.8007 "/>
    <x v="0"/>
    <n v="514943"/>
    <m/>
    <m/>
    <m/>
  </r>
  <r>
    <x v="8"/>
    <x v="4"/>
    <s v="F:\images\20210604\plaque 1/@08 Atrazine 0.625 mg_L/E8_02.tif "/>
    <s v=" 4909.9861 "/>
    <s v=" 71.6344 "/>
    <x v="0"/>
    <n v="351724"/>
    <m/>
    <m/>
    <m/>
  </r>
  <r>
    <x v="8"/>
    <x v="4"/>
    <s v="F:\images\20210604\plaque 1/@08 Atrazine 0.625 mg_L/E8_03.tif "/>
    <s v=" 8954.7764 "/>
    <s v=" 72.2971 "/>
    <x v="0"/>
    <n v="647404"/>
    <m/>
    <m/>
    <m/>
  </r>
  <r>
    <x v="8"/>
    <x v="5"/>
    <s v="F:\images\20210604\plaque 1/@08 Atrazine 0.625 mg_L/F8_01.tif "/>
    <s v=" 6964.8261 "/>
    <s v=" 66.9099 "/>
    <x v="0"/>
    <n v="466016"/>
    <m/>
    <m/>
    <m/>
  </r>
  <r>
    <x v="8"/>
    <x v="5"/>
    <s v="F:\images\20210604\plaque 1/@08 Atrazine 0.625 mg_L/F8_02.tif "/>
    <s v=" 3612.1924 "/>
    <s v=" 64.4311 "/>
    <x v="0"/>
    <n v="232738"/>
    <m/>
    <m/>
    <m/>
  </r>
  <r>
    <x v="8"/>
    <x v="5"/>
    <s v="F:\images\20210604\plaque 1/@08 Atrazine 0.625 mg_L/F8_03.tif "/>
    <s v=" 7332.5343 "/>
    <s v=" 66.2743 "/>
    <x v="0"/>
    <n v="485959"/>
    <m/>
    <m/>
    <m/>
  </r>
  <r>
    <x v="8"/>
    <x v="6"/>
    <s v="F:\images\20210604\plaque 1/@08 Atrazine 0.625 mg_L/G8_01.tif "/>
    <s v=" 3395.8935 "/>
    <s v=" 65.7197 "/>
    <x v="0"/>
    <n v="223177"/>
    <m/>
    <m/>
    <m/>
  </r>
  <r>
    <x v="8"/>
    <x v="6"/>
    <s v="F:\images\20210604\plaque 1/@08 Atrazine 0.625 mg_L/G8_02.tif "/>
    <s v=" 908.4556 "/>
    <s v=" 62.9286 "/>
    <x v="0"/>
    <n v="57168"/>
    <m/>
    <m/>
    <m/>
  </r>
  <r>
    <x v="8"/>
    <x v="6"/>
    <s v="F:\images\20210604\plaque 1/@08 Atrazine 0.625 mg_L/G8_03.tif "/>
    <s v=" 1838.541 "/>
    <s v=" 64.1412 "/>
    <x v="0"/>
    <n v="117926"/>
    <m/>
    <m/>
    <m/>
  </r>
  <r>
    <x v="8"/>
    <x v="7"/>
    <s v="F:\images\20210604\plaque 1/@08 Atrazine 0.625 mg_L/H8_01.tif "/>
    <s v=" 5450.7334 "/>
    <s v=" 71.4643 "/>
    <x v="0"/>
    <n v="389533"/>
    <m/>
    <m/>
    <m/>
  </r>
  <r>
    <x v="8"/>
    <x v="7"/>
    <s v="F:\images\20210604\plaque 1/@08 Atrazine 0.625 mg_L/H8_02.tif "/>
    <s v=" 1016.605 "/>
    <s v=" 63.4468 "/>
    <x v="0"/>
    <n v="64500"/>
    <m/>
    <m/>
    <m/>
  </r>
  <r>
    <x v="8"/>
    <x v="7"/>
    <s v="F:\images\20210604\plaque 1/@08 Atrazine 0.625 mg_L/H8_03.tif "/>
    <s v=" 1470.8328 "/>
    <s v=" 63.7647 "/>
    <x v="0"/>
    <n v="93787"/>
    <m/>
    <m/>
    <m/>
  </r>
  <r>
    <x v="1"/>
    <x v="8"/>
    <s v=" "/>
    <m/>
    <m/>
    <x v="1"/>
    <m/>
    <m/>
    <m/>
    <m/>
  </r>
  <r>
    <x v="1"/>
    <x v="8"/>
    <s v="group "/>
    <s v=" "/>
    <s v=" mean of mean fluo "/>
    <x v="2"/>
    <s v=" mean of total fluo "/>
    <s v=" SD total fluo "/>
    <s v=" n fluorescent "/>
    <s v=" n total"/>
  </r>
  <r>
    <x v="8"/>
    <x v="9"/>
    <s v="F:\images\20210604\plaque 1/@08 Atrazine 0.625 mg_L/ "/>
    <s v=" "/>
    <s v=" 66.6443 "/>
    <x v="10"/>
    <s v=" 257374.083 "/>
    <s v=" 200755.4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604\plaque 1/@09 Atrazine 1.25 mg_L/A9_01.tif "/>
    <s v=" 151.4093 "/>
    <n v="62"/>
    <x v="0"/>
    <n v="9387"/>
    <m/>
    <m/>
    <m/>
  </r>
  <r>
    <x v="9"/>
    <x v="0"/>
    <s v="F:\images\20210604\plaque 1/@09 Atrazine 1.25 mg_L/A9_02.tif "/>
    <s v=" 346.0783 "/>
    <s v=" 63.9375 "/>
    <x v="0"/>
    <n v="22127"/>
    <m/>
    <m/>
    <m/>
  </r>
  <r>
    <x v="9"/>
    <x v="0"/>
    <s v="F:\images\20210604\plaque 1/@09 Atrazine 1.25 mg_L/A9_03.tif "/>
    <s v=" 346.0783 "/>
    <s v=" 64.3125 "/>
    <x v="0"/>
    <n v="22257"/>
    <m/>
    <m/>
    <m/>
  </r>
  <r>
    <x v="9"/>
    <x v="1"/>
    <s v="F:\images\20210604\plaque 1/@09 Atrazine 1.25 mg_L/B9_01.tif "/>
    <s v=" 4542.2779 "/>
    <s v=" 71.4905 "/>
    <x v="0"/>
    <n v="324730"/>
    <m/>
    <m/>
    <m/>
  </r>
  <r>
    <x v="9"/>
    <x v="1"/>
    <s v="F:\images\20210604\plaque 1/@09 Atrazine 1.25 mg_L/B9_02.tif "/>
    <s v=" 5472.3633 "/>
    <s v=" 70.2767 "/>
    <x v="0"/>
    <n v="384580"/>
    <m/>
    <m/>
    <m/>
  </r>
  <r>
    <x v="9"/>
    <x v="1"/>
    <s v="F:\images\20210604\plaque 1/@09 Atrazine 1.25 mg_L/B9_03.tif "/>
    <s v=" 5061.3953 "/>
    <s v=" 67.2735 "/>
    <x v="0"/>
    <n v="340498"/>
    <m/>
    <m/>
    <m/>
  </r>
  <r>
    <x v="9"/>
    <x v="2"/>
    <s v="F:\images\20210604\plaque 1/@09 Atrazine 1.25 mg_L/C9_01.tif "/>
    <s v=" 3763.6017 "/>
    <s v=" 66.2126 "/>
    <x v="0"/>
    <n v="249198"/>
    <m/>
    <m/>
    <m/>
  </r>
  <r>
    <x v="9"/>
    <x v="2"/>
    <s v="F:\images\20210604\plaque 1/@09 Atrazine 1.25 mg_L/C9_02.tif "/>
    <s v=" 6424.0787 "/>
    <s v=" 69.5421 "/>
    <x v="0"/>
    <n v="446744"/>
    <m/>
    <m/>
    <m/>
  </r>
  <r>
    <x v="9"/>
    <x v="2"/>
    <s v="F:\images\20210604\plaque 1/@09 Atrazine 1.25 mg_L/C9_03.tif "/>
    <s v=" 4282.7191 "/>
    <s v=" 67.5152 "/>
    <x v="0"/>
    <n v="289148"/>
    <m/>
    <m/>
    <m/>
  </r>
  <r>
    <x v="9"/>
    <x v="3"/>
    <s v="F:\images\20210604\plaque 1/@09 Atrazine 1.25 mg_L/D9_01.tif "/>
    <s v=" 129.7794 "/>
    <s v=" 63.3333 "/>
    <x v="0"/>
    <n v="8219"/>
    <m/>
    <m/>
    <m/>
  </r>
  <r>
    <x v="9"/>
    <x v="3"/>
    <s v="F:\images\20210604\plaque 1/@09 Atrazine 1.25 mg_L/D9_02.tif "/>
    <s v=" 346.0783 "/>
    <s v=" 63.125 "/>
    <x v="0"/>
    <n v="21846"/>
    <m/>
    <m/>
    <m/>
  </r>
  <r>
    <x v="9"/>
    <x v="3"/>
    <s v="F:\images\20210604\plaque 1/@09 Atrazine 1.25 mg_L/D9_03.tif "/>
    <s v=" 389.3381 "/>
    <s v=" 63.2778 "/>
    <x v="0"/>
    <n v="24636"/>
    <m/>
    <m/>
    <m/>
  </r>
  <r>
    <x v="9"/>
    <x v="4"/>
    <s v="F:\images\20210604\plaque 1/@09 Atrazine 1.25 mg_L/E9_01.tif "/>
    <s v=" 6683.6374 "/>
    <s v=" 69.7314 "/>
    <x v="0"/>
    <n v="466059"/>
    <m/>
    <m/>
    <m/>
  </r>
  <r>
    <x v="9"/>
    <x v="4"/>
    <s v="F:\images\20210604\plaque 1/@09 Atrazine 1.25 mg_L/E9_02.tif "/>
    <s v=" 9646.933 "/>
    <s v=" 76.4753 "/>
    <x v="0"/>
    <n v="737752"/>
    <m/>
    <m/>
    <m/>
  </r>
  <r>
    <x v="9"/>
    <x v="4"/>
    <s v="F:\images\20210604\plaque 1/@09 Atrazine 1.25 mg_L/E9_03.tif "/>
    <s v=" 4520.648 "/>
    <s v=" 66.0478 "/>
    <x v="0"/>
    <n v="298579"/>
    <m/>
    <m/>
    <m/>
  </r>
  <r>
    <x v="9"/>
    <x v="5"/>
    <s v="F:\images\20210604\plaque 1/@09 Atrazine 1.25 mg_L/F9_01.tif "/>
    <s v=" 5169.5448 "/>
    <s v=" 67.6736 "/>
    <x v="0"/>
    <n v="349842"/>
    <m/>
    <m/>
    <m/>
  </r>
  <r>
    <x v="9"/>
    <x v="5"/>
    <s v="F:\images\20210604\plaque 1/@09 Atrazine 1.25 mg_L/F9_02.tif "/>
    <s v=" 4780.2067 "/>
    <s v=" 70.3258 "/>
    <x v="0"/>
    <n v="336172"/>
    <m/>
    <m/>
    <m/>
  </r>
  <r>
    <x v="9"/>
    <x v="5"/>
    <s v="F:\images\20210604\plaque 1/@09 Atrazine 1.25 mg_L/F9_03.tif "/>
    <s v=" 908.4556 "/>
    <s v=" 63.2857 "/>
    <x v="0"/>
    <n v="57492"/>
    <m/>
    <m/>
    <m/>
  </r>
  <r>
    <x v="9"/>
    <x v="6"/>
    <s v="F:\images\20210604\plaque 1/@09 Atrazine 1.25 mg_L/G9_01.tif "/>
    <s v=" 865.1958 "/>
    <s v=" 62.525 "/>
    <x v="0"/>
    <n v="54096"/>
    <m/>
    <m/>
    <m/>
  </r>
  <r>
    <x v="9"/>
    <x v="6"/>
    <s v="F:\images\20210604\plaque 1/@09 Atrazine 1.25 mg_L/G9_02.tif "/>
    <s v=" 540.7474 "/>
    <s v=" 64.28 "/>
    <x v="0"/>
    <n v="34759"/>
    <m/>
    <m/>
    <m/>
  </r>
  <r>
    <x v="9"/>
    <x v="6"/>
    <s v="F:\images\20210604\plaque 1/@09 Atrazine 1.25 mg_L/G9_03.tif "/>
    <s v=" 302.8185 "/>
    <s v=" 62.9286 "/>
    <x v="0"/>
    <n v="19056"/>
    <m/>
    <m/>
    <m/>
  </r>
  <r>
    <x v="9"/>
    <x v="7"/>
    <s v="F:\images\20210604\plaque 1/@09 Atrazine 1.25 mg_L/H9_01.tif "/>
    <s v=" 6099.6303 "/>
    <s v=" 66.9929 "/>
    <x v="0"/>
    <n v="408632"/>
    <m/>
    <m/>
    <m/>
  </r>
  <r>
    <x v="9"/>
    <x v="7"/>
    <s v="F:\images\20210604\plaque 1/@09 Atrazine 1.25 mg_L/H9_02.tif "/>
    <s v=" 4931.616 "/>
    <s v=" 67.3553 "/>
    <x v="0"/>
    <n v="332170"/>
    <m/>
    <m/>
    <m/>
  </r>
  <r>
    <x v="9"/>
    <x v="7"/>
    <s v="F:\images\20210604\plaque 1/@09 Atrazine 1.25 mg_L/H9_03.tif "/>
    <s v=" 2595.5874 "/>
    <s v=" 67.2917 "/>
    <x v="0"/>
    <n v="174661"/>
    <m/>
    <m/>
    <m/>
  </r>
  <r>
    <x v="1"/>
    <x v="8"/>
    <s v=" "/>
    <m/>
    <m/>
    <x v="1"/>
    <m/>
    <m/>
    <m/>
    <m/>
  </r>
  <r>
    <x v="1"/>
    <x v="8"/>
    <s v="group "/>
    <s v=" "/>
    <s v=" mean of mean fluo "/>
    <x v="2"/>
    <s v=" mean of total fluo "/>
    <s v=" SD total fluo "/>
    <s v=" n fluorescent "/>
    <s v=" n total"/>
  </r>
  <r>
    <x v="9"/>
    <x v="9"/>
    <s v="F:\images\20210604\plaque 1/@09 Atrazine 1.25 mg_L/ "/>
    <s v=" "/>
    <s v=" 66.5504 "/>
    <x v="11"/>
    <s v=" 225526.667 "/>
    <s v=" 197569.22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604\plaque 1/@10 Atrazine 2.5 mg_L/A10_01.tif "/>
    <s v=" 2336.0286 "/>
    <s v=" 64.5185 "/>
    <x v="0"/>
    <n v="150717"/>
    <m/>
    <m/>
    <m/>
  </r>
  <r>
    <x v="10"/>
    <x v="0"/>
    <s v="F:\images\20210604\plaque 1/@10 Atrazine 2.5 mg_L/A10_02.tif "/>
    <s v=" 648.8968 "/>
    <s v=" 63.4 "/>
    <x v="0"/>
    <n v="41140"/>
    <m/>
    <m/>
    <m/>
  </r>
  <r>
    <x v="10"/>
    <x v="0"/>
    <s v="F:\images\20210604\plaque 1/@10 Atrazine 2.5 mg_L/A10_03.tif "/>
    <s v=" 259.5587 "/>
    <s v=" 61.75 "/>
    <x v="0"/>
    <n v="16028"/>
    <m/>
    <m/>
    <m/>
  </r>
  <r>
    <x v="10"/>
    <x v="1"/>
    <s v="F:\images\20210604\plaque 1/@10 Atrazine 2.5 mg_L/B10_01.tif "/>
    <s v=" 3049.8151 "/>
    <s v=" 67.922 "/>
    <x v="0"/>
    <n v="207150"/>
    <m/>
    <m/>
    <m/>
  </r>
  <r>
    <x v="10"/>
    <x v="1"/>
    <s v="F:\images\20210604\plaque 1/@10 Atrazine 2.5 mg_L/B10_02.tif "/>
    <s v=" 1989.9503 "/>
    <s v=" 64.9783 "/>
    <x v="0"/>
    <n v="129304"/>
    <m/>
    <m/>
    <m/>
  </r>
  <r>
    <x v="10"/>
    <x v="1"/>
    <s v="F:\images\20210604\plaque 1/@10 Atrazine 2.5 mg_L/B10_03.tif "/>
    <s v=" 1946.6905 "/>
    <s v=" 64.1111 "/>
    <x v="0"/>
    <n v="124804"/>
    <m/>
    <m/>
    <m/>
  </r>
  <r>
    <x v="10"/>
    <x v="2"/>
    <s v="F:\images\20210604\plaque 1/@10 Atrazine 2.5 mg_L/C10_01.tif "/>
    <s v=" 930.0855 "/>
    <s v=" 63.4884 "/>
    <x v="0"/>
    <n v="59050"/>
    <m/>
    <m/>
    <m/>
  </r>
  <r>
    <x v="10"/>
    <x v="2"/>
    <s v="F:\images\20210604\plaque 1/@10 Atrazine 2.5 mg_L/C10_02.tif "/>
    <s v=" 4455.7583 "/>
    <s v=" 69.5388 "/>
    <x v="0"/>
    <n v="309848"/>
    <m/>
    <m/>
    <m/>
  </r>
  <r>
    <x v="10"/>
    <x v="2"/>
    <s v="F:\images\20210604\plaque 1/@10 Atrazine 2.5 mg_L/C10_03.tif "/>
    <s v=" 2530.6977 "/>
    <s v=" 65.5128 "/>
    <x v="0"/>
    <n v="165793"/>
    <m/>
    <m/>
    <m/>
  </r>
  <r>
    <x v="10"/>
    <x v="3"/>
    <s v="F:\images\20210604\plaque 1/@10 Atrazine 2.5 mg_L/D10_01.tif "/>
    <s v=" 4390.8686 "/>
    <s v=" 66.5172 "/>
    <x v="0"/>
    <n v="292068"/>
    <m/>
    <m/>
    <m/>
  </r>
  <r>
    <x v="10"/>
    <x v="3"/>
    <s v="F:\images\20210604\plaque 1/@10 Atrazine 2.5 mg_L/D10_02.tif "/>
    <s v=" 2552.3276 "/>
    <s v=" 64.0678 "/>
    <x v="0"/>
    <n v="163522"/>
    <m/>
    <m/>
    <m/>
  </r>
  <r>
    <x v="10"/>
    <x v="3"/>
    <s v="F:\images\20210604\plaque 1/@10 Atrazine 2.5 mg_L/D10_03- exclu.tif"/>
    <m/>
    <m/>
    <x v="1"/>
    <m/>
    <m/>
    <m/>
    <m/>
  </r>
  <r>
    <x v="10"/>
    <x v="4"/>
    <s v="F:\images\20210604\plaque 1/@10 Atrazine 2.5 mg_L/E10_01- exclu.tif"/>
    <m/>
    <m/>
    <x v="1"/>
    <m/>
    <m/>
    <m/>
    <m/>
  </r>
  <r>
    <x v="10"/>
    <x v="4"/>
    <s v="F:\images\20210604\plaque 1/@10 Atrazine 2.5 mg_L/E10_02- exclu.tif"/>
    <m/>
    <m/>
    <x v="1"/>
    <m/>
    <m/>
    <m/>
    <m/>
  </r>
  <r>
    <x v="10"/>
    <x v="4"/>
    <s v="F:\images\20210604\plaque 1/@10 Atrazine 2.5 mg_L/E10_03- exclu.tif"/>
    <m/>
    <m/>
    <x v="1"/>
    <m/>
    <m/>
    <m/>
    <m/>
  </r>
  <r>
    <x v="10"/>
    <x v="5"/>
    <s v="F:\images\20210604\plaque 1/@10 Atrazine 2.5 mg_L/F10_01.tif "/>
    <s v=" 5493.9932 "/>
    <s v=" 67.0591 "/>
    <x v="0"/>
    <n v="368422"/>
    <m/>
    <m/>
    <m/>
  </r>
  <r>
    <x v="10"/>
    <x v="5"/>
    <s v="F:\images\20210604\plaque 1/@10 Atrazine 2.5 mg_L/F10_02.tif "/>
    <s v=" 5083.0252 "/>
    <s v=" 68.4894 "/>
    <x v="0"/>
    <n v="348133"/>
    <m/>
    <m/>
    <m/>
  </r>
  <r>
    <x v="10"/>
    <x v="5"/>
    <s v="F:\images\20210604\plaque 1/@10 Atrazine 2.5 mg_L/F10_03.tif "/>
    <s v=" 5472.3633 "/>
    <s v=" 65.3992 "/>
    <x v="0"/>
    <n v="357888"/>
    <m/>
    <m/>
    <m/>
  </r>
  <r>
    <x v="10"/>
    <x v="6"/>
    <s v="F:\images\20210604\plaque 1/@10 Atrazine 2.5 mg_L/G10_01.tif "/>
    <s v=" 367.7082 "/>
    <s v=" 63.8235 "/>
    <x v="0"/>
    <n v="23468"/>
    <m/>
    <m/>
    <m/>
  </r>
  <r>
    <x v="10"/>
    <x v="6"/>
    <s v="F:\images\20210604\plaque 1/@10 Atrazine 2.5 mg_L/G10_02.tif "/>
    <s v=" 1081.4947 "/>
    <s v=" 64.7 "/>
    <x v="0"/>
    <n v="69973"/>
    <m/>
    <m/>
    <m/>
  </r>
  <r>
    <x v="10"/>
    <x v="6"/>
    <s v="F:\images\20210604\plaque 1/@10 Atrazine 2.5 mg_L/G10_03.tif "/>
    <s v=" 389.3381 "/>
    <s v=" 62.4444 "/>
    <x v="0"/>
    <n v="24312"/>
    <m/>
    <m/>
    <m/>
  </r>
  <r>
    <x v="10"/>
    <x v="7"/>
    <s v="F:\images\20210604\plaque 1/@10 Atrazine 2.5 mg_L/H10_01.tif "/>
    <s v=" 9041.296 "/>
    <s v=" 74.8301 "/>
    <x v="0"/>
    <n v="676561"/>
    <m/>
    <m/>
    <m/>
  </r>
  <r>
    <x v="10"/>
    <x v="7"/>
    <s v="F:\images\20210604\plaque 1/@10 Atrazine 2.5 mg_L/H10_02.tif "/>
    <s v=" 432.5979 "/>
    <s v=" 63.45 "/>
    <x v="0"/>
    <n v="27448"/>
    <m/>
    <m/>
    <m/>
  </r>
  <r>
    <x v="10"/>
    <x v="7"/>
    <s v="F:\images\20210604\plaque 1/@10 Atrazine 2.5 mg_L/H10_03.tif "/>
    <s v=" 259.5587 "/>
    <s v=" 62.1667 "/>
    <x v="0"/>
    <n v="16136"/>
    <m/>
    <m/>
    <m/>
  </r>
  <r>
    <x v="1"/>
    <x v="8"/>
    <s v=" "/>
    <m/>
    <m/>
    <x v="1"/>
    <m/>
    <m/>
    <m/>
    <m/>
  </r>
  <r>
    <x v="1"/>
    <x v="8"/>
    <s v="group "/>
    <s v=" "/>
    <s v=" mean of mean fluo "/>
    <x v="2"/>
    <s v=" mean of total fluo "/>
    <s v=" SD total fluo "/>
    <s v=" n fluorescent "/>
    <s v=" n total"/>
  </r>
  <r>
    <x v="10"/>
    <x v="9"/>
    <s v="F:\images\20210604\plaque 1/@10 Atrazine 2.5 mg_L/ "/>
    <s v=" "/>
    <s v=" 65.1217 "/>
    <x v="12"/>
    <n v="151758"/>
    <s v=" 166461.9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604\plaque 1/@11 Atrazine 5 mg_L/A11_01.tif "/>
    <s v=" 389.3381 "/>
    <s v=" 63.5 "/>
    <x v="0"/>
    <n v="24723"/>
    <m/>
    <m/>
    <m/>
  </r>
  <r>
    <x v="11"/>
    <x v="0"/>
    <s v="F:\images\20210604\plaque 1/@11 Atrazine 5 mg_L/A11_02.tif "/>
    <s v=" 670.5267 "/>
    <n v="64"/>
    <x v="0"/>
    <n v="42914"/>
    <m/>
    <m/>
    <m/>
  </r>
  <r>
    <x v="11"/>
    <x v="0"/>
    <s v="F:\images\20210604\plaque 1/@11 Atrazine 5 mg_L/A11_03.tif "/>
    <s v=" 216.2989 "/>
    <s v=" 70.4 "/>
    <x v="0"/>
    <n v="15227"/>
    <m/>
    <m/>
    <m/>
  </r>
  <r>
    <x v="11"/>
    <x v="1"/>
    <s v="F:\images\20210604\plaque 1/@11 Atrazine 5 mg_L/B11_01.tif "/>
    <s v=" 151.4093 "/>
    <s v=" 62.5714 "/>
    <x v="0"/>
    <n v="9474"/>
    <m/>
    <m/>
    <m/>
  </r>
  <r>
    <x v="11"/>
    <x v="1"/>
    <s v="F:\images\20210604\plaque 1/@11 Atrazine 5 mg_L/B11_02- exclu.tif"/>
    <m/>
    <m/>
    <x v="1"/>
    <m/>
    <m/>
    <m/>
    <m/>
  </r>
  <r>
    <x v="11"/>
    <x v="1"/>
    <s v="F:\images\20210604\plaque 1/@11 Atrazine 5 mg_L/B11_03.tif "/>
    <s v=" 237.9288 "/>
    <s v=" 64.4545 "/>
    <x v="0"/>
    <n v="15336"/>
    <m/>
    <m/>
    <m/>
  </r>
  <r>
    <x v="11"/>
    <x v="2"/>
    <s v="F:\images\20210604\plaque 1/@11 Atrazine 5 mg_L/C11_01- exclu.tif"/>
    <m/>
    <m/>
    <x v="1"/>
    <m/>
    <m/>
    <m/>
    <m/>
  </r>
  <r>
    <x v="11"/>
    <x v="2"/>
    <s v="F:\images\20210604\plaque 1/@11 Atrazine 5 mg_L/C11_02.tif "/>
    <s v=" 519.1175 "/>
    <s v=" 64.6667 "/>
    <x v="0"/>
    <n v="33570"/>
    <m/>
    <m/>
    <m/>
  </r>
  <r>
    <x v="11"/>
    <x v="2"/>
    <s v="F:\images\20210604\plaque 1/@11 Atrazine 5 mg_L/C11_03.tif "/>
    <s v=" 454.2278 "/>
    <s v=" 65.9048 "/>
    <x v="0"/>
    <n v="29936"/>
    <m/>
    <m/>
    <m/>
  </r>
  <r>
    <x v="11"/>
    <x v="3"/>
    <s v="F:\images\20210604\plaque 1/@11 Atrazine 5 mg_L/D11_01- exclu.tif"/>
    <m/>
    <m/>
    <x v="1"/>
    <m/>
    <m/>
    <m/>
    <m/>
  </r>
  <r>
    <x v="11"/>
    <x v="3"/>
    <s v="F:\images\20210604\plaque 1/@11 Atrazine 5 mg_L/D11_02.tif "/>
    <s v=" 432.5979 "/>
    <s v=" 63.95 "/>
    <x v="0"/>
    <n v="27665"/>
    <m/>
    <m/>
    <m/>
  </r>
  <r>
    <x v="11"/>
    <x v="3"/>
    <s v="F:\images\20210604\plaque 1/@11 Atrazine 5 mg_L/D11_03.tif "/>
    <s v=" 540.7474 "/>
    <s v=" 62.92 "/>
    <x v="0"/>
    <n v="34024"/>
    <m/>
    <m/>
    <m/>
  </r>
  <r>
    <x v="11"/>
    <x v="4"/>
    <s v="F:\images\20210604\plaque 1/@11 Atrazine 5 mg_L/E11_01.tif "/>
    <s v=" 6359.189 "/>
    <s v=" 72.7959 "/>
    <x v="0"/>
    <n v="462923"/>
    <m/>
    <m/>
    <m/>
  </r>
  <r>
    <x v="11"/>
    <x v="4"/>
    <s v="F:\images\20210604\plaque 1/@11 Atrazine 5 mg_L/E11_02.tif "/>
    <s v=" 4088.0501 "/>
    <s v=" 73.5132 "/>
    <x v="0"/>
    <n v="300526"/>
    <m/>
    <m/>
    <m/>
  </r>
  <r>
    <x v="11"/>
    <x v="4"/>
    <s v="F:\images\20210604\plaque 1/@11 Atrazine 5 mg_L/E11_03.tif "/>
    <s v=" 8262.6197 "/>
    <s v=" 75.0471 "/>
    <x v="0"/>
    <n v="620086"/>
    <m/>
    <m/>
    <m/>
  </r>
  <r>
    <x v="11"/>
    <x v="5"/>
    <s v="F:\images\20210604\plaque 1/@11 Atrazine 5 mg_L/F11_01.tif "/>
    <s v=" 6315.9292 "/>
    <s v=" 67.0651 "/>
    <x v="0"/>
    <n v="423578"/>
    <m/>
    <m/>
    <m/>
  </r>
  <r>
    <x v="11"/>
    <x v="5"/>
    <s v="F:\images\20210604\plaque 1/@11 Atrazine 5 mg_L/F11_02.tif "/>
    <s v=" 2509.0678 "/>
    <s v=" 66.7069 "/>
    <x v="0"/>
    <n v="167372"/>
    <m/>
    <m/>
    <m/>
  </r>
  <r>
    <x v="11"/>
    <x v="5"/>
    <s v="F:\images\20210604\plaque 1/@11 Atrazine 5 mg_L/F11_03.tif "/>
    <s v=" 2184.6194 "/>
    <s v=" 66.703 "/>
    <x v="0"/>
    <n v="145721"/>
    <m/>
    <m/>
    <m/>
  </r>
  <r>
    <x v="11"/>
    <x v="6"/>
    <s v="F:\images\20210604\plaque 1/@11 Atrazine 5 mg_L/G11_01.tif "/>
    <s v=" 7678.6126 "/>
    <s v=" 77.3042 "/>
    <x v="0"/>
    <n v="593589"/>
    <m/>
    <m/>
    <m/>
  </r>
  <r>
    <x v="11"/>
    <x v="6"/>
    <s v="F:\images\20210604\plaque 1/@11 Atrazine 5 mg_L/G11_02- exclu.tif"/>
    <m/>
    <m/>
    <x v="1"/>
    <m/>
    <m/>
    <m/>
    <m/>
  </r>
  <r>
    <x v="11"/>
    <x v="6"/>
    <s v="F:\images\20210604\plaque 1/@11 Atrazine 5 mg_L/G11_03.tif "/>
    <s v=" 3309.3739 "/>
    <s v=" 66.6863 "/>
    <x v="0"/>
    <n v="220690"/>
    <m/>
    <m/>
    <m/>
  </r>
  <r>
    <x v="11"/>
    <x v="7"/>
    <s v="F:\images\20210604\plaque 1/@11 Atrazine 5 mg_L/H11_01.tif "/>
    <s v=" 497.4876 "/>
    <s v=" 62.7391 "/>
    <x v="0"/>
    <n v="31212"/>
    <m/>
    <m/>
    <m/>
  </r>
  <r>
    <x v="11"/>
    <x v="7"/>
    <s v="F:\images\20210604\plaque 1/@11 Atrazine 5 mg_L/H11_02.tif "/>
    <s v=" 692.1566 "/>
    <s v=" 62.9375 "/>
    <x v="0"/>
    <n v="43563"/>
    <m/>
    <m/>
    <m/>
  </r>
  <r>
    <x v="11"/>
    <x v="7"/>
    <s v="F:\images\20210604\plaque 1/@11 Atrazine 5 mg_L/H11_03.tif "/>
    <s v=" 6424.0787 "/>
    <s v=" 66.2795 "/>
    <x v="0"/>
    <n v="425784"/>
    <m/>
    <m/>
    <m/>
  </r>
  <r>
    <x v="1"/>
    <x v="8"/>
    <s v=" "/>
    <m/>
    <m/>
    <x v="1"/>
    <m/>
    <m/>
    <m/>
    <m/>
  </r>
  <r>
    <x v="1"/>
    <x v="8"/>
    <s v="group "/>
    <s v=" "/>
    <s v=" mean of mean fluo "/>
    <x v="2"/>
    <s v=" mean of total fluo "/>
    <s v=" SD total fluo "/>
    <s v=" n fluorescent "/>
    <s v=" n total"/>
  </r>
  <r>
    <x v="11"/>
    <x v="9"/>
    <s v="F:\images\20210604\plaque 1/@11 Atrazine 5 mg_L/ "/>
    <s v=" "/>
    <s v=" 66.746 "/>
    <x v="13"/>
    <s v=" 154895.375 "/>
    <s v=" 201600.31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604\plaque 1/@12 Atrazine 10 mg_L/A12_01.tif "/>
    <s v=" 670.5267 "/>
    <s v=" 63.3226 "/>
    <x v="0"/>
    <n v="42459"/>
    <m/>
    <m/>
    <m/>
  </r>
  <r>
    <x v="12"/>
    <x v="0"/>
    <s v="F:\images\20210604\plaque 1/@12 Atrazine 10 mg_L/A12_02.tif "/>
    <s v=" 2292.7688 "/>
    <s v=" 64.8679 "/>
    <x v="0"/>
    <n v="148727"/>
    <m/>
    <m/>
    <m/>
  </r>
  <r>
    <x v="12"/>
    <x v="0"/>
    <s v="F:\images\20210604\plaque 1/@12 Atrazine 10 mg_L/A12_03.tif "/>
    <s v=" 3222.8543 "/>
    <s v=" 64.8523 "/>
    <x v="0"/>
    <n v="209010"/>
    <m/>
    <m/>
    <m/>
  </r>
  <r>
    <x v="12"/>
    <x v="1"/>
    <s v="F:\images\20210604\plaque 1/@12 Atrazine 10 mg_L/B12_01.tif "/>
    <s v=" 9517.1536 "/>
    <s v=" 81.2682 "/>
    <x v="0"/>
    <n v="773442"/>
    <m/>
    <m/>
    <m/>
  </r>
  <r>
    <x v="12"/>
    <x v="1"/>
    <s v="F:\images\20210604\plaque 1/@12 Atrazine 10 mg_L/B12_02.tif "/>
    <s v=" 10079.5309 "/>
    <s v=" 84.3884 "/>
    <x v="0"/>
    <n v="850596"/>
    <m/>
    <m/>
    <m/>
  </r>
  <r>
    <x v="12"/>
    <x v="1"/>
    <s v="F:\images\20210604\plaque 1/@12 Atrazine 10 mg_L/B12_03.tif "/>
    <s v=" 9409.0042 "/>
    <s v=" 82.8253 "/>
    <x v="0"/>
    <n v="779303"/>
    <m/>
    <m/>
    <m/>
  </r>
  <r>
    <x v="12"/>
    <x v="2"/>
    <s v="F:\images\20210604\plaque 1/@12 Atrazine 10 mg_L/C12_01.tif "/>
    <s v=" 86.5196 "/>
    <n v="63"/>
    <x v="0"/>
    <n v="5451"/>
    <m/>
    <m/>
    <m/>
  </r>
  <r>
    <x v="12"/>
    <x v="2"/>
    <s v="F:\images\20210604\plaque 1/@12 Atrazine 10 mg_L/C12_02.tif "/>
    <s v=" 18212.3713 "/>
    <s v=" 71.0416 "/>
    <x v="0"/>
    <n v="1293835"/>
    <m/>
    <m/>
    <m/>
  </r>
  <r>
    <x v="12"/>
    <x v="2"/>
    <s v="F:\images\20210604\plaque 1/@12 Atrazine 10 mg_L/C12_03- exclu.tif"/>
    <m/>
    <m/>
    <x v="1"/>
    <m/>
    <m/>
    <m/>
    <m/>
  </r>
  <r>
    <x v="12"/>
    <x v="3"/>
    <s v="F:\images\20210604\plaque 1/@12 Atrazine 10 mg_L/D12_01.tif "/>
    <s v=" 2011.5802 "/>
    <s v=" 64.5914 "/>
    <x v="0"/>
    <n v="129931"/>
    <m/>
    <m/>
    <m/>
  </r>
  <r>
    <x v="12"/>
    <x v="3"/>
    <s v="F:\images\20210604\plaque 1/@12 Atrazine 10 mg_L/D12_02.tif "/>
    <s v=" 1254.5339 "/>
    <s v=" 64.0172 "/>
    <x v="0"/>
    <n v="80312"/>
    <m/>
    <m/>
    <m/>
  </r>
  <r>
    <x v="12"/>
    <x v="3"/>
    <s v="F:\images\20210604\plaque 1/@12 Atrazine 10 mg_L/D12_03.tif "/>
    <s v=" 1752.0215 "/>
    <s v=" 64.6543 "/>
    <x v="0"/>
    <n v="113276"/>
    <m/>
    <m/>
    <m/>
  </r>
  <r>
    <x v="12"/>
    <x v="4"/>
    <s v="F:\images\20210604\plaque 1/@12 Atrazine 10 mg_L/E12_01.tif "/>
    <s v=" 562.3773 "/>
    <s v=" 63.7308 "/>
    <x v="0"/>
    <n v="35841"/>
    <m/>
    <m/>
    <m/>
  </r>
  <r>
    <x v="12"/>
    <x v="4"/>
    <s v="F:\images\20210604\plaque 1/@12 Atrazine 10 mg_L/E12_02.tif "/>
    <s v=" 1752.0215 "/>
    <s v=" 63.6296 "/>
    <x v="0"/>
    <n v="111480"/>
    <m/>
    <m/>
    <m/>
  </r>
  <r>
    <x v="12"/>
    <x v="4"/>
    <s v="F:\images\20210604\plaque 1/@12 Atrazine 10 mg_L/E12_03.tif "/>
    <s v=" 1103.1246 "/>
    <s v=" 62.8235 "/>
    <x v="0"/>
    <n v="69302"/>
    <m/>
    <m/>
    <m/>
  </r>
  <r>
    <x v="12"/>
    <x v="5"/>
    <s v="F:\images\20210604\plaque 1/@12 Atrazine 10 mg_L/F12_01.tif "/>
    <s v=" 930.0855 "/>
    <s v=" 62.2326 "/>
    <x v="0"/>
    <n v="57882"/>
    <m/>
    <m/>
    <m/>
  </r>
  <r>
    <x v="12"/>
    <x v="5"/>
    <s v="F:\images\20210604\plaque 1/@12 Atrazine 10 mg_L/F12_02.tif "/>
    <s v=" 6380.8189 "/>
    <s v=" 64.5831 "/>
    <x v="0"/>
    <n v="412093"/>
    <m/>
    <m/>
    <m/>
  </r>
  <r>
    <x v="12"/>
    <x v="5"/>
    <s v="F:\images\20210604\plaque 1/@12 Atrazine 10 mg_L/F12_03.tif "/>
    <s v=" 1600.6122 "/>
    <s v=" 63.473 "/>
    <x v="0"/>
    <n v="101596"/>
    <m/>
    <m/>
    <m/>
  </r>
  <r>
    <x v="12"/>
    <x v="6"/>
    <s v="F:\images\20210604\plaque 1/@12 Atrazine 10 mg_L/G12_01.tif "/>
    <s v=" 2617.2173 "/>
    <s v=" 67.7355 "/>
    <x v="0"/>
    <n v="177279"/>
    <m/>
    <m/>
    <m/>
  </r>
  <r>
    <x v="12"/>
    <x v="6"/>
    <s v="F:\images\20210604\plaque 1/@12 Atrazine 10 mg_L/G12_02.tif "/>
    <s v=" 14016.1717 "/>
    <s v=" 95.6296 "/>
    <x v="0"/>
    <n v="1340361"/>
    <m/>
    <m/>
    <m/>
  </r>
  <r>
    <x v="12"/>
    <x v="6"/>
    <s v="F:\images\20210604\plaque 1/@12 Atrazine 10 mg_L/G12_03- exclu.tif"/>
    <m/>
    <m/>
    <x v="1"/>
    <m/>
    <m/>
    <m/>
    <m/>
  </r>
  <r>
    <x v="12"/>
    <x v="7"/>
    <s v="F:\images\20210604\plaque 1/@12 Atrazine 10 mg_L/H12_01.tif "/>
    <s v=" 1124.7545 "/>
    <s v=" 63.4808 "/>
    <x v="0"/>
    <n v="71400"/>
    <m/>
    <m/>
    <m/>
  </r>
  <r>
    <x v="12"/>
    <x v="7"/>
    <s v="F:\images\20210604\plaque 1/@12 Atrazine 10 mg_L/H12_02.tif "/>
    <s v=" 843.5659 "/>
    <s v=" 64.0256 "/>
    <x v="0"/>
    <n v="54010"/>
    <m/>
    <m/>
    <m/>
  </r>
  <r>
    <x v="12"/>
    <x v="7"/>
    <s v="F:\images\20210604\plaque 1/@12 Atrazine 10 mg_L/H12_03.tif "/>
    <s v=" 648.8968 "/>
    <s v=" 62.9667 "/>
    <x v="0"/>
    <n v="40859"/>
    <m/>
    <m/>
    <m/>
  </r>
  <r>
    <x v="1"/>
    <x v="8"/>
    <s v=" "/>
    <m/>
    <m/>
    <x v="1"/>
    <m/>
    <m/>
    <m/>
    <m/>
  </r>
  <r>
    <x v="1"/>
    <x v="8"/>
    <s v="group "/>
    <s v=" "/>
    <s v=" mean of mean fluo "/>
    <x v="2"/>
    <s v=" mean of total fluo "/>
    <s v=" SD total fluo "/>
    <s v=" n fluorescent "/>
    <s v=" n total"/>
  </r>
  <r>
    <x v="12"/>
    <x v="9"/>
    <s v="F:\images\20210604\plaque 1/@12 Atrazine 10 mg_L/ "/>
    <s v=" "/>
    <s v=" 67.989 "/>
    <x v="14"/>
    <s v=" 288188.667 "/>
    <s v=" 403971.39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604\plaque 2/@1 TESTO 30/A1_01.tif "/>
    <s v=" 670.5267 "/>
    <s v=" 64.6452 "/>
    <x v="0"/>
    <n v="43346"/>
    <m/>
    <m/>
    <m/>
  </r>
  <r>
    <x v="13"/>
    <x v="0"/>
    <s v="F:\images\20210604\plaque 2/@1 TESTO 30/A1_02.tif "/>
    <s v=" 1016.605 "/>
    <s v=" 64.6383 "/>
    <x v="0"/>
    <n v="65712"/>
    <m/>
    <m/>
    <m/>
  </r>
  <r>
    <x v="13"/>
    <x v="0"/>
    <s v="F:\images\20210604\plaque 2/@1 TESTO 30/A1_03.tif "/>
    <s v=" 1103.1246 "/>
    <s v=" 62.9216 "/>
    <x v="0"/>
    <n v="69410"/>
    <m/>
    <m/>
    <m/>
  </r>
  <r>
    <x v="13"/>
    <x v="1"/>
    <s v="F:\images\20210604\plaque 2/@1 TESTO 30/B1_01.tif "/>
    <s v=" 30498.1514 "/>
    <s v=" 67.7809 "/>
    <x v="0"/>
    <n v="2067191"/>
    <m/>
    <m/>
    <m/>
  </r>
  <r>
    <x v="13"/>
    <x v="1"/>
    <s v="F:\images\20210604\plaque 2/@1 TESTO 30/B1_02.tif "/>
    <s v=" 27989.0836 "/>
    <s v=" 67.5039 "/>
    <x v="0"/>
    <n v="1889371"/>
    <m/>
    <m/>
    <m/>
  </r>
  <r>
    <x v="13"/>
    <x v="1"/>
    <s v="F:\images\20210604\plaque 2/@1 TESTO 30/B1_03.tif "/>
    <s v=" 29459.9165 "/>
    <s v=" 68.92 "/>
    <x v="0"/>
    <n v="2030377"/>
    <m/>
    <m/>
    <m/>
  </r>
  <r>
    <x v="13"/>
    <x v="2"/>
    <s v="F:\images\20210604\plaque 2/@1 TESTO 30/C1_01.tif "/>
    <s v=" 34694.351 "/>
    <s v=" 71.0087 "/>
    <x v="0"/>
    <n v="2463602"/>
    <m/>
    <m/>
    <m/>
  </r>
  <r>
    <x v="13"/>
    <x v="2"/>
    <s v="F:\images\20210604\plaque 2/@1 TESTO 30/C1_02.tif "/>
    <s v=" 33742.6356 "/>
    <s v=" 69.9853 "/>
    <x v="0"/>
    <n v="2361487"/>
    <m/>
    <m/>
    <m/>
  </r>
  <r>
    <x v="13"/>
    <x v="2"/>
    <s v="F:\images\20210604\plaque 2/@1 TESTO 30/C1_03.tif "/>
    <s v=" 33850.7851 "/>
    <s v=" 70.354 "/>
    <x v="0"/>
    <n v="2381538"/>
    <m/>
    <m/>
    <m/>
  </r>
  <r>
    <x v="13"/>
    <x v="3"/>
    <s v="F:\images\20210604\plaque 2/@1 TESTO 30/D1_01.tif "/>
    <s v=" 24312.0016 "/>
    <s v=" 66.758 "/>
    <x v="0"/>
    <n v="1623021"/>
    <m/>
    <m/>
    <m/>
  </r>
  <r>
    <x v="13"/>
    <x v="3"/>
    <s v="F:\images\20210604\plaque 2/@1 TESTO 30/D1_02.tif "/>
    <s v=" 16417.09 "/>
    <s v=" 65.054 "/>
    <x v="0"/>
    <n v="1067998"/>
    <m/>
    <m/>
    <m/>
  </r>
  <r>
    <x v="13"/>
    <x v="3"/>
    <s v="F:\images\20210604\plaque 2/@1 TESTO 30/D1_03.tif "/>
    <s v=" 21391.9658 "/>
    <s v=" 65.9484 "/>
    <x v="0"/>
    <n v="1410767"/>
    <m/>
    <m/>
    <m/>
  </r>
  <r>
    <x v="13"/>
    <x v="4"/>
    <s v="F:\images\20210604\plaque 2/@1 TESTO 30/E1_01.tif "/>
    <s v=" 2271.1389 "/>
    <s v=" 63.0095 "/>
    <x v="0"/>
    <n v="143103"/>
    <m/>
    <m/>
    <m/>
  </r>
  <r>
    <x v="13"/>
    <x v="4"/>
    <s v="F:\images\20210604\plaque 2/@1 TESTO 30/E1_02.tif "/>
    <s v=" 3806.8615 "/>
    <s v=" 63.2898 "/>
    <x v="0"/>
    <n v="240935"/>
    <m/>
    <m/>
    <m/>
  </r>
  <r>
    <x v="13"/>
    <x v="4"/>
    <s v="F:\images\20210604\plaque 2/@1 TESTO 30/E1_03.tif "/>
    <s v=" 4304.349 "/>
    <s v=" 63.9698 "/>
    <x v="0"/>
    <n v="275349"/>
    <m/>
    <m/>
    <m/>
  </r>
  <r>
    <x v="13"/>
    <x v="5"/>
    <s v="F:\images\20210604\plaque 2/@1 TESTO 30/F1_01.tif "/>
    <s v=" 17649.994 "/>
    <s v=" 67.3971 "/>
    <x v="0"/>
    <n v="1189558"/>
    <m/>
    <m/>
    <m/>
  </r>
  <r>
    <x v="13"/>
    <x v="5"/>
    <s v="F:\images\20210604\plaque 2/@1 TESTO 30/F1_02.tif "/>
    <s v=" 10057.901 "/>
    <s v=" 64.5247 "/>
    <x v="0"/>
    <n v="648983"/>
    <m/>
    <m/>
    <m/>
  </r>
  <r>
    <x v="13"/>
    <x v="5"/>
    <s v="F:\images\20210604\plaque 2/@1 TESTO 30/F1_03.tif "/>
    <s v=" 20115.802 "/>
    <s v=" 65.886 "/>
    <x v="0"/>
    <n v="1325350"/>
    <m/>
    <m/>
    <m/>
  </r>
  <r>
    <x v="13"/>
    <x v="6"/>
    <s v="F:\images\20210604\plaque 2/@1 TESTO 30/G1_01.tif "/>
    <s v=" 11182.6555 "/>
    <s v=" 65.3346 "/>
    <x v="0"/>
    <n v="730615"/>
    <m/>
    <m/>
    <m/>
  </r>
  <r>
    <x v="13"/>
    <x v="6"/>
    <s v="F:\images\20210604\plaque 2/@1 TESTO 30/G1_02.tif "/>
    <s v=" 7181.125 "/>
    <s v=" 64.8434 "/>
    <x v="0"/>
    <n v="465648"/>
    <m/>
    <m/>
    <m/>
  </r>
  <r>
    <x v="13"/>
    <x v="6"/>
    <s v="F:\images\20210604\plaque 2/@1 TESTO 30/G1_03.tif "/>
    <s v=" 8846.6269 "/>
    <s v=" 64.5159 "/>
    <x v="0"/>
    <n v="570748"/>
    <m/>
    <m/>
    <m/>
  </r>
  <r>
    <x v="13"/>
    <x v="7"/>
    <s v="F:\images\20210604\plaque 2/@1 TESTO 30/H1_01.tif "/>
    <s v=" 25263.7169 "/>
    <s v=" 66.6969 "/>
    <x v="0"/>
    <n v="1685012"/>
    <m/>
    <m/>
    <m/>
  </r>
  <r>
    <x v="13"/>
    <x v="7"/>
    <s v="F:\images\20210604\plaque 2/@1 TESTO 30/H1_02.tif "/>
    <s v=" 25653.055 "/>
    <s v=" 66.2816 "/>
    <x v="0"/>
    <n v="1700326"/>
    <m/>
    <m/>
    <m/>
  </r>
  <r>
    <x v="13"/>
    <x v="7"/>
    <s v="F:\images\20210604\plaque 2/@1 TESTO 30/H1_03.tif "/>
    <s v=" 27664.6352 "/>
    <s v=" 66.4292 "/>
    <x v="0"/>
    <n v="1837741"/>
    <m/>
    <m/>
    <m/>
  </r>
  <r>
    <x v="1"/>
    <x v="8"/>
    <s v=" "/>
    <m/>
    <m/>
    <x v="1"/>
    <m/>
    <m/>
    <m/>
    <m/>
  </r>
  <r>
    <x v="1"/>
    <x v="8"/>
    <s v="group "/>
    <s v=" "/>
    <s v=" mean of mean fluo "/>
    <x v="2"/>
    <s v=" mean of total fluo "/>
    <s v=" SD total fluo "/>
    <s v=" n fluorescent "/>
    <s v=" n total"/>
  </r>
  <r>
    <x v="13"/>
    <x v="9"/>
    <s v="F:\images\20210604\plaque 2/@1 TESTO 30/ "/>
    <s v=" "/>
    <s v=" 66.154 "/>
    <x v="15"/>
    <s v=" 1178632.83 "/>
    <s v=" 824889.14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604\plaque 2/@2 testo 30/A2_01.tif "/>
    <s v=" 2227.8791 "/>
    <s v=" 64.7184 "/>
    <x v="0"/>
    <n v="144185"/>
    <m/>
    <m/>
    <m/>
  </r>
  <r>
    <x v="14"/>
    <x v="0"/>
    <s v="F:\images\20210604\plaque 2/@2 testo 30/A2_02.tif "/>
    <s v=" 930.0855 "/>
    <n v="64"/>
    <x v="0"/>
    <n v="59525"/>
    <m/>
    <m/>
    <m/>
  </r>
  <r>
    <x v="14"/>
    <x v="0"/>
    <s v="F:\images\20210604\plaque 2/@2 testo 30/A2_03.tif "/>
    <s v=" 1124.7545 "/>
    <s v=" 63.6731 "/>
    <x v="0"/>
    <n v="71617"/>
    <m/>
    <m/>
    <m/>
  </r>
  <r>
    <x v="14"/>
    <x v="1"/>
    <s v="F:\images\20210604\plaque 2/@2 testo 30/B2_01.tif "/>
    <s v=" 16373.8302 "/>
    <s v=" 71.3236 "/>
    <x v="0"/>
    <n v="1167841"/>
    <m/>
    <m/>
    <m/>
  </r>
  <r>
    <x v="14"/>
    <x v="1"/>
    <s v="F:\images\20210604\plaque 2/@2 testo 30/B2_02.tif "/>
    <s v=" 12588.5987 "/>
    <s v=" 71.3849 "/>
    <x v="0"/>
    <n v="898636"/>
    <m/>
    <m/>
    <m/>
  </r>
  <r>
    <x v="14"/>
    <x v="1"/>
    <s v="F:\images\20210604\plaque 2/@2 testo 30/B2_03.tif "/>
    <s v=" 13648.4635 "/>
    <s v=" 91.4295 "/>
    <x v="0"/>
    <n v="1247872"/>
    <m/>
    <m/>
    <m/>
  </r>
  <r>
    <x v="14"/>
    <x v="2"/>
    <s v="F:\images\20210604\plaque 2/@2 testo 30/C2_01.tif "/>
    <s v=" 24290.3717 "/>
    <s v=" 71.9038 "/>
    <x v="0"/>
    <n v="1746571"/>
    <m/>
    <m/>
    <m/>
  </r>
  <r>
    <x v="14"/>
    <x v="2"/>
    <s v="F:\images\20210604\plaque 2/@2 testo 30/C2_02.tif "/>
    <s v=" 21391.9658 "/>
    <s v=" 69.2285 "/>
    <x v="0"/>
    <n v="1480934"/>
    <m/>
    <m/>
    <m/>
  </r>
  <r>
    <x v="14"/>
    <x v="2"/>
    <s v="F:\images\20210604\plaque 2/@2 testo 30/C2_03.tif "/>
    <s v=" 20548.3999 "/>
    <s v=" 71.6874 "/>
    <x v="0"/>
    <n v="1473061"/>
    <m/>
    <m/>
    <m/>
  </r>
  <r>
    <x v="14"/>
    <x v="3"/>
    <s v="F:\images\20210604\plaque 2/@2 testo 30/D2_01.tif "/>
    <s v=" 31211.9379 "/>
    <s v=" 69.6015 "/>
    <x v="0"/>
    <n v="2172398"/>
    <m/>
    <m/>
    <m/>
  </r>
  <r>
    <x v="14"/>
    <x v="3"/>
    <s v="F:\images\20210604\plaque 2/@2 testo 30/D2_02.tif "/>
    <s v=" 23987.5531 "/>
    <s v=" 66.9937 "/>
    <x v="0"/>
    <n v="1607015"/>
    <m/>
    <m/>
    <m/>
  </r>
  <r>
    <x v="14"/>
    <x v="3"/>
    <s v="F:\images\20210604\plaque 2/@2 testo 30/D2_03.tif "/>
    <s v=" 27599.7455 "/>
    <s v=" 68.0502 "/>
    <x v="0"/>
    <n v="1878167"/>
    <m/>
    <m/>
    <m/>
  </r>
  <r>
    <x v="14"/>
    <x v="4"/>
    <s v="F:\images\20210604\plaque 2/@2 testo 30/E2_01.tif "/>
    <s v=" 5904.9612 "/>
    <s v=" 64.0806 "/>
    <x v="0"/>
    <n v="378393"/>
    <m/>
    <m/>
    <m/>
  </r>
  <r>
    <x v="14"/>
    <x v="4"/>
    <s v="F:\images\20210604\plaque 2/@2 testo 30/E2_02.tif "/>
    <s v=" 5212.8046 "/>
    <s v=" 66.1743 "/>
    <x v="0"/>
    <n v="344954"/>
    <m/>
    <m/>
    <m/>
  </r>
  <r>
    <x v="14"/>
    <x v="4"/>
    <s v="F:\images\20210604\plaque 2/@2 testo 30/E2_03.tif "/>
    <s v=" 5796.8118 "/>
    <s v=" 65.2127 "/>
    <x v="0"/>
    <n v="378026"/>
    <m/>
    <m/>
    <m/>
  </r>
  <r>
    <x v="14"/>
    <x v="5"/>
    <s v="F:\images\20210604\plaque 2/@2 testo 30/F2_01.tif "/>
    <s v=" 15919.6024 "/>
    <s v=" 65.9049 "/>
    <x v="0"/>
    <n v="1049180"/>
    <m/>
    <m/>
    <m/>
  </r>
  <r>
    <x v="14"/>
    <x v="5"/>
    <s v="F:\images\20210604\plaque 2/@2 testo 30/F2_02.tif "/>
    <s v=" 27967.4538 "/>
    <s v=" 68.4285 "/>
    <x v="0"/>
    <n v="1913770"/>
    <m/>
    <m/>
    <m/>
  </r>
  <r>
    <x v="14"/>
    <x v="5"/>
    <s v="F:\images\20210604\plaque 2/@2 testo 30/F2_03.tif "/>
    <s v=" 11031.2463 "/>
    <s v=" 64.5608 "/>
    <x v="0"/>
    <n v="712186"/>
    <m/>
    <m/>
    <m/>
  </r>
  <r>
    <x v="14"/>
    <x v="6"/>
    <s v="F:\images\20210604\plaque 2/@2 testo 30/G2_01.tif "/>
    <s v=" 47023.3909 "/>
    <s v=" 73.196 "/>
    <x v="0"/>
    <n v="3441922"/>
    <m/>
    <m/>
    <m/>
  </r>
  <r>
    <x v="14"/>
    <x v="6"/>
    <s v="F:\images\20210604\plaque 2/@2 testo 30/G2_02.tif "/>
    <s v=" 44903.6612 "/>
    <s v=" 75.8285 "/>
    <x v="0"/>
    <n v="3404978"/>
    <m/>
    <m/>
    <m/>
  </r>
  <r>
    <x v="14"/>
    <x v="6"/>
    <s v="F:\images\20210604\plaque 2/@2 testo 30/G2_03.tif "/>
    <s v=" 53966.5871 "/>
    <s v=" 74.9299 "/>
    <x v="0"/>
    <n v="4043709"/>
    <m/>
    <m/>
    <m/>
  </r>
  <r>
    <x v="14"/>
    <x v="7"/>
    <s v="F:\images\20210604\plaque 2/@2 testo 30/H2_01.tif "/>
    <s v=" 10339.0896 "/>
    <s v=" 65.6025 "/>
    <x v="0"/>
    <n v="678270"/>
    <m/>
    <m/>
    <m/>
  </r>
  <r>
    <x v="14"/>
    <x v="7"/>
    <s v="F:\images\20210604\plaque 2/@2 testo 30/H2_02.tif "/>
    <s v=" 12199.2606 "/>
    <s v=" 66.0035 "/>
    <x v="0"/>
    <n v="805194"/>
    <m/>
    <m/>
    <m/>
  </r>
  <r>
    <x v="14"/>
    <x v="7"/>
    <s v="F:\images\20210604\plaque 2/@2 testo 30/H2_03.tif "/>
    <s v=" 10209.3103 "/>
    <s v=" 66.6081 "/>
    <x v="0"/>
    <n v="680022"/>
    <m/>
    <m/>
    <m/>
  </r>
  <r>
    <x v="1"/>
    <x v="8"/>
    <s v=" "/>
    <m/>
    <m/>
    <x v="1"/>
    <m/>
    <m/>
    <m/>
    <m/>
  </r>
  <r>
    <x v="1"/>
    <x v="8"/>
    <s v="group "/>
    <s v=" "/>
    <s v=" mean of mean fluo "/>
    <x v="2"/>
    <s v=" mean of total fluo "/>
    <s v=" SD total fluo "/>
    <s v=" n fluorescent "/>
    <s v=" n total"/>
  </r>
  <r>
    <x v="14"/>
    <x v="9"/>
    <s v="F:\images\20210604\plaque 2/@2 testo 30/ "/>
    <s v=" "/>
    <s v=" 69.1885 "/>
    <x v="16"/>
    <s v=" 1324101.08 "/>
    <s v=" 1082705.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604\plaque 2/@3 testo +ee2/A3_01.tif "/>
    <s v=" 33699.3758 "/>
    <s v=" 74.6065 "/>
    <x v="0"/>
    <n v="2514194"/>
    <m/>
    <m/>
    <m/>
  </r>
  <r>
    <x v="15"/>
    <x v="0"/>
    <s v="F:\images\20210604\plaque 2/@3 testo +ee2/A3_02.tif "/>
    <s v=" 29870.8845 "/>
    <s v=" 79.3382 "/>
    <x v="0"/>
    <n v="2369901"/>
    <m/>
    <m/>
    <m/>
  </r>
  <r>
    <x v="15"/>
    <x v="0"/>
    <s v="F:\images\20210604\plaque 2/@3 testo +ee2/A3_03.tif "/>
    <s v=" 32920.6996 "/>
    <s v=" 75.5762 "/>
    <x v="0"/>
    <n v="2488022"/>
    <m/>
    <m/>
    <m/>
  </r>
  <r>
    <x v="15"/>
    <x v="1"/>
    <s v="F:\images\20210604\plaque 2/@3 testo +ee2/B3_01.tif "/>
    <s v=" 26215.4323 "/>
    <s v=" 68.4026 "/>
    <x v="0"/>
    <n v="1793205"/>
    <m/>
    <m/>
    <m/>
  </r>
  <r>
    <x v="15"/>
    <x v="1"/>
    <s v="F:\images\20210604\plaque 2/@3 testo +ee2/B3_02.tif "/>
    <s v=" 25566.5355 "/>
    <s v=" 67.9805 "/>
    <x v="0"/>
    <n v="1738027"/>
    <m/>
    <m/>
    <m/>
  </r>
  <r>
    <x v="15"/>
    <x v="1"/>
    <s v="F:\images\20210604\plaque 2/@3 testo +ee2/B3_03.tif "/>
    <s v=" 19921.133 "/>
    <s v=" 67.8979 "/>
    <x v="0"/>
    <n v="1352604"/>
    <m/>
    <m/>
    <m/>
  </r>
  <r>
    <x v="15"/>
    <x v="2"/>
    <s v="F:\images\20210604\plaque 2/@3 testo +ee2/C3_01.tif "/>
    <s v=" 37636.0167 "/>
    <s v=" 73.4776 "/>
    <x v="0"/>
    <n v="2765404"/>
    <m/>
    <m/>
    <m/>
  </r>
  <r>
    <x v="15"/>
    <x v="2"/>
    <s v="F:\images\20210604\plaque 2/@3 testo +ee2/C3_02.tif "/>
    <s v=" 34326.6428 "/>
    <s v=" 72.7549 "/>
    <x v="0"/>
    <n v="2497431"/>
    <m/>
    <m/>
    <m/>
  </r>
  <r>
    <x v="15"/>
    <x v="2"/>
    <s v="F:\images\20210604\plaque 2/@3 testo +ee2/C3_03.tif "/>
    <s v=" 34910.6499 "/>
    <s v=" 75.303 "/>
    <x v="0"/>
    <n v="2628876"/>
    <m/>
    <m/>
    <m/>
  </r>
  <r>
    <x v="15"/>
    <x v="3"/>
    <s v="F:\images\20210604\plaque 2/@3 testo +ee2/D3_01.tif "/>
    <s v=" 12134.3709 "/>
    <s v=" 67.6881 "/>
    <x v="0"/>
    <n v="821352"/>
    <m/>
    <m/>
    <m/>
  </r>
  <r>
    <x v="15"/>
    <x v="3"/>
    <s v="F:\images\20210604\plaque 2/@3 testo +ee2/D3_02.tif "/>
    <s v=" 8457.2888 "/>
    <s v=" 65.8721 "/>
    <x v="0"/>
    <n v="557100"/>
    <m/>
    <m/>
    <m/>
  </r>
  <r>
    <x v="15"/>
    <x v="3"/>
    <s v="F:\images\20210604\plaque 2/@3 testo +ee2/D3_03.tif "/>
    <s v=" 13778.2429 "/>
    <s v=" 67.7096 "/>
    <x v="0"/>
    <n v="932919"/>
    <m/>
    <m/>
    <m/>
  </r>
  <r>
    <x v="15"/>
    <x v="4"/>
    <s v="F:\images\20210604\plaque 2/@3 testo +ee2/E3_01.tif "/>
    <s v=" 45574.188 "/>
    <s v=" 73.7893 "/>
    <x v="0"/>
    <n v="3362886"/>
    <m/>
    <m/>
    <m/>
  </r>
  <r>
    <x v="15"/>
    <x v="4"/>
    <s v="F:\images\20210604\plaque 2/@3 testo +ee2/E3_02.tif "/>
    <s v=" 40274.8638 "/>
    <s v=" 76.6004 "/>
    <x v="0"/>
    <n v="3085072"/>
    <m/>
    <m/>
    <m/>
  </r>
  <r>
    <x v="15"/>
    <x v="4"/>
    <s v="F:\images\20210604\plaque 2/@3 testo +ee2/E3_03.tif "/>
    <s v=" 38457.9527 "/>
    <s v=" 77.6271 "/>
    <x v="0"/>
    <n v="2985380"/>
    <m/>
    <m/>
    <m/>
  </r>
  <r>
    <x v="15"/>
    <x v="5"/>
    <s v="F:\images\20210604\plaque 2/@3 testo +ee2/F3_01.tif "/>
    <s v=" 10209.3103 "/>
    <s v=" 68.9068 "/>
    <x v="0"/>
    <n v="703491"/>
    <m/>
    <m/>
    <m/>
  </r>
  <r>
    <x v="15"/>
    <x v="5"/>
    <s v="F:\images\20210604\plaque 2/@3 testo +ee2/F3_02.tif "/>
    <s v=" 6359.189 "/>
    <s v=" 70.5068 "/>
    <x v="0"/>
    <n v="448366"/>
    <m/>
    <m/>
    <m/>
  </r>
  <r>
    <x v="15"/>
    <x v="5"/>
    <s v="F:\images\20210604\plaque 2/@3 testo +ee2/F3_03.tif "/>
    <s v=" 7483.9435 "/>
    <s v=" 64.289 "/>
    <x v="0"/>
    <n v="481135"/>
    <m/>
    <m/>
    <m/>
  </r>
  <r>
    <x v="15"/>
    <x v="6"/>
    <s v="F:\images\20210604\plaque 2/@3 testo +ee2/G3_01.tif "/>
    <s v=" 53663.7686 "/>
    <s v=" 77.2765 "/>
    <x v="0"/>
    <n v="4146948"/>
    <m/>
    <m/>
    <m/>
  </r>
  <r>
    <x v="15"/>
    <x v="6"/>
    <s v="F:\images\20210604\plaque 2/@3 testo +ee2/G3_02.tif "/>
    <s v=" 47434.3589 "/>
    <s v=" 80.1281 "/>
    <x v="0"/>
    <n v="3800827"/>
    <m/>
    <m/>
    <m/>
  </r>
  <r>
    <x v="15"/>
    <x v="6"/>
    <s v="F:\images\20210604\plaque 2/@3 testo +ee2/G3_03.tif "/>
    <s v=" 49402.6793 "/>
    <s v=" 78.9645 "/>
    <x v="0"/>
    <n v="3901060"/>
    <m/>
    <m/>
    <m/>
  </r>
  <r>
    <x v="15"/>
    <x v="7"/>
    <s v="F:\images\20210604\plaque 2/@3 testo +ee2/H3_01.tif "/>
    <s v=" 28205.3826 "/>
    <s v=" 68.0222 "/>
    <x v="0"/>
    <n v="1918593"/>
    <m/>
    <m/>
    <m/>
  </r>
  <r>
    <x v="15"/>
    <x v="7"/>
    <s v="F:\images\20210604\plaque 2/@3 testo +ee2/H3_02.tif "/>
    <s v=" 26453.3611 "/>
    <s v=" 67.7817 "/>
    <x v="0"/>
    <n v="1793053"/>
    <m/>
    <m/>
    <m/>
  </r>
  <r>
    <x v="15"/>
    <x v="7"/>
    <s v="F:\images\20210604\plaque 2/@3 testo +ee2/H3_03.tif "/>
    <s v=" 18039.3321 "/>
    <s v=" 66.4305 "/>
    <x v="0"/>
    <n v="1198361"/>
    <m/>
    <m/>
    <m/>
  </r>
  <r>
    <x v="1"/>
    <x v="8"/>
    <s v=" "/>
    <m/>
    <m/>
    <x v="1"/>
    <m/>
    <m/>
    <m/>
    <m/>
  </r>
  <r>
    <x v="1"/>
    <x v="8"/>
    <s v="group "/>
    <s v=" "/>
    <s v=" mean of mean fluo "/>
    <x v="2"/>
    <s v=" mean of total fluo "/>
    <s v=" SD total fluo "/>
    <s v=" n fluorescent "/>
    <s v=" n total"/>
  </r>
  <r>
    <x v="15"/>
    <x v="9"/>
    <s v="F:\images\20210604\plaque 2/@3 testo +ee2/ "/>
    <s v=" "/>
    <s v=" 71.9554 "/>
    <x v="17"/>
    <s v=" 2095175.29 "/>
    <s v=" 1129656.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604\plaque 2/@4 testo +fad/A4_01.tif "/>
    <s v=" 4736.9469 "/>
    <s v=" 74.4977 "/>
    <x v="0"/>
    <n v="352892"/>
    <m/>
    <m/>
    <m/>
  </r>
  <r>
    <x v="16"/>
    <x v="0"/>
    <s v="F:\images\20210604\plaque 2/@4 testo +fad/A4_02.tif "/>
    <s v=" 1103.1246 "/>
    <s v=" 63.4706 "/>
    <x v="0"/>
    <n v="70016"/>
    <m/>
    <m/>
    <m/>
  </r>
  <r>
    <x v="16"/>
    <x v="0"/>
    <s v="F:\images\20210604\plaque 2/@4 testo +fad/A4_03.tif "/>
    <s v=" 1752.0215 "/>
    <s v=" 66.2593 "/>
    <x v="0"/>
    <n v="116088"/>
    <m/>
    <m/>
    <m/>
  </r>
  <r>
    <x v="16"/>
    <x v="1"/>
    <s v="F:\images\20210604\plaque 2/@4 testo +fad/B4_01.tif "/>
    <s v=" 648.8968 "/>
    <s v=" 63.7333 "/>
    <x v="0"/>
    <n v="41356"/>
    <m/>
    <m/>
    <m/>
  </r>
  <r>
    <x v="16"/>
    <x v="1"/>
    <s v="F:\images\20210604\plaque 2/@4 testo +fad/B4_02.tif "/>
    <s v=" 475.8577 "/>
    <s v=" 62.7273 "/>
    <x v="0"/>
    <n v="29849"/>
    <m/>
    <m/>
    <m/>
  </r>
  <r>
    <x v="16"/>
    <x v="1"/>
    <s v="F:\images\20210604\plaque 2/@4 testo +fad/B4_03.tif "/>
    <s v=" 129.7794 "/>
    <s v=" 65.1667 "/>
    <x v="0"/>
    <n v="8457"/>
    <m/>
    <m/>
    <m/>
  </r>
  <r>
    <x v="16"/>
    <x v="2"/>
    <s v="F:\images\20210604\plaque 2/@4 testo +fad/C4_01.tif "/>
    <s v=" 1319.4236 "/>
    <s v=" 64.2459 "/>
    <x v="0"/>
    <n v="84768"/>
    <m/>
    <m/>
    <m/>
  </r>
  <r>
    <x v="16"/>
    <x v="2"/>
    <s v="F:\images\20210604\plaque 2/@4 testo +fad/C4_02.tif "/>
    <s v=" 216.2989 "/>
    <s v=" 63.7 "/>
    <x v="0"/>
    <n v="13778"/>
    <m/>
    <m/>
    <m/>
  </r>
  <r>
    <x v="16"/>
    <x v="2"/>
    <s v="F:\images\20210604\plaque 2/@4 testo +fad/C4_03.tif "/>
    <s v=" 519.1175 "/>
    <s v=" 64.0833 "/>
    <x v="0"/>
    <n v="33267"/>
    <m/>
    <m/>
    <m/>
  </r>
  <r>
    <x v="16"/>
    <x v="3"/>
    <s v="F:\images\20210604\plaque 2/@4 testo +fad/D4_01.tif "/>
    <s v=" 1038.2349 "/>
    <s v=" 62.6458 "/>
    <x v="0"/>
    <n v="65041"/>
    <m/>
    <m/>
    <m/>
  </r>
  <r>
    <x v="16"/>
    <x v="3"/>
    <s v="F:\images\20210604\plaque 2/@4 testo +fad/D4_02.tif "/>
    <s v=" 2876.776 "/>
    <s v=" 65.1504 "/>
    <x v="0"/>
    <n v="187423"/>
    <m/>
    <m/>
    <m/>
  </r>
  <r>
    <x v="16"/>
    <x v="3"/>
    <s v="F:\images\20210604\plaque 2/@4 testo +fad/D4_03.tif "/>
    <s v=" 2162.9895 "/>
    <s v=" 64.6 "/>
    <x v="0"/>
    <n v="139729"/>
    <m/>
    <m/>
    <m/>
  </r>
  <r>
    <x v="16"/>
    <x v="4"/>
    <s v="F:\images\20210604\plaque 2/@4 testo +fad/E4_01.tif "/>
    <s v=" 1211.2741 "/>
    <s v=" 62.6964 "/>
    <x v="0"/>
    <n v="75943"/>
    <m/>
    <m/>
    <m/>
  </r>
  <r>
    <x v="16"/>
    <x v="4"/>
    <s v="F:\images\20210604\plaque 2/@4 testo +fad/E4_02.tif "/>
    <s v=" 3417.5234 "/>
    <s v=" 67.0506 "/>
    <x v="0"/>
    <n v="229147"/>
    <m/>
    <m/>
    <m/>
  </r>
  <r>
    <x v="16"/>
    <x v="4"/>
    <s v="F:\images\20210604\plaque 2/@4 testo +fad/E4_03.tif "/>
    <s v=" 951.7154 "/>
    <s v=" 63.1136 "/>
    <x v="0"/>
    <n v="60066"/>
    <m/>
    <m/>
    <m/>
  </r>
  <r>
    <x v="16"/>
    <x v="5"/>
    <s v="F:\images\20210604\plaque 2/@4 testo +fad/F4_01.tif "/>
    <s v=" 497.4876 "/>
    <s v=" 63.1739 "/>
    <x v="0"/>
    <n v="31428"/>
    <m/>
    <m/>
    <m/>
  </r>
  <r>
    <x v="16"/>
    <x v="5"/>
    <s v="F:\images\20210604\plaque 2/@4 testo +fad/F4_02.tif "/>
    <s v=" 497.4876 "/>
    <s v=" 65.3478 "/>
    <x v="0"/>
    <n v="32510"/>
    <m/>
    <m/>
    <m/>
  </r>
  <r>
    <x v="16"/>
    <x v="5"/>
    <s v="F:\images\20210604\plaque 2/@4 testo +fad/F4_03.tif "/>
    <s v=" 475.8577 "/>
    <s v=" 63.8182 "/>
    <x v="0"/>
    <n v="30368"/>
    <m/>
    <m/>
    <m/>
  </r>
  <r>
    <x v="16"/>
    <x v="6"/>
    <s v="F:\images\20210604\plaque 2/@4 testo +fad/G4_01.tif "/>
    <s v=" 1903.4307 "/>
    <s v=" 64.6932 "/>
    <x v="0"/>
    <n v="123139"/>
    <m/>
    <m/>
    <m/>
  </r>
  <r>
    <x v="16"/>
    <x v="6"/>
    <s v="F:\images\20210604\plaque 2/@4 testo +fad/G4_02.tif "/>
    <s v=" 346.0783 "/>
    <s v=" 62.75 "/>
    <x v="0"/>
    <n v="21716"/>
    <m/>
    <m/>
    <m/>
  </r>
  <r>
    <x v="16"/>
    <x v="6"/>
    <s v="F:\images\20210604\plaque 2/@4 testo +fad/G4_03.tif "/>
    <s v=" 2552.3276 "/>
    <s v=" 64.5424 "/>
    <x v="0"/>
    <n v="164733"/>
    <m/>
    <m/>
    <m/>
  </r>
  <r>
    <x v="16"/>
    <x v="7"/>
    <s v="F:\images\20210604\plaque 2/@4 testo +fad/H4_01.tif "/>
    <s v=" 4758.5768 "/>
    <s v=" 67.7545 "/>
    <x v="0"/>
    <n v="322415"/>
    <m/>
    <m/>
    <m/>
  </r>
  <r>
    <x v="16"/>
    <x v="7"/>
    <s v="F:\images\20210604\plaque 2/@4 testo +fad/H4_02.tif "/>
    <s v=" 973.3453 "/>
    <s v=" 63.8 "/>
    <x v="0"/>
    <n v="62099"/>
    <m/>
    <m/>
    <m/>
  </r>
  <r>
    <x v="16"/>
    <x v="7"/>
    <s v="F:\images\20210604\plaque 2/@4 testo +fad/H4_03.tif "/>
    <s v=" 2400.9183 "/>
    <s v=" 65.1532 "/>
    <x v="0"/>
    <n v="156427"/>
    <m/>
    <m/>
    <m/>
  </r>
  <r>
    <x v="1"/>
    <x v="8"/>
    <s v=" "/>
    <m/>
    <m/>
    <x v="1"/>
    <m/>
    <m/>
    <m/>
    <m/>
  </r>
  <r>
    <x v="1"/>
    <x v="8"/>
    <s v="group "/>
    <s v=" "/>
    <s v=" mean of mean fluo "/>
    <x v="2"/>
    <s v=" mean of total fluo "/>
    <s v=" SD total fluo "/>
    <s v=" n fluorescent "/>
    <s v=" n total"/>
  </r>
  <r>
    <x v="16"/>
    <x v="9"/>
    <s v="F:\images\20210604\plaque 2/@4 testo +fad/ "/>
    <s v=" "/>
    <s v=" 64.7573 "/>
    <x v="18"/>
    <s v=" 102193.958 "/>
    <s v=" 93762.20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604\plaque 2/@5 Atrazine 0.625 mg_L+testo/A5_01.tif "/>
    <s v=" 45660.7076 "/>
    <s v=" 74.0317 "/>
    <x v="0"/>
    <n v="3380342"/>
    <m/>
    <m/>
    <m/>
  </r>
  <r>
    <x v="17"/>
    <x v="0"/>
    <s v="F:\images\20210604\plaque 2/@5 Atrazine 0.625 mg_L+testo/A5_02.tif "/>
    <s v=" 43324.6789 "/>
    <s v=" 75.0754 "/>
    <x v="0"/>
    <n v="3252617"/>
    <m/>
    <m/>
    <m/>
  </r>
  <r>
    <x v="17"/>
    <x v="0"/>
    <s v="F:\images\20210604\plaque 2/@5 Atrazine 0.625 mg_L+testo/A5_03.tif "/>
    <s v=" 42243.1842 "/>
    <s v=" 71.6334 "/>
    <x v="0"/>
    <n v="3026022"/>
    <m/>
    <m/>
    <m/>
  </r>
  <r>
    <x v="17"/>
    <x v="1"/>
    <s v="F:\images\20210604\plaque 2/@5 Atrazine 0.625 mg_L+testo/B5_01- exclu.tif"/>
    <m/>
    <m/>
    <x v="1"/>
    <m/>
    <m/>
    <m/>
    <m/>
  </r>
  <r>
    <x v="17"/>
    <x v="1"/>
    <s v="F:\images\20210604\plaque 2/@5 Atrazine 0.625 mg_L+testo/B5_02.tif "/>
    <s v=" 3352.6337 "/>
    <s v=" 65.8129 "/>
    <x v="0"/>
    <n v="220647"/>
    <m/>
    <m/>
    <m/>
  </r>
  <r>
    <x v="17"/>
    <x v="1"/>
    <s v="F:\images\20210604\plaque 2/@5 Atrazine 0.625 mg_L+testo/B5_03- exclu.tif"/>
    <m/>
    <m/>
    <x v="1"/>
    <m/>
    <m/>
    <m/>
    <m/>
  </r>
  <r>
    <x v="17"/>
    <x v="2"/>
    <s v="F:\images\20210604\plaque 2/@5 Atrazine 0.625 mg_L+testo/C5_01.tif "/>
    <s v=" 47737.1774 "/>
    <s v=" 71.8768 "/>
    <x v="0"/>
    <n v="3431193"/>
    <m/>
    <m/>
    <m/>
  </r>
  <r>
    <x v="17"/>
    <x v="2"/>
    <s v="F:\images\20210604\plaque 2/@5 Atrazine 0.625 mg_L+testo/C5_02.tif "/>
    <s v=" 45141.5901 "/>
    <s v=" 72.2444 "/>
    <x v="0"/>
    <n v="3261226"/>
    <m/>
    <m/>
    <m/>
  </r>
  <r>
    <x v="17"/>
    <x v="2"/>
    <s v="F:\images\20210604\plaque 2/@5 Atrazine 0.625 mg_L+testo/C5_03.tif "/>
    <s v=" 42113.4048 "/>
    <s v=" 72.7904 "/>
    <x v="0"/>
    <n v="3065454"/>
    <m/>
    <m/>
    <m/>
  </r>
  <r>
    <x v="17"/>
    <x v="3"/>
    <s v="F:\images\20210604\plaque 2/@5 Atrazine 0.625 mg_L+testo/D5_01.tif "/>
    <s v=" 56107.9467 "/>
    <s v=" 81.2271 "/>
    <x v="0"/>
    <n v="4557484"/>
    <m/>
    <m/>
    <m/>
  </r>
  <r>
    <x v="17"/>
    <x v="3"/>
    <s v="F:\images\20210604\plaque 2/@5 Atrazine 0.625 mg_L+testo/D5_02.tif "/>
    <s v=" 57838.3382 "/>
    <s v=" 79.4693 "/>
    <x v="0"/>
    <n v="4596374"/>
    <m/>
    <m/>
    <m/>
  </r>
  <r>
    <x v="17"/>
    <x v="3"/>
    <s v="F:\images\20210604\plaque 2/@5 Atrazine 0.625 mg_L+testo/D5_03.tif "/>
    <s v=" 48602.3732 "/>
    <s v=" 77.2991 "/>
    <x v="0"/>
    <n v="3756918"/>
    <m/>
    <m/>
    <m/>
  </r>
  <r>
    <x v="17"/>
    <x v="4"/>
    <s v="F:\images\20210604\plaque 2/@5 Atrazine 0.625 mg_L+testo/E5_01.tif "/>
    <s v=" 35775.8457 "/>
    <s v=" 72.4299 "/>
    <x v="0"/>
    <n v="2591240"/>
    <m/>
    <m/>
    <m/>
  </r>
  <r>
    <x v="17"/>
    <x v="4"/>
    <s v="F:\images\20210604\plaque 2/@5 Atrazine 0.625 mg_L+testo/E5_02.tif "/>
    <s v=" 28270.2723 "/>
    <s v=" 71.3902 "/>
    <x v="0"/>
    <n v="2018221"/>
    <m/>
    <m/>
    <m/>
  </r>
  <r>
    <x v="17"/>
    <x v="4"/>
    <s v="F:\images\20210604\plaque 2/@5 Atrazine 0.625 mg_L+testo/E5_03.tif "/>
    <s v=" 33937.3047 "/>
    <s v=" 72.3901 "/>
    <x v="0"/>
    <n v="2456723"/>
    <m/>
    <m/>
    <m/>
  </r>
  <r>
    <x v="17"/>
    <x v="5"/>
    <s v="F:\images\20210604\plaque 2/@5 Atrazine 0.625 mg_L+testo/F5_01.tif "/>
    <s v=" 14946.2572 "/>
    <s v=" 67.437 "/>
    <x v="0"/>
    <n v="1007931"/>
    <m/>
    <m/>
    <m/>
  </r>
  <r>
    <x v="17"/>
    <x v="5"/>
    <s v="F:\images\20210604\plaque 2/@5 Atrazine 0.625 mg_L+testo/F5_02.tif "/>
    <s v=" 17931.1826 "/>
    <s v=" 67.8408 "/>
    <x v="0"/>
    <n v="1216465"/>
    <m/>
    <m/>
    <m/>
  </r>
  <r>
    <x v="17"/>
    <x v="5"/>
    <s v="F:\images\20210604\plaque 2/@5 Atrazine 0.625 mg_L+testo/F5_03.tif "/>
    <s v=" 19769.7237 "/>
    <s v=" 68.4245 "/>
    <x v="0"/>
    <n v="1352734"/>
    <m/>
    <m/>
    <m/>
  </r>
  <r>
    <x v="17"/>
    <x v="6"/>
    <s v="F:\images\20210604\plaque 2/@5 Atrazine 0.625 mg_L+testo/G5_01.tif "/>
    <s v=" 13648.4635 "/>
    <s v=" 65.1506 "/>
    <x v="0"/>
    <n v="889205"/>
    <m/>
    <m/>
    <m/>
  </r>
  <r>
    <x v="17"/>
    <x v="6"/>
    <s v="F:\images\20210604\plaque 2/@5 Atrazine 0.625 mg_L+testo/G5_02.tif "/>
    <s v=" 12653.4884 "/>
    <s v=" 64.8171 "/>
    <x v="0"/>
    <n v="820162"/>
    <m/>
    <m/>
    <m/>
  </r>
  <r>
    <x v="17"/>
    <x v="6"/>
    <s v="F:\images\20210604\plaque 2/@5 Atrazine 0.625 mg_L+testo/G5_03.tif "/>
    <s v=" 18796.3784 "/>
    <s v=" 65.855 "/>
    <x v="0"/>
    <n v="1237836"/>
    <m/>
    <m/>
    <m/>
  </r>
  <r>
    <x v="17"/>
    <x v="7"/>
    <s v="F:\images\20210604\plaque 2/@5 Atrazine 0.625 mg_L+testo/H5_01.tif "/>
    <s v=" 6532.2282 "/>
    <s v=" 63.7781 "/>
    <x v="0"/>
    <n v="416613"/>
    <m/>
    <m/>
    <m/>
  </r>
  <r>
    <x v="17"/>
    <x v="7"/>
    <s v="F:\images\20210604\plaque 2/@5 Atrazine 0.625 mg_L+testo/H5_02.tif "/>
    <s v=" 5104.6551 "/>
    <s v=" 63.6102 "/>
    <x v="0"/>
    <n v="324708"/>
    <m/>
    <m/>
    <m/>
  </r>
  <r>
    <x v="17"/>
    <x v="7"/>
    <s v="F:\images\20210604\plaque 2/@5 Atrazine 0.625 mg_L+testo/H5_03.tif "/>
    <s v=" 4499.0181 "/>
    <s v=" 63.6106 "/>
    <x v="0"/>
    <n v="286185"/>
    <m/>
    <m/>
    <m/>
  </r>
  <r>
    <x v="1"/>
    <x v="8"/>
    <s v=" "/>
    <m/>
    <m/>
    <x v="1"/>
    <m/>
    <m/>
    <m/>
    <m/>
  </r>
  <r>
    <x v="1"/>
    <x v="8"/>
    <s v="group "/>
    <s v=" "/>
    <s v=" mean of mean fluo "/>
    <x v="2"/>
    <s v=" mean of total fluo "/>
    <s v=" SD total fluo "/>
    <s v=" n fluorescent "/>
    <s v=" n total"/>
  </r>
  <r>
    <x v="17"/>
    <x v="9"/>
    <s v="F:\images\20210604\plaque 2/@5 Atrazine 0.625 mg_L+testo/ "/>
    <s v=" "/>
    <s v=" 69.7768 "/>
    <x v="19"/>
    <s v=" 1967634.58 "/>
    <s v=" 1483512.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604\plaque 2/@6  Atrazine 1.25 mg_L+testo/A6_01.tif "/>
    <s v=" 41356.3585 "/>
    <s v=" 69.9226 "/>
    <x v="0"/>
    <n v="2891744"/>
    <m/>
    <m/>
    <m/>
  </r>
  <r>
    <x v="18"/>
    <x v="0"/>
    <s v="F:\images\20210604\plaque 2/@6  Atrazine 1.25 mg_L+testo/A6_02.tif "/>
    <s v=" 41248.2091 "/>
    <s v=" 68.6308 "/>
    <x v="0"/>
    <n v="2830899"/>
    <m/>
    <m/>
    <m/>
  </r>
  <r>
    <x v="18"/>
    <x v="0"/>
    <s v="F:\images\20210604\plaque 2/@6  Atrazine 1.25 mg_L+testo/A6_03.tif "/>
    <s v=" 45033.4406 "/>
    <s v=" 70.9597 "/>
    <x v="0"/>
    <n v="3195557"/>
    <m/>
    <m/>
    <m/>
  </r>
  <r>
    <x v="18"/>
    <x v="1"/>
    <s v="F:\images\20210604\plaque 2/@6  Atrazine 1.25 mg_L+testo/B6_01.tif "/>
    <s v=" 13064.4564 "/>
    <s v=" 65.1424 "/>
    <x v="0"/>
    <n v="851050"/>
    <m/>
    <m/>
    <m/>
  </r>
  <r>
    <x v="18"/>
    <x v="1"/>
    <s v="F:\images\20210604\plaque 2/@6  Atrazine 1.25 mg_L+testo/B6_02.tif "/>
    <s v=" 8781.7372 "/>
    <s v=" 64.165 "/>
    <x v="0"/>
    <n v="563480"/>
    <m/>
    <m/>
    <m/>
  </r>
  <r>
    <x v="18"/>
    <x v="1"/>
    <s v="F:\images\20210604\plaque 2/@6  Atrazine 1.25 mg_L+testo/B6_03.tif "/>
    <s v=" 13626.8336 "/>
    <s v=" 65.1063 "/>
    <x v="0"/>
    <n v="887193"/>
    <m/>
    <m/>
    <m/>
  </r>
  <r>
    <x v="18"/>
    <x v="2"/>
    <s v="F:\images\20210604\plaque 2/@6  Atrazine 1.25 mg_L+testo/C6_01.tif "/>
    <s v=" 24074.0727 "/>
    <s v=" 69.4079 "/>
    <x v="0"/>
    <n v="1670931"/>
    <m/>
    <m/>
    <m/>
  </r>
  <r>
    <x v="18"/>
    <x v="2"/>
    <s v="F:\images\20210604\plaque 2/@6  Atrazine 1.25 mg_L+testo/C6_02.tif "/>
    <s v=" 21586.6348 "/>
    <s v=" 67.8126 "/>
    <x v="0"/>
    <n v="1463846"/>
    <m/>
    <m/>
    <m/>
  </r>
  <r>
    <x v="18"/>
    <x v="2"/>
    <s v="F:\images\20210604\plaque 2/@6  Atrazine 1.25 mg_L+testo/C6_03.tif "/>
    <s v=" 14318.9902 "/>
    <s v=" 67.7462 "/>
    <x v="0"/>
    <n v="970058"/>
    <m/>
    <m/>
    <m/>
  </r>
  <r>
    <x v="18"/>
    <x v="3"/>
    <s v="F:\images\20210604\plaque 2/@6  Atrazine 1.25 mg_L+testo/D6_01.tif "/>
    <s v=" 2076.4699 "/>
    <s v=" 64.8854 "/>
    <x v="0"/>
    <n v="134733"/>
    <m/>
    <m/>
    <m/>
  </r>
  <r>
    <x v="18"/>
    <x v="3"/>
    <s v="F:\images\20210604\plaque 2/@6  Atrazine 1.25 mg_L+testo/D6_02.tif "/>
    <s v=" 1860.1709 "/>
    <s v=" 64.4419 "/>
    <x v="0"/>
    <n v="119873"/>
    <m/>
    <m/>
    <m/>
  </r>
  <r>
    <x v="18"/>
    <x v="3"/>
    <s v="F:\images\20210604\plaque 2/@6  Atrazine 1.25 mg_L+testo/D6_03.tif "/>
    <s v=" 2336.0286 "/>
    <s v=" 63.8704 "/>
    <x v="0"/>
    <n v="149203"/>
    <m/>
    <m/>
    <m/>
  </r>
  <r>
    <x v="18"/>
    <x v="4"/>
    <s v="F:\images\20210604\plaque 2/@6  Atrazine 1.25 mg_L+testo/E6_01.tif "/>
    <s v=" 57492.2599 "/>
    <s v=" 71.7923 "/>
    <x v="0"/>
    <n v="4127503"/>
    <m/>
    <m/>
    <m/>
  </r>
  <r>
    <x v="18"/>
    <x v="4"/>
    <s v="F:\images\20210604\plaque 2/@6  Atrazine 1.25 mg_L+testo/E6_02.tif "/>
    <s v=" 58508.865 "/>
    <s v=" 71.4865 "/>
    <x v="0"/>
    <n v="4182594"/>
    <m/>
    <m/>
    <m/>
  </r>
  <r>
    <x v="18"/>
    <x v="4"/>
    <s v="F:\images\20210604\plaque 2/@6  Atrazine 1.25 mg_L+testo/E6_03.tif "/>
    <s v=" 55761.8684 "/>
    <s v=" 72.2052 "/>
    <x v="0"/>
    <n v="4026297"/>
    <m/>
    <m/>
    <m/>
  </r>
  <r>
    <x v="18"/>
    <x v="5"/>
    <s v="F:\images\20210604\plaque 2/@6  Atrazine 1.25 mg_L+testo/F6_01.tif "/>
    <s v=" 7527.2033 "/>
    <s v=" 67.0632 "/>
    <x v="0"/>
    <n v="504798"/>
    <m/>
    <m/>
    <m/>
  </r>
  <r>
    <x v="18"/>
    <x v="5"/>
    <s v="F:\images\20210604\plaque 2/@6  Atrazine 1.25 mg_L+testo/F6_02.tif "/>
    <s v=" 6597.1179 "/>
    <s v=" 67.882 "/>
    <x v="0"/>
    <n v="447825"/>
    <m/>
    <m/>
    <m/>
  </r>
  <r>
    <x v="18"/>
    <x v="5"/>
    <s v="F:\images\20210604\plaque 2/@6  Atrazine 1.25 mg_L+testo/F6_03.tif "/>
    <s v=" 7635.3528 "/>
    <s v=" 66.0227 "/>
    <x v="0"/>
    <n v="504106"/>
    <m/>
    <m/>
    <m/>
  </r>
  <r>
    <x v="18"/>
    <x v="6"/>
    <s v="F:\images\20210604\plaque 2/@6  Atrazine 1.25 mg_L+testo/G6_01.tif "/>
    <s v=" 21673.1544 "/>
    <s v=" 68.1457 "/>
    <x v="0"/>
    <n v="1476932"/>
    <m/>
    <m/>
    <m/>
  </r>
  <r>
    <x v="18"/>
    <x v="6"/>
    <s v="F:\images\20210604\plaque 2/@6  Atrazine 1.25 mg_L+testo/G6_02.tif "/>
    <s v=" 24030.8129 "/>
    <s v=" 67.5302 "/>
    <x v="0"/>
    <n v="1622804"/>
    <m/>
    <m/>
    <m/>
  </r>
  <r>
    <x v="18"/>
    <x v="6"/>
    <s v="F:\images\20210604\plaque 2/@6  Atrazine 1.25 mg_L+testo/G6_03.tif "/>
    <s v=" 24679.7098 "/>
    <s v=" 67.7476 "/>
    <x v="0"/>
    <n v="1671991"/>
    <m/>
    <m/>
    <m/>
  </r>
  <r>
    <x v="18"/>
    <x v="7"/>
    <s v="F:\images\20210604\plaque 2/@6  Atrazine 1.25 mg_L+testo/H6_01.tif "/>
    <s v=" 51219.5905 "/>
    <s v=" 87.0498 "/>
    <x v="0"/>
    <n v="4458657"/>
    <m/>
    <m/>
    <m/>
  </r>
  <r>
    <x v="18"/>
    <x v="7"/>
    <s v="F:\images\20210604\plaque 2/@6  Atrazine 1.25 mg_L+testo/H6_02.tif "/>
    <s v=" 50462.5442 "/>
    <s v=" 82.5705 "/>
    <x v="0"/>
    <n v="4166718"/>
    <m/>
    <m/>
    <m/>
  </r>
  <r>
    <x v="18"/>
    <x v="7"/>
    <s v="F:\images\20210604\plaque 2/@6  Atrazine 1.25 mg_L+testo/H6_03.tif "/>
    <s v=" 50202.9854 "/>
    <s v=" 81.3309 "/>
    <x v="0"/>
    <n v="4083054"/>
    <m/>
    <m/>
    <m/>
  </r>
  <r>
    <x v="1"/>
    <x v="8"/>
    <s v=" "/>
    <m/>
    <m/>
    <x v="1"/>
    <m/>
    <m/>
    <m/>
    <m/>
  </r>
  <r>
    <x v="1"/>
    <x v="8"/>
    <s v="group "/>
    <s v=" "/>
    <s v=" mean of mean fluo "/>
    <x v="2"/>
    <s v=" mean of total fluo "/>
    <s v=" SD total fluo "/>
    <s v=" n fluorescent "/>
    <s v=" n total"/>
  </r>
  <r>
    <x v="18"/>
    <x v="9"/>
    <s v="F:\images\20210604\plaque 2/@6  Atrazine 1.25 mg_L+testo/ "/>
    <s v=" "/>
    <s v=" 69.7049 "/>
    <x v="20"/>
    <s v=" 1958410.25 "/>
    <s v=" 1550206.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604\plaque 2/@7 Atrazine 2.5 mg_L+testo/A7_01.tif "/>
    <s v=" 60693.4843 "/>
    <s v=" 75.6151 "/>
    <x v="0"/>
    <n v="4589345"/>
    <m/>
    <m/>
    <m/>
  </r>
  <r>
    <x v="19"/>
    <x v="0"/>
    <s v="F:\images\20210604\plaque 2/@7 Atrazine 2.5 mg_L+testo/A7_02.tif "/>
    <s v=" 59265.9113 "/>
    <s v=" 74.0493 "/>
    <x v="0"/>
    <n v="4388597"/>
    <m/>
    <m/>
    <m/>
  </r>
  <r>
    <x v="19"/>
    <x v="0"/>
    <s v="F:\images\20210604\plaque 2/@7 Atrazine 2.5 mg_L+testo/A7_03.tif "/>
    <s v=" 63483.7407 "/>
    <s v=" 74.6903 "/>
    <x v="0"/>
    <n v="4741619"/>
    <m/>
    <m/>
    <m/>
  </r>
  <r>
    <x v="19"/>
    <x v="1"/>
    <s v="F:\images\20210604\plaque 2/@7 Atrazine 2.5 mg_L+testo/B7_01.tif "/>
    <s v=" 22430.2007 "/>
    <s v=" 68.2768 "/>
    <x v="0"/>
    <n v="1531461"/>
    <m/>
    <m/>
    <m/>
  </r>
  <r>
    <x v="19"/>
    <x v="1"/>
    <s v="F:\images\20210604\plaque 2/@7 Atrazine 2.5 mg_L+testo/B7_02.tif "/>
    <s v=" 24398.5211 "/>
    <s v=" 69.8165 "/>
    <x v="0"/>
    <n v="1703419"/>
    <m/>
    <m/>
    <m/>
  </r>
  <r>
    <x v="19"/>
    <x v="1"/>
    <s v="F:\images\20210604\plaque 2/@7 Atrazine 2.5 mg_L+testo/B7_03.tif "/>
    <s v=" 26972.4786 "/>
    <s v=" 69.4836 "/>
    <x v="0"/>
    <n v="1874144"/>
    <m/>
    <m/>
    <m/>
  </r>
  <r>
    <x v="19"/>
    <x v="2"/>
    <s v="F:\images\20210604\plaque 2/@7 Atrazine 2.5 mg_L+testo/C7_01.tif "/>
    <s v=" 25804.4643 "/>
    <s v=" 74.9044 "/>
    <x v="0"/>
    <n v="1932869"/>
    <m/>
    <m/>
    <m/>
  </r>
  <r>
    <x v="19"/>
    <x v="2"/>
    <s v="F:\images\20210604\plaque 2/@7 Atrazine 2.5 mg_L+testo/C7_02.tif "/>
    <s v=" 29308.5072 "/>
    <s v=" 72.9417 "/>
    <x v="0"/>
    <n v="2137812"/>
    <m/>
    <m/>
    <m/>
  </r>
  <r>
    <x v="19"/>
    <x v="2"/>
    <s v="F:\images\20210604\plaque 2/@7 Atrazine 2.5 mg_L+testo/C7_03.tif "/>
    <s v=" 32358.3224 "/>
    <s v=" 73.1718 "/>
    <x v="0"/>
    <n v="2367716"/>
    <m/>
    <m/>
    <m/>
  </r>
  <r>
    <x v="19"/>
    <x v="3"/>
    <s v="F:\images\20210604\plaque 2/@7 Atrazine 2.5 mg_L+testo/D7_01.tif "/>
    <s v=" 10295.8298 "/>
    <s v=" 67.8403 "/>
    <x v="0"/>
    <n v="698473"/>
    <m/>
    <m/>
    <m/>
  </r>
  <r>
    <x v="19"/>
    <x v="3"/>
    <s v="F:\images\20210604\plaque 2/@7 Atrazine 2.5 mg_L+testo/D7_02.tif "/>
    <s v=" 7137.8652 "/>
    <s v=" 66.3394 "/>
    <x v="0"/>
    <n v="473522"/>
    <m/>
    <m/>
    <m/>
  </r>
  <r>
    <x v="19"/>
    <x v="3"/>
    <s v="F:\images\20210604\plaque 2/@7 Atrazine 2.5 mg_L+testo/D7_03.tif "/>
    <s v=" 8154.4703 "/>
    <s v=" 66.7082 "/>
    <x v="0"/>
    <n v="543970"/>
    <m/>
    <m/>
    <m/>
  </r>
  <r>
    <x v="19"/>
    <x v="4"/>
    <s v="F:\images\20210604\plaque 2/@7 Atrazine 2.5 mg_L+testo/E7_01.tif "/>
    <s v=" 5731.9221 "/>
    <s v=" 66.6226 "/>
    <x v="0"/>
    <n v="381876"/>
    <m/>
    <m/>
    <m/>
  </r>
  <r>
    <x v="19"/>
    <x v="4"/>
    <s v="F:\images\20210604\plaque 2/@7 Atrazine 2.5 mg_L+testo/E7_02.tif "/>
    <s v=" 3309.3739 "/>
    <s v=" 65.0065 "/>
    <x v="0"/>
    <n v="215131"/>
    <m/>
    <m/>
    <m/>
  </r>
  <r>
    <x v="19"/>
    <x v="4"/>
    <s v="F:\images\20210604\plaque 2/@7 Atrazine 2.5 mg_L+testo/E7_03.tif "/>
    <s v=" 4304.349 "/>
    <s v=" 64.1206 "/>
    <x v="0"/>
    <n v="275997"/>
    <m/>
    <m/>
    <m/>
  </r>
  <r>
    <x v="19"/>
    <x v="5"/>
    <s v="F:\images\20210604\plaque 2/@7 Atrazine 2.5 mg_L+testo/F7_01.tif "/>
    <s v=" 24074.0727 "/>
    <s v=" 70.0755 "/>
    <x v="0"/>
    <n v="1687002"/>
    <m/>
    <m/>
    <m/>
  </r>
  <r>
    <x v="19"/>
    <x v="5"/>
    <s v="F:\images\20210604\plaque 2/@7 Atrazine 2.5 mg_L+testo/F7_02.tif "/>
    <s v=" 22213.9018 "/>
    <s v=" 70.2405 "/>
    <x v="0"/>
    <n v="1560316"/>
    <m/>
    <m/>
    <m/>
  </r>
  <r>
    <x v="19"/>
    <x v="5"/>
    <s v="F:\images\20210604\plaque 2/@7 Atrazine 2.5 mg_L+testo/F7_03.tif "/>
    <s v=" 25069.0479 "/>
    <s v=" 69.6022 "/>
    <x v="0"/>
    <n v="1744862"/>
    <m/>
    <m/>
    <m/>
  </r>
  <r>
    <x v="19"/>
    <x v="6"/>
    <s v="F:\images\20210604\plaque 2/@7 Atrazine 2.5 mg_L+testo/G7_01.tif "/>
    <s v=" 49208.0103 "/>
    <s v=" 72.4611 "/>
    <x v="0"/>
    <n v="3565666"/>
    <m/>
    <m/>
    <m/>
  </r>
  <r>
    <x v="19"/>
    <x v="6"/>
    <s v="F:\images\20210604\plaque 2/@7 Atrazine 2.5 mg_L+testo/G7_02.tif "/>
    <s v=" 40318.1236 "/>
    <s v=" 70.0848 "/>
    <x v="0"/>
    <n v="2825686"/>
    <m/>
    <m/>
    <m/>
  </r>
  <r>
    <x v="19"/>
    <x v="6"/>
    <s v="F:\images\20210604\plaque 2/@7 Atrazine 2.5 mg_L+testo/G7_03.tif "/>
    <s v=" 41745.6966 "/>
    <s v=" 70.828 "/>
    <x v="0"/>
    <n v="2956763"/>
    <m/>
    <m/>
    <m/>
  </r>
  <r>
    <x v="19"/>
    <x v="7"/>
    <s v="F:\images\20210604\plaque 2/@7 Atrazine 2.5 mg_L+testo/H7_01.tif "/>
    <s v=" 34542.9417 "/>
    <s v=" 70.8654 "/>
    <x v="0"/>
    <n v="2447898"/>
    <m/>
    <m/>
    <m/>
  </r>
  <r>
    <x v="19"/>
    <x v="7"/>
    <s v="F:\images\20210604\plaque 2/@7 Atrazine 2.5 mg_L+testo/H7_02.tif "/>
    <s v=" 32444.8419 "/>
    <s v=" 70.636 "/>
    <x v="0"/>
    <n v="2291774"/>
    <m/>
    <m/>
    <m/>
  </r>
  <r>
    <x v="19"/>
    <x v="7"/>
    <s v="F:\images\20210604\plaque 2/@7 Atrazine 2.5 mg_L+testo/H7_03.tif "/>
    <s v=" 30043.9236 "/>
    <s v=" 69.7459 "/>
    <x v="0"/>
    <n v="2095439"/>
    <m/>
    <m/>
    <m/>
  </r>
  <r>
    <x v="1"/>
    <x v="8"/>
    <s v=" "/>
    <m/>
    <m/>
    <x v="1"/>
    <m/>
    <m/>
    <m/>
    <m/>
  </r>
  <r>
    <x v="1"/>
    <x v="8"/>
    <s v="group "/>
    <s v=" "/>
    <s v=" mean of mean fluo "/>
    <x v="2"/>
    <s v=" mean of total fluo "/>
    <s v=" SD total fluo "/>
    <s v=" n fluorescent "/>
    <s v=" n total"/>
  </r>
  <r>
    <x v="19"/>
    <x v="9"/>
    <s v="F:\images\20210604\plaque 2/@7 Atrazine 2.5 mg_L+testo/ "/>
    <s v=" "/>
    <s v=" 70.1719 "/>
    <x v="21"/>
    <s v=" 2042973.21 "/>
    <s v=" 1318503.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604\plaque 2/@8 Atrazine 5 mg_L+testo/A8_01.tif "/>
    <s v=" 20786.3287 "/>
    <s v=" 76.8699 "/>
    <x v="0"/>
    <n v="1597844"/>
    <m/>
    <m/>
    <m/>
  </r>
  <r>
    <x v="20"/>
    <x v="0"/>
    <s v="F:\images\20210604\plaque 2/@8 Atrazine 5 mg_L+testo/A8_02.tif "/>
    <s v=" 28854.2794 "/>
    <s v=" 73.1664 "/>
    <x v="0"/>
    <n v="2111164"/>
    <m/>
    <m/>
    <m/>
  </r>
  <r>
    <x v="20"/>
    <x v="0"/>
    <s v="F:\images\20210604\plaque 2/@8 Atrazine 5 mg_L+testo/A8_03.tif "/>
    <s v=" 12783.2677 "/>
    <s v=" 72.6853 "/>
    <x v="0"/>
    <n v="929155"/>
    <m/>
    <m/>
    <m/>
  </r>
  <r>
    <x v="20"/>
    <x v="1"/>
    <s v="F:\images\20210604\plaque 2/@8 Atrazine 5 mg_L+testo/B8_01.tif "/>
    <s v=" 24182.2222 "/>
    <s v=" 67.8247 "/>
    <x v="0"/>
    <n v="1640152"/>
    <m/>
    <m/>
    <m/>
  </r>
  <r>
    <x v="20"/>
    <x v="1"/>
    <s v="F:\images\20210604\plaque 2/@8 Atrazine 5 mg_L+testo/B8_02.tif "/>
    <s v=" 21197.2967 "/>
    <s v=" 67.7296 "/>
    <x v="0"/>
    <n v="1435684"/>
    <m/>
    <m/>
    <m/>
  </r>
  <r>
    <x v="20"/>
    <x v="1"/>
    <s v="F:\images\20210604\plaque 2/@8 Atrazine 5 mg_L+testo/B8_03.tif "/>
    <s v=" 22646.4997 "/>
    <s v=" 67.0038 "/>
    <x v="0"/>
    <n v="1517402"/>
    <m/>
    <m/>
    <m/>
  </r>
  <r>
    <x v="20"/>
    <x v="2"/>
    <s v="F:\images\20210604\plaque 2/@8 Atrazine 5 mg_L+testo/C8_01.tif "/>
    <s v=" 26799.4394 "/>
    <s v=" 73.1146 "/>
    <x v="0"/>
    <n v="1959431"/>
    <m/>
    <m/>
    <m/>
  </r>
  <r>
    <x v="20"/>
    <x v="2"/>
    <s v="F:\images\20210604\plaque 2/@8 Atrazine 5 mg_L+testo/C8_02- exclu.tif"/>
    <m/>
    <m/>
    <x v="1"/>
    <m/>
    <m/>
    <m/>
    <m/>
  </r>
  <r>
    <x v="20"/>
    <x v="2"/>
    <s v="F:\images\20210604\plaque 2/@8 Atrazine 5 mg_L+testo/C8_03.tif "/>
    <s v=" 29070.5784 "/>
    <s v=" 66.7857 "/>
    <x v="0"/>
    <n v="1941499"/>
    <m/>
    <m/>
    <m/>
  </r>
  <r>
    <x v="20"/>
    <x v="3"/>
    <s v="F:\images\20210604\plaque 2/@8 Atrazine 5 mg_L+testo/D8_01.tif "/>
    <s v=" 14686.6985 "/>
    <s v=" 87.0368 "/>
    <x v="0"/>
    <n v="1278284"/>
    <m/>
    <m/>
    <m/>
  </r>
  <r>
    <x v="20"/>
    <x v="3"/>
    <s v="F:\images\20210604\plaque 2/@8 Atrazine 5 mg_L+testo/D8_02.tif "/>
    <s v=" 16395.4601 "/>
    <s v=" 96.2071 "/>
    <x v="0"/>
    <n v="1577360"/>
    <m/>
    <m/>
    <m/>
  </r>
  <r>
    <x v="20"/>
    <x v="3"/>
    <s v="F:\images\20210604\plaque 2/@8 Atrazine 5 mg_L+testo/D8_03.tif "/>
    <s v=" 2552.3276 "/>
    <s v=" 63.2797 "/>
    <x v="0"/>
    <n v="161510"/>
    <m/>
    <m/>
    <m/>
  </r>
  <r>
    <x v="20"/>
    <x v="4"/>
    <s v="F:\images\20210604\plaque 2/@8 Atrazine 5 mg_L+testo/E8_01.tif "/>
    <s v=" 29741.1051 "/>
    <s v=" 78.8538 "/>
    <x v="0"/>
    <n v="2345200"/>
    <m/>
    <m/>
    <m/>
  </r>
  <r>
    <x v="20"/>
    <x v="4"/>
    <s v="F:\images\20210604\plaque 2/@8 Atrazine 5 mg_L+testo/E8_02- exclu.tif"/>
    <m/>
    <m/>
    <x v="1"/>
    <m/>
    <m/>
    <m/>
    <m/>
  </r>
  <r>
    <x v="20"/>
    <x v="4"/>
    <s v="F:\images\20210604\plaque 2/@8 Atrazine 5 mg_L+testo/E8_03- exclu.tif"/>
    <m/>
    <m/>
    <x v="1"/>
    <m/>
    <m/>
    <m/>
    <m/>
  </r>
  <r>
    <x v="20"/>
    <x v="5"/>
    <s v="F:\images\20210604\plaque 2/@8 Atrazine 5 mg_L+testo/F8_01.tif "/>
    <s v=" 54961.5623 "/>
    <s v=" 73.2944 "/>
    <x v="0"/>
    <n v="4028373"/>
    <m/>
    <m/>
    <m/>
  </r>
  <r>
    <x v="20"/>
    <x v="5"/>
    <s v="F:\images\20210604\plaque 2/@8 Atrazine 5 mg_L+testo/F8_02.tif "/>
    <s v=" 57470.63 "/>
    <s v=" 79.0542 "/>
    <x v="0"/>
    <n v="4543294"/>
    <m/>
    <m/>
    <m/>
  </r>
  <r>
    <x v="20"/>
    <x v="5"/>
    <s v="F:\images\20210604\plaque 2/@8 Atrazine 5 mg_L+testo/F8_03.tif "/>
    <s v=" 63375.5913 "/>
    <s v=" 74.9829 "/>
    <x v="0"/>
    <n v="4752088"/>
    <m/>
    <m/>
    <m/>
  </r>
  <r>
    <x v="20"/>
    <x v="6"/>
    <s v="F:\images\20210604\plaque 2/@8 Atrazine 5 mg_L+testo/G8_01.tif "/>
    <s v=" 24203.8521 "/>
    <s v=" 75.3146 "/>
    <x v="0"/>
    <n v="1822903"/>
    <m/>
    <m/>
    <m/>
  </r>
  <r>
    <x v="20"/>
    <x v="6"/>
    <s v="F:\images\20210604\plaque 2/@8 Atrazine 5 mg_L+testo/G8_02.tif "/>
    <s v=" 24420.151 "/>
    <s v=" 74.9929 "/>
    <x v="0"/>
    <n v="1831338"/>
    <m/>
    <m/>
    <m/>
  </r>
  <r>
    <x v="20"/>
    <x v="6"/>
    <s v="F:\images\20210604\plaque 2/@8 Atrazine 5 mg_L+testo/G8_03.tif "/>
    <s v=" 24441.7809 "/>
    <s v=" 73.346 "/>
    <x v="0"/>
    <n v="1792707"/>
    <m/>
    <m/>
    <m/>
  </r>
  <r>
    <x v="20"/>
    <x v="7"/>
    <s v="F:\images\20210604\plaque 2/@8 Atrazine 5 mg_L+testo/H8_01.tif "/>
    <s v=" 31709.4255 "/>
    <s v=" 68.6521 "/>
    <x v="0"/>
    <n v="2176919"/>
    <m/>
    <m/>
    <m/>
  </r>
  <r>
    <x v="20"/>
    <x v="7"/>
    <s v="F:\images\20210604\plaque 2/@8 Atrazine 5 mg_L+testo/H8_02.tif "/>
    <s v=" 32552.9914 "/>
    <s v=" 68.9934 "/>
    <x v="0"/>
    <n v="2245940"/>
    <m/>
    <m/>
    <m/>
  </r>
  <r>
    <x v="20"/>
    <x v="7"/>
    <s v="F:\images\20210604\plaque 2/@8 Atrazine 5 mg_L+testo/H8_03.tif "/>
    <s v=" 24744.5995 "/>
    <s v=" 70.8304 "/>
    <x v="0"/>
    <n v="1752670"/>
    <m/>
    <m/>
    <m/>
  </r>
  <r>
    <x v="1"/>
    <x v="8"/>
    <s v=" "/>
    <m/>
    <m/>
    <x v="1"/>
    <m/>
    <m/>
    <m/>
    <m/>
  </r>
  <r>
    <x v="1"/>
    <x v="8"/>
    <s v="group "/>
    <s v=" "/>
    <s v=" mean of mean fluo "/>
    <x v="2"/>
    <s v=" mean of total fluo "/>
    <s v=" SD total fluo "/>
    <s v=" n fluorescent "/>
    <s v=" n total"/>
  </r>
  <r>
    <x v="20"/>
    <x v="9"/>
    <s v="F:\images\20210604\plaque 2/@8 Atrazine 5 mg_L+testo/ "/>
    <s v=" "/>
    <s v=" 72.7006 "/>
    <x v="22"/>
    <s v=" 1838576.12 "/>
    <s v=" 1208538.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604\plaque 2/@9 Atrazine 10 mg_L+testo/A9_01.tif "/>
    <s v=" 48039.996 "/>
    <s v=" 77.5367 "/>
    <x v="0"/>
    <n v="3724863"/>
    <m/>
    <m/>
    <m/>
  </r>
  <r>
    <x v="21"/>
    <x v="0"/>
    <s v="F:\images\20210604\plaque 2/@9 Atrazine 10 mg_L+testo/A9_02.tif "/>
    <s v=" 43130.0099 "/>
    <s v=" 77.9112 "/>
    <x v="0"/>
    <n v="3360312"/>
    <m/>
    <m/>
    <m/>
  </r>
  <r>
    <x v="21"/>
    <x v="0"/>
    <s v="F:\images\20210604\plaque 2/@9 Atrazine 10 mg_L+testo/A9_03.tif "/>
    <s v=" 42848.8213 "/>
    <s v=" 77.4846 "/>
    <x v="0"/>
    <n v="3320124"/>
    <m/>
    <m/>
    <m/>
  </r>
  <r>
    <x v="21"/>
    <x v="1"/>
    <s v="F:\images\20210604\plaque 2/@9 Atrazine 10 mg_L+testo/B9_01.tif "/>
    <s v=" 36381.4828 "/>
    <s v=" 71.8341 "/>
    <x v="0"/>
    <n v="2613432"/>
    <m/>
    <m/>
    <m/>
  </r>
  <r>
    <x v="21"/>
    <x v="1"/>
    <s v="F:\images\20210604\plaque 2/@9 Atrazine 10 mg_L+testo/B9_02.tif "/>
    <s v=" 39193.3691 "/>
    <s v=" 71.1032 "/>
    <x v="0"/>
    <n v="2786774"/>
    <m/>
    <m/>
    <m/>
  </r>
  <r>
    <x v="21"/>
    <x v="1"/>
    <s v="F:\images\20210604\plaque 2/@9 Atrazine 10 mg_L+testo/B9_03.tif "/>
    <s v=" 37052.0095 "/>
    <s v=" 74.0362 "/>
    <x v="0"/>
    <n v="2743190"/>
    <m/>
    <m/>
    <m/>
  </r>
  <r>
    <x v="21"/>
    <x v="2"/>
    <s v="F:\images\20210604\plaque 2/@9 Atrazine 10 mg_L+testo/C9_01.tif "/>
    <s v=" 41269.839 "/>
    <s v=" 74.9565 "/>
    <x v="0"/>
    <n v="3093443"/>
    <m/>
    <m/>
    <m/>
  </r>
  <r>
    <x v="21"/>
    <x v="2"/>
    <s v="F:\images\20210604\plaque 2/@9 Atrazine 10 mg_L+testo/C9_02.tif "/>
    <s v=" 38760.7712 "/>
    <s v=" 77.7182 "/>
    <x v="0"/>
    <n v="3012417"/>
    <m/>
    <m/>
    <m/>
  </r>
  <r>
    <x v="21"/>
    <x v="2"/>
    <s v="F:\images\20210604\plaque 2/@9 Atrazine 10 mg_L+testo/C9_03.tif "/>
    <s v=" 38782.4011 "/>
    <s v=" 77.0402 "/>
    <x v="0"/>
    <n v="2987802"/>
    <m/>
    <m/>
    <m/>
  </r>
  <r>
    <x v="21"/>
    <x v="3"/>
    <s v="F:\images\20210604\plaque 2/@9 Atrazine 10 mg_L+testo/D9_01.tif "/>
    <s v=" 32271.8028 "/>
    <s v=" 79.5034 "/>
    <x v="0"/>
    <n v="2565716"/>
    <m/>
    <m/>
    <m/>
  </r>
  <r>
    <x v="21"/>
    <x v="3"/>
    <s v="F:\images\20210604\plaque 2/@9 Atrazine 10 mg_L+testo/D9_02.tif "/>
    <s v=" 41615.9173 "/>
    <s v=" 75.0541 "/>
    <x v="0"/>
    <n v="3123443"/>
    <m/>
    <m/>
    <m/>
  </r>
  <r>
    <x v="21"/>
    <x v="3"/>
    <s v="F:\images\20210604\plaque 2/@9 Atrazine 10 mg_L+testo/D9_03.tif "/>
    <s v=" 44773.8819 "/>
    <s v=" 76.1304 "/>
    <x v="0"/>
    <n v="3408655"/>
    <m/>
    <m/>
    <m/>
  </r>
  <r>
    <x v="21"/>
    <x v="4"/>
    <s v="F:\images\20210604\plaque 2/@9 Atrazine 10 mg_L+testo/E9_01.tif "/>
    <s v=" 47758.8073 "/>
    <s v=" 78.5371 "/>
    <x v="0"/>
    <n v="3750840"/>
    <m/>
    <m/>
    <m/>
  </r>
  <r>
    <x v="21"/>
    <x v="4"/>
    <s v="F:\images\20210604\plaque 2/@9 Atrazine 10 mg_L+testo/E9_02.tif "/>
    <s v=" 50051.5762 "/>
    <s v=" 76.5782 "/>
    <x v="0"/>
    <n v="3832861"/>
    <m/>
    <m/>
    <m/>
  </r>
  <r>
    <x v="21"/>
    <x v="4"/>
    <s v="F:\images\20210604\plaque 2/@9 Atrazine 10 mg_L+testo/E9_03.tif "/>
    <s v=" 49424.3092 "/>
    <s v=" 76.5033 "/>
    <x v="0"/>
    <n v="3781122"/>
    <m/>
    <m/>
    <m/>
  </r>
  <r>
    <x v="21"/>
    <x v="5"/>
    <s v="F:\images\20210604\plaque 2/@9 Atrazine 10 mg_L+testo/F9_01.tif "/>
    <s v=" 23727.9944 "/>
    <s v=" 71.7156 "/>
    <x v="0"/>
    <n v="1701667"/>
    <m/>
    <m/>
    <m/>
  </r>
  <r>
    <x v="21"/>
    <x v="5"/>
    <s v="F:\images\20210604\plaque 2/@9 Atrazine 10 mg_L+testo/F9_02.tif "/>
    <s v=" 25912.6138 "/>
    <s v=" 72.475 "/>
    <x v="0"/>
    <n v="1878016"/>
    <m/>
    <m/>
    <m/>
  </r>
  <r>
    <x v="21"/>
    <x v="5"/>
    <s v="F:\images\20210604\plaque 2/@9 Atrazine 10 mg_L+testo/F9_03.tif "/>
    <s v=" 13410.5347 "/>
    <s v=" 66.0032 "/>
    <x v="0"/>
    <n v="885139"/>
    <m/>
    <m/>
    <m/>
  </r>
  <r>
    <x v="21"/>
    <x v="6"/>
    <s v="F:\images\20210604\plaque 2/@9 Atrazine 10 mg_L+testo/G9_01.tif "/>
    <s v=" 53923.3273 "/>
    <s v=" 76.1392 "/>
    <x v="0"/>
    <n v="4105678"/>
    <m/>
    <m/>
    <m/>
  </r>
  <r>
    <x v="21"/>
    <x v="6"/>
    <s v="F:\images\20210604\plaque 2/@9 Atrazine 10 mg_L+testo/G9_02.tif "/>
    <s v=" 50397.6545 "/>
    <s v=" 75.6901 "/>
    <x v="0"/>
    <n v="3814605"/>
    <m/>
    <m/>
    <m/>
  </r>
  <r>
    <x v="21"/>
    <x v="6"/>
    <s v="F:\images\20210604\plaque 2/@9 Atrazine 10 mg_L+testo/G9_03.tif "/>
    <s v=" 50916.772 "/>
    <s v=" 73.7124 "/>
    <x v="0"/>
    <n v="3753198"/>
    <m/>
    <m/>
    <m/>
  </r>
  <r>
    <x v="21"/>
    <x v="7"/>
    <s v="F:\images\20210604\plaque 2/@9 Atrazine 10 mg_L+testo/H9_01.tif "/>
    <s v=" 25242.087 "/>
    <s v=" 83.048 "/>
    <x v="0"/>
    <n v="2096304"/>
    <m/>
    <m/>
    <m/>
  </r>
  <r>
    <x v="21"/>
    <x v="7"/>
    <s v="F:\images\20210604\plaque 2/@9 Atrazine 10 mg_L+testo/H9_02.tif "/>
    <s v=" 25999.1333 "/>
    <s v=" 81.8453 "/>
    <x v="0"/>
    <n v="2127906"/>
    <m/>
    <m/>
    <m/>
  </r>
  <r>
    <x v="21"/>
    <x v="7"/>
    <s v="F:\images\20210604\plaque 2/@9 Atrazine 10 mg_L+testo/H9_03.tif "/>
    <s v=" 26648.0302 "/>
    <s v=" 82.3474 "/>
    <x v="0"/>
    <n v="2194396"/>
    <m/>
    <m/>
    <m/>
  </r>
  <r>
    <x v="1"/>
    <x v="8"/>
    <s v=" "/>
    <m/>
    <m/>
    <x v="1"/>
    <m/>
    <m/>
    <m/>
    <m/>
  </r>
  <r>
    <x v="1"/>
    <x v="8"/>
    <s v="group "/>
    <s v=" "/>
    <s v=" mean of mean fluo "/>
    <x v="2"/>
    <s v=" mean of total fluo "/>
    <s v=" SD total fluo "/>
    <s v=" n fluorescent "/>
    <s v=" n total"/>
  </r>
  <r>
    <x v="21"/>
    <x v="9"/>
    <s v="F:\images\20210604\plaque 2/@9 Atrazine 10 mg_L+testo/ "/>
    <s v=" "/>
    <s v=" 76.0376 "/>
    <x v="23"/>
    <s v=" 2944245.96 "/>
    <s v=" 815294.025 "/>
    <n v="24"/>
    <n v="24"/>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mages\20210610\plaque 1/@01 Evian + DMSO/A1_01.tif "/>
    <s v=" 1038.2349 "/>
    <s v=" 66.1667 "/>
    <x v="0"/>
    <n v="68697"/>
    <m/>
    <m/>
    <m/>
  </r>
  <r>
    <x v="0"/>
    <x v="0"/>
    <s v="F:\images\20210610\plaque 1/@01 Evian + DMSO/A1_02.tif "/>
    <s v=" 1687.1318 "/>
    <s v=" 64.0897 "/>
    <x v="0"/>
    <n v="108128"/>
    <m/>
    <m/>
    <m/>
  </r>
  <r>
    <x v="0"/>
    <x v="0"/>
    <s v="F:\images\20210610\plaque 1/@01 Evian + DMSO/A1_03.tif "/>
    <s v=" 865.1958 "/>
    <s v=" 67.575 "/>
    <x v="0"/>
    <n v="58466"/>
    <m/>
    <m/>
    <m/>
  </r>
  <r>
    <x v="0"/>
    <x v="1"/>
    <s v="F:\images\20210610\plaque 1/@01 Evian + DMSO/B1_01.tif "/>
    <s v=" 173.0392 "/>
    <s v=" 63.75 "/>
    <x v="0"/>
    <n v="11031"/>
    <m/>
    <m/>
    <m/>
  </r>
  <r>
    <x v="0"/>
    <x v="1"/>
    <s v="F:\images\20210610\plaque 1/@01 Evian + DMSO/B1_02.tif "/>
    <s v=" 86.5196 "/>
    <n v="61"/>
    <x v="0"/>
    <n v="5278"/>
    <m/>
    <m/>
    <m/>
  </r>
  <r>
    <x v="0"/>
    <x v="1"/>
    <s v="F:\images\20210610\plaque 1/@01 Evian + DMSO/B1_03.tif "/>
    <s v=" 1665.5019 "/>
    <s v=" 66.4675 "/>
    <x v="0"/>
    <n v="110702"/>
    <m/>
    <m/>
    <m/>
  </r>
  <r>
    <x v="0"/>
    <x v="2"/>
    <s v="F:\images\20210610\plaque 1/@01 Evian + DMSO/C1_01.tif "/>
    <s v=" 800.3061 "/>
    <s v=" 65.1892 "/>
    <x v="0"/>
    <n v="52171"/>
    <m/>
    <m/>
    <m/>
  </r>
  <r>
    <x v="0"/>
    <x v="2"/>
    <s v="F:\images\20210610\plaque 1/@01 Evian + DMSO/C1_02.tif "/>
    <s v=" 1232.904 "/>
    <s v=" 66.4035 "/>
    <x v="0"/>
    <n v="81869"/>
    <m/>
    <m/>
    <m/>
  </r>
  <r>
    <x v="0"/>
    <x v="2"/>
    <s v="F:\images\20210610\plaque 1/@01 Evian + DMSO/C1_03.tif "/>
    <s v=" 951.7154 "/>
    <s v=" 66.1591 "/>
    <x v="0"/>
    <n v="62965"/>
    <m/>
    <m/>
    <m/>
  </r>
  <r>
    <x v="0"/>
    <x v="3"/>
    <s v="F:\images\20210610\plaque 1/@01 Evian + DMSO/D1_01.tif "/>
    <s v=" 5018.1356 "/>
    <s v=" 68.5776 "/>
    <x v="0"/>
    <n v="344132"/>
    <m/>
    <m/>
    <m/>
  </r>
  <r>
    <x v="0"/>
    <x v="3"/>
    <s v="F:\images\20210610\plaque 1/@01 Evian + DMSO/D1_02- exclu.tif"/>
    <m/>
    <m/>
    <x v="1"/>
    <m/>
    <m/>
    <m/>
    <m/>
  </r>
  <r>
    <x v="0"/>
    <x v="3"/>
    <s v="F:\images\20210610\plaque 1/@01 Evian + DMSO/D1_03.tif "/>
    <s v=" 5450.7334 "/>
    <s v=" 69.3016 "/>
    <x v="0"/>
    <n v="377744"/>
    <m/>
    <m/>
    <m/>
  </r>
  <r>
    <x v="0"/>
    <x v="4"/>
    <s v="F:\images\20210610\plaque 1/@01 Evian + DMSO/E1_01.tif "/>
    <s v=" 1211.2741 "/>
    <s v=" 63.9643 "/>
    <x v="0"/>
    <n v="77478"/>
    <m/>
    <m/>
    <m/>
  </r>
  <r>
    <x v="0"/>
    <x v="4"/>
    <s v="F:\images\20210610\plaque 1/@01 Evian + DMSO/E1_02.tif "/>
    <s v=" 757.0463 "/>
    <s v=" 66.6 "/>
    <x v="0"/>
    <n v="50419"/>
    <m/>
    <m/>
    <m/>
  </r>
  <r>
    <x v="0"/>
    <x v="4"/>
    <s v="F:\images\20210610\plaque 1/@01 Evian + DMSO/E1_03.tif "/>
    <s v=" 519.1175 "/>
    <s v=" 64.4167 "/>
    <x v="0"/>
    <n v="33440"/>
    <m/>
    <m/>
    <m/>
  </r>
  <r>
    <x v="0"/>
    <x v="5"/>
    <s v="F:\images\20210610\plaque 1/@01 Evian + DMSO/F1_01.tif "/>
    <s v=" 410.968 "/>
    <s v=" 62.4211 "/>
    <x v="0"/>
    <n v="25653"/>
    <m/>
    <m/>
    <m/>
  </r>
  <r>
    <x v="0"/>
    <x v="5"/>
    <s v="F:\images\20210610\plaque 1/@01 Evian + DMSO/F1_02.tif "/>
    <s v=" 302.8185 "/>
    <s v=" 63.9286 "/>
    <x v="0"/>
    <n v="19359"/>
    <m/>
    <m/>
    <m/>
  </r>
  <r>
    <x v="0"/>
    <x v="5"/>
    <s v="F:\images\20210610\plaque 1/@01 Evian + DMSO/F1_03.tif "/>
    <s v=" 324.4484 "/>
    <s v=" 62.6667 "/>
    <x v="0"/>
    <n v="20332"/>
    <m/>
    <m/>
    <m/>
  </r>
  <r>
    <x v="0"/>
    <x v="6"/>
    <s v="F:\images\20210610\plaque 1/@01 Evian + DMSO/G1_01.tif "/>
    <s v=" 2984.9255 "/>
    <n v="65"/>
    <x v="0"/>
    <n v="194020"/>
    <m/>
    <m/>
    <m/>
  </r>
  <r>
    <x v="0"/>
    <x v="6"/>
    <s v="F:\images\20210610\plaque 1/@01 Evian + DMSO/G1_02.tif "/>
    <s v=" 4845.0964 "/>
    <s v=" 65.2634 "/>
    <x v="0"/>
    <n v="316207"/>
    <m/>
    <m/>
    <m/>
  </r>
  <r>
    <x v="0"/>
    <x v="6"/>
    <s v="F:\images\20210610\plaque 1/@01 Evian + DMSO/G1_03.tif "/>
    <s v=" 6121.2602 "/>
    <s v=" 64.8622 "/>
    <x v="0"/>
    <n v="397038"/>
    <m/>
    <m/>
    <m/>
  </r>
  <r>
    <x v="0"/>
    <x v="7"/>
    <s v="F:\images\20210610\plaque 1/@01 Evian + DMSO/H1_01- exclu.tif"/>
    <m/>
    <m/>
    <x v="1"/>
    <m/>
    <m/>
    <m/>
    <m/>
  </r>
  <r>
    <x v="0"/>
    <x v="7"/>
    <s v="F:\images\20210610\plaque 1/@01 Evian + DMSO/H1_02- exclu.tif"/>
    <m/>
    <m/>
    <x v="1"/>
    <m/>
    <m/>
    <m/>
    <m/>
  </r>
  <r>
    <x v="0"/>
    <x v="7"/>
    <s v="F:\images\20210610\plaque 1/@01 Evian + DMSO/H1_03- exclu.tif"/>
    <m/>
    <m/>
    <x v="1"/>
    <m/>
    <m/>
    <m/>
    <m/>
  </r>
  <r>
    <x v="1"/>
    <x v="8"/>
    <s v=" "/>
    <m/>
    <m/>
    <x v="1"/>
    <m/>
    <m/>
    <m/>
    <m/>
  </r>
  <r>
    <x v="1"/>
    <x v="8"/>
    <s v="group "/>
    <s v=" "/>
    <s v=" mean of mean fluo "/>
    <x v="2"/>
    <s v=" mean of total fluo "/>
    <s v=" SD total fluo "/>
    <s v=" n fluorescent "/>
    <s v=" n total"/>
  </r>
  <r>
    <x v="0"/>
    <x v="9"/>
    <s v="F:\images\20210610\plaque 1/@01 Evian + DMSO/ "/>
    <s v=" "/>
    <s v=" 65.0845 "/>
    <x v="3"/>
    <s v=" 108382.833 "/>
    <s v=" 122051.5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610\plaque 1/@02 EE2 33.8 ng_L/A2_01.tif "/>
    <s v=" 3439.1532 "/>
    <s v=" 64.5094 "/>
    <x v="0"/>
    <n v="221858"/>
    <m/>
    <m/>
    <m/>
  </r>
  <r>
    <x v="2"/>
    <x v="0"/>
    <s v="F:\images\20210610\plaque 1/@02 EE2 33.8 ng_L/A2_02.tif "/>
    <s v=" 3395.8935 "/>
    <s v=" 63.1274 "/>
    <x v="0"/>
    <n v="214374"/>
    <m/>
    <m/>
    <m/>
  </r>
  <r>
    <x v="2"/>
    <x v="0"/>
    <s v="F:\images\20210610\plaque 1/@02 EE2 33.8 ng_L/A2_03.tif "/>
    <s v=" 5256.0644 "/>
    <s v=" 64.7037 "/>
    <x v="0"/>
    <n v="340087"/>
    <m/>
    <m/>
    <m/>
  </r>
  <r>
    <x v="2"/>
    <x v="1"/>
    <s v="F:\images\20210610\plaque 1/@02 EE2 33.8 ng_L/B2_01.tif "/>
    <s v=" 367.7082 "/>
    <s v=" 64.0588 "/>
    <x v="0"/>
    <n v="23555"/>
    <m/>
    <m/>
    <m/>
  </r>
  <r>
    <x v="2"/>
    <x v="1"/>
    <s v="F:\images\20210610\plaque 1/@02 EE2 33.8 ng_L/B2_02.tif "/>
    <s v=" 1081.4947 "/>
    <s v=" 65.5 "/>
    <x v="0"/>
    <n v="70838"/>
    <m/>
    <m/>
    <m/>
  </r>
  <r>
    <x v="2"/>
    <x v="1"/>
    <s v="F:\images\20210610\plaque 1/@02 EE2 33.8 ng_L/B2_03.tif "/>
    <s v=" 540.7474 "/>
    <s v=" 62.24 "/>
    <x v="0"/>
    <n v="33656"/>
    <m/>
    <m/>
    <m/>
  </r>
  <r>
    <x v="2"/>
    <x v="2"/>
    <s v="F:\images\20210610\plaque 1/@02 EE2 33.8 ng_L/C2_01.tif "/>
    <s v=" 4001.5305 "/>
    <s v=" 67.3189 "/>
    <x v="0"/>
    <n v="269379"/>
    <m/>
    <m/>
    <m/>
  </r>
  <r>
    <x v="2"/>
    <x v="2"/>
    <s v="F:\images\20210610\plaque 1/@02 EE2 33.8 ng_L/C2_02.tif "/>
    <s v=" 1687.1318 "/>
    <s v=" 64.4744 "/>
    <x v="0"/>
    <n v="108777"/>
    <m/>
    <m/>
    <m/>
  </r>
  <r>
    <x v="2"/>
    <x v="2"/>
    <s v="F:\images\20210610\plaque 1/@02 EE2 33.8 ng_L/C2_03.tif "/>
    <s v=" 3763.6017 "/>
    <s v=" 68.5345 "/>
    <x v="0"/>
    <n v="257936"/>
    <m/>
    <m/>
    <m/>
  </r>
  <r>
    <x v="2"/>
    <x v="3"/>
    <s v="F:\images\20210610\plaque 1/@02 EE2 33.8 ng_L/D2_01- exclu.tif"/>
    <m/>
    <m/>
    <x v="1"/>
    <m/>
    <m/>
    <m/>
    <m/>
  </r>
  <r>
    <x v="2"/>
    <x v="3"/>
    <s v="F:\images\20210610\plaque 1/@02 EE2 33.8 ng_L/D2_02.tif "/>
    <s v=" 4672.0572 "/>
    <s v=" 64.5509 "/>
    <x v="0"/>
    <n v="301586"/>
    <m/>
    <m/>
    <m/>
  </r>
  <r>
    <x v="2"/>
    <x v="3"/>
    <s v="F:\images\20210610\plaque 1/@02 EE2 33.8 ng_L/D2_03.tif "/>
    <s v=" 5320.9541 "/>
    <s v=" 64.8699 "/>
    <x v="0"/>
    <n v="345170"/>
    <m/>
    <m/>
    <m/>
  </r>
  <r>
    <x v="2"/>
    <x v="4"/>
    <s v="F:\images\20210610\plaque 1/@02 EE2 33.8 ng_L/E2_01.tif "/>
    <s v=" 4715.317 "/>
    <s v=" 65.1147 "/>
    <x v="0"/>
    <n v="307036"/>
    <m/>
    <m/>
    <m/>
  </r>
  <r>
    <x v="2"/>
    <x v="4"/>
    <s v="F:\images\20210610\plaque 1/@02 EE2 33.8 ng_L/E2_02.tif "/>
    <s v=" 6424.0787 "/>
    <s v=" 66.569 "/>
    <x v="0"/>
    <n v="427645"/>
    <m/>
    <m/>
    <m/>
  </r>
  <r>
    <x v="2"/>
    <x v="4"/>
    <s v="F:\images\20210610\plaque 1/@02 EE2 33.8 ng_L/E2_03.tif "/>
    <s v=" 2855.1461 "/>
    <s v=" 64.75 "/>
    <x v="0"/>
    <n v="184871"/>
    <m/>
    <m/>
    <m/>
  </r>
  <r>
    <x v="2"/>
    <x v="5"/>
    <s v="F:\images\20210610\plaque 1/@02 EE2 33.8 ng_L/F2_01.tif "/>
    <s v=" 1103.1246 "/>
    <s v=" 64.8824 "/>
    <x v="0"/>
    <n v="71573"/>
    <m/>
    <m/>
    <m/>
  </r>
  <r>
    <x v="2"/>
    <x v="5"/>
    <s v="F:\images\20210610\plaque 1/@02 EE2 33.8 ng_L/F2_02.tif "/>
    <s v=" 735.4164 "/>
    <s v=" 63.4118 "/>
    <x v="0"/>
    <n v="46634"/>
    <m/>
    <m/>
    <m/>
  </r>
  <r>
    <x v="2"/>
    <x v="5"/>
    <s v="F:\images\20210610\plaque 1/@02 EE2 33.8 ng_L/F2_03.tif "/>
    <s v=" 1189.6442 "/>
    <s v=" 66.3273 "/>
    <x v="0"/>
    <n v="78906"/>
    <m/>
    <m/>
    <m/>
  </r>
  <r>
    <x v="2"/>
    <x v="6"/>
    <s v="F:\images\20210610\plaque 1/@02 EE2 33.8 ng_L/G2_01.tif "/>
    <s v=" 3893.381 "/>
    <s v=" 64.9889 "/>
    <x v="0"/>
    <n v="253027"/>
    <m/>
    <m/>
    <m/>
  </r>
  <r>
    <x v="2"/>
    <x v="6"/>
    <s v="F:\images\20210610\plaque 1/@02 EE2 33.8 ng_L/G2_02- exclu.tif"/>
    <m/>
    <m/>
    <x v="1"/>
    <m/>
    <m/>
    <m/>
    <m/>
  </r>
  <r>
    <x v="2"/>
    <x v="6"/>
    <s v="F:\images\20210610\plaque 1/@02 EE2 33.8 ng_L/G2_03.tif "/>
    <s v=" 389.3381 "/>
    <s v=" 62.5556 "/>
    <x v="0"/>
    <n v="24355"/>
    <m/>
    <m/>
    <m/>
  </r>
  <r>
    <x v="2"/>
    <x v="7"/>
    <s v="F:\images\20210610\plaque 1/@02 EE2 33.8 ng_L/H2_01.tif "/>
    <s v=" 2422.5482 "/>
    <s v=" 65.2946 "/>
    <x v="0"/>
    <n v="158179"/>
    <m/>
    <m/>
    <m/>
  </r>
  <r>
    <x v="2"/>
    <x v="7"/>
    <s v="F:\images\20210610\plaque 1/@02 EE2 33.8 ng_L/H2_02.tif "/>
    <s v=" 9041.296 "/>
    <s v=" 73.622 "/>
    <x v="0"/>
    <n v="665638"/>
    <m/>
    <m/>
    <m/>
  </r>
  <r>
    <x v="2"/>
    <x v="7"/>
    <s v="F:\images\20210610\plaque 1/@02 EE2 33.8 ng_L/H2_03.tif "/>
    <s v=" 757.0463 "/>
    <s v=" 65.8286 "/>
    <x v="0"/>
    <n v="49835"/>
    <m/>
    <m/>
    <m/>
  </r>
  <r>
    <x v="1"/>
    <x v="8"/>
    <s v=" "/>
    <m/>
    <m/>
    <x v="1"/>
    <m/>
    <m/>
    <m/>
    <m/>
  </r>
  <r>
    <x v="1"/>
    <x v="8"/>
    <s v="group "/>
    <s v=" "/>
    <s v=" mean of mean fluo "/>
    <x v="2"/>
    <s v=" mean of total fluo "/>
    <s v=" SD total fluo "/>
    <s v=" n fluorescent "/>
    <s v=" n total"/>
  </r>
  <r>
    <x v="2"/>
    <x v="9"/>
    <s v="F:\images\20210610\plaque 1/@02 EE2 33.8 ng_L/ "/>
    <s v=" "/>
    <s v=" 65.221 "/>
    <x v="4"/>
    <s v=" 195427.917 "/>
    <s v=" 156798.2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610\plaque 1/@03 EE2 50.6 ng_L/A3_01.tif "/>
    <s v=" 8284.2496 "/>
    <s v=" 73.3446 "/>
    <x v="0"/>
    <n v="607605"/>
    <m/>
    <m/>
    <m/>
  </r>
  <r>
    <x v="3"/>
    <x v="0"/>
    <s v="F:\images\20210610\plaque 1/@03 EE2 50.6 ng_L/A3_02.tif "/>
    <s v=" 8738.4774 "/>
    <s v=" 77.3639 "/>
    <x v="0"/>
    <n v="676042"/>
    <m/>
    <m/>
    <m/>
  </r>
  <r>
    <x v="3"/>
    <x v="0"/>
    <s v="F:\images\20210610\plaque 1/@03 EE2 50.6 ng_L/A3_03.tif "/>
    <s v=" 4650.4273 "/>
    <s v=" 68.0837 "/>
    <x v="0"/>
    <n v="316618"/>
    <m/>
    <m/>
    <m/>
  </r>
  <r>
    <x v="3"/>
    <x v="1"/>
    <s v="F:\images\20210610\plaque 1/@03 EE2 50.6 ng_L/B3_01.tif "/>
    <s v=" 302.8185 "/>
    <s v=" 62.1429 "/>
    <x v="0"/>
    <n v="18818"/>
    <m/>
    <m/>
    <m/>
  </r>
  <r>
    <x v="3"/>
    <x v="1"/>
    <s v="F:\images\20210610\plaque 1/@03 EE2 50.6 ng_L/B3_02.tif "/>
    <s v=" 454.2278 "/>
    <s v=" 62.2381 "/>
    <x v="0"/>
    <n v="28270"/>
    <m/>
    <m/>
    <m/>
  </r>
  <r>
    <x v="3"/>
    <x v="1"/>
    <s v="F:\images\20210610\plaque 1/@03 EE2 50.6 ng_L/B3_03.tif "/>
    <s v=" 259.5587 "/>
    <s v=" 61.1667 "/>
    <x v="0"/>
    <n v="15876"/>
    <m/>
    <m/>
    <m/>
  </r>
  <r>
    <x v="3"/>
    <x v="2"/>
    <s v="F:\images\20210610\plaque 1/@03 EE2 50.6 ng_L/C3_01.tif "/>
    <s v=" 3720.3419 "/>
    <s v=" 66.7209 "/>
    <x v="0"/>
    <n v="248225"/>
    <m/>
    <m/>
    <m/>
  </r>
  <r>
    <x v="3"/>
    <x v="2"/>
    <s v="F:\images\20210610\plaque 1/@03 EE2 50.6 ng_L/C3_02.tif "/>
    <s v=" 432.5979 "/>
    <s v=" 62.65 "/>
    <x v="0"/>
    <n v="27102"/>
    <m/>
    <m/>
    <m/>
  </r>
  <r>
    <x v="3"/>
    <x v="2"/>
    <s v="F:\images\20210610\plaque 1/@03 EE2 50.6 ng_L/C3_03.tif "/>
    <s v=" 3785.2316 "/>
    <s v=" 65.5771 "/>
    <x v="0"/>
    <n v="248225"/>
    <m/>
    <m/>
    <m/>
  </r>
  <r>
    <x v="3"/>
    <x v="3"/>
    <s v="F:\images\20210610\plaque 1/@03 EE2 50.6 ng_L/D3_01.tif "/>
    <s v=" 3915.0109 "/>
    <s v=" 67.5028 "/>
    <x v="0"/>
    <n v="264274"/>
    <m/>
    <m/>
    <m/>
  </r>
  <r>
    <x v="3"/>
    <x v="3"/>
    <s v="F:\images\20210610\plaque 1/@03 EE2 50.6 ng_L/D3_02.tif "/>
    <s v=" 1211.2741 "/>
    <s v=" 63.3571 "/>
    <x v="0"/>
    <n v="76743"/>
    <m/>
    <m/>
    <m/>
  </r>
  <r>
    <x v="3"/>
    <x v="3"/>
    <s v="F:\images\20210610\plaque 1/@03 EE2 50.6 ng_L/D3_03- exclu.tif"/>
    <m/>
    <m/>
    <x v="1"/>
    <m/>
    <m/>
    <m/>
    <m/>
  </r>
  <r>
    <x v="3"/>
    <x v="4"/>
    <s v="F:\images\20210610\plaque 1/@03 EE2 50.6 ng_L/E3_01.tif "/>
    <s v=" 1989.9503 "/>
    <s v=" 62.4891 "/>
    <x v="0"/>
    <n v="124350"/>
    <m/>
    <m/>
    <m/>
  </r>
  <r>
    <x v="3"/>
    <x v="4"/>
    <s v="F:\images\20210610\plaque 1/@03 EE2 50.6 ng_L/E3_02.tif "/>
    <s v=" 1081.4947 "/>
    <s v=" 63.1 "/>
    <x v="0"/>
    <n v="68242"/>
    <m/>
    <m/>
    <m/>
  </r>
  <r>
    <x v="3"/>
    <x v="4"/>
    <s v="F:\images\20210610\plaque 1/@03 EE2 50.6 ng_L/E3_03.tif "/>
    <s v=" 1946.6905 "/>
    <s v=" 65.8889 "/>
    <x v="0"/>
    <n v="128265"/>
    <m/>
    <m/>
    <m/>
  </r>
  <r>
    <x v="3"/>
    <x v="5"/>
    <s v="F:\images\20210610\plaque 1/@03 EE2 50.6 ng_L/F3_01.tif "/>
    <s v=" 2098.0998 "/>
    <s v=" 64.5876 "/>
    <x v="0"/>
    <n v="135511"/>
    <m/>
    <m/>
    <m/>
  </r>
  <r>
    <x v="3"/>
    <x v="5"/>
    <s v="F:\images\20210610\plaque 1/@03 EE2 50.6 ng_L/F3_02.tif "/>
    <s v=" 1816.9111 "/>
    <s v=" 65.8929 "/>
    <x v="0"/>
    <n v="119721"/>
    <m/>
    <m/>
    <m/>
  </r>
  <r>
    <x v="3"/>
    <x v="5"/>
    <s v="F:\images\20210610\plaque 1/@03 EE2 50.6 ng_L/F3_03.tif "/>
    <s v=" 1643.872 "/>
    <s v=" 64.6974 "/>
    <x v="0"/>
    <n v="106354"/>
    <m/>
    <m/>
    <m/>
  </r>
  <r>
    <x v="3"/>
    <x v="6"/>
    <s v="F:\images\20210610\plaque 1/@03 EE2 50.6 ng_L/G3_01.tif "/>
    <s v=" 1405.9432 "/>
    <s v=" 62.5385 "/>
    <x v="0"/>
    <n v="87926"/>
    <m/>
    <m/>
    <m/>
  </r>
  <r>
    <x v="3"/>
    <x v="6"/>
    <s v="F:\images\20210610\plaque 1/@03 EE2 50.6 ng_L/G3_02.tif "/>
    <s v=" 562.3773 "/>
    <s v=" 62.2308 "/>
    <x v="0"/>
    <n v="34997"/>
    <m/>
    <m/>
    <m/>
  </r>
  <r>
    <x v="3"/>
    <x v="6"/>
    <s v="F:\images\20210610\plaque 1/@03 EE2 50.6 ng_L/G3_03.tif "/>
    <s v=" 973.3453 "/>
    <s v=" 63.2889 "/>
    <x v="0"/>
    <n v="61602"/>
    <m/>
    <m/>
    <m/>
  </r>
  <r>
    <x v="3"/>
    <x v="7"/>
    <s v="F:\images\20210610\plaque 1/@03 EE2 50.6 ng_L/H3_01.tif "/>
    <s v=" 865.1958 "/>
    <s v=" 62.975 "/>
    <x v="0"/>
    <n v="54486"/>
    <m/>
    <m/>
    <m/>
  </r>
  <r>
    <x v="3"/>
    <x v="7"/>
    <s v="F:\images\20210610\plaque 1/@03 EE2 50.6 ng_L/H3_02.tif "/>
    <s v=" 778.6762 "/>
    <s v=" 62.8333 "/>
    <x v="0"/>
    <n v="48927"/>
    <m/>
    <m/>
    <m/>
  </r>
  <r>
    <x v="3"/>
    <x v="7"/>
    <s v="F:\images\20210610\plaque 1/@03 EE2 50.6 ng_L/H3_03.tif "/>
    <s v=" 1514.0926 "/>
    <s v=" 62.8 "/>
    <x v="0"/>
    <n v="95085"/>
    <m/>
    <m/>
    <m/>
  </r>
  <r>
    <x v="1"/>
    <x v="8"/>
    <s v=" "/>
    <m/>
    <m/>
    <x v="1"/>
    <m/>
    <m/>
    <m/>
    <m/>
  </r>
  <r>
    <x v="1"/>
    <x v="8"/>
    <s v="group "/>
    <s v=" "/>
    <s v=" mean of mean fluo "/>
    <x v="2"/>
    <s v=" mean of total fluo "/>
    <s v=" SD total fluo "/>
    <s v=" n fluorescent "/>
    <s v=" n total"/>
  </r>
  <r>
    <x v="3"/>
    <x v="9"/>
    <s v="F:\images\20210610\plaque 1/@03 EE2 50.6 ng_L/ "/>
    <s v=" "/>
    <s v=" 64.8534 "/>
    <x v="5"/>
    <s v=" 154659.958 "/>
    <s v=" 171348.3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610\plaque 1/@04 EE2 76 ng_L/A4_01.tif "/>
    <s v=" 5429.1036 "/>
    <s v=" 63.502 "/>
    <x v="0"/>
    <n v="344759"/>
    <m/>
    <m/>
    <m/>
  </r>
  <r>
    <x v="4"/>
    <x v="0"/>
    <s v="F:\images\20210610\plaque 1/@04 EE2 76 ng_L/A4_02.tif "/>
    <s v=" 9127.8155 "/>
    <s v=" 64.6185 "/>
    <x v="0"/>
    <n v="589826"/>
    <m/>
    <m/>
    <m/>
  </r>
  <r>
    <x v="4"/>
    <x v="0"/>
    <s v="F:\images\20210610\plaque 1/@04 EE2 76 ng_L/A4_03.tif "/>
    <s v=" 7289.2745 "/>
    <s v=" 64.1395 "/>
    <x v="0"/>
    <n v="467530"/>
    <m/>
    <m/>
    <m/>
  </r>
  <r>
    <x v="4"/>
    <x v="1"/>
    <s v="F:\images\20210610\plaque 1/@04 EE2 76 ng_L/B4_01.tif "/>
    <s v=" 8543.8084 "/>
    <s v=" 67.0506 "/>
    <x v="0"/>
    <n v="572868"/>
    <m/>
    <m/>
    <m/>
  </r>
  <r>
    <x v="4"/>
    <x v="1"/>
    <s v="F:\images\20210610\plaque 1/@04 EE2 76 ng_L/B4_02.tif "/>
    <s v=" 9149.4454 "/>
    <s v=" 64.5366 "/>
    <x v="0"/>
    <n v="590474"/>
    <m/>
    <m/>
    <m/>
  </r>
  <r>
    <x v="4"/>
    <x v="1"/>
    <s v="F:\images\20210610\plaque 1/@04 EE2 76 ng_L/B4_03.tif "/>
    <s v=" 4239.4593 "/>
    <s v=" 63.1684 "/>
    <x v="0"/>
    <n v="267800"/>
    <m/>
    <m/>
    <m/>
  </r>
  <r>
    <x v="4"/>
    <x v="2"/>
    <s v="F:\images\20210610\plaque 1/@04 EE2 76 ng_L/C4_01.tif "/>
    <s v=" 4672.0572 "/>
    <s v=" 63.5093 "/>
    <x v="0"/>
    <n v="296719"/>
    <m/>
    <m/>
    <m/>
  </r>
  <r>
    <x v="4"/>
    <x v="2"/>
    <s v="F:\images\20210610\plaque 1/@04 EE2 76 ng_L/C4_02.tif "/>
    <s v=" 5580.5128 "/>
    <s v=" 63.9922 "/>
    <x v="0"/>
    <n v="357110"/>
    <m/>
    <m/>
    <m/>
  </r>
  <r>
    <x v="4"/>
    <x v="2"/>
    <s v="F:\images\20210610\plaque 1/@04 EE2 76 ng_L/C4_03.tif "/>
    <s v=" 5731.9221 "/>
    <s v=" 65.2528 "/>
    <x v="0"/>
    <n v="374024"/>
    <m/>
    <m/>
    <m/>
  </r>
  <r>
    <x v="4"/>
    <x v="3"/>
    <s v="F:\images\20210610\plaque 1/@04 EE2 76 ng_L/D4_01- exclu.tif"/>
    <m/>
    <m/>
    <x v="1"/>
    <m/>
    <m/>
    <m/>
    <m/>
  </r>
  <r>
    <x v="4"/>
    <x v="3"/>
    <s v="F:\images\20210610\plaque 1/@04 EE2 76 ng_L/D4_02.tif "/>
    <s v=" 3612.1924 "/>
    <s v=" 63.1138 "/>
    <x v="0"/>
    <n v="227979"/>
    <m/>
    <m/>
    <m/>
  </r>
  <r>
    <x v="4"/>
    <x v="3"/>
    <s v="F:\images\20210610\plaque 1/@04 EE2 76 ng_L/D4_03.tif "/>
    <s v=" 2941.6657 "/>
    <s v=" 63.875 "/>
    <x v="0"/>
    <n v="187899"/>
    <m/>
    <m/>
    <m/>
  </r>
  <r>
    <x v="4"/>
    <x v="4"/>
    <s v="F:\images\20210610\plaque 1/@04 EE2 76 ng_L/E4_01.tif "/>
    <s v=" 3785.2316 "/>
    <s v=" 66.5257 "/>
    <x v="0"/>
    <n v="251815"/>
    <m/>
    <m/>
    <m/>
  </r>
  <r>
    <x v="4"/>
    <x v="4"/>
    <s v="F:\images\20210610\plaque 1/@04 EE2 76 ng_L/E4_02- exclu.tif"/>
    <m/>
    <m/>
    <x v="1"/>
    <m/>
    <m/>
    <m/>
    <m/>
  </r>
  <r>
    <x v="4"/>
    <x v="4"/>
    <s v="F:\images\20210610\plaque 1/@04 EE2 76 ng_L/E4_03.tif "/>
    <s v=" 3157.9646 "/>
    <s v=" 66.2603 "/>
    <x v="0"/>
    <n v="209248"/>
    <m/>
    <m/>
    <m/>
  </r>
  <r>
    <x v="4"/>
    <x v="5"/>
    <s v="F:\images\20210610\plaque 1/@04 EE2 76 ng_L/F4_01.tif "/>
    <s v=" 5926.5911 "/>
    <s v=" 64.7628 "/>
    <x v="0"/>
    <n v="383822"/>
    <m/>
    <m/>
    <m/>
  </r>
  <r>
    <x v="4"/>
    <x v="5"/>
    <s v="F:\images\20210610\plaque 1/@04 EE2 76 ng_L/F4_02.tif "/>
    <s v=" 11161.0256 "/>
    <s v=" 64.8488 "/>
    <x v="0"/>
    <n v="723780"/>
    <m/>
    <m/>
    <m/>
  </r>
  <r>
    <x v="4"/>
    <x v="5"/>
    <s v="F:\images\20210610\plaque 1/@04 EE2 76 ng_L/F4_03.tif "/>
    <s v=" 13280.7553 "/>
    <s v=" 64.6824 "/>
    <x v="0"/>
    <n v="859031"/>
    <m/>
    <m/>
    <m/>
  </r>
  <r>
    <x v="4"/>
    <x v="6"/>
    <s v="F:\images\20210610\plaque 1/@04 EE2 76 ng_L/G4_01- exclu.tif"/>
    <m/>
    <m/>
    <x v="1"/>
    <m/>
    <m/>
    <m/>
    <m/>
  </r>
  <r>
    <x v="4"/>
    <x v="6"/>
    <s v="F:\images\20210610\plaque 1/@04 EE2 76 ng_L/G4_02- exclu.tif"/>
    <m/>
    <m/>
    <x v="1"/>
    <m/>
    <m/>
    <m/>
    <m/>
  </r>
  <r>
    <x v="4"/>
    <x v="6"/>
    <s v="F:\images\20210610\plaque 1/@04 EE2 76 ng_L/G4_03- exclu.tif"/>
    <m/>
    <m/>
    <x v="1"/>
    <m/>
    <m/>
    <m/>
    <m/>
  </r>
  <r>
    <x v="4"/>
    <x v="7"/>
    <s v="F:\images\20210610\plaque 1/@04 EE2 76 ng_L/H4_01.tif "/>
    <s v=" 3936.6408 "/>
    <s v=" 63.6648 "/>
    <x v="0"/>
    <n v="250626"/>
    <m/>
    <m/>
    <m/>
  </r>
  <r>
    <x v="4"/>
    <x v="7"/>
    <s v="F:\images\20210610\plaque 1/@04 EE2 76 ng_L/H4_02.tif "/>
    <s v=" 3568.9326 "/>
    <s v=" 63.6848 "/>
    <x v="0"/>
    <n v="227287"/>
    <m/>
    <m/>
    <m/>
  </r>
  <r>
    <x v="4"/>
    <x v="7"/>
    <s v="F:\images\20210610\plaque 1/@04 EE2 76 ng_L/H4_03.tif "/>
    <s v=" 4152.9398 "/>
    <s v=" 63.3281 "/>
    <x v="0"/>
    <n v="262998"/>
    <m/>
    <m/>
    <m/>
  </r>
  <r>
    <x v="1"/>
    <x v="8"/>
    <s v=" "/>
    <m/>
    <m/>
    <x v="1"/>
    <m/>
    <m/>
    <m/>
    <m/>
  </r>
  <r>
    <x v="1"/>
    <x v="8"/>
    <s v="group "/>
    <s v=" "/>
    <s v=" mean of mean fluo "/>
    <x v="2"/>
    <s v=" mean of total fluo "/>
    <s v=" SD total fluo "/>
    <s v=" n fluorescent "/>
    <s v=" n total"/>
  </r>
  <r>
    <x v="4"/>
    <x v="9"/>
    <s v="F:\images\20210610\plaque 1/@04 EE2 76 ng_L/ "/>
    <s v=" "/>
    <s v=" 65.4712 "/>
    <x v="6"/>
    <s v=" 390223.208 "/>
    <s v=" 191322.6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610\plaque 1/@05 EE2 114 ng_L/A5_01.tif "/>
    <s v=" 8197.7301 "/>
    <s v=" 66.5884 "/>
    <x v="0"/>
    <n v="545874"/>
    <m/>
    <m/>
    <m/>
  </r>
  <r>
    <x v="5"/>
    <x v="0"/>
    <s v="F:\images\20210610\plaque 1/@05 EE2 114 ng_L/A5_02.tif "/>
    <s v=" 9776.7124 "/>
    <s v=" 66.0509 "/>
    <x v="0"/>
    <n v="645761"/>
    <m/>
    <m/>
    <m/>
  </r>
  <r>
    <x v="5"/>
    <x v="0"/>
    <s v="F:\images\20210610\plaque 1/@05 EE2 114 ng_L/A5_03.tif "/>
    <s v=" 6813.4168 "/>
    <s v=" 65.8444 "/>
    <x v="0"/>
    <n v="448626"/>
    <m/>
    <m/>
    <m/>
  </r>
  <r>
    <x v="5"/>
    <x v="1"/>
    <s v="F:\images\20210610\plaque 1/@05 EE2 114 ng_L/B5_01.tif "/>
    <s v=" 17476.9549 "/>
    <s v=" 67.172 "/>
    <x v="0"/>
    <n v="1173963"/>
    <m/>
    <m/>
    <m/>
  </r>
  <r>
    <x v="5"/>
    <x v="1"/>
    <s v="F:\images\20210610\plaque 1/@05 EE2 114 ng_L/B5_02.tif "/>
    <s v=" 9993.0113 "/>
    <s v=" 63.816 "/>
    <x v="0"/>
    <n v="637714"/>
    <m/>
    <m/>
    <m/>
  </r>
  <r>
    <x v="5"/>
    <x v="1"/>
    <s v="F:\images\20210610\plaque 1/@05 EE2 114 ng_L/B5_03.tif "/>
    <s v=" 14729.9582 "/>
    <s v=" 66.0984 "/>
    <x v="0"/>
    <n v="973626"/>
    <m/>
    <m/>
    <m/>
  </r>
  <r>
    <x v="5"/>
    <x v="2"/>
    <s v="F:\images\20210610\plaque 1/@05 EE2 114 ng_L/C5_01.tif "/>
    <s v=" 9127.8155 "/>
    <s v=" 67.8318 "/>
    <x v="0"/>
    <n v="619156"/>
    <m/>
    <m/>
    <m/>
  </r>
  <r>
    <x v="5"/>
    <x v="2"/>
    <s v="F:\images\20210610\plaque 1/@05 EE2 114 ng_L/C5_02.tif "/>
    <s v=" 8349.1393 "/>
    <s v=" 72.7176 "/>
    <x v="0"/>
    <n v="607130"/>
    <m/>
    <m/>
    <m/>
  </r>
  <r>
    <x v="5"/>
    <x v="2"/>
    <s v="F:\images\20210610\plaque 1/@05 EE2 114 ng_L/C5_03.tif "/>
    <s v=" 3201.2244 "/>
    <s v=" 63.6689 "/>
    <x v="0"/>
    <n v="203818"/>
    <m/>
    <m/>
    <m/>
  </r>
  <r>
    <x v="5"/>
    <x v="3"/>
    <s v="F:\images\20210610\plaque 1/@05 EE2 114 ng_L/D5_01.tif "/>
    <s v=" 36749.191 "/>
    <s v=" 73.8617 "/>
    <x v="0"/>
    <n v="2714357"/>
    <m/>
    <m/>
    <m/>
  </r>
  <r>
    <x v="5"/>
    <x v="3"/>
    <s v="F:\images\20210610\plaque 1/@05 EE2 114 ng_L/D5_02.tif "/>
    <s v=" 37462.9775 "/>
    <s v=" 73.0035 "/>
    <x v="0"/>
    <n v="2734927"/>
    <m/>
    <m/>
    <m/>
  </r>
  <r>
    <x v="5"/>
    <x v="3"/>
    <s v="F:\images\20210610\plaque 1/@05 EE2 114 ng_L/D5_03.tif "/>
    <s v=" 37311.5682 "/>
    <s v=" 74.2765 "/>
    <x v="0"/>
    <n v="2771374"/>
    <m/>
    <m/>
    <m/>
  </r>
  <r>
    <x v="5"/>
    <x v="4"/>
    <s v="F:\images\20210610\plaque 1/@05 EE2 114 ng_L/E5_01.tif "/>
    <s v=" 28854.2794 "/>
    <s v=" 69.8816 "/>
    <x v="0"/>
    <n v="2016382"/>
    <m/>
    <m/>
    <m/>
  </r>
  <r>
    <x v="5"/>
    <x v="4"/>
    <s v="F:\images\20210610\plaque 1/@05 EE2 114 ng_L/E5_02.tif "/>
    <s v=" 29870.8845 "/>
    <s v=" 71.6937 "/>
    <x v="0"/>
    <n v="2141554"/>
    <m/>
    <m/>
    <m/>
  </r>
  <r>
    <x v="5"/>
    <x v="4"/>
    <s v="F:\images\20210610\plaque 1/@05 EE2 114 ng_L/E5_03.tif "/>
    <s v=" 27794.4146 "/>
    <s v=" 70.3144 "/>
    <x v="0"/>
    <n v="1954347"/>
    <m/>
    <m/>
    <m/>
  </r>
  <r>
    <x v="5"/>
    <x v="5"/>
    <s v="F:\images\20210610\plaque 1/@05 EE2 114 ng_L/F5_01.tif "/>
    <s v=" 24549.9304 "/>
    <s v=" 66.5648 "/>
    <x v="0"/>
    <n v="1634160"/>
    <m/>
    <m/>
    <m/>
  </r>
  <r>
    <x v="5"/>
    <x v="5"/>
    <s v="F:\images\20210610\plaque 1/@05 EE2 114 ng_L/F5_02- exclu.tif"/>
    <m/>
    <m/>
    <x v="1"/>
    <m/>
    <m/>
    <m/>
    <m/>
  </r>
  <r>
    <x v="5"/>
    <x v="5"/>
    <s v="F:\images\20210610\plaque 1/@05 EE2 114 ng_L/F5_03.tif "/>
    <s v=" 14643.4387 "/>
    <s v=" 65.223 "/>
    <x v="0"/>
    <n v="955090"/>
    <m/>
    <m/>
    <m/>
  </r>
  <r>
    <x v="5"/>
    <x v="6"/>
    <s v="F:\images\20210610\plaque 1/@05 EE2 114 ng_L/G5_01.tif "/>
    <s v=" 7224.3848 "/>
    <s v=" 63.9222 "/>
    <x v="0"/>
    <n v="461798"/>
    <m/>
    <m/>
    <m/>
  </r>
  <r>
    <x v="5"/>
    <x v="6"/>
    <s v="F:\images\20210610\plaque 1/@05 EE2 114 ng_L/G5_02.tif "/>
    <s v=" 8954.7764 "/>
    <s v=" 65.2488 "/>
    <x v="0"/>
    <n v="584288"/>
    <m/>
    <m/>
    <m/>
  </r>
  <r>
    <x v="5"/>
    <x v="6"/>
    <s v="F:\images\20210610\plaque 1/@05 EE2 114 ng_L/G5_03.tif "/>
    <s v=" 9517.1536 "/>
    <s v=" 64.4136 "/>
    <x v="0"/>
    <n v="613034"/>
    <m/>
    <m/>
    <m/>
  </r>
  <r>
    <x v="5"/>
    <x v="7"/>
    <s v="F:\images\20210610\plaque 1/@05 EE2 114 ng_L/H5_01.tif "/>
    <s v=" 21110.7772 "/>
    <s v=" 67.8156 "/>
    <x v="0"/>
    <n v="1431639"/>
    <m/>
    <m/>
    <m/>
  </r>
  <r>
    <x v="5"/>
    <x v="7"/>
    <s v="F:\images\20210610\plaque 1/@05 EE2 114 ng_L/H5_02.tif "/>
    <s v=" 15919.6024 "/>
    <s v=" 67.2826 "/>
    <x v="0"/>
    <n v="1071112"/>
    <m/>
    <m/>
    <m/>
  </r>
  <r>
    <x v="5"/>
    <x v="7"/>
    <s v="F:\images\20210610\plaque 1/@05 EE2 114 ng_L/H5_03.tif "/>
    <s v=" 13194.2357 "/>
    <s v=" 65.4869 "/>
    <x v="0"/>
    <n v="864049"/>
    <m/>
    <m/>
    <m/>
  </r>
  <r>
    <x v="1"/>
    <x v="8"/>
    <s v=" "/>
    <m/>
    <m/>
    <x v="1"/>
    <m/>
    <m/>
    <m/>
    <m/>
  </r>
  <r>
    <x v="1"/>
    <x v="8"/>
    <s v="group "/>
    <s v=" "/>
    <s v=" mean of mean fluo "/>
    <x v="2"/>
    <s v=" mean of total fluo "/>
    <s v=" SD total fluo "/>
    <s v=" n fluorescent "/>
    <s v=" n total"/>
  </r>
  <r>
    <x v="5"/>
    <x v="9"/>
    <s v="F:\images\20210610\plaque 1/@05 EE2 114 ng_L/ "/>
    <s v=" "/>
    <s v=" 67.5668 "/>
    <x v="7"/>
    <s v=" 1166927.33 "/>
    <s v=" 814501.30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610\plaque 1/@06 EE2 170.9 ng_L/A6_01.tif "/>
    <s v=" 46071.6756 "/>
    <s v=" 71.8962 "/>
    <x v="0"/>
    <n v="3312380"/>
    <m/>
    <m/>
    <m/>
  </r>
  <r>
    <x v="6"/>
    <x v="0"/>
    <s v="F:\images\20210610\plaque 1/@06 EE2 170.9 ng_L/A6_02.tif "/>
    <s v=" 26301.9519 "/>
    <s v=" 74.2664 "/>
    <x v="0"/>
    <n v="1953353"/>
    <m/>
    <m/>
    <m/>
  </r>
  <r>
    <x v="6"/>
    <x v="0"/>
    <s v="F:\images\20210610\plaque 1/@06 EE2 170.9 ng_L/A6_03.tif "/>
    <s v=" 23317.0264 "/>
    <s v=" 65.4703 "/>
    <x v="0"/>
    <n v="1526573"/>
    <m/>
    <m/>
    <m/>
  </r>
  <r>
    <x v="6"/>
    <x v="1"/>
    <s v="F:\images\20210610\plaque 1/@06 EE2 170.9 ng_L/B6_01.tif "/>
    <s v=" 41442.8781 "/>
    <s v=" 84.1336 "/>
    <x v="0"/>
    <n v="3486739"/>
    <m/>
    <m/>
    <m/>
  </r>
  <r>
    <x v="6"/>
    <x v="1"/>
    <s v="F:\images\20210610\plaque 1/@06 EE2 170.9 ng_L/B6_02.tif "/>
    <s v=" 43346.3088 "/>
    <s v=" 83.5649 "/>
    <x v="0"/>
    <n v="3622229"/>
    <m/>
    <m/>
    <m/>
  </r>
  <r>
    <x v="6"/>
    <x v="1"/>
    <s v="F:\images\20210610\plaque 1/@06 EE2 170.9 ng_L/B6_03.tif "/>
    <s v=" 39236.6289 "/>
    <s v=" 88.3754 "/>
    <x v="0"/>
    <n v="3467553"/>
    <m/>
    <m/>
    <m/>
  </r>
  <r>
    <x v="6"/>
    <x v="2"/>
    <s v="F:\images\20210610\plaque 1/@06 EE2 170.9 ng_L/C6_01.tif "/>
    <s v=" 45184.8499 "/>
    <s v=" 69.5649 "/>
    <x v="0"/>
    <n v="3143278"/>
    <m/>
    <m/>
    <m/>
  </r>
  <r>
    <x v="6"/>
    <x v="2"/>
    <s v="F:\images\20210610\plaque 1/@06 EE2 170.9 ng_L/C6_02.tif "/>
    <s v=" 48018.3661 "/>
    <s v=" 70.3018 "/>
    <x v="0"/>
    <n v="3375778"/>
    <m/>
    <m/>
    <m/>
  </r>
  <r>
    <x v="6"/>
    <x v="2"/>
    <s v="F:\images\20210610\plaque 1/@06 EE2 170.9 ng_L/C6_03.tif "/>
    <s v=" 44946.921 "/>
    <s v=" 70.2238 "/>
    <x v="0"/>
    <n v="3156342"/>
    <m/>
    <m/>
    <m/>
  </r>
  <r>
    <x v="6"/>
    <x v="3"/>
    <s v="F:\images\20210610\plaque 1/@06 EE2 170.9 ng_L/D6_01.tif "/>
    <s v=" 18147.4816 "/>
    <s v=" 67.7282 "/>
    <x v="0"/>
    <n v="1229097"/>
    <m/>
    <m/>
    <m/>
  </r>
  <r>
    <x v="6"/>
    <x v="3"/>
    <s v="F:\images\20210610\plaque 1/@06 EE2 170.9 ng_L/D6_02.tif "/>
    <s v=" 18255.6311 "/>
    <s v=" 67.8306 "/>
    <x v="0"/>
    <n v="1238290"/>
    <m/>
    <m/>
    <m/>
  </r>
  <r>
    <x v="6"/>
    <x v="3"/>
    <s v="F:\images\20210610\plaque 1/@06 EE2 170.9 ng_L/D6_03.tif "/>
    <s v=" 17260.6559 "/>
    <s v=" 67.4236 "/>
    <x v="0"/>
    <n v="1163775"/>
    <m/>
    <m/>
    <m/>
  </r>
  <r>
    <x v="6"/>
    <x v="4"/>
    <s v="F:\images\20210610\plaque 1/@06 EE2 170.9 ng_L/E6_01.tif "/>
    <s v=" 26410.1013 "/>
    <s v=" 70.8436 "/>
    <x v="0"/>
    <n v="1870986"/>
    <m/>
    <m/>
    <m/>
  </r>
  <r>
    <x v="6"/>
    <x v="4"/>
    <s v="F:\images\20210610\plaque 1/@06 EE2 170.9 ng_L/E6_02.tif "/>
    <s v=" 27296.927 "/>
    <s v=" 70.9382 "/>
    <x v="0"/>
    <n v="1936395"/>
    <m/>
    <m/>
    <m/>
  </r>
  <r>
    <x v="6"/>
    <x v="4"/>
    <s v="F:\images\20210610\plaque 1/@06 EE2 170.9 ng_L/E6_03.tif "/>
    <s v=" 25696.3148 "/>
    <s v=" 68.6726 "/>
    <x v="0"/>
    <n v="1764632"/>
    <m/>
    <m/>
    <m/>
  </r>
  <r>
    <x v="6"/>
    <x v="5"/>
    <s v="F:\images\20210610\plaque 1/@06 EE2 170.9 ng_L/F6_01.tif "/>
    <s v=" 19142.4567 "/>
    <s v=" 73.9266 "/>
    <x v="0"/>
    <n v="1415136"/>
    <m/>
    <m/>
    <m/>
  </r>
  <r>
    <x v="6"/>
    <x v="5"/>
    <s v="F:\images\20210610\plaque 1/@06 EE2 170.9 ng_L/F6_02.tif "/>
    <s v=" 20159.0618 "/>
    <s v=" 73.7049 "/>
    <x v="0"/>
    <n v="1485822"/>
    <m/>
    <m/>
    <m/>
  </r>
  <r>
    <x v="6"/>
    <x v="5"/>
    <s v="F:\images\20210610\plaque 1/@06 EE2 170.9 ng_L/F6_03.tif "/>
    <s v=" 25739.5746 "/>
    <s v=" 68.9555 "/>
    <x v="0"/>
    <n v="1774884"/>
    <m/>
    <m/>
    <m/>
  </r>
  <r>
    <x v="6"/>
    <x v="6"/>
    <s v="F:\images\20210610\plaque 1/@06 EE2 170.9 ng_L/G6_01.tif "/>
    <s v=" 37376.4579 "/>
    <s v=" 71.2604 "/>
    <x v="0"/>
    <n v="2663462"/>
    <m/>
    <m/>
    <m/>
  </r>
  <r>
    <x v="6"/>
    <x v="6"/>
    <s v="F:\images\20210610\plaque 1/@06 EE2 170.9 ng_L/G6_02.tif "/>
    <s v=" 32639.511 "/>
    <s v=" 71.0384 "/>
    <x v="0"/>
    <n v="2318660"/>
    <m/>
    <m/>
    <m/>
  </r>
  <r>
    <x v="6"/>
    <x v="6"/>
    <s v="F:\images\20210610\plaque 1/@06 EE2 170.9 ng_L/G6_03.tif "/>
    <s v=" 32423.212 "/>
    <s v=" 70.4003 "/>
    <x v="0"/>
    <n v="2282603"/>
    <m/>
    <m/>
    <m/>
  </r>
  <r>
    <x v="6"/>
    <x v="7"/>
    <s v="F:\images\20210610\plaque 1/@06 EE2 170.9 ng_L/H6_01.tif "/>
    <s v=" 62640.1748 "/>
    <s v=" 76.566 "/>
    <x v="0"/>
    <n v="4796105"/>
    <m/>
    <m/>
    <m/>
  </r>
  <r>
    <x v="6"/>
    <x v="7"/>
    <s v="F:\images\20210610\plaque 1/@06 EE2 170.9 ng_L/H6_02.tif "/>
    <s v=" 58162.7867 "/>
    <s v=" 76.2778 "/>
    <x v="0"/>
    <n v="4436529"/>
    <m/>
    <m/>
    <m/>
  </r>
  <r>
    <x v="6"/>
    <x v="7"/>
    <s v="F:\images\20210610\plaque 1/@06 EE2 170.9 ng_L/H6_03.tif "/>
    <s v=" 57492.2599 "/>
    <s v=" 79.129 "/>
    <x v="0"/>
    <n v="4549308"/>
    <m/>
    <m/>
    <m/>
  </r>
  <r>
    <x v="1"/>
    <x v="8"/>
    <s v=" "/>
    <m/>
    <m/>
    <x v="1"/>
    <m/>
    <m/>
    <m/>
    <m/>
  </r>
  <r>
    <x v="1"/>
    <x v="8"/>
    <s v="group "/>
    <s v=" "/>
    <s v=" mean of mean fluo "/>
    <x v="2"/>
    <s v=" mean of total fluo "/>
    <s v=" SD total fluo "/>
    <s v=" n fluorescent "/>
    <s v=" n total"/>
  </r>
  <r>
    <x v="6"/>
    <x v="9"/>
    <s v="F:\images\20210610\plaque 1/@06 EE2 170.9 ng_L/ "/>
    <s v=" "/>
    <s v=" 73.0205 "/>
    <x v="8"/>
    <s v=" 2582079.54 "/>
    <s v=" 1119630.6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610\plaque 1/@07 EE2 488 ng_L/A7_01.tif "/>
    <s v=" 31817.575 "/>
    <s v=" 74.981 "/>
    <x v="0"/>
    <n v="2385712"/>
    <m/>
    <m/>
    <m/>
  </r>
  <r>
    <x v="7"/>
    <x v="0"/>
    <s v="F:\images\20210610\plaque 1/@07 EE2 488 ng_L/A7_02.tif "/>
    <s v=" 35299.988 "/>
    <s v=" 74.4369 "/>
    <x v="0"/>
    <n v="2627621"/>
    <m/>
    <m/>
    <m/>
  </r>
  <r>
    <x v="7"/>
    <x v="0"/>
    <s v="F:\images\20210610\plaque 1/@07 EE2 488 ng_L/A7_03.tif "/>
    <s v=" 33050.479 "/>
    <s v=" 71.5013 "/>
    <x v="0"/>
    <n v="2363153"/>
    <m/>
    <m/>
    <m/>
  </r>
  <r>
    <x v="7"/>
    <x v="1"/>
    <s v="F:\images\20210610\plaque 1/@07 EE2 488 ng_L/B7_01.tif "/>
    <s v=" 81804.2615 "/>
    <s v=" 98.7975 "/>
    <x v="0"/>
    <n v="8082053"/>
    <m/>
    <m/>
    <m/>
  </r>
  <r>
    <x v="7"/>
    <x v="1"/>
    <s v="F:\images\20210610\plaque 1/@07 EE2 488 ng_L/B7_02.tif "/>
    <s v=" 72525.0367 "/>
    <s v=" 97.4644 "/>
    <x v="0"/>
    <n v="7068606"/>
    <m/>
    <m/>
    <m/>
  </r>
  <r>
    <x v="7"/>
    <x v="1"/>
    <s v="F:\images\20210610\plaque 1/@07 EE2 488 ng_L/B7_03.tif "/>
    <s v=" 81479.8131 "/>
    <s v=" 96.4871 "/>
    <x v="0"/>
    <n v="7861753"/>
    <m/>
    <m/>
    <m/>
  </r>
  <r>
    <x v="7"/>
    <x v="2"/>
    <s v="F:\images\20210610\plaque 1/@07 EE2 488 ng_L/C7_01.tif "/>
    <s v=" 83880.7314 "/>
    <s v=" 91.3767 "/>
    <x v="0"/>
    <n v="7664748"/>
    <m/>
    <m/>
    <m/>
  </r>
  <r>
    <x v="7"/>
    <x v="2"/>
    <s v="F:\images\20210610\plaque 1/@07 EE2 488 ng_L/C7_02.tif "/>
    <s v=" 79165.4143 "/>
    <s v=" 91.7691 "/>
    <x v="0"/>
    <n v="7264941"/>
    <m/>
    <m/>
    <m/>
  </r>
  <r>
    <x v="7"/>
    <x v="2"/>
    <s v="F:\images\20210610\plaque 1/@07 EE2 488 ng_L/C7_03.tif "/>
    <s v=" 81414.9234 "/>
    <s v=" 91.5074 "/>
    <x v="0"/>
    <n v="7450071"/>
    <m/>
    <m/>
    <m/>
  </r>
  <r>
    <x v="7"/>
    <x v="3"/>
    <s v="F:\images\20210610\plaque 1/@07 EE2 488 ng_L/D7_01.tif "/>
    <s v=" 57211.0713 "/>
    <s v=" 87.5376 "/>
    <x v="0"/>
    <n v="5008121"/>
    <m/>
    <m/>
    <m/>
  </r>
  <r>
    <x v="7"/>
    <x v="3"/>
    <s v="F:\images\20210610\plaque 1/@07 EE2 488 ng_L/D7_02.tif "/>
    <s v=" 62315.7264 "/>
    <s v=" 85.0646 "/>
    <x v="0"/>
    <n v="5300860"/>
    <m/>
    <m/>
    <m/>
  </r>
  <r>
    <x v="7"/>
    <x v="3"/>
    <s v="F:\images\20210610\plaque 1/@07 EE2 488 ng_L/D7_03.tif "/>
    <s v=" 50613.9534 "/>
    <s v=" 92.6205 "/>
    <x v="0"/>
    <n v="4687890"/>
    <m/>
    <m/>
    <m/>
  </r>
  <r>
    <x v="7"/>
    <x v="4"/>
    <s v="F:\images\20210610\plaque 1/@07 EE2 488 ng_L/E7_01.tif "/>
    <s v=" 53166.281 "/>
    <s v=" 77.6819 "/>
    <x v="0"/>
    <n v="4130055"/>
    <m/>
    <m/>
    <m/>
  </r>
  <r>
    <x v="7"/>
    <x v="4"/>
    <s v="F:\images\20210610\plaque 1/@07 EE2 488 ng_L/E7_02.tif "/>
    <s v=" 48148.1454 "/>
    <s v=" 79.5615 "/>
    <x v="0"/>
    <n v="3830741"/>
    <m/>
    <m/>
    <m/>
  </r>
  <r>
    <x v="7"/>
    <x v="4"/>
    <s v="F:\images\20210610\plaque 1/@07 EE2 488 ng_L/E7_03.tif "/>
    <s v=" 51457.5193 "/>
    <s v=" 80.1602 "/>
    <x v="0"/>
    <n v="4124843"/>
    <m/>
    <m/>
    <m/>
  </r>
  <r>
    <x v="7"/>
    <x v="5"/>
    <s v="F:\images\20210610\plaque 1/@07 EE2 488 ng_L/F7_01.tif "/>
    <s v=" 57102.9218 "/>
    <s v=" 87.375 "/>
    <x v="0"/>
    <n v="4989368"/>
    <m/>
    <m/>
    <m/>
  </r>
  <r>
    <x v="7"/>
    <x v="5"/>
    <s v="F:\images\20210610\plaque 1/@07 EE2 488 ng_L/F7_02.tif "/>
    <s v=" 30152.0731 "/>
    <s v=" 101.3816 "/>
    <x v="0"/>
    <n v="3056866"/>
    <m/>
    <m/>
    <m/>
  </r>
  <r>
    <x v="7"/>
    <x v="5"/>
    <s v="F:\images\20210610\plaque 1/@07 EE2 488 ng_L/F7_03.tif "/>
    <s v=" 44644.1025 "/>
    <s v=" 98.7897 "/>
    <x v="0"/>
    <n v="4410379"/>
    <m/>
    <m/>
    <m/>
  </r>
  <r>
    <x v="7"/>
    <x v="6"/>
    <s v="F:\images\20210610\plaque 1/@07 EE2 488 ng_L/G7_01.tif "/>
    <s v=" 57275.961 "/>
    <s v=" 92.1635 "/>
    <x v="0"/>
    <n v="5278754"/>
    <m/>
    <m/>
    <m/>
  </r>
  <r>
    <x v="7"/>
    <x v="6"/>
    <s v="F:\images\20210610\plaque 1/@07 EE2 488 ng_L/G7_02.tif "/>
    <s v=" 60044.5875 "/>
    <s v=" 86.9809 "/>
    <x v="0"/>
    <n v="5222733"/>
    <m/>
    <m/>
    <m/>
  </r>
  <r>
    <x v="7"/>
    <x v="6"/>
    <s v="F:\images\20210610\plaque 1/@07 EE2 488 ng_L/G7_03.tif "/>
    <s v=" 53101.3913 "/>
    <s v=" 94.4122 "/>
    <x v="0"/>
    <n v="5013420"/>
    <m/>
    <m/>
    <m/>
  </r>
  <r>
    <x v="7"/>
    <x v="7"/>
    <s v="F:\images\20210610\plaque 1/@07 EE2 488 ng_L/H7_01.tif "/>
    <s v=" 59785.0288 "/>
    <s v=" 83.0279 "/>
    <x v="0"/>
    <n v="4963823"/>
    <m/>
    <m/>
    <m/>
  </r>
  <r>
    <x v="7"/>
    <x v="7"/>
    <s v="F:\images\20210610\plaque 1/@07 EE2 488 ng_L/H7_02.tif "/>
    <s v=" 65408.8014 "/>
    <s v=" 80.5258 "/>
    <x v="0"/>
    <n v="5267096"/>
    <m/>
    <m/>
    <m/>
  </r>
  <r>
    <x v="7"/>
    <x v="7"/>
    <s v="F:\images\20210610\plaque 1/@07 EE2 488 ng_L/H7_03.tif "/>
    <s v=" 50202.9854 "/>
    <s v=" 81.4339 "/>
    <x v="0"/>
    <n v="4088223"/>
    <m/>
    <m/>
    <m/>
  </r>
  <r>
    <x v="1"/>
    <x v="8"/>
    <s v=" "/>
    <m/>
    <m/>
    <x v="1"/>
    <m/>
    <m/>
    <m/>
    <m/>
  </r>
  <r>
    <x v="1"/>
    <x v="8"/>
    <s v="group "/>
    <s v=" "/>
    <s v=" mean of mean fluo "/>
    <x v="2"/>
    <s v=" mean of total fluo "/>
    <s v=" SD total fluo "/>
    <s v=" n fluorescent "/>
    <s v=" n total"/>
  </r>
  <r>
    <x v="7"/>
    <x v="9"/>
    <s v="F:\images\20210610\plaque 1/@07 EE2 488 ng_L/ "/>
    <s v=" "/>
    <s v=" 87.3766 "/>
    <x v="9"/>
    <s v=" 5089242.92 "/>
    <s v=" 1715135.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610\plaque 1/@08 Atrazine 0.625 mg_L/A8_01.tif "/>
    <s v=" 2076.4699 "/>
    <s v=" 64.9375 "/>
    <x v="0"/>
    <n v="134841"/>
    <m/>
    <m/>
    <m/>
  </r>
  <r>
    <x v="8"/>
    <x v="0"/>
    <s v="F:\images\20210610\plaque 1/@08 Atrazine 0.625 mg_L/A8_02- exclu.tif"/>
    <m/>
    <m/>
    <x v="1"/>
    <m/>
    <m/>
    <m/>
    <m/>
  </r>
  <r>
    <x v="8"/>
    <x v="0"/>
    <s v="F:\images\20210610\plaque 1/@08 Atrazine 0.625 mg_L/A8_03- exclu.tif"/>
    <m/>
    <m/>
    <x v="1"/>
    <m/>
    <m/>
    <m/>
    <m/>
  </r>
  <r>
    <x v="8"/>
    <x v="1"/>
    <s v="F:\images\20210610\plaque 1/@08 Atrazine 0.625 mg_L/B8_01- exclu.tif"/>
    <m/>
    <m/>
    <x v="1"/>
    <m/>
    <m/>
    <m/>
    <m/>
  </r>
  <r>
    <x v="8"/>
    <x v="1"/>
    <s v="F:\images\20210610\plaque 1/@08 Atrazine 0.625 mg_L/B8_02.tif "/>
    <s v=" 9019.6661 "/>
    <s v=" 71.4556 "/>
    <x v="0"/>
    <n v="644506"/>
    <m/>
    <m/>
    <m/>
  </r>
  <r>
    <x v="8"/>
    <x v="1"/>
    <s v="F:\images\20210610\plaque 1/@08 Atrazine 0.625 mg_L/B8_03.tif "/>
    <s v=" 7072.9755 "/>
    <s v=" 64.1254 "/>
    <x v="0"/>
    <n v="453557"/>
    <m/>
    <m/>
    <m/>
  </r>
  <r>
    <x v="8"/>
    <x v="2"/>
    <s v="F:\images\20210610\plaque 1/@08 Atrazine 0.625 mg_L/C8_01.tif "/>
    <s v=" 605.637 "/>
    <s v=" 63.4643 "/>
    <x v="0"/>
    <n v="38436"/>
    <m/>
    <m/>
    <m/>
  </r>
  <r>
    <x v="8"/>
    <x v="2"/>
    <s v="F:\images\20210610\plaque 1/@08 Atrazine 0.625 mg_L/C8_02.tif "/>
    <s v=" 1752.0215 "/>
    <s v=" 64.642 "/>
    <x v="0"/>
    <n v="113254"/>
    <m/>
    <m/>
    <m/>
  </r>
  <r>
    <x v="8"/>
    <x v="2"/>
    <s v="F:\images\20210610\plaque 1/@08 Atrazine 0.625 mg_L/C8_03.tif "/>
    <s v=" 1016.605 "/>
    <s v=" 63.383 "/>
    <x v="0"/>
    <n v="64435"/>
    <m/>
    <m/>
    <m/>
  </r>
  <r>
    <x v="8"/>
    <x v="3"/>
    <s v="F:\images\20210610\plaque 1/@08 Atrazine 0.625 mg_L/D8_01.tif "/>
    <s v=" 389.3381 "/>
    <s v=" 62.0556 "/>
    <x v="0"/>
    <n v="24161"/>
    <m/>
    <m/>
    <m/>
  </r>
  <r>
    <x v="8"/>
    <x v="3"/>
    <s v="F:\images\20210610\plaque 1/@08 Atrazine 0.625 mg_L/D8_02.tif "/>
    <s v=" 1232.904 "/>
    <s v=" 64.0702 "/>
    <x v="0"/>
    <n v="78992"/>
    <m/>
    <m/>
    <m/>
  </r>
  <r>
    <x v="8"/>
    <x v="3"/>
    <s v="F:\images\20210610\plaque 1/@08 Atrazine 0.625 mg_L/D8_03.tif "/>
    <s v=" 2314.3987 "/>
    <s v=" 65.4299 "/>
    <x v="0"/>
    <n v="151431"/>
    <m/>
    <m/>
    <m/>
  </r>
  <r>
    <x v="8"/>
    <x v="4"/>
    <s v="F:\images\20210610\plaque 1/@08 Atrazine 0.625 mg_L/E8_01.tif "/>
    <s v=" 2768.6265 "/>
    <s v=" 64.1172 "/>
    <x v="0"/>
    <n v="177517"/>
    <m/>
    <m/>
    <m/>
  </r>
  <r>
    <x v="8"/>
    <x v="4"/>
    <s v="F:\images\20210610\plaque 1/@08 Atrazine 0.625 mg_L/E8_02.tif "/>
    <s v=" 2790.2564 "/>
    <s v=" 64.4419 "/>
    <x v="0"/>
    <n v="179809"/>
    <m/>
    <m/>
    <m/>
  </r>
  <r>
    <x v="8"/>
    <x v="4"/>
    <s v="F:\images\20210610\plaque 1/@08 Atrazine 0.625 mg_L/E8_03.tif "/>
    <s v=" 3266.1141 "/>
    <s v=" 66.9801 "/>
    <x v="0"/>
    <n v="218765"/>
    <m/>
    <m/>
    <m/>
  </r>
  <r>
    <x v="8"/>
    <x v="5"/>
    <s v="F:\images\20210610\plaque 1/@08 Atrazine 0.625 mg_L/F8_01.tif "/>
    <s v=" 5083.0252 "/>
    <s v=" 67.3234 "/>
    <x v="0"/>
    <n v="342207"/>
    <m/>
    <m/>
    <m/>
  </r>
  <r>
    <x v="8"/>
    <x v="5"/>
    <s v="F:\images\20210610\plaque 1/@08 Atrazine 0.625 mg_L/F8_02- exclu.tif"/>
    <m/>
    <m/>
    <x v="1"/>
    <m/>
    <m/>
    <m/>
    <m/>
  </r>
  <r>
    <x v="8"/>
    <x v="5"/>
    <s v="F:\images\20210610\plaque 1/@08 Atrazine 0.625 mg_L/F8_03.tif "/>
    <s v=" 1276.1638 "/>
    <s v=" 63.6949 "/>
    <x v="0"/>
    <n v="81285"/>
    <m/>
    <m/>
    <m/>
  </r>
  <r>
    <x v="8"/>
    <x v="6"/>
    <s v="F:\images\20210610\plaque 1/@08 Atrazine 0.625 mg_L/G8_01.tif "/>
    <s v=" 3633.8223 "/>
    <s v=" 67.9107 "/>
    <x v="0"/>
    <n v="246775"/>
    <m/>
    <m/>
    <m/>
  </r>
  <r>
    <x v="8"/>
    <x v="6"/>
    <s v="F:\images\20210610\plaque 1/@08 Atrazine 0.625 mg_L/G8_02.tif "/>
    <s v=" 3741.9718 "/>
    <s v=" 65.9769 "/>
    <x v="0"/>
    <n v="246884"/>
    <m/>
    <m/>
    <m/>
  </r>
  <r>
    <x v="8"/>
    <x v="6"/>
    <s v="F:\images\20210610\plaque 1/@08 Atrazine 0.625 mg_L/G8_03.tif "/>
    <s v=" 821.936 "/>
    <s v=" 64.3158 "/>
    <x v="0"/>
    <n v="52863"/>
    <m/>
    <m/>
    <m/>
  </r>
  <r>
    <x v="8"/>
    <x v="7"/>
    <s v="F:\images\20210610\plaque 1/@08 Atrazine 0.625 mg_L/H8_01.tif "/>
    <s v=" 1881.8008 "/>
    <s v=" 65.5977 "/>
    <x v="0"/>
    <n v="123442"/>
    <m/>
    <m/>
    <m/>
  </r>
  <r>
    <x v="8"/>
    <x v="7"/>
    <s v="F:\images\20210610\plaque 1/@08 Atrazine 0.625 mg_L/H8_02.tif "/>
    <s v=" 6186.1499 "/>
    <s v=" 72.3427 "/>
    <x v="0"/>
    <n v="447523"/>
    <m/>
    <m/>
    <m/>
  </r>
  <r>
    <x v="8"/>
    <x v="7"/>
    <s v="F:\images\20210610\plaque 1/@08 Atrazine 0.625 mg_L/H8_03.tif "/>
    <s v=" 6315.9292 "/>
    <s v=" 69.1404 "/>
    <x v="0"/>
    <n v="436686"/>
    <m/>
    <m/>
    <m/>
  </r>
  <r>
    <x v="1"/>
    <x v="8"/>
    <s v=" "/>
    <m/>
    <m/>
    <x v="1"/>
    <m/>
    <m/>
    <m/>
    <m/>
  </r>
  <r>
    <x v="1"/>
    <x v="8"/>
    <s v="group "/>
    <s v=" "/>
    <s v=" mean of mean fluo "/>
    <x v="2"/>
    <s v=" mean of total fluo "/>
    <s v=" SD total fluo "/>
    <s v=" n fluorescent "/>
    <s v=" n total"/>
  </r>
  <r>
    <x v="8"/>
    <x v="9"/>
    <s v="F:\images\20210610\plaque 1/@08 Atrazine 0.625 mg_L/ "/>
    <s v=" "/>
    <s v=" 65.4574 "/>
    <x v="10"/>
    <s v=" 186177.542 "/>
    <s v=" 166437.2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610\plaque 1/@09 Atrazine 1.25 mg_L/A9_01.tif "/>
    <s v=" 2811.8863 "/>
    <s v=" 66.2077 "/>
    <x v="0"/>
    <n v="186169"/>
    <m/>
    <m/>
    <m/>
  </r>
  <r>
    <x v="9"/>
    <x v="0"/>
    <s v="F:\images\20210610\plaque 1/@09 Atrazine 1.25 mg_L/A9_02.tif "/>
    <s v=" 5018.1356 "/>
    <s v=" 69.7716 "/>
    <x v="0"/>
    <n v="350123"/>
    <m/>
    <m/>
    <m/>
  </r>
  <r>
    <x v="9"/>
    <x v="0"/>
    <s v="F:\images\20210610\plaque 1/@09 Atrazine 1.25 mg_L/A9_03.tif "/>
    <s v=" 4109.68 "/>
    <s v=" 66.0842 "/>
    <x v="0"/>
    <n v="271585"/>
    <m/>
    <m/>
    <m/>
  </r>
  <r>
    <x v="9"/>
    <x v="1"/>
    <s v="F:\images\20210610\plaque 1/@09 Atrazine 1.25 mg_L/B9_01.tif "/>
    <s v=" 778.6762 "/>
    <s v=" 63.8611 "/>
    <x v="0"/>
    <n v="49727"/>
    <m/>
    <m/>
    <m/>
  </r>
  <r>
    <x v="9"/>
    <x v="1"/>
    <s v="F:\images\20210610\plaque 1/@09 Atrazine 1.25 mg_L/B9_02.tif "/>
    <s v=" 324.4484 "/>
    <s v=" 64.0667 "/>
    <x v="0"/>
    <n v="20786"/>
    <m/>
    <m/>
    <m/>
  </r>
  <r>
    <x v="9"/>
    <x v="1"/>
    <s v="F:\images\20210610\plaque 1/@09 Atrazine 1.25 mg_L/B9_03.tif "/>
    <s v=" 346.0783 "/>
    <s v=" 62.6875 "/>
    <x v="0"/>
    <n v="21695"/>
    <m/>
    <m/>
    <m/>
  </r>
  <r>
    <x v="9"/>
    <x v="2"/>
    <s v="F:\images\20210610\plaque 1/@09 Atrazine 1.25 mg_L/C9_01.tif "/>
    <s v=" 3114.7048 "/>
    <s v=" 65.1319 "/>
    <x v="0"/>
    <n v="202867"/>
    <m/>
    <m/>
    <m/>
  </r>
  <r>
    <x v="9"/>
    <x v="2"/>
    <s v="F:\images\20210610\plaque 1/@09 Atrazine 1.25 mg_L/C9_02.tif "/>
    <s v=" 1124.7545 "/>
    <s v=" 63.6538 "/>
    <x v="0"/>
    <n v="71595"/>
    <m/>
    <m/>
    <m/>
  </r>
  <r>
    <x v="9"/>
    <x v="2"/>
    <s v="F:\images\20210610\plaque 1/@09 Atrazine 1.25 mg_L/C9_03- exclu.tif"/>
    <m/>
    <m/>
    <x v="1"/>
    <m/>
    <m/>
    <m/>
    <m/>
  </r>
  <r>
    <x v="9"/>
    <x v="3"/>
    <s v="F:\images\20210610\plaque 1/@09 Atrazine 1.25 mg_L/D9_01.tif "/>
    <s v=" 5861.7014 "/>
    <s v=" 74.4059 "/>
    <x v="0"/>
    <n v="436145"/>
    <m/>
    <m/>
    <m/>
  </r>
  <r>
    <x v="9"/>
    <x v="3"/>
    <s v="F:\images\20210610\plaque 1/@09 Atrazine 1.25 mg_L/D9_02- exclu.tif"/>
    <m/>
    <m/>
    <x v="1"/>
    <m/>
    <m/>
    <m/>
    <m/>
  </r>
  <r>
    <x v="9"/>
    <x v="3"/>
    <s v="F:\images\20210610\plaque 1/@09 Atrazine 1.25 mg_L/D9_03- exclu.tif"/>
    <m/>
    <m/>
    <x v="1"/>
    <m/>
    <m/>
    <m/>
    <m/>
  </r>
  <r>
    <x v="9"/>
    <x v="4"/>
    <s v="F:\images\20210610\plaque 1/@09 Atrazine 1.25 mg_L/E9_01.tif "/>
    <s v=" 2141.3596 "/>
    <s v=" 65.3131 "/>
    <x v="0"/>
    <n v="139859"/>
    <m/>
    <m/>
    <m/>
  </r>
  <r>
    <x v="9"/>
    <x v="4"/>
    <s v="F:\images\20210610\plaque 1/@09 Atrazine 1.25 mg_L/E9_02.tif "/>
    <s v=" 3720.3419 "/>
    <s v=" 67.3779 "/>
    <x v="0"/>
    <n v="250669"/>
    <m/>
    <m/>
    <m/>
  </r>
  <r>
    <x v="9"/>
    <x v="4"/>
    <s v="F:\images\20210610\plaque 1/@09 Atrazine 1.25 mg_L/E9_03.tif "/>
    <s v=" 3093.0749 "/>
    <s v=" 66.1259 "/>
    <x v="0"/>
    <n v="204532"/>
    <m/>
    <m/>
    <m/>
  </r>
  <r>
    <x v="9"/>
    <x v="5"/>
    <s v="F:\images\20210610\plaque 1/@09 Atrazine 1.25 mg_L/F9_01.tif "/>
    <s v=" 2682.1069 "/>
    <s v=" 64.7581 "/>
    <x v="0"/>
    <n v="173688"/>
    <m/>
    <m/>
    <m/>
  </r>
  <r>
    <x v="9"/>
    <x v="5"/>
    <s v="F:\images\20210610\plaque 1/@09 Atrazine 1.25 mg_L/F9_02.tif "/>
    <s v=" 2054.84 "/>
    <n v="65"/>
    <x v="0"/>
    <n v="133565"/>
    <m/>
    <m/>
    <m/>
  </r>
  <r>
    <x v="9"/>
    <x v="5"/>
    <s v="F:\images\20210610\plaque 1/@09 Atrazine 1.25 mg_L/F9_03.tif "/>
    <s v=" 3871.7511 "/>
    <s v=" 65.1006 "/>
    <x v="0"/>
    <n v="252053"/>
    <m/>
    <m/>
    <m/>
  </r>
  <r>
    <x v="9"/>
    <x v="6"/>
    <s v="F:\images\20210610\plaque 1/@09 Atrazine 1.25 mg_L/G9_01.tif "/>
    <s v=" 4196.1996 "/>
    <s v=" 67.5258 "/>
    <x v="0"/>
    <n v="283352"/>
    <m/>
    <m/>
    <m/>
  </r>
  <r>
    <x v="9"/>
    <x v="6"/>
    <s v="F:\images\20210610\plaque 1/@09 Atrazine 1.25 mg_L/G9_02.tif "/>
    <s v=" 4282.7191 "/>
    <s v=" 65.2929 "/>
    <x v="0"/>
    <n v="279631"/>
    <m/>
    <m/>
    <m/>
  </r>
  <r>
    <x v="9"/>
    <x v="6"/>
    <s v="F:\images\20210610\plaque 1/@09 Atrazine 1.25 mg_L/G9_03.tif "/>
    <s v=" 5299.3242 "/>
    <s v=" 64.9551 "/>
    <x v="0"/>
    <n v="344218"/>
    <m/>
    <m/>
    <m/>
  </r>
  <r>
    <x v="9"/>
    <x v="7"/>
    <s v="F:\images\20210610\plaque 1/@09 Atrazine 1.25 mg_L/H9_01.tif "/>
    <s v=" 3071.445 "/>
    <s v=" 63.7887 "/>
    <x v="0"/>
    <n v="195924"/>
    <m/>
    <m/>
    <m/>
  </r>
  <r>
    <x v="9"/>
    <x v="7"/>
    <s v="F:\images\20210610\plaque 1/@09 Atrazine 1.25 mg_L/H9_02.tif "/>
    <s v=" 3720.3419 "/>
    <s v=" 64.7384 "/>
    <x v="0"/>
    <n v="240849"/>
    <m/>
    <m/>
    <m/>
  </r>
  <r>
    <x v="9"/>
    <x v="7"/>
    <s v="F:\images\20210610\plaque 1/@09 Atrazine 1.25 mg_L/H9_03.tif "/>
    <s v=" 1427.573 "/>
    <s v=" 63.9394 "/>
    <x v="0"/>
    <n v="91278"/>
    <m/>
    <m/>
    <m/>
  </r>
  <r>
    <x v="1"/>
    <x v="8"/>
    <s v=" "/>
    <m/>
    <m/>
    <x v="1"/>
    <m/>
    <m/>
    <m/>
    <m/>
  </r>
  <r>
    <x v="1"/>
    <x v="8"/>
    <s v="group "/>
    <s v=" "/>
    <s v=" mean of mean fluo "/>
    <x v="2"/>
    <s v=" mean of total fluo "/>
    <s v=" SD total fluo "/>
    <s v=" n fluorescent "/>
    <s v=" n total"/>
  </r>
  <r>
    <x v="9"/>
    <x v="9"/>
    <s v="F:\images\20210610\plaque 1/@09 Atrazine 1.25 mg_L/ "/>
    <s v=" "/>
    <s v=" 66.0803 "/>
    <x v="11"/>
    <s v=" 192423.208 "/>
    <s v=" 121283.6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610\plaque 1/@10 Atrazine 2.5 mg_L/A10_01.tif "/>
    <s v=" 9646.933 "/>
    <s v=" 67.7825 "/>
    <x v="0"/>
    <n v="653893"/>
    <m/>
    <m/>
    <m/>
  </r>
  <r>
    <x v="10"/>
    <x v="0"/>
    <s v="F:\images\20210610\plaque 1/@10 Atrazine 2.5 mg_L/A10_02.tif "/>
    <s v=" 1752.0215 "/>
    <s v=" 62.9506 "/>
    <x v="0"/>
    <n v="110291"/>
    <m/>
    <m/>
    <m/>
  </r>
  <r>
    <x v="10"/>
    <x v="0"/>
    <s v="F:\images\20210610\plaque 1/@10 Atrazine 2.5 mg_L/A10_03.tif "/>
    <s v=" 8976.4063 "/>
    <s v=" 73.0458 "/>
    <x v="0"/>
    <n v="655689"/>
    <m/>
    <m/>
    <m/>
  </r>
  <r>
    <x v="10"/>
    <x v="1"/>
    <s v="F:\images\20210610\plaque 1/@10 Atrazine 2.5 mg_L/B10_01.tif "/>
    <s v=" 1600.6122 "/>
    <s v=" 64.3108 "/>
    <x v="0"/>
    <n v="102937"/>
    <m/>
    <m/>
    <m/>
  </r>
  <r>
    <x v="10"/>
    <x v="1"/>
    <s v="F:\images\20210610\plaque 1/@10 Atrazine 2.5 mg_L/B10_02.tif "/>
    <s v=" 324.4484 "/>
    <s v=" 62.0667 "/>
    <x v="0"/>
    <n v="20137"/>
    <m/>
    <m/>
    <m/>
  </r>
  <r>
    <x v="10"/>
    <x v="1"/>
    <s v="F:\images\20210610\plaque 1/@10 Atrazine 2.5 mg_L/B10_03.tif "/>
    <s v=" 475.8577 "/>
    <s v=" 63.3636 "/>
    <x v="0"/>
    <n v="30152"/>
    <m/>
    <m/>
    <m/>
  </r>
  <r>
    <x v="10"/>
    <x v="2"/>
    <s v="F:\images\20210610\plaque 1/@10 Atrazine 2.5 mg_L/C10_01.tif "/>
    <s v=" 19466.9052 "/>
    <s v=" 69.6811 "/>
    <x v="0"/>
    <n v="1356476"/>
    <m/>
    <m/>
    <m/>
  </r>
  <r>
    <x v="10"/>
    <x v="2"/>
    <s v="F:\images\20210610\plaque 1/@10 Atrazine 2.5 mg_L/C10_02.tif "/>
    <s v=" 8024.6909 "/>
    <s v=" 65.8221 "/>
    <x v="0"/>
    <n v="528202"/>
    <m/>
    <m/>
    <m/>
  </r>
  <r>
    <x v="10"/>
    <x v="2"/>
    <s v="F:\images\20210610\plaque 1/@10 Atrazine 2.5 mg_L/C10_03.tif "/>
    <s v=" 13129.346 "/>
    <s v=" 69.346 "/>
    <x v="0"/>
    <n v="910467"/>
    <m/>
    <m/>
    <m/>
  </r>
  <r>
    <x v="10"/>
    <x v="3"/>
    <s v="F:\images\20210610\plaque 1/@10 Atrazine 2.5 mg_L/D10_01.tif "/>
    <s v=" 1276.1638 "/>
    <s v=" 63.5763 "/>
    <x v="0"/>
    <n v="81134"/>
    <m/>
    <m/>
    <m/>
  </r>
  <r>
    <x v="10"/>
    <x v="3"/>
    <s v="F:\images\20210610\plaque 1/@10 Atrazine 2.5 mg_L/D10_02.tif "/>
    <s v=" 4174.5697 "/>
    <s v=" 65.285 "/>
    <x v="0"/>
    <n v="272537"/>
    <m/>
    <m/>
    <m/>
  </r>
  <r>
    <x v="10"/>
    <x v="3"/>
    <s v="F:\images\20210610\plaque 1/@10 Atrazine 2.5 mg_L/D10_03.tif "/>
    <s v=" 1708.7617 "/>
    <s v=" 63.9747 "/>
    <x v="0"/>
    <n v="109317"/>
    <m/>
    <m/>
    <m/>
  </r>
  <r>
    <x v="10"/>
    <x v="4"/>
    <s v="F:\images\20210610\plaque 1/@10 Atrazine 2.5 mg_L/E10_01.tif "/>
    <s v=" 1665.5019 "/>
    <s v=" 63.4935 "/>
    <x v="0"/>
    <n v="105749"/>
    <m/>
    <m/>
    <m/>
  </r>
  <r>
    <x v="10"/>
    <x v="4"/>
    <s v="F:\images\20210610\plaque 1/@10 Atrazine 2.5 mg_L/E10_02.tif "/>
    <s v=" 2638.8471 "/>
    <s v=" 64.6803 "/>
    <x v="0"/>
    <n v="170681"/>
    <m/>
    <m/>
    <m/>
  </r>
  <r>
    <x v="10"/>
    <x v="4"/>
    <s v="F:\images\20210610\plaque 1/@10 Atrazine 2.5 mg_L/E10_03.tif "/>
    <s v=" 3633.8223 "/>
    <s v=" 64.0357 "/>
    <x v="0"/>
    <n v="232694"/>
    <m/>
    <m/>
    <m/>
  </r>
  <r>
    <x v="10"/>
    <x v="5"/>
    <s v="F:\images\20210610\plaque 1/@10 Atrazine 2.5 mg_L/F10_01.tif "/>
    <s v=" 4953.2459 "/>
    <s v=" 64.952 "/>
    <x v="0"/>
    <n v="321723"/>
    <m/>
    <m/>
    <m/>
  </r>
  <r>
    <x v="10"/>
    <x v="5"/>
    <s v="F:\images\20210610\plaque 1/@10 Atrazine 2.5 mg_L/F10_02- exclu.tif"/>
    <m/>
    <m/>
    <x v="1"/>
    <m/>
    <m/>
    <m/>
    <m/>
  </r>
  <r>
    <x v="10"/>
    <x v="5"/>
    <s v="F:\images\20210610\plaque 1/@10 Atrazine 2.5 mg_L/F10_03.tif "/>
    <s v=" 2314.3987 "/>
    <s v=" 63.9626 "/>
    <x v="0"/>
    <n v="148035"/>
    <m/>
    <m/>
    <m/>
  </r>
  <r>
    <x v="10"/>
    <x v="6"/>
    <s v="F:\images\20210610\plaque 1/@10 Atrazine 2.5 mg_L/G10_01.tif "/>
    <s v=" 5126.285 "/>
    <s v=" 64.3291 "/>
    <x v="0"/>
    <n v="329769"/>
    <m/>
    <m/>
    <m/>
  </r>
  <r>
    <x v="10"/>
    <x v="6"/>
    <s v="F:\images\20210610\plaque 1/@10 Atrazine 2.5 mg_L/G10_02.tif "/>
    <s v=" 3157.9646 "/>
    <s v=" 64.3151 "/>
    <x v="0"/>
    <n v="203105"/>
    <m/>
    <m/>
    <m/>
  </r>
  <r>
    <x v="10"/>
    <x v="6"/>
    <s v="F:\images\20210610\plaque 1/@10 Atrazine 2.5 mg_L/G10_03.tif "/>
    <s v=" 5126.285 "/>
    <s v=" 63.692 "/>
    <x v="0"/>
    <n v="326503"/>
    <m/>
    <m/>
    <m/>
  </r>
  <r>
    <x v="10"/>
    <x v="7"/>
    <s v="F:\images\20210610\plaque 1/@10 Atrazine 2.5 mg_L/H10_01.tif "/>
    <s v=" 410.968 "/>
    <s v=" 63.1053 "/>
    <x v="0"/>
    <n v="25934"/>
    <m/>
    <m/>
    <m/>
  </r>
  <r>
    <x v="10"/>
    <x v="7"/>
    <s v="F:\images\20210610\plaque 1/@10 Atrazine 2.5 mg_L/H10_02.tif "/>
    <s v=" 475.8577 "/>
    <s v=" 61.8636 "/>
    <x v="0"/>
    <n v="29438"/>
    <m/>
    <m/>
    <m/>
  </r>
  <r>
    <x v="10"/>
    <x v="7"/>
    <s v="F:\images\20210610\plaque 1/@10 Atrazine 2.5 mg_L/H10_03.tif "/>
    <s v=" 475.8577 "/>
    <s v=" 62.7273 "/>
    <x v="0"/>
    <n v="29849"/>
    <m/>
    <m/>
    <m/>
  </r>
  <r>
    <x v="1"/>
    <x v="8"/>
    <s v=" "/>
    <m/>
    <m/>
    <x v="1"/>
    <m/>
    <m/>
    <m/>
    <m/>
  </r>
  <r>
    <x v="1"/>
    <x v="8"/>
    <s v="group "/>
    <s v=" "/>
    <s v=" mean of mean fluo "/>
    <x v="2"/>
    <s v=" mean of total fluo "/>
    <s v=" SD total fluo "/>
    <s v=" n fluorescent "/>
    <s v=" n total"/>
  </r>
  <r>
    <x v="10"/>
    <x v="9"/>
    <s v="F:\images\20210610\plaque 1/@10 Atrazine 2.5 mg_L/ "/>
    <s v=" "/>
    <s v=" 64.8388 "/>
    <x v="12"/>
    <s v=" 283687.75 "/>
    <s v=" 327883.9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610\plaque 1/@11 Atrazine 5 mg_L/A11_01.tif "/>
    <s v=" 735.4164 "/>
    <s v=" 64.7353 "/>
    <x v="0"/>
    <n v="47607"/>
    <m/>
    <m/>
    <m/>
  </r>
  <r>
    <x v="11"/>
    <x v="0"/>
    <s v="F:\images\20210610\plaque 1/@11 Atrazine 5 mg_L/A11_02.tif "/>
    <s v=" 821.936 "/>
    <s v=" 64.4211 "/>
    <x v="0"/>
    <n v="52950"/>
    <m/>
    <m/>
    <m/>
  </r>
  <r>
    <x v="11"/>
    <x v="0"/>
    <s v="F:\images\20210610\plaque 1/@11 Atrazine 5 mg_L/A11_03.tif "/>
    <s v=" 908.4556 "/>
    <s v=" 63.8333 "/>
    <x v="0"/>
    <n v="57990"/>
    <m/>
    <m/>
    <m/>
  </r>
  <r>
    <x v="11"/>
    <x v="1"/>
    <s v="F:\images\20210610\plaque 1/@11 Atrazine 5 mg_L/B11_01.tif "/>
    <s v=" 454.2278 "/>
    <s v=" 64.2857 "/>
    <x v="0"/>
    <n v="29200"/>
    <m/>
    <m/>
    <m/>
  </r>
  <r>
    <x v="11"/>
    <x v="1"/>
    <s v="F:\images\20210610\plaque 1/@11 Atrazine 5 mg_L/B11_02.tif "/>
    <s v=" 1925.0606 "/>
    <s v=" 65.4831 "/>
    <x v="0"/>
    <n v="126059"/>
    <m/>
    <m/>
    <m/>
  </r>
  <r>
    <x v="11"/>
    <x v="1"/>
    <s v="F:\images\20210610\plaque 1/@11 Atrazine 5 mg_L/B11_03.tif "/>
    <s v=" 519.1175 "/>
    <s v=" 63.8333 "/>
    <x v="0"/>
    <n v="33137"/>
    <m/>
    <m/>
    <m/>
  </r>
  <r>
    <x v="11"/>
    <x v="2"/>
    <s v="F:\images\20210610\plaque 1/@11 Atrazine 5 mg_L/C11_01.tif "/>
    <s v=" 886.8257 "/>
    <s v=" 66.1707 "/>
    <x v="0"/>
    <n v="58682"/>
    <m/>
    <m/>
    <m/>
  </r>
  <r>
    <x v="11"/>
    <x v="2"/>
    <s v="F:\images\20210610\plaque 1/@11 Atrazine 5 mg_L/C11_02.tif "/>
    <s v=" 1232.904 "/>
    <s v=" 64.7719 "/>
    <x v="0"/>
    <n v="79858"/>
    <m/>
    <m/>
    <m/>
  </r>
  <r>
    <x v="11"/>
    <x v="2"/>
    <s v="F:\images\20210610\plaque 1/@11 Atrazine 5 mg_L/C11_03.tif "/>
    <s v=" 259.5587 "/>
    <n v="63"/>
    <x v="0"/>
    <n v="16352"/>
    <m/>
    <m/>
    <m/>
  </r>
  <r>
    <x v="11"/>
    <x v="3"/>
    <s v="F:\images\20210610\plaque 1/@11 Atrazine 5 mg_L/D11_01.tif "/>
    <s v=" 627.2669 "/>
    <s v=" 63.2414 "/>
    <x v="0"/>
    <n v="39669"/>
    <m/>
    <m/>
    <m/>
  </r>
  <r>
    <x v="11"/>
    <x v="3"/>
    <s v="F:\images\20210610\plaque 1/@11 Atrazine 5 mg_L/D11_02.tif "/>
    <s v=" 324.4484 "/>
    <s v=" 63.3333 "/>
    <x v="0"/>
    <n v="20548"/>
    <m/>
    <m/>
    <m/>
  </r>
  <r>
    <x v="11"/>
    <x v="3"/>
    <s v="F:\images\20210610\plaque 1/@11 Atrazine 5 mg_L/D11_03.tif "/>
    <s v=" 7938.1713 "/>
    <s v=" 70.297 "/>
    <x v="0"/>
    <n v="558030"/>
    <m/>
    <m/>
    <m/>
  </r>
  <r>
    <x v="11"/>
    <x v="4"/>
    <s v="F:\images\20210610\plaque 1/@11 Atrazine 5 mg_L/E11_01.tif "/>
    <s v=" 1752.0215 "/>
    <s v=" 63.8889 "/>
    <x v="0"/>
    <n v="111935"/>
    <m/>
    <m/>
    <m/>
  </r>
  <r>
    <x v="11"/>
    <x v="4"/>
    <s v="F:\images\20210610\plaque 1/@11 Atrazine 5 mg_L/E11_02.tif "/>
    <s v=" 713.7865 "/>
    <s v=" 65.9091 "/>
    <x v="0"/>
    <n v="47045"/>
    <m/>
    <m/>
    <m/>
  </r>
  <r>
    <x v="11"/>
    <x v="4"/>
    <s v="F:\images\20210610\plaque 1/@11 Atrazine 5 mg_L/E11_03.tif "/>
    <s v=" 3071.445 "/>
    <s v=" 66.3451 "/>
    <x v="0"/>
    <n v="203775"/>
    <m/>
    <m/>
    <m/>
  </r>
  <r>
    <x v="11"/>
    <x v="5"/>
    <s v="F:\images\20210610\plaque 1/@11 Atrazine 5 mg_L/F11_01.tif "/>
    <s v=" 12956.3069 "/>
    <s v=" 90.7012 "/>
    <x v="0"/>
    <n v="1175152"/>
    <m/>
    <m/>
    <m/>
  </r>
  <r>
    <x v="11"/>
    <x v="5"/>
    <s v="F:\images\20210610\plaque 1/@11 Atrazine 5 mg_L/F11_02.tif "/>
    <s v=" 13540.314 "/>
    <s v=" 88.9105 "/>
    <x v="0"/>
    <n v="1203877"/>
    <m/>
    <m/>
    <m/>
  </r>
  <r>
    <x v="11"/>
    <x v="5"/>
    <s v="F:\images\20210610\plaque 1/@11 Atrazine 5 mg_L/F11_03.tif "/>
    <s v=" 11658.5132 "/>
    <s v=" 79.2505 "/>
    <x v="0"/>
    <n v="923943"/>
    <m/>
    <m/>
    <m/>
  </r>
  <r>
    <x v="11"/>
    <x v="6"/>
    <s v="F:\images\20210610\plaque 1/@11 Atrazine 5 mg_L/G11_01.tif "/>
    <s v=" 497.4876 "/>
    <s v=" 62.6522 "/>
    <x v="0"/>
    <n v="31169"/>
    <m/>
    <m/>
    <m/>
  </r>
  <r>
    <x v="11"/>
    <x v="6"/>
    <s v="F:\images\20210610\plaque 1/@11 Atrazine 5 mg_L/G11_02.tif "/>
    <s v=" 367.7082 "/>
    <n v="67"/>
    <x v="0"/>
    <n v="24636"/>
    <m/>
    <m/>
    <m/>
  </r>
  <r>
    <x v="11"/>
    <x v="6"/>
    <s v="F:\images\20210610\plaque 1/@11 Atrazine 5 mg_L/G11_03.tif "/>
    <s v=" 584.0072 "/>
    <s v=" 63.5556 "/>
    <x v="0"/>
    <n v="37117"/>
    <m/>
    <m/>
    <m/>
  </r>
  <r>
    <x v="11"/>
    <x v="7"/>
    <s v="F:\images\20210610\plaque 1/@11 Atrazine 5 mg_L/H11_01.tif "/>
    <s v=" 1427.573 "/>
    <s v=" 62.7576 "/>
    <x v="0"/>
    <n v="89591"/>
    <m/>
    <m/>
    <m/>
  </r>
  <r>
    <x v="11"/>
    <x v="7"/>
    <s v="F:\images\20210610\plaque 1/@11 Atrazine 5 mg_L/H11_02.tif "/>
    <s v=" 14145.9511 "/>
    <s v=" 75.5627 "/>
    <x v="0"/>
    <n v="1068906"/>
    <m/>
    <m/>
    <m/>
  </r>
  <r>
    <x v="11"/>
    <x v="7"/>
    <s v="F:\images\20210610\plaque 1/@11 Atrazine 5 mg_L/H11_03.tif "/>
    <s v=" 13042.8265 "/>
    <s v=" 88.0547 "/>
    <x v="0"/>
    <n v="1148483"/>
    <m/>
    <m/>
    <m/>
  </r>
  <r>
    <x v="1"/>
    <x v="8"/>
    <s v=" "/>
    <m/>
    <m/>
    <x v="1"/>
    <m/>
    <m/>
    <m/>
    <m/>
  </r>
  <r>
    <x v="1"/>
    <x v="8"/>
    <s v="group "/>
    <s v=" "/>
    <s v=" mean of mean fluo "/>
    <x v="2"/>
    <s v=" mean of total fluo "/>
    <s v=" SD total fluo "/>
    <s v=" n fluorescent "/>
    <s v=" n total"/>
  </r>
  <r>
    <x v="11"/>
    <x v="9"/>
    <s v="F:\images\20210610\plaque 1/@11 Atrazine 5 mg_L/ "/>
    <s v=" "/>
    <s v=" 68.8331 "/>
    <x v="13"/>
    <s v=" 299404.625 "/>
    <s v=" 43793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610\plaque 1/@12 Atrazine 10 mg_L/A12_01.tif "/>
    <s v=" 10339.0896 "/>
    <s v=" 83.4351 "/>
    <x v="0"/>
    <n v="862643"/>
    <m/>
    <m/>
    <m/>
  </r>
  <r>
    <x v="12"/>
    <x v="0"/>
    <s v="F:\images\20210610\plaque 1/@12 Atrazine 10 mg_L/A12_02.tif "/>
    <s v=" 8716.8475 "/>
    <s v=" 74.7792 "/>
    <x v="0"/>
    <n v="651839"/>
    <m/>
    <m/>
    <m/>
  </r>
  <r>
    <x v="12"/>
    <x v="0"/>
    <s v="F:\images\20210610\plaque 1/@12 Atrazine 10 mg_L/A12_03.tif "/>
    <s v=" 237.9288 "/>
    <s v=" 63.7273 "/>
    <x v="0"/>
    <n v="15163"/>
    <m/>
    <m/>
    <m/>
  </r>
  <r>
    <x v="12"/>
    <x v="1"/>
    <s v="F:\images\20210610\plaque 1/@12 Atrazine 10 mg_L/B12_01- exclu.tif"/>
    <m/>
    <m/>
    <x v="1"/>
    <m/>
    <m/>
    <m/>
    <m/>
  </r>
  <r>
    <x v="12"/>
    <x v="1"/>
    <s v="F:\images\20210610\plaque 1/@12 Atrazine 10 mg_L/B12_02.tif "/>
    <s v=" 7008.0859 "/>
    <s v=" 66.8457 "/>
    <x v="0"/>
    <n v="468460"/>
    <m/>
    <m/>
    <m/>
  </r>
  <r>
    <x v="12"/>
    <x v="1"/>
    <s v="F:\images\20210610\plaque 1/@12 Atrazine 10 mg_L/B12_03.tif "/>
    <s v=" 8630.328 "/>
    <s v=" 74.0802 "/>
    <x v="0"/>
    <n v="639336"/>
    <m/>
    <m/>
    <m/>
  </r>
  <r>
    <x v="12"/>
    <x v="2"/>
    <s v="F:\images\20210610\plaque 1/@12 Atrazine 10 mg_L/C12_01.tif "/>
    <s v=" 2660.477 "/>
    <s v=" 66.1382 "/>
    <x v="0"/>
    <n v="175959"/>
    <m/>
    <m/>
    <m/>
  </r>
  <r>
    <x v="12"/>
    <x v="2"/>
    <s v="F:\images\20210610\plaque 1/@12 Atrazine 10 mg_L/C12_02.tif "/>
    <s v=" 3871.7511 "/>
    <s v=" 68.2402 "/>
    <x v="0"/>
    <n v="264209"/>
    <m/>
    <m/>
    <m/>
  </r>
  <r>
    <x v="12"/>
    <x v="2"/>
    <s v="F:\images\20210610\plaque 1/@12 Atrazine 10 mg_L/C12_03.tif "/>
    <s v=" 7137.8652 "/>
    <s v=" 72.3455 "/>
    <x v="0"/>
    <n v="516392"/>
    <m/>
    <m/>
    <m/>
  </r>
  <r>
    <x v="12"/>
    <x v="3"/>
    <s v="F:\images\20210610\plaque 1/@12 Atrazine 10 mg_L/D12_01.tif "/>
    <s v=" 5948.221 "/>
    <s v=" 75.4364 "/>
    <x v="0"/>
    <n v="448712"/>
    <m/>
    <m/>
    <m/>
  </r>
  <r>
    <x v="12"/>
    <x v="3"/>
    <s v="F:\images\20210610\plaque 1/@12 Atrazine 10 mg_L/D12_02.tif "/>
    <s v=" 9171.0753 "/>
    <s v=" 70.7052 "/>
    <x v="0"/>
    <n v="648443"/>
    <m/>
    <m/>
    <m/>
  </r>
  <r>
    <x v="12"/>
    <x v="3"/>
    <s v="F:\images\20210610\plaque 1/@12 Atrazine 10 mg_L/D12_03.tif "/>
    <s v=" 3525.6728 "/>
    <s v=" 70.2147 "/>
    <x v="0"/>
    <n v="247554"/>
    <m/>
    <m/>
    <m/>
  </r>
  <r>
    <x v="12"/>
    <x v="4"/>
    <s v="F:\images\20210610\plaque 1/@12 Atrazine 10 mg_L/E12_01- exclu.tif"/>
    <m/>
    <m/>
    <x v="1"/>
    <m/>
    <m/>
    <m/>
    <m/>
  </r>
  <r>
    <x v="12"/>
    <x v="4"/>
    <s v="F:\images\20210610\plaque 1/@12 Atrazine 10 mg_L/E12_02.tif "/>
    <s v=" 4477.3882 "/>
    <s v=" 67.3092 "/>
    <x v="0"/>
    <n v="301369"/>
    <m/>
    <m/>
    <m/>
  </r>
  <r>
    <x v="12"/>
    <x v="4"/>
    <s v="F:\images\20210610\plaque 1/@12 Atrazine 10 mg_L/E12_03.tif "/>
    <s v=" 3741.9718 "/>
    <s v=" 68.2023 "/>
    <x v="0"/>
    <n v="255211"/>
    <m/>
    <m/>
    <m/>
  </r>
  <r>
    <x v="12"/>
    <x v="5"/>
    <s v="F:\images\20210610\plaque 1/@12 Atrazine 10 mg_L/F12_01.tif "/>
    <s v=" 3460.7831 "/>
    <s v=" 64.5375 "/>
    <x v="0"/>
    <n v="223350"/>
    <m/>
    <m/>
    <m/>
  </r>
  <r>
    <x v="12"/>
    <x v="5"/>
    <s v="F:\images\20210610\plaque 1/@12 Atrazine 10 mg_L/F12_02.tif "/>
    <s v=" 1925.0606 "/>
    <s v=" 63.5843 "/>
    <x v="0"/>
    <n v="122404"/>
    <m/>
    <m/>
    <m/>
  </r>
  <r>
    <x v="12"/>
    <x v="5"/>
    <s v="F:\images\20210610\plaque 1/@12 Atrazine 10 mg_L/F12_03.tif "/>
    <s v=" 540.7474 "/>
    <s v=" 62.96 "/>
    <x v="0"/>
    <n v="34045"/>
    <m/>
    <m/>
    <m/>
  </r>
  <r>
    <x v="12"/>
    <x v="6"/>
    <s v="F:\images\20210610\plaque 1/@12 Atrazine 10 mg_L/G12_01.tif "/>
    <s v=" 11009.6164 "/>
    <s v=" 82.0668 "/>
    <x v="0"/>
    <n v="903524"/>
    <m/>
    <m/>
    <m/>
  </r>
  <r>
    <x v="12"/>
    <x v="6"/>
    <s v="F:\images\20210610\plaque 1/@12 Atrazine 10 mg_L/G12_02.tif "/>
    <s v=" 12112.741 "/>
    <s v=" 91.7036 "/>
    <x v="0"/>
    <n v="1110782"/>
    <m/>
    <m/>
    <m/>
  </r>
  <r>
    <x v="12"/>
    <x v="6"/>
    <s v="F:\images\20210610\plaque 1/@12 Atrazine 10 mg_L/G12_03.tif "/>
    <s v=" 12653.4884 "/>
    <s v=" 96.0444 "/>
    <x v="0"/>
    <n v="1215297"/>
    <m/>
    <m/>
    <m/>
  </r>
  <r>
    <x v="12"/>
    <x v="7"/>
    <s v="F:\images\20210610\plaque 1/@12 Atrazine 10 mg_L/H12_01.tif "/>
    <s v=" 281.1886 "/>
    <s v=" 65.5385 "/>
    <x v="0"/>
    <n v="18429"/>
    <m/>
    <m/>
    <m/>
  </r>
  <r>
    <x v="12"/>
    <x v="7"/>
    <s v="F:\images\20210610\plaque 1/@12 Atrazine 10 mg_L/H12_02.tif "/>
    <s v=" 389.3381 "/>
    <s v=" 67.3333 "/>
    <x v="0"/>
    <n v="26215"/>
    <m/>
    <m/>
    <m/>
  </r>
  <r>
    <x v="12"/>
    <x v="7"/>
    <s v="F:\images\20210610\plaque 1/@12 Atrazine 10 mg_L/H12_03.tif "/>
    <s v=" 173.0392 "/>
    <s v=" 63.25 "/>
    <x v="0"/>
    <n v="10945"/>
    <m/>
    <m/>
    <m/>
  </r>
  <r>
    <x v="1"/>
    <x v="8"/>
    <s v=" "/>
    <m/>
    <m/>
    <x v="1"/>
    <m/>
    <m/>
    <m/>
    <m/>
  </r>
  <r>
    <x v="1"/>
    <x v="8"/>
    <s v="group "/>
    <s v=" "/>
    <s v=" mean of mean fluo "/>
    <x v="2"/>
    <s v=" mean of total fluo "/>
    <s v=" SD total fluo "/>
    <s v=" n fluorescent "/>
    <s v=" n total"/>
  </r>
  <r>
    <x v="12"/>
    <x v="9"/>
    <s v="F:\images\20210610\plaque 1/@12 Atrazine 10 mg_L/ "/>
    <s v=" "/>
    <s v=" 71.1451 "/>
    <x v="14"/>
    <s v=" 383602.5 "/>
    <s v=" 365213.43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610\plaque 2/@01 TESTO 30/A1_01.tif "/>
    <s v=" 6272.6694 "/>
    <s v=" 64.4414 "/>
    <x v="0"/>
    <n v="404219"/>
    <m/>
    <m/>
    <m/>
  </r>
  <r>
    <x v="13"/>
    <x v="0"/>
    <s v="F:\images\20210610\plaque 2/@01 TESTO 30/A1_02.tif "/>
    <s v=" 5861.7014 "/>
    <s v=" 64.5351 "/>
    <x v="0"/>
    <n v="378285"/>
    <m/>
    <m/>
    <m/>
  </r>
  <r>
    <x v="13"/>
    <x v="0"/>
    <s v="F:\images\20210610\plaque 2/@01 TESTO 30/A1_03.tif "/>
    <s v=" 6013.1107 "/>
    <s v=" 64.4137 "/>
    <x v="0"/>
    <n v="387327"/>
    <m/>
    <m/>
    <m/>
  </r>
  <r>
    <x v="13"/>
    <x v="1"/>
    <s v="F:\images\20210610\plaque 2/@01 TESTO 30/B1_01.tif "/>
    <s v=" 8998.0362 "/>
    <s v=" 65.2957 "/>
    <x v="0"/>
    <n v="587533"/>
    <m/>
    <m/>
    <m/>
  </r>
  <r>
    <x v="13"/>
    <x v="1"/>
    <s v="F:\images\20210610\plaque 2/@01 TESTO 30/B1_02.tif "/>
    <s v=" 14340.6201 "/>
    <s v=" 65.7783 "/>
    <x v="0"/>
    <n v="943301"/>
    <m/>
    <m/>
    <m/>
  </r>
  <r>
    <x v="13"/>
    <x v="1"/>
    <s v="F:\images\20210610\plaque 2/@01 TESTO 30/B1_03.tif "/>
    <s v=" 12999.5667 "/>
    <s v=" 64.817 "/>
    <x v="0"/>
    <n v="842593"/>
    <m/>
    <m/>
    <m/>
  </r>
  <r>
    <x v="13"/>
    <x v="2"/>
    <s v="F:\images\20210610\plaque 2/@01 TESTO 30/C1_01.tif "/>
    <s v=" 43130.0099 "/>
    <s v=" 72.6555 "/>
    <x v="0"/>
    <n v="3133631"/>
    <m/>
    <m/>
    <m/>
  </r>
  <r>
    <x v="13"/>
    <x v="2"/>
    <s v="F:\images\20210610\plaque 2/@01 TESTO 30/C1_02.tif "/>
    <s v=" 41421.2482 "/>
    <s v=" 70.9264 "/>
    <x v="0"/>
    <n v="2937859"/>
    <m/>
    <m/>
    <m/>
  </r>
  <r>
    <x v="13"/>
    <x v="2"/>
    <s v="F:\images\20210610\plaque 2/@01 TESTO 30/C1_03.tif "/>
    <s v=" 40231.604 "/>
    <s v=" 72.1591 "/>
    <x v="0"/>
    <n v="2903078"/>
    <m/>
    <m/>
    <m/>
  </r>
  <r>
    <x v="13"/>
    <x v="3"/>
    <s v="F:\images\20210610\plaque 2/@01 TESTO 30/D1_01.tif "/>
    <s v=" 19856.2433 "/>
    <s v=" 66.3747 "/>
    <x v="0"/>
    <n v="1317953"/>
    <m/>
    <m/>
    <m/>
  </r>
  <r>
    <x v="13"/>
    <x v="3"/>
    <s v="F:\images\20210610\plaque 2/@01 TESTO 30/D1_02.tif "/>
    <s v=" 21521.7452 "/>
    <s v=" 66.4945 "/>
    <x v="0"/>
    <n v="1431077"/>
    <m/>
    <m/>
    <m/>
  </r>
  <r>
    <x v="13"/>
    <x v="3"/>
    <s v="F:\images\20210610\plaque 2/@01 TESTO 30/D1_03.tif "/>
    <s v=" 20396.9906 "/>
    <s v=" 66.3075 "/>
    <x v="0"/>
    <n v="1352474"/>
    <m/>
    <m/>
    <m/>
  </r>
  <r>
    <x v="13"/>
    <x v="4"/>
    <s v="F:\images\20210610\plaque 2/@01 TESTO 30/E1_01.tif "/>
    <s v=" 49316.1598 "/>
    <s v=" 72.9912 "/>
    <x v="0"/>
    <n v="3599647"/>
    <m/>
    <m/>
    <m/>
  </r>
  <r>
    <x v="13"/>
    <x v="4"/>
    <s v="F:\images\20210610\plaque 2/@01 TESTO 30/E1_02.tif "/>
    <s v=" 8760.1073 "/>
    <s v=" 64.1951 "/>
    <x v="0"/>
    <n v="562356"/>
    <m/>
    <m/>
    <m/>
  </r>
  <r>
    <x v="13"/>
    <x v="4"/>
    <s v="F:\images\20210610\plaque 2/@01 TESTO 30/E1_03.tif "/>
    <s v=" 29113.8382 "/>
    <s v=" 80.0111 "/>
    <x v="0"/>
    <n v="2329432"/>
    <m/>
    <m/>
    <m/>
  </r>
  <r>
    <x v="13"/>
    <x v="5"/>
    <s v="F:\images\20210610\plaque 2/@01 TESTO 30/F1_01.tif "/>
    <s v=" 37917.2053 "/>
    <s v=" 69.1169 "/>
    <x v="0"/>
    <n v="2620721"/>
    <m/>
    <m/>
    <m/>
  </r>
  <r>
    <x v="13"/>
    <x v="5"/>
    <s v="F:\images\20210610\plaque 2/@01 TESTO 30/F1_02.tif "/>
    <s v=" 28140.4929 "/>
    <s v=" 67.7817 "/>
    <x v="0"/>
    <n v="1907411"/>
    <m/>
    <m/>
    <m/>
  </r>
  <r>
    <x v="13"/>
    <x v="5"/>
    <s v="F:\images\20210610\plaque 2/@01 TESTO 30/F1_03.tif "/>
    <s v=" 36230.0735 "/>
    <s v=" 69.1725 "/>
    <x v="0"/>
    <n v="2506126"/>
    <m/>
    <m/>
    <m/>
  </r>
  <r>
    <x v="13"/>
    <x v="6"/>
    <s v="F:\images\20210610\plaque 2/@01 TESTO 30/G1_01.tif "/>
    <s v=" 20202.3216 "/>
    <s v=" 66.1306 "/>
    <x v="0"/>
    <n v="1335992"/>
    <m/>
    <m/>
    <m/>
  </r>
  <r>
    <x v="13"/>
    <x v="6"/>
    <s v="F:\images\20210610\plaque 2/@01 TESTO 30/G1_02.tif "/>
    <s v=" 15335.5953 "/>
    <s v=" 65.2948 "/>
    <x v="0"/>
    <n v="1001334"/>
    <m/>
    <m/>
    <m/>
  </r>
  <r>
    <x v="13"/>
    <x v="6"/>
    <s v="F:\images\20210610\plaque 2/@01 TESTO 30/G1_03.tif "/>
    <s v=" 19315.4959 "/>
    <s v=" 65.6585 "/>
    <x v="0"/>
    <n v="1268226"/>
    <m/>
    <m/>
    <m/>
  </r>
  <r>
    <x v="13"/>
    <x v="7"/>
    <s v="F:\images\20210610\plaque 2/@01 TESTO 30/H1_01- exclu.tif"/>
    <m/>
    <m/>
    <x v="1"/>
    <m/>
    <m/>
    <m/>
    <m/>
  </r>
  <r>
    <x v="13"/>
    <x v="7"/>
    <s v="F:\images\20210610\plaque 2/@01 TESTO 30/H1_02.tif "/>
    <s v=" 48667.2629 "/>
    <s v=" 75.1636 "/>
    <x v="0"/>
    <n v="3658005"/>
    <m/>
    <m/>
    <m/>
  </r>
  <r>
    <x v="13"/>
    <x v="7"/>
    <s v="F:\images\20210610\plaque 2/@01 TESTO 30/H1_03.tif "/>
    <s v=" 47953.4764 "/>
    <s v=" 76.392 "/>
    <x v="0"/>
    <n v="3663261"/>
    <m/>
    <m/>
    <m/>
  </r>
  <r>
    <x v="1"/>
    <x v="8"/>
    <s v=" "/>
    <m/>
    <m/>
    <x v="1"/>
    <m/>
    <m/>
    <m/>
    <m/>
  </r>
  <r>
    <x v="1"/>
    <x v="8"/>
    <s v="group "/>
    <s v=" "/>
    <s v=" mean of mean fluo "/>
    <x v="2"/>
    <s v=" mean of total fluo "/>
    <s v=" SD total fluo "/>
    <s v=" n fluorescent "/>
    <s v=" n total"/>
  </r>
  <r>
    <x v="13"/>
    <x v="9"/>
    <s v="F:\images\20210610\plaque 2/@01 TESTO 30/ "/>
    <s v=" "/>
    <s v=" 68.3799 "/>
    <x v="15"/>
    <s v=" 1772613.21 "/>
    <n v="1109824"/>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610\plaque 2/@02 testo 30/A2_01.tif "/>
    <s v=" 41421.2482 "/>
    <s v=" 69.8324 "/>
    <x v="0"/>
    <n v="2892544"/>
    <m/>
    <m/>
    <m/>
  </r>
  <r>
    <x v="14"/>
    <x v="0"/>
    <s v="F:\images\20210610\plaque 2/@02 testo 30/A2_02.tif "/>
    <s v=" 35516.287 "/>
    <s v=" 67.2698 "/>
    <x v="0"/>
    <n v="2389173"/>
    <m/>
    <m/>
    <m/>
  </r>
  <r>
    <x v="14"/>
    <x v="0"/>
    <s v="F:\images\20210610\plaque 2/@02 testo 30/A2_03.tif "/>
    <s v=" 42762.3017 "/>
    <s v=" 68.1077 "/>
    <x v="0"/>
    <n v="2912444"/>
    <m/>
    <m/>
    <m/>
  </r>
  <r>
    <x v="14"/>
    <x v="1"/>
    <s v="F:\images\20210610\plaque 2/@02 testo 30/B2_01.tif "/>
    <s v=" 32228.543 "/>
    <s v=" 68.5611 "/>
    <x v="0"/>
    <n v="2209624"/>
    <m/>
    <m/>
    <m/>
  </r>
  <r>
    <x v="14"/>
    <x v="1"/>
    <s v="F:\images\20210610\plaque 2/@02 testo 30/B2_02.tif "/>
    <s v=" 28032.3434 "/>
    <s v=" 67.9498 "/>
    <x v="0"/>
    <n v="1904793"/>
    <m/>
    <m/>
    <m/>
  </r>
  <r>
    <x v="14"/>
    <x v="1"/>
    <s v="F:\images\20210610\plaque 2/@02 testo 30/B2_03.tif "/>
    <s v=" 32142.0234 "/>
    <s v=" 69.4455 "/>
    <x v="0"/>
    <n v="2232119"/>
    <m/>
    <m/>
    <m/>
  </r>
  <r>
    <x v="14"/>
    <x v="2"/>
    <s v="F:\images\20210610\plaque 2/@02 testo 30/C2_01.tif "/>
    <s v=" 50635.5833 "/>
    <s v=" 71.6882 "/>
    <x v="0"/>
    <n v="3629972"/>
    <m/>
    <m/>
    <m/>
  </r>
  <r>
    <x v="14"/>
    <x v="2"/>
    <s v="F:\images\20210610\plaque 2/@02 testo 30/C2_02- exclu.tif"/>
    <m/>
    <m/>
    <x v="1"/>
    <m/>
    <m/>
    <m/>
    <m/>
  </r>
  <r>
    <x v="14"/>
    <x v="2"/>
    <s v="F:\images\20210610\plaque 2/@02 testo 30/C2_03- exclu.tif"/>
    <m/>
    <m/>
    <x v="1"/>
    <m/>
    <m/>
    <m/>
    <m/>
  </r>
  <r>
    <x v="14"/>
    <x v="3"/>
    <s v="F:\images\20210610\plaque 2/@02 testo 30/D2_01.tif "/>
    <s v=" 40620.9421 "/>
    <s v=" 72.3456 "/>
    <x v="0"/>
    <n v="2938746"/>
    <m/>
    <m/>
    <m/>
  </r>
  <r>
    <x v="14"/>
    <x v="3"/>
    <s v="F:\images\20210610\plaque 2/@02 testo 30/D2_02.tif "/>
    <s v=" 28356.7919 "/>
    <s v=" 67.9161 "/>
    <x v="0"/>
    <n v="1925883"/>
    <m/>
    <m/>
    <m/>
  </r>
  <r>
    <x v="14"/>
    <x v="3"/>
    <s v="F:\images\20210610\plaque 2/@02 testo 30/D2_03.tif "/>
    <s v=" 26366.8416 "/>
    <s v=" 67.8778 "/>
    <x v="0"/>
    <n v="1789722"/>
    <m/>
    <m/>
    <m/>
  </r>
  <r>
    <x v="14"/>
    <x v="4"/>
    <s v="F:\images\20210610\plaque 2/@02 testo 30/E2_01.tif "/>
    <s v=" 11874.8122 "/>
    <s v=" 67.2113 "/>
    <x v="0"/>
    <n v="798121"/>
    <m/>
    <m/>
    <m/>
  </r>
  <r>
    <x v="14"/>
    <x v="4"/>
    <s v="F:\images\20210610\plaque 2/@02 testo 30/E2_02.tif "/>
    <s v=" 15746.5633 "/>
    <s v=" 67.3132 "/>
    <x v="0"/>
    <n v="1059951"/>
    <m/>
    <m/>
    <m/>
  </r>
  <r>
    <x v="14"/>
    <x v="4"/>
    <s v="F:\images\20210610\plaque 2/@02 testo 30/E2_03.tif "/>
    <s v=" 6142.8901 "/>
    <s v=" 66.0141 "/>
    <x v="0"/>
    <n v="405517"/>
    <m/>
    <m/>
    <m/>
  </r>
  <r>
    <x v="14"/>
    <x v="5"/>
    <s v="F:\images\20210610\plaque 2/@02 testo 30/F2_01.tif "/>
    <s v=" 4672.0572 "/>
    <s v=" 67.2593 "/>
    <x v="0"/>
    <n v="314239"/>
    <m/>
    <m/>
    <m/>
  </r>
  <r>
    <x v="14"/>
    <x v="5"/>
    <s v="F:\images\20210610\plaque 2/@02 testo 30/F2_02.tif "/>
    <s v=" 1319.4236 "/>
    <s v=" 63.6066 "/>
    <x v="0"/>
    <n v="83924"/>
    <m/>
    <m/>
    <m/>
  </r>
  <r>
    <x v="14"/>
    <x v="5"/>
    <s v="F:\images\20210610\plaque 2/@02 testo 30/F2_03.tif "/>
    <s v=" 2076.4699 "/>
    <s v=" 70.3229 "/>
    <x v="0"/>
    <n v="146023"/>
    <m/>
    <m/>
    <m/>
  </r>
  <r>
    <x v="14"/>
    <x v="6"/>
    <s v="F:\images\20210610\plaque 2/@02 testo 30/G2_01.tif "/>
    <s v=" 30909.1194 "/>
    <s v=" 66.2428 "/>
    <x v="0"/>
    <n v="2047507"/>
    <m/>
    <m/>
    <m/>
  </r>
  <r>
    <x v="14"/>
    <x v="6"/>
    <s v="F:\images\20210610\plaque 2/@02 testo 30/G2_02.tif "/>
    <s v=" 40145.0844 "/>
    <s v=" 69.5819 "/>
    <x v="0"/>
    <n v="2793371"/>
    <m/>
    <m/>
    <m/>
  </r>
  <r>
    <x v="14"/>
    <x v="6"/>
    <s v="F:\images\20210610\plaque 2/@02 testo 30/G2_03.tif "/>
    <s v=" 45530.9282 "/>
    <s v=" 71.1815 "/>
    <x v="0"/>
    <n v="3240959"/>
    <m/>
    <m/>
    <m/>
  </r>
  <r>
    <x v="14"/>
    <x v="7"/>
    <s v="F:\images\20210610\plaque 2/@02 testo 30/H2_01.tif "/>
    <s v=" 9668.5629 "/>
    <s v=" 64.9911 "/>
    <x v="0"/>
    <n v="628370"/>
    <m/>
    <m/>
    <m/>
  </r>
  <r>
    <x v="14"/>
    <x v="7"/>
    <s v="F:\images\20210610\plaque 2/@02 testo 30/H2_02.tif "/>
    <s v=" 10706.7978 "/>
    <s v=" 65.5455 "/>
    <x v="0"/>
    <n v="701782"/>
    <m/>
    <m/>
    <m/>
  </r>
  <r>
    <x v="14"/>
    <x v="7"/>
    <s v="F:\images\20210610\plaque 2/@02 testo 30/H2_03.tif "/>
    <s v=" 11507.1039 "/>
    <s v=" 65.7707 "/>
    <x v="0"/>
    <n v="756830"/>
    <m/>
    <m/>
    <m/>
  </r>
  <r>
    <x v="1"/>
    <x v="8"/>
    <s v=" "/>
    <m/>
    <m/>
    <x v="1"/>
    <m/>
    <m/>
    <m/>
    <m/>
  </r>
  <r>
    <x v="1"/>
    <x v="8"/>
    <s v="group "/>
    <s v=" "/>
    <s v=" mean of mean fluo "/>
    <x v="2"/>
    <s v=" mean of total fluo "/>
    <s v=" SD total fluo "/>
    <s v=" n fluorescent "/>
    <s v=" n total"/>
  </r>
  <r>
    <x v="14"/>
    <x v="9"/>
    <s v="F:\images\20210610\plaque 2/@02 testo 30/ "/>
    <s v=" "/>
    <s v=" 67.6244 "/>
    <x v="16"/>
    <s v=" 1584963.83 "/>
    <s v=" 1152014.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610\plaque 2/@03 testo +ee2/A3_01.tif "/>
    <s v=" 44211.5046 "/>
    <s v=" 71.7544 "/>
    <x v="0"/>
    <n v="3172370"/>
    <m/>
    <m/>
    <m/>
  </r>
  <r>
    <x v="15"/>
    <x v="0"/>
    <s v="F:\images\20210610\plaque 2/@03 testo +ee2/A3_02.tif "/>
    <s v=" 43930.316 "/>
    <s v=" 73.1108 "/>
    <x v="0"/>
    <n v="3211780"/>
    <m/>
    <m/>
    <m/>
  </r>
  <r>
    <x v="15"/>
    <x v="0"/>
    <s v="F:\images\20210610\plaque 2/@03 testo +ee2/A3_03.tif "/>
    <s v=" 45855.3766 "/>
    <s v=" 71.3769 "/>
    <x v="0"/>
    <n v="3273014"/>
    <m/>
    <m/>
    <m/>
  </r>
  <r>
    <x v="15"/>
    <x v="1"/>
    <s v="F:\images\20210610\plaque 2/@03 testo +ee2/B3_01.tif "/>
    <s v=" 8284.2496 "/>
    <s v=" 64.1854 "/>
    <x v="0"/>
    <n v="531728"/>
    <m/>
    <m/>
    <m/>
  </r>
  <r>
    <x v="15"/>
    <x v="1"/>
    <s v="F:\images\20210610\plaque 2/@03 testo +ee2/B3_02.tif "/>
    <s v=" 8500.5486 "/>
    <s v=" 63.9898 "/>
    <x v="0"/>
    <n v="543949"/>
    <m/>
    <m/>
    <m/>
  </r>
  <r>
    <x v="15"/>
    <x v="1"/>
    <s v="F:\images\20210610\plaque 2/@03 testo +ee2/B3_03.tif "/>
    <s v=" 15119.2963 "/>
    <s v=" 65.3863 "/>
    <x v="0"/>
    <n v="988594"/>
    <m/>
    <m/>
    <m/>
  </r>
  <r>
    <x v="15"/>
    <x v="2"/>
    <s v="F:\images\20210610\plaque 2/@03 testo +ee2/C3_01.tif "/>
    <s v=" 692.1566 "/>
    <s v=" 63.125 "/>
    <x v="0"/>
    <n v="43692"/>
    <m/>
    <m/>
    <m/>
  </r>
  <r>
    <x v="15"/>
    <x v="2"/>
    <s v="F:\images\20210610\plaque 2/@03 testo +ee2/C3_02.tif "/>
    <s v=" 757.0463 "/>
    <s v=" 64.4 "/>
    <x v="0"/>
    <n v="48754"/>
    <m/>
    <m/>
    <m/>
  </r>
  <r>
    <x v="15"/>
    <x v="2"/>
    <s v="F:\images\20210610\plaque 2/@03 testo +ee2/C3_03.tif "/>
    <s v=" 2076.4699 "/>
    <s v=" 65.7396 "/>
    <x v="0"/>
    <n v="136506"/>
    <m/>
    <m/>
    <m/>
  </r>
  <r>
    <x v="15"/>
    <x v="3"/>
    <s v="F:\images\20210610\plaque 2/@03 testo +ee2/D3_01.tif "/>
    <s v=" 27859.3043 "/>
    <s v=" 67.8913 "/>
    <x v="0"/>
    <n v="1891405"/>
    <m/>
    <m/>
    <m/>
  </r>
  <r>
    <x v="15"/>
    <x v="3"/>
    <s v="F:\images\20210610\plaque 2/@03 testo +ee2/D3_02.tif "/>
    <s v=" 28659.6104 "/>
    <s v=" 67.6309 "/>
    <x v="0"/>
    <n v="1938276"/>
    <m/>
    <m/>
    <m/>
  </r>
  <r>
    <x v="15"/>
    <x v="3"/>
    <s v="F:\images\20210610\plaque 2/@03 testo +ee2/D3_03.tif "/>
    <s v=" 27426.7064 "/>
    <s v=" 68.4732 "/>
    <x v="0"/>
    <n v="1877994"/>
    <m/>
    <m/>
    <m/>
  </r>
  <r>
    <x v="15"/>
    <x v="4"/>
    <s v="F:\images\20210610\plaque 2/@03 testo +ee2/E3_01.tif "/>
    <s v=" 39517.8175 "/>
    <s v=" 72.7827 "/>
    <x v="0"/>
    <n v="2876214"/>
    <m/>
    <m/>
    <m/>
  </r>
  <r>
    <x v="15"/>
    <x v="4"/>
    <s v="F:\images\20210610\plaque 2/@03 testo +ee2/E3_02.tif "/>
    <s v=" 42719.0419 "/>
    <s v=" 72.2638 "/>
    <x v="0"/>
    <n v="3087040"/>
    <m/>
    <m/>
    <m/>
  </r>
  <r>
    <x v="15"/>
    <x v="4"/>
    <s v="F:\images\20210610\plaque 2/@03 testo +ee2/E3_03.tif "/>
    <s v=" 28097.2331 "/>
    <s v=" 73.5142 "/>
    <x v="0"/>
    <n v="2065547"/>
    <m/>
    <m/>
    <m/>
  </r>
  <r>
    <x v="15"/>
    <x v="5"/>
    <s v="F:\images\20210610\plaque 2/@03 testo +ee2/F3_01.tif "/>
    <s v=" 45401.1488 "/>
    <s v=" 69.9495 "/>
    <x v="0"/>
    <n v="3175788"/>
    <m/>
    <m/>
    <m/>
  </r>
  <r>
    <x v="15"/>
    <x v="5"/>
    <s v="F:\images\20210610\plaque 2/@03 testo +ee2/F3_02.tif "/>
    <s v=" 40145.0844 "/>
    <s v=" 68.736 "/>
    <x v="0"/>
    <n v="2759412"/>
    <m/>
    <m/>
    <m/>
  </r>
  <r>
    <x v="15"/>
    <x v="5"/>
    <s v="F:\images\20210610\plaque 2/@03 testo +ee2/F3_03.tif "/>
    <s v=" 41702.4368 "/>
    <s v=" 71.3325 "/>
    <x v="0"/>
    <n v="2974738"/>
    <m/>
    <m/>
    <m/>
  </r>
  <r>
    <x v="15"/>
    <x v="6"/>
    <s v="F:\images\20210610\plaque 2/@03 testo +ee2/G3_01.tif "/>
    <s v=" 46093.3055 "/>
    <s v=" 72.5711 "/>
    <x v="0"/>
    <n v="3345042"/>
    <m/>
    <m/>
    <m/>
  </r>
  <r>
    <x v="15"/>
    <x v="6"/>
    <s v="F:\images\20210610\plaque 2/@03 testo +ee2/G3_02.tif "/>
    <s v=" 45141.5901 "/>
    <s v=" 73.2635 "/>
    <x v="0"/>
    <n v="3307233"/>
    <m/>
    <m/>
    <m/>
  </r>
  <r>
    <x v="15"/>
    <x v="6"/>
    <s v="F:\images\20210610\plaque 2/@03 testo +ee2/G3_03.tif "/>
    <s v=" 43865.4263 "/>
    <s v=" 75.2643 "/>
    <x v="0"/>
    <n v="3301501"/>
    <m/>
    <m/>
    <m/>
  </r>
  <r>
    <x v="15"/>
    <x v="7"/>
    <s v="F:\images\20210610\plaque 2/@03 testo +ee2/H3_01.tif "/>
    <s v=" 34694.351 "/>
    <s v=" 71.5075 "/>
    <x v="0"/>
    <n v="2480906"/>
    <m/>
    <m/>
    <m/>
  </r>
  <r>
    <x v="15"/>
    <x v="7"/>
    <s v="F:\images\20210610\plaque 2/@03 testo +ee2/H3_02.tif "/>
    <s v=" 35191.8386 "/>
    <s v=" 70.0811 "/>
    <x v="0"/>
    <n v="2466284"/>
    <m/>
    <m/>
    <m/>
  </r>
  <r>
    <x v="15"/>
    <x v="7"/>
    <s v="F:\images\20210610\plaque 2/@03 testo +ee2/H3_03.tif "/>
    <s v=" 36121.924 "/>
    <s v=" 70.6689 "/>
    <x v="0"/>
    <n v="2552695"/>
    <m/>
    <m/>
    <m/>
  </r>
  <r>
    <x v="1"/>
    <x v="8"/>
    <s v=" "/>
    <m/>
    <m/>
    <x v="1"/>
    <m/>
    <m/>
    <m/>
    <m/>
  </r>
  <r>
    <x v="1"/>
    <x v="8"/>
    <s v="group "/>
    <s v=" "/>
    <s v=" mean of mean fluo "/>
    <x v="2"/>
    <s v=" mean of total fluo "/>
    <s v=" SD total fluo "/>
    <s v=" n fluorescent "/>
    <s v=" n total"/>
  </r>
  <r>
    <x v="15"/>
    <x v="9"/>
    <s v="F:\images\20210610\plaque 2/@03 testo +ee2/ "/>
    <s v=" "/>
    <s v=" 69.5416 "/>
    <x v="17"/>
    <s v=" 2168769.25 "/>
    <s v=" 1161807.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610\plaque 2/@04 testo +fad/A4_01.tif "/>
    <s v=" 2444.1781 "/>
    <s v=" 65.8496 "/>
    <x v="0"/>
    <n v="160948"/>
    <m/>
    <m/>
    <m/>
  </r>
  <r>
    <x v="16"/>
    <x v="0"/>
    <s v="F:\images\20210610\plaque 2/@04 testo +fad/A4_02.tif "/>
    <s v=" 1838.541 "/>
    <s v=" 65.1059 "/>
    <x v="0"/>
    <n v="119700"/>
    <m/>
    <m/>
    <m/>
  </r>
  <r>
    <x v="16"/>
    <x v="0"/>
    <s v="F:\images\20210610\plaque 2/@04 testo +fad/A4_03.tif "/>
    <s v=" 2336.0286 "/>
    <s v=" 66.5926 "/>
    <x v="0"/>
    <n v="155562"/>
    <m/>
    <m/>
    <m/>
  </r>
  <r>
    <x v="16"/>
    <x v="1"/>
    <s v="F:\images\20210610\plaque 2/@04 testo +fad/B4_01.tif "/>
    <s v=" 6099.6303 "/>
    <s v=" 69.7801 "/>
    <x v="0"/>
    <n v="425633"/>
    <m/>
    <m/>
    <m/>
  </r>
  <r>
    <x v="16"/>
    <x v="1"/>
    <s v="F:\images\20210610\plaque 2/@04 testo +fad/B4_02.tif "/>
    <s v=" 7354.1642 "/>
    <s v=" 70.6059 "/>
    <x v="0"/>
    <n v="519247"/>
    <m/>
    <m/>
    <m/>
  </r>
  <r>
    <x v="16"/>
    <x v="1"/>
    <s v="F:\images\20210610\plaque 2/@04 testo +fad/B4_03.tif "/>
    <s v=" 1384.3133 "/>
    <s v=" 63.3906 "/>
    <x v="0"/>
    <n v="87752"/>
    <m/>
    <m/>
    <m/>
  </r>
  <r>
    <x v="16"/>
    <x v="2"/>
    <s v="F:\images\20210610\plaque 2/@04 testo +fad/C4_01.tif "/>
    <s v=" 713.7865 "/>
    <s v=" 62.5758 "/>
    <x v="0"/>
    <n v="44666"/>
    <m/>
    <m/>
    <m/>
  </r>
  <r>
    <x v="16"/>
    <x v="2"/>
    <s v="F:\images\20210610\plaque 2/@04 testo +fad/C4_02- exclu.tif"/>
    <m/>
    <m/>
    <x v="1"/>
    <m/>
    <m/>
    <m/>
    <m/>
  </r>
  <r>
    <x v="16"/>
    <x v="2"/>
    <s v="F:\images\20210610\plaque 2/@04 testo +fad/C4_03- exclu.tif"/>
    <m/>
    <m/>
    <x v="1"/>
    <m/>
    <m/>
    <m/>
    <m/>
  </r>
  <r>
    <x v="16"/>
    <x v="3"/>
    <s v="F:\images\20210610\plaque 2/@04 testo +fad/D4_01.tif "/>
    <s v=" 4434.1284 "/>
    <s v=" 66.1561 "/>
    <x v="0"/>
    <n v="293345"/>
    <m/>
    <m/>
    <m/>
  </r>
  <r>
    <x v="16"/>
    <x v="3"/>
    <s v="F:\images\20210610\plaque 2/@04 testo +fad/D4_02.tif "/>
    <s v=" 6726.8972 "/>
    <s v=" 68.9743 "/>
    <x v="0"/>
    <n v="463983"/>
    <m/>
    <m/>
    <m/>
  </r>
  <r>
    <x v="16"/>
    <x v="3"/>
    <s v="F:\images\20210610\plaque 2/@04 testo +fad/D4_03.tif "/>
    <s v=" 4001.5305 "/>
    <s v=" 69.6595 "/>
    <x v="0"/>
    <n v="278744"/>
    <m/>
    <m/>
    <m/>
  </r>
  <r>
    <x v="16"/>
    <x v="4"/>
    <s v="F:\images\20210610\plaque 2/@04 testo +fad/E4_01.tif "/>
    <s v=" 2638.8471 "/>
    <s v=" 63.2295 "/>
    <x v="0"/>
    <n v="166853"/>
    <m/>
    <m/>
    <m/>
  </r>
  <r>
    <x v="16"/>
    <x v="4"/>
    <s v="F:\images\20210610\plaque 2/@04 testo +fad/E4_02.tif "/>
    <s v=" 4217.8295 "/>
    <s v=" 69.4205 "/>
    <x v="0"/>
    <n v="292804"/>
    <m/>
    <m/>
    <m/>
  </r>
  <r>
    <x v="16"/>
    <x v="4"/>
    <s v="F:\images\20210610\plaque 2/@04 testo +fad/E4_03.tif "/>
    <s v=" 6597.1179 "/>
    <s v=" 71.9574 "/>
    <x v="0"/>
    <n v="474711"/>
    <m/>
    <m/>
    <m/>
  </r>
  <r>
    <x v="16"/>
    <x v="5"/>
    <s v="F:\images\20210610\plaque 2/@04 testo +fad/F4_01.tif "/>
    <s v=" 324.4484 "/>
    <s v=" 63.2667 "/>
    <x v="0"/>
    <n v="20527"/>
    <m/>
    <m/>
    <m/>
  </r>
  <r>
    <x v="16"/>
    <x v="5"/>
    <s v="F:\images\20210610\plaque 2/@04 testo +fad/F4_02.tif "/>
    <s v=" 454.2278 "/>
    <s v=" 61.7619 "/>
    <x v="0"/>
    <n v="28054"/>
    <m/>
    <m/>
    <m/>
  </r>
  <r>
    <x v="16"/>
    <x v="5"/>
    <s v="F:\images\20210610\plaque 2/@04 testo +fad/F4_03.tif "/>
    <s v=" 281.1886 "/>
    <s v=" 62.3077 "/>
    <x v="0"/>
    <n v="17520"/>
    <m/>
    <m/>
    <m/>
  </r>
  <r>
    <x v="16"/>
    <x v="6"/>
    <s v="F:\images\20210610\plaque 2/@04 testo +fad/G4_01.tif "/>
    <s v=" 346.0783 "/>
    <s v=" 62.875 "/>
    <x v="0"/>
    <n v="21760"/>
    <m/>
    <m/>
    <m/>
  </r>
  <r>
    <x v="16"/>
    <x v="6"/>
    <s v="F:\images\20210610\plaque 2/@04 testo +fad/G4_02- exclu.tif"/>
    <m/>
    <m/>
    <x v="1"/>
    <m/>
    <m/>
    <m/>
    <m/>
  </r>
  <r>
    <x v="16"/>
    <x v="6"/>
    <s v="F:\images\20210610\plaque 2/@04 testo +fad/G4_03.tif "/>
    <s v=" 497.4876 "/>
    <s v=" 64.2609 "/>
    <x v="0"/>
    <n v="31969"/>
    <m/>
    <m/>
    <m/>
  </r>
  <r>
    <x v="16"/>
    <x v="7"/>
    <s v="F:\images\20210610\plaque 2/@04 testo +fad/H4_01.tif "/>
    <s v=" 692.1566 "/>
    <s v=" 62.9688 "/>
    <x v="0"/>
    <n v="43584"/>
    <m/>
    <m/>
    <m/>
  </r>
  <r>
    <x v="16"/>
    <x v="7"/>
    <s v="F:\images\20210610\plaque 2/@04 testo +fad/H4_02.tif "/>
    <s v=" 302.8185 "/>
    <s v=" 62.6429 "/>
    <x v="0"/>
    <n v="18969"/>
    <m/>
    <m/>
    <m/>
  </r>
  <r>
    <x v="16"/>
    <x v="7"/>
    <s v="F:\images\20210610\plaque 2/@04 testo +fad/H4_03.tif "/>
    <s v=" 800.3061 "/>
    <s v=" 63.3514 "/>
    <x v="0"/>
    <n v="50700"/>
    <m/>
    <m/>
    <m/>
  </r>
  <r>
    <x v="1"/>
    <x v="8"/>
    <s v=" "/>
    <m/>
    <m/>
    <x v="1"/>
    <m/>
    <m/>
    <m/>
    <m/>
  </r>
  <r>
    <x v="1"/>
    <x v="8"/>
    <s v="group "/>
    <s v=" "/>
    <s v=" mean of mean fluo "/>
    <x v="2"/>
    <s v=" mean of total fluo "/>
    <s v=" SD total fluo "/>
    <s v=" n fluorescent "/>
    <s v=" n total"/>
  </r>
  <r>
    <x v="16"/>
    <x v="9"/>
    <s v="F:\images\20210610\plaque 2/@04 testo +fad/ "/>
    <s v=" "/>
    <s v=" 65.2568 "/>
    <x v="18"/>
    <s v=" 157896.333 "/>
    <s v=" 168664.4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610\plaque 2/@05 Atrazine 0.625 mg_L+testo/A5_01.tif "/>
    <s v=" 23554.9553 "/>
    <s v=" 68.8531 "/>
    <x v="0"/>
    <n v="1621831"/>
    <m/>
    <m/>
    <m/>
  </r>
  <r>
    <x v="17"/>
    <x v="0"/>
    <s v="F:\images\20210610\plaque 2/@05 Atrazine 0.625 mg_L+testo/A5_02.tif "/>
    <s v=" 29330.1371 "/>
    <s v=" 71.6187 "/>
    <x v="0"/>
    <n v="2100587"/>
    <m/>
    <m/>
    <m/>
  </r>
  <r>
    <x v="17"/>
    <x v="0"/>
    <s v="F:\images\20210610\plaque 2/@05 Atrazine 0.625 mg_L+testo/A5_03.tif "/>
    <s v=" 25198.8272 "/>
    <s v=" 71.7528 "/>
    <x v="0"/>
    <n v="1808086"/>
    <m/>
    <m/>
    <m/>
  </r>
  <r>
    <x v="17"/>
    <x v="1"/>
    <s v="F:\images\20210610\plaque 2/@05 Atrazine 0.625 mg_L+testo/B5_01.tif "/>
    <s v=" 27859.3043 "/>
    <s v=" 68.0815 "/>
    <x v="0"/>
    <n v="1896704"/>
    <m/>
    <m/>
    <m/>
  </r>
  <r>
    <x v="17"/>
    <x v="1"/>
    <s v="F:\images\20210610\plaque 2/@05 Atrazine 0.625 mg_L+testo/B5_02.tif "/>
    <s v=" 23317.0264 "/>
    <s v=" 67.2282 "/>
    <x v="0"/>
    <n v="1567562"/>
    <m/>
    <m/>
    <m/>
  </r>
  <r>
    <x v="17"/>
    <x v="1"/>
    <s v="F:\images\20210610\plaque 2/@05 Atrazine 0.625 mg_L+testo/B5_03.tif "/>
    <s v=" 20894.4782 "/>
    <s v=" 66.9814 "/>
    <x v="0"/>
    <n v="1399541"/>
    <m/>
    <m/>
    <m/>
  </r>
  <r>
    <x v="17"/>
    <x v="2"/>
    <s v="F:\images\20210610\plaque 2/@05 Atrazine 0.625 mg_L+testo/C5_01.tif "/>
    <s v=" 33980.5645 "/>
    <s v=" 68.1299 "/>
    <x v="0"/>
    <n v="2315091"/>
    <m/>
    <m/>
    <m/>
  </r>
  <r>
    <x v="17"/>
    <x v="2"/>
    <s v="F:\images\20210610\plaque 2/@05 Atrazine 0.625 mg_L+testo/C5_02.tif "/>
    <s v=" 27664.6352 "/>
    <s v=" 67.9273 "/>
    <x v="0"/>
    <n v="1879184"/>
    <m/>
    <m/>
    <m/>
  </r>
  <r>
    <x v="17"/>
    <x v="2"/>
    <s v="F:\images\20210610\plaque 2/@05 Atrazine 0.625 mg_L+testo/C5_03.tif "/>
    <s v=" 21738.0441 "/>
    <s v=" 66.5483 "/>
    <x v="0"/>
    <n v="1446629"/>
    <m/>
    <m/>
    <m/>
  </r>
  <r>
    <x v="17"/>
    <x v="3"/>
    <s v="F:\images\20210610\plaque 2/@05 Atrazine 0.625 mg_L+testo/D5_01.tif "/>
    <s v=" 16308.9406 "/>
    <s v=" 65.9934 "/>
    <x v="0"/>
    <n v="1076282"/>
    <m/>
    <m/>
    <m/>
  </r>
  <r>
    <x v="17"/>
    <x v="3"/>
    <s v="F:\images\20210610\plaque 2/@05 Atrazine 0.625 mg_L+testo/D5_02.tif "/>
    <s v=" 16892.9477 "/>
    <s v=" 65.9987 "/>
    <x v="0"/>
    <n v="1114913"/>
    <m/>
    <m/>
    <m/>
  </r>
  <r>
    <x v="17"/>
    <x v="3"/>
    <s v="F:\images\20210610\plaque 2/@05 Atrazine 0.625 mg_L+testo/D5_03.tif "/>
    <s v=" 14773.218 "/>
    <s v=" 67.4861 "/>
    <x v="0"/>
    <n v="996987"/>
    <m/>
    <m/>
    <m/>
  </r>
  <r>
    <x v="17"/>
    <x v="4"/>
    <s v="F:\images\20210610\plaque 2/@05 Atrazine 0.625 mg_L+testo/E5_01- exclu.tif"/>
    <m/>
    <m/>
    <x v="1"/>
    <m/>
    <m/>
    <m/>
    <m/>
  </r>
  <r>
    <x v="17"/>
    <x v="4"/>
    <s v="F:\images\20210610\plaque 2/@05 Atrazine 0.625 mg_L+testo/E5_02- exclu.tif"/>
    <m/>
    <m/>
    <x v="1"/>
    <m/>
    <m/>
    <m/>
    <m/>
  </r>
  <r>
    <x v="17"/>
    <x v="4"/>
    <s v="F:\images\20210610\plaque 2/@05 Atrazine 0.625 mg_L+testo/E5_03- exclu.tif"/>
    <m/>
    <m/>
    <x v="1"/>
    <m/>
    <m/>
    <m/>
    <m/>
  </r>
  <r>
    <x v="17"/>
    <x v="5"/>
    <s v="F:\images\20210610\plaque 2/@05 Atrazine 0.625 mg_L+testo/F5_01.tif "/>
    <s v=" 41680.8069 "/>
    <s v=" 69.4022 "/>
    <x v="0"/>
    <n v="2892739"/>
    <m/>
    <m/>
    <m/>
  </r>
  <r>
    <x v="17"/>
    <x v="5"/>
    <s v="F:\images\20210610\plaque 2/@05 Atrazine 0.625 mg_L+testo/F5_02.tif "/>
    <s v=" 39388.0381 "/>
    <s v=" 69.5502 "/>
    <x v="0"/>
    <n v="2739448"/>
    <m/>
    <m/>
    <m/>
  </r>
  <r>
    <x v="17"/>
    <x v="5"/>
    <s v="F:\images\20210610\plaque 2/@05 Atrazine 0.625 mg_L+testo/F5_03.tif "/>
    <s v=" 34997.1695 "/>
    <s v=" 69.1693 "/>
    <x v="0"/>
    <n v="2420731"/>
    <m/>
    <m/>
    <m/>
  </r>
  <r>
    <x v="17"/>
    <x v="6"/>
    <s v="F:\images\20210610\plaque 2/@05 Atrazine 0.625 mg_L+testo/G5_01.tif "/>
    <s v=" 7029.7158 "/>
    <s v=" 64.36 "/>
    <x v="0"/>
    <n v="452433"/>
    <m/>
    <m/>
    <m/>
  </r>
  <r>
    <x v="17"/>
    <x v="6"/>
    <s v="F:\images\20210610\plaque 2/@05 Atrazine 0.625 mg_L+testo/G5_02.tif "/>
    <s v=" 4953.2459 "/>
    <s v=" 64.2183 "/>
    <x v="0"/>
    <n v="318089"/>
    <m/>
    <m/>
    <m/>
  </r>
  <r>
    <x v="17"/>
    <x v="6"/>
    <s v="F:\images\20210610\plaque 2/@05 Atrazine 0.625 mg_L+testo/G5_03.tif "/>
    <s v=" 11442.2143 "/>
    <s v=" 66.0605 "/>
    <x v="0"/>
    <n v="755878"/>
    <m/>
    <m/>
    <m/>
  </r>
  <r>
    <x v="17"/>
    <x v="7"/>
    <s v="F:\images\20210610\plaque 2/@05 Atrazine 0.625 mg_L+testo/H5_01.tif "/>
    <s v=" 44254.7644 "/>
    <s v=" 71.8881 "/>
    <x v="0"/>
    <n v="3181390"/>
    <m/>
    <m/>
    <m/>
  </r>
  <r>
    <x v="17"/>
    <x v="7"/>
    <s v="F:\images\20210610\plaque 2/@05 Atrazine 0.625 mg_L+testo/H5_02.tif "/>
    <s v=" 42913.7109 "/>
    <s v=" 69.3987 "/>
    <x v="0"/>
    <n v="2978155"/>
    <m/>
    <m/>
    <m/>
  </r>
  <r>
    <x v="17"/>
    <x v="7"/>
    <s v="F:\images\20210610\plaque 2/@05 Atrazine 0.625 mg_L+testo/H5_03.tif "/>
    <s v=" 43627.4975 "/>
    <s v=" 68.53 "/>
    <x v="0"/>
    <n v="2989792"/>
    <m/>
    <m/>
    <m/>
  </r>
  <r>
    <x v="1"/>
    <x v="8"/>
    <s v=" "/>
    <m/>
    <m/>
    <x v="1"/>
    <m/>
    <m/>
    <m/>
    <m/>
  </r>
  <r>
    <x v="1"/>
    <x v="8"/>
    <s v="group "/>
    <s v=" "/>
    <s v=" mean of mean fluo "/>
    <x v="2"/>
    <s v=" mean of total fluo "/>
    <s v=" SD total fluo "/>
    <s v=" n fluorescent "/>
    <s v=" n total"/>
  </r>
  <r>
    <x v="17"/>
    <x v="9"/>
    <s v="F:\images\20210610\plaque 2/@05 Atrazine 0.625 mg_L+testo/ "/>
    <s v=" "/>
    <s v=" 68.3503 "/>
    <x v="19"/>
    <s v=" 1623037.92 "/>
    <s v=" 944013.1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610\plaque 2/@06  Atrazine 1.25 mg_L+testo/A6_01.tif "/>
    <s v=" 38868.9206 "/>
    <s v=" 75.2632 "/>
    <x v="0"/>
    <n v="2925400"/>
    <m/>
    <m/>
    <m/>
  </r>
  <r>
    <x v="18"/>
    <x v="0"/>
    <s v="F:\images\20210610\plaque 2/@06  Atrazine 1.25 mg_L+testo/A6_02.tif "/>
    <s v=" 34218.4933 "/>
    <s v=" 77.1492 "/>
    <x v="0"/>
    <n v="2639929"/>
    <m/>
    <m/>
    <m/>
  </r>
  <r>
    <x v="18"/>
    <x v="0"/>
    <s v="F:\images\20210610\plaque 2/@06  Atrazine 1.25 mg_L+testo/A6_03.tif "/>
    <s v=" 40339.7535 "/>
    <s v=" 74.7887 "/>
    <x v="0"/>
    <n v="3016959"/>
    <m/>
    <m/>
    <m/>
  </r>
  <r>
    <x v="18"/>
    <x v="1"/>
    <s v="F:\images\20210610\plaque 2/@06  Atrazine 1.25 mg_L+testo/B6_01.tif "/>
    <s v=" 49965.0566 "/>
    <s v=" 72.6052 "/>
    <x v="0"/>
    <n v="3627723"/>
    <m/>
    <m/>
    <m/>
  </r>
  <r>
    <x v="18"/>
    <x v="1"/>
    <s v="F:\images\20210610\plaque 2/@06  Atrazine 1.25 mg_L+testo/B6_02.tif "/>
    <s v=" 37030.3796 "/>
    <s v=" 74.3949 "/>
    <x v="0"/>
    <n v="2754870"/>
    <m/>
    <m/>
    <m/>
  </r>
  <r>
    <x v="18"/>
    <x v="1"/>
    <s v="F:\images\20210610\plaque 2/@06  Atrazine 1.25 mg_L+testo/B6_03.tif "/>
    <s v=" 37052.0095 "/>
    <s v=" 74.157 "/>
    <x v="0"/>
    <n v="2747667"/>
    <m/>
    <m/>
    <m/>
  </r>
  <r>
    <x v="18"/>
    <x v="2"/>
    <s v="F:\images\20210610\plaque 2/@06  Atrazine 1.25 mg_L+testo/C6_01.tif "/>
    <s v=" 49337.7896 "/>
    <s v=" 73.1271 "/>
    <x v="0"/>
    <n v="3607931"/>
    <m/>
    <m/>
    <m/>
  </r>
  <r>
    <x v="18"/>
    <x v="2"/>
    <s v="F:\images\20210610\plaque 2/@06  Atrazine 1.25 mg_L+testo/C6_02.tif "/>
    <s v=" 47153.1703 "/>
    <s v=" 73.7335 "/>
    <x v="0"/>
    <n v="3476768"/>
    <m/>
    <m/>
    <m/>
  </r>
  <r>
    <x v="18"/>
    <x v="2"/>
    <s v="F:\images\20210610\plaque 2/@06  Atrazine 1.25 mg_L+testo/C6_03.tif "/>
    <s v=" 44233.1345 "/>
    <s v=" 73.0108 "/>
    <x v="0"/>
    <n v="3229495"/>
    <m/>
    <m/>
    <m/>
  </r>
  <r>
    <x v="18"/>
    <x v="3"/>
    <s v="F:\images\20210610\plaque 2/@06  Atrazine 1.25 mg_L+testo/D6_01.tif "/>
    <s v=" 2292.7688 "/>
    <s v=" 63.2925 "/>
    <x v="0"/>
    <n v="145115"/>
    <m/>
    <m/>
    <m/>
  </r>
  <r>
    <x v="18"/>
    <x v="3"/>
    <s v="F:\images\20210610\plaque 2/@06  Atrazine 1.25 mg_L+testo/D6_02.tif "/>
    <s v=" 7397.424 "/>
    <s v=" 68.3041 "/>
    <x v="0"/>
    <n v="505274"/>
    <m/>
    <m/>
    <m/>
  </r>
  <r>
    <x v="18"/>
    <x v="3"/>
    <s v="F:\images\20210610\plaque 2/@06  Atrazine 1.25 mg_L+testo/D6_03.tif "/>
    <s v=" 2379.2884 "/>
    <s v=" 63.7182 "/>
    <x v="0"/>
    <n v="151604"/>
    <m/>
    <m/>
    <m/>
  </r>
  <r>
    <x v="18"/>
    <x v="4"/>
    <s v="F:\images\20210610\plaque 2/@06  Atrazine 1.25 mg_L+testo/E6_01.tif "/>
    <s v=" 42913.7109 "/>
    <s v=" 77.1492 "/>
    <x v="0"/>
    <n v="3310758"/>
    <m/>
    <m/>
    <m/>
  </r>
  <r>
    <x v="18"/>
    <x v="4"/>
    <s v="F:\images\20210610\plaque 2/@06  Atrazine 1.25 mg_L+testo/E6_02.tif "/>
    <s v=" 43735.6469 "/>
    <s v=" 76.1029 "/>
    <x v="0"/>
    <n v="3328408"/>
    <m/>
    <m/>
    <m/>
  </r>
  <r>
    <x v="18"/>
    <x v="4"/>
    <s v="F:\images\20210610\plaque 2/@06  Atrazine 1.25 mg_L+testo/E6_03.tif "/>
    <s v=" 41983.6255 "/>
    <s v=" 78.1432 "/>
    <x v="0"/>
    <n v="3280736"/>
    <m/>
    <m/>
    <m/>
  </r>
  <r>
    <x v="18"/>
    <x v="5"/>
    <s v="F:\images\20210610\plaque 2/@06  Atrazine 1.25 mg_L+testo/F6_01.tif "/>
    <s v=" 24117.3325 "/>
    <s v=" 67.2099 "/>
    <x v="0"/>
    <n v="1620923"/>
    <m/>
    <m/>
    <m/>
  </r>
  <r>
    <x v="18"/>
    <x v="5"/>
    <s v="F:\images\20210610\plaque 2/@06  Atrazine 1.25 mg_L+testo/F6_02.tif "/>
    <s v=" 18082.5919 "/>
    <s v=" 66.2356 "/>
    <x v="0"/>
    <n v="1197712"/>
    <m/>
    <m/>
    <m/>
  </r>
  <r>
    <x v="18"/>
    <x v="5"/>
    <s v="F:\images\20210610\plaque 2/@06  Atrazine 1.25 mg_L+testo/F6_03.tif "/>
    <s v=" 25306.9767 "/>
    <s v=" 67.6453 "/>
    <x v="0"/>
    <n v="1711898"/>
    <m/>
    <m/>
    <m/>
  </r>
  <r>
    <x v="18"/>
    <x v="6"/>
    <s v="F:\images\20210610\plaque 2/@06  Atrazine 1.25 mg_L+testo/G6_01.tif "/>
    <s v=" 22624.8698 "/>
    <s v=" 67.2486 "/>
    <x v="0"/>
    <n v="1521490"/>
    <m/>
    <m/>
    <m/>
  </r>
  <r>
    <x v="18"/>
    <x v="6"/>
    <s v="F:\images\20210610\plaque 2/@06  Atrazine 1.25 mg_L+testo/G6_02.tif "/>
    <s v=" 20418.6205 "/>
    <s v=" 67.3061 "/>
    <x v="0"/>
    <n v="1374299"/>
    <m/>
    <m/>
    <m/>
  </r>
  <r>
    <x v="18"/>
    <x v="6"/>
    <s v="F:\images\20210610\plaque 2/@06  Atrazine 1.25 mg_L+testo/G6_03.tif "/>
    <s v=" 24831.119 "/>
    <s v=" 70.0296 "/>
    <x v="0"/>
    <n v="1738914"/>
    <m/>
    <m/>
    <m/>
  </r>
  <r>
    <x v="18"/>
    <x v="7"/>
    <s v="F:\images\20210610\plaque 2/@06  Atrazine 1.25 mg_L+testo/H6_01- exclu.tif"/>
    <m/>
    <m/>
    <x v="1"/>
    <m/>
    <m/>
    <m/>
    <m/>
  </r>
  <r>
    <x v="18"/>
    <x v="7"/>
    <s v="F:\images\20210610\plaque 2/@06  Atrazine 1.25 mg_L+testo/H6_02.tif "/>
    <s v=" 7765.1322 "/>
    <s v=" 64.2981 "/>
    <x v="0"/>
    <n v="499283"/>
    <m/>
    <m/>
    <m/>
  </r>
  <r>
    <x v="18"/>
    <x v="7"/>
    <s v="F:\images\20210610\plaque 2/@06  Atrazine 1.25 mg_L+testo/H6_03.tif "/>
    <s v=" 12047.8513 "/>
    <s v=" 67.0592 "/>
    <x v="0"/>
    <n v="807920"/>
    <m/>
    <m/>
    <m/>
  </r>
  <r>
    <x v="1"/>
    <x v="8"/>
    <s v=" "/>
    <m/>
    <m/>
    <x v="1"/>
    <m/>
    <m/>
    <m/>
    <m/>
  </r>
  <r>
    <x v="1"/>
    <x v="8"/>
    <s v="group "/>
    <s v=" "/>
    <s v=" mean of mean fluo "/>
    <x v="2"/>
    <s v=" mean of total fluo "/>
    <s v=" SD total fluo "/>
    <s v=" n fluorescent "/>
    <s v=" n total"/>
  </r>
  <r>
    <x v="18"/>
    <x v="9"/>
    <s v="F:\images\20210610\plaque 2/@06  Atrazine 1.25 mg_L+testo/ "/>
    <s v=" "/>
    <s v=" 70.6704 "/>
    <x v="20"/>
    <s v=" 2067578.25 "/>
    <s v=" 122031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610\plaque 2/@07 Atrazine 2.5 mg_L+testo/A7_01.tif "/>
    <s v=" 38436.3228 "/>
    <s v=" 72.1581 "/>
    <x v="0"/>
    <n v="2773493"/>
    <m/>
    <m/>
    <m/>
  </r>
  <r>
    <x v="19"/>
    <x v="0"/>
    <s v="F:\images\20210610\plaque 2/@07 Atrazine 2.5 mg_L+testo/A7_02.tif "/>
    <s v=" 34521.3118 "/>
    <s v=" 72.1347 "/>
    <x v="0"/>
    <n v="2490185"/>
    <m/>
    <m/>
    <m/>
  </r>
  <r>
    <x v="19"/>
    <x v="0"/>
    <s v="F:\images\20210610\plaque 2/@07 Atrazine 2.5 mg_L+testo/A7_03.tif "/>
    <s v=" 38457.9527 "/>
    <s v=" 71.0574 "/>
    <x v="0"/>
    <n v="2732721"/>
    <m/>
    <m/>
    <m/>
  </r>
  <r>
    <x v="19"/>
    <x v="1"/>
    <s v="F:\images\20210610\plaque 2/@07 Atrazine 2.5 mg_L+testo/B7_01.tif "/>
    <s v=" 25328.6066 "/>
    <s v=" 72.8121 "/>
    <x v="0"/>
    <n v="1844230"/>
    <m/>
    <m/>
    <m/>
  </r>
  <r>
    <x v="19"/>
    <x v="1"/>
    <s v="F:\images\20210610\plaque 2/@07 Atrazine 2.5 mg_L+testo/B7_02.tif "/>
    <s v=" 24701.3397 "/>
    <s v=" 70.366 "/>
    <x v="0"/>
    <n v="1738135"/>
    <m/>
    <m/>
    <m/>
  </r>
  <r>
    <x v="19"/>
    <x v="1"/>
    <s v="F:\images\20210610\plaque 2/@07 Atrazine 2.5 mg_L+testo/B7_03.tif "/>
    <s v=" 24160.5923 "/>
    <s v=" 71.0466 "/>
    <x v="0"/>
    <n v="1716527"/>
    <m/>
    <m/>
    <m/>
  </r>
  <r>
    <x v="19"/>
    <x v="2"/>
    <s v="F:\images\20210610\plaque 2/@07 Atrazine 2.5 mg_L+testo/C7_01.tif "/>
    <s v=" 5731.9221 "/>
    <s v=" 66.1208 "/>
    <x v="0"/>
    <n v="378999"/>
    <m/>
    <m/>
    <m/>
  </r>
  <r>
    <x v="19"/>
    <x v="2"/>
    <s v="F:\images\20210610\plaque 2/@07 Atrazine 2.5 mg_L+testo/C7_02.tif "/>
    <s v=" 2271.1389 "/>
    <s v=" 64.4667 "/>
    <x v="0"/>
    <n v="146413"/>
    <m/>
    <m/>
    <m/>
  </r>
  <r>
    <x v="19"/>
    <x v="2"/>
    <s v="F:\images\20210610\plaque 2/@07 Atrazine 2.5 mg_L+testo/C7_03.tif "/>
    <s v=" 5623.7726 "/>
    <s v=" 65.7077 "/>
    <x v="0"/>
    <n v="369525"/>
    <m/>
    <m/>
    <m/>
  </r>
  <r>
    <x v="19"/>
    <x v="3"/>
    <s v="F:\images\20210610\plaque 2/@07 Atrazine 2.5 mg_L+testo/D7_01.tif "/>
    <s v=" 39106.8495 "/>
    <s v=" 69.9071 "/>
    <x v="0"/>
    <n v="2733846"/>
    <m/>
    <m/>
    <m/>
  </r>
  <r>
    <x v="19"/>
    <x v="3"/>
    <s v="F:\images\20210610\plaque 2/@07 Atrazine 2.5 mg_L+testo/D7_02.tif "/>
    <s v=" 37462.9775 "/>
    <s v=" 69.7685 "/>
    <x v="0"/>
    <n v="2613735"/>
    <m/>
    <m/>
    <m/>
  </r>
  <r>
    <x v="19"/>
    <x v="3"/>
    <s v="F:\images\20210610\plaque 2/@07 Atrazine 2.5 mg_L+testo/D7_03.tif "/>
    <s v=" 39193.3691 "/>
    <s v=" 71.7627 "/>
    <x v="0"/>
    <n v="2812622"/>
    <m/>
    <m/>
    <m/>
  </r>
  <r>
    <x v="19"/>
    <x v="4"/>
    <s v="F:\images\20210610\plaque 2/@07 Atrazine 2.5 mg_L+testo/E7_01.tif "/>
    <s v=" 45163.22 "/>
    <s v=" 77.3376 "/>
    <x v="0"/>
    <n v="3492817"/>
    <m/>
    <m/>
    <m/>
  </r>
  <r>
    <x v="19"/>
    <x v="4"/>
    <s v="F:\images\20210610\plaque 2/@07 Atrazine 2.5 mg_L+testo/E7_02.tif "/>
    <s v=" 52517.3842 "/>
    <s v=" 76.3509 "/>
    <x v="0"/>
    <n v="4009750"/>
    <m/>
    <m/>
    <m/>
  </r>
  <r>
    <x v="19"/>
    <x v="4"/>
    <s v="F:\images\20210610\plaque 2/@07 Atrazine 2.5 mg_L+testo/E7_03.tif "/>
    <s v=" 35040.4293 "/>
    <s v=" 89.0864 "/>
    <x v="0"/>
    <n v="3121626"/>
    <m/>
    <m/>
    <m/>
  </r>
  <r>
    <x v="19"/>
    <x v="5"/>
    <s v="F:\images\20210610\plaque 2/@07 Atrazine 2.5 mg_L+testo/F7_01.tif "/>
    <s v=" 36922.2301 "/>
    <s v=" 69.6239 "/>
    <x v="0"/>
    <n v="2570670"/>
    <m/>
    <m/>
    <m/>
  </r>
  <r>
    <x v="19"/>
    <x v="5"/>
    <s v="F:\images\20210610\plaque 2/@07 Atrazine 2.5 mg_L+testo/F7_02.tif "/>
    <s v=" 35299.988 "/>
    <s v=" 70.1048 "/>
    <x v="0"/>
    <n v="2474698"/>
    <m/>
    <m/>
    <m/>
  </r>
  <r>
    <x v="19"/>
    <x v="5"/>
    <s v="F:\images\20210610\plaque 2/@07 Atrazine 2.5 mg_L+testo/F7_03.tif "/>
    <s v=" 36230.0735 "/>
    <s v=" 72.3869 "/>
    <x v="0"/>
    <n v="2622581"/>
    <m/>
    <m/>
    <m/>
  </r>
  <r>
    <x v="19"/>
    <x v="6"/>
    <s v="F:\images\20210610\plaque 2/@07 Atrazine 2.5 mg_L+testo/G7_01.tif "/>
    <s v=" 21629.8946 "/>
    <s v=" 71.797 "/>
    <x v="0"/>
    <n v="1552962"/>
    <m/>
    <m/>
    <m/>
  </r>
  <r>
    <x v="19"/>
    <x v="6"/>
    <s v="F:\images\20210610\plaque 2/@07 Atrazine 2.5 mg_L+testo/G7_02.tif "/>
    <s v=" 22559.9801 "/>
    <s v=" 66.8198 "/>
    <x v="0"/>
    <n v="1507452"/>
    <m/>
    <m/>
    <m/>
  </r>
  <r>
    <x v="19"/>
    <x v="6"/>
    <s v="F:\images\20210610\plaque 2/@07 Atrazine 2.5 mg_L+testo/G7_03.tif "/>
    <s v=" 26258.6921 "/>
    <s v=" 68.6013 "/>
    <x v="0"/>
    <n v="1801381"/>
    <m/>
    <m/>
    <m/>
  </r>
  <r>
    <x v="19"/>
    <x v="7"/>
    <s v="F:\images\20210610\plaque 2/@07 Atrazine 2.5 mg_L+testo/H7_01.tif "/>
    <s v=" 33050.479 "/>
    <s v=" 72.5 "/>
    <x v="0"/>
    <n v="2396160"/>
    <m/>
    <m/>
    <m/>
  </r>
  <r>
    <x v="19"/>
    <x v="7"/>
    <s v="F:\images\20210610\plaque 2/@07 Atrazine 2.5 mg_L+testo/H7_02.tif "/>
    <s v=" 24463.4108 "/>
    <s v=" 73.9549 "/>
    <x v="0"/>
    <n v="1809189"/>
    <m/>
    <m/>
    <m/>
  </r>
  <r>
    <x v="19"/>
    <x v="7"/>
    <s v="F:\images\20210610\plaque 2/@07 Atrazine 2.5 mg_L+testo/H7_03.tif "/>
    <s v=" 29243.6175 "/>
    <s v=" 72.5385 "/>
    <x v="0"/>
    <n v="2121287"/>
    <m/>
    <m/>
    <m/>
  </r>
  <r>
    <x v="1"/>
    <x v="8"/>
    <s v=" "/>
    <m/>
    <m/>
    <x v="1"/>
    <m/>
    <m/>
    <m/>
    <m/>
  </r>
  <r>
    <x v="1"/>
    <x v="8"/>
    <s v="group "/>
    <s v=" "/>
    <s v=" mean of mean fluo "/>
    <x v="2"/>
    <s v=" mean of total fluo "/>
    <s v=" SD total fluo "/>
    <s v=" n fluorescent "/>
    <s v=" n total"/>
  </r>
  <r>
    <x v="19"/>
    <x v="9"/>
    <s v="F:\images\20210610\plaque 2/@07 Atrazine 2.5 mg_L+testo/ "/>
    <s v=" "/>
    <s v=" 71.6004 "/>
    <x v="21"/>
    <s v=" 2159625.17 "/>
    <s v=" 941524.33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610\plaque 2/@08 Atrazine 5 mg_L+testo/A8_01- exclu.tif"/>
    <m/>
    <m/>
    <x v="1"/>
    <m/>
    <m/>
    <m/>
    <m/>
  </r>
  <r>
    <x v="20"/>
    <x v="0"/>
    <s v="F:\images\20210610\plaque 2/@08 Atrazine 5 mg_L+testo/A8_02- exclu.tif"/>
    <m/>
    <m/>
    <x v="1"/>
    <m/>
    <m/>
    <m/>
    <m/>
  </r>
  <r>
    <x v="20"/>
    <x v="0"/>
    <s v="F:\images\20210610\plaque 2/@08 Atrazine 5 mg_L+testo/A8_03- exclu.tif"/>
    <m/>
    <m/>
    <x v="1"/>
    <m/>
    <m/>
    <m/>
    <m/>
  </r>
  <r>
    <x v="20"/>
    <x v="1"/>
    <s v="F:\images\20210610\plaque 2/@08 Atrazine 5 mg_L+testo/B8_01.tif "/>
    <s v=" 20159.0618 "/>
    <s v=" 75.2543 "/>
    <x v="0"/>
    <n v="1517056"/>
    <m/>
    <m/>
    <m/>
  </r>
  <r>
    <x v="20"/>
    <x v="1"/>
    <s v="F:\images\20210610\plaque 2/@08 Atrazine 5 mg_L+testo/B8_02.tif "/>
    <s v=" 18601.7094 "/>
    <s v=" 73.1419 "/>
    <x v="0"/>
    <n v="1360564"/>
    <m/>
    <m/>
    <m/>
  </r>
  <r>
    <x v="20"/>
    <x v="1"/>
    <s v="F:\images\20210610\plaque 2/@08 Atrazine 5 mg_L+testo/B8_03.tif "/>
    <s v=" 17087.6168 "/>
    <s v=" 72.4506 "/>
    <x v="0"/>
    <n v="1238009"/>
    <m/>
    <m/>
    <m/>
  </r>
  <r>
    <x v="20"/>
    <x v="2"/>
    <s v="F:\images\20210610\plaque 2/@08 Atrazine 5 mg_L+testo/C8_01.tif "/>
    <s v=" 57189.4414 "/>
    <s v=" 73.98 "/>
    <x v="0"/>
    <n v="4230872"/>
    <m/>
    <m/>
    <m/>
  </r>
  <r>
    <x v="20"/>
    <x v="2"/>
    <s v="F:\images\20210610\plaque 2/@08 Atrazine 5 mg_L+testo/C8_02.tif "/>
    <s v=" 56800.1033 "/>
    <s v=" 72.9509 "/>
    <x v="0"/>
    <n v="4143617"/>
    <m/>
    <m/>
    <m/>
  </r>
  <r>
    <x v="20"/>
    <x v="2"/>
    <s v="F:\images\20210610\plaque 2/@08 Atrazine 5 mg_L+testo/C8_03.tif "/>
    <s v=" 57275.961 "/>
    <s v=" 79.6503 "/>
    <x v="0"/>
    <n v="4562048"/>
    <m/>
    <m/>
    <m/>
  </r>
  <r>
    <x v="20"/>
    <x v="3"/>
    <s v="F:\images\20210610\plaque 2/@08 Atrazine 5 mg_L+testo/D8_01.tif "/>
    <s v=" 32704.4007 "/>
    <s v=" 71.0278 "/>
    <x v="0"/>
    <n v="2322921"/>
    <m/>
    <m/>
    <m/>
  </r>
  <r>
    <x v="20"/>
    <x v="3"/>
    <s v="F:\images\20210610\plaque 2/@08 Atrazine 5 mg_L+testo/D8_02.tif "/>
    <s v=" 41356.3585 "/>
    <s v=" 71.5005 "/>
    <x v="0"/>
    <n v="2957001"/>
    <m/>
    <m/>
    <m/>
  </r>
  <r>
    <x v="20"/>
    <x v="3"/>
    <s v="F:\images\20210610\plaque 2/@08 Atrazine 5 mg_L+testo/D8_03.tif "/>
    <s v=" 19769.7237 "/>
    <s v=" 65.7867 "/>
    <x v="0"/>
    <n v="1300584"/>
    <m/>
    <m/>
    <m/>
  </r>
  <r>
    <x v="20"/>
    <x v="4"/>
    <s v="F:\images\20210610\plaque 2/@08 Atrazine 5 mg_L+testo/E8_01.tif "/>
    <s v=" 42070.1451 "/>
    <s v=" 68.3805 "/>
    <x v="0"/>
    <n v="2876776"/>
    <m/>
    <m/>
    <m/>
  </r>
  <r>
    <x v="20"/>
    <x v="4"/>
    <s v="F:\images\20210610\plaque 2/@08 Atrazine 5 mg_L+testo/E8_02.tif "/>
    <s v=" 38263.2836 "/>
    <s v=" 68.0475 "/>
    <x v="0"/>
    <n v="2603720"/>
    <m/>
    <m/>
    <m/>
  </r>
  <r>
    <x v="20"/>
    <x v="4"/>
    <s v="F:\images\20210610\plaque 2/@08 Atrazine 5 mg_L+testo/E8_03.tif "/>
    <s v=" 41594.2874 "/>
    <s v=" 67.8222 "/>
    <x v="0"/>
    <n v="2821014"/>
    <m/>
    <m/>
    <m/>
  </r>
  <r>
    <x v="20"/>
    <x v="5"/>
    <s v="F:\images\20210610\plaque 2/@08 Atrazine 5 mg_L+testo/F8_01.tif "/>
    <s v=" 49662.2381 "/>
    <s v=" 73.118 "/>
    <x v="0"/>
    <n v="3631205"/>
    <m/>
    <m/>
    <m/>
  </r>
  <r>
    <x v="20"/>
    <x v="5"/>
    <s v="F:\images\20210610\plaque 2/@08 Atrazine 5 mg_L+testo/F8_02.tif "/>
    <s v=" 44189.8747 "/>
    <s v=" 75.072 "/>
    <x v="0"/>
    <n v="3317420"/>
    <m/>
    <m/>
    <m/>
  </r>
  <r>
    <x v="20"/>
    <x v="5"/>
    <s v="F:\images\20210610\plaque 2/@08 Atrazine 5 mg_L+testo/F8_03.tif "/>
    <s v=" 49402.6793 "/>
    <s v=" 73.0468 "/>
    <x v="0"/>
    <n v="3608710"/>
    <m/>
    <m/>
    <m/>
  </r>
  <r>
    <x v="20"/>
    <x v="6"/>
    <s v="F:\images\20210610\plaque 2/@08 Atrazine 5 mg_L+testo/G8_01.tif "/>
    <s v=" 41853.8461 "/>
    <s v=" 71.4853 "/>
    <x v="0"/>
    <n v="2991934"/>
    <m/>
    <m/>
    <m/>
  </r>
  <r>
    <x v="20"/>
    <x v="6"/>
    <s v="F:\images\20210610\plaque 2/@08 Atrazine 5 mg_L+testo/G8_02.tif "/>
    <s v=" 40296.4937 "/>
    <s v=" 71.6189 "/>
    <x v="0"/>
    <n v="2885990"/>
    <m/>
    <m/>
    <m/>
  </r>
  <r>
    <x v="20"/>
    <x v="6"/>
    <s v="F:\images\20210610\plaque 2/@08 Atrazine 5 mg_L+testo/G8_03.tif "/>
    <s v=" 40664.2019 "/>
    <s v=" 71.0069 "/>
    <x v="0"/>
    <n v="2887440"/>
    <m/>
    <m/>
    <m/>
  </r>
  <r>
    <x v="20"/>
    <x v="7"/>
    <s v="F:\images\20210610\plaque 2/@08 Atrazine 5 mg_L+testo/H8_01.tif "/>
    <s v=" 27102.258 "/>
    <s v=" 73.2969 "/>
    <x v="0"/>
    <n v="1986511"/>
    <m/>
    <m/>
    <m/>
  </r>
  <r>
    <x v="20"/>
    <x v="7"/>
    <s v="F:\images\20210610\plaque 2/@08 Atrazine 5 mg_L+testo/H8_02.tif "/>
    <s v=" 30216.9628 "/>
    <s v=" 72.6786 "/>
    <x v="0"/>
    <n v="2196126"/>
    <m/>
    <m/>
    <m/>
  </r>
  <r>
    <x v="20"/>
    <x v="7"/>
    <s v="F:\images\20210610\plaque 2/@08 Atrazine 5 mg_L+testo/H8_03- exclu.tif"/>
    <m/>
    <m/>
    <x v="1"/>
    <m/>
    <m/>
    <m/>
    <m/>
  </r>
  <r>
    <x v="1"/>
    <x v="8"/>
    <s v=" "/>
    <m/>
    <m/>
    <x v="1"/>
    <m/>
    <m/>
    <m/>
    <m/>
  </r>
  <r>
    <x v="1"/>
    <x v="8"/>
    <s v="group "/>
    <s v=" "/>
    <s v=" mean of mean fluo "/>
    <x v="2"/>
    <s v=" mean of total fluo "/>
    <s v=" SD total fluo "/>
    <s v=" n fluorescent "/>
    <s v=" n total"/>
  </r>
  <r>
    <x v="20"/>
    <x v="9"/>
    <s v="F:\images\20210610\plaque 2/@08 Atrazine 5 mg_L+testo/ "/>
    <s v=" "/>
    <s v=" 71.9226 "/>
    <x v="22"/>
    <s v=" 2404836.88 "/>
    <s v=" 1233513.8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610\plaque 2/@09 Atrazine 10 mg_L+testo/A9_01.tif "/>
    <s v=" 40642.572 "/>
    <s v=" 84.6142 "/>
    <x v="0"/>
    <n v="3438937"/>
    <m/>
    <m/>
    <m/>
  </r>
  <r>
    <x v="21"/>
    <x v="0"/>
    <s v="F:\images\20210610\plaque 2/@09 Atrazine 10 mg_L+testo/A9_02.tif "/>
    <s v=" 37398.0878 "/>
    <s v=" 84.0127 "/>
    <x v="0"/>
    <n v="3141915"/>
    <m/>
    <m/>
    <m/>
  </r>
  <r>
    <x v="21"/>
    <x v="0"/>
    <s v="F:\images\20210610\plaque 2/@09 Atrazine 10 mg_L+testo/A9_03.tif "/>
    <s v=" 39366.4082 "/>
    <s v=" 82.1099 "/>
    <x v="0"/>
    <n v="3232371"/>
    <m/>
    <m/>
    <m/>
  </r>
  <r>
    <x v="21"/>
    <x v="1"/>
    <s v="F:\images\20210610\plaque 2/@09 Atrazine 10 mg_L+testo/B9_01.tif "/>
    <s v=" 41724.0667 "/>
    <s v=" 75.8051 "/>
    <x v="0"/>
    <n v="3162896"/>
    <m/>
    <m/>
    <m/>
  </r>
  <r>
    <x v="21"/>
    <x v="1"/>
    <s v="F:\images\20210610\plaque 2/@09 Atrazine 10 mg_L+testo/B9_02.tif "/>
    <s v=" 45747.2271 "/>
    <s v=" 75.0208 "/>
    <x v="0"/>
    <n v="3431994"/>
    <m/>
    <m/>
    <m/>
  </r>
  <r>
    <x v="21"/>
    <x v="1"/>
    <s v="F:\images\20210610\plaque 2/@09 Atrazine 10 mg_L+testo/B9_03.tif "/>
    <s v=" 43519.348 "/>
    <s v=" 72.8484 "/>
    <x v="0"/>
    <n v="3170315"/>
    <m/>
    <m/>
    <m/>
  </r>
  <r>
    <x v="21"/>
    <x v="2"/>
    <s v="F:\images\20210610\plaque 2/@09 Atrazine 10 mg_L+testo/C9_01.tif "/>
    <s v=" 42546.0027 "/>
    <s v=" 72.9212 "/>
    <x v="0"/>
    <n v="3102506"/>
    <m/>
    <m/>
    <m/>
  </r>
  <r>
    <x v="21"/>
    <x v="2"/>
    <s v="F:\images\20210610\plaque 2/@09 Atrazine 10 mg_L+testo/C9_02.tif "/>
    <s v=" 46374.4941 "/>
    <s v=" 72.5215 "/>
    <x v="0"/>
    <n v="3363146"/>
    <m/>
    <m/>
    <m/>
  </r>
  <r>
    <x v="21"/>
    <x v="2"/>
    <s v="F:\images\20210610\plaque 2/@09 Atrazine 10 mg_L+testo/C9_03.tif "/>
    <s v=" 47434.3589 "/>
    <s v=" 73.2084 "/>
    <x v="0"/>
    <n v="3472593"/>
    <m/>
    <m/>
    <m/>
  </r>
  <r>
    <x v="21"/>
    <x v="3"/>
    <s v="F:\images\20210610\plaque 2/@09 Atrazine 10 mg_L+testo/D9_01.tif "/>
    <s v=" 21002.6277 "/>
    <s v=" 78.1658 "/>
    <x v="0"/>
    <n v="1641687"/>
    <m/>
    <m/>
    <m/>
  </r>
  <r>
    <x v="21"/>
    <x v="3"/>
    <s v="F:\images\20210610\plaque 2/@09 Atrazine 10 mg_L+testo/D9_02.tif "/>
    <s v=" 27383.4466 "/>
    <s v=" 67.4645 "/>
    <x v="0"/>
    <n v="1847409"/>
    <m/>
    <m/>
    <m/>
  </r>
  <r>
    <x v="21"/>
    <x v="3"/>
    <s v="F:\images\20210610\plaque 2/@09 Atrazine 10 mg_L+testo/D9_03.tif "/>
    <s v=" 27880.9342 "/>
    <s v=" 73.4282 "/>
    <x v="0"/>
    <n v="2047248"/>
    <m/>
    <m/>
    <m/>
  </r>
  <r>
    <x v="21"/>
    <x v="4"/>
    <s v="F:\images\20210610\plaque 2/@09 Atrazine 10 mg_L+testo/E9_01.tif "/>
    <s v=" 39193.3691 "/>
    <s v=" 79.1402 "/>
    <x v="0"/>
    <n v="3101770"/>
    <m/>
    <m/>
    <m/>
  </r>
  <r>
    <x v="21"/>
    <x v="4"/>
    <s v="F:\images\20210610\plaque 2/@09 Atrazine 10 mg_L+testo/E9_02.tif "/>
    <s v=" 41486.1379 "/>
    <s v=" 76.5209 "/>
    <x v="0"/>
    <n v="3174555"/>
    <m/>
    <m/>
    <m/>
  </r>
  <r>
    <x v="21"/>
    <x v="4"/>
    <s v="F:\images\20210610\plaque 2/@09 Atrazine 10 mg_L+testo/E9_03.tif "/>
    <s v=" 41161.6895 "/>
    <s v=" 78.4325 "/>
    <x v="0"/>
    <n v="3228413"/>
    <m/>
    <m/>
    <m/>
  </r>
  <r>
    <x v="21"/>
    <x v="5"/>
    <s v="F:\images\20210610\plaque 2/@09 Atrazine 10 mg_L+testo/F9_01.tif "/>
    <s v=" 47780.4372 "/>
    <s v=" 80.1431 "/>
    <x v="0"/>
    <n v="3829270"/>
    <m/>
    <m/>
    <m/>
  </r>
  <r>
    <x v="21"/>
    <x v="5"/>
    <s v="F:\images\20210610\plaque 2/@09 Atrazine 10 mg_L+testo/F9_02- exclu.tif"/>
    <m/>
    <m/>
    <x v="1"/>
    <m/>
    <m/>
    <m/>
    <m/>
  </r>
  <r>
    <x v="21"/>
    <x v="5"/>
    <s v="F:\images\20210610\plaque 2/@09 Atrazine 10 mg_L+testo/F9_03.tif "/>
    <s v=" 48104.8857 "/>
    <s v=" 77.1385 "/>
    <x v="0"/>
    <n v="3710738"/>
    <m/>
    <m/>
    <m/>
  </r>
  <r>
    <x v="21"/>
    <x v="6"/>
    <s v="F:\images\20210610\plaque 2/@09 Atrazine 10 mg_L+testo/G9_01.tif "/>
    <s v=" 30108.8133 "/>
    <s v=" 71.5036 "/>
    <x v="0"/>
    <n v="2152888"/>
    <m/>
    <m/>
    <m/>
  </r>
  <r>
    <x v="21"/>
    <x v="6"/>
    <s v="F:\images\20210610\plaque 2/@09 Atrazine 10 mg_L+testo/G9_02.tif "/>
    <s v=" 28984.0588 "/>
    <s v=" 71.2761 "/>
    <x v="0"/>
    <n v="2065871"/>
    <m/>
    <m/>
    <m/>
  </r>
  <r>
    <x v="21"/>
    <x v="6"/>
    <s v="F:\images\20210610\plaque 2/@09 Atrazine 10 mg_L+testo/G9_03.tif "/>
    <s v=" 28032.3434 "/>
    <s v=" 70.179 "/>
    <x v="0"/>
    <n v="1967282"/>
    <m/>
    <m/>
    <m/>
  </r>
  <r>
    <x v="21"/>
    <x v="7"/>
    <s v="F:\images\20210610\plaque 2/@09 Atrazine 10 mg_L+testo/H9_01.tif "/>
    <s v=" 48494.2238 "/>
    <s v=" 73.3006 "/>
    <x v="0"/>
    <n v="3554657"/>
    <m/>
    <m/>
    <m/>
  </r>
  <r>
    <x v="21"/>
    <x v="7"/>
    <s v="F:\images\20210610\plaque 2/@09 Atrazine 10 mg_L+testo/H9_02.tif "/>
    <s v=" 49792.0174 "/>
    <s v=" 74.7368 "/>
    <x v="0"/>
    <n v="3721294"/>
    <m/>
    <m/>
    <m/>
  </r>
  <r>
    <x v="21"/>
    <x v="7"/>
    <s v="F:\images\20210610\plaque 2/@09 Atrazine 10 mg_L+testo/H9_03.tif "/>
    <s v=" 42827.1914 "/>
    <s v=" 74.0338 "/>
    <x v="0"/>
    <n v="3170661"/>
    <m/>
    <m/>
    <m/>
  </r>
  <r>
    <x v="1"/>
    <x v="8"/>
    <s v=" "/>
    <m/>
    <m/>
    <x v="1"/>
    <m/>
    <m/>
    <m/>
    <m/>
  </r>
  <r>
    <x v="1"/>
    <x v="8"/>
    <s v="group "/>
    <s v=" "/>
    <s v=" mean of mean fluo "/>
    <x v="2"/>
    <s v=" mean of total fluo "/>
    <s v=" SD total fluo "/>
    <s v=" n fluorescent "/>
    <s v=" n total"/>
  </r>
  <r>
    <x v="21"/>
    <x v="9"/>
    <s v="F:\images\20210610\plaque 2/@09 Atrazine 10 mg_L+testo/ "/>
    <s v=" "/>
    <s v=" 75.1126 "/>
    <x v="23"/>
    <s v=" 2909749.79 "/>
    <s v=" 756318.587 "/>
    <n v="24"/>
    <n v="24"/>
  </r>
  <r>
    <x v="1"/>
    <x v="8"/>
    <s v=" "/>
    <m/>
    <m/>
    <x v="1"/>
    <m/>
    <m/>
    <m/>
    <m/>
  </r>
  <r>
    <x v="1"/>
    <x v="8"/>
    <s v=" "/>
    <m/>
    <m/>
    <x v="1"/>
    <m/>
    <m/>
    <m/>
    <m/>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0.625"/>
    <s v="mg/L"/>
    <s v="Atrazine"/>
    <x v="0"/>
  </r>
  <r>
    <x v="9"/>
    <x v="1"/>
    <n v="1.25"/>
    <s v="mg/L"/>
    <s v="Atrazine"/>
    <x v="0"/>
  </r>
  <r>
    <x v="10"/>
    <x v="1"/>
    <n v="2.5"/>
    <s v="mg/L"/>
    <s v="Atrazine"/>
    <x v="0"/>
  </r>
  <r>
    <x v="11"/>
    <x v="1"/>
    <n v="5"/>
    <s v="mg/L"/>
    <s v="Atrazine"/>
    <x v="0"/>
  </r>
  <r>
    <x v="12"/>
    <x v="1"/>
    <n v="10"/>
    <s v="mg/L"/>
    <s v="Atrazine"/>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µg/L"/>
    <s v="Testo 30µg/L + FAD"/>
    <x v="0"/>
  </r>
  <r>
    <x v="17"/>
    <x v="2"/>
    <n v="0.625"/>
    <s v="mg/L"/>
    <s v="Atrazine"/>
    <x v="1"/>
  </r>
  <r>
    <x v="18"/>
    <x v="2"/>
    <n v="1.25"/>
    <s v="mg/L"/>
    <s v="Atrazine"/>
    <x v="1"/>
  </r>
  <r>
    <x v="19"/>
    <x v="2"/>
    <n v="2.5"/>
    <s v="mg/L"/>
    <s v="Atrazine"/>
    <x v="1"/>
  </r>
  <r>
    <x v="20"/>
    <x v="2"/>
    <n v="5"/>
    <s v="mg/L"/>
    <s v="Atrazine"/>
    <x v="1"/>
  </r>
  <r>
    <x v="21"/>
    <x v="2"/>
    <n v="10"/>
    <s v="mg/L"/>
    <s v="Atrazine"/>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9"/>
    </i>
    <i>
      <x v="20"/>
    </i>
    <i>
      <x v="21"/>
    </i>
    <i>
      <x v="22"/>
    </i>
    <i>
      <x v="23"/>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2">
      <calculatedColumnFormula>IFERROR(LEFT(RIGHT(C2,LEN(C2)-SEARCH("@",C2)),SEARCH("/",RIGHT(C2,LEN(C2)-SEARCH("@",C2)-1))),"")</calculatedColumnFormula>
    </tableColumn>
    <tableColumn id="2" xr3:uid="{00000000-0010-0000-0200-000002000000}" name="N° de valeur" dataDxfId="31">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F558B3F5-FF64-4D95-B0BD-1F61D8767CFC}"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30">
      <calculatedColumnFormula>IFERROR(LEFT(RIGHT(C2,LEN(C2)-SEARCH("@",C2)),SEARCH("/",RIGHT(C2,LEN(C2)-SEARCH("@",C2)-1))),"")</calculatedColumnFormula>
    </tableColumn>
    <tableColumn id="2" xr3:uid="{00000000-0010-0000-0300-000002000000}" name="N° de valeur" dataDxfId="29">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1CC67610-1DF4-490F-B0A6-6A5B84162508}"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8">
      <calculatedColumnFormula>IFERROR(LEFT(RIGHT(C2,LEN(C2)-SEARCH("@",C2)),SEARCH("/",RIGHT(C2,LEN(C2)-SEARCH("@",C2)-1))),"")</calculatedColumnFormula>
    </tableColumn>
    <tableColumn id="2" xr3:uid="{00000000-0010-0000-0400-000002000000}" name="N° de valeur" dataDxfId="27">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92335B34-7400-4712-8595-A2D23CF3E1BA}"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6" dataDxfId="25" tableBorderDxfId="24">
  <autoFilter ref="A1:G2" xr:uid="{00000000-0009-0000-0100-000002000000}"/>
  <tableColumns count="7">
    <tableColumn id="1" xr3:uid="{00000000-0010-0000-0500-000001000000}" name="Description" dataDxfId="23"/>
    <tableColumn id="2" xr3:uid="{00000000-0010-0000-0500-000002000000}" name="Problème" dataDxfId="22"/>
    <tableColumn id="3" xr3:uid="{00000000-0010-0000-0500-000003000000}" name="EqH RAPPORT" dataDxfId="21"/>
    <tableColumn id="4" xr3:uid="{00000000-0010-0000-0500-000004000000}" name="% atteinte du seuil RAPPORT" dataDxfId="20"/>
    <tableColumn id="5" xr3:uid="{00000000-0010-0000-0500-000005000000}" name="Valeur échelle sur graphique RAPPORT" dataDxfId="19"/>
    <tableColumn id="6" xr3:uid="{00000000-0010-0000-0500-000006000000}" name="EqH BASE DE DONNEES" dataDxfId="18"/>
    <tableColumn id="7" xr3:uid="{00000000-0010-0000-0500-000007000000}" name="% BASE DE DONNEES" dataDxfId="17"/>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6">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15">
      <calculatedColumnFormula>U6</calculatedColumnFormula>
    </tableColumn>
    <tableColumn id="3" xr3:uid="{00000000-0010-0000-0600-000003000000}" name="CHG-protocole"/>
    <tableColumn id="4" xr3:uid="{00000000-0010-0000-0600-000004000000}" name="CHG-dilution" dataDxfId="14">
      <calculatedColumnFormula>CONCATENATE(VLOOKUP(Tableau3[[#This Row],[Nom ND]],liste_groupe[],3,FALSE),VLOOKUP(Tableau3[[#This Row],[Nom ND]],liste_groupe[],4,FALSE))</calculatedColumnFormula>
    </tableColumn>
    <tableColumn id="5" xr3:uid="{00000000-0010-0000-0600-000005000000}" name="CHG-induction ND" dataDxfId="13">
      <calculatedColumnFormula>HLOOKUP(Tableau3[[#This Row],[Nom ND]],'pooled normalised values'!$B$74:$V$83,4,FALSE)</calculatedColumnFormula>
    </tableColumn>
    <tableColumn id="6" xr3:uid="{00000000-0010-0000-0600-000006000000}" name="CHG-test ND" dataDxfId="12">
      <calculatedColumnFormula>HLOOKUP(Tableau3[[#This Row],[Nom ND]],'pooled normalised values'!$B$74:$V$83,8,FALSE)</calculatedColumnFormula>
    </tableColumn>
    <tableColumn id="8" xr3:uid="{00000000-0010-0000-0600-000008000000}" name="CHG-EQH ND" dataDxfId="11">
      <calculatedColumnFormula>VLOOKUP(Tableau3[[#This Row],[Nom ND]],'summary results'!$A$6:$N$26,9,FALSE)</calculatedColumnFormula>
    </tableColumn>
    <tableColumn id="9" xr3:uid="{00000000-0010-0000-0600-000009000000}" name="CHG-% atteinte du seuil ND" dataDxfId="10">
      <calculatedColumnFormula>VLOOKUP(Tableau3[[#This Row],[Nom ND]],'summary results'!$A$6:$N$26,11,FALSE)</calculatedColumnFormula>
    </tableColumn>
    <tableColumn id="10" xr3:uid="{00000000-0010-0000-0600-00000A000000}" name="CHG-induction D" dataDxfId="9">
      <calculatedColumnFormula>HLOOKUP(Tableau3[[#This Row],[Nom D]],'pooled normalised values'!$B$74:$V$83,4,FALSE)</calculatedColumnFormula>
    </tableColumn>
    <tableColumn id="11" xr3:uid="{00000000-0010-0000-0600-00000B000000}" name="CHG-test D" dataDxfId="8">
      <calculatedColumnFormula>HLOOKUP(Tableau3[[#This Row],[Nom D]],'pooled normalised values'!$B$74:$V$83,8,FALSE)</calculatedColumnFormula>
    </tableColumn>
    <tableColumn id="13" xr3:uid="{00000000-0010-0000-0600-00000D000000}" name="CHG-EQH D" dataDxfId="7">
      <calculatedColumnFormula>VLOOKUP(Tableau3[[#This Row],[Nom D]],'summary results'!$A$29:$N$51,9,FALSE)</calculatedColumnFormula>
    </tableColumn>
    <tableColumn id="14" xr3:uid="{00000000-0010-0000-0600-00000E000000}" name="CHG-% atteinte seuil D" dataDxfId="6">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28" zoomScale="55" zoomScaleNormal="55" workbookViewId="0">
      <selection activeCell="F40" sqref="F40"/>
    </sheetView>
  </sheetViews>
  <sheetFormatPr baseColWidth="10"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59"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98" t="s">
        <v>36</v>
      </c>
      <c r="B1" s="199"/>
      <c r="C1" s="199"/>
      <c r="D1" s="199"/>
      <c r="E1" s="199"/>
      <c r="F1" s="199"/>
      <c r="G1" s="199"/>
      <c r="H1" s="199"/>
      <c r="I1" s="200"/>
    </row>
    <row r="2" spans="1:9" ht="21" x14ac:dyDescent="0.35">
      <c r="A2" s="187" t="s">
        <v>17</v>
      </c>
      <c r="B2" s="42" t="s">
        <v>115</v>
      </c>
      <c r="C2" s="201"/>
      <c r="D2" s="202"/>
      <c r="E2" s="42" t="s">
        <v>21</v>
      </c>
      <c r="F2" s="213"/>
      <c r="G2" s="214"/>
      <c r="H2" s="214"/>
      <c r="I2" s="215"/>
    </row>
    <row r="3" spans="1:9" ht="21" x14ac:dyDescent="0.35">
      <c r="A3" s="188" t="s">
        <v>18</v>
      </c>
      <c r="B3" s="43" t="s">
        <v>115</v>
      </c>
      <c r="C3" s="203"/>
      <c r="D3" s="204"/>
      <c r="E3" s="43" t="s">
        <v>21</v>
      </c>
      <c r="F3" s="210"/>
      <c r="G3" s="211"/>
      <c r="H3" s="211"/>
      <c r="I3" s="212"/>
    </row>
    <row r="4" spans="1:9" ht="21.75" thickBot="1" x14ac:dyDescent="0.4">
      <c r="A4" s="189" t="s">
        <v>22</v>
      </c>
      <c r="B4" s="177" t="s">
        <v>115</v>
      </c>
      <c r="C4" s="205"/>
      <c r="D4" s="206"/>
      <c r="E4" s="177" t="s">
        <v>21</v>
      </c>
      <c r="F4" s="207"/>
      <c r="G4" s="208"/>
      <c r="H4" s="208"/>
      <c r="I4" s="209"/>
    </row>
    <row r="5" spans="1:9" s="1" customFormat="1" ht="65.25" customHeight="1" thickBot="1" x14ac:dyDescent="0.3">
      <c r="A5" s="198" t="s">
        <v>37</v>
      </c>
      <c r="B5" s="199"/>
      <c r="C5" s="199"/>
      <c r="D5" s="199"/>
      <c r="E5" s="199"/>
      <c r="F5" s="199"/>
      <c r="G5" s="199"/>
      <c r="H5" s="199"/>
      <c r="I5" s="200"/>
    </row>
    <row r="6" spans="1:9" s="109" customFormat="1" ht="39" customHeight="1" x14ac:dyDescent="0.35">
      <c r="A6" s="75" t="s">
        <v>35</v>
      </c>
      <c r="B6" s="100" t="s">
        <v>7</v>
      </c>
      <c r="C6" s="64" t="s">
        <v>19</v>
      </c>
      <c r="D6" s="64" t="s">
        <v>75</v>
      </c>
      <c r="E6" s="156" t="s">
        <v>51</v>
      </c>
      <c r="F6" s="108" t="s">
        <v>78</v>
      </c>
    </row>
    <row r="7" spans="1:9" s="165" customFormat="1" ht="39" customHeight="1" x14ac:dyDescent="0.3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3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3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3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3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3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3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3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35">
      <c r="A15" s="160" t="s">
        <v>166</v>
      </c>
      <c r="B15" s="161"/>
      <c r="C15" s="162">
        <v>0.625</v>
      </c>
      <c r="D15" s="163" t="s">
        <v>129</v>
      </c>
      <c r="E15" s="164" t="s">
        <v>171</v>
      </c>
      <c r="F15" s="110"/>
    </row>
    <row r="16" spans="1:9" s="111" customFormat="1" ht="39" customHeight="1" x14ac:dyDescent="0.25">
      <c r="A16" s="160" t="s">
        <v>167</v>
      </c>
      <c r="B16" s="40"/>
      <c r="C16" s="162">
        <v>1.25</v>
      </c>
      <c r="D16" s="163" t="s">
        <v>129</v>
      </c>
      <c r="E16" s="164" t="s">
        <v>171</v>
      </c>
      <c r="F16" s="110"/>
    </row>
    <row r="17" spans="1:6" s="111" customFormat="1" ht="39" customHeight="1" x14ac:dyDescent="0.25">
      <c r="A17" s="160" t="s">
        <v>168</v>
      </c>
      <c r="B17" s="101"/>
      <c r="C17" s="162">
        <v>2.5</v>
      </c>
      <c r="D17" s="163" t="s">
        <v>129</v>
      </c>
      <c r="E17" s="164" t="s">
        <v>171</v>
      </c>
      <c r="F17" s="110"/>
    </row>
    <row r="18" spans="1:6" s="111" customFormat="1" ht="39" customHeight="1" x14ac:dyDescent="0.25">
      <c r="A18" s="160" t="s">
        <v>169</v>
      </c>
      <c r="B18" s="40"/>
      <c r="C18" s="162">
        <v>5</v>
      </c>
      <c r="D18" s="163" t="s">
        <v>129</v>
      </c>
      <c r="E18" s="164" t="s">
        <v>171</v>
      </c>
      <c r="F18" s="110"/>
    </row>
    <row r="19" spans="1:6" s="111" customFormat="1" ht="39" customHeight="1" x14ac:dyDescent="0.25">
      <c r="A19" s="160" t="s">
        <v>170</v>
      </c>
      <c r="B19" s="101"/>
      <c r="C19" s="162">
        <v>10</v>
      </c>
      <c r="D19" s="163" t="s">
        <v>129</v>
      </c>
      <c r="E19" s="164" t="s">
        <v>171</v>
      </c>
      <c r="F19" s="110"/>
    </row>
    <row r="20" spans="1:6" s="111"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62"/>
      <c r="D20" s="105"/>
      <c r="E20" s="40"/>
      <c r="F20" s="110"/>
    </row>
    <row r="21" spans="1:6" s="111"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62"/>
      <c r="D21" s="105"/>
      <c r="E21" s="101"/>
      <c r="F21" s="110"/>
    </row>
    <row r="22" spans="1:6" s="111"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62"/>
      <c r="D22" s="105"/>
      <c r="E22" s="40"/>
      <c r="F22" s="110"/>
    </row>
    <row r="23" spans="1:6" s="111"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62"/>
      <c r="D23" s="105"/>
      <c r="E23" s="101"/>
      <c r="F23" s="110"/>
    </row>
    <row r="24" spans="1:6" s="111"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62"/>
      <c r="D24" s="105"/>
      <c r="E24" s="40"/>
      <c r="F24" s="110"/>
    </row>
    <row r="25" spans="1:6" s="111"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62"/>
      <c r="D25" s="105"/>
      <c r="E25" s="101"/>
      <c r="F25" s="110"/>
    </row>
    <row r="26" spans="1:6" s="111"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62"/>
      <c r="D26" s="105"/>
      <c r="E26" s="40"/>
      <c r="F26" s="110"/>
    </row>
    <row r="27" spans="1:6" s="111"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62"/>
      <c r="D27" s="105"/>
      <c r="E27" s="101"/>
      <c r="F27" s="110"/>
    </row>
    <row r="28" spans="1:6" s="111"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62"/>
      <c r="D28" s="105"/>
      <c r="E28" s="40"/>
      <c r="F28" s="110"/>
    </row>
    <row r="29" spans="1:6" s="111"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62"/>
      <c r="D29" s="105"/>
      <c r="E29" s="101"/>
      <c r="F29" s="110"/>
    </row>
    <row r="30" spans="1:6" s="111"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62"/>
      <c r="D30" s="114"/>
      <c r="E30" s="40"/>
      <c r="F30" s="110"/>
    </row>
    <row r="31" spans="1:6" s="111"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62"/>
      <c r="D31" s="114"/>
      <c r="E31" s="101"/>
      <c r="F31" s="110"/>
    </row>
    <row r="32" spans="1:6" s="111"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62"/>
      <c r="D32" s="114"/>
      <c r="E32" s="40"/>
      <c r="F32" s="110"/>
    </row>
    <row r="33" spans="1:6" s="111"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62"/>
      <c r="D33" s="114"/>
      <c r="E33" s="101"/>
      <c r="F33" s="110"/>
    </row>
    <row r="34" spans="1:6" s="111" customFormat="1" ht="39" customHeight="1" x14ac:dyDescent="0.2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62"/>
      <c r="D34" s="114"/>
      <c r="E34" s="40"/>
      <c r="F34" s="110"/>
    </row>
    <row r="35" spans="1:6" s="111" customFormat="1" ht="39" customHeight="1" thickBot="1" x14ac:dyDescent="0.3">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94"/>
      <c r="D35" s="115"/>
      <c r="E35" s="166"/>
      <c r="F35" s="110"/>
    </row>
    <row r="36" spans="1:6" s="111" customFormat="1" ht="39" customHeight="1" x14ac:dyDescent="0.25">
      <c r="A36" s="16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8"/>
    </row>
    <row r="37" spans="1:6" s="111" customFormat="1" ht="39" customHeight="1" x14ac:dyDescent="0.25">
      <c r="A37"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0"/>
    </row>
    <row r="38" spans="1:6" s="111" customFormat="1" ht="39" customHeight="1" thickBot="1" x14ac:dyDescent="0.3">
      <c r="A38"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2" t="s">
        <v>123</v>
      </c>
      <c r="C38" s="173">
        <v>10</v>
      </c>
      <c r="D38" s="174" t="s">
        <v>127</v>
      </c>
      <c r="E38" s="175" t="s">
        <v>130</v>
      </c>
      <c r="F38" s="176"/>
    </row>
    <row r="39" spans="1:6" s="111" customFormat="1" ht="39" customHeight="1" x14ac:dyDescent="0.2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Atrazine-0,625mg/L + Testostérone</v>
      </c>
      <c r="B39" s="190">
        <f>B15</f>
        <v>0</v>
      </c>
      <c r="C39" s="195">
        <f t="shared" ref="C39:E39" si="0">C15</f>
        <v>0.625</v>
      </c>
      <c r="D39" s="195" t="str">
        <f t="shared" si="0"/>
        <v>mg/L</v>
      </c>
      <c r="E39" s="195" t="str">
        <f t="shared" si="0"/>
        <v>Atrazine</v>
      </c>
      <c r="F39" s="112" t="s">
        <v>50</v>
      </c>
    </row>
    <row r="40" spans="1:6" s="111" customFormat="1" ht="39" customHeight="1" x14ac:dyDescent="0.2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Atrazine-1,25mg/L + Testostérone</v>
      </c>
      <c r="B40" s="192">
        <f t="shared" ref="B40:E40" si="1">B16</f>
        <v>0</v>
      </c>
      <c r="C40" s="107">
        <f t="shared" si="1"/>
        <v>1.25</v>
      </c>
      <c r="D40" s="107" t="str">
        <f t="shared" si="1"/>
        <v>mg/L</v>
      </c>
      <c r="E40" s="107" t="str">
        <f t="shared" si="1"/>
        <v>Atrazine</v>
      </c>
      <c r="F40" s="113" t="s">
        <v>50</v>
      </c>
    </row>
    <row r="41" spans="1:6" s="111" customFormat="1" ht="39" customHeight="1" x14ac:dyDescent="0.2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Atrazine-2,5mg/L + Testostérone</v>
      </c>
      <c r="B41" s="192">
        <f t="shared" ref="B41:E41" si="2">B17</f>
        <v>0</v>
      </c>
      <c r="C41" s="107">
        <f t="shared" si="2"/>
        <v>2.5</v>
      </c>
      <c r="D41" s="107" t="str">
        <f t="shared" si="2"/>
        <v>mg/L</v>
      </c>
      <c r="E41" s="107" t="str">
        <f t="shared" si="2"/>
        <v>Atrazine</v>
      </c>
      <c r="F41" s="113" t="s">
        <v>50</v>
      </c>
    </row>
    <row r="42" spans="1:6" s="111" customFormat="1" ht="39" customHeight="1" x14ac:dyDescent="0.2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Atrazine-5mg/L + Testostérone</v>
      </c>
      <c r="B42" s="192">
        <f t="shared" ref="B42:E42" si="3">B18</f>
        <v>0</v>
      </c>
      <c r="C42" s="107">
        <f t="shared" si="3"/>
        <v>5</v>
      </c>
      <c r="D42" s="107" t="str">
        <f t="shared" si="3"/>
        <v>mg/L</v>
      </c>
      <c r="E42" s="107" t="str">
        <f t="shared" si="3"/>
        <v>Atrazine</v>
      </c>
      <c r="F42" s="113" t="s">
        <v>50</v>
      </c>
    </row>
    <row r="43" spans="1:6" s="111" customFormat="1" ht="39" customHeight="1" x14ac:dyDescent="0.2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Atrazine-10mg/L + Testostérone</v>
      </c>
      <c r="B43" s="192">
        <f t="shared" ref="B43:E43" si="4">B19</f>
        <v>0</v>
      </c>
      <c r="C43" s="107">
        <f t="shared" si="4"/>
        <v>10</v>
      </c>
      <c r="D43" s="107" t="str">
        <f t="shared" si="4"/>
        <v>mg/L</v>
      </c>
      <c r="E43" s="107" t="str">
        <f t="shared" si="4"/>
        <v>Atrazine</v>
      </c>
      <c r="F43" s="113" t="s">
        <v>50</v>
      </c>
    </row>
    <row r="44" spans="1:6" s="111" customFormat="1" ht="39" customHeight="1" x14ac:dyDescent="0.2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2">
        <f t="shared" ref="B44:E44" si="5">B20</f>
        <v>0</v>
      </c>
      <c r="C44" s="192">
        <f t="shared" si="5"/>
        <v>0</v>
      </c>
      <c r="D44" s="192">
        <f t="shared" si="5"/>
        <v>0</v>
      </c>
      <c r="E44" s="192">
        <f t="shared" si="5"/>
        <v>0</v>
      </c>
      <c r="F44" s="113" t="s">
        <v>50</v>
      </c>
    </row>
    <row r="45" spans="1:6" s="111" customFormat="1" ht="39" customHeight="1" x14ac:dyDescent="0.2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2">
        <f t="shared" ref="B45:E45" si="6">B21</f>
        <v>0</v>
      </c>
      <c r="C45" s="192">
        <f t="shared" si="6"/>
        <v>0</v>
      </c>
      <c r="D45" s="192">
        <f t="shared" si="6"/>
        <v>0</v>
      </c>
      <c r="E45" s="192">
        <f t="shared" si="6"/>
        <v>0</v>
      </c>
      <c r="F45" s="113" t="s">
        <v>50</v>
      </c>
    </row>
    <row r="46" spans="1:6" s="111" customFormat="1" ht="39" customHeight="1" x14ac:dyDescent="0.2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2">
        <f t="shared" ref="B46:E46" si="7">B22</f>
        <v>0</v>
      </c>
      <c r="C46" s="192">
        <f t="shared" si="7"/>
        <v>0</v>
      </c>
      <c r="D46" s="192">
        <f t="shared" si="7"/>
        <v>0</v>
      </c>
      <c r="E46" s="192">
        <f t="shared" si="7"/>
        <v>0</v>
      </c>
      <c r="F46" s="113" t="s">
        <v>50</v>
      </c>
    </row>
    <row r="47" spans="1:6" s="111" customFormat="1" ht="39" customHeight="1" x14ac:dyDescent="0.2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2">
        <f t="shared" ref="B47:E47" si="8">B23</f>
        <v>0</v>
      </c>
      <c r="C47" s="192">
        <f t="shared" si="8"/>
        <v>0</v>
      </c>
      <c r="D47" s="192">
        <f t="shared" si="8"/>
        <v>0</v>
      </c>
      <c r="E47" s="192">
        <f t="shared" si="8"/>
        <v>0</v>
      </c>
      <c r="F47" s="113" t="s">
        <v>50</v>
      </c>
    </row>
    <row r="48" spans="1:6" s="111" customFormat="1" ht="39" customHeight="1" x14ac:dyDescent="0.2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2">
        <f t="shared" ref="B48:E48" si="9">B24</f>
        <v>0</v>
      </c>
      <c r="C48" s="192">
        <f t="shared" si="9"/>
        <v>0</v>
      </c>
      <c r="D48" s="192">
        <f t="shared" si="9"/>
        <v>0</v>
      </c>
      <c r="E48" s="192">
        <f t="shared" si="9"/>
        <v>0</v>
      </c>
      <c r="F48" s="113" t="s">
        <v>50</v>
      </c>
    </row>
    <row r="49" spans="1:6" s="111" customFormat="1" ht="39" customHeight="1" x14ac:dyDescent="0.2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2">
        <f t="shared" ref="B49:E49" si="10">B25</f>
        <v>0</v>
      </c>
      <c r="C49" s="192">
        <f t="shared" si="10"/>
        <v>0</v>
      </c>
      <c r="D49" s="192">
        <f t="shared" si="10"/>
        <v>0</v>
      </c>
      <c r="E49" s="192">
        <f t="shared" si="10"/>
        <v>0</v>
      </c>
      <c r="F49" s="113" t="s">
        <v>50</v>
      </c>
    </row>
    <row r="50" spans="1:6" s="111" customFormat="1" ht="39" customHeight="1" x14ac:dyDescent="0.2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2">
        <f t="shared" ref="B50:E50" si="11">B26</f>
        <v>0</v>
      </c>
      <c r="C50" s="192">
        <f t="shared" si="11"/>
        <v>0</v>
      </c>
      <c r="D50" s="192">
        <f t="shared" si="11"/>
        <v>0</v>
      </c>
      <c r="E50" s="192">
        <f t="shared" si="11"/>
        <v>0</v>
      </c>
      <c r="F50" s="113" t="s">
        <v>50</v>
      </c>
    </row>
    <row r="51" spans="1:6" s="111" customFormat="1" ht="39" customHeight="1" x14ac:dyDescent="0.2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2">
        <f t="shared" ref="B51:E51" si="12">B27</f>
        <v>0</v>
      </c>
      <c r="C51" s="192">
        <f t="shared" si="12"/>
        <v>0</v>
      </c>
      <c r="D51" s="192">
        <f t="shared" si="12"/>
        <v>0</v>
      </c>
      <c r="E51" s="192">
        <f t="shared" si="12"/>
        <v>0</v>
      </c>
      <c r="F51" s="113" t="s">
        <v>50</v>
      </c>
    </row>
    <row r="52" spans="1:6" s="111" customFormat="1" ht="39" customHeight="1" x14ac:dyDescent="0.2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2">
        <f t="shared" ref="B52:E52" si="13">B28</f>
        <v>0</v>
      </c>
      <c r="C52" s="192">
        <f t="shared" si="13"/>
        <v>0</v>
      </c>
      <c r="D52" s="192">
        <f t="shared" si="13"/>
        <v>0</v>
      </c>
      <c r="E52" s="192">
        <f t="shared" si="13"/>
        <v>0</v>
      </c>
      <c r="F52" s="113" t="s">
        <v>50</v>
      </c>
    </row>
    <row r="53" spans="1:6" s="111" customFormat="1" ht="39" customHeight="1" x14ac:dyDescent="0.2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2">
        <f t="shared" ref="B53:E53" si="14">B29</f>
        <v>0</v>
      </c>
      <c r="C53" s="192">
        <f t="shared" si="14"/>
        <v>0</v>
      </c>
      <c r="D53" s="192">
        <f t="shared" si="14"/>
        <v>0</v>
      </c>
      <c r="E53" s="192">
        <f t="shared" si="14"/>
        <v>0</v>
      </c>
      <c r="F53" s="113" t="s">
        <v>50</v>
      </c>
    </row>
    <row r="54" spans="1:6" s="111" customFormat="1" ht="39" customHeight="1" x14ac:dyDescent="0.2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2">
        <f t="shared" ref="B54:E54" si="15">B30</f>
        <v>0</v>
      </c>
      <c r="C54" s="192">
        <f t="shared" si="15"/>
        <v>0</v>
      </c>
      <c r="D54" s="192">
        <f t="shared" si="15"/>
        <v>0</v>
      </c>
      <c r="E54" s="192">
        <f t="shared" si="15"/>
        <v>0</v>
      </c>
      <c r="F54" s="113" t="s">
        <v>50</v>
      </c>
    </row>
    <row r="55" spans="1:6" s="111" customFormat="1" ht="39" customHeight="1" x14ac:dyDescent="0.2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2">
        <f t="shared" ref="B55:E55" si="16">B31</f>
        <v>0</v>
      </c>
      <c r="C55" s="192">
        <f t="shared" si="16"/>
        <v>0</v>
      </c>
      <c r="D55" s="192">
        <f t="shared" si="16"/>
        <v>0</v>
      </c>
      <c r="E55" s="192">
        <f t="shared" si="16"/>
        <v>0</v>
      </c>
      <c r="F55" s="113" t="s">
        <v>50</v>
      </c>
    </row>
    <row r="56" spans="1:6" s="111" customFormat="1" ht="39" customHeight="1" x14ac:dyDescent="0.2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2">
        <f t="shared" ref="B56:E56" si="17">B32</f>
        <v>0</v>
      </c>
      <c r="C56" s="192">
        <f t="shared" si="17"/>
        <v>0</v>
      </c>
      <c r="D56" s="192">
        <f t="shared" si="17"/>
        <v>0</v>
      </c>
      <c r="E56" s="192">
        <f t="shared" si="17"/>
        <v>0</v>
      </c>
      <c r="F56" s="113" t="s">
        <v>50</v>
      </c>
    </row>
    <row r="57" spans="1:6" s="111" customFormat="1" ht="39" customHeight="1" x14ac:dyDescent="0.2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2">
        <f t="shared" ref="B57:E57" si="18">B33</f>
        <v>0</v>
      </c>
      <c r="C57" s="192">
        <f t="shared" si="18"/>
        <v>0</v>
      </c>
      <c r="D57" s="192">
        <f t="shared" si="18"/>
        <v>0</v>
      </c>
      <c r="E57" s="192">
        <f t="shared" si="18"/>
        <v>0</v>
      </c>
      <c r="F57" s="113" t="s">
        <v>50</v>
      </c>
    </row>
    <row r="58" spans="1:6" s="111" customFormat="1" ht="39" customHeight="1" x14ac:dyDescent="0.2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1">
        <f t="shared" ref="B58:E58" si="19">B34</f>
        <v>0</v>
      </c>
      <c r="C58" s="191">
        <f t="shared" si="19"/>
        <v>0</v>
      </c>
      <c r="D58" s="191">
        <f t="shared" si="19"/>
        <v>0</v>
      </c>
      <c r="E58" s="191">
        <f t="shared" si="19"/>
        <v>0</v>
      </c>
      <c r="F58" s="113"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153</v>
      </c>
      <c r="B2" t="s">
        <v>164</v>
      </c>
      <c r="C2" t="s">
        <v>144</v>
      </c>
      <c r="D2" t="s">
        <v>147</v>
      </c>
      <c r="E2" t="s">
        <v>148</v>
      </c>
      <c r="F2" t="s">
        <v>112</v>
      </c>
      <c r="G2">
        <v>360268</v>
      </c>
    </row>
    <row r="3" spans="1:9" x14ac:dyDescent="0.25">
      <c r="A3" t="s">
        <v>153</v>
      </c>
      <c r="B3" t="s">
        <v>164</v>
      </c>
      <c r="C3" t="s">
        <v>145</v>
      </c>
      <c r="D3" t="s">
        <v>149</v>
      </c>
      <c r="E3" t="s">
        <v>150</v>
      </c>
      <c r="F3" t="s">
        <v>112</v>
      </c>
      <c r="G3">
        <v>372315</v>
      </c>
    </row>
    <row r="4" spans="1:9" x14ac:dyDescent="0.25">
      <c r="A4" t="s">
        <v>153</v>
      </c>
      <c r="B4" t="s">
        <v>164</v>
      </c>
      <c r="C4" t="s">
        <v>146</v>
      </c>
      <c r="D4" t="s">
        <v>151</v>
      </c>
      <c r="E4" t="s">
        <v>152</v>
      </c>
      <c r="F4" t="s">
        <v>112</v>
      </c>
      <c r="G4">
        <v>237626</v>
      </c>
    </row>
    <row r="5" spans="1:9" x14ac:dyDescent="0.25">
      <c r="A5" t="s">
        <v>153</v>
      </c>
      <c r="B5" t="s">
        <v>164</v>
      </c>
      <c r="C5" t="s">
        <v>161</v>
      </c>
      <c r="D5" t="s">
        <v>162</v>
      </c>
      <c r="E5" t="s">
        <v>163</v>
      </c>
      <c r="F5" t="s">
        <v>112</v>
      </c>
      <c r="G5">
        <v>1439015</v>
      </c>
    </row>
    <row r="6" spans="1:9" x14ac:dyDescent="0.25">
      <c r="A6" t="s">
        <v>153</v>
      </c>
      <c r="B6" t="s">
        <v>164</v>
      </c>
      <c r="C6" t="s">
        <v>158</v>
      </c>
      <c r="D6" t="s">
        <v>159</v>
      </c>
      <c r="E6" t="s">
        <v>160</v>
      </c>
      <c r="F6" t="s">
        <v>112</v>
      </c>
      <c r="G6">
        <v>1433586</v>
      </c>
    </row>
    <row r="7" spans="1:9" x14ac:dyDescent="0.2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I1" zoomScale="70" zoomScaleNormal="70" workbookViewId="0">
      <selection activeCell="T42" sqref="T42"/>
    </sheetView>
  </sheetViews>
  <sheetFormatPr baseColWidth="10"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1633</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DMSO</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1668</v>
      </c>
      <c r="D2" s="1" t="s">
        <v>195</v>
      </c>
      <c r="E2" s="1" t="s">
        <v>1669</v>
      </c>
      <c r="F2" s="1" t="s">
        <v>112</v>
      </c>
      <c r="G2" s="1">
        <v>242839</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DMSO</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1670</v>
      </c>
      <c r="D3" s="1" t="s">
        <v>1671</v>
      </c>
      <c r="E3" s="1" t="s">
        <v>1672</v>
      </c>
      <c r="F3" s="1" t="s">
        <v>112</v>
      </c>
      <c r="G3" s="1">
        <v>603863</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DMSO</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1673</v>
      </c>
      <c r="D4" s="1" t="s">
        <v>1674</v>
      </c>
      <c r="E4" s="1" t="s">
        <v>1475</v>
      </c>
      <c r="F4" s="1" t="s">
        <v>112</v>
      </c>
      <c r="G4" s="1">
        <v>398531</v>
      </c>
      <c r="K4" s="118" t="s">
        <v>100</v>
      </c>
      <c r="L4" s="1" t="s">
        <v>1634</v>
      </c>
      <c r="M4" s="1" t="s">
        <v>1635</v>
      </c>
      <c r="N4" s="1" t="s">
        <v>1636</v>
      </c>
      <c r="O4" s="1" t="s">
        <v>1637</v>
      </c>
      <c r="P4" s="1" t="s">
        <v>1638</v>
      </c>
      <c r="Q4" s="1" t="s">
        <v>1639</v>
      </c>
      <c r="R4" s="1" t="s">
        <v>1640</v>
      </c>
      <c r="S4" s="1" t="s">
        <v>1641</v>
      </c>
      <c r="T4" s="1" t="s">
        <v>1642</v>
      </c>
      <c r="U4" s="1" t="s">
        <v>1643</v>
      </c>
      <c r="V4" s="1" t="s">
        <v>1644</v>
      </c>
      <c r="W4" s="1" t="s">
        <v>1645</v>
      </c>
      <c r="X4" s="1" t="s">
        <v>2978</v>
      </c>
      <c r="Y4" s="1" t="s">
        <v>2979</v>
      </c>
      <c r="Z4" s="1" t="s">
        <v>2980</v>
      </c>
      <c r="AA4" s="1" t="s">
        <v>2981</v>
      </c>
      <c r="AB4" s="1" t="s">
        <v>2982</v>
      </c>
      <c r="AC4" s="1" t="s">
        <v>2983</v>
      </c>
      <c r="AD4" s="1" t="s">
        <v>2984</v>
      </c>
      <c r="AE4" s="1" t="s">
        <v>2985</v>
      </c>
      <c r="AF4" s="1" t="s">
        <v>2986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DMSO</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1675</v>
      </c>
      <c r="D5" s="1" t="s">
        <v>1676</v>
      </c>
      <c r="E5" s="1" t="s">
        <v>1677</v>
      </c>
      <c r="F5" s="1" t="s">
        <v>112</v>
      </c>
      <c r="G5" s="1">
        <v>296286</v>
      </c>
      <c r="K5" s="145" t="s">
        <v>164</v>
      </c>
      <c r="L5" s="44">
        <v>415077.66666666669</v>
      </c>
      <c r="M5" s="44">
        <v>21024.333333333332</v>
      </c>
      <c r="N5" s="44">
        <v>242622.66666666666</v>
      </c>
      <c r="O5" s="44">
        <v>175656.33333333334</v>
      </c>
      <c r="P5" s="44">
        <v>538671</v>
      </c>
      <c r="Q5" s="44">
        <v>417161.33333333331</v>
      </c>
      <c r="R5" s="44">
        <v>1790991.3333333333</v>
      </c>
      <c r="S5" s="44">
        <v>330310</v>
      </c>
      <c r="T5" s="44">
        <v>21060.666666666668</v>
      </c>
      <c r="U5" s="44">
        <v>654051.66666666663</v>
      </c>
      <c r="V5" s="44"/>
      <c r="W5" s="44">
        <v>63830</v>
      </c>
      <c r="X5" s="44">
        <v>541684.66666666663</v>
      </c>
      <c r="Y5" s="44">
        <v>1745511</v>
      </c>
      <c r="Z5" s="44">
        <v>3439340.6666666665</v>
      </c>
      <c r="AA5" s="44">
        <v>32149</v>
      </c>
      <c r="AB5" s="44">
        <v>1342834.3333333333</v>
      </c>
      <c r="AC5" s="44">
        <v>1825238.6666666667</v>
      </c>
      <c r="AD5" s="44">
        <v>3781886</v>
      </c>
      <c r="AE5" s="44">
        <v>2390067</v>
      </c>
      <c r="AF5" s="44">
        <v>732561.33333333337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DMSO</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1678</v>
      </c>
      <c r="D6" s="1" t="s">
        <v>1679</v>
      </c>
      <c r="E6" s="1" t="s">
        <v>1680</v>
      </c>
      <c r="F6" s="1" t="s">
        <v>112</v>
      </c>
      <c r="G6" s="1">
        <v>362906</v>
      </c>
      <c r="K6" s="145" t="s">
        <v>1655</v>
      </c>
      <c r="L6" s="44">
        <v>350786.33333333331</v>
      </c>
      <c r="M6" s="44">
        <v>126614</v>
      </c>
      <c r="N6" s="44">
        <v>47081.333333333336</v>
      </c>
      <c r="O6" s="44">
        <v>685473</v>
      </c>
      <c r="P6" s="44">
        <v>78221</v>
      </c>
      <c r="Q6" s="44">
        <v>253026.66666666666</v>
      </c>
      <c r="R6" s="44">
        <v>3957420</v>
      </c>
      <c r="S6" s="44">
        <v>564071.66666666663</v>
      </c>
      <c r="T6" s="44"/>
      <c r="U6" s="44">
        <v>142144.33333333334</v>
      </c>
      <c r="V6" s="44">
        <v>26258.666666666668</v>
      </c>
      <c r="W6" s="44">
        <v>347538.5</v>
      </c>
      <c r="X6" s="44">
        <v>391890.33333333331</v>
      </c>
      <c r="Y6" s="44">
        <v>908246.33333333337</v>
      </c>
      <c r="Z6" s="44">
        <v>1117508.5</v>
      </c>
      <c r="AA6" s="44">
        <v>37874</v>
      </c>
      <c r="AB6" s="44">
        <v>3031682</v>
      </c>
      <c r="AC6" s="44">
        <v>5185104</v>
      </c>
      <c r="AD6" s="44">
        <v>4414805.666666667</v>
      </c>
      <c r="AE6" s="44">
        <v>837531</v>
      </c>
      <c r="AF6" s="44">
        <v>830552</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DMSO</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1681</v>
      </c>
      <c r="D7" s="1" t="s">
        <v>1682</v>
      </c>
      <c r="E7" s="1" t="s">
        <v>1683</v>
      </c>
      <c r="F7" s="1" t="s">
        <v>112</v>
      </c>
      <c r="G7" s="1">
        <v>393167</v>
      </c>
      <c r="K7" s="145" t="s">
        <v>1656</v>
      </c>
      <c r="L7" s="44">
        <v>21341.333333333332</v>
      </c>
      <c r="M7" s="44">
        <v>19640</v>
      </c>
      <c r="N7" s="44">
        <v>170703</v>
      </c>
      <c r="O7" s="44">
        <v>233365</v>
      </c>
      <c r="P7" s="44">
        <v>237208</v>
      </c>
      <c r="Q7" s="44">
        <v>3005884.6666666665</v>
      </c>
      <c r="R7" s="44">
        <v>2651652</v>
      </c>
      <c r="S7" s="44">
        <v>13129</v>
      </c>
      <c r="T7" s="44">
        <v>308421</v>
      </c>
      <c r="U7" s="44">
        <v>77882</v>
      </c>
      <c r="V7" s="44">
        <v>468237</v>
      </c>
      <c r="W7" s="44">
        <v>21983</v>
      </c>
      <c r="X7" s="44">
        <v>216710</v>
      </c>
      <c r="Y7" s="44">
        <v>1082821.6666666667</v>
      </c>
      <c r="Z7" s="44">
        <v>3395864.6666666665</v>
      </c>
      <c r="AA7" s="44">
        <v>130911</v>
      </c>
      <c r="AB7" s="44">
        <v>2600072</v>
      </c>
      <c r="AC7" s="44">
        <v>482693</v>
      </c>
      <c r="AD7" s="44"/>
      <c r="AE7" s="44">
        <v>3427422.6666666665</v>
      </c>
      <c r="AF7" s="44">
        <v>1235896.3333333333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DMSO</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1684</v>
      </c>
      <c r="D8" s="1" t="s">
        <v>179</v>
      </c>
      <c r="E8" s="1">
        <v>67</v>
      </c>
      <c r="F8" s="1" t="s">
        <v>112</v>
      </c>
      <c r="G8" s="1">
        <v>10144</v>
      </c>
      <c r="K8" s="145" t="s">
        <v>1657</v>
      </c>
      <c r="L8" s="44">
        <v>305089.33333333331</v>
      </c>
      <c r="M8" s="44">
        <v>485677.5</v>
      </c>
      <c r="N8" s="44">
        <v>62459.666666666664</v>
      </c>
      <c r="O8" s="44">
        <v>1162671.3333333333</v>
      </c>
      <c r="P8" s="44">
        <v>796196.66666666663</v>
      </c>
      <c r="Q8" s="44">
        <v>1200444.6666666667</v>
      </c>
      <c r="R8" s="44">
        <v>3627917</v>
      </c>
      <c r="S8" s="44">
        <v>148741.33333333334</v>
      </c>
      <c r="T8" s="44">
        <v>292165.5</v>
      </c>
      <c r="U8" s="44">
        <v>1142764.6666666667</v>
      </c>
      <c r="V8" s="44">
        <v>207214.33333333334</v>
      </c>
      <c r="W8" s="44">
        <v>536529.5</v>
      </c>
      <c r="X8" s="44">
        <v>1332971</v>
      </c>
      <c r="Y8" s="44">
        <v>125893</v>
      </c>
      <c r="Z8" s="44">
        <v>863898</v>
      </c>
      <c r="AA8" s="44">
        <v>109166</v>
      </c>
      <c r="AB8" s="44">
        <v>2971601.3333333335</v>
      </c>
      <c r="AC8" s="44">
        <v>2708805.6666666665</v>
      </c>
      <c r="AD8" s="44">
        <v>1944830.6666666667</v>
      </c>
      <c r="AE8" s="44">
        <v>3442678.6666666665</v>
      </c>
      <c r="AF8" s="44">
        <v>5172465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DMSO</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1685</v>
      </c>
      <c r="D9" s="1" t="s">
        <v>443</v>
      </c>
      <c r="E9" s="1" t="s">
        <v>1686</v>
      </c>
      <c r="F9" s="1" t="s">
        <v>112</v>
      </c>
      <c r="G9" s="1">
        <v>49532</v>
      </c>
      <c r="K9" s="145" t="s">
        <v>1658</v>
      </c>
      <c r="L9" s="44">
        <v>275471</v>
      </c>
      <c r="M9" s="44">
        <v>95272.666666666672</v>
      </c>
      <c r="N9" s="44">
        <v>162880.33333333334</v>
      </c>
      <c r="O9" s="44">
        <v>121228.33333333333</v>
      </c>
      <c r="P9" s="44">
        <v>729244.66666666663</v>
      </c>
      <c r="Q9" s="44">
        <v>1782000.5</v>
      </c>
      <c r="R9" s="44">
        <v>4446623</v>
      </c>
      <c r="S9" s="44">
        <v>199665.33333333334</v>
      </c>
      <c r="T9" s="44">
        <v>143716</v>
      </c>
      <c r="U9" s="44">
        <v>44370</v>
      </c>
      <c r="V9" s="44">
        <v>630266.33333333337</v>
      </c>
      <c r="W9" s="44">
        <v>19286.666666666668</v>
      </c>
      <c r="X9" s="44">
        <v>2068106.3333333333</v>
      </c>
      <c r="Y9" s="44">
        <v>1293316</v>
      </c>
      <c r="Z9" s="44">
        <v>2148108.3333333335</v>
      </c>
      <c r="AA9" s="44">
        <v>99584</v>
      </c>
      <c r="AB9" s="44">
        <v>2685812.6666666665</v>
      </c>
      <c r="AC9" s="44">
        <v>72568.5</v>
      </c>
      <c r="AD9" s="44">
        <v>4632892.666666667</v>
      </c>
      <c r="AE9" s="44">
        <v>2386224.6666666665</v>
      </c>
      <c r="AF9" s="44">
        <v>2334720.5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DMSO</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1687</v>
      </c>
      <c r="D10" s="1" t="s">
        <v>1688</v>
      </c>
      <c r="E10" s="1">
        <v>67</v>
      </c>
      <c r="F10" s="1" t="s">
        <v>112</v>
      </c>
      <c r="G10" s="1">
        <v>4348</v>
      </c>
      <c r="K10" s="145" t="s">
        <v>1659</v>
      </c>
      <c r="L10" s="44">
        <v>54089</v>
      </c>
      <c r="M10" s="44">
        <v>18328</v>
      </c>
      <c r="N10" s="44">
        <v>251771.66666666666</v>
      </c>
      <c r="O10" s="44">
        <v>285522</v>
      </c>
      <c r="P10" s="44">
        <v>765677</v>
      </c>
      <c r="Q10" s="44">
        <v>999647</v>
      </c>
      <c r="R10" s="44">
        <v>5231997.333333333</v>
      </c>
      <c r="S10" s="44">
        <v>353158.66666666669</v>
      </c>
      <c r="T10" s="44">
        <v>52647</v>
      </c>
      <c r="U10" s="44">
        <v>755099.66666666663</v>
      </c>
      <c r="V10" s="44"/>
      <c r="W10" s="44">
        <v>120370.33333333333</v>
      </c>
      <c r="X10" s="44">
        <v>1258456.3333333333</v>
      </c>
      <c r="Y10" s="44">
        <v>272508</v>
      </c>
      <c r="Z10" s="44"/>
      <c r="AA10" s="44">
        <v>142144.66666666666</v>
      </c>
      <c r="AB10" s="44">
        <v>2556891.3333333335</v>
      </c>
      <c r="AC10" s="44">
        <v>1400110.3333333333</v>
      </c>
      <c r="AD10" s="44">
        <v>3041862.6666666665</v>
      </c>
      <c r="AE10" s="44">
        <v>1550020</v>
      </c>
      <c r="AF10" s="44">
        <v>3697363.3333333335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DMSO</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1689</v>
      </c>
      <c r="D11" s="1" t="s">
        <v>1690</v>
      </c>
      <c r="E11" s="1" t="s">
        <v>1691</v>
      </c>
      <c r="F11" s="1" t="s">
        <v>112</v>
      </c>
      <c r="G11" s="1">
        <v>360743</v>
      </c>
      <c r="K11" s="145" t="s">
        <v>1660</v>
      </c>
      <c r="L11" s="44">
        <v>139008.33333333334</v>
      </c>
      <c r="M11" s="44">
        <v>84155</v>
      </c>
      <c r="N11" s="44">
        <v>61746</v>
      </c>
      <c r="O11" s="44">
        <v>79569.333333333328</v>
      </c>
      <c r="P11" s="44">
        <v>373671</v>
      </c>
      <c r="Q11" s="44">
        <v>3259098.6666666665</v>
      </c>
      <c r="R11" s="44">
        <v>5377134.333333333</v>
      </c>
      <c r="S11" s="44">
        <v>402402.66666666669</v>
      </c>
      <c r="T11" s="44">
        <v>28843.5</v>
      </c>
      <c r="U11" s="44">
        <v>386101</v>
      </c>
      <c r="V11" s="44">
        <v>231901.33333333334</v>
      </c>
      <c r="W11" s="44">
        <v>13634.333333333334</v>
      </c>
      <c r="X11" s="44">
        <v>1612018.3333333333</v>
      </c>
      <c r="Y11" s="44">
        <v>2014810.6666666667</v>
      </c>
      <c r="Z11" s="44">
        <v>1590006.3333333333</v>
      </c>
      <c r="AA11" s="44">
        <v>95387.666666666672</v>
      </c>
      <c r="AB11" s="44">
        <v>2344550.6666666665</v>
      </c>
      <c r="AC11" s="44">
        <v>2787509.6666666665</v>
      </c>
      <c r="AD11" s="44">
        <v>221432.33333333334</v>
      </c>
      <c r="AE11" s="44">
        <v>2325769</v>
      </c>
      <c r="AF11" s="44">
        <v>1646907.3333333333</v>
      </c>
      <c r="AG11"/>
    </row>
    <row r="12" spans="1:144" x14ac:dyDescent="0.25">
      <c r="A12" s="1" t="str">
        <f t="shared" si="0"/>
        <v>01 Evian + DMSO</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1692</v>
      </c>
      <c r="D12" s="1" t="s">
        <v>1679</v>
      </c>
      <c r="E12" s="1" t="s">
        <v>1693</v>
      </c>
      <c r="F12" s="1" t="s">
        <v>112</v>
      </c>
      <c r="G12" s="1">
        <v>337491</v>
      </c>
      <c r="K12" s="145" t="s">
        <v>1661</v>
      </c>
      <c r="L12" s="44">
        <v>9308.3333333333339</v>
      </c>
      <c r="M12" s="44">
        <v>123881.66666666667</v>
      </c>
      <c r="N12" s="44">
        <v>318262.33333333331</v>
      </c>
      <c r="O12" s="44">
        <v>55120</v>
      </c>
      <c r="P12" s="44">
        <v>573805</v>
      </c>
      <c r="Q12" s="44">
        <v>1001968.6666666666</v>
      </c>
      <c r="R12" s="44">
        <v>4737141.666666667</v>
      </c>
      <c r="S12" s="44">
        <v>621491.66666666663</v>
      </c>
      <c r="T12" s="44">
        <v>251224.33333333334</v>
      </c>
      <c r="U12" s="44">
        <v>694514</v>
      </c>
      <c r="V12" s="44">
        <v>122814.5</v>
      </c>
      <c r="W12" s="44">
        <v>9055.6666666666661</v>
      </c>
      <c r="X12" s="44">
        <v>612955.33333333337</v>
      </c>
      <c r="Y12" s="44">
        <v>223415</v>
      </c>
      <c r="Z12" s="44">
        <v>4047443.6666666665</v>
      </c>
      <c r="AA12" s="44">
        <v>262961.66666666669</v>
      </c>
      <c r="AB12" s="44"/>
      <c r="AC12" s="44">
        <v>198987.66666666666</v>
      </c>
      <c r="AD12" s="44">
        <v>1235117.6666666667</v>
      </c>
      <c r="AE12" s="44">
        <v>16266</v>
      </c>
      <c r="AF12" s="44">
        <v>390390.66666666669</v>
      </c>
      <c r="AG12"/>
    </row>
    <row r="13" spans="1:144" x14ac:dyDescent="0.25">
      <c r="A13" s="1" t="str">
        <f t="shared" si="0"/>
        <v>01 Evian + DMSO</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1694</v>
      </c>
      <c r="D13" s="1" t="s">
        <v>1695</v>
      </c>
      <c r="E13" s="1" t="s">
        <v>1696</v>
      </c>
      <c r="F13" s="1" t="s">
        <v>112</v>
      </c>
      <c r="G13" s="1">
        <v>217034</v>
      </c>
      <c r="K13"/>
      <c r="L13"/>
      <c r="M13"/>
      <c r="N13"/>
      <c r="O13"/>
      <c r="P13"/>
      <c r="Q13"/>
      <c r="R13"/>
      <c r="S13"/>
      <c r="T13"/>
      <c r="U13"/>
      <c r="V13"/>
      <c r="W13"/>
      <c r="X13"/>
      <c r="Y13"/>
      <c r="Z13"/>
      <c r="AA13"/>
      <c r="AB13"/>
      <c r="AC13"/>
      <c r="AD13"/>
      <c r="AE13"/>
      <c r="AF13"/>
      <c r="AG13"/>
    </row>
    <row r="14" spans="1:144" x14ac:dyDescent="0.25">
      <c r="A14" s="1" t="str">
        <f t="shared" si="0"/>
        <v>01 Evian + DMSO</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1697</v>
      </c>
      <c r="D14" s="1" t="s">
        <v>388</v>
      </c>
      <c r="E14" s="1" t="s">
        <v>1698</v>
      </c>
      <c r="F14" s="1" t="s">
        <v>112</v>
      </c>
      <c r="G14" s="1">
        <v>406707</v>
      </c>
      <c r="K14"/>
      <c r="L14"/>
      <c r="M14"/>
      <c r="N14"/>
      <c r="O14"/>
      <c r="P14"/>
      <c r="Q14"/>
      <c r="R14"/>
      <c r="S14"/>
      <c r="T14"/>
      <c r="U14"/>
      <c r="V14"/>
      <c r="W14"/>
      <c r="X14"/>
      <c r="Y14"/>
      <c r="Z14"/>
      <c r="AA14"/>
      <c r="AB14"/>
      <c r="AC14"/>
      <c r="AD14"/>
      <c r="AE14"/>
      <c r="AF14"/>
      <c r="AG14"/>
    </row>
    <row r="15" spans="1:144" x14ac:dyDescent="0.25">
      <c r="A15" s="1" t="str">
        <f t="shared" si="0"/>
        <v>01 Evian + DMSO</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1699</v>
      </c>
      <c r="D15" s="1" t="s">
        <v>1700</v>
      </c>
      <c r="E15" s="1" t="s">
        <v>1701</v>
      </c>
      <c r="F15" s="1" t="s">
        <v>112</v>
      </c>
      <c r="G15" s="1">
        <v>372207</v>
      </c>
    </row>
    <row r="16" spans="1:144" x14ac:dyDescent="0.25">
      <c r="A16" s="1" t="str">
        <f t="shared" si="0"/>
        <v>01 Evian + DMSO</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1702</v>
      </c>
      <c r="D16" s="1" t="s">
        <v>333</v>
      </c>
      <c r="E16" s="1" t="s">
        <v>1703</v>
      </c>
      <c r="F16" s="1" t="s">
        <v>112</v>
      </c>
      <c r="G16" s="1">
        <v>47499</v>
      </c>
      <c r="M16"/>
      <c r="N16"/>
      <c r="O16"/>
      <c r="P16"/>
      <c r="Q16"/>
      <c r="R16"/>
      <c r="S16"/>
      <c r="T16"/>
      <c r="U16"/>
      <c r="V16"/>
      <c r="W16"/>
      <c r="X16"/>
      <c r="Y16"/>
      <c r="Z16"/>
      <c r="AA16"/>
      <c r="AB16"/>
      <c r="AC16"/>
      <c r="AD16"/>
      <c r="AE16"/>
      <c r="AF16"/>
      <c r="AG16"/>
      <c r="AH16"/>
    </row>
    <row r="17" spans="1:34" x14ac:dyDescent="0.25">
      <c r="A17" s="1" t="str">
        <f t="shared" si="0"/>
        <v>01 Evian + DMSO</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1704</v>
      </c>
      <c r="D17" s="1" t="s">
        <v>964</v>
      </c>
      <c r="E17" s="1" t="s">
        <v>1705</v>
      </c>
      <c r="F17" s="1" t="s">
        <v>112</v>
      </c>
      <c r="G17" s="1">
        <v>70297</v>
      </c>
      <c r="M17"/>
      <c r="N17"/>
      <c r="O17"/>
      <c r="P17"/>
      <c r="Q17"/>
      <c r="R17"/>
      <c r="S17"/>
      <c r="T17"/>
      <c r="U17"/>
      <c r="V17"/>
      <c r="W17"/>
      <c r="X17"/>
      <c r="Y17"/>
      <c r="Z17"/>
      <c r="AA17"/>
      <c r="AB17"/>
      <c r="AC17"/>
      <c r="AD17"/>
      <c r="AE17"/>
      <c r="AF17"/>
      <c r="AG17"/>
      <c r="AH17"/>
    </row>
    <row r="18" spans="1:34" x14ac:dyDescent="0.25">
      <c r="A18" s="1" t="str">
        <f t="shared" si="0"/>
        <v>01 Evian + DMSO</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1706</v>
      </c>
      <c r="D18" s="1" t="s">
        <v>448</v>
      </c>
      <c r="E18" s="1" t="s">
        <v>1707</v>
      </c>
      <c r="F18" s="1" t="s">
        <v>112</v>
      </c>
      <c r="G18" s="1">
        <v>7981</v>
      </c>
      <c r="M18"/>
      <c r="N18"/>
      <c r="O18"/>
      <c r="P18"/>
      <c r="Q18"/>
      <c r="R18"/>
      <c r="S18"/>
      <c r="T18"/>
      <c r="U18"/>
      <c r="V18"/>
      <c r="W18"/>
      <c r="X18"/>
      <c r="Y18"/>
      <c r="Z18"/>
      <c r="AA18"/>
      <c r="AB18"/>
      <c r="AC18"/>
      <c r="AD18"/>
      <c r="AE18"/>
      <c r="AF18"/>
      <c r="AG18"/>
      <c r="AH18"/>
    </row>
    <row r="19" spans="1:34" x14ac:dyDescent="0.25">
      <c r="A19" s="1" t="str">
        <f t="shared" si="0"/>
        <v>01 Evian + DMSO</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1708</v>
      </c>
      <c r="D19" s="1" t="s">
        <v>1709</v>
      </c>
      <c r="E19" s="1" t="s">
        <v>1710</v>
      </c>
      <c r="F19" s="1" t="s">
        <v>112</v>
      </c>
      <c r="G19" s="1">
        <v>83989</v>
      </c>
      <c r="K19"/>
      <c r="L19"/>
      <c r="M19"/>
      <c r="N19"/>
      <c r="O19"/>
      <c r="P19"/>
      <c r="Q19"/>
      <c r="R19"/>
      <c r="S19"/>
      <c r="T19"/>
      <c r="U19"/>
      <c r="V19"/>
      <c r="W19"/>
      <c r="X19"/>
      <c r="Y19"/>
      <c r="Z19"/>
      <c r="AA19"/>
      <c r="AB19"/>
      <c r="AC19"/>
      <c r="AD19"/>
      <c r="AE19"/>
      <c r="AF19"/>
      <c r="AG19"/>
      <c r="AH19"/>
    </row>
    <row r="20" spans="1:34" x14ac:dyDescent="0.25">
      <c r="A20" s="1" t="str">
        <f t="shared" si="0"/>
        <v>01 Evian + DMSO</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1711</v>
      </c>
      <c r="D20" s="1" t="s">
        <v>1712</v>
      </c>
      <c r="E20" s="1" t="s">
        <v>1713</v>
      </c>
      <c r="F20" s="1" t="s">
        <v>112</v>
      </c>
      <c r="G20" s="1">
        <v>65063</v>
      </c>
      <c r="K20"/>
      <c r="L20"/>
      <c r="M20"/>
      <c r="N20"/>
      <c r="O20"/>
      <c r="P20"/>
      <c r="Q20"/>
      <c r="R20"/>
      <c r="S20"/>
      <c r="T20"/>
      <c r="U20"/>
      <c r="V20"/>
      <c r="W20"/>
      <c r="X20"/>
      <c r="Y20"/>
      <c r="Z20"/>
      <c r="AA20"/>
      <c r="AB20"/>
      <c r="AC20"/>
      <c r="AD20"/>
      <c r="AE20"/>
      <c r="AF20"/>
      <c r="AG20"/>
      <c r="AH20"/>
    </row>
    <row r="21" spans="1:34" x14ac:dyDescent="0.25">
      <c r="A21" s="1" t="str">
        <f t="shared" si="0"/>
        <v>01 Evian + DMSO</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1714</v>
      </c>
      <c r="D21" s="1" t="s">
        <v>1715</v>
      </c>
      <c r="E21" s="1" t="s">
        <v>1716</v>
      </c>
      <c r="F21" s="1" t="s">
        <v>112</v>
      </c>
      <c r="G21" s="1">
        <v>256617</v>
      </c>
      <c r="K21"/>
      <c r="L21"/>
      <c r="M21"/>
      <c r="N21"/>
      <c r="O21"/>
      <c r="P21"/>
      <c r="Q21"/>
      <c r="R21"/>
      <c r="S21"/>
      <c r="T21"/>
      <c r="U21"/>
      <c r="V21"/>
      <c r="W21"/>
      <c r="X21"/>
      <c r="Y21"/>
      <c r="Z21"/>
      <c r="AA21"/>
      <c r="AB21"/>
      <c r="AC21"/>
      <c r="AD21"/>
      <c r="AE21"/>
      <c r="AF21"/>
      <c r="AG21"/>
      <c r="AH21"/>
    </row>
    <row r="22" spans="1:34" x14ac:dyDescent="0.25">
      <c r="A22" s="1" t="str">
        <f t="shared" si="0"/>
        <v>01 Evian + DMSO</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1717</v>
      </c>
      <c r="D22" s="1" t="s">
        <v>1718</v>
      </c>
      <c r="E22" s="1" t="s">
        <v>1719</v>
      </c>
      <c r="F22" s="1" t="s">
        <v>112</v>
      </c>
      <c r="G22" s="1">
        <v>95345</v>
      </c>
      <c r="K22"/>
      <c r="L22"/>
      <c r="M22"/>
      <c r="N22"/>
      <c r="O22"/>
      <c r="P22"/>
      <c r="Q22"/>
      <c r="R22"/>
      <c r="S22"/>
      <c r="T22"/>
      <c r="U22"/>
      <c r="V22"/>
      <c r="W22"/>
      <c r="X22"/>
      <c r="Y22"/>
      <c r="Z22"/>
      <c r="AA22"/>
      <c r="AB22"/>
      <c r="AC22"/>
      <c r="AD22"/>
      <c r="AE22"/>
      <c r="AF22"/>
      <c r="AG22"/>
      <c r="AH22"/>
    </row>
    <row r="23" spans="1:34" x14ac:dyDescent="0.25">
      <c r="A23" s="1" t="str">
        <f t="shared" si="0"/>
        <v>01 Evian + DMSO</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1720</v>
      </c>
      <c r="D23" s="1" t="s">
        <v>179</v>
      </c>
      <c r="E23" s="1" t="s">
        <v>1721</v>
      </c>
      <c r="F23" s="1" t="s">
        <v>112</v>
      </c>
      <c r="G23" s="1">
        <v>9496</v>
      </c>
      <c r="K23"/>
      <c r="L23"/>
      <c r="M23"/>
      <c r="N23"/>
      <c r="O23"/>
      <c r="P23"/>
      <c r="Q23"/>
      <c r="R23"/>
      <c r="S23"/>
      <c r="T23"/>
      <c r="U23"/>
      <c r="V23"/>
      <c r="W23"/>
      <c r="X23"/>
      <c r="Y23"/>
      <c r="Z23"/>
      <c r="AA23"/>
      <c r="AB23"/>
      <c r="AC23"/>
      <c r="AD23"/>
      <c r="AE23"/>
      <c r="AF23"/>
      <c r="AG23"/>
      <c r="AH23"/>
    </row>
    <row r="24" spans="1:34" x14ac:dyDescent="0.25">
      <c r="A24" s="1" t="str">
        <f t="shared" si="0"/>
        <v>01 Evian + DMSO</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1722</v>
      </c>
      <c r="D24" s="1" t="s">
        <v>700</v>
      </c>
      <c r="E24" s="1" t="s">
        <v>1723</v>
      </c>
      <c r="F24" s="1" t="s">
        <v>112</v>
      </c>
      <c r="G24" s="1">
        <v>7073</v>
      </c>
      <c r="K24"/>
      <c r="L24"/>
      <c r="M24"/>
      <c r="N24"/>
      <c r="O24"/>
      <c r="P24"/>
      <c r="Q24"/>
      <c r="R24"/>
      <c r="S24"/>
      <c r="T24"/>
      <c r="U24"/>
      <c r="V24"/>
      <c r="W24"/>
      <c r="X24"/>
      <c r="Y24"/>
      <c r="Z24"/>
      <c r="AA24"/>
      <c r="AB24"/>
      <c r="AC24"/>
      <c r="AD24"/>
      <c r="AE24"/>
      <c r="AF24"/>
      <c r="AG24"/>
      <c r="AH24"/>
    </row>
    <row r="25" spans="1:34" x14ac:dyDescent="0.25">
      <c r="A25" s="1" t="str">
        <f t="shared" si="0"/>
        <v>01 Evian + DMSO</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1724</v>
      </c>
      <c r="D25" s="1" t="s">
        <v>186</v>
      </c>
      <c r="E25" s="1" t="s">
        <v>1725</v>
      </c>
      <c r="F25" s="1" t="s">
        <v>112</v>
      </c>
      <c r="G25" s="1">
        <v>11356</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240</v>
      </c>
      <c r="D27" s="1" t="s">
        <v>112</v>
      </c>
      <c r="E27" s="1" t="s">
        <v>241</v>
      </c>
      <c r="F27" s="1" t="s">
        <v>242</v>
      </c>
      <c r="G27" s="1" t="s">
        <v>243</v>
      </c>
      <c r="H27" s="1" t="s">
        <v>244</v>
      </c>
      <c r="I27" s="1" t="s">
        <v>245</v>
      </c>
      <c r="J27" s="1" t="s">
        <v>246</v>
      </c>
      <c r="K27"/>
      <c r="L27"/>
      <c r="M27"/>
      <c r="N27"/>
      <c r="O27"/>
      <c r="P27"/>
      <c r="Q27"/>
      <c r="R27"/>
      <c r="S27"/>
      <c r="T27"/>
      <c r="U27"/>
      <c r="V27"/>
      <c r="W27"/>
      <c r="X27"/>
      <c r="Y27"/>
      <c r="Z27"/>
      <c r="AA27"/>
      <c r="AB27"/>
      <c r="AC27"/>
      <c r="AD27"/>
      <c r="AE27"/>
      <c r="AF27"/>
      <c r="AG27"/>
      <c r="AH27"/>
    </row>
    <row r="28" spans="1:34" x14ac:dyDescent="0.25">
      <c r="A28" s="1" t="str">
        <f t="shared" si="0"/>
        <v>01 Evian + DMSO</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1726</v>
      </c>
      <c r="D28" s="1" t="s">
        <v>112</v>
      </c>
      <c r="E28" s="1" t="s">
        <v>1727</v>
      </c>
      <c r="F28" s="1" t="s">
        <v>1728</v>
      </c>
      <c r="G28" s="1" t="s">
        <v>1729</v>
      </c>
      <c r="H28" s="1" t="s">
        <v>1730</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252</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02 EE2 33.8 ng_L</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1731</v>
      </c>
      <c r="D35" s="1" t="s">
        <v>186</v>
      </c>
      <c r="E35" s="1" t="s">
        <v>774</v>
      </c>
      <c r="F35" s="1" t="s">
        <v>112</v>
      </c>
      <c r="G35" s="1">
        <v>10923</v>
      </c>
      <c r="K35"/>
      <c r="L35"/>
      <c r="M35"/>
      <c r="N35"/>
      <c r="O35"/>
      <c r="P35"/>
      <c r="Q35"/>
      <c r="R35"/>
      <c r="S35"/>
      <c r="T35"/>
      <c r="U35"/>
      <c r="V35"/>
      <c r="W35"/>
      <c r="X35"/>
      <c r="Y35"/>
      <c r="Z35"/>
      <c r="AA35"/>
      <c r="AB35"/>
      <c r="AC35"/>
      <c r="AD35"/>
      <c r="AE35"/>
      <c r="AF35"/>
      <c r="AG35"/>
      <c r="AH35"/>
    </row>
    <row r="36" spans="1:34" x14ac:dyDescent="0.25">
      <c r="A36" s="1" t="str">
        <f t="shared" si="0"/>
        <v>02 EE2 33.8 ng_L</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1732</v>
      </c>
      <c r="D36" s="1" t="s">
        <v>863</v>
      </c>
      <c r="E36" s="1" t="s">
        <v>1733</v>
      </c>
      <c r="F36" s="1" t="s">
        <v>112</v>
      </c>
      <c r="G36" s="1">
        <v>28660</v>
      </c>
      <c r="K36"/>
      <c r="L36"/>
      <c r="M36"/>
      <c r="N36"/>
      <c r="O36"/>
      <c r="P36"/>
      <c r="Q36"/>
      <c r="R36"/>
      <c r="S36"/>
      <c r="T36"/>
      <c r="U36"/>
      <c r="V36"/>
      <c r="W36"/>
      <c r="X36"/>
      <c r="Y36"/>
      <c r="Z36"/>
      <c r="AA36"/>
      <c r="AB36"/>
      <c r="AC36"/>
      <c r="AD36"/>
      <c r="AE36"/>
      <c r="AF36"/>
      <c r="AG36"/>
      <c r="AH36"/>
    </row>
    <row r="37" spans="1:34" x14ac:dyDescent="0.25">
      <c r="A37" s="1" t="str">
        <f t="shared" si="0"/>
        <v>02 EE2 33.8 ng_L</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1734</v>
      </c>
      <c r="D37" s="1" t="s">
        <v>416</v>
      </c>
      <c r="E37" s="1" t="s">
        <v>1735</v>
      </c>
      <c r="F37" s="1" t="s">
        <v>112</v>
      </c>
      <c r="G37" s="1">
        <v>23490</v>
      </c>
      <c r="K37"/>
      <c r="L37"/>
      <c r="M37"/>
      <c r="N37"/>
      <c r="O37"/>
      <c r="P37"/>
      <c r="Q37"/>
      <c r="R37"/>
      <c r="S37"/>
      <c r="T37"/>
      <c r="U37"/>
      <c r="V37"/>
      <c r="W37"/>
      <c r="X37"/>
      <c r="Y37"/>
      <c r="Z37"/>
      <c r="AA37"/>
      <c r="AB37"/>
      <c r="AC37"/>
      <c r="AD37"/>
      <c r="AE37"/>
      <c r="AF37"/>
      <c r="AG37"/>
      <c r="AH37"/>
    </row>
    <row r="38" spans="1:34" x14ac:dyDescent="0.25">
      <c r="A38" s="1" t="str">
        <f t="shared" si="0"/>
        <v>02 EE2 33.8 ng_L</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1736</v>
      </c>
      <c r="D38" s="1" t="s">
        <v>173</v>
      </c>
      <c r="E38" s="1" t="s">
        <v>1737</v>
      </c>
      <c r="F38" s="1" t="s">
        <v>112</v>
      </c>
      <c r="G38" s="1">
        <v>19315</v>
      </c>
      <c r="K38"/>
      <c r="L38"/>
      <c r="M38"/>
      <c r="N38"/>
      <c r="O38"/>
      <c r="P38"/>
      <c r="Q38"/>
      <c r="R38"/>
      <c r="S38"/>
      <c r="T38"/>
      <c r="U38"/>
      <c r="V38"/>
      <c r="W38"/>
      <c r="X38"/>
      <c r="Y38"/>
      <c r="Z38"/>
      <c r="AA38"/>
      <c r="AB38"/>
      <c r="AC38"/>
      <c r="AD38"/>
      <c r="AE38"/>
      <c r="AF38"/>
      <c r="AG38"/>
      <c r="AH38"/>
    </row>
    <row r="39" spans="1:34" x14ac:dyDescent="0.25">
      <c r="A39" s="1" t="str">
        <f t="shared" si="0"/>
        <v>02 EE2 33.8 ng_L</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1738</v>
      </c>
      <c r="D39" s="1" t="s">
        <v>1739</v>
      </c>
      <c r="E39" s="1" t="s">
        <v>1740</v>
      </c>
      <c r="F39" s="1" t="s">
        <v>112</v>
      </c>
      <c r="G39" s="1">
        <v>99281</v>
      </c>
    </row>
    <row r="40" spans="1:34" x14ac:dyDescent="0.25">
      <c r="A40" s="1" t="str">
        <f t="shared" si="0"/>
        <v>02 EE2 33.8 ng_L</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1741</v>
      </c>
      <c r="D40" s="1" t="s">
        <v>897</v>
      </c>
      <c r="E40" s="1" t="s">
        <v>1742</v>
      </c>
      <c r="F40" s="1" t="s">
        <v>112</v>
      </c>
      <c r="G40" s="1">
        <v>261246</v>
      </c>
    </row>
    <row r="41" spans="1:34" x14ac:dyDescent="0.25">
      <c r="A41" s="1" t="str">
        <f t="shared" si="0"/>
        <v>02 EE2 33.8 ng_L</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1743</v>
      </c>
    </row>
    <row r="42" spans="1:34" x14ac:dyDescent="0.25">
      <c r="A42" s="1" t="str">
        <f t="shared" si="0"/>
        <v>02 EE2 33.8 ng_L</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1744</v>
      </c>
    </row>
    <row r="43" spans="1:34" x14ac:dyDescent="0.25">
      <c r="A43" s="1" t="str">
        <f t="shared" si="0"/>
        <v>02 EE2 33.8 ng_L</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1745</v>
      </c>
      <c r="D43" s="1" t="s">
        <v>173</v>
      </c>
      <c r="E43" s="1" t="s">
        <v>1746</v>
      </c>
      <c r="F43" s="1" t="s">
        <v>112</v>
      </c>
      <c r="G43" s="1">
        <v>19640</v>
      </c>
    </row>
    <row r="44" spans="1:34" x14ac:dyDescent="0.25">
      <c r="A44" s="1" t="str">
        <f t="shared" si="0"/>
        <v>02 EE2 33.8 ng_L</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1747</v>
      </c>
    </row>
    <row r="45" spans="1:34" x14ac:dyDescent="0.25">
      <c r="A45" s="1" t="str">
        <f t="shared" si="0"/>
        <v>02 EE2 33.8 ng_L</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1748</v>
      </c>
      <c r="D45" s="1" t="s">
        <v>1749</v>
      </c>
      <c r="E45" s="1" t="s">
        <v>1750</v>
      </c>
      <c r="F45" s="1" t="s">
        <v>112</v>
      </c>
      <c r="G45" s="1">
        <v>581368</v>
      </c>
    </row>
    <row r="46" spans="1:34" x14ac:dyDescent="0.25">
      <c r="A46" s="1" t="str">
        <f t="shared" si="0"/>
        <v>02 EE2 33.8 ng_L</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1751</v>
      </c>
      <c r="D46" s="1" t="s">
        <v>1752</v>
      </c>
      <c r="E46" s="1" t="s">
        <v>1753</v>
      </c>
      <c r="F46" s="1" t="s">
        <v>112</v>
      </c>
      <c r="G46" s="1">
        <v>389987</v>
      </c>
    </row>
    <row r="47" spans="1:34" x14ac:dyDescent="0.25">
      <c r="A47" s="1" t="str">
        <f t="shared" si="0"/>
        <v>02 EE2 33.8 ng_L</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1754</v>
      </c>
      <c r="D47" s="1" t="s">
        <v>231</v>
      </c>
      <c r="E47" s="1">
        <v>65</v>
      </c>
      <c r="F47" s="1" t="s">
        <v>112</v>
      </c>
      <c r="G47" s="1">
        <v>146218</v>
      </c>
    </row>
    <row r="48" spans="1:34" x14ac:dyDescent="0.25">
      <c r="A48" s="1" t="str">
        <f t="shared" si="0"/>
        <v>02 EE2 33.8 ng_L</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1755</v>
      </c>
      <c r="D48" s="1" t="s">
        <v>795</v>
      </c>
      <c r="E48" s="1" t="s">
        <v>285</v>
      </c>
      <c r="F48" s="1" t="s">
        <v>112</v>
      </c>
      <c r="G48" s="1">
        <v>54832</v>
      </c>
    </row>
    <row r="49" spans="1:10" x14ac:dyDescent="0.25">
      <c r="A49" s="1" t="str">
        <f t="shared" si="0"/>
        <v>02 EE2 33.8 ng_L</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1756</v>
      </c>
      <c r="D49" s="1" t="s">
        <v>364</v>
      </c>
      <c r="E49" s="1" t="s">
        <v>1757</v>
      </c>
      <c r="F49" s="1" t="s">
        <v>112</v>
      </c>
      <c r="G49" s="1">
        <v>84768</v>
      </c>
    </row>
    <row r="50" spans="1:10" x14ac:dyDescent="0.25">
      <c r="A50" s="1" t="str">
        <f t="shared" si="0"/>
        <v>02 EE2 33.8 ng_L</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1758</v>
      </c>
      <c r="D50" s="1" t="s">
        <v>1759</v>
      </c>
      <c r="E50" s="1" t="s">
        <v>1760</v>
      </c>
      <c r="F50" s="1" t="s">
        <v>112</v>
      </c>
      <c r="G50" s="1">
        <v>12221</v>
      </c>
    </row>
    <row r="51" spans="1:10" x14ac:dyDescent="0.25">
      <c r="A51" s="1" t="str">
        <f t="shared" si="0"/>
        <v>02 EE2 33.8 ng_L</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1761</v>
      </c>
      <c r="D51" s="1" t="s">
        <v>880</v>
      </c>
      <c r="E51" s="1" t="s">
        <v>1762</v>
      </c>
      <c r="F51" s="1" t="s">
        <v>112</v>
      </c>
      <c r="G51" s="1">
        <v>15163</v>
      </c>
    </row>
    <row r="52" spans="1:10" x14ac:dyDescent="0.25">
      <c r="A52" s="1" t="str">
        <f t="shared" si="0"/>
        <v>02 EE2 33.8 ng_L</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1763</v>
      </c>
      <c r="D52" s="1" t="s">
        <v>182</v>
      </c>
      <c r="E52" s="1" t="s">
        <v>1764</v>
      </c>
      <c r="F52" s="1" t="s">
        <v>112</v>
      </c>
      <c r="G52" s="1">
        <v>27600</v>
      </c>
    </row>
    <row r="53" spans="1:10" x14ac:dyDescent="0.25">
      <c r="A53" s="1" t="str">
        <f t="shared" si="0"/>
        <v>02 EE2 33.8 ng_L</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1765</v>
      </c>
      <c r="D53" s="1" t="s">
        <v>1766</v>
      </c>
      <c r="E53" s="1" t="s">
        <v>1767</v>
      </c>
      <c r="F53" s="1" t="s">
        <v>112</v>
      </c>
      <c r="G53" s="1">
        <v>37312</v>
      </c>
    </row>
    <row r="54" spans="1:10" x14ac:dyDescent="0.25">
      <c r="A54" s="1" t="str">
        <f t="shared" si="0"/>
        <v>02 EE2 33.8 ng_L</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1768</v>
      </c>
      <c r="D54" s="1" t="s">
        <v>975</v>
      </c>
      <c r="E54" s="1" t="s">
        <v>1769</v>
      </c>
      <c r="F54" s="1" t="s">
        <v>112</v>
      </c>
      <c r="G54" s="1">
        <v>174813</v>
      </c>
    </row>
    <row r="55" spans="1:10" x14ac:dyDescent="0.25">
      <c r="A55" s="1" t="str">
        <f t="shared" si="0"/>
        <v>02 EE2 33.8 ng_L</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1770</v>
      </c>
      <c r="D55" s="1" t="s">
        <v>1771</v>
      </c>
      <c r="E55" s="1" t="s">
        <v>1772</v>
      </c>
      <c r="F55" s="1" t="s">
        <v>112</v>
      </c>
      <c r="G55" s="1">
        <v>40340</v>
      </c>
    </row>
    <row r="56" spans="1:10" x14ac:dyDescent="0.25">
      <c r="A56" s="1" t="str">
        <f t="shared" si="0"/>
        <v>02 EE2 33.8 ng_L</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1773</v>
      </c>
      <c r="D56" s="1" t="s">
        <v>408</v>
      </c>
      <c r="E56" s="1" t="s">
        <v>1774</v>
      </c>
      <c r="F56" s="1" t="s">
        <v>112</v>
      </c>
      <c r="G56" s="1">
        <v>117364</v>
      </c>
    </row>
    <row r="57" spans="1:10" x14ac:dyDescent="0.25">
      <c r="A57" s="1" t="str">
        <f t="shared" si="0"/>
        <v>02 EE2 33.8 ng_L</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1775</v>
      </c>
      <c r="D57" s="1" t="s">
        <v>1776</v>
      </c>
      <c r="E57" s="1" t="s">
        <v>1777</v>
      </c>
      <c r="F57" s="1" t="s">
        <v>112</v>
      </c>
      <c r="G57" s="1">
        <v>169384</v>
      </c>
    </row>
    <row r="58" spans="1:10" x14ac:dyDescent="0.25">
      <c r="A58" s="1" t="str">
        <f t="shared" si="0"/>
        <v>02 EE2 33.8 ng_L</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1778</v>
      </c>
      <c r="D58" s="1" t="s">
        <v>1220</v>
      </c>
      <c r="E58" s="1" t="s">
        <v>1779</v>
      </c>
      <c r="F58" s="1" t="s">
        <v>112</v>
      </c>
      <c r="G58" s="1">
        <v>84897</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240</v>
      </c>
      <c r="D60" s="1" t="s">
        <v>112</v>
      </c>
      <c r="E60" s="1" t="s">
        <v>241</v>
      </c>
      <c r="F60" s="1" t="s">
        <v>242</v>
      </c>
      <c r="G60" s="1" t="s">
        <v>243</v>
      </c>
      <c r="H60" s="1" t="s">
        <v>244</v>
      </c>
      <c r="I60" s="1" t="s">
        <v>245</v>
      </c>
      <c r="J60" s="1" t="s">
        <v>246</v>
      </c>
    </row>
    <row r="61" spans="1:10" x14ac:dyDescent="0.25">
      <c r="A61" s="1" t="str">
        <f t="shared" si="0"/>
        <v>02 EE2 33.8 ng_L</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1780</v>
      </c>
      <c r="D61" s="1" t="s">
        <v>112</v>
      </c>
      <c r="E61" s="1" t="s">
        <v>1781</v>
      </c>
      <c r="F61" s="1" t="s">
        <v>1782</v>
      </c>
      <c r="G61" s="1" t="s">
        <v>1783</v>
      </c>
      <c r="H61" s="1" t="s">
        <v>1784</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252</v>
      </c>
      <c r="D67" s="1" t="s">
        <v>110</v>
      </c>
      <c r="E67" s="1" t="s">
        <v>111</v>
      </c>
      <c r="F67" s="1" t="s">
        <v>112</v>
      </c>
      <c r="G67" s="1" t="s">
        <v>113</v>
      </c>
    </row>
    <row r="68" spans="1:7" x14ac:dyDescent="0.25">
      <c r="A68" s="1" t="str">
        <f t="shared" si="1"/>
        <v>03 EE2 50.6 ng_L</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1785</v>
      </c>
      <c r="D68" s="1" t="s">
        <v>425</v>
      </c>
      <c r="E68" s="1" t="s">
        <v>1786</v>
      </c>
      <c r="F68" s="1" t="s">
        <v>112</v>
      </c>
      <c r="G68" s="1">
        <v>402749</v>
      </c>
    </row>
    <row r="69" spans="1:7" x14ac:dyDescent="0.25">
      <c r="A69" s="1" t="str">
        <f t="shared" si="1"/>
        <v>03 EE2 50.6 ng_L</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1787</v>
      </c>
      <c r="D69" s="1" t="s">
        <v>231</v>
      </c>
      <c r="E69" s="1" t="s">
        <v>1788</v>
      </c>
      <c r="F69" s="1" t="s">
        <v>112</v>
      </c>
      <c r="G69" s="1">
        <v>152080</v>
      </c>
    </row>
    <row r="70" spans="1:7" x14ac:dyDescent="0.25">
      <c r="A70" s="1" t="str">
        <f t="shared" si="1"/>
        <v>03 EE2 50.6 ng_L</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1789</v>
      </c>
      <c r="D70" s="1" t="s">
        <v>839</v>
      </c>
      <c r="E70" s="1" t="s">
        <v>1790</v>
      </c>
      <c r="F70" s="1" t="s">
        <v>112</v>
      </c>
      <c r="G70" s="1">
        <v>173039</v>
      </c>
    </row>
    <row r="71" spans="1:7" x14ac:dyDescent="0.25">
      <c r="A71" s="1" t="str">
        <f t="shared" si="1"/>
        <v>03 EE2 50.6 ng_L</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1791</v>
      </c>
      <c r="D71" s="1" t="s">
        <v>358</v>
      </c>
      <c r="E71" s="1" t="s">
        <v>1792</v>
      </c>
      <c r="F71" s="1" t="s">
        <v>112</v>
      </c>
      <c r="G71" s="1">
        <v>38891</v>
      </c>
    </row>
    <row r="72" spans="1:7" x14ac:dyDescent="0.25">
      <c r="A72" s="1" t="str">
        <f t="shared" si="1"/>
        <v>03 EE2 50.6 ng_L</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1793</v>
      </c>
      <c r="D72" s="1" t="s">
        <v>1260</v>
      </c>
      <c r="E72" s="1" t="s">
        <v>1794</v>
      </c>
      <c r="F72" s="1" t="s">
        <v>112</v>
      </c>
      <c r="G72" s="1">
        <v>66404</v>
      </c>
    </row>
    <row r="73" spans="1:7" x14ac:dyDescent="0.25">
      <c r="A73" s="1" t="str">
        <f t="shared" si="1"/>
        <v>03 EE2 50.6 ng_L</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1795</v>
      </c>
      <c r="D73" s="1" t="s">
        <v>358</v>
      </c>
      <c r="E73" s="1" t="s">
        <v>1796</v>
      </c>
      <c r="F73" s="1" t="s">
        <v>112</v>
      </c>
      <c r="G73" s="1">
        <v>35949</v>
      </c>
    </row>
    <row r="74" spans="1:7" x14ac:dyDescent="0.25">
      <c r="A74" s="1" t="str">
        <f t="shared" si="1"/>
        <v>03 EE2 50.6 ng_L</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1797</v>
      </c>
      <c r="D74" s="1" t="s">
        <v>1798</v>
      </c>
      <c r="E74" s="1" t="s">
        <v>1799</v>
      </c>
      <c r="F74" s="1" t="s">
        <v>112</v>
      </c>
      <c r="G74" s="1">
        <v>56151</v>
      </c>
    </row>
    <row r="75" spans="1:7" x14ac:dyDescent="0.25">
      <c r="A75" s="1" t="str">
        <f t="shared" si="1"/>
        <v>03 EE2 50.6 ng_L</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1800</v>
      </c>
      <c r="D75" s="1" t="s">
        <v>951</v>
      </c>
      <c r="E75" s="1" t="s">
        <v>1801</v>
      </c>
      <c r="F75" s="1" t="s">
        <v>112</v>
      </c>
      <c r="G75" s="1">
        <v>130796</v>
      </c>
    </row>
    <row r="76" spans="1:7" x14ac:dyDescent="0.25">
      <c r="A76" s="1" t="str">
        <f t="shared" si="1"/>
        <v>03 EE2 50.6 ng_L</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1802</v>
      </c>
      <c r="D76" s="1" t="s">
        <v>1803</v>
      </c>
      <c r="E76" s="1" t="s">
        <v>1804</v>
      </c>
      <c r="F76" s="1" t="s">
        <v>112</v>
      </c>
      <c r="G76" s="1">
        <v>325162</v>
      </c>
    </row>
    <row r="77" spans="1:7" x14ac:dyDescent="0.25">
      <c r="A77" s="1" t="str">
        <f t="shared" si="1"/>
        <v>03 EE2 50.6 ng_L</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1805</v>
      </c>
      <c r="D77" s="1" t="s">
        <v>216</v>
      </c>
      <c r="E77" s="1" t="s">
        <v>1806</v>
      </c>
      <c r="F77" s="1" t="s">
        <v>112</v>
      </c>
      <c r="G77" s="1">
        <v>21500</v>
      </c>
    </row>
    <row r="78" spans="1:7" x14ac:dyDescent="0.25">
      <c r="A78" s="1" t="str">
        <f t="shared" si="1"/>
        <v>03 EE2 50.6 ng_L</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1807</v>
      </c>
      <c r="D78" s="1" t="s">
        <v>1808</v>
      </c>
      <c r="E78" s="1" t="s">
        <v>1809</v>
      </c>
      <c r="F78" s="1" t="s">
        <v>112</v>
      </c>
      <c r="G78" s="1">
        <v>82150</v>
      </c>
    </row>
    <row r="79" spans="1:7" x14ac:dyDescent="0.25">
      <c r="A79" s="1" t="str">
        <f t="shared" si="1"/>
        <v>03 EE2 50.6 ng_L</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1810</v>
      </c>
      <c r="D79" s="1" t="s">
        <v>954</v>
      </c>
      <c r="E79" s="1" t="s">
        <v>1811</v>
      </c>
      <c r="F79" s="1" t="s">
        <v>112</v>
      </c>
      <c r="G79" s="1">
        <v>83729</v>
      </c>
    </row>
    <row r="80" spans="1:7" x14ac:dyDescent="0.25">
      <c r="A80" s="1" t="str">
        <f t="shared" si="1"/>
        <v>03 EE2 50.6 ng_L</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1812</v>
      </c>
      <c r="D80" s="1" t="s">
        <v>884</v>
      </c>
      <c r="E80" s="1" t="s">
        <v>1813</v>
      </c>
      <c r="F80" s="1" t="s">
        <v>112</v>
      </c>
      <c r="G80" s="1">
        <v>32921</v>
      </c>
    </row>
    <row r="81" spans="1:10" x14ac:dyDescent="0.25">
      <c r="A81" s="1" t="str">
        <f t="shared" si="1"/>
        <v>03 EE2 50.6 ng_L</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1814</v>
      </c>
      <c r="D81" s="1" t="s">
        <v>173</v>
      </c>
      <c r="E81" s="1" t="s">
        <v>1815</v>
      </c>
      <c r="F81" s="1" t="s">
        <v>112</v>
      </c>
      <c r="G81" s="1">
        <v>19034</v>
      </c>
    </row>
    <row r="82" spans="1:10" x14ac:dyDescent="0.25">
      <c r="A82" s="1" t="str">
        <f t="shared" si="1"/>
        <v>03 EE2 50.6 ng_L</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1816</v>
      </c>
      <c r="D82" s="1" t="s">
        <v>388</v>
      </c>
      <c r="E82" s="1" t="s">
        <v>1817</v>
      </c>
      <c r="F82" s="1" t="s">
        <v>112</v>
      </c>
      <c r="G82" s="1">
        <v>436686</v>
      </c>
    </row>
    <row r="83" spans="1:10" x14ac:dyDescent="0.25">
      <c r="A83" s="1" t="str">
        <f t="shared" si="1"/>
        <v>03 EE2 50.6 ng_L</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1818</v>
      </c>
      <c r="D83" s="1" t="s">
        <v>1819</v>
      </c>
      <c r="E83" s="1" t="s">
        <v>1820</v>
      </c>
      <c r="F83" s="1" t="s">
        <v>112</v>
      </c>
      <c r="G83" s="1">
        <v>284303</v>
      </c>
    </row>
    <row r="84" spans="1:10" x14ac:dyDescent="0.25">
      <c r="A84" s="1" t="str">
        <f t="shared" si="1"/>
        <v>03 EE2 50.6 ng_L</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1821</v>
      </c>
      <c r="D84" s="1" t="s">
        <v>1822</v>
      </c>
      <c r="E84" s="1" t="s">
        <v>1823</v>
      </c>
      <c r="F84" s="1" t="s">
        <v>112</v>
      </c>
      <c r="G84" s="1">
        <v>224583</v>
      </c>
    </row>
    <row r="85" spans="1:10" x14ac:dyDescent="0.25">
      <c r="A85" s="1" t="str">
        <f t="shared" si="1"/>
        <v>03 EE2 50.6 ng_L</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1824</v>
      </c>
      <c r="D85" s="1" t="s">
        <v>1825</v>
      </c>
      <c r="E85" s="1" t="s">
        <v>1826</v>
      </c>
      <c r="F85" s="1" t="s">
        <v>112</v>
      </c>
      <c r="G85" s="1">
        <v>246429</v>
      </c>
    </row>
    <row r="86" spans="1:10" x14ac:dyDescent="0.25">
      <c r="A86" s="1" t="str">
        <f t="shared" si="1"/>
        <v>03 EE2 50.6 ng_L</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1827</v>
      </c>
      <c r="D86" s="1" t="s">
        <v>880</v>
      </c>
      <c r="E86" s="1" t="s">
        <v>1828</v>
      </c>
      <c r="F86" s="1" t="s">
        <v>112</v>
      </c>
      <c r="G86" s="1">
        <v>15292</v>
      </c>
    </row>
    <row r="87" spans="1:10" x14ac:dyDescent="0.25">
      <c r="A87" s="1" t="str">
        <f t="shared" si="1"/>
        <v>03 EE2 50.6 ng_L</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1829</v>
      </c>
      <c r="D87" s="1" t="s">
        <v>364</v>
      </c>
      <c r="E87" s="1" t="s">
        <v>1830</v>
      </c>
      <c r="F87" s="1" t="s">
        <v>112</v>
      </c>
      <c r="G87" s="1">
        <v>81891</v>
      </c>
    </row>
    <row r="88" spans="1:10" x14ac:dyDescent="0.25">
      <c r="A88" s="1" t="str">
        <f t="shared" si="1"/>
        <v>03 EE2 50.6 ng_L</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1831</v>
      </c>
      <c r="D88" s="1" t="s">
        <v>1220</v>
      </c>
      <c r="E88" s="1" t="s">
        <v>1832</v>
      </c>
      <c r="F88" s="1" t="s">
        <v>112</v>
      </c>
      <c r="G88" s="1">
        <v>88055</v>
      </c>
    </row>
    <row r="89" spans="1:10" x14ac:dyDescent="0.25">
      <c r="A89" s="1" t="str">
        <f t="shared" si="1"/>
        <v>03 EE2 50.6 ng_L</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1833</v>
      </c>
      <c r="D89" s="1" t="s">
        <v>734</v>
      </c>
      <c r="E89" s="1" t="s">
        <v>1834</v>
      </c>
      <c r="F89" s="1" t="s">
        <v>112</v>
      </c>
      <c r="G89" s="1">
        <v>58725</v>
      </c>
    </row>
    <row r="90" spans="1:10" x14ac:dyDescent="0.25">
      <c r="A90" s="1" t="str">
        <f t="shared" si="1"/>
        <v>03 EE2 50.6 ng_L</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1835</v>
      </c>
      <c r="D90" s="1" t="s">
        <v>1836</v>
      </c>
      <c r="E90" s="1" t="s">
        <v>1837</v>
      </c>
      <c r="F90" s="1" t="s">
        <v>112</v>
      </c>
      <c r="G90" s="1">
        <v>677297</v>
      </c>
    </row>
    <row r="91" spans="1:10" x14ac:dyDescent="0.25">
      <c r="A91" s="1" t="str">
        <f t="shared" si="1"/>
        <v>03 EE2 50.6 ng_L</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1838</v>
      </c>
      <c r="D91" s="1" t="s">
        <v>1281</v>
      </c>
      <c r="E91" s="1" t="s">
        <v>1839</v>
      </c>
      <c r="F91" s="1" t="s">
        <v>112</v>
      </c>
      <c r="G91" s="1">
        <v>218765</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240</v>
      </c>
      <c r="D93" s="1" t="s">
        <v>112</v>
      </c>
      <c r="E93" s="1" t="s">
        <v>241</v>
      </c>
      <c r="F93" s="1" t="s">
        <v>242</v>
      </c>
      <c r="G93" s="1" t="s">
        <v>243</v>
      </c>
      <c r="H93" s="1" t="s">
        <v>244</v>
      </c>
      <c r="I93" s="1" t="s">
        <v>245</v>
      </c>
      <c r="J93" s="1" t="s">
        <v>246</v>
      </c>
    </row>
    <row r="94" spans="1:10" x14ac:dyDescent="0.25">
      <c r="A94" s="1" t="str">
        <f t="shared" si="1"/>
        <v>03 EE2 50.6 ng_L</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1840</v>
      </c>
      <c r="D94" s="1" t="s">
        <v>112</v>
      </c>
      <c r="E94" s="1" t="s">
        <v>1841</v>
      </c>
      <c r="F94" s="1" t="s">
        <v>1842</v>
      </c>
      <c r="G94" s="1" t="s">
        <v>1843</v>
      </c>
      <c r="H94" s="1" t="s">
        <v>1844</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252</v>
      </c>
      <c r="D100" s="1" t="s">
        <v>110</v>
      </c>
      <c r="E100" s="1" t="s">
        <v>111</v>
      </c>
      <c r="F100" s="1" t="s">
        <v>112</v>
      </c>
      <c r="G100" s="1" t="s">
        <v>113</v>
      </c>
    </row>
    <row r="101" spans="1:7" x14ac:dyDescent="0.25">
      <c r="A101" s="1" t="str">
        <f t="shared" si="1"/>
        <v>04 EE2 76 ng_L</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1845</v>
      </c>
      <c r="D101" s="1" t="s">
        <v>1846</v>
      </c>
      <c r="E101" s="1" t="s">
        <v>208</v>
      </c>
      <c r="F101" s="1" t="s">
        <v>112</v>
      </c>
      <c r="G101" s="1">
        <v>236826</v>
      </c>
    </row>
    <row r="102" spans="1:7" x14ac:dyDescent="0.25">
      <c r="A102" s="1" t="str">
        <f t="shared" si="1"/>
        <v>04 EE2 76 ng_L</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1847</v>
      </c>
      <c r="D102" s="1" t="s">
        <v>1848</v>
      </c>
      <c r="E102" s="1" t="s">
        <v>1849</v>
      </c>
      <c r="F102" s="1" t="s">
        <v>112</v>
      </c>
      <c r="G102" s="1">
        <v>136636</v>
      </c>
    </row>
    <row r="103" spans="1:7" x14ac:dyDescent="0.25">
      <c r="A103" s="1" t="str">
        <f t="shared" si="1"/>
        <v>04 EE2 76 ng_L</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1850</v>
      </c>
      <c r="D103" s="1" t="s">
        <v>1851</v>
      </c>
      <c r="E103" s="1" t="s">
        <v>1852</v>
      </c>
      <c r="F103" s="1" t="s">
        <v>112</v>
      </c>
      <c r="G103" s="1">
        <v>153507</v>
      </c>
    </row>
    <row r="104" spans="1:7" x14ac:dyDescent="0.25">
      <c r="A104" s="1" t="str">
        <f t="shared" si="1"/>
        <v>04 EE2 76 ng_L</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1853</v>
      </c>
      <c r="D104" s="1" t="s">
        <v>1854</v>
      </c>
      <c r="E104" s="1" t="s">
        <v>1855</v>
      </c>
      <c r="F104" s="1" t="s">
        <v>112</v>
      </c>
      <c r="G104" s="1">
        <v>664622</v>
      </c>
    </row>
    <row r="105" spans="1:7" x14ac:dyDescent="0.25">
      <c r="A105" s="1" t="str">
        <f t="shared" si="1"/>
        <v>04 EE2 76 ng_L</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1856</v>
      </c>
      <c r="D105" s="1" t="s">
        <v>1857</v>
      </c>
      <c r="E105" s="1" t="s">
        <v>1858</v>
      </c>
      <c r="F105" s="1" t="s">
        <v>112</v>
      </c>
      <c r="G105" s="1">
        <v>799160</v>
      </c>
    </row>
    <row r="106" spans="1:7" x14ac:dyDescent="0.25">
      <c r="A106" s="1" t="str">
        <f t="shared" si="1"/>
        <v>04 EE2 76 ng_L</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1859</v>
      </c>
      <c r="D106" s="1" t="s">
        <v>1860</v>
      </c>
      <c r="E106" s="1" t="s">
        <v>1861</v>
      </c>
      <c r="F106" s="1" t="s">
        <v>112</v>
      </c>
      <c r="G106" s="1">
        <v>592637</v>
      </c>
    </row>
    <row r="107" spans="1:7" x14ac:dyDescent="0.25">
      <c r="A107" s="1" t="str">
        <f t="shared" si="1"/>
        <v>04 EE2 76 ng_L</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1862</v>
      </c>
      <c r="D107" s="1" t="s">
        <v>1803</v>
      </c>
      <c r="E107" s="1" t="s">
        <v>1863</v>
      </c>
      <c r="F107" s="1" t="s">
        <v>112</v>
      </c>
      <c r="G107" s="1">
        <v>335869</v>
      </c>
    </row>
    <row r="108" spans="1:7" x14ac:dyDescent="0.25">
      <c r="A108" s="1" t="str">
        <f t="shared" si="1"/>
        <v>04 EE2 76 ng_L</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1864</v>
      </c>
      <c r="D108" s="1" t="s">
        <v>1865</v>
      </c>
      <c r="E108" s="1" t="s">
        <v>1866</v>
      </c>
      <c r="F108" s="1" t="s">
        <v>112</v>
      </c>
      <c r="G108" s="1">
        <v>316337</v>
      </c>
    </row>
    <row r="109" spans="1:7" x14ac:dyDescent="0.25">
      <c r="A109" s="1" t="str">
        <f t="shared" si="1"/>
        <v>04 EE2 76 ng_L</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1867</v>
      </c>
      <c r="D109" s="1" t="s">
        <v>273</v>
      </c>
      <c r="E109" s="1" t="s">
        <v>1868</v>
      </c>
      <c r="F109" s="1" t="s">
        <v>112</v>
      </c>
      <c r="G109" s="1">
        <v>47889</v>
      </c>
    </row>
    <row r="110" spans="1:7" x14ac:dyDescent="0.25">
      <c r="A110" s="1" t="str">
        <f t="shared" si="1"/>
        <v>04 EE2 76 ng_L</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1869</v>
      </c>
      <c r="D110" s="1" t="s">
        <v>1870</v>
      </c>
      <c r="E110" s="1" t="s">
        <v>1871</v>
      </c>
      <c r="F110" s="1" t="s">
        <v>112</v>
      </c>
      <c r="G110" s="1">
        <v>1210149</v>
      </c>
    </row>
    <row r="111" spans="1:7" x14ac:dyDescent="0.25">
      <c r="A111" s="1" t="str">
        <f t="shared" si="1"/>
        <v>04 EE2 76 ng_L</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1872</v>
      </c>
      <c r="D111" s="1" t="s">
        <v>1494</v>
      </c>
      <c r="E111" s="1" t="s">
        <v>1873</v>
      </c>
      <c r="F111" s="1" t="s">
        <v>112</v>
      </c>
      <c r="G111" s="1">
        <v>1092677</v>
      </c>
    </row>
    <row r="112" spans="1:7" x14ac:dyDescent="0.25">
      <c r="A112" s="1" t="str">
        <f t="shared" si="1"/>
        <v>04 EE2 76 ng_L</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1874</v>
      </c>
      <c r="D112" s="1" t="s">
        <v>1875</v>
      </c>
      <c r="E112" s="1" t="s">
        <v>1876</v>
      </c>
      <c r="F112" s="1" t="s">
        <v>112</v>
      </c>
      <c r="G112" s="1">
        <v>1185188</v>
      </c>
    </row>
    <row r="113" spans="1:10" x14ac:dyDescent="0.25">
      <c r="A113" s="1" t="str">
        <f t="shared" si="1"/>
        <v>04 EE2 76 ng_L</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1877</v>
      </c>
      <c r="D113" s="1" t="s">
        <v>833</v>
      </c>
      <c r="E113" s="1" t="s">
        <v>1878</v>
      </c>
      <c r="F113" s="1" t="s">
        <v>112</v>
      </c>
      <c r="G113" s="1">
        <v>166464</v>
      </c>
    </row>
    <row r="114" spans="1:10" x14ac:dyDescent="0.25">
      <c r="A114" s="1" t="str">
        <f t="shared" si="1"/>
        <v>04 EE2 76 ng_L</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1879</v>
      </c>
      <c r="D114" s="1" t="s">
        <v>338</v>
      </c>
      <c r="E114" s="1" t="s">
        <v>1880</v>
      </c>
      <c r="F114" s="1" t="s">
        <v>112</v>
      </c>
      <c r="G114" s="1">
        <v>45358</v>
      </c>
    </row>
    <row r="115" spans="1:10" x14ac:dyDescent="0.25">
      <c r="A115" s="1" t="str">
        <f t="shared" si="1"/>
        <v>04 EE2 76 ng_L</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1881</v>
      </c>
      <c r="D115" s="1" t="s">
        <v>213</v>
      </c>
      <c r="E115" s="1" t="s">
        <v>1882</v>
      </c>
      <c r="F115" s="1" t="s">
        <v>112</v>
      </c>
      <c r="G115" s="1">
        <v>151863</v>
      </c>
    </row>
    <row r="116" spans="1:10" x14ac:dyDescent="0.25">
      <c r="A116" s="1" t="str">
        <f t="shared" si="1"/>
        <v>04 EE2 76 ng_L</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1883</v>
      </c>
      <c r="D116" s="1" t="s">
        <v>1884</v>
      </c>
      <c r="E116" s="1" t="s">
        <v>1511</v>
      </c>
      <c r="F116" s="1" t="s">
        <v>112</v>
      </c>
      <c r="G116" s="1">
        <v>101120</v>
      </c>
    </row>
    <row r="117" spans="1:10" x14ac:dyDescent="0.25">
      <c r="A117" s="1" t="str">
        <f t="shared" si="1"/>
        <v>04 EE2 76 ng_L</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1885</v>
      </c>
      <c r="D117" s="1" t="s">
        <v>1886</v>
      </c>
      <c r="E117" s="1" t="s">
        <v>1887</v>
      </c>
      <c r="F117" s="1" t="s">
        <v>112</v>
      </c>
      <c r="G117" s="1">
        <v>359878</v>
      </c>
    </row>
    <row r="118" spans="1:10" x14ac:dyDescent="0.25">
      <c r="A118" s="1" t="str">
        <f t="shared" si="1"/>
        <v>04 EE2 76 ng_L</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1888</v>
      </c>
      <c r="D118" s="1" t="s">
        <v>1889</v>
      </c>
      <c r="E118" s="1" t="s">
        <v>1890</v>
      </c>
      <c r="F118" s="1" t="s">
        <v>112</v>
      </c>
      <c r="G118" s="1">
        <v>395568</v>
      </c>
    </row>
    <row r="119" spans="1:10" x14ac:dyDescent="0.25">
      <c r="A119" s="1" t="str">
        <f t="shared" si="1"/>
        <v>04 EE2 76 ng_L</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1891</v>
      </c>
      <c r="D119" s="1" t="s">
        <v>1892</v>
      </c>
      <c r="E119" s="1" t="s">
        <v>1893</v>
      </c>
      <c r="F119" s="1" t="s">
        <v>112</v>
      </c>
      <c r="G119" s="1">
        <v>137004</v>
      </c>
    </row>
    <row r="120" spans="1:10" x14ac:dyDescent="0.25">
      <c r="A120" s="1" t="str">
        <f t="shared" si="1"/>
        <v>04 EE2 76 ng_L</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1894</v>
      </c>
      <c r="D120" s="1" t="s">
        <v>267</v>
      </c>
      <c r="E120" s="1" t="s">
        <v>1895</v>
      </c>
      <c r="F120" s="1" t="s">
        <v>112</v>
      </c>
      <c r="G120" s="1">
        <v>71271</v>
      </c>
    </row>
    <row r="121" spans="1:10" x14ac:dyDescent="0.25">
      <c r="A121" s="1" t="str">
        <f t="shared" si="1"/>
        <v>04 EE2 76 ng_L</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1896</v>
      </c>
      <c r="D121" s="1" t="s">
        <v>219</v>
      </c>
      <c r="E121" s="1" t="s">
        <v>1897</v>
      </c>
      <c r="F121" s="1" t="s">
        <v>112</v>
      </c>
      <c r="G121" s="1">
        <v>30433</v>
      </c>
    </row>
    <row r="122" spans="1:10" x14ac:dyDescent="0.25">
      <c r="A122" s="1" t="str">
        <f t="shared" si="1"/>
        <v>04 EE2 76 ng_L</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1898</v>
      </c>
      <c r="D122" s="1" t="s">
        <v>1899</v>
      </c>
      <c r="E122" s="1" t="s">
        <v>1900</v>
      </c>
      <c r="F122" s="1" t="s">
        <v>112</v>
      </c>
      <c r="G122" s="1">
        <v>75272</v>
      </c>
    </row>
    <row r="123" spans="1:10" x14ac:dyDescent="0.25">
      <c r="A123" s="1" t="str">
        <f t="shared" si="1"/>
        <v>04 EE2 76 ng_L</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1901</v>
      </c>
      <c r="D123" s="1" t="s">
        <v>984</v>
      </c>
      <c r="E123" s="1" t="s">
        <v>1902</v>
      </c>
      <c r="F123" s="1" t="s">
        <v>112</v>
      </c>
      <c r="G123" s="1">
        <v>54680</v>
      </c>
    </row>
    <row r="124" spans="1:10" x14ac:dyDescent="0.25">
      <c r="A124" s="1" t="str">
        <f t="shared" si="1"/>
        <v>04 EE2 76 ng_L</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1903</v>
      </c>
      <c r="D124" s="1" t="s">
        <v>289</v>
      </c>
      <c r="E124" s="1" t="s">
        <v>1904</v>
      </c>
      <c r="F124" s="1" t="s">
        <v>112</v>
      </c>
      <c r="G124" s="1">
        <v>35408</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240</v>
      </c>
      <c r="D126" s="1" t="s">
        <v>112</v>
      </c>
      <c r="E126" s="1" t="s">
        <v>241</v>
      </c>
      <c r="F126" s="1" t="s">
        <v>242</v>
      </c>
      <c r="G126" s="1" t="s">
        <v>243</v>
      </c>
      <c r="H126" s="1" t="s">
        <v>244</v>
      </c>
      <c r="I126" s="1" t="s">
        <v>245</v>
      </c>
      <c r="J126" s="1" t="s">
        <v>246</v>
      </c>
    </row>
    <row r="127" spans="1:10" x14ac:dyDescent="0.25">
      <c r="A127" s="1" t="str">
        <f t="shared" si="1"/>
        <v>04 EE2 76 ng_L</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1905</v>
      </c>
      <c r="D127" s="1" t="s">
        <v>112</v>
      </c>
      <c r="E127" s="1" t="s">
        <v>1906</v>
      </c>
      <c r="F127" s="1" t="s">
        <v>1907</v>
      </c>
      <c r="G127" s="1" t="s">
        <v>1908</v>
      </c>
      <c r="H127" s="1" t="s">
        <v>1909</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252</v>
      </c>
      <c r="D133" s="1" t="s">
        <v>110</v>
      </c>
      <c r="E133" s="1" t="s">
        <v>111</v>
      </c>
      <c r="F133" s="1" t="s">
        <v>112</v>
      </c>
      <c r="G133" s="1" t="s">
        <v>113</v>
      </c>
    </row>
    <row r="134" spans="1:7" x14ac:dyDescent="0.25">
      <c r="A134" s="1" t="str">
        <f t="shared" si="2"/>
        <v>05 EE2 114 ng_L</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1910</v>
      </c>
      <c r="D134" s="1" t="s">
        <v>1911</v>
      </c>
      <c r="E134" s="1" t="s">
        <v>1912</v>
      </c>
      <c r="F134" s="1" t="s">
        <v>112</v>
      </c>
      <c r="G134" s="1">
        <v>654153</v>
      </c>
    </row>
    <row r="135" spans="1:7" x14ac:dyDescent="0.25">
      <c r="A135" s="1" t="str">
        <f t="shared" si="2"/>
        <v>05 EE2 114 ng_L</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1913</v>
      </c>
      <c r="D135" s="1" t="s">
        <v>1914</v>
      </c>
      <c r="E135" s="1" t="s">
        <v>1915</v>
      </c>
      <c r="F135" s="1" t="s">
        <v>112</v>
      </c>
      <c r="G135" s="1">
        <v>477307</v>
      </c>
    </row>
    <row r="136" spans="1:7" x14ac:dyDescent="0.25">
      <c r="A136" s="1" t="str">
        <f t="shared" si="2"/>
        <v>05 EE2 114 ng_L</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1916</v>
      </c>
      <c r="D136" s="1" t="s">
        <v>385</v>
      </c>
      <c r="E136" s="1" t="s">
        <v>1917</v>
      </c>
      <c r="F136" s="1" t="s">
        <v>112</v>
      </c>
      <c r="G136" s="1">
        <v>484553</v>
      </c>
    </row>
    <row r="137" spans="1:7" x14ac:dyDescent="0.25">
      <c r="A137" s="1" t="str">
        <f t="shared" si="2"/>
        <v>05 EE2 114 ng_L</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1918</v>
      </c>
      <c r="D137" s="1" t="s">
        <v>734</v>
      </c>
      <c r="E137" s="1" t="s">
        <v>1919</v>
      </c>
      <c r="F137" s="1" t="s">
        <v>112</v>
      </c>
      <c r="G137" s="1">
        <v>60802</v>
      </c>
    </row>
    <row r="138" spans="1:7" x14ac:dyDescent="0.25">
      <c r="A138" s="1" t="str">
        <f t="shared" si="2"/>
        <v>05 EE2 114 ng_L</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1920</v>
      </c>
      <c r="D138" s="1" t="s">
        <v>1921</v>
      </c>
      <c r="E138" s="1" t="s">
        <v>1922</v>
      </c>
      <c r="F138" s="1" t="s">
        <v>112</v>
      </c>
      <c r="G138" s="1">
        <v>115893</v>
      </c>
    </row>
    <row r="139" spans="1:7" x14ac:dyDescent="0.25">
      <c r="A139" s="1" t="str">
        <f t="shared" si="2"/>
        <v>05 EE2 114 ng_L</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1923</v>
      </c>
      <c r="D139" s="1" t="s">
        <v>734</v>
      </c>
      <c r="E139" s="1" t="s">
        <v>1924</v>
      </c>
      <c r="F139" s="1" t="s">
        <v>112</v>
      </c>
      <c r="G139" s="1">
        <v>57968</v>
      </c>
    </row>
    <row r="140" spans="1:7" x14ac:dyDescent="0.25">
      <c r="A140" s="1" t="str">
        <f t="shared" si="2"/>
        <v>05 EE2 114 ng_L</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1925</v>
      </c>
      <c r="D140" s="1" t="s">
        <v>1926</v>
      </c>
      <c r="E140" s="1" t="s">
        <v>1927</v>
      </c>
      <c r="F140" s="1" t="s">
        <v>112</v>
      </c>
      <c r="G140" s="1">
        <v>325963</v>
      </c>
    </row>
    <row r="141" spans="1:7" x14ac:dyDescent="0.25">
      <c r="A141" s="1" t="str">
        <f t="shared" si="2"/>
        <v>05 EE2 114 ng_L</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1928</v>
      </c>
      <c r="D141" s="1" t="s">
        <v>1929</v>
      </c>
      <c r="E141" s="1" t="s">
        <v>1930</v>
      </c>
      <c r="F141" s="1" t="s">
        <v>112</v>
      </c>
      <c r="G141" s="1">
        <v>206436</v>
      </c>
    </row>
    <row r="142" spans="1:7" x14ac:dyDescent="0.25">
      <c r="A142" s="1" t="str">
        <f t="shared" si="2"/>
        <v>05 EE2 114 ng_L</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1931</v>
      </c>
      <c r="D142" s="1" t="s">
        <v>228</v>
      </c>
      <c r="E142" s="1" t="s">
        <v>1932</v>
      </c>
      <c r="F142" s="1" t="s">
        <v>112</v>
      </c>
      <c r="G142" s="1">
        <v>179225</v>
      </c>
    </row>
    <row r="143" spans="1:7" x14ac:dyDescent="0.25">
      <c r="A143" s="1" t="str">
        <f t="shared" si="2"/>
        <v>05 EE2 114 ng_L</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1933</v>
      </c>
      <c r="D143" s="1" t="s">
        <v>1934</v>
      </c>
      <c r="E143" s="1" t="s">
        <v>1935</v>
      </c>
      <c r="F143" s="1" t="s">
        <v>112</v>
      </c>
      <c r="G143" s="1">
        <v>857344</v>
      </c>
    </row>
    <row r="144" spans="1:7" x14ac:dyDescent="0.25">
      <c r="A144" s="1" t="str">
        <f t="shared" si="2"/>
        <v>05 EE2 114 ng_L</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1936</v>
      </c>
      <c r="D144" s="1" t="s">
        <v>1937</v>
      </c>
      <c r="E144" s="1" t="s">
        <v>1938</v>
      </c>
      <c r="F144" s="1" t="s">
        <v>112</v>
      </c>
      <c r="G144" s="1">
        <v>759253</v>
      </c>
    </row>
    <row r="145" spans="1:10" x14ac:dyDescent="0.25">
      <c r="A145" s="1" t="str">
        <f t="shared" si="2"/>
        <v>05 EE2 114 ng_L</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1939</v>
      </c>
      <c r="D145" s="1" t="s">
        <v>1940</v>
      </c>
      <c r="E145" s="1" t="s">
        <v>1941</v>
      </c>
      <c r="F145" s="1" t="s">
        <v>112</v>
      </c>
      <c r="G145" s="1">
        <v>771993</v>
      </c>
    </row>
    <row r="146" spans="1:10" x14ac:dyDescent="0.25">
      <c r="A146" s="1" t="str">
        <f t="shared" si="2"/>
        <v>05 EE2 114 ng_L</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1942</v>
      </c>
      <c r="D146" s="1" t="s">
        <v>1943</v>
      </c>
      <c r="E146" s="1" t="s">
        <v>1944</v>
      </c>
      <c r="F146" s="1" t="s">
        <v>112</v>
      </c>
      <c r="G146" s="1">
        <v>785749</v>
      </c>
    </row>
    <row r="147" spans="1:10" x14ac:dyDescent="0.25">
      <c r="A147" s="1" t="str">
        <f t="shared" si="2"/>
        <v>05 EE2 114 ng_L</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1945</v>
      </c>
      <c r="D147" s="1" t="s">
        <v>1946</v>
      </c>
      <c r="E147" s="1" t="s">
        <v>1947</v>
      </c>
      <c r="F147" s="1" t="s">
        <v>112</v>
      </c>
      <c r="G147" s="1">
        <v>987902</v>
      </c>
    </row>
    <row r="148" spans="1:10" x14ac:dyDescent="0.25">
      <c r="A148" s="1" t="str">
        <f t="shared" si="2"/>
        <v>05 EE2 114 ng_L</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1948</v>
      </c>
      <c r="D148" s="1" t="s">
        <v>767</v>
      </c>
      <c r="E148" s="1" t="s">
        <v>1949</v>
      </c>
      <c r="F148" s="1" t="s">
        <v>112</v>
      </c>
      <c r="G148" s="1">
        <v>414083</v>
      </c>
    </row>
    <row r="149" spans="1:10" x14ac:dyDescent="0.25">
      <c r="A149" s="1" t="str">
        <f t="shared" si="2"/>
        <v>05 EE2 114 ng_L</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1950</v>
      </c>
      <c r="D149" s="1" t="s">
        <v>1951</v>
      </c>
      <c r="E149" s="1" t="s">
        <v>1952</v>
      </c>
      <c r="F149" s="1" t="s">
        <v>112</v>
      </c>
      <c r="G149" s="1">
        <v>867489</v>
      </c>
    </row>
    <row r="150" spans="1:10" x14ac:dyDescent="0.25">
      <c r="A150" s="1" t="str">
        <f t="shared" si="2"/>
        <v>05 EE2 114 ng_L</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1953</v>
      </c>
      <c r="D150" s="1" t="s">
        <v>1954</v>
      </c>
      <c r="E150" s="1" t="s">
        <v>1955</v>
      </c>
      <c r="F150" s="1" t="s">
        <v>112</v>
      </c>
      <c r="G150" s="1">
        <v>630901</v>
      </c>
    </row>
    <row r="151" spans="1:10" x14ac:dyDescent="0.25">
      <c r="A151" s="1" t="str">
        <f t="shared" si="2"/>
        <v>05 EE2 114 ng_L</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1956</v>
      </c>
      <c r="D151" s="1" t="s">
        <v>1957</v>
      </c>
      <c r="E151" s="1" t="s">
        <v>1958</v>
      </c>
      <c r="F151" s="1" t="s">
        <v>112</v>
      </c>
      <c r="G151" s="1">
        <v>798641</v>
      </c>
    </row>
    <row r="152" spans="1:10" x14ac:dyDescent="0.25">
      <c r="A152" s="1" t="str">
        <f t="shared" si="2"/>
        <v>05 EE2 114 ng_L</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1959</v>
      </c>
      <c r="D152" s="1" t="s">
        <v>1960</v>
      </c>
      <c r="E152" s="1" t="s">
        <v>1961</v>
      </c>
      <c r="F152" s="1" t="s">
        <v>112</v>
      </c>
      <c r="G152" s="1">
        <v>455828</v>
      </c>
    </row>
    <row r="153" spans="1:10" x14ac:dyDescent="0.25">
      <c r="A153" s="1" t="str">
        <f t="shared" si="2"/>
        <v>05 EE2 114 ng_L</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1962</v>
      </c>
      <c r="D153" s="1" t="s">
        <v>830</v>
      </c>
      <c r="E153" s="1" t="s">
        <v>1963</v>
      </c>
      <c r="F153" s="1" t="s">
        <v>112</v>
      </c>
      <c r="G153" s="1">
        <v>288673</v>
      </c>
    </row>
    <row r="154" spans="1:10" x14ac:dyDescent="0.25">
      <c r="A154" s="1" t="str">
        <f t="shared" si="2"/>
        <v>05 EE2 114 ng_L</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1964</v>
      </c>
      <c r="D154" s="1" t="s">
        <v>397</v>
      </c>
      <c r="E154" s="1" t="s">
        <v>1965</v>
      </c>
      <c r="F154" s="1" t="s">
        <v>112</v>
      </c>
      <c r="G154" s="1">
        <v>376512</v>
      </c>
    </row>
    <row r="155" spans="1:10" x14ac:dyDescent="0.25">
      <c r="A155" s="1" t="str">
        <f t="shared" si="2"/>
        <v>05 EE2 114 ng_L</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1966</v>
      </c>
      <c r="D155" s="1" t="s">
        <v>1967</v>
      </c>
      <c r="E155" s="1" t="s">
        <v>1968</v>
      </c>
      <c r="F155" s="1" t="s">
        <v>112</v>
      </c>
      <c r="G155" s="1">
        <v>601138</v>
      </c>
    </row>
    <row r="156" spans="1:10" x14ac:dyDescent="0.25">
      <c r="A156" s="1" t="str">
        <f t="shared" si="2"/>
        <v>05 EE2 114 ng_L</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1969</v>
      </c>
      <c r="D156" s="1" t="s">
        <v>455</v>
      </c>
      <c r="E156" s="1" t="s">
        <v>1970</v>
      </c>
      <c r="F156" s="1" t="s">
        <v>112</v>
      </c>
      <c r="G156" s="1">
        <v>658133</v>
      </c>
    </row>
    <row r="157" spans="1:10" x14ac:dyDescent="0.25">
      <c r="A157" s="1" t="str">
        <f t="shared" si="2"/>
        <v>05 EE2 114 ng_L</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1971</v>
      </c>
      <c r="D157" s="1" t="s">
        <v>1972</v>
      </c>
      <c r="E157" s="1" t="s">
        <v>1973</v>
      </c>
      <c r="F157" s="1" t="s">
        <v>112</v>
      </c>
      <c r="G157" s="1">
        <v>462144</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240</v>
      </c>
      <c r="D159" s="1" t="s">
        <v>112</v>
      </c>
      <c r="E159" s="1" t="s">
        <v>241</v>
      </c>
      <c r="F159" s="1" t="s">
        <v>242</v>
      </c>
      <c r="G159" s="1" t="s">
        <v>243</v>
      </c>
      <c r="H159" s="1" t="s">
        <v>244</v>
      </c>
      <c r="I159" s="1" t="s">
        <v>245</v>
      </c>
      <c r="J159" s="1" t="s">
        <v>246</v>
      </c>
    </row>
    <row r="160" spans="1:10" x14ac:dyDescent="0.25">
      <c r="A160" s="1" t="str">
        <f t="shared" si="2"/>
        <v>05 EE2 114 ng_L</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1974</v>
      </c>
      <c r="D160" s="1" t="s">
        <v>112</v>
      </c>
      <c r="E160" s="1" t="s">
        <v>1975</v>
      </c>
      <c r="F160" s="1" t="s">
        <v>1976</v>
      </c>
      <c r="G160" s="1" t="s">
        <v>1977</v>
      </c>
      <c r="H160" s="1" t="s">
        <v>1978</v>
      </c>
      <c r="I160" s="1">
        <v>24</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252</v>
      </c>
      <c r="D166" s="1" t="s">
        <v>110</v>
      </c>
      <c r="E166" s="1" t="s">
        <v>111</v>
      </c>
      <c r="F166" s="1" t="s">
        <v>112</v>
      </c>
      <c r="G166" s="1" t="s">
        <v>113</v>
      </c>
    </row>
    <row r="167" spans="1:7" x14ac:dyDescent="0.25">
      <c r="A167" s="1" t="str">
        <f t="shared" si="2"/>
        <v>06 EE2 170.9 ng_L</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1979</v>
      </c>
      <c r="D167" s="1" t="s">
        <v>1980</v>
      </c>
      <c r="E167" s="1" t="s">
        <v>1981</v>
      </c>
      <c r="F167" s="1" t="s">
        <v>112</v>
      </c>
      <c r="G167" s="1">
        <v>255103</v>
      </c>
    </row>
    <row r="168" spans="1:7" x14ac:dyDescent="0.25">
      <c r="A168" s="1" t="str">
        <f t="shared" si="2"/>
        <v>06 EE2 170.9 ng_L</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1982</v>
      </c>
      <c r="D168" s="1" t="s">
        <v>1674</v>
      </c>
      <c r="E168" s="1" t="s">
        <v>1983</v>
      </c>
      <c r="F168" s="1" t="s">
        <v>112</v>
      </c>
      <c r="G168" s="1">
        <v>364875</v>
      </c>
    </row>
    <row r="169" spans="1:7" x14ac:dyDescent="0.25">
      <c r="A169" s="1" t="str">
        <f t="shared" si="2"/>
        <v>06 EE2 170.9 ng_L</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1984</v>
      </c>
      <c r="D169" s="1" t="s">
        <v>1985</v>
      </c>
      <c r="E169" s="1" t="s">
        <v>1986</v>
      </c>
      <c r="F169" s="1" t="s">
        <v>112</v>
      </c>
      <c r="G169" s="1">
        <v>631506</v>
      </c>
    </row>
    <row r="170" spans="1:7" x14ac:dyDescent="0.25">
      <c r="A170" s="1" t="str">
        <f t="shared" si="2"/>
        <v>06 EE2 170.9 ng_L</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1987</v>
      </c>
      <c r="D170" s="1" t="s">
        <v>296</v>
      </c>
      <c r="E170" s="1" t="s">
        <v>1988</v>
      </c>
      <c r="F170" s="1" t="s">
        <v>112</v>
      </c>
      <c r="G170" s="1">
        <v>51977</v>
      </c>
    </row>
    <row r="171" spans="1:7" x14ac:dyDescent="0.25">
      <c r="A171" s="1" t="str">
        <f t="shared" si="2"/>
        <v>06 EE2 170.9 ng_L</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1989</v>
      </c>
      <c r="D171" s="1" t="s">
        <v>1990</v>
      </c>
      <c r="E171" s="1" t="s">
        <v>1991</v>
      </c>
      <c r="F171" s="1" t="s">
        <v>112</v>
      </c>
      <c r="G171" s="1">
        <v>347787</v>
      </c>
    </row>
    <row r="172" spans="1:7" x14ac:dyDescent="0.25">
      <c r="A172" s="1" t="str">
        <f t="shared" si="2"/>
        <v>06 EE2 170.9 ng_L</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1992</v>
      </c>
      <c r="D172" s="1" t="s">
        <v>687</v>
      </c>
      <c r="E172" s="1" t="s">
        <v>1993</v>
      </c>
      <c r="F172" s="1" t="s">
        <v>112</v>
      </c>
      <c r="G172" s="1">
        <v>359316</v>
      </c>
    </row>
    <row r="173" spans="1:7" x14ac:dyDescent="0.25">
      <c r="A173" s="1" t="str">
        <f t="shared" si="2"/>
        <v>06 EE2 170.9 ng_L</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1994</v>
      </c>
      <c r="D173" s="1" t="s">
        <v>1995</v>
      </c>
      <c r="E173" s="1" t="s">
        <v>1996</v>
      </c>
      <c r="F173" s="1" t="s">
        <v>112</v>
      </c>
      <c r="G173" s="1">
        <v>2801612</v>
      </c>
    </row>
    <row r="174" spans="1:7" x14ac:dyDescent="0.25">
      <c r="A174" s="1" t="str">
        <f t="shared" si="2"/>
        <v>06 EE2 170.9 ng_L</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1997</v>
      </c>
      <c r="D174" s="1" t="s">
        <v>1998</v>
      </c>
      <c r="E174" s="1" t="s">
        <v>1999</v>
      </c>
      <c r="F174" s="1" t="s">
        <v>112</v>
      </c>
      <c r="G174" s="1">
        <v>3200013</v>
      </c>
    </row>
    <row r="175" spans="1:7" x14ac:dyDescent="0.25">
      <c r="A175" s="1" t="str">
        <f t="shared" si="2"/>
        <v>06 EE2 170.9 ng_L</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2000</v>
      </c>
      <c r="D175" s="1" t="s">
        <v>2001</v>
      </c>
      <c r="E175" s="1" t="s">
        <v>2002</v>
      </c>
      <c r="F175" s="1" t="s">
        <v>112</v>
      </c>
      <c r="G175" s="1">
        <v>3016029</v>
      </c>
    </row>
    <row r="176" spans="1:7" x14ac:dyDescent="0.25">
      <c r="A176" s="1" t="str">
        <f t="shared" si="2"/>
        <v>06 EE2 170.9 ng_L</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2003</v>
      </c>
      <c r="D176" s="1" t="s">
        <v>2004</v>
      </c>
      <c r="E176" s="1" t="s">
        <v>2005</v>
      </c>
      <c r="F176" s="1" t="s">
        <v>112</v>
      </c>
      <c r="G176" s="1">
        <v>1145692</v>
      </c>
    </row>
    <row r="177" spans="1:10" x14ac:dyDescent="0.25">
      <c r="A177" s="1" t="str">
        <f t="shared" si="2"/>
        <v>06 EE2 170.9 ng_L</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2006</v>
      </c>
      <c r="D177" s="1" t="s">
        <v>2007</v>
      </c>
      <c r="E177" s="1" t="s">
        <v>2008</v>
      </c>
      <c r="F177" s="1" t="s">
        <v>112</v>
      </c>
      <c r="G177" s="1">
        <v>1226091</v>
      </c>
    </row>
    <row r="178" spans="1:10" x14ac:dyDescent="0.25">
      <c r="A178" s="1" t="str">
        <f t="shared" si="2"/>
        <v>06 EE2 170.9 ng_L</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2009</v>
      </c>
      <c r="D178" s="1" t="s">
        <v>2010</v>
      </c>
      <c r="E178" s="1" t="s">
        <v>2011</v>
      </c>
      <c r="F178" s="1" t="s">
        <v>112</v>
      </c>
      <c r="G178" s="1">
        <v>1229551</v>
      </c>
    </row>
    <row r="179" spans="1:10" x14ac:dyDescent="0.25">
      <c r="A179" s="1" t="str">
        <f t="shared" si="2"/>
        <v>06 EE2 170.9 ng_L</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2012</v>
      </c>
      <c r="D179" s="1" t="s">
        <v>2013</v>
      </c>
      <c r="E179" s="1" t="s">
        <v>2014</v>
      </c>
      <c r="F179" s="1" t="s">
        <v>112</v>
      </c>
      <c r="G179" s="1">
        <v>1741704</v>
      </c>
    </row>
    <row r="180" spans="1:10" x14ac:dyDescent="0.25">
      <c r="A180" s="1" t="str">
        <f t="shared" si="2"/>
        <v>06 EE2 170.9 ng_L</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2015</v>
      </c>
    </row>
    <row r="181" spans="1:10" x14ac:dyDescent="0.25">
      <c r="A181" s="1" t="str">
        <f t="shared" si="2"/>
        <v>06 EE2 170.9 ng_L</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2016</v>
      </c>
      <c r="D181" s="1" t="s">
        <v>2017</v>
      </c>
      <c r="E181" s="1" t="s">
        <v>2018</v>
      </c>
      <c r="F181" s="1" t="s">
        <v>112</v>
      </c>
      <c r="G181" s="1">
        <v>1822297</v>
      </c>
    </row>
    <row r="182" spans="1:10" x14ac:dyDescent="0.25">
      <c r="A182" s="1" t="str">
        <f t="shared" si="2"/>
        <v>06 EE2 170.9 ng_L</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2019</v>
      </c>
      <c r="D182" s="1" t="s">
        <v>2020</v>
      </c>
      <c r="E182" s="1" t="s">
        <v>2021</v>
      </c>
      <c r="F182" s="1" t="s">
        <v>112</v>
      </c>
      <c r="G182" s="1">
        <v>866342</v>
      </c>
    </row>
    <row r="183" spans="1:10" x14ac:dyDescent="0.25">
      <c r="A183" s="1" t="str">
        <f t="shared" si="2"/>
        <v>06 EE2 170.9 ng_L</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2022</v>
      </c>
      <c r="D183" s="1" t="s">
        <v>2023</v>
      </c>
      <c r="E183" s="1" t="s">
        <v>2024</v>
      </c>
      <c r="F183" s="1" t="s">
        <v>112</v>
      </c>
      <c r="G183" s="1">
        <v>1203011</v>
      </c>
    </row>
    <row r="184" spans="1:10" x14ac:dyDescent="0.25">
      <c r="A184" s="1" t="str">
        <f t="shared" si="2"/>
        <v>06 EE2 170.9 ng_L</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2025</v>
      </c>
      <c r="D184" s="1" t="s">
        <v>2026</v>
      </c>
      <c r="E184" s="1" t="s">
        <v>2027</v>
      </c>
      <c r="F184" s="1" t="s">
        <v>112</v>
      </c>
      <c r="G184" s="1">
        <v>929588</v>
      </c>
    </row>
    <row r="185" spans="1:10" x14ac:dyDescent="0.25">
      <c r="A185" s="1" t="str">
        <f t="shared" si="2"/>
        <v>06 EE2 170.9 ng_L</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2028</v>
      </c>
      <c r="D185" s="1" t="s">
        <v>2029</v>
      </c>
      <c r="E185" s="1" t="s">
        <v>2030</v>
      </c>
      <c r="F185" s="1" t="s">
        <v>112</v>
      </c>
      <c r="G185" s="1">
        <v>3266179</v>
      </c>
    </row>
    <row r="186" spans="1:10" x14ac:dyDescent="0.25">
      <c r="A186" s="1" t="str">
        <f t="shared" si="2"/>
        <v>06 EE2 170.9 ng_L</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2031</v>
      </c>
      <c r="D186" s="1" t="s">
        <v>2029</v>
      </c>
      <c r="E186" s="1" t="s">
        <v>2032</v>
      </c>
      <c r="F186" s="1" t="s">
        <v>112</v>
      </c>
      <c r="G186" s="1">
        <v>3278486</v>
      </c>
    </row>
    <row r="187" spans="1:10" x14ac:dyDescent="0.25">
      <c r="A187" s="1" t="str">
        <f t="shared" si="2"/>
        <v>06 EE2 170.9 ng_L</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2033</v>
      </c>
      <c r="D187" s="1" t="s">
        <v>2034</v>
      </c>
      <c r="E187" s="1" t="s">
        <v>2035</v>
      </c>
      <c r="F187" s="1" t="s">
        <v>112</v>
      </c>
      <c r="G187" s="1">
        <v>3232631</v>
      </c>
    </row>
    <row r="188" spans="1:10" x14ac:dyDescent="0.25">
      <c r="A188" s="1" t="str">
        <f t="shared" si="2"/>
        <v>06 EE2 170.9 ng_L</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2036</v>
      </c>
      <c r="D188" s="1" t="s">
        <v>1494</v>
      </c>
      <c r="E188" s="1" t="s">
        <v>2037</v>
      </c>
      <c r="F188" s="1" t="s">
        <v>112</v>
      </c>
      <c r="G188" s="1">
        <v>840797</v>
      </c>
    </row>
    <row r="189" spans="1:10" x14ac:dyDescent="0.25">
      <c r="A189" s="1" t="str">
        <f t="shared" si="2"/>
        <v>06 EE2 170.9 ng_L</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2038</v>
      </c>
      <c r="D189" s="1" t="s">
        <v>2039</v>
      </c>
      <c r="E189" s="1" t="s">
        <v>2040</v>
      </c>
      <c r="F189" s="1" t="s">
        <v>112</v>
      </c>
      <c r="G189" s="1">
        <v>1120104</v>
      </c>
    </row>
    <row r="190" spans="1:10" x14ac:dyDescent="0.25">
      <c r="A190" s="1" t="str">
        <f t="shared" si="2"/>
        <v>06 EE2 170.9 ng_L</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2041</v>
      </c>
      <c r="D190" s="1" t="s">
        <v>2042</v>
      </c>
      <c r="E190" s="1" t="s">
        <v>2043</v>
      </c>
      <c r="F190" s="1" t="s">
        <v>112</v>
      </c>
      <c r="G190" s="1">
        <v>1045005</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240</v>
      </c>
      <c r="D192" s="1" t="s">
        <v>112</v>
      </c>
      <c r="E192" s="1" t="s">
        <v>241</v>
      </c>
      <c r="F192" s="1" t="s">
        <v>242</v>
      </c>
      <c r="G192" s="1" t="s">
        <v>243</v>
      </c>
      <c r="H192" s="1" t="s">
        <v>244</v>
      </c>
      <c r="I192" s="1" t="s">
        <v>245</v>
      </c>
      <c r="J192" s="1" t="s">
        <v>246</v>
      </c>
    </row>
    <row r="193" spans="1:10" x14ac:dyDescent="0.25">
      <c r="A193" s="1" t="str">
        <f t="shared" si="2"/>
        <v>06 EE2 170.9 ng_L</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2044</v>
      </c>
      <c r="D193" s="1" t="s">
        <v>112</v>
      </c>
      <c r="E193" s="1" t="s">
        <v>2045</v>
      </c>
      <c r="F193" s="1" t="s">
        <v>2046</v>
      </c>
      <c r="G193" s="1" t="s">
        <v>2047</v>
      </c>
      <c r="H193" s="1" t="s">
        <v>2048</v>
      </c>
      <c r="I193" s="1">
        <v>24</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252</v>
      </c>
      <c r="D199" s="1" t="s">
        <v>110</v>
      </c>
      <c r="E199" s="1" t="s">
        <v>111</v>
      </c>
      <c r="F199" s="1" t="s">
        <v>112</v>
      </c>
      <c r="G199" s="1" t="s">
        <v>113</v>
      </c>
    </row>
    <row r="200" spans="1:10" x14ac:dyDescent="0.25">
      <c r="A200" s="1" t="str">
        <f t="shared" si="3"/>
        <v>07 EE2 488 ng_L</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2049</v>
      </c>
      <c r="D200" s="1" t="s">
        <v>2050</v>
      </c>
      <c r="E200" s="1" t="s">
        <v>2051</v>
      </c>
      <c r="F200" s="1" t="s">
        <v>112</v>
      </c>
      <c r="G200" s="1">
        <v>1607058</v>
      </c>
    </row>
    <row r="201" spans="1:10" x14ac:dyDescent="0.25">
      <c r="A201" s="1" t="str">
        <f t="shared" si="3"/>
        <v>07 EE2 488 ng_L</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2052</v>
      </c>
      <c r="D201" s="1" t="s">
        <v>2053</v>
      </c>
      <c r="E201" s="1" t="s">
        <v>2054</v>
      </c>
      <c r="F201" s="1" t="s">
        <v>112</v>
      </c>
      <c r="G201" s="1">
        <v>1859782</v>
      </c>
    </row>
    <row r="202" spans="1:10" x14ac:dyDescent="0.25">
      <c r="A202" s="1" t="str">
        <f t="shared" si="3"/>
        <v>07 EE2 488 ng_L</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2055</v>
      </c>
      <c r="D202" s="1" t="s">
        <v>2056</v>
      </c>
      <c r="E202" s="1" t="s">
        <v>2057</v>
      </c>
      <c r="F202" s="1" t="s">
        <v>112</v>
      </c>
      <c r="G202" s="1">
        <v>1906134</v>
      </c>
    </row>
    <row r="203" spans="1:10" x14ac:dyDescent="0.25">
      <c r="A203" s="1" t="str">
        <f t="shared" si="3"/>
        <v>07 EE2 488 ng_L</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2058</v>
      </c>
      <c r="D203" s="1" t="s">
        <v>2059</v>
      </c>
      <c r="E203" s="1" t="s">
        <v>2060</v>
      </c>
      <c r="F203" s="1" t="s">
        <v>112</v>
      </c>
      <c r="G203" s="1">
        <v>4352951</v>
      </c>
    </row>
    <row r="204" spans="1:10" x14ac:dyDescent="0.25">
      <c r="A204" s="1" t="str">
        <f t="shared" si="3"/>
        <v>07 EE2 488 ng_L</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2061</v>
      </c>
      <c r="D204" s="1" t="s">
        <v>2062</v>
      </c>
      <c r="E204" s="1" t="s">
        <v>2063</v>
      </c>
      <c r="F204" s="1" t="s">
        <v>112</v>
      </c>
      <c r="G204" s="1">
        <v>3630297</v>
      </c>
    </row>
    <row r="205" spans="1:10" x14ac:dyDescent="0.25">
      <c r="A205" s="1" t="str">
        <f t="shared" si="3"/>
        <v>07 EE2 488 ng_L</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2064</v>
      </c>
      <c r="D205" s="1" t="s">
        <v>2065</v>
      </c>
      <c r="E205" s="1" t="s">
        <v>2066</v>
      </c>
      <c r="F205" s="1" t="s">
        <v>112</v>
      </c>
      <c r="G205" s="1">
        <v>3889012</v>
      </c>
    </row>
    <row r="206" spans="1:10" x14ac:dyDescent="0.25">
      <c r="A206" s="1" t="str">
        <f t="shared" si="3"/>
        <v>07 EE2 488 ng_L</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2067</v>
      </c>
      <c r="D206" s="1" t="s">
        <v>2068</v>
      </c>
      <c r="E206" s="1" t="s">
        <v>2069</v>
      </c>
      <c r="F206" s="1" t="s">
        <v>112</v>
      </c>
      <c r="G206" s="1">
        <v>2739275</v>
      </c>
    </row>
    <row r="207" spans="1:10" x14ac:dyDescent="0.25">
      <c r="A207" s="1" t="str">
        <f t="shared" si="3"/>
        <v>07 EE2 488 ng_L</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2070</v>
      </c>
      <c r="D207" s="1" t="s">
        <v>2071</v>
      </c>
      <c r="E207" s="1" t="s">
        <v>2072</v>
      </c>
      <c r="F207" s="1" t="s">
        <v>112</v>
      </c>
      <c r="G207" s="1">
        <v>2588449</v>
      </c>
    </row>
    <row r="208" spans="1:10" x14ac:dyDescent="0.25">
      <c r="A208" s="1" t="str">
        <f t="shared" si="3"/>
        <v>07 EE2 488 ng_L</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2073</v>
      </c>
      <c r="D208" s="1" t="s">
        <v>2074</v>
      </c>
      <c r="E208" s="1" t="s">
        <v>2075</v>
      </c>
      <c r="F208" s="1" t="s">
        <v>112</v>
      </c>
      <c r="G208" s="1">
        <v>2627232</v>
      </c>
    </row>
    <row r="209" spans="1:7" x14ac:dyDescent="0.25">
      <c r="A209" s="1" t="str">
        <f t="shared" si="3"/>
        <v>07 EE2 488 ng_L</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2076</v>
      </c>
      <c r="D209" s="1" t="s">
        <v>2077</v>
      </c>
      <c r="E209" s="1" t="s">
        <v>2078</v>
      </c>
      <c r="F209" s="1" t="s">
        <v>112</v>
      </c>
      <c r="G209" s="1">
        <v>3553056</v>
      </c>
    </row>
    <row r="210" spans="1:7" x14ac:dyDescent="0.25">
      <c r="A210" s="1" t="str">
        <f t="shared" si="3"/>
        <v>07 EE2 488 ng_L</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2079</v>
      </c>
      <c r="D210" s="1" t="s">
        <v>2080</v>
      </c>
      <c r="E210" s="1" t="s">
        <v>2081</v>
      </c>
      <c r="F210" s="1" t="s">
        <v>112</v>
      </c>
      <c r="G210" s="1">
        <v>3702778</v>
      </c>
    </row>
    <row r="211" spans="1:7" x14ac:dyDescent="0.25">
      <c r="A211" s="1" t="str">
        <f t="shared" si="3"/>
        <v>07 EE2 488 ng_L</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2082</v>
      </c>
    </row>
    <row r="212" spans="1:7" x14ac:dyDescent="0.25">
      <c r="A212" s="1" t="str">
        <f t="shared" si="3"/>
        <v>07 EE2 488 ng_L</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2083</v>
      </c>
      <c r="D212" s="1" t="s">
        <v>2084</v>
      </c>
      <c r="E212" s="1" t="s">
        <v>2085</v>
      </c>
      <c r="F212" s="1" t="s">
        <v>112</v>
      </c>
      <c r="G212" s="1">
        <v>4521513</v>
      </c>
    </row>
    <row r="213" spans="1:7" x14ac:dyDescent="0.25">
      <c r="A213" s="1" t="str">
        <f t="shared" si="3"/>
        <v>07 EE2 488 ng_L</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2086</v>
      </c>
      <c r="D213" s="1" t="s">
        <v>2087</v>
      </c>
      <c r="E213" s="1" t="s">
        <v>2088</v>
      </c>
      <c r="F213" s="1" t="s">
        <v>112</v>
      </c>
      <c r="G213" s="1">
        <v>4619561</v>
      </c>
    </row>
    <row r="214" spans="1:7" x14ac:dyDescent="0.25">
      <c r="A214" s="1" t="str">
        <f t="shared" si="3"/>
        <v>07 EE2 488 ng_L</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2089</v>
      </c>
      <c r="D214" s="1" t="s">
        <v>2090</v>
      </c>
      <c r="E214" s="1" t="s">
        <v>2091</v>
      </c>
      <c r="F214" s="1" t="s">
        <v>112</v>
      </c>
      <c r="G214" s="1">
        <v>4198795</v>
      </c>
    </row>
    <row r="215" spans="1:7" x14ac:dyDescent="0.25">
      <c r="A215" s="1" t="str">
        <f t="shared" si="3"/>
        <v>07 EE2 488 ng_L</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2092</v>
      </c>
      <c r="D215" s="1" t="s">
        <v>2093</v>
      </c>
      <c r="E215" s="1" t="s">
        <v>2094</v>
      </c>
      <c r="F215" s="1" t="s">
        <v>112</v>
      </c>
      <c r="G215" s="1">
        <v>5227837</v>
      </c>
    </row>
    <row r="216" spans="1:7" x14ac:dyDescent="0.25">
      <c r="A216" s="1" t="str">
        <f t="shared" si="3"/>
        <v>07 EE2 488 ng_L</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2095</v>
      </c>
      <c r="D216" s="1" t="s">
        <v>2096</v>
      </c>
      <c r="E216" s="1" t="s">
        <v>2097</v>
      </c>
      <c r="F216" s="1" t="s">
        <v>112</v>
      </c>
      <c r="G216" s="1">
        <v>5043421</v>
      </c>
    </row>
    <row r="217" spans="1:7" x14ac:dyDescent="0.25">
      <c r="A217" s="1" t="str">
        <f t="shared" si="3"/>
        <v>07 EE2 488 ng_L</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2098</v>
      </c>
      <c r="D217" s="1" t="s">
        <v>2099</v>
      </c>
      <c r="E217" s="1" t="s">
        <v>2100</v>
      </c>
      <c r="F217" s="1" t="s">
        <v>112</v>
      </c>
      <c r="G217" s="1">
        <v>5424734</v>
      </c>
    </row>
    <row r="218" spans="1:7" x14ac:dyDescent="0.25">
      <c r="A218" s="1" t="str">
        <f t="shared" si="3"/>
        <v>07 EE2 488 ng_L</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2101</v>
      </c>
      <c r="D218" s="1" t="s">
        <v>2102</v>
      </c>
      <c r="E218" s="1" t="s">
        <v>2103</v>
      </c>
      <c r="F218" s="1" t="s">
        <v>112</v>
      </c>
      <c r="G218" s="1">
        <v>5317645</v>
      </c>
    </row>
    <row r="219" spans="1:7" x14ac:dyDescent="0.25">
      <c r="A219" s="1" t="str">
        <f t="shared" si="3"/>
        <v>07 EE2 488 ng_L</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2104</v>
      </c>
      <c r="D219" s="1" t="s">
        <v>2105</v>
      </c>
      <c r="E219" s="1" t="s">
        <v>2106</v>
      </c>
      <c r="F219" s="1" t="s">
        <v>112</v>
      </c>
      <c r="G219" s="1">
        <v>5439832</v>
      </c>
    </row>
    <row r="220" spans="1:7" x14ac:dyDescent="0.25">
      <c r="A220" s="1" t="str">
        <f t="shared" si="3"/>
        <v>07 EE2 488 ng_L</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2107</v>
      </c>
      <c r="D220" s="1" t="s">
        <v>2108</v>
      </c>
      <c r="E220" s="1" t="s">
        <v>2109</v>
      </c>
      <c r="F220" s="1" t="s">
        <v>112</v>
      </c>
      <c r="G220" s="1">
        <v>5373926</v>
      </c>
    </row>
    <row r="221" spans="1:7" x14ac:dyDescent="0.25">
      <c r="A221" s="1" t="str">
        <f t="shared" si="3"/>
        <v>07 EE2 488 ng_L</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2110</v>
      </c>
      <c r="D221" s="1" t="s">
        <v>2111</v>
      </c>
      <c r="E221" s="1" t="s">
        <v>2112</v>
      </c>
      <c r="F221" s="1" t="s">
        <v>112</v>
      </c>
      <c r="G221" s="1">
        <v>5022310</v>
      </c>
    </row>
    <row r="222" spans="1:7" x14ac:dyDescent="0.25">
      <c r="A222" s="1" t="str">
        <f t="shared" si="3"/>
        <v>07 EE2 488 ng_L</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2113</v>
      </c>
      <c r="D222" s="1" t="s">
        <v>2114</v>
      </c>
      <c r="E222" s="1" t="s">
        <v>2115</v>
      </c>
      <c r="F222" s="1" t="s">
        <v>112</v>
      </c>
      <c r="G222" s="1">
        <v>4717242</v>
      </c>
    </row>
    <row r="223" spans="1:7" x14ac:dyDescent="0.25">
      <c r="A223" s="1" t="str">
        <f t="shared" si="3"/>
        <v>07 EE2 488 ng_L</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2116</v>
      </c>
      <c r="D223" s="1" t="s">
        <v>2117</v>
      </c>
      <c r="E223" s="1" t="s">
        <v>2118</v>
      </c>
      <c r="F223" s="1" t="s">
        <v>112</v>
      </c>
      <c r="G223" s="1">
        <v>4471873</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240</v>
      </c>
      <c r="D225" s="1" t="s">
        <v>112</v>
      </c>
      <c r="E225" s="1" t="s">
        <v>241</v>
      </c>
      <c r="F225" s="1" t="s">
        <v>242</v>
      </c>
      <c r="G225" s="1" t="s">
        <v>243</v>
      </c>
      <c r="H225" s="1" t="s">
        <v>244</v>
      </c>
      <c r="I225" s="1" t="s">
        <v>245</v>
      </c>
      <c r="J225" s="1" t="s">
        <v>246</v>
      </c>
    </row>
    <row r="226" spans="1:10" x14ac:dyDescent="0.25">
      <c r="A226" s="1" t="str">
        <f t="shared" si="3"/>
        <v>07 EE2 488 ng_L</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2119</v>
      </c>
      <c r="D226" s="1" t="s">
        <v>112</v>
      </c>
      <c r="E226" s="1" t="s">
        <v>2120</v>
      </c>
      <c r="F226" s="1" t="s">
        <v>2121</v>
      </c>
      <c r="G226" s="1" t="s">
        <v>2122</v>
      </c>
      <c r="H226" s="1" t="s">
        <v>2123</v>
      </c>
      <c r="I226" s="1">
        <v>24</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252</v>
      </c>
      <c r="D232" s="1" t="s">
        <v>110</v>
      </c>
      <c r="E232" s="1" t="s">
        <v>111</v>
      </c>
      <c r="F232" s="1" t="s">
        <v>112</v>
      </c>
      <c r="G232" s="1" t="s">
        <v>113</v>
      </c>
    </row>
    <row r="233" spans="1:10" x14ac:dyDescent="0.25">
      <c r="A233" s="1" t="str">
        <f t="shared" si="3"/>
        <v>08 Atrazine 0.625 mg_L</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2124</v>
      </c>
      <c r="D233" s="1" t="s">
        <v>204</v>
      </c>
      <c r="E233" s="1" t="s">
        <v>2125</v>
      </c>
      <c r="F233" s="1" t="s">
        <v>112</v>
      </c>
      <c r="G233" s="1">
        <v>147494</v>
      </c>
    </row>
    <row r="234" spans="1:10" x14ac:dyDescent="0.25">
      <c r="A234" s="1" t="str">
        <f t="shared" si="3"/>
        <v>08 Atrazine 0.625 mg_L</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2126</v>
      </c>
      <c r="D234" s="1" t="s">
        <v>711</v>
      </c>
      <c r="E234" s="1" t="s">
        <v>2127</v>
      </c>
      <c r="F234" s="1" t="s">
        <v>112</v>
      </c>
      <c r="G234" s="1">
        <v>566811</v>
      </c>
    </row>
    <row r="235" spans="1:10" x14ac:dyDescent="0.25">
      <c r="A235" s="1" t="str">
        <f t="shared" si="3"/>
        <v>08 Atrazine 0.625 mg_L</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2128</v>
      </c>
      <c r="D235" s="1" t="s">
        <v>2129</v>
      </c>
      <c r="E235" s="1" t="s">
        <v>2130</v>
      </c>
      <c r="F235" s="1" t="s">
        <v>112</v>
      </c>
      <c r="G235" s="1">
        <v>276625</v>
      </c>
    </row>
    <row r="236" spans="1:10" x14ac:dyDescent="0.25">
      <c r="A236" s="1" t="str">
        <f t="shared" si="3"/>
        <v>08 Atrazine 0.625 mg_L</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2131</v>
      </c>
      <c r="D236" s="1" t="s">
        <v>2132</v>
      </c>
      <c r="E236" s="1" t="s">
        <v>2133</v>
      </c>
      <c r="F236" s="1" t="s">
        <v>112</v>
      </c>
      <c r="G236" s="1">
        <v>1153630</v>
      </c>
    </row>
    <row r="237" spans="1:10" x14ac:dyDescent="0.25">
      <c r="A237" s="1" t="str">
        <f t="shared" si="3"/>
        <v>08 Atrazine 0.625 mg_L</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2134</v>
      </c>
      <c r="D237" s="1" t="s">
        <v>1695</v>
      </c>
      <c r="E237" s="1" t="s">
        <v>2135</v>
      </c>
      <c r="F237" s="1" t="s">
        <v>112</v>
      </c>
      <c r="G237" s="1">
        <v>210762</v>
      </c>
    </row>
    <row r="238" spans="1:10" x14ac:dyDescent="0.25">
      <c r="A238" s="1" t="str">
        <f t="shared" si="3"/>
        <v>08 Atrazine 0.625 mg_L</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2136</v>
      </c>
      <c r="D238" s="1" t="s">
        <v>2137</v>
      </c>
      <c r="E238" s="1" t="s">
        <v>2138</v>
      </c>
      <c r="F238" s="1" t="s">
        <v>112</v>
      </c>
      <c r="G238" s="1">
        <v>327823</v>
      </c>
    </row>
    <row r="239" spans="1:10" x14ac:dyDescent="0.25">
      <c r="A239" s="1" t="str">
        <f t="shared" si="3"/>
        <v>08 Atrazine 0.625 mg_L</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2139</v>
      </c>
    </row>
    <row r="240" spans="1:10" x14ac:dyDescent="0.25">
      <c r="A240" s="1" t="str">
        <f t="shared" si="3"/>
        <v>08 Atrazine 0.625 mg_L</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2140</v>
      </c>
      <c r="D240" s="1" t="s">
        <v>700</v>
      </c>
      <c r="E240" s="1">
        <v>63</v>
      </c>
      <c r="F240" s="1" t="s">
        <v>112</v>
      </c>
      <c r="G240" s="1">
        <v>6813</v>
      </c>
    </row>
    <row r="241" spans="1:7" x14ac:dyDescent="0.25">
      <c r="A241" s="1" t="str">
        <f t="shared" si="3"/>
        <v>08 Atrazine 0.625 mg_L</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2141</v>
      </c>
      <c r="D241" s="1" t="s">
        <v>173</v>
      </c>
      <c r="E241" s="1" t="s">
        <v>2142</v>
      </c>
      <c r="F241" s="1" t="s">
        <v>112</v>
      </c>
      <c r="G241" s="1">
        <v>19445</v>
      </c>
    </row>
    <row r="242" spans="1:7" x14ac:dyDescent="0.25">
      <c r="A242" s="1" t="str">
        <f t="shared" si="3"/>
        <v>08 Atrazine 0.625 mg_L</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2143</v>
      </c>
      <c r="D242" s="1" t="s">
        <v>2144</v>
      </c>
      <c r="E242" s="1" t="s">
        <v>2145</v>
      </c>
      <c r="F242" s="1" t="s">
        <v>112</v>
      </c>
      <c r="G242" s="1">
        <v>137263</v>
      </c>
    </row>
    <row r="243" spans="1:7" x14ac:dyDescent="0.25">
      <c r="A243" s="1" t="str">
        <f t="shared" si="3"/>
        <v>08 Atrazine 0.625 mg_L</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2146</v>
      </c>
      <c r="D243" s="1" t="s">
        <v>411</v>
      </c>
      <c r="E243" s="1" t="s">
        <v>2147</v>
      </c>
      <c r="F243" s="1" t="s">
        <v>112</v>
      </c>
      <c r="G243" s="1">
        <v>168756</v>
      </c>
    </row>
    <row r="244" spans="1:7" x14ac:dyDescent="0.25">
      <c r="A244" s="1" t="str">
        <f t="shared" si="3"/>
        <v>08 Atrazine 0.625 mg_L</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2148</v>
      </c>
      <c r="D244" s="1" t="s">
        <v>1848</v>
      </c>
      <c r="E244" s="1" t="s">
        <v>2149</v>
      </c>
      <c r="F244" s="1" t="s">
        <v>112</v>
      </c>
      <c r="G244" s="1">
        <v>140205</v>
      </c>
    </row>
    <row r="245" spans="1:7" x14ac:dyDescent="0.25">
      <c r="A245" s="1" t="str">
        <f t="shared" si="3"/>
        <v>08 Atrazine 0.625 mg_L</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2150</v>
      </c>
      <c r="D245" s="1" t="s">
        <v>2151</v>
      </c>
      <c r="E245" s="1" t="s">
        <v>2152</v>
      </c>
      <c r="F245" s="1" t="s">
        <v>112</v>
      </c>
      <c r="G245" s="1">
        <v>309913</v>
      </c>
    </row>
    <row r="246" spans="1:7" x14ac:dyDescent="0.25">
      <c r="A246" s="1" t="str">
        <f t="shared" si="3"/>
        <v>08 Atrazine 0.625 mg_L</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2153</v>
      </c>
      <c r="D246" s="1" t="s">
        <v>276</v>
      </c>
      <c r="E246" s="1" t="s">
        <v>2154</v>
      </c>
      <c r="F246" s="1" t="s">
        <v>112</v>
      </c>
      <c r="G246" s="1">
        <v>215066</v>
      </c>
    </row>
    <row r="247" spans="1:7" x14ac:dyDescent="0.25">
      <c r="A247" s="1" t="str">
        <f t="shared" si="3"/>
        <v>08 Atrazine 0.625 mg_L</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2155</v>
      </c>
      <c r="D247" s="1" t="s">
        <v>964</v>
      </c>
      <c r="E247" s="1" t="s">
        <v>2156</v>
      </c>
      <c r="F247" s="1" t="s">
        <v>112</v>
      </c>
      <c r="G247" s="1">
        <v>74017</v>
      </c>
    </row>
    <row r="248" spans="1:7" x14ac:dyDescent="0.25">
      <c r="A248" s="1" t="str">
        <f t="shared" si="3"/>
        <v>08 Atrazine 0.625 mg_L</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2157</v>
      </c>
      <c r="D248" s="1" t="s">
        <v>2158</v>
      </c>
      <c r="E248" s="1" t="s">
        <v>2159</v>
      </c>
      <c r="F248" s="1" t="s">
        <v>112</v>
      </c>
      <c r="G248" s="1">
        <v>715690</v>
      </c>
    </row>
    <row r="249" spans="1:7" x14ac:dyDescent="0.25">
      <c r="A249" s="1" t="str">
        <f t="shared" si="3"/>
        <v>08 Atrazine 0.625 mg_L</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2160</v>
      </c>
      <c r="D249" s="1" t="s">
        <v>2161</v>
      </c>
      <c r="E249" s="1" t="s">
        <v>2162</v>
      </c>
      <c r="F249" s="1" t="s">
        <v>112</v>
      </c>
      <c r="G249" s="1">
        <v>297671</v>
      </c>
    </row>
    <row r="250" spans="1:7" x14ac:dyDescent="0.25">
      <c r="A250" s="1" t="str">
        <f t="shared" si="3"/>
        <v>08 Atrazine 0.625 mg_L</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2163</v>
      </c>
      <c r="D250" s="1" t="s">
        <v>292</v>
      </c>
      <c r="E250" s="1" t="s">
        <v>2164</v>
      </c>
      <c r="F250" s="1" t="s">
        <v>112</v>
      </c>
      <c r="G250" s="1">
        <v>46115</v>
      </c>
    </row>
    <row r="251" spans="1:7" x14ac:dyDescent="0.25">
      <c r="A251" s="1" t="str">
        <f t="shared" si="3"/>
        <v>08 Atrazine 0.625 mg_L</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2165</v>
      </c>
      <c r="D251" s="1" t="s">
        <v>236</v>
      </c>
      <c r="E251" s="1" t="s">
        <v>2166</v>
      </c>
      <c r="F251" s="1" t="s">
        <v>112</v>
      </c>
      <c r="G251" s="1">
        <v>43000</v>
      </c>
    </row>
    <row r="252" spans="1:7" x14ac:dyDescent="0.25">
      <c r="A252" s="1" t="str">
        <f t="shared" si="3"/>
        <v>08 Atrazine 0.625 mg_L</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2167</v>
      </c>
      <c r="D252" s="1" t="s">
        <v>1752</v>
      </c>
      <c r="E252" s="1" t="s">
        <v>2168</v>
      </c>
      <c r="F252" s="1" t="s">
        <v>112</v>
      </c>
      <c r="G252" s="1">
        <v>383628</v>
      </c>
    </row>
    <row r="253" spans="1:7" x14ac:dyDescent="0.25">
      <c r="A253" s="1" t="str">
        <f t="shared" si="3"/>
        <v>08 Atrazine 0.625 mg_L</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2169</v>
      </c>
      <c r="D253" s="1" t="s">
        <v>2170</v>
      </c>
      <c r="E253" s="1" t="s">
        <v>2171</v>
      </c>
      <c r="F253" s="1" t="s">
        <v>112</v>
      </c>
      <c r="G253" s="1">
        <v>780580</v>
      </c>
    </row>
    <row r="254" spans="1:7" x14ac:dyDescent="0.25">
      <c r="A254" s="1" t="str">
        <f t="shared" si="3"/>
        <v>08 Atrazine 0.625 mg_L</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2172</v>
      </c>
      <c r="D254" s="1" t="s">
        <v>2173</v>
      </c>
      <c r="E254" s="1" t="s">
        <v>2174</v>
      </c>
      <c r="F254" s="1" t="s">
        <v>112</v>
      </c>
      <c r="G254" s="1">
        <v>1110392</v>
      </c>
    </row>
    <row r="255" spans="1:7" x14ac:dyDescent="0.25">
      <c r="A255" s="1" t="str">
        <f t="shared" si="3"/>
        <v>08 Atrazine 0.625 mg_L</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2175</v>
      </c>
      <c r="D255" s="1" t="s">
        <v>2176</v>
      </c>
      <c r="E255" s="1" t="s">
        <v>2177</v>
      </c>
      <c r="F255" s="1" t="s">
        <v>112</v>
      </c>
      <c r="G255" s="1">
        <v>706367</v>
      </c>
    </row>
    <row r="256" spans="1:7" x14ac:dyDescent="0.25">
      <c r="A256" s="1" t="str">
        <f t="shared" si="3"/>
        <v>08 Atrazine 0.625 mg_L</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2178</v>
      </c>
      <c r="D256" s="1" t="s">
        <v>333</v>
      </c>
      <c r="E256" s="1" t="s">
        <v>2179</v>
      </c>
      <c r="F256" s="1" t="s">
        <v>112</v>
      </c>
      <c r="G256" s="1">
        <v>47716</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240</v>
      </c>
      <c r="D258" s="1" t="s">
        <v>112</v>
      </c>
      <c r="E258" s="1" t="s">
        <v>241</v>
      </c>
      <c r="F258" s="1" t="s">
        <v>242</v>
      </c>
      <c r="G258" s="1" t="s">
        <v>243</v>
      </c>
      <c r="H258" s="1" t="s">
        <v>244</v>
      </c>
      <c r="I258" s="1" t="s">
        <v>245</v>
      </c>
      <c r="J258" s="1" t="s">
        <v>246</v>
      </c>
    </row>
    <row r="259" spans="1:10" x14ac:dyDescent="0.25">
      <c r="A259" s="1" t="str">
        <f t="shared" si="4"/>
        <v>08 Atrazine 0.625 mg_L</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2180</v>
      </c>
      <c r="D259" s="1" t="s">
        <v>112</v>
      </c>
      <c r="E259" s="1" t="s">
        <v>2181</v>
      </c>
      <c r="F259" s="1" t="s">
        <v>2182</v>
      </c>
      <c r="G259" s="1" t="s">
        <v>2183</v>
      </c>
      <c r="H259" s="1" t="s">
        <v>2184</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252</v>
      </c>
      <c r="D265" s="1" t="s">
        <v>110</v>
      </c>
      <c r="E265" s="1" t="s">
        <v>111</v>
      </c>
      <c r="F265" s="1" t="s">
        <v>112</v>
      </c>
      <c r="G265" s="1" t="s">
        <v>113</v>
      </c>
    </row>
    <row r="266" spans="1:10" x14ac:dyDescent="0.25">
      <c r="A266" s="1" t="str">
        <f t="shared" si="4"/>
        <v>09 Atrazine 1.25 mg_L</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2185</v>
      </c>
      <c r="D266" s="1" t="s">
        <v>880</v>
      </c>
      <c r="E266" s="1" t="s">
        <v>881</v>
      </c>
      <c r="F266" s="1" t="s">
        <v>112</v>
      </c>
      <c r="G266" s="1">
        <v>15336</v>
      </c>
    </row>
    <row r="267" spans="1:10" x14ac:dyDescent="0.25">
      <c r="A267" s="1" t="str">
        <f t="shared" si="4"/>
        <v>09 Atrazine 1.25 mg_L</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2186</v>
      </c>
      <c r="D267" s="1" t="s">
        <v>239</v>
      </c>
      <c r="E267" s="1" t="s">
        <v>1760</v>
      </c>
      <c r="F267" s="1" t="s">
        <v>112</v>
      </c>
      <c r="G267" s="1">
        <v>24442</v>
      </c>
    </row>
    <row r="268" spans="1:10" x14ac:dyDescent="0.25">
      <c r="A268" s="1" t="str">
        <f t="shared" si="4"/>
        <v>09 Atrazine 1.25 mg_L</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2187</v>
      </c>
      <c r="D268" s="1" t="s">
        <v>416</v>
      </c>
      <c r="E268" s="1" t="s">
        <v>2188</v>
      </c>
      <c r="F268" s="1" t="s">
        <v>112</v>
      </c>
      <c r="G268" s="1">
        <v>23404</v>
      </c>
    </row>
    <row r="269" spans="1:10" x14ac:dyDescent="0.25">
      <c r="A269" s="1" t="str">
        <f t="shared" si="4"/>
        <v>09 Atrazine 1.25 mg_L</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2189</v>
      </c>
    </row>
    <row r="270" spans="1:10" x14ac:dyDescent="0.25">
      <c r="A270" s="1" t="str">
        <f t="shared" si="4"/>
        <v>09 Atrazine 1.25 mg_L</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2190</v>
      </c>
    </row>
    <row r="271" spans="1:10" x14ac:dyDescent="0.25">
      <c r="A271" s="1" t="str">
        <f t="shared" si="4"/>
        <v>09 Atrazine 1.25 mg_L</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2191</v>
      </c>
    </row>
    <row r="272" spans="1:10" x14ac:dyDescent="0.25">
      <c r="A272" s="1" t="str">
        <f t="shared" si="4"/>
        <v>09 Atrazine 1.25 mg_L</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2192</v>
      </c>
      <c r="D272" s="1" t="s">
        <v>479</v>
      </c>
      <c r="E272" s="1" t="s">
        <v>2193</v>
      </c>
      <c r="F272" s="1" t="s">
        <v>112</v>
      </c>
      <c r="G272" s="1">
        <v>795418</v>
      </c>
    </row>
    <row r="273" spans="1:7" x14ac:dyDescent="0.25">
      <c r="A273" s="1" t="str">
        <f t="shared" si="4"/>
        <v>09 Atrazine 1.25 mg_L</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2194</v>
      </c>
      <c r="D273" s="1" t="s">
        <v>292</v>
      </c>
      <c r="E273" s="1" t="s">
        <v>685</v>
      </c>
      <c r="F273" s="1" t="s">
        <v>112</v>
      </c>
      <c r="G273" s="1">
        <v>44558</v>
      </c>
    </row>
    <row r="274" spans="1:7" x14ac:dyDescent="0.25">
      <c r="A274" s="1" t="str">
        <f t="shared" si="4"/>
        <v>09 Atrazine 1.25 mg_L</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2195</v>
      </c>
      <c r="D274" s="1" t="s">
        <v>364</v>
      </c>
      <c r="E274" s="1" t="s">
        <v>2196</v>
      </c>
      <c r="F274" s="1" t="s">
        <v>112</v>
      </c>
      <c r="G274" s="1">
        <v>85287</v>
      </c>
    </row>
    <row r="275" spans="1:7" x14ac:dyDescent="0.25">
      <c r="A275" s="1" t="str">
        <f t="shared" si="4"/>
        <v>09 Atrazine 1.25 mg_L</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2197</v>
      </c>
    </row>
    <row r="276" spans="1:7" x14ac:dyDescent="0.25">
      <c r="A276" s="1" t="str">
        <f t="shared" si="4"/>
        <v>09 Atrazine 1.25 mg_L</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2198</v>
      </c>
      <c r="D276" s="1" t="s">
        <v>1251</v>
      </c>
      <c r="E276" s="1" t="s">
        <v>2199</v>
      </c>
      <c r="F276" s="1" t="s">
        <v>112</v>
      </c>
      <c r="G276" s="1">
        <v>123463</v>
      </c>
    </row>
    <row r="277" spans="1:7" x14ac:dyDescent="0.25">
      <c r="A277" s="1" t="str">
        <f t="shared" si="4"/>
        <v>09 Atrazine 1.25 mg_L</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2200</v>
      </c>
      <c r="D277" s="1" t="s">
        <v>2201</v>
      </c>
      <c r="E277" s="1" t="s">
        <v>2202</v>
      </c>
      <c r="F277" s="1" t="s">
        <v>112</v>
      </c>
      <c r="G277" s="1">
        <v>460868</v>
      </c>
    </row>
    <row r="278" spans="1:7" x14ac:dyDescent="0.25">
      <c r="A278" s="1" t="str">
        <f t="shared" si="4"/>
        <v>09 Atrazine 1.25 mg_L</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2203</v>
      </c>
      <c r="D278" s="1" t="s">
        <v>225</v>
      </c>
      <c r="E278" s="1" t="s">
        <v>2204</v>
      </c>
      <c r="F278" s="1" t="s">
        <v>112</v>
      </c>
      <c r="G278" s="1">
        <v>195404</v>
      </c>
    </row>
    <row r="279" spans="1:7" x14ac:dyDescent="0.25">
      <c r="A279" s="1" t="str">
        <f t="shared" si="4"/>
        <v>09 Atrazine 1.25 mg_L</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2205</v>
      </c>
      <c r="D279" s="1" t="s">
        <v>839</v>
      </c>
      <c r="E279" s="1" t="s">
        <v>2206</v>
      </c>
      <c r="F279" s="1" t="s">
        <v>112</v>
      </c>
      <c r="G279" s="1">
        <v>162743</v>
      </c>
    </row>
    <row r="280" spans="1:7" x14ac:dyDescent="0.25">
      <c r="A280" s="1" t="str">
        <f t="shared" si="4"/>
        <v>09 Atrazine 1.25 mg_L</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2207</v>
      </c>
      <c r="D280" s="1" t="s">
        <v>1899</v>
      </c>
      <c r="E280" s="1" t="s">
        <v>2208</v>
      </c>
      <c r="F280" s="1" t="s">
        <v>112</v>
      </c>
      <c r="G280" s="1">
        <v>73001</v>
      </c>
    </row>
    <row r="281" spans="1:7" x14ac:dyDescent="0.25">
      <c r="A281" s="1" t="str">
        <f t="shared" si="4"/>
        <v>09 Atrazine 1.25 mg_L</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2209</v>
      </c>
      <c r="D281" s="1" t="s">
        <v>416</v>
      </c>
      <c r="E281" s="1" t="s">
        <v>2210</v>
      </c>
      <c r="F281" s="1" t="s">
        <v>112</v>
      </c>
      <c r="G281" s="1">
        <v>23144</v>
      </c>
    </row>
    <row r="282" spans="1:7" x14ac:dyDescent="0.25">
      <c r="A282" s="1" t="str">
        <f t="shared" si="4"/>
        <v>09 Atrazine 1.25 mg_L</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2211</v>
      </c>
      <c r="D282" s="1" t="s">
        <v>1808</v>
      </c>
      <c r="E282" s="1" t="s">
        <v>2212</v>
      </c>
      <c r="F282" s="1" t="s">
        <v>112</v>
      </c>
      <c r="G282" s="1">
        <v>78365</v>
      </c>
    </row>
    <row r="283" spans="1:7" x14ac:dyDescent="0.25">
      <c r="A283" s="1" t="str">
        <f t="shared" si="4"/>
        <v>09 Atrazine 1.25 mg_L</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2213</v>
      </c>
      <c r="D283" s="1" t="s">
        <v>984</v>
      </c>
      <c r="E283" s="1" t="s">
        <v>2214</v>
      </c>
      <c r="F283" s="1" t="s">
        <v>112</v>
      </c>
      <c r="G283" s="1">
        <v>56432</v>
      </c>
    </row>
    <row r="284" spans="1:7" x14ac:dyDescent="0.25">
      <c r="A284" s="1" t="str">
        <f t="shared" si="4"/>
        <v>09 Atrazine 1.25 mg_L</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2215</v>
      </c>
    </row>
    <row r="285" spans="1:7" x14ac:dyDescent="0.25">
      <c r="A285" s="1" t="str">
        <f t="shared" si="4"/>
        <v>09 Atrazine 1.25 mg_L</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2216</v>
      </c>
      <c r="D285" s="1" t="s">
        <v>176</v>
      </c>
      <c r="E285" s="1" t="s">
        <v>2217</v>
      </c>
      <c r="F285" s="1" t="s">
        <v>112</v>
      </c>
      <c r="G285" s="1">
        <v>20592</v>
      </c>
    </row>
    <row r="286" spans="1:7" x14ac:dyDescent="0.25">
      <c r="A286" s="1" t="str">
        <f t="shared" si="4"/>
        <v>09 Atrazine 1.25 mg_L</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2218</v>
      </c>
      <c r="D286" s="1" t="s">
        <v>1766</v>
      </c>
      <c r="E286" s="1" t="s">
        <v>2219</v>
      </c>
      <c r="F286" s="1" t="s">
        <v>112</v>
      </c>
      <c r="G286" s="1">
        <v>37095</v>
      </c>
    </row>
    <row r="287" spans="1:7" x14ac:dyDescent="0.25">
      <c r="A287" s="1" t="str">
        <f t="shared" si="4"/>
        <v>09 Atrazine 1.25 mg_L</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2220</v>
      </c>
      <c r="D287" s="1" t="s">
        <v>2221</v>
      </c>
      <c r="E287" s="1" t="s">
        <v>2222</v>
      </c>
      <c r="F287" s="1" t="s">
        <v>112</v>
      </c>
      <c r="G287" s="1">
        <v>487322</v>
      </c>
    </row>
    <row r="288" spans="1:7" x14ac:dyDescent="0.25">
      <c r="A288" s="1" t="str">
        <f t="shared" si="4"/>
        <v>09 Atrazine 1.25 mg_L</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2223</v>
      </c>
      <c r="D288" s="1" t="s">
        <v>189</v>
      </c>
      <c r="E288" s="1" t="s">
        <v>2224</v>
      </c>
      <c r="F288" s="1" t="s">
        <v>112</v>
      </c>
      <c r="G288" s="1">
        <v>228477</v>
      </c>
    </row>
    <row r="289" spans="1:10" x14ac:dyDescent="0.25">
      <c r="A289" s="1" t="str">
        <f t="shared" si="4"/>
        <v>09 Atrazine 1.25 mg_L</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2225</v>
      </c>
      <c r="D289" s="1" t="s">
        <v>2226</v>
      </c>
      <c r="E289" s="1" t="s">
        <v>2227</v>
      </c>
      <c r="F289" s="1" t="s">
        <v>112</v>
      </c>
      <c r="G289" s="1">
        <v>37874</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240</v>
      </c>
      <c r="D291" s="1" t="s">
        <v>112</v>
      </c>
      <c r="E291" s="1" t="s">
        <v>241</v>
      </c>
      <c r="F291" s="1" t="s">
        <v>242</v>
      </c>
      <c r="G291" s="1" t="s">
        <v>243</v>
      </c>
      <c r="H291" s="1" t="s">
        <v>244</v>
      </c>
      <c r="I291" s="1" t="s">
        <v>245</v>
      </c>
      <c r="J291" s="1" t="s">
        <v>246</v>
      </c>
    </row>
    <row r="292" spans="1:10" x14ac:dyDescent="0.25">
      <c r="A292" s="1" t="str">
        <f t="shared" si="4"/>
        <v>09 Atrazine 1.25 mg_L</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2228</v>
      </c>
      <c r="D292" s="1" t="s">
        <v>112</v>
      </c>
      <c r="E292" s="1" t="s">
        <v>2229</v>
      </c>
      <c r="F292" s="1" t="s">
        <v>2230</v>
      </c>
      <c r="G292" s="1" t="s">
        <v>2231</v>
      </c>
      <c r="H292" s="1" t="s">
        <v>2232</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252</v>
      </c>
      <c r="D298" s="1" t="s">
        <v>110</v>
      </c>
      <c r="E298" s="1" t="s">
        <v>111</v>
      </c>
      <c r="F298" s="1" t="s">
        <v>112</v>
      </c>
      <c r="G298" s="1" t="s">
        <v>113</v>
      </c>
    </row>
    <row r="299" spans="1:10" x14ac:dyDescent="0.25">
      <c r="A299" s="1" t="str">
        <f t="shared" si="4"/>
        <v>10 Atrazine 2.5 mg_L</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2233</v>
      </c>
      <c r="D299" s="1" t="s">
        <v>2234</v>
      </c>
      <c r="E299" s="1" t="s">
        <v>2235</v>
      </c>
      <c r="F299" s="1" t="s">
        <v>112</v>
      </c>
      <c r="G299" s="1">
        <v>571894</v>
      </c>
    </row>
    <row r="300" spans="1:10" x14ac:dyDescent="0.25">
      <c r="A300" s="1" t="str">
        <f t="shared" si="4"/>
        <v>10 Atrazine 2.5 mg_L</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2236</v>
      </c>
      <c r="D300" s="1" t="s">
        <v>2237</v>
      </c>
      <c r="E300" s="1" t="s">
        <v>2238</v>
      </c>
      <c r="F300" s="1" t="s">
        <v>112</v>
      </c>
      <c r="G300" s="1">
        <v>473024</v>
      </c>
    </row>
    <row r="301" spans="1:10" x14ac:dyDescent="0.25">
      <c r="A301" s="1" t="str">
        <f t="shared" si="4"/>
        <v>10 Atrazine 2.5 mg_L</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2239</v>
      </c>
      <c r="D301" s="1" t="s">
        <v>1934</v>
      </c>
      <c r="E301" s="1" t="s">
        <v>2240</v>
      </c>
      <c r="F301" s="1" t="s">
        <v>112</v>
      </c>
      <c r="G301" s="1">
        <v>917237</v>
      </c>
    </row>
    <row r="302" spans="1:10" x14ac:dyDescent="0.25">
      <c r="A302" s="1" t="str">
        <f t="shared" si="4"/>
        <v>10 Atrazine 2.5 mg_L</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2241</v>
      </c>
      <c r="D302" s="1" t="s">
        <v>186</v>
      </c>
      <c r="E302" s="1" t="s">
        <v>2242</v>
      </c>
      <c r="F302" s="1" t="s">
        <v>112</v>
      </c>
      <c r="G302" s="1">
        <v>11053</v>
      </c>
    </row>
    <row r="303" spans="1:10" x14ac:dyDescent="0.25">
      <c r="A303" s="1" t="str">
        <f t="shared" si="4"/>
        <v>10 Atrazine 2.5 mg_L</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2243</v>
      </c>
      <c r="D303" s="1" t="s">
        <v>1752</v>
      </c>
      <c r="E303" s="1" t="s">
        <v>2244</v>
      </c>
      <c r="F303" s="1" t="s">
        <v>112</v>
      </c>
      <c r="G303" s="1">
        <v>396000</v>
      </c>
    </row>
    <row r="304" spans="1:10" x14ac:dyDescent="0.25">
      <c r="A304" s="1" t="str">
        <f t="shared" si="4"/>
        <v>10 Atrazine 2.5 mg_L</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2245</v>
      </c>
      <c r="D304" s="1" t="s">
        <v>173</v>
      </c>
      <c r="E304" s="1">
        <v>64</v>
      </c>
      <c r="F304" s="1" t="s">
        <v>112</v>
      </c>
      <c r="G304" s="1">
        <v>19380</v>
      </c>
    </row>
    <row r="305" spans="1:7" x14ac:dyDescent="0.25">
      <c r="A305" s="1" t="str">
        <f t="shared" si="4"/>
        <v>10 Atrazine 2.5 mg_L</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2246</v>
      </c>
      <c r="D305" s="1" t="s">
        <v>884</v>
      </c>
      <c r="E305" s="1" t="s">
        <v>2247</v>
      </c>
      <c r="F305" s="1" t="s">
        <v>112</v>
      </c>
      <c r="G305" s="1">
        <v>32618</v>
      </c>
    </row>
    <row r="306" spans="1:7" x14ac:dyDescent="0.25">
      <c r="A306" s="1" t="str">
        <f t="shared" si="4"/>
        <v>10 Atrazine 2.5 mg_L</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2248</v>
      </c>
      <c r="D306" s="1" t="s">
        <v>822</v>
      </c>
      <c r="E306" s="1" t="s">
        <v>2249</v>
      </c>
      <c r="F306" s="1" t="s">
        <v>112</v>
      </c>
      <c r="G306" s="1">
        <v>130450</v>
      </c>
    </row>
    <row r="307" spans="1:7" x14ac:dyDescent="0.25">
      <c r="A307" s="1" t="str">
        <f t="shared" si="4"/>
        <v>10 Atrazine 2.5 mg_L</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2250</v>
      </c>
      <c r="D307" s="1" t="s">
        <v>964</v>
      </c>
      <c r="E307" s="1" t="s">
        <v>2251</v>
      </c>
      <c r="F307" s="1" t="s">
        <v>112</v>
      </c>
      <c r="G307" s="1">
        <v>70578</v>
      </c>
    </row>
    <row r="308" spans="1:7" x14ac:dyDescent="0.25">
      <c r="A308" s="1" t="str">
        <f t="shared" si="4"/>
        <v>10 Atrazine 2.5 mg_L</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2252</v>
      </c>
      <c r="D308" s="1" t="s">
        <v>2253</v>
      </c>
      <c r="E308" s="1" t="s">
        <v>2254</v>
      </c>
      <c r="F308" s="1" t="s">
        <v>112</v>
      </c>
      <c r="G308" s="1">
        <v>795612</v>
      </c>
    </row>
    <row r="309" spans="1:7" x14ac:dyDescent="0.25">
      <c r="A309" s="1" t="str">
        <f t="shared" si="4"/>
        <v>10 Atrazine 2.5 mg_L</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2255</v>
      </c>
      <c r="D309" s="1" t="s">
        <v>2256</v>
      </c>
      <c r="E309" s="1" t="s">
        <v>2257</v>
      </c>
      <c r="F309" s="1" t="s">
        <v>112</v>
      </c>
      <c r="G309" s="1">
        <v>1325047</v>
      </c>
    </row>
    <row r="310" spans="1:7" x14ac:dyDescent="0.25">
      <c r="A310" s="1" t="str">
        <f t="shared" si="4"/>
        <v>10 Atrazine 2.5 mg_L</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2258</v>
      </c>
      <c r="D310" s="1" t="s">
        <v>2259</v>
      </c>
      <c r="E310" s="1" t="s">
        <v>2260</v>
      </c>
      <c r="F310" s="1" t="s">
        <v>112</v>
      </c>
      <c r="G310" s="1">
        <v>1307635</v>
      </c>
    </row>
    <row r="311" spans="1:7" x14ac:dyDescent="0.25">
      <c r="A311" s="1" t="str">
        <f t="shared" si="4"/>
        <v>10 Atrazine 2.5 mg_L</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2261</v>
      </c>
      <c r="D311" s="1" t="s">
        <v>734</v>
      </c>
      <c r="E311" s="1" t="s">
        <v>2262</v>
      </c>
      <c r="F311" s="1" t="s">
        <v>112</v>
      </c>
      <c r="G311" s="1">
        <v>57427</v>
      </c>
    </row>
    <row r="312" spans="1:7" x14ac:dyDescent="0.25">
      <c r="A312" s="1" t="str">
        <f t="shared" si="4"/>
        <v>10 Atrazine 2.5 mg_L</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2263</v>
      </c>
      <c r="D312" s="1" t="s">
        <v>984</v>
      </c>
      <c r="E312" s="1" t="s">
        <v>2264</v>
      </c>
      <c r="F312" s="1" t="s">
        <v>112</v>
      </c>
      <c r="G312" s="1">
        <v>53967</v>
      </c>
    </row>
    <row r="313" spans="1:7" x14ac:dyDescent="0.25">
      <c r="A313" s="1" t="str">
        <f t="shared" si="4"/>
        <v>10 Atrazine 2.5 mg_L</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2265</v>
      </c>
      <c r="D313" s="1" t="s">
        <v>216</v>
      </c>
      <c r="E313" s="1" t="s">
        <v>262</v>
      </c>
      <c r="F313" s="1" t="s">
        <v>112</v>
      </c>
      <c r="G313" s="1">
        <v>21716</v>
      </c>
    </row>
    <row r="314" spans="1:7" x14ac:dyDescent="0.25">
      <c r="A314" s="1" t="str">
        <f t="shared" si="4"/>
        <v>10 Atrazine 2.5 mg_L</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2266</v>
      </c>
      <c r="D314" s="1" t="s">
        <v>1870</v>
      </c>
      <c r="E314" s="1" t="s">
        <v>2267</v>
      </c>
      <c r="F314" s="1" t="s">
        <v>112</v>
      </c>
      <c r="G314" s="1">
        <v>1187698</v>
      </c>
    </row>
    <row r="315" spans="1:7" x14ac:dyDescent="0.25">
      <c r="A315" s="1" t="str">
        <f t="shared" si="4"/>
        <v>10 Atrazine 2.5 mg_L</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2268</v>
      </c>
      <c r="D315" s="1" t="s">
        <v>264</v>
      </c>
      <c r="E315" s="1" t="s">
        <v>2269</v>
      </c>
      <c r="F315" s="1" t="s">
        <v>112</v>
      </c>
      <c r="G315" s="1">
        <v>17412</v>
      </c>
    </row>
    <row r="316" spans="1:7" x14ac:dyDescent="0.25">
      <c r="A316" s="1" t="str">
        <f t="shared" si="4"/>
        <v>10 Atrazine 2.5 mg_L</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2270</v>
      </c>
      <c r="D316" s="1" t="s">
        <v>2271</v>
      </c>
      <c r="E316" s="1" t="s">
        <v>2272</v>
      </c>
      <c r="F316" s="1" t="s">
        <v>112</v>
      </c>
      <c r="G316" s="1">
        <v>1060189</v>
      </c>
    </row>
    <row r="317" spans="1:7" x14ac:dyDescent="0.25">
      <c r="A317" s="1" t="str">
        <f t="shared" si="4"/>
        <v>10 Atrazine 2.5 mg_L</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2273</v>
      </c>
      <c r="D317" s="1" t="s">
        <v>2274</v>
      </c>
      <c r="E317" s="1" t="s">
        <v>2275</v>
      </c>
      <c r="F317" s="1" t="s">
        <v>112</v>
      </c>
      <c r="G317" s="1">
        <v>251426</v>
      </c>
    </row>
    <row r="318" spans="1:7" x14ac:dyDescent="0.25">
      <c r="A318" s="1" t="str">
        <f t="shared" si="4"/>
        <v>10 Atrazine 2.5 mg_L</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2276</v>
      </c>
      <c r="D318" s="1" t="s">
        <v>1674</v>
      </c>
      <c r="E318" s="1" t="s">
        <v>2277</v>
      </c>
      <c r="F318" s="1" t="s">
        <v>112</v>
      </c>
      <c r="G318" s="1">
        <v>389165</v>
      </c>
    </row>
    <row r="319" spans="1:7" x14ac:dyDescent="0.25">
      <c r="A319" s="1" t="str">
        <f t="shared" si="4"/>
        <v>10 Atrazine 2.5 mg_L</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2278</v>
      </c>
      <c r="D319" s="1" t="s">
        <v>2279</v>
      </c>
      <c r="E319" s="1" t="s">
        <v>2280</v>
      </c>
      <c r="F319" s="1" t="s">
        <v>112</v>
      </c>
      <c r="G319" s="1">
        <v>517712</v>
      </c>
    </row>
    <row r="320" spans="1:7" x14ac:dyDescent="0.25">
      <c r="A320" s="1" t="str">
        <f t="shared" si="4"/>
        <v>10 Atrazine 2.5 mg_L</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2281</v>
      </c>
      <c r="D320" s="1" t="s">
        <v>2282</v>
      </c>
      <c r="E320" s="1" t="s">
        <v>2283</v>
      </c>
      <c r="F320" s="1" t="s">
        <v>112</v>
      </c>
      <c r="G320" s="1">
        <v>798727</v>
      </c>
    </row>
    <row r="321" spans="1:10" x14ac:dyDescent="0.25">
      <c r="A321" s="1" t="str">
        <f t="shared" si="4"/>
        <v>10 Atrazine 2.5 mg_L</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2284</v>
      </c>
      <c r="D321" s="1" t="s">
        <v>2285</v>
      </c>
      <c r="E321" s="1" t="s">
        <v>2286</v>
      </c>
      <c r="F321" s="1" t="s">
        <v>112</v>
      </c>
      <c r="G321" s="1">
        <v>675393</v>
      </c>
    </row>
    <row r="322" spans="1:10" x14ac:dyDescent="0.25">
      <c r="A322" s="1" t="str">
        <f t="shared" ref="A322:A385" si="5">IFERROR(LEFT(RIGHT(C322,LEN(C322)-SEARCH("@",C322)),SEARCH("/",RIGHT(C322,LEN(C322)-SEARCH("@",C322)-1))),"")</f>
        <v>10 Atrazine 2.5 mg_L</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2287</v>
      </c>
      <c r="D322" s="1" t="s">
        <v>2288</v>
      </c>
      <c r="E322" s="1" t="s">
        <v>2289</v>
      </c>
      <c r="F322" s="1" t="s">
        <v>112</v>
      </c>
      <c r="G322" s="1">
        <v>609422</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240</v>
      </c>
      <c r="D324" s="1" t="s">
        <v>112</v>
      </c>
      <c r="E324" s="1" t="s">
        <v>241</v>
      </c>
      <c r="F324" s="1" t="s">
        <v>242</v>
      </c>
      <c r="G324" s="1" t="s">
        <v>243</v>
      </c>
      <c r="H324" s="1" t="s">
        <v>244</v>
      </c>
      <c r="I324" s="1" t="s">
        <v>245</v>
      </c>
      <c r="J324" s="1" t="s">
        <v>246</v>
      </c>
    </row>
    <row r="325" spans="1:10" x14ac:dyDescent="0.25">
      <c r="A325" s="1" t="str">
        <f t="shared" si="5"/>
        <v>10 Atrazine 2.5 mg_L</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2290</v>
      </c>
      <c r="D325" s="1" t="s">
        <v>112</v>
      </c>
      <c r="E325" s="1" t="s">
        <v>2291</v>
      </c>
      <c r="F325" s="1" t="s">
        <v>2292</v>
      </c>
      <c r="G325" s="1" t="s">
        <v>2293</v>
      </c>
      <c r="H325" s="1" t="s">
        <v>2294</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252</v>
      </c>
      <c r="D331" s="1" t="s">
        <v>110</v>
      </c>
      <c r="E331" s="1" t="s">
        <v>111</v>
      </c>
      <c r="F331" s="1" t="s">
        <v>112</v>
      </c>
      <c r="G331" s="1" t="s">
        <v>113</v>
      </c>
    </row>
    <row r="332" spans="1:10" x14ac:dyDescent="0.25">
      <c r="A332" s="1" t="str">
        <f t="shared" si="5"/>
        <v>11 Atrazine 5 mg_L</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2295</v>
      </c>
    </row>
    <row r="333" spans="1:10" x14ac:dyDescent="0.25">
      <c r="A333" s="1" t="str">
        <f t="shared" si="5"/>
        <v>11 Atrazine 5 mg_L</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2296</v>
      </c>
    </row>
    <row r="334" spans="1:10" x14ac:dyDescent="0.25">
      <c r="A334" s="1" t="str">
        <f t="shared" si="5"/>
        <v>11 Atrazine 5 mg_L</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2297</v>
      </c>
    </row>
    <row r="335" spans="1:10" x14ac:dyDescent="0.25">
      <c r="A335" s="1" t="str">
        <f t="shared" si="5"/>
        <v>11 Atrazine 5 mg_L</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2298</v>
      </c>
      <c r="D335" s="1" t="s">
        <v>1771</v>
      </c>
      <c r="E335" s="1" t="s">
        <v>2299</v>
      </c>
      <c r="F335" s="1" t="s">
        <v>112</v>
      </c>
      <c r="G335" s="1">
        <v>41313</v>
      </c>
    </row>
    <row r="336" spans="1:10" x14ac:dyDescent="0.25">
      <c r="A336" s="1" t="str">
        <f t="shared" si="5"/>
        <v>11 Atrazine 5 mg_L</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2300</v>
      </c>
      <c r="D336" s="1" t="s">
        <v>880</v>
      </c>
      <c r="E336" s="1">
        <v>66</v>
      </c>
      <c r="F336" s="1" t="s">
        <v>112</v>
      </c>
      <c r="G336" s="1">
        <v>15703</v>
      </c>
    </row>
    <row r="337" spans="1:7" x14ac:dyDescent="0.25">
      <c r="A337" s="1" t="str">
        <f t="shared" si="5"/>
        <v>11 Atrazine 5 mg_L</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2301</v>
      </c>
      <c r="D337" s="1" t="s">
        <v>216</v>
      </c>
      <c r="E337" s="1" t="s">
        <v>187</v>
      </c>
      <c r="F337" s="1" t="s">
        <v>112</v>
      </c>
      <c r="G337" s="1">
        <v>21760</v>
      </c>
    </row>
    <row r="338" spans="1:7" x14ac:dyDescent="0.25">
      <c r="A338" s="1" t="str">
        <f t="shared" si="5"/>
        <v>11 Atrazine 5 mg_L</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2302</v>
      </c>
      <c r="D338" s="1" t="s">
        <v>1128</v>
      </c>
      <c r="E338" s="1" t="s">
        <v>2303</v>
      </c>
      <c r="F338" s="1" t="s">
        <v>112</v>
      </c>
      <c r="G338" s="1">
        <v>743614</v>
      </c>
    </row>
    <row r="339" spans="1:7" x14ac:dyDescent="0.25">
      <c r="A339" s="1" t="str">
        <f t="shared" si="5"/>
        <v>11 Atrazine 5 mg_L</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2304</v>
      </c>
      <c r="D339" s="1" t="s">
        <v>2305</v>
      </c>
      <c r="E339" s="1" t="s">
        <v>2306</v>
      </c>
      <c r="F339" s="1" t="s">
        <v>112</v>
      </c>
      <c r="G339" s="1">
        <v>446355</v>
      </c>
    </row>
    <row r="340" spans="1:7" x14ac:dyDescent="0.25">
      <c r="A340" s="1" t="str">
        <f t="shared" si="5"/>
        <v>11 Atrazine 5 mg_L</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2307</v>
      </c>
      <c r="D340" s="1" t="s">
        <v>1929</v>
      </c>
      <c r="E340" s="1" t="s">
        <v>2308</v>
      </c>
      <c r="F340" s="1" t="s">
        <v>112</v>
      </c>
      <c r="G340" s="1">
        <v>214742</v>
      </c>
    </row>
    <row r="341" spans="1:7" x14ac:dyDescent="0.25">
      <c r="A341" s="1" t="str">
        <f t="shared" si="5"/>
        <v>11 Atrazine 5 mg_L</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2309</v>
      </c>
      <c r="D341" s="1" t="s">
        <v>909</v>
      </c>
      <c r="E341" s="1" t="s">
        <v>2310</v>
      </c>
      <c r="F341" s="1" t="s">
        <v>112</v>
      </c>
      <c r="G341" s="1">
        <v>138907</v>
      </c>
    </row>
    <row r="342" spans="1:7" x14ac:dyDescent="0.25">
      <c r="A342" s="1" t="str">
        <f t="shared" si="5"/>
        <v>11 Atrazine 5 mg_L</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2311</v>
      </c>
      <c r="D342" s="1" t="s">
        <v>2312</v>
      </c>
      <c r="E342" s="1" t="s">
        <v>2313</v>
      </c>
      <c r="F342" s="1" t="s">
        <v>112</v>
      </c>
      <c r="G342" s="1">
        <v>155973</v>
      </c>
    </row>
    <row r="343" spans="1:7" x14ac:dyDescent="0.25">
      <c r="A343" s="1" t="str">
        <f t="shared" si="5"/>
        <v>11 Atrazine 5 mg_L</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2314</v>
      </c>
      <c r="D343" s="1" t="s">
        <v>147</v>
      </c>
      <c r="E343" s="1" t="s">
        <v>2315</v>
      </c>
      <c r="F343" s="1" t="s">
        <v>112</v>
      </c>
      <c r="G343" s="1">
        <v>326763</v>
      </c>
    </row>
    <row r="344" spans="1:7" x14ac:dyDescent="0.25">
      <c r="A344" s="1" t="str">
        <f t="shared" si="5"/>
        <v>11 Atrazine 5 mg_L</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2316</v>
      </c>
      <c r="D344" s="1" t="s">
        <v>2317</v>
      </c>
      <c r="E344" s="1" t="s">
        <v>2318</v>
      </c>
      <c r="F344" s="1" t="s">
        <v>112</v>
      </c>
      <c r="G344" s="1">
        <v>917259</v>
      </c>
    </row>
    <row r="345" spans="1:7" x14ac:dyDescent="0.25">
      <c r="A345" s="1" t="str">
        <f t="shared" si="5"/>
        <v>11 Atrazine 5 mg_L</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2319</v>
      </c>
      <c r="D345" s="1" t="s">
        <v>537</v>
      </c>
      <c r="E345" s="1" t="s">
        <v>2320</v>
      </c>
      <c r="F345" s="1" t="s">
        <v>112</v>
      </c>
      <c r="G345" s="1">
        <v>491258</v>
      </c>
    </row>
    <row r="346" spans="1:7" x14ac:dyDescent="0.25">
      <c r="A346" s="1" t="str">
        <f t="shared" si="5"/>
        <v>11 Atrazine 5 mg_L</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2321</v>
      </c>
      <c r="D346" s="1" t="s">
        <v>2322</v>
      </c>
      <c r="E346" s="1" t="s">
        <v>2323</v>
      </c>
      <c r="F346" s="1" t="s">
        <v>112</v>
      </c>
      <c r="G346" s="1">
        <v>482282</v>
      </c>
    </row>
    <row r="347" spans="1:7" x14ac:dyDescent="0.25">
      <c r="A347" s="1" t="str">
        <f t="shared" si="5"/>
        <v>11 Atrazine 5 mg_L</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2324</v>
      </c>
    </row>
    <row r="348" spans="1:7" x14ac:dyDescent="0.25">
      <c r="A348" s="1" t="str">
        <f t="shared" si="5"/>
        <v>11 Atrazine 5 mg_L</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2325</v>
      </c>
    </row>
    <row r="349" spans="1:7" x14ac:dyDescent="0.25">
      <c r="A349" s="1" t="str">
        <f t="shared" si="5"/>
        <v>11 Atrazine 5 mg_L</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2326</v>
      </c>
    </row>
    <row r="350" spans="1:7" x14ac:dyDescent="0.25">
      <c r="A350" s="1" t="str">
        <f t="shared" si="5"/>
        <v>11 Atrazine 5 mg_L</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2327</v>
      </c>
      <c r="D350" s="1" t="s">
        <v>2201</v>
      </c>
      <c r="E350" s="1" t="s">
        <v>2328</v>
      </c>
      <c r="F350" s="1" t="s">
        <v>112</v>
      </c>
      <c r="G350" s="1">
        <v>446160</v>
      </c>
    </row>
    <row r="351" spans="1:7" x14ac:dyDescent="0.25">
      <c r="A351" s="1" t="str">
        <f t="shared" si="5"/>
        <v>11 Atrazine 5 mg_L</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2329</v>
      </c>
      <c r="D351" s="1" t="s">
        <v>951</v>
      </c>
      <c r="E351" s="1" t="s">
        <v>2330</v>
      </c>
      <c r="F351" s="1" t="s">
        <v>112</v>
      </c>
      <c r="G351" s="1">
        <v>135663</v>
      </c>
    </row>
    <row r="352" spans="1:7" x14ac:dyDescent="0.25">
      <c r="A352" s="1" t="str">
        <f t="shared" si="5"/>
        <v>11 Atrazine 5 mg_L</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2331</v>
      </c>
      <c r="D352" s="1" t="s">
        <v>408</v>
      </c>
      <c r="E352" s="1" t="s">
        <v>2332</v>
      </c>
      <c r="F352" s="1" t="s">
        <v>112</v>
      </c>
      <c r="G352" s="1">
        <v>113881</v>
      </c>
    </row>
    <row r="353" spans="1:10" x14ac:dyDescent="0.25">
      <c r="A353" s="1" t="str">
        <f t="shared" si="5"/>
        <v>11 Atrazine 5 mg_L</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2333</v>
      </c>
      <c r="D353" s="1" t="s">
        <v>2334</v>
      </c>
      <c r="E353" s="1" t="s">
        <v>2335</v>
      </c>
      <c r="F353" s="1" t="s">
        <v>112</v>
      </c>
      <c r="G353" s="1">
        <v>234663</v>
      </c>
    </row>
    <row r="354" spans="1:10" x14ac:dyDescent="0.25">
      <c r="A354" s="1" t="str">
        <f t="shared" si="5"/>
        <v>11 Atrazine 5 mg_L</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2336</v>
      </c>
    </row>
    <row r="355" spans="1:10" x14ac:dyDescent="0.25">
      <c r="A355" s="1" t="str">
        <f t="shared" si="5"/>
        <v>11 Atrazine 5 mg_L</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2337</v>
      </c>
      <c r="D355" s="1" t="s">
        <v>186</v>
      </c>
      <c r="E355" s="1" t="s">
        <v>285</v>
      </c>
      <c r="F355" s="1" t="s">
        <v>112</v>
      </c>
      <c r="G355" s="1">
        <v>10966</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240</v>
      </c>
      <c r="D357" s="1" t="s">
        <v>112</v>
      </c>
      <c r="E357" s="1" t="s">
        <v>241</v>
      </c>
      <c r="F357" s="1" t="s">
        <v>242</v>
      </c>
      <c r="G357" s="1" t="s">
        <v>243</v>
      </c>
      <c r="H357" s="1" t="s">
        <v>244</v>
      </c>
      <c r="I357" s="1" t="s">
        <v>245</v>
      </c>
      <c r="J357" s="1" t="s">
        <v>246</v>
      </c>
    </row>
    <row r="358" spans="1:10" x14ac:dyDescent="0.25">
      <c r="A358" s="1" t="str">
        <f t="shared" si="5"/>
        <v>11 Atrazine 5 mg_L</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2338</v>
      </c>
      <c r="D358" s="1" t="s">
        <v>112</v>
      </c>
      <c r="E358" s="1" t="s">
        <v>2339</v>
      </c>
      <c r="F358" s="1" t="s">
        <v>2340</v>
      </c>
      <c r="G358" s="1">
        <v>217540</v>
      </c>
      <c r="H358" s="1" t="s">
        <v>2341</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252</v>
      </c>
      <c r="D364" s="1" t="s">
        <v>110</v>
      </c>
      <c r="E364" s="1" t="s">
        <v>111</v>
      </c>
      <c r="F364" s="1" t="s">
        <v>112</v>
      </c>
      <c r="G364" s="1" t="s">
        <v>113</v>
      </c>
    </row>
    <row r="365" spans="1:10" x14ac:dyDescent="0.25">
      <c r="A365" s="1" t="str">
        <f t="shared" si="5"/>
        <v>12 Atrazine 10 mg_L</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2342</v>
      </c>
      <c r="D365" s="1" t="s">
        <v>2343</v>
      </c>
      <c r="E365" s="1" t="s">
        <v>2344</v>
      </c>
      <c r="F365" s="1" t="s">
        <v>112</v>
      </c>
      <c r="G365" s="1">
        <v>124567</v>
      </c>
    </row>
    <row r="366" spans="1:10" x14ac:dyDescent="0.25">
      <c r="A366" s="1" t="str">
        <f t="shared" si="5"/>
        <v>12 Atrazine 10 mg_L</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2345</v>
      </c>
      <c r="D366" s="1" t="s">
        <v>239</v>
      </c>
      <c r="E366" s="1" t="s">
        <v>2346</v>
      </c>
      <c r="F366" s="1" t="s">
        <v>112</v>
      </c>
      <c r="G366" s="1">
        <v>25091</v>
      </c>
    </row>
    <row r="367" spans="1:10" x14ac:dyDescent="0.25">
      <c r="A367" s="1" t="str">
        <f t="shared" si="5"/>
        <v>12 Atrazine 10 mg_L</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2347</v>
      </c>
      <c r="D367" s="1" t="s">
        <v>234</v>
      </c>
      <c r="E367" s="1" t="s">
        <v>2348</v>
      </c>
      <c r="F367" s="1" t="s">
        <v>112</v>
      </c>
      <c r="G367" s="1">
        <v>41832</v>
      </c>
    </row>
    <row r="368" spans="1:10" x14ac:dyDescent="0.25">
      <c r="A368" s="1" t="str">
        <f t="shared" si="5"/>
        <v>12 Atrazine 10 mg_L</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2349</v>
      </c>
      <c r="D368" s="1" t="s">
        <v>2350</v>
      </c>
      <c r="E368" s="1" t="s">
        <v>2351</v>
      </c>
      <c r="F368" s="1" t="s">
        <v>112</v>
      </c>
      <c r="G368" s="1">
        <v>292566</v>
      </c>
    </row>
    <row r="369" spans="1:7" x14ac:dyDescent="0.25">
      <c r="A369" s="1" t="str">
        <f t="shared" si="5"/>
        <v>12 Atrazine 10 mg_L</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2352</v>
      </c>
    </row>
    <row r="370" spans="1:7" x14ac:dyDescent="0.25">
      <c r="A370" s="1" t="str">
        <f t="shared" si="5"/>
        <v>12 Atrazine 10 mg_L</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2353</v>
      </c>
      <c r="D370" s="1" t="s">
        <v>2354</v>
      </c>
      <c r="E370" s="1" t="s">
        <v>2355</v>
      </c>
      <c r="F370" s="1" t="s">
        <v>112</v>
      </c>
      <c r="G370" s="1">
        <v>402511</v>
      </c>
    </row>
    <row r="371" spans="1:7" x14ac:dyDescent="0.25">
      <c r="A371" s="1" t="str">
        <f t="shared" si="5"/>
        <v>12 Atrazine 10 mg_L</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2356</v>
      </c>
      <c r="D371" s="1" t="s">
        <v>182</v>
      </c>
      <c r="E371" s="1" t="s">
        <v>2357</v>
      </c>
      <c r="F371" s="1" t="s">
        <v>112</v>
      </c>
      <c r="G371" s="1">
        <v>27102</v>
      </c>
    </row>
    <row r="372" spans="1:7" x14ac:dyDescent="0.25">
      <c r="A372" s="1" t="str">
        <f t="shared" si="5"/>
        <v>12 Atrazine 10 mg_L</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2358</v>
      </c>
      <c r="D372" s="1" t="s">
        <v>186</v>
      </c>
      <c r="E372" s="1" t="s">
        <v>2359</v>
      </c>
      <c r="F372" s="1" t="s">
        <v>112</v>
      </c>
      <c r="G372" s="1">
        <v>11096</v>
      </c>
    </row>
    <row r="373" spans="1:7" x14ac:dyDescent="0.25">
      <c r="A373" s="1" t="str">
        <f t="shared" si="5"/>
        <v>12 Atrazine 10 mg_L</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2360</v>
      </c>
      <c r="D373" s="1" t="s">
        <v>863</v>
      </c>
      <c r="E373" s="1" t="s">
        <v>2361</v>
      </c>
      <c r="F373" s="1" t="s">
        <v>112</v>
      </c>
      <c r="G373" s="1">
        <v>27751</v>
      </c>
    </row>
    <row r="374" spans="1:7" x14ac:dyDescent="0.25">
      <c r="A374" s="1" t="str">
        <f t="shared" si="5"/>
        <v>12 Atrazine 10 mg_L</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2362</v>
      </c>
    </row>
    <row r="375" spans="1:7" x14ac:dyDescent="0.25">
      <c r="A375" s="1" t="str">
        <f t="shared" si="5"/>
        <v>12 Atrazine 10 mg_L</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2363</v>
      </c>
      <c r="D375" s="1" t="s">
        <v>830</v>
      </c>
      <c r="E375" s="1" t="s">
        <v>2364</v>
      </c>
      <c r="F375" s="1" t="s">
        <v>112</v>
      </c>
      <c r="G375" s="1">
        <v>296849</v>
      </c>
    </row>
    <row r="376" spans="1:7" x14ac:dyDescent="0.25">
      <c r="A376" s="1" t="str">
        <f t="shared" si="5"/>
        <v>12 Atrazine 10 mg_L</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2365</v>
      </c>
      <c r="D376" s="1" t="s">
        <v>2366</v>
      </c>
      <c r="E376" s="1" t="s">
        <v>2367</v>
      </c>
      <c r="F376" s="1" t="s">
        <v>112</v>
      </c>
      <c r="G376" s="1">
        <v>776210</v>
      </c>
    </row>
    <row r="377" spans="1:7" x14ac:dyDescent="0.25">
      <c r="A377" s="1" t="str">
        <f t="shared" si="5"/>
        <v>12 Atrazine 10 mg_L</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2368</v>
      </c>
      <c r="D377" s="1" t="s">
        <v>182</v>
      </c>
      <c r="E377" s="1" t="s">
        <v>2369</v>
      </c>
      <c r="F377" s="1" t="s">
        <v>112</v>
      </c>
      <c r="G377" s="1">
        <v>25826</v>
      </c>
    </row>
    <row r="378" spans="1:7" x14ac:dyDescent="0.25">
      <c r="A378" s="1" t="str">
        <f t="shared" si="5"/>
        <v>12 Atrazine 10 mg_L</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2370</v>
      </c>
      <c r="D378" s="1" t="s">
        <v>874</v>
      </c>
      <c r="E378" s="1" t="s">
        <v>1223</v>
      </c>
      <c r="F378" s="1" t="s">
        <v>112</v>
      </c>
      <c r="G378" s="1">
        <v>13778</v>
      </c>
    </row>
    <row r="379" spans="1:7" x14ac:dyDescent="0.25">
      <c r="A379" s="1" t="str">
        <f t="shared" si="5"/>
        <v>12 Atrazine 10 mg_L</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2371</v>
      </c>
      <c r="D379" s="1" t="s">
        <v>264</v>
      </c>
      <c r="E379" s="1" t="s">
        <v>2372</v>
      </c>
      <c r="F379" s="1" t="s">
        <v>112</v>
      </c>
      <c r="G379" s="1">
        <v>18256</v>
      </c>
    </row>
    <row r="380" spans="1:7" x14ac:dyDescent="0.25">
      <c r="A380" s="1" t="str">
        <f t="shared" si="5"/>
        <v>12 Atrazine 10 mg_L</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2373</v>
      </c>
      <c r="D380" s="1" t="s">
        <v>2374</v>
      </c>
      <c r="E380" s="1" t="s">
        <v>2375</v>
      </c>
      <c r="F380" s="1" t="s">
        <v>112</v>
      </c>
      <c r="G380" s="1">
        <v>186342</v>
      </c>
    </row>
    <row r="381" spans="1:7" x14ac:dyDescent="0.25">
      <c r="A381" s="1" t="str">
        <f t="shared" si="5"/>
        <v>12 Atrazine 10 mg_L</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2376</v>
      </c>
      <c r="D381" s="1" t="s">
        <v>176</v>
      </c>
      <c r="E381" s="1">
        <v>63</v>
      </c>
      <c r="F381" s="1" t="s">
        <v>112</v>
      </c>
      <c r="G381" s="1">
        <v>20440</v>
      </c>
    </row>
    <row r="382" spans="1:7" x14ac:dyDescent="0.25">
      <c r="A382" s="1" t="str">
        <f t="shared" si="5"/>
        <v>12 Atrazine 10 mg_L</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2377</v>
      </c>
      <c r="D382" s="1" t="s">
        <v>2378</v>
      </c>
      <c r="E382" s="1" t="s">
        <v>2379</v>
      </c>
      <c r="F382" s="1" t="s">
        <v>112</v>
      </c>
      <c r="G382" s="1">
        <v>154329</v>
      </c>
    </row>
    <row r="383" spans="1:7" x14ac:dyDescent="0.25">
      <c r="A383" s="1" t="str">
        <f t="shared" si="5"/>
        <v>12 Atrazine 10 mg_L</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2380</v>
      </c>
      <c r="D383" s="1" t="s">
        <v>880</v>
      </c>
      <c r="E383" s="1" t="s">
        <v>2381</v>
      </c>
      <c r="F383" s="1" t="s">
        <v>112</v>
      </c>
      <c r="G383" s="1">
        <v>15141</v>
      </c>
    </row>
    <row r="384" spans="1:7" x14ac:dyDescent="0.25">
      <c r="A384" s="1" t="str">
        <f t="shared" si="5"/>
        <v>12 Atrazine 10 mg_L</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2382</v>
      </c>
      <c r="D384" s="1" t="s">
        <v>279</v>
      </c>
      <c r="E384" s="1" t="s">
        <v>2383</v>
      </c>
      <c r="F384" s="1" t="s">
        <v>112</v>
      </c>
      <c r="G384" s="1">
        <v>16331</v>
      </c>
    </row>
    <row r="385" spans="1:10" x14ac:dyDescent="0.25">
      <c r="A385" s="1" t="str">
        <f t="shared" si="5"/>
        <v>12 Atrazine 10 mg_L</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2384</v>
      </c>
      <c r="D385" s="1" t="s">
        <v>179</v>
      </c>
      <c r="E385" s="1" t="s">
        <v>2385</v>
      </c>
      <c r="F385" s="1" t="s">
        <v>112</v>
      </c>
      <c r="G385" s="1">
        <v>9431</v>
      </c>
    </row>
    <row r="386" spans="1:10" x14ac:dyDescent="0.25">
      <c r="A386" s="1" t="str">
        <f t="shared" ref="A386:A449" si="6">IFERROR(LEFT(RIGHT(C386,LEN(C386)-SEARCH("@",C386)),SEARCH("/",RIGHT(C386,LEN(C386)-SEARCH("@",C386)-1))),"")</f>
        <v>12 Atrazine 10 mg_L</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2386</v>
      </c>
      <c r="D386" s="1" t="s">
        <v>880</v>
      </c>
      <c r="E386" s="1" t="s">
        <v>2387</v>
      </c>
      <c r="F386" s="1" t="s">
        <v>112</v>
      </c>
      <c r="G386" s="1">
        <v>15076</v>
      </c>
    </row>
    <row r="387" spans="1:10" x14ac:dyDescent="0.25">
      <c r="A387" s="1" t="str">
        <f t="shared" si="6"/>
        <v>12 Atrazine 10 mg_L</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2388</v>
      </c>
      <c r="D387" s="1" t="s">
        <v>700</v>
      </c>
      <c r="E387" s="1" t="s">
        <v>2389</v>
      </c>
      <c r="F387" s="1" t="s">
        <v>112</v>
      </c>
      <c r="G387" s="1">
        <v>6532</v>
      </c>
    </row>
    <row r="388" spans="1:10" x14ac:dyDescent="0.25">
      <c r="A388" s="1" t="str">
        <f t="shared" si="6"/>
        <v>12 Atrazine 10 mg_L</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2390</v>
      </c>
      <c r="D388" s="1" t="s">
        <v>945</v>
      </c>
      <c r="E388" s="1" t="s">
        <v>2391</v>
      </c>
      <c r="F388" s="1" t="s">
        <v>112</v>
      </c>
      <c r="G388" s="1">
        <v>5559</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240</v>
      </c>
      <c r="D390" s="1" t="s">
        <v>112</v>
      </c>
      <c r="E390" s="1" t="s">
        <v>241</v>
      </c>
      <c r="F390" s="1" t="s">
        <v>242</v>
      </c>
      <c r="G390" s="1" t="s">
        <v>243</v>
      </c>
      <c r="H390" s="1" t="s">
        <v>244</v>
      </c>
      <c r="I390" s="1" t="s">
        <v>245</v>
      </c>
      <c r="J390" s="1" t="s">
        <v>246</v>
      </c>
    </row>
    <row r="391" spans="1:10" x14ac:dyDescent="0.25">
      <c r="A391" s="1" t="str">
        <f t="shared" si="6"/>
        <v>12 Atrazine 10 mg_L</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2392</v>
      </c>
      <c r="D391" s="1" t="s">
        <v>112</v>
      </c>
      <c r="E391" s="1" t="s">
        <v>2393</v>
      </c>
      <c r="F391" s="1" t="s">
        <v>2394</v>
      </c>
      <c r="G391" s="1" t="s">
        <v>2395</v>
      </c>
      <c r="H391" s="1" t="s">
        <v>2396</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252</v>
      </c>
      <c r="D397" s="1" t="s">
        <v>110</v>
      </c>
      <c r="E397" s="1" t="s">
        <v>111</v>
      </c>
      <c r="F397" s="1" t="s">
        <v>112</v>
      </c>
      <c r="G397" s="1" t="s">
        <v>113</v>
      </c>
    </row>
    <row r="398" spans="1:10" x14ac:dyDescent="0.25">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2397</v>
      </c>
      <c r="D398" s="1" t="s">
        <v>2279</v>
      </c>
      <c r="E398" s="1" t="s">
        <v>2398</v>
      </c>
      <c r="F398" s="1" t="s">
        <v>112</v>
      </c>
      <c r="G398" s="1">
        <v>493637</v>
      </c>
    </row>
    <row r="399" spans="1:10" x14ac:dyDescent="0.25">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2399</v>
      </c>
      <c r="D399" s="1" t="s">
        <v>2400</v>
      </c>
      <c r="E399" s="1" t="s">
        <v>2401</v>
      </c>
      <c r="F399" s="1" t="s">
        <v>112</v>
      </c>
      <c r="G399" s="1">
        <v>534280</v>
      </c>
    </row>
    <row r="400" spans="1:10" x14ac:dyDescent="0.25">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2402</v>
      </c>
      <c r="D400" s="1" t="s">
        <v>2403</v>
      </c>
      <c r="E400" s="1" t="s">
        <v>2404</v>
      </c>
      <c r="F400" s="1" t="s">
        <v>112</v>
      </c>
      <c r="G400" s="1">
        <v>597137</v>
      </c>
    </row>
    <row r="401" spans="1:7" x14ac:dyDescent="0.25">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2405</v>
      </c>
      <c r="D401" s="1" t="s">
        <v>2406</v>
      </c>
      <c r="E401" s="1" t="s">
        <v>2407</v>
      </c>
      <c r="F401" s="1" t="s">
        <v>112</v>
      </c>
      <c r="G401" s="1">
        <v>452346</v>
      </c>
    </row>
    <row r="402" spans="1:7" x14ac:dyDescent="0.25">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2408</v>
      </c>
      <c r="D402" s="1" t="s">
        <v>2409</v>
      </c>
      <c r="E402" s="1" t="s">
        <v>2410</v>
      </c>
      <c r="F402" s="1" t="s">
        <v>112</v>
      </c>
      <c r="G402" s="1">
        <v>599689</v>
      </c>
    </row>
    <row r="403" spans="1:7" x14ac:dyDescent="0.25">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2411</v>
      </c>
      <c r="D403" s="1" t="s">
        <v>825</v>
      </c>
      <c r="E403" s="1" t="s">
        <v>2412</v>
      </c>
      <c r="F403" s="1" t="s">
        <v>112</v>
      </c>
      <c r="G403" s="1">
        <v>123636</v>
      </c>
    </row>
    <row r="404" spans="1:7" x14ac:dyDescent="0.25">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2413</v>
      </c>
      <c r="D404" s="1" t="s">
        <v>2414</v>
      </c>
      <c r="E404" s="1" t="s">
        <v>2415</v>
      </c>
      <c r="F404" s="1" t="s">
        <v>112</v>
      </c>
      <c r="G404" s="1">
        <v>275478</v>
      </c>
    </row>
    <row r="405" spans="1:7" x14ac:dyDescent="0.25">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2416</v>
      </c>
      <c r="D405" s="1" t="s">
        <v>839</v>
      </c>
      <c r="E405" s="1" t="s">
        <v>2417</v>
      </c>
      <c r="F405" s="1" t="s">
        <v>112</v>
      </c>
      <c r="G405" s="1">
        <v>166399</v>
      </c>
    </row>
    <row r="406" spans="1:7" x14ac:dyDescent="0.25">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2418</v>
      </c>
      <c r="D406" s="1" t="s">
        <v>276</v>
      </c>
      <c r="E406" s="1" t="s">
        <v>2419</v>
      </c>
      <c r="F406" s="1" t="s">
        <v>112</v>
      </c>
      <c r="G406" s="1">
        <v>208253</v>
      </c>
    </row>
    <row r="407" spans="1:7" x14ac:dyDescent="0.25">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2420</v>
      </c>
      <c r="D407" s="1" t="s">
        <v>2421</v>
      </c>
      <c r="E407" s="1" t="s">
        <v>2422</v>
      </c>
      <c r="F407" s="1" t="s">
        <v>112</v>
      </c>
      <c r="G407" s="1">
        <v>1329957</v>
      </c>
    </row>
    <row r="408" spans="1:7" x14ac:dyDescent="0.25">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2423</v>
      </c>
      <c r="D408" s="1" t="s">
        <v>2424</v>
      </c>
      <c r="E408" s="1" t="s">
        <v>2425</v>
      </c>
      <c r="F408" s="1" t="s">
        <v>112</v>
      </c>
      <c r="G408" s="1">
        <v>1324853</v>
      </c>
    </row>
    <row r="409" spans="1:7" x14ac:dyDescent="0.25">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2426</v>
      </c>
      <c r="D409" s="1" t="s">
        <v>2427</v>
      </c>
      <c r="E409" s="1" t="s">
        <v>2428</v>
      </c>
      <c r="F409" s="1" t="s">
        <v>112</v>
      </c>
      <c r="G409" s="1">
        <v>1344103</v>
      </c>
    </row>
    <row r="410" spans="1:7" x14ac:dyDescent="0.25">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2429</v>
      </c>
      <c r="D410" s="1" t="s">
        <v>2430</v>
      </c>
      <c r="E410" s="1" t="s">
        <v>2431</v>
      </c>
      <c r="F410" s="1" t="s">
        <v>112</v>
      </c>
      <c r="G410" s="1">
        <v>2292574</v>
      </c>
    </row>
    <row r="411" spans="1:7" x14ac:dyDescent="0.25">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2432</v>
      </c>
      <c r="D411" s="1" t="s">
        <v>2433</v>
      </c>
      <c r="E411" s="1" t="s">
        <v>2434</v>
      </c>
      <c r="F411" s="1" t="s">
        <v>112</v>
      </c>
      <c r="G411" s="1">
        <v>1343065</v>
      </c>
    </row>
    <row r="412" spans="1:7" x14ac:dyDescent="0.25">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2435</v>
      </c>
      <c r="D412" s="1" t="s">
        <v>2436</v>
      </c>
      <c r="E412" s="1" t="s">
        <v>2437</v>
      </c>
      <c r="F412" s="1" t="s">
        <v>112</v>
      </c>
      <c r="G412" s="1">
        <v>2568680</v>
      </c>
    </row>
    <row r="413" spans="1:7" x14ac:dyDescent="0.25">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2438</v>
      </c>
      <c r="D413" s="1" t="s">
        <v>2439</v>
      </c>
      <c r="E413" s="1" t="s">
        <v>2440</v>
      </c>
      <c r="F413" s="1" t="s">
        <v>112</v>
      </c>
      <c r="G413" s="1">
        <v>1447559</v>
      </c>
    </row>
    <row r="414" spans="1:7" x14ac:dyDescent="0.25">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2441</v>
      </c>
      <c r="D414" s="1" t="s">
        <v>2442</v>
      </c>
      <c r="E414" s="1" t="s">
        <v>2443</v>
      </c>
      <c r="F414" s="1" t="s">
        <v>112</v>
      </c>
      <c r="G414" s="1">
        <v>1127783</v>
      </c>
    </row>
    <row r="415" spans="1:7" x14ac:dyDescent="0.25">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2444</v>
      </c>
      <c r="D415" s="1" t="s">
        <v>2445</v>
      </c>
      <c r="E415" s="1" t="s">
        <v>2446</v>
      </c>
      <c r="F415" s="1" t="s">
        <v>112</v>
      </c>
      <c r="G415" s="1">
        <v>1200027</v>
      </c>
    </row>
    <row r="416" spans="1:7" x14ac:dyDescent="0.25">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2447</v>
      </c>
      <c r="D416" s="1" t="s">
        <v>2448</v>
      </c>
      <c r="E416" s="1" t="s">
        <v>2449</v>
      </c>
      <c r="F416" s="1" t="s">
        <v>112</v>
      </c>
      <c r="G416" s="1">
        <v>1667297</v>
      </c>
    </row>
    <row r="417" spans="1:10" x14ac:dyDescent="0.25">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2450</v>
      </c>
      <c r="D417" s="1" t="s">
        <v>2451</v>
      </c>
      <c r="E417" s="1" t="s">
        <v>2452</v>
      </c>
      <c r="F417" s="1" t="s">
        <v>112</v>
      </c>
      <c r="G417" s="1">
        <v>1865297</v>
      </c>
    </row>
    <row r="418" spans="1:10" x14ac:dyDescent="0.25">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2453</v>
      </c>
      <c r="D418" s="1" t="s">
        <v>2454</v>
      </c>
      <c r="E418" s="1" t="s">
        <v>2455</v>
      </c>
      <c r="F418" s="1" t="s">
        <v>112</v>
      </c>
      <c r="G418" s="1">
        <v>1303461</v>
      </c>
    </row>
    <row r="419" spans="1:10" x14ac:dyDescent="0.25">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2456</v>
      </c>
      <c r="D419" s="1" t="s">
        <v>2457</v>
      </c>
      <c r="E419" s="1" t="s">
        <v>2458</v>
      </c>
      <c r="F419" s="1" t="s">
        <v>112</v>
      </c>
      <c r="G419" s="1">
        <v>787242</v>
      </c>
    </row>
    <row r="420" spans="1:10" x14ac:dyDescent="0.25">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2459</v>
      </c>
      <c r="D420" s="1" t="s">
        <v>2170</v>
      </c>
      <c r="E420" s="1" t="s">
        <v>2460</v>
      </c>
      <c r="F420" s="1" t="s">
        <v>112</v>
      </c>
      <c r="G420" s="1">
        <v>678465</v>
      </c>
    </row>
    <row r="421" spans="1:10" x14ac:dyDescent="0.25">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2461</v>
      </c>
      <c r="D421" s="1" t="s">
        <v>1450</v>
      </c>
      <c r="E421" s="1" t="s">
        <v>2462</v>
      </c>
      <c r="F421" s="1" t="s">
        <v>112</v>
      </c>
      <c r="G421" s="1">
        <v>373159</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240</v>
      </c>
      <c r="D423" s="1" t="s">
        <v>112</v>
      </c>
      <c r="E423" s="1" t="s">
        <v>241</v>
      </c>
      <c r="F423" s="1" t="s">
        <v>242</v>
      </c>
      <c r="G423" s="1" t="s">
        <v>243</v>
      </c>
      <c r="H423" s="1" t="s">
        <v>244</v>
      </c>
      <c r="I423" s="1" t="s">
        <v>245</v>
      </c>
      <c r="J423" s="1" t="s">
        <v>246</v>
      </c>
    </row>
    <row r="424" spans="1:10" x14ac:dyDescent="0.25">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2463</v>
      </c>
      <c r="D424" s="1" t="s">
        <v>112</v>
      </c>
      <c r="E424" s="1" t="s">
        <v>2464</v>
      </c>
      <c r="F424" s="1" t="s">
        <v>2465</v>
      </c>
      <c r="G424" s="1" t="s">
        <v>2466</v>
      </c>
      <c r="H424" s="1" t="s">
        <v>2467</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252</v>
      </c>
      <c r="D430" s="1" t="s">
        <v>110</v>
      </c>
      <c r="E430" s="1" t="s">
        <v>111</v>
      </c>
      <c r="F430" s="1" t="s">
        <v>112</v>
      </c>
      <c r="G430" s="1" t="s">
        <v>113</v>
      </c>
    </row>
    <row r="431" spans="1:10" x14ac:dyDescent="0.25">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2468</v>
      </c>
      <c r="D431" s="1" t="s">
        <v>2469</v>
      </c>
      <c r="E431" s="1" t="s">
        <v>2470</v>
      </c>
      <c r="F431" s="1" t="s">
        <v>112</v>
      </c>
      <c r="G431" s="1">
        <v>1727147</v>
      </c>
    </row>
    <row r="432" spans="1:10" x14ac:dyDescent="0.25">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2471</v>
      </c>
    </row>
    <row r="433" spans="1:7" x14ac:dyDescent="0.25">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2472</v>
      </c>
      <c r="D433" s="1" t="s">
        <v>2473</v>
      </c>
      <c r="E433" s="1" t="s">
        <v>2474</v>
      </c>
      <c r="F433" s="1" t="s">
        <v>112</v>
      </c>
      <c r="G433" s="1">
        <v>1763875</v>
      </c>
    </row>
    <row r="434" spans="1:7" x14ac:dyDescent="0.25">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2475</v>
      </c>
      <c r="D434" s="1" t="s">
        <v>2476</v>
      </c>
      <c r="E434" s="1" t="s">
        <v>2477</v>
      </c>
      <c r="F434" s="1" t="s">
        <v>112</v>
      </c>
      <c r="G434" s="1">
        <v>953489</v>
      </c>
    </row>
    <row r="435" spans="1:7" x14ac:dyDescent="0.25">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2478</v>
      </c>
      <c r="D435" s="1" t="s">
        <v>2479</v>
      </c>
      <c r="E435" s="1" t="s">
        <v>2480</v>
      </c>
      <c r="F435" s="1" t="s">
        <v>112</v>
      </c>
      <c r="G435" s="1">
        <v>1031140</v>
      </c>
    </row>
    <row r="436" spans="1:7" x14ac:dyDescent="0.25">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2481</v>
      </c>
      <c r="D436" s="1" t="s">
        <v>2482</v>
      </c>
      <c r="E436" s="1" t="s">
        <v>2483</v>
      </c>
      <c r="F436" s="1" t="s">
        <v>112</v>
      </c>
      <c r="G436" s="1">
        <v>740110</v>
      </c>
    </row>
    <row r="437" spans="1:7" x14ac:dyDescent="0.25">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2484</v>
      </c>
      <c r="D437" s="1" t="s">
        <v>2485</v>
      </c>
      <c r="E437" s="1" t="s">
        <v>2486</v>
      </c>
      <c r="F437" s="1" t="s">
        <v>112</v>
      </c>
      <c r="G437" s="1">
        <v>1066246</v>
      </c>
    </row>
    <row r="438" spans="1:7" x14ac:dyDescent="0.25">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2487</v>
      </c>
      <c r="D438" s="1" t="s">
        <v>2488</v>
      </c>
      <c r="E438" s="1" t="s">
        <v>2489</v>
      </c>
      <c r="F438" s="1" t="s">
        <v>112</v>
      </c>
      <c r="G438" s="1">
        <v>961968</v>
      </c>
    </row>
    <row r="439" spans="1:7" x14ac:dyDescent="0.25">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2490</v>
      </c>
      <c r="D439" s="1" t="s">
        <v>2491</v>
      </c>
      <c r="E439" s="1" t="s">
        <v>2492</v>
      </c>
      <c r="F439" s="1" t="s">
        <v>112</v>
      </c>
      <c r="G439" s="1">
        <v>1220251</v>
      </c>
    </row>
    <row r="440" spans="1:7" x14ac:dyDescent="0.25">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2493</v>
      </c>
      <c r="D440" s="1" t="s">
        <v>825</v>
      </c>
      <c r="E440" s="1" t="s">
        <v>2494</v>
      </c>
      <c r="F440" s="1" t="s">
        <v>112</v>
      </c>
      <c r="G440" s="1">
        <v>127616</v>
      </c>
    </row>
    <row r="441" spans="1:7" x14ac:dyDescent="0.25">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2495</v>
      </c>
      <c r="D441" s="1" t="s">
        <v>204</v>
      </c>
      <c r="E441" s="1" t="s">
        <v>2496</v>
      </c>
      <c r="F441" s="1" t="s">
        <v>112</v>
      </c>
      <c r="G441" s="1">
        <v>147429</v>
      </c>
    </row>
    <row r="442" spans="1:7" x14ac:dyDescent="0.25">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2497</v>
      </c>
      <c r="D442" s="1" t="s">
        <v>2498</v>
      </c>
      <c r="E442" s="1">
        <v>65</v>
      </c>
      <c r="F442" s="1" t="s">
        <v>112</v>
      </c>
      <c r="G442" s="1">
        <v>102634</v>
      </c>
    </row>
    <row r="443" spans="1:7" x14ac:dyDescent="0.25">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2499</v>
      </c>
      <c r="D443" s="1" t="s">
        <v>2500</v>
      </c>
      <c r="E443" s="1" t="s">
        <v>2501</v>
      </c>
      <c r="F443" s="1" t="s">
        <v>112</v>
      </c>
      <c r="G443" s="1">
        <v>1216768</v>
      </c>
    </row>
    <row r="444" spans="1:7" x14ac:dyDescent="0.25">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2502</v>
      </c>
      <c r="D444" s="1" t="s">
        <v>2503</v>
      </c>
      <c r="E444" s="1" t="s">
        <v>2504</v>
      </c>
      <c r="F444" s="1" t="s">
        <v>112</v>
      </c>
      <c r="G444" s="1">
        <v>1235283</v>
      </c>
    </row>
    <row r="445" spans="1:7" x14ac:dyDescent="0.25">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2505</v>
      </c>
      <c r="D445" s="1" t="s">
        <v>2506</v>
      </c>
      <c r="E445" s="1" t="s">
        <v>2507</v>
      </c>
      <c r="F445" s="1" t="s">
        <v>112</v>
      </c>
      <c r="G445" s="1">
        <v>1427897</v>
      </c>
    </row>
    <row r="446" spans="1:7" x14ac:dyDescent="0.25">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2508</v>
      </c>
      <c r="D446" s="1" t="s">
        <v>729</v>
      </c>
      <c r="E446" s="1" t="s">
        <v>1252</v>
      </c>
      <c r="F446" s="1" t="s">
        <v>112</v>
      </c>
      <c r="G446" s="1">
        <v>474365</v>
      </c>
    </row>
    <row r="447" spans="1:7" x14ac:dyDescent="0.25">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2509</v>
      </c>
      <c r="D447" s="1" t="s">
        <v>2510</v>
      </c>
      <c r="E447" s="1" t="s">
        <v>2511</v>
      </c>
      <c r="F447" s="1" t="s">
        <v>112</v>
      </c>
      <c r="G447" s="1">
        <v>219414</v>
      </c>
    </row>
    <row r="448" spans="1:7" x14ac:dyDescent="0.25">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2512</v>
      </c>
      <c r="D448" s="1" t="s">
        <v>2144</v>
      </c>
      <c r="E448" s="1" t="s">
        <v>2513</v>
      </c>
      <c r="F448" s="1" t="s">
        <v>112</v>
      </c>
      <c r="G448" s="1">
        <v>123745</v>
      </c>
    </row>
    <row r="449" spans="1:10" x14ac:dyDescent="0.25">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2514</v>
      </c>
      <c r="D449" s="1" t="s">
        <v>2515</v>
      </c>
      <c r="E449" s="1" t="s">
        <v>2516</v>
      </c>
      <c r="F449" s="1" t="s">
        <v>112</v>
      </c>
      <c r="G449" s="1">
        <v>2062627</v>
      </c>
    </row>
    <row r="450" spans="1:10" x14ac:dyDescent="0.25">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2517</v>
      </c>
      <c r="D450" s="1" t="s">
        <v>2518</v>
      </c>
      <c r="E450" s="1" t="s">
        <v>2519</v>
      </c>
      <c r="F450" s="1" t="s">
        <v>112</v>
      </c>
      <c r="G450" s="1">
        <v>2038445</v>
      </c>
    </row>
    <row r="451" spans="1:10" x14ac:dyDescent="0.25">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2520</v>
      </c>
      <c r="D451" s="1" t="s">
        <v>2521</v>
      </c>
      <c r="E451" s="1" t="s">
        <v>2522</v>
      </c>
      <c r="F451" s="1" t="s">
        <v>112</v>
      </c>
      <c r="G451" s="1">
        <v>1943360</v>
      </c>
    </row>
    <row r="452" spans="1:10" x14ac:dyDescent="0.25">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2523</v>
      </c>
      <c r="D452" s="1" t="s">
        <v>1825</v>
      </c>
      <c r="E452" s="1" t="s">
        <v>2524</v>
      </c>
      <c r="F452" s="1" t="s">
        <v>112</v>
      </c>
      <c r="G452" s="1">
        <v>236371</v>
      </c>
    </row>
    <row r="453" spans="1:10" x14ac:dyDescent="0.25">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2525</v>
      </c>
      <c r="D453" s="1" t="s">
        <v>833</v>
      </c>
      <c r="E453" s="1" t="s">
        <v>2526</v>
      </c>
      <c r="F453" s="1" t="s">
        <v>112</v>
      </c>
      <c r="G453" s="1">
        <v>161013</v>
      </c>
    </row>
    <row r="454" spans="1:10" x14ac:dyDescent="0.25">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2527</v>
      </c>
      <c r="D454" s="1" t="s">
        <v>1819</v>
      </c>
      <c r="E454" s="1" t="s">
        <v>2528</v>
      </c>
      <c r="F454" s="1" t="s">
        <v>112</v>
      </c>
      <c r="G454" s="1">
        <v>272861</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240</v>
      </c>
      <c r="D456" s="1" t="s">
        <v>112</v>
      </c>
      <c r="E456" s="1" t="s">
        <v>241</v>
      </c>
      <c r="F456" s="1" t="s">
        <v>242</v>
      </c>
      <c r="G456" s="1" t="s">
        <v>243</v>
      </c>
      <c r="H456" s="1" t="s">
        <v>244</v>
      </c>
      <c r="I456" s="1" t="s">
        <v>245</v>
      </c>
      <c r="J456" s="1" t="s">
        <v>246</v>
      </c>
    </row>
    <row r="457" spans="1:10" x14ac:dyDescent="0.25">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2529</v>
      </c>
      <c r="D457" s="1" t="s">
        <v>112</v>
      </c>
      <c r="E457" s="1" t="s">
        <v>2530</v>
      </c>
      <c r="F457" s="1" t="s">
        <v>2531</v>
      </c>
      <c r="G457" s="1" t="s">
        <v>2532</v>
      </c>
      <c r="H457" s="1" t="s">
        <v>2533</v>
      </c>
      <c r="I457" s="1">
        <v>24</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252</v>
      </c>
      <c r="D463" s="1" t="s">
        <v>110</v>
      </c>
      <c r="E463" s="1" t="s">
        <v>111</v>
      </c>
      <c r="F463" s="1" t="s">
        <v>112</v>
      </c>
      <c r="G463" s="1" t="s">
        <v>113</v>
      </c>
    </row>
    <row r="464" spans="1:10" x14ac:dyDescent="0.25">
      <c r="A464" s="1" t="str">
        <f t="shared" si="7"/>
        <v>03 testo +ee2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2534</v>
      </c>
      <c r="D464" s="1" t="s">
        <v>2535</v>
      </c>
      <c r="E464" s="1" t="s">
        <v>2536</v>
      </c>
      <c r="F464" s="1" t="s">
        <v>112</v>
      </c>
      <c r="G464" s="1">
        <v>4349534</v>
      </c>
    </row>
    <row r="465" spans="1:7" x14ac:dyDescent="0.25">
      <c r="A465" s="1" t="str">
        <f t="shared" si="7"/>
        <v>03 testo +ee2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2537</v>
      </c>
      <c r="D465" s="1" t="s">
        <v>2538</v>
      </c>
      <c r="E465" s="1" t="s">
        <v>2539</v>
      </c>
      <c r="F465" s="1" t="s">
        <v>112</v>
      </c>
      <c r="G465" s="1">
        <v>1688581</v>
      </c>
    </row>
    <row r="466" spans="1:7" x14ac:dyDescent="0.25">
      <c r="A466" s="1" t="str">
        <f t="shared" si="7"/>
        <v>03 testo +ee2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2540</v>
      </c>
      <c r="D466" s="1" t="s">
        <v>2541</v>
      </c>
      <c r="E466" s="1" t="s">
        <v>2542</v>
      </c>
      <c r="F466" s="1" t="s">
        <v>112</v>
      </c>
      <c r="G466" s="1">
        <v>4279907</v>
      </c>
    </row>
    <row r="467" spans="1:7" x14ac:dyDescent="0.25">
      <c r="A467" s="1" t="str">
        <f t="shared" si="7"/>
        <v>03 testo +ee2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2543</v>
      </c>
      <c r="D467" s="1" t="s">
        <v>2544</v>
      </c>
      <c r="E467" s="1" t="s">
        <v>2545</v>
      </c>
      <c r="F467" s="1" t="s">
        <v>112</v>
      </c>
      <c r="G467" s="1">
        <v>1235110</v>
      </c>
    </row>
    <row r="468" spans="1:7" x14ac:dyDescent="0.25">
      <c r="A468" s="1" t="str">
        <f t="shared" si="7"/>
        <v>03 testo +ee2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2546</v>
      </c>
    </row>
    <row r="469" spans="1:7" x14ac:dyDescent="0.25">
      <c r="A469" s="1" t="str">
        <f t="shared" si="7"/>
        <v>03 testo +ee2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2547</v>
      </c>
      <c r="D469" s="1" t="s">
        <v>1168</v>
      </c>
      <c r="E469" s="1" t="s">
        <v>2548</v>
      </c>
      <c r="F469" s="1" t="s">
        <v>112</v>
      </c>
      <c r="G469" s="1">
        <v>999907</v>
      </c>
    </row>
    <row r="470" spans="1:7" x14ac:dyDescent="0.25">
      <c r="A470" s="1" t="str">
        <f t="shared" si="7"/>
        <v>03 testo +ee2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2549</v>
      </c>
      <c r="D470" s="1" t="s">
        <v>2550</v>
      </c>
      <c r="E470" s="1" t="s">
        <v>2551</v>
      </c>
      <c r="F470" s="1" t="s">
        <v>112</v>
      </c>
      <c r="G470" s="1">
        <v>3356895</v>
      </c>
    </row>
    <row r="471" spans="1:7" x14ac:dyDescent="0.25">
      <c r="A471" s="1" t="str">
        <f t="shared" si="7"/>
        <v>03 testo +ee2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2552</v>
      </c>
      <c r="D471" s="1" t="s">
        <v>2553</v>
      </c>
      <c r="E471" s="1" t="s">
        <v>2554</v>
      </c>
      <c r="F471" s="1" t="s">
        <v>112</v>
      </c>
      <c r="G471" s="1">
        <v>3316122</v>
      </c>
    </row>
    <row r="472" spans="1:7" x14ac:dyDescent="0.25">
      <c r="A472" s="1" t="str">
        <f t="shared" si="7"/>
        <v>03 testo +ee2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2555</v>
      </c>
      <c r="D472" s="1" t="s">
        <v>2556</v>
      </c>
      <c r="E472" s="1" t="s">
        <v>2557</v>
      </c>
      <c r="F472" s="1" t="s">
        <v>112</v>
      </c>
      <c r="G472" s="1">
        <v>3514577</v>
      </c>
    </row>
    <row r="473" spans="1:7" x14ac:dyDescent="0.25">
      <c r="A473" s="1" t="str">
        <f t="shared" si="7"/>
        <v>03 testo +ee2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2558</v>
      </c>
      <c r="D473" s="1" t="s">
        <v>2559</v>
      </c>
      <c r="E473" s="1" t="s">
        <v>2560</v>
      </c>
      <c r="F473" s="1" t="s">
        <v>112</v>
      </c>
      <c r="G473" s="1">
        <v>850617</v>
      </c>
    </row>
    <row r="474" spans="1:7" x14ac:dyDescent="0.25">
      <c r="A474" s="1" t="str">
        <f t="shared" si="7"/>
        <v>03 testo +ee2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2561</v>
      </c>
      <c r="D474" s="1" t="s">
        <v>2562</v>
      </c>
      <c r="E474" s="1" t="s">
        <v>2563</v>
      </c>
      <c r="F474" s="1" t="s">
        <v>112</v>
      </c>
      <c r="G474" s="1">
        <v>818194</v>
      </c>
    </row>
    <row r="475" spans="1:7" x14ac:dyDescent="0.25">
      <c r="A475" s="1" t="str">
        <f t="shared" si="7"/>
        <v>03 testo +ee2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2564</v>
      </c>
      <c r="D475" s="1" t="s">
        <v>2565</v>
      </c>
      <c r="E475" s="1" t="s">
        <v>2566</v>
      </c>
      <c r="F475" s="1" t="s">
        <v>112</v>
      </c>
      <c r="G475" s="1">
        <v>922883</v>
      </c>
    </row>
    <row r="476" spans="1:7" x14ac:dyDescent="0.25">
      <c r="A476" s="1" t="str">
        <f t="shared" si="7"/>
        <v>03 testo +ee2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2567</v>
      </c>
      <c r="D476" s="1" t="s">
        <v>2568</v>
      </c>
      <c r="E476" s="1" t="s">
        <v>2569</v>
      </c>
      <c r="F476" s="1" t="s">
        <v>112</v>
      </c>
      <c r="G476" s="1">
        <v>2249877</v>
      </c>
    </row>
    <row r="477" spans="1:7" x14ac:dyDescent="0.25">
      <c r="A477" s="1" t="str">
        <f t="shared" si="7"/>
        <v>03 testo +ee2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2570</v>
      </c>
      <c r="D477" s="1" t="s">
        <v>2571</v>
      </c>
      <c r="E477" s="1" t="s">
        <v>2572</v>
      </c>
      <c r="F477" s="1" t="s">
        <v>112</v>
      </c>
      <c r="G477" s="1">
        <v>2252451</v>
      </c>
    </row>
    <row r="478" spans="1:7" x14ac:dyDescent="0.25">
      <c r="A478" s="1" t="str">
        <f t="shared" si="7"/>
        <v>03 testo +ee2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2573</v>
      </c>
      <c r="D478" s="1" t="s">
        <v>2574</v>
      </c>
      <c r="E478" s="1" t="s">
        <v>2575</v>
      </c>
      <c r="F478" s="1" t="s">
        <v>112</v>
      </c>
      <c r="G478" s="1">
        <v>1941997</v>
      </c>
    </row>
    <row r="479" spans="1:7" x14ac:dyDescent="0.25">
      <c r="A479" s="1" t="str">
        <f t="shared" si="7"/>
        <v>03 testo +ee2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2576</v>
      </c>
    </row>
    <row r="480" spans="1:7" x14ac:dyDescent="0.25">
      <c r="A480" s="1" t="str">
        <f t="shared" si="7"/>
        <v>03 testo +ee2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2577</v>
      </c>
    </row>
    <row r="481" spans="1:10" x14ac:dyDescent="0.25">
      <c r="A481" s="1" t="str">
        <f t="shared" si="7"/>
        <v>03 testo +ee2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2578</v>
      </c>
    </row>
    <row r="482" spans="1:10" x14ac:dyDescent="0.25">
      <c r="A482" s="1" t="str">
        <f t="shared" si="7"/>
        <v>03 testo +ee2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2579</v>
      </c>
      <c r="D482" s="1" t="s">
        <v>2580</v>
      </c>
      <c r="E482" s="1" t="s">
        <v>2581</v>
      </c>
      <c r="F482" s="1" t="s">
        <v>112</v>
      </c>
      <c r="G482" s="1">
        <v>1692388</v>
      </c>
    </row>
    <row r="483" spans="1:10" x14ac:dyDescent="0.25">
      <c r="A483" s="1" t="str">
        <f t="shared" si="7"/>
        <v>03 testo +ee2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2582</v>
      </c>
      <c r="D483" s="1" t="s">
        <v>2583</v>
      </c>
      <c r="E483" s="1" t="s">
        <v>2584</v>
      </c>
      <c r="F483" s="1" t="s">
        <v>112</v>
      </c>
      <c r="G483" s="1">
        <v>1512470</v>
      </c>
    </row>
    <row r="484" spans="1:10" x14ac:dyDescent="0.25">
      <c r="A484" s="1" t="str">
        <f t="shared" si="7"/>
        <v>03 testo +ee2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2585</v>
      </c>
      <c r="D484" s="1" t="s">
        <v>508</v>
      </c>
      <c r="E484" s="1" t="s">
        <v>2586</v>
      </c>
      <c r="F484" s="1" t="s">
        <v>112</v>
      </c>
      <c r="G484" s="1">
        <v>1565161</v>
      </c>
    </row>
    <row r="485" spans="1:10" x14ac:dyDescent="0.25">
      <c r="A485" s="1" t="str">
        <f t="shared" si="7"/>
        <v>03 testo +ee2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2587</v>
      </c>
      <c r="D485" s="1" t="s">
        <v>2588</v>
      </c>
      <c r="E485" s="1" t="s">
        <v>2589</v>
      </c>
      <c r="F485" s="1" t="s">
        <v>112</v>
      </c>
      <c r="G485" s="1">
        <v>3693521</v>
      </c>
    </row>
    <row r="486" spans="1:10" x14ac:dyDescent="0.25">
      <c r="A486" s="1" t="str">
        <f t="shared" si="7"/>
        <v>03 testo +ee2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2590</v>
      </c>
      <c r="D486" s="1" t="s">
        <v>2591</v>
      </c>
      <c r="E486" s="1" t="s">
        <v>2592</v>
      </c>
      <c r="F486" s="1" t="s">
        <v>112</v>
      </c>
      <c r="G486" s="1">
        <v>3954053</v>
      </c>
    </row>
    <row r="487" spans="1:10" x14ac:dyDescent="0.25">
      <c r="A487" s="1" t="str">
        <f t="shared" si="7"/>
        <v>03 testo +ee2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2593</v>
      </c>
      <c r="D487" s="1" t="s">
        <v>2105</v>
      </c>
      <c r="E487" s="1" t="s">
        <v>2594</v>
      </c>
      <c r="F487" s="1" t="s">
        <v>112</v>
      </c>
      <c r="G487" s="1">
        <v>4494757</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240</v>
      </c>
      <c r="D489" s="1" t="s">
        <v>112</v>
      </c>
      <c r="E489" s="1" t="s">
        <v>241</v>
      </c>
      <c r="F489" s="1" t="s">
        <v>242</v>
      </c>
      <c r="G489" s="1" t="s">
        <v>243</v>
      </c>
      <c r="H489" s="1" t="s">
        <v>244</v>
      </c>
      <c r="I489" s="1" t="s">
        <v>245</v>
      </c>
      <c r="J489" s="1" t="s">
        <v>246</v>
      </c>
    </row>
    <row r="490" spans="1:10" x14ac:dyDescent="0.25">
      <c r="A490" s="1" t="str">
        <f t="shared" si="7"/>
        <v>03 testo +ee2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2595</v>
      </c>
      <c r="D490" s="1" t="s">
        <v>112</v>
      </c>
      <c r="E490" s="1" t="s">
        <v>2596</v>
      </c>
      <c r="F490" s="1" t="s">
        <v>2597</v>
      </c>
      <c r="G490" s="1" t="s">
        <v>2598</v>
      </c>
      <c r="H490" s="1" t="s">
        <v>2599</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252</v>
      </c>
      <c r="D496" s="1" t="s">
        <v>110</v>
      </c>
      <c r="E496" s="1" t="s">
        <v>111</v>
      </c>
      <c r="F496" s="1" t="s">
        <v>112</v>
      </c>
      <c r="G496" s="1" t="s">
        <v>113</v>
      </c>
    </row>
    <row r="497" spans="1:7" x14ac:dyDescent="0.25">
      <c r="A497" s="1" t="str">
        <f t="shared" si="7"/>
        <v>04 testo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2600</v>
      </c>
      <c r="D497" s="1" t="s">
        <v>234</v>
      </c>
      <c r="E497" s="1" t="s">
        <v>2601</v>
      </c>
      <c r="F497" s="1" t="s">
        <v>112</v>
      </c>
      <c r="G497" s="1">
        <v>43173</v>
      </c>
    </row>
    <row r="498" spans="1:7" x14ac:dyDescent="0.25">
      <c r="A498" s="1" t="str">
        <f t="shared" si="7"/>
        <v>04 testo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2602</v>
      </c>
      <c r="D498" s="1" t="s">
        <v>173</v>
      </c>
      <c r="E498" s="1" t="s">
        <v>2603</v>
      </c>
      <c r="F498" s="1" t="s">
        <v>112</v>
      </c>
      <c r="G498" s="1">
        <v>19921</v>
      </c>
    </row>
    <row r="499" spans="1:7" x14ac:dyDescent="0.25">
      <c r="A499" s="1" t="str">
        <f t="shared" si="7"/>
        <v>04 testo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2604</v>
      </c>
      <c r="D499" s="1" t="s">
        <v>884</v>
      </c>
      <c r="E499" s="1" t="s">
        <v>2391</v>
      </c>
      <c r="F499" s="1" t="s">
        <v>112</v>
      </c>
      <c r="G499" s="1">
        <v>33353</v>
      </c>
    </row>
    <row r="500" spans="1:7" x14ac:dyDescent="0.25">
      <c r="A500" s="1" t="str">
        <f t="shared" si="7"/>
        <v>04 testo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2605</v>
      </c>
      <c r="D500" s="1" t="s">
        <v>182</v>
      </c>
      <c r="E500" s="1" t="s">
        <v>2606</v>
      </c>
      <c r="F500" s="1" t="s">
        <v>112</v>
      </c>
      <c r="G500" s="1">
        <v>25869</v>
      </c>
    </row>
    <row r="501" spans="1:7" x14ac:dyDescent="0.25">
      <c r="A501" s="1" t="str">
        <f t="shared" si="7"/>
        <v>04 testo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2607</v>
      </c>
      <c r="D501" s="1" t="s">
        <v>292</v>
      </c>
      <c r="E501" s="1" t="s">
        <v>2608</v>
      </c>
      <c r="F501" s="1" t="s">
        <v>112</v>
      </c>
      <c r="G501" s="1">
        <v>44774</v>
      </c>
    </row>
    <row r="502" spans="1:7" x14ac:dyDescent="0.25">
      <c r="A502" s="1" t="str">
        <f t="shared" si="7"/>
        <v>04 testo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2609</v>
      </c>
      <c r="D502" s="1" t="s">
        <v>236</v>
      </c>
      <c r="E502" s="1" t="s">
        <v>2610</v>
      </c>
      <c r="F502" s="1" t="s">
        <v>112</v>
      </c>
      <c r="G502" s="1">
        <v>42979</v>
      </c>
    </row>
    <row r="503" spans="1:7" x14ac:dyDescent="0.25">
      <c r="A503" s="1" t="str">
        <f t="shared" si="7"/>
        <v>04 testo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2611</v>
      </c>
      <c r="D503" s="1" t="s">
        <v>1712</v>
      </c>
      <c r="E503" s="1" t="s">
        <v>2612</v>
      </c>
      <c r="F503" s="1" t="s">
        <v>112</v>
      </c>
      <c r="G503" s="1">
        <v>63440</v>
      </c>
    </row>
    <row r="504" spans="1:7" x14ac:dyDescent="0.25">
      <c r="A504" s="1" t="str">
        <f t="shared" si="7"/>
        <v>04 testo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2613</v>
      </c>
      <c r="D504" s="1" t="s">
        <v>2614</v>
      </c>
      <c r="E504" s="1" t="s">
        <v>2615</v>
      </c>
      <c r="F504" s="1" t="s">
        <v>112</v>
      </c>
      <c r="G504" s="1">
        <v>254151</v>
      </c>
    </row>
    <row r="505" spans="1:7" x14ac:dyDescent="0.25">
      <c r="A505" s="1" t="str">
        <f t="shared" si="7"/>
        <v>04 testo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2616</v>
      </c>
      <c r="D505" s="1" t="s">
        <v>1899</v>
      </c>
      <c r="E505" s="1" t="s">
        <v>2617</v>
      </c>
      <c r="F505" s="1" t="s">
        <v>112</v>
      </c>
      <c r="G505" s="1">
        <v>75142</v>
      </c>
    </row>
    <row r="506" spans="1:7" x14ac:dyDescent="0.25">
      <c r="A506" s="1" t="str">
        <f t="shared" si="7"/>
        <v>04 testo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2618</v>
      </c>
      <c r="D506" s="1" t="s">
        <v>906</v>
      </c>
      <c r="E506" s="1" t="s">
        <v>2619</v>
      </c>
      <c r="F506" s="1" t="s">
        <v>112</v>
      </c>
      <c r="G506" s="1">
        <v>164841</v>
      </c>
    </row>
    <row r="507" spans="1:7" x14ac:dyDescent="0.25">
      <c r="A507" s="1" t="str">
        <f t="shared" si="7"/>
        <v>04 testo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2620</v>
      </c>
      <c r="D507" s="1" t="s">
        <v>2621</v>
      </c>
      <c r="E507" s="1" t="s">
        <v>1234</v>
      </c>
      <c r="F507" s="1" t="s">
        <v>112</v>
      </c>
      <c r="G507" s="1">
        <v>111783</v>
      </c>
    </row>
    <row r="508" spans="1:7" x14ac:dyDescent="0.25">
      <c r="A508" s="1" t="str">
        <f t="shared" si="7"/>
        <v>04 testo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2622</v>
      </c>
      <c r="D508" s="1" t="s">
        <v>443</v>
      </c>
      <c r="E508" s="1" t="s">
        <v>2623</v>
      </c>
      <c r="F508" s="1" t="s">
        <v>112</v>
      </c>
      <c r="G508" s="1">
        <v>50874</v>
      </c>
    </row>
    <row r="509" spans="1:7" x14ac:dyDescent="0.25">
      <c r="A509" s="1" t="str">
        <f t="shared" si="7"/>
        <v>04 testo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2624</v>
      </c>
      <c r="D509" s="1" t="s">
        <v>2625</v>
      </c>
      <c r="E509" s="1" t="s">
        <v>2626</v>
      </c>
      <c r="F509" s="1" t="s">
        <v>112</v>
      </c>
      <c r="G509" s="1">
        <v>191381</v>
      </c>
    </row>
    <row r="510" spans="1:7" x14ac:dyDescent="0.25">
      <c r="A510" s="1" t="str">
        <f t="shared" si="7"/>
        <v>04 testo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2627</v>
      </c>
      <c r="D510" s="1" t="s">
        <v>1798</v>
      </c>
      <c r="E510" s="1" t="s">
        <v>2628</v>
      </c>
      <c r="F510" s="1" t="s">
        <v>112</v>
      </c>
      <c r="G510" s="1">
        <v>56411</v>
      </c>
    </row>
    <row r="511" spans="1:7" x14ac:dyDescent="0.25">
      <c r="A511" s="1" t="str">
        <f t="shared" si="7"/>
        <v>04 testo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2629</v>
      </c>
      <c r="D511" s="1" t="s">
        <v>443</v>
      </c>
      <c r="E511" s="1" t="s">
        <v>2630</v>
      </c>
      <c r="F511" s="1" t="s">
        <v>112</v>
      </c>
      <c r="G511" s="1">
        <v>50960</v>
      </c>
    </row>
    <row r="512" spans="1:7" x14ac:dyDescent="0.25">
      <c r="A512" s="1" t="str">
        <f t="shared" si="7"/>
        <v>04 testo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2631</v>
      </c>
      <c r="D512" s="1" t="s">
        <v>1368</v>
      </c>
      <c r="E512" s="1" t="s">
        <v>2632</v>
      </c>
      <c r="F512" s="1" t="s">
        <v>112</v>
      </c>
      <c r="G512" s="1">
        <v>124567</v>
      </c>
    </row>
    <row r="513" spans="1:10" x14ac:dyDescent="0.25">
      <c r="A513" s="1" t="str">
        <f t="shared" si="7"/>
        <v>04 testo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2633</v>
      </c>
      <c r="D513" s="1" t="s">
        <v>411</v>
      </c>
      <c r="E513" s="1" t="s">
        <v>2634</v>
      </c>
      <c r="F513" s="1" t="s">
        <v>112</v>
      </c>
      <c r="G513" s="1">
        <v>166204</v>
      </c>
    </row>
    <row r="514" spans="1:10" x14ac:dyDescent="0.25">
      <c r="A514" s="1" t="str">
        <f t="shared" ref="A514:A577" si="8">IFERROR(LEFT(RIGHT(C514,LEN(C514)-SEARCH("@",C514)),SEARCH("/",RIGHT(C514,LEN(C514)-SEARCH("@",C514)-1))),"")</f>
        <v>04 testo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2635</v>
      </c>
      <c r="D514" s="1" t="s">
        <v>210</v>
      </c>
      <c r="E514" s="1">
        <v>64</v>
      </c>
      <c r="F514" s="1" t="s">
        <v>112</v>
      </c>
      <c r="G514" s="1">
        <v>135663</v>
      </c>
    </row>
    <row r="515" spans="1:10" x14ac:dyDescent="0.25">
      <c r="A515" s="1" t="str">
        <f t="shared" si="8"/>
        <v>04 testo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2636</v>
      </c>
      <c r="D515" s="1" t="s">
        <v>422</v>
      </c>
      <c r="E515" s="1" t="s">
        <v>2637</v>
      </c>
      <c r="F515" s="1" t="s">
        <v>112</v>
      </c>
      <c r="G515" s="1">
        <v>91862</v>
      </c>
    </row>
    <row r="516" spans="1:10" x14ac:dyDescent="0.25">
      <c r="A516" s="1" t="str">
        <f t="shared" si="8"/>
        <v>04 testo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2638</v>
      </c>
      <c r="D516" s="1" t="s">
        <v>2621</v>
      </c>
      <c r="E516" s="1" t="s">
        <v>2639</v>
      </c>
      <c r="F516" s="1" t="s">
        <v>112</v>
      </c>
      <c r="G516" s="1">
        <v>115871</v>
      </c>
    </row>
    <row r="517" spans="1:10" x14ac:dyDescent="0.25">
      <c r="A517" s="1" t="str">
        <f t="shared" si="8"/>
        <v>04 testo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2640</v>
      </c>
      <c r="D517" s="1" t="s">
        <v>1236</v>
      </c>
      <c r="E517" s="1" t="s">
        <v>348</v>
      </c>
      <c r="F517" s="1" t="s">
        <v>112</v>
      </c>
      <c r="G517" s="1">
        <v>78430</v>
      </c>
    </row>
    <row r="518" spans="1:10" x14ac:dyDescent="0.25">
      <c r="A518" s="1" t="str">
        <f t="shared" si="8"/>
        <v>04 testo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2641</v>
      </c>
      <c r="D518" s="1" t="s">
        <v>2137</v>
      </c>
      <c r="E518" s="1" t="s">
        <v>2642</v>
      </c>
      <c r="F518" s="1" t="s">
        <v>112</v>
      </c>
      <c r="G518" s="1">
        <v>350577</v>
      </c>
    </row>
    <row r="519" spans="1:10" x14ac:dyDescent="0.25">
      <c r="A519" s="1" t="str">
        <f t="shared" si="8"/>
        <v>04 testo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2643</v>
      </c>
      <c r="D519" s="1" t="s">
        <v>2644</v>
      </c>
      <c r="E519" s="1" t="s">
        <v>2645</v>
      </c>
      <c r="F519" s="1" t="s">
        <v>112</v>
      </c>
      <c r="G519" s="1">
        <v>199276</v>
      </c>
    </row>
    <row r="520" spans="1:10" x14ac:dyDescent="0.25">
      <c r="A520" s="1" t="str">
        <f t="shared" si="8"/>
        <v>04 testo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2646</v>
      </c>
      <c r="D520" s="1" t="s">
        <v>2647</v>
      </c>
      <c r="E520" s="1" t="s">
        <v>2648</v>
      </c>
      <c r="F520" s="1" t="s">
        <v>112</v>
      </c>
      <c r="G520" s="1">
        <v>239032</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240</v>
      </c>
      <c r="D522" s="1" t="s">
        <v>112</v>
      </c>
      <c r="E522" s="1" t="s">
        <v>241</v>
      </c>
      <c r="F522" s="1" t="s">
        <v>242</v>
      </c>
      <c r="G522" s="1" t="s">
        <v>243</v>
      </c>
      <c r="H522" s="1" t="s">
        <v>244</v>
      </c>
      <c r="I522" s="1" t="s">
        <v>245</v>
      </c>
      <c r="J522" s="1" t="s">
        <v>246</v>
      </c>
    </row>
    <row r="523" spans="1:10" x14ac:dyDescent="0.25">
      <c r="A523" s="1" t="str">
        <f t="shared" si="8"/>
        <v>04 testo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2649</v>
      </c>
      <c r="D523" s="1" t="s">
        <v>112</v>
      </c>
      <c r="E523" s="1" t="s">
        <v>2650</v>
      </c>
      <c r="F523" s="1" t="s">
        <v>2651</v>
      </c>
      <c r="G523" s="1" t="s">
        <v>2652</v>
      </c>
      <c r="H523" s="1" t="s">
        <v>2653</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252</v>
      </c>
      <c r="D529" s="1" t="s">
        <v>110</v>
      </c>
      <c r="E529" s="1" t="s">
        <v>111</v>
      </c>
      <c r="F529" s="1" t="s">
        <v>112</v>
      </c>
      <c r="G529" s="1" t="s">
        <v>113</v>
      </c>
    </row>
    <row r="530" spans="1:7" x14ac:dyDescent="0.25">
      <c r="A530" s="1" t="str">
        <f t="shared" si="8"/>
        <v>05 Atrazine 0.625 mg_L+testo</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2654</v>
      </c>
      <c r="D530" s="1" t="s">
        <v>1538</v>
      </c>
      <c r="E530" s="1" t="s">
        <v>2655</v>
      </c>
      <c r="F530" s="1" t="s">
        <v>112</v>
      </c>
      <c r="G530" s="1">
        <v>1726109</v>
      </c>
    </row>
    <row r="531" spans="1:7" x14ac:dyDescent="0.25">
      <c r="A531" s="1" t="str">
        <f t="shared" si="8"/>
        <v>05 Atrazine 0.625 mg_L+testo</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2656</v>
      </c>
      <c r="D531" s="1" t="s">
        <v>2657</v>
      </c>
      <c r="E531" s="1" t="s">
        <v>2658</v>
      </c>
      <c r="F531" s="1" t="s">
        <v>112</v>
      </c>
      <c r="G531" s="1">
        <v>908001</v>
      </c>
    </row>
    <row r="532" spans="1:7" x14ac:dyDescent="0.25">
      <c r="A532" s="1" t="str">
        <f t="shared" si="8"/>
        <v>05 Atrazine 0.625 mg_L+testo</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2659</v>
      </c>
      <c r="D532" s="1" t="s">
        <v>2660</v>
      </c>
      <c r="E532" s="1" t="s">
        <v>2661</v>
      </c>
      <c r="F532" s="1" t="s">
        <v>112</v>
      </c>
      <c r="G532" s="1">
        <v>1394393</v>
      </c>
    </row>
    <row r="533" spans="1:7" x14ac:dyDescent="0.25">
      <c r="A533" s="1" t="str">
        <f t="shared" si="8"/>
        <v>05 Atrazine 0.625 mg_L+testo</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2662</v>
      </c>
      <c r="D533" s="1" t="s">
        <v>1570</v>
      </c>
      <c r="E533" s="1" t="s">
        <v>2663</v>
      </c>
      <c r="F533" s="1" t="s">
        <v>112</v>
      </c>
      <c r="G533" s="1">
        <v>2847532</v>
      </c>
    </row>
    <row r="534" spans="1:7" x14ac:dyDescent="0.25">
      <c r="A534" s="1" t="str">
        <f t="shared" si="8"/>
        <v>05 Atrazine 0.625 mg_L+testo</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2664</v>
      </c>
      <c r="D534" s="1" t="s">
        <v>2665</v>
      </c>
      <c r="E534" s="1" t="s">
        <v>2666</v>
      </c>
      <c r="F534" s="1" t="s">
        <v>112</v>
      </c>
      <c r="G534" s="1">
        <v>3183034</v>
      </c>
    </row>
    <row r="535" spans="1:7" x14ac:dyDescent="0.25">
      <c r="A535" s="1" t="str">
        <f t="shared" si="8"/>
        <v>05 Atrazine 0.625 mg_L+testo</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2667</v>
      </c>
      <c r="D535" s="1" t="s">
        <v>2668</v>
      </c>
      <c r="E535" s="1" t="s">
        <v>2669</v>
      </c>
      <c r="F535" s="1" t="s">
        <v>112</v>
      </c>
      <c r="G535" s="1">
        <v>3064480</v>
      </c>
    </row>
    <row r="536" spans="1:7" x14ac:dyDescent="0.25">
      <c r="A536" s="1" t="str">
        <f t="shared" si="8"/>
        <v>05 Atrazine 0.625 mg_L+testo</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2670</v>
      </c>
      <c r="D536" s="1" t="s">
        <v>2671</v>
      </c>
      <c r="E536" s="1" t="s">
        <v>2672</v>
      </c>
      <c r="F536" s="1" t="s">
        <v>112</v>
      </c>
      <c r="G536" s="1">
        <v>2807279</v>
      </c>
    </row>
    <row r="537" spans="1:7" x14ac:dyDescent="0.25">
      <c r="A537" s="1" t="str">
        <f t="shared" si="8"/>
        <v>05 Atrazine 0.625 mg_L+testo</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2673</v>
      </c>
      <c r="D537" s="1" t="s">
        <v>2674</v>
      </c>
      <c r="E537" s="1" t="s">
        <v>2675</v>
      </c>
      <c r="F537" s="1" t="s">
        <v>112</v>
      </c>
      <c r="G537" s="1">
        <v>2439268</v>
      </c>
    </row>
    <row r="538" spans="1:7" x14ac:dyDescent="0.25">
      <c r="A538" s="1" t="str">
        <f t="shared" si="8"/>
        <v>05 Atrazine 0.625 mg_L+testo</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2676</v>
      </c>
      <c r="D538" s="1" t="s">
        <v>2677</v>
      </c>
      <c r="E538" s="1" t="s">
        <v>2678</v>
      </c>
      <c r="F538" s="1" t="s">
        <v>112</v>
      </c>
      <c r="G538" s="1">
        <v>2553669</v>
      </c>
    </row>
    <row r="539" spans="1:7" x14ac:dyDescent="0.25">
      <c r="A539" s="1" t="str">
        <f t="shared" si="8"/>
        <v>05 Atrazine 0.625 mg_L+testo</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2679</v>
      </c>
      <c r="D539" s="1" t="s">
        <v>2680</v>
      </c>
      <c r="E539" s="1" t="s">
        <v>2681</v>
      </c>
      <c r="F539" s="1" t="s">
        <v>112</v>
      </c>
      <c r="G539" s="1">
        <v>2977160</v>
      </c>
    </row>
    <row r="540" spans="1:7" x14ac:dyDescent="0.25">
      <c r="A540" s="1" t="str">
        <f t="shared" si="8"/>
        <v>05 Atrazine 0.625 mg_L+testo</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2682</v>
      </c>
      <c r="D540" s="1" t="s">
        <v>2683</v>
      </c>
      <c r="E540" s="1" t="s">
        <v>2684</v>
      </c>
      <c r="F540" s="1" t="s">
        <v>112</v>
      </c>
      <c r="G540" s="1">
        <v>3393925</v>
      </c>
    </row>
    <row r="541" spans="1:7" x14ac:dyDescent="0.25">
      <c r="A541" s="1" t="str">
        <f t="shared" si="8"/>
        <v>05 Atrazine 0.625 mg_L+testo</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2685</v>
      </c>
      <c r="D541" s="1" t="s">
        <v>1159</v>
      </c>
      <c r="E541" s="1" t="s">
        <v>2686</v>
      </c>
      <c r="F541" s="1" t="s">
        <v>112</v>
      </c>
      <c r="G541" s="1">
        <v>2543719</v>
      </c>
    </row>
    <row r="542" spans="1:7" x14ac:dyDescent="0.25">
      <c r="A542" s="1" t="str">
        <f t="shared" si="8"/>
        <v>05 Atrazine 0.625 mg_L+testo</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2687</v>
      </c>
      <c r="D542" s="1" t="s">
        <v>2688</v>
      </c>
      <c r="E542" s="1" t="s">
        <v>2689</v>
      </c>
      <c r="F542" s="1" t="s">
        <v>112</v>
      </c>
      <c r="G542" s="1">
        <v>3089268</v>
      </c>
    </row>
    <row r="543" spans="1:7" x14ac:dyDescent="0.25">
      <c r="A543" s="1" t="str">
        <f t="shared" si="8"/>
        <v>05 Atrazine 0.625 mg_L+testo</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2690</v>
      </c>
      <c r="D543" s="1" t="s">
        <v>2691</v>
      </c>
      <c r="E543" s="1" t="s">
        <v>2692</v>
      </c>
      <c r="F543" s="1" t="s">
        <v>112</v>
      </c>
      <c r="G543" s="1">
        <v>2495138</v>
      </c>
    </row>
    <row r="544" spans="1:7" x14ac:dyDescent="0.25">
      <c r="A544" s="1" t="str">
        <f t="shared" si="8"/>
        <v>05 Atrazine 0.625 mg_L+testo</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2693</v>
      </c>
      <c r="D544" s="1" t="s">
        <v>2674</v>
      </c>
      <c r="E544" s="1" t="s">
        <v>2694</v>
      </c>
      <c r="F544" s="1" t="s">
        <v>112</v>
      </c>
      <c r="G544" s="1">
        <v>2473032</v>
      </c>
    </row>
    <row r="545" spans="1:10" x14ac:dyDescent="0.25">
      <c r="A545" s="1" t="str">
        <f t="shared" si="8"/>
        <v>05 Atrazine 0.625 mg_L+testo</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2695</v>
      </c>
      <c r="D545" s="1" t="s">
        <v>2696</v>
      </c>
      <c r="E545" s="1" t="s">
        <v>2697</v>
      </c>
      <c r="F545" s="1" t="s">
        <v>112</v>
      </c>
      <c r="G545" s="1">
        <v>2745547</v>
      </c>
    </row>
    <row r="546" spans="1:10" x14ac:dyDescent="0.25">
      <c r="A546" s="1" t="str">
        <f t="shared" si="8"/>
        <v>05 Atrazine 0.625 mg_L+testo</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2698</v>
      </c>
      <c r="D546" s="1" t="s">
        <v>2699</v>
      </c>
      <c r="E546" s="1" t="s">
        <v>2700</v>
      </c>
      <c r="F546" s="1" t="s">
        <v>112</v>
      </c>
      <c r="G546" s="1">
        <v>2354522</v>
      </c>
    </row>
    <row r="547" spans="1:10" x14ac:dyDescent="0.25">
      <c r="A547" s="1" t="str">
        <f t="shared" si="8"/>
        <v>05 Atrazine 0.625 mg_L+testo</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2701</v>
      </c>
      <c r="D547" s="1" t="s">
        <v>2702</v>
      </c>
      <c r="E547" s="1" t="s">
        <v>2703</v>
      </c>
      <c r="F547" s="1" t="s">
        <v>112</v>
      </c>
      <c r="G547" s="1">
        <v>2570605</v>
      </c>
    </row>
    <row r="548" spans="1:10" x14ac:dyDescent="0.25">
      <c r="A548" s="1" t="str">
        <f t="shared" si="8"/>
        <v>05 Atrazine 0.625 mg_L+testo</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2704</v>
      </c>
      <c r="D548" s="1" t="s">
        <v>2705</v>
      </c>
      <c r="E548" s="1" t="s">
        <v>2706</v>
      </c>
      <c r="F548" s="1" t="s">
        <v>112</v>
      </c>
      <c r="G548" s="1">
        <v>2319936</v>
      </c>
    </row>
    <row r="549" spans="1:10" x14ac:dyDescent="0.25">
      <c r="A549" s="1" t="str">
        <f t="shared" si="8"/>
        <v>05 Atrazine 0.625 mg_L+testo</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2707</v>
      </c>
      <c r="D549" s="1" t="s">
        <v>2708</v>
      </c>
      <c r="E549" s="1" t="s">
        <v>2709</v>
      </c>
      <c r="F549" s="1" t="s">
        <v>112</v>
      </c>
      <c r="G549" s="1">
        <v>2709728</v>
      </c>
    </row>
    <row r="550" spans="1:10" x14ac:dyDescent="0.25">
      <c r="A550" s="1" t="str">
        <f t="shared" si="8"/>
        <v>05 Atrazine 0.625 mg_L+testo</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2710</v>
      </c>
      <c r="D550" s="1" t="s">
        <v>2711</v>
      </c>
      <c r="E550" s="1" t="s">
        <v>2712</v>
      </c>
      <c r="F550" s="1" t="s">
        <v>112</v>
      </c>
      <c r="G550" s="1">
        <v>2003988</v>
      </c>
    </row>
    <row r="551" spans="1:10" x14ac:dyDescent="0.25">
      <c r="A551" s="1" t="str">
        <f t="shared" si="8"/>
        <v>05 Atrazine 0.625 mg_L+testo</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2713</v>
      </c>
    </row>
    <row r="552" spans="1:10" x14ac:dyDescent="0.25">
      <c r="A552" s="1" t="str">
        <f t="shared" si="8"/>
        <v>05 Atrazine 0.625 mg_L+testo</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2714</v>
      </c>
    </row>
    <row r="553" spans="1:10" x14ac:dyDescent="0.25">
      <c r="A553" s="1" t="str">
        <f t="shared" si="8"/>
        <v>05 Atrazine 0.625 mg_L+testo</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2715</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240</v>
      </c>
      <c r="D555" s="1" t="s">
        <v>112</v>
      </c>
      <c r="E555" s="1" t="s">
        <v>241</v>
      </c>
      <c r="F555" s="1" t="s">
        <v>242</v>
      </c>
      <c r="G555" s="1" t="s">
        <v>243</v>
      </c>
      <c r="H555" s="1" t="s">
        <v>244</v>
      </c>
      <c r="I555" s="1" t="s">
        <v>245</v>
      </c>
      <c r="J555" s="1" t="s">
        <v>246</v>
      </c>
    </row>
    <row r="556" spans="1:10" x14ac:dyDescent="0.25">
      <c r="A556" s="1" t="str">
        <f t="shared" si="8"/>
        <v>05 Atrazine 0.625 mg_L+testo</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2716</v>
      </c>
      <c r="D556" s="1" t="s">
        <v>112</v>
      </c>
      <c r="E556" s="1" t="s">
        <v>2717</v>
      </c>
      <c r="F556" s="1" t="s">
        <v>2718</v>
      </c>
      <c r="G556" s="1" t="s">
        <v>2719</v>
      </c>
      <c r="H556" s="1" t="s">
        <v>2720</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252</v>
      </c>
      <c r="D562" s="1" t="s">
        <v>110</v>
      </c>
      <c r="E562" s="1" t="s">
        <v>111</v>
      </c>
      <c r="F562" s="1" t="s">
        <v>112</v>
      </c>
      <c r="G562" s="1" t="s">
        <v>113</v>
      </c>
    </row>
    <row r="563" spans="1:7" x14ac:dyDescent="0.25">
      <c r="A563" s="1" t="str">
        <f t="shared" si="8"/>
        <v>06  Atrazine 1.25 mg_L+testo</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2721</v>
      </c>
      <c r="D563" s="1" t="s">
        <v>2722</v>
      </c>
      <c r="E563" s="1" t="s">
        <v>2723</v>
      </c>
      <c r="F563" s="1" t="s">
        <v>112</v>
      </c>
      <c r="G563" s="1">
        <v>1789549</v>
      </c>
    </row>
    <row r="564" spans="1:7" x14ac:dyDescent="0.25">
      <c r="A564" s="1" t="str">
        <f t="shared" si="8"/>
        <v>06  Atrazine 1.25 mg_L+testo</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2724</v>
      </c>
      <c r="D564" s="1" t="s">
        <v>1196</v>
      </c>
      <c r="E564" s="1" t="s">
        <v>2725</v>
      </c>
      <c r="F564" s="1" t="s">
        <v>112</v>
      </c>
      <c r="G564" s="1">
        <v>1843127</v>
      </c>
    </row>
    <row r="565" spans="1:7" x14ac:dyDescent="0.25">
      <c r="A565" s="1" t="str">
        <f t="shared" si="8"/>
        <v>06  Atrazine 1.25 mg_L+testo</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2726</v>
      </c>
      <c r="D565" s="1" t="s">
        <v>2727</v>
      </c>
      <c r="E565" s="1" t="s">
        <v>2728</v>
      </c>
      <c r="F565" s="1" t="s">
        <v>112</v>
      </c>
      <c r="G565" s="1">
        <v>1843040</v>
      </c>
    </row>
    <row r="566" spans="1:7" x14ac:dyDescent="0.25">
      <c r="A566" s="1" t="str">
        <f t="shared" si="8"/>
        <v>06  Atrazine 1.25 mg_L+testo</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2729</v>
      </c>
      <c r="D566" s="1" t="s">
        <v>2730</v>
      </c>
      <c r="E566" s="1" t="s">
        <v>2731</v>
      </c>
      <c r="F566" s="1" t="s">
        <v>112</v>
      </c>
      <c r="G566" s="1">
        <v>5285200</v>
      </c>
    </row>
    <row r="567" spans="1:7" x14ac:dyDescent="0.25">
      <c r="A567" s="1" t="str">
        <f t="shared" si="8"/>
        <v>06  Atrazine 1.25 mg_L+testo</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2732</v>
      </c>
      <c r="D567" s="1" t="s">
        <v>2733</v>
      </c>
      <c r="E567" s="1" t="s">
        <v>2734</v>
      </c>
      <c r="F567" s="1" t="s">
        <v>112</v>
      </c>
      <c r="G567" s="1">
        <v>5000507</v>
      </c>
    </row>
    <row r="568" spans="1:7" x14ac:dyDescent="0.25">
      <c r="A568" s="1" t="str">
        <f t="shared" si="8"/>
        <v>06  Atrazine 1.25 mg_L+testo</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2735</v>
      </c>
      <c r="D568" s="1" t="s">
        <v>2736</v>
      </c>
      <c r="E568" s="1" t="s">
        <v>2737</v>
      </c>
      <c r="F568" s="1" t="s">
        <v>112</v>
      </c>
      <c r="G568" s="1">
        <v>5269605</v>
      </c>
    </row>
    <row r="569" spans="1:7" x14ac:dyDescent="0.25">
      <c r="A569" s="1" t="str">
        <f t="shared" si="8"/>
        <v>06  Atrazine 1.25 mg_L+testo</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2738</v>
      </c>
      <c r="D569" s="1" t="s">
        <v>2739</v>
      </c>
      <c r="E569" s="1" t="s">
        <v>2740</v>
      </c>
      <c r="F569" s="1" t="s">
        <v>112</v>
      </c>
      <c r="G569" s="1">
        <v>462426</v>
      </c>
    </row>
    <row r="570" spans="1:7" x14ac:dyDescent="0.25">
      <c r="A570" s="1" t="str">
        <f t="shared" si="8"/>
        <v>06  Atrazine 1.25 mg_L+testo</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2741</v>
      </c>
      <c r="D570" s="1" t="s">
        <v>1911</v>
      </c>
      <c r="E570" s="1" t="s">
        <v>2742</v>
      </c>
      <c r="F570" s="1" t="s">
        <v>112</v>
      </c>
      <c r="G570" s="1">
        <v>665660</v>
      </c>
    </row>
    <row r="571" spans="1:7" x14ac:dyDescent="0.25">
      <c r="A571" s="1" t="str">
        <f t="shared" si="8"/>
        <v>06  Atrazine 1.25 mg_L+testo</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2743</v>
      </c>
      <c r="D571" s="1" t="s">
        <v>2744</v>
      </c>
      <c r="E571" s="1" t="s">
        <v>406</v>
      </c>
      <c r="F571" s="1" t="s">
        <v>112</v>
      </c>
      <c r="G571" s="1">
        <v>319993</v>
      </c>
    </row>
    <row r="572" spans="1:7" x14ac:dyDescent="0.25">
      <c r="A572" s="1" t="str">
        <f t="shared" si="8"/>
        <v>06  Atrazine 1.25 mg_L+testo</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2745</v>
      </c>
      <c r="D572" s="1" t="s">
        <v>1587</v>
      </c>
      <c r="E572" s="1" t="s">
        <v>2746</v>
      </c>
      <c r="F572" s="1" t="s">
        <v>112</v>
      </c>
      <c r="G572" s="1">
        <v>2966194</v>
      </c>
    </row>
    <row r="573" spans="1:7" x14ac:dyDescent="0.25">
      <c r="A573" s="1" t="str">
        <f t="shared" si="8"/>
        <v>06  Atrazine 1.25 mg_L+testo</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2747</v>
      </c>
      <c r="D573" s="1" t="s">
        <v>2748</v>
      </c>
      <c r="E573" s="1" t="s">
        <v>2749</v>
      </c>
      <c r="F573" s="1" t="s">
        <v>112</v>
      </c>
      <c r="G573" s="1">
        <v>2614557</v>
      </c>
    </row>
    <row r="574" spans="1:7" x14ac:dyDescent="0.25">
      <c r="A574" s="1" t="str">
        <f t="shared" si="8"/>
        <v>06  Atrazine 1.25 mg_L+testo</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2750</v>
      </c>
      <c r="D574" s="1" t="s">
        <v>2751</v>
      </c>
      <c r="E574" s="1" t="s">
        <v>2752</v>
      </c>
      <c r="F574" s="1" t="s">
        <v>112</v>
      </c>
      <c r="G574" s="1">
        <v>2545666</v>
      </c>
    </row>
    <row r="575" spans="1:7" x14ac:dyDescent="0.25">
      <c r="A575" s="1" t="str">
        <f t="shared" si="8"/>
        <v>06  Atrazine 1.25 mg_L+testo</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2753</v>
      </c>
    </row>
    <row r="576" spans="1:7" x14ac:dyDescent="0.25">
      <c r="A576" s="1" t="str">
        <f t="shared" si="8"/>
        <v>06  Atrazine 1.25 mg_L+testo</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2754</v>
      </c>
      <c r="D576" s="1" t="s">
        <v>1236</v>
      </c>
      <c r="E576" s="1" t="s">
        <v>2755</v>
      </c>
      <c r="F576" s="1" t="s">
        <v>112</v>
      </c>
      <c r="G576" s="1">
        <v>77911</v>
      </c>
    </row>
    <row r="577" spans="1:10" x14ac:dyDescent="0.25">
      <c r="A577" s="1" t="str">
        <f t="shared" si="8"/>
        <v>06  Atrazine 1.25 mg_L+testo</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2756</v>
      </c>
      <c r="D577" s="1" t="s">
        <v>1227</v>
      </c>
      <c r="E577" s="1" t="s">
        <v>348</v>
      </c>
      <c r="F577" s="1" t="s">
        <v>112</v>
      </c>
      <c r="G577" s="1">
        <v>67226</v>
      </c>
    </row>
    <row r="578" spans="1:10" x14ac:dyDescent="0.25">
      <c r="A578" s="1" t="str">
        <f t="shared" ref="A578:A641" si="9">IFERROR(LEFT(RIGHT(C578,LEN(C578)-SEARCH("@",C578)),SEARCH("/",RIGHT(C578,LEN(C578)-SEARCH("@",C578)-1))),"")</f>
        <v>06  Atrazine 1.25 mg_L+testo</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2757</v>
      </c>
      <c r="D578" s="1" t="s">
        <v>2439</v>
      </c>
      <c r="E578" s="1" t="s">
        <v>2758</v>
      </c>
      <c r="F578" s="1" t="s">
        <v>112</v>
      </c>
      <c r="G578" s="1">
        <v>1417818</v>
      </c>
    </row>
    <row r="579" spans="1:10" x14ac:dyDescent="0.25">
      <c r="A579" s="1" t="str">
        <f t="shared" si="9"/>
        <v>06  Atrazine 1.25 mg_L+testo</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2759</v>
      </c>
      <c r="D579" s="1" t="s">
        <v>2760</v>
      </c>
      <c r="E579" s="1" t="s">
        <v>2761</v>
      </c>
      <c r="F579" s="1" t="s">
        <v>112</v>
      </c>
      <c r="G579" s="1">
        <v>1379749</v>
      </c>
    </row>
    <row r="580" spans="1:10" x14ac:dyDescent="0.25">
      <c r="A580" s="1" t="str">
        <f t="shared" si="9"/>
        <v>06  Atrazine 1.25 mg_L+testo</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2762</v>
      </c>
      <c r="D580" s="1" t="s">
        <v>1500</v>
      </c>
      <c r="E580" s="1" t="s">
        <v>2763</v>
      </c>
      <c r="F580" s="1" t="s">
        <v>112</v>
      </c>
      <c r="G580" s="1">
        <v>1402764</v>
      </c>
    </row>
    <row r="581" spans="1:10" x14ac:dyDescent="0.25">
      <c r="A581" s="1" t="str">
        <f t="shared" si="9"/>
        <v>06  Atrazine 1.25 mg_L+testo</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2764</v>
      </c>
      <c r="D581" s="1" t="s">
        <v>517</v>
      </c>
      <c r="E581" s="1" t="s">
        <v>2765</v>
      </c>
      <c r="F581" s="1" t="s">
        <v>112</v>
      </c>
      <c r="G581" s="1">
        <v>2916683</v>
      </c>
    </row>
    <row r="582" spans="1:10" x14ac:dyDescent="0.25">
      <c r="A582" s="1" t="str">
        <f t="shared" si="9"/>
        <v>06  Atrazine 1.25 mg_L+testo</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2766</v>
      </c>
      <c r="D582" s="1" t="s">
        <v>2767</v>
      </c>
      <c r="E582" s="1" t="s">
        <v>2768</v>
      </c>
      <c r="F582" s="1" t="s">
        <v>112</v>
      </c>
      <c r="G582" s="1">
        <v>2815088</v>
      </c>
    </row>
    <row r="583" spans="1:10" x14ac:dyDescent="0.25">
      <c r="A583" s="1" t="str">
        <f t="shared" si="9"/>
        <v>06  Atrazine 1.25 mg_L+testo</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2769</v>
      </c>
      <c r="D583" s="1" t="s">
        <v>2770</v>
      </c>
      <c r="E583" s="1" t="s">
        <v>2771</v>
      </c>
      <c r="F583" s="1" t="s">
        <v>112</v>
      </c>
      <c r="G583" s="1">
        <v>2630758</v>
      </c>
    </row>
    <row r="584" spans="1:10" x14ac:dyDescent="0.25">
      <c r="A584" s="1" t="str">
        <f t="shared" si="9"/>
        <v>06  Atrazine 1.25 mg_L+testo</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2772</v>
      </c>
      <c r="D584" s="1" t="s">
        <v>2773</v>
      </c>
      <c r="E584" s="1" t="s">
        <v>2774</v>
      </c>
      <c r="F584" s="1" t="s">
        <v>112</v>
      </c>
      <c r="G584" s="1">
        <v>281751</v>
      </c>
    </row>
    <row r="585" spans="1:10" x14ac:dyDescent="0.25">
      <c r="A585" s="1" t="str">
        <f t="shared" si="9"/>
        <v>06  Atrazine 1.25 mg_L+testo</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2775</v>
      </c>
      <c r="D585" s="1" t="s">
        <v>320</v>
      </c>
      <c r="E585" s="1" t="s">
        <v>2776</v>
      </c>
      <c r="F585" s="1" t="s">
        <v>112</v>
      </c>
      <c r="G585" s="1">
        <v>89915</v>
      </c>
    </row>
    <row r="586" spans="1:10" x14ac:dyDescent="0.25">
      <c r="A586" s="1" t="str">
        <f t="shared" si="9"/>
        <v>06  Atrazine 1.25 mg_L+testo</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2777</v>
      </c>
      <c r="D586" s="1" t="s">
        <v>306</v>
      </c>
      <c r="E586" s="1" t="s">
        <v>2778</v>
      </c>
      <c r="F586" s="1" t="s">
        <v>112</v>
      </c>
      <c r="G586" s="1">
        <v>225297</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240</v>
      </c>
      <c r="D588" s="1" t="s">
        <v>112</v>
      </c>
      <c r="E588" s="1" t="s">
        <v>241</v>
      </c>
      <c r="F588" s="1" t="s">
        <v>242</v>
      </c>
      <c r="G588" s="1" t="s">
        <v>243</v>
      </c>
      <c r="H588" s="1" t="s">
        <v>244</v>
      </c>
      <c r="I588" s="1" t="s">
        <v>245</v>
      </c>
      <c r="J588" s="1" t="s">
        <v>246</v>
      </c>
    </row>
    <row r="589" spans="1:10" x14ac:dyDescent="0.25">
      <c r="A589" s="1" t="str">
        <f t="shared" si="9"/>
        <v>06  Atrazine 1.25 mg_L+testo</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2779</v>
      </c>
      <c r="D589" s="1" t="s">
        <v>112</v>
      </c>
      <c r="E589" s="1" t="s">
        <v>2780</v>
      </c>
      <c r="F589" s="1" t="s">
        <v>2781</v>
      </c>
      <c r="G589" s="1" t="s">
        <v>2782</v>
      </c>
      <c r="H589" s="1" t="s">
        <v>2783</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252</v>
      </c>
      <c r="D595" s="1" t="s">
        <v>110</v>
      </c>
      <c r="E595" s="1" t="s">
        <v>111</v>
      </c>
      <c r="F595" s="1" t="s">
        <v>112</v>
      </c>
      <c r="G595" s="1" t="s">
        <v>113</v>
      </c>
    </row>
    <row r="596" spans="1:7" x14ac:dyDescent="0.25">
      <c r="A596" s="1" t="str">
        <f t="shared" si="9"/>
        <v>07 Atrazine 2.5 mg_L+testo</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2784</v>
      </c>
      <c r="D596" s="1" t="s">
        <v>2785</v>
      </c>
      <c r="E596" s="1" t="s">
        <v>2786</v>
      </c>
      <c r="F596" s="1" t="s">
        <v>112</v>
      </c>
      <c r="G596" s="1">
        <v>3680975</v>
      </c>
    </row>
    <row r="597" spans="1:7" x14ac:dyDescent="0.25">
      <c r="A597" s="1" t="str">
        <f t="shared" si="9"/>
        <v>07 Atrazine 2.5 mg_L+testo</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2787</v>
      </c>
      <c r="D597" s="1" t="s">
        <v>2788</v>
      </c>
      <c r="E597" s="1" t="s">
        <v>2789</v>
      </c>
      <c r="F597" s="1" t="s">
        <v>112</v>
      </c>
      <c r="G597" s="1">
        <v>3952214</v>
      </c>
    </row>
    <row r="598" spans="1:7" x14ac:dyDescent="0.25">
      <c r="A598" s="1" t="str">
        <f t="shared" si="9"/>
        <v>07 Atrazine 2.5 mg_L+testo</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2790</v>
      </c>
      <c r="D598" s="1" t="s">
        <v>2791</v>
      </c>
      <c r="E598" s="1" t="s">
        <v>2792</v>
      </c>
      <c r="F598" s="1" t="s">
        <v>112</v>
      </c>
      <c r="G598" s="1">
        <v>3712469</v>
      </c>
    </row>
    <row r="599" spans="1:7" x14ac:dyDescent="0.25">
      <c r="A599" s="1" t="str">
        <f t="shared" si="9"/>
        <v>07 Atrazine 2.5 mg_L+testo</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2793</v>
      </c>
      <c r="D599" s="1" t="s">
        <v>2794</v>
      </c>
      <c r="E599" s="1" t="s">
        <v>2795</v>
      </c>
      <c r="F599" s="1" t="s">
        <v>112</v>
      </c>
      <c r="G599" s="1">
        <v>4426709</v>
      </c>
    </row>
    <row r="600" spans="1:7" x14ac:dyDescent="0.25">
      <c r="A600" s="1" t="str">
        <f t="shared" si="9"/>
        <v>07 Atrazine 2.5 mg_L+testo</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2796</v>
      </c>
      <c r="D600" s="1" t="s">
        <v>2797</v>
      </c>
      <c r="E600" s="1" t="s">
        <v>2798</v>
      </c>
      <c r="F600" s="1" t="s">
        <v>112</v>
      </c>
      <c r="G600" s="1">
        <v>4138513</v>
      </c>
    </row>
    <row r="601" spans="1:7" x14ac:dyDescent="0.25">
      <c r="A601" s="1" t="str">
        <f t="shared" si="9"/>
        <v>07 Atrazine 2.5 mg_L+testo</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2799</v>
      </c>
      <c r="D601" s="1" t="s">
        <v>2800</v>
      </c>
      <c r="E601" s="1" t="s">
        <v>2801</v>
      </c>
      <c r="F601" s="1" t="s">
        <v>112</v>
      </c>
      <c r="G601" s="1">
        <v>4679195</v>
      </c>
    </row>
    <row r="602" spans="1:7" x14ac:dyDescent="0.25">
      <c r="A602" s="1" t="str">
        <f t="shared" si="9"/>
        <v>07 Atrazine 2.5 mg_L+testo</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2802</v>
      </c>
    </row>
    <row r="603" spans="1:7" x14ac:dyDescent="0.25">
      <c r="A603" s="1" t="str">
        <f t="shared" si="9"/>
        <v>07 Atrazine 2.5 mg_L+testo</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2803</v>
      </c>
    </row>
    <row r="604" spans="1:7" x14ac:dyDescent="0.25">
      <c r="A604" s="1" t="str">
        <f t="shared" si="9"/>
        <v>07 Atrazine 2.5 mg_L+testo</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2804</v>
      </c>
    </row>
    <row r="605" spans="1:7" x14ac:dyDescent="0.25">
      <c r="A605" s="1" t="str">
        <f t="shared" si="9"/>
        <v>07 Atrazine 2.5 mg_L+testo</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2805</v>
      </c>
      <c r="D605" s="1" t="s">
        <v>2571</v>
      </c>
      <c r="E605" s="1" t="s">
        <v>2806</v>
      </c>
      <c r="F605" s="1" t="s">
        <v>112</v>
      </c>
      <c r="G605" s="1">
        <v>1999576</v>
      </c>
    </row>
    <row r="606" spans="1:7" x14ac:dyDescent="0.25">
      <c r="A606" s="1" t="str">
        <f t="shared" si="9"/>
        <v>07 Atrazine 2.5 mg_L+testo</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2807</v>
      </c>
      <c r="D606" s="1" t="s">
        <v>1429</v>
      </c>
      <c r="E606" s="1" t="s">
        <v>2808</v>
      </c>
      <c r="F606" s="1" t="s">
        <v>112</v>
      </c>
      <c r="G606" s="1">
        <v>2078222</v>
      </c>
    </row>
    <row r="607" spans="1:7" x14ac:dyDescent="0.25">
      <c r="A607" s="1" t="str">
        <f t="shared" si="9"/>
        <v>07 Atrazine 2.5 mg_L+testo</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2809</v>
      </c>
      <c r="D607" s="1" t="s">
        <v>2810</v>
      </c>
      <c r="E607" s="1" t="s">
        <v>2811</v>
      </c>
      <c r="F607" s="1" t="s">
        <v>112</v>
      </c>
      <c r="G607" s="1">
        <v>1756694</v>
      </c>
    </row>
    <row r="608" spans="1:7" x14ac:dyDescent="0.25">
      <c r="A608" s="1" t="str">
        <f t="shared" si="9"/>
        <v>07 Atrazine 2.5 mg_L+testo</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2812</v>
      </c>
      <c r="D608" s="1" t="s">
        <v>2813</v>
      </c>
      <c r="E608" s="1" t="s">
        <v>2814</v>
      </c>
      <c r="F608" s="1" t="s">
        <v>112</v>
      </c>
      <c r="G608" s="1">
        <v>5059362</v>
      </c>
    </row>
    <row r="609" spans="1:10" x14ac:dyDescent="0.25">
      <c r="A609" s="1" t="str">
        <f t="shared" si="9"/>
        <v>07 Atrazine 2.5 mg_L+testo</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2815</v>
      </c>
      <c r="D609" s="1" t="s">
        <v>2816</v>
      </c>
      <c r="E609" s="1" t="s">
        <v>2817</v>
      </c>
      <c r="F609" s="1" t="s">
        <v>112</v>
      </c>
      <c r="G609" s="1">
        <v>4791908</v>
      </c>
    </row>
    <row r="610" spans="1:10" x14ac:dyDescent="0.25">
      <c r="A610" s="1" t="str">
        <f t="shared" si="9"/>
        <v>07 Atrazine 2.5 mg_L+testo</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2818</v>
      </c>
      <c r="D610" s="1" t="s">
        <v>2819</v>
      </c>
      <c r="E610" s="1" t="s">
        <v>2820</v>
      </c>
      <c r="F610" s="1" t="s">
        <v>112</v>
      </c>
      <c r="G610" s="1">
        <v>4047408</v>
      </c>
    </row>
    <row r="611" spans="1:10" x14ac:dyDescent="0.25">
      <c r="A611" s="1" t="str">
        <f t="shared" si="9"/>
        <v>07 Atrazine 2.5 mg_L+testo</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2821</v>
      </c>
      <c r="D611" s="1" t="s">
        <v>2822</v>
      </c>
      <c r="E611" s="1" t="s">
        <v>2823</v>
      </c>
      <c r="F611" s="1" t="s">
        <v>112</v>
      </c>
      <c r="G611" s="1">
        <v>3129175</v>
      </c>
    </row>
    <row r="612" spans="1:10" x14ac:dyDescent="0.25">
      <c r="A612" s="1" t="str">
        <f t="shared" si="9"/>
        <v>07 Atrazine 2.5 mg_L+testo</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2824</v>
      </c>
      <c r="D612" s="1" t="s">
        <v>2825</v>
      </c>
      <c r="E612" s="1" t="s">
        <v>2826</v>
      </c>
      <c r="F612" s="1" t="s">
        <v>112</v>
      </c>
      <c r="G612" s="1">
        <v>2780934</v>
      </c>
    </row>
    <row r="613" spans="1:10" x14ac:dyDescent="0.25">
      <c r="A613" s="1" t="str">
        <f t="shared" si="9"/>
        <v>07 Atrazine 2.5 mg_L+testo</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2827</v>
      </c>
      <c r="D613" s="1" t="s">
        <v>2828</v>
      </c>
      <c r="E613" s="1" t="s">
        <v>2829</v>
      </c>
      <c r="F613" s="1" t="s">
        <v>112</v>
      </c>
      <c r="G613" s="1">
        <v>3215479</v>
      </c>
    </row>
    <row r="614" spans="1:10" x14ac:dyDescent="0.25">
      <c r="A614" s="1" t="str">
        <f t="shared" si="9"/>
        <v>07 Atrazine 2.5 mg_L+testo</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2830</v>
      </c>
      <c r="D614" s="1" t="s">
        <v>726</v>
      </c>
      <c r="E614" s="1" t="s">
        <v>2831</v>
      </c>
      <c r="F614" s="1" t="s">
        <v>112</v>
      </c>
      <c r="G614" s="1">
        <v>243639</v>
      </c>
    </row>
    <row r="615" spans="1:10" x14ac:dyDescent="0.25">
      <c r="A615" s="1" t="str">
        <f t="shared" si="9"/>
        <v>07 Atrazine 2.5 mg_L+testo</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2832</v>
      </c>
      <c r="D615" s="1" t="s">
        <v>703</v>
      </c>
      <c r="E615" s="1" t="s">
        <v>2833</v>
      </c>
      <c r="F615" s="1" t="s">
        <v>112</v>
      </c>
      <c r="G615" s="1">
        <v>161294</v>
      </c>
    </row>
    <row r="616" spans="1:10" x14ac:dyDescent="0.25">
      <c r="A616" s="1" t="str">
        <f t="shared" si="9"/>
        <v>07 Atrazine 2.5 mg_L+testo</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2834</v>
      </c>
      <c r="D616" s="1" t="s">
        <v>405</v>
      </c>
      <c r="E616" s="1" t="s">
        <v>2835</v>
      </c>
      <c r="F616" s="1" t="s">
        <v>112</v>
      </c>
      <c r="G616" s="1">
        <v>259364</v>
      </c>
    </row>
    <row r="617" spans="1:10" x14ac:dyDescent="0.25">
      <c r="A617" s="1" t="str">
        <f t="shared" si="9"/>
        <v>07 Atrazine 2.5 mg_L+testo</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2836</v>
      </c>
      <c r="D617" s="1" t="s">
        <v>2837</v>
      </c>
      <c r="E617" s="1" t="s">
        <v>2838</v>
      </c>
      <c r="F617" s="1" t="s">
        <v>112</v>
      </c>
      <c r="G617" s="1">
        <v>1576452</v>
      </c>
    </row>
    <row r="618" spans="1:10" x14ac:dyDescent="0.25">
      <c r="A618" s="1" t="str">
        <f t="shared" si="9"/>
        <v>07 Atrazine 2.5 mg_L+testo</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2839</v>
      </c>
      <c r="D618" s="1" t="s">
        <v>2840</v>
      </c>
      <c r="E618" s="1" t="s">
        <v>2841</v>
      </c>
      <c r="F618" s="1" t="s">
        <v>112</v>
      </c>
      <c r="G618" s="1">
        <v>591015</v>
      </c>
    </row>
    <row r="619" spans="1:10" x14ac:dyDescent="0.25">
      <c r="A619" s="1" t="str">
        <f t="shared" si="9"/>
        <v>07 Atrazine 2.5 mg_L+testo</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2842</v>
      </c>
      <c r="D619" s="1" t="s">
        <v>2843</v>
      </c>
      <c r="E619" s="1" t="s">
        <v>2844</v>
      </c>
      <c r="F619" s="1" t="s">
        <v>112</v>
      </c>
      <c r="G619" s="1">
        <v>1537886</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240</v>
      </c>
      <c r="D621" s="1" t="s">
        <v>112</v>
      </c>
      <c r="E621" s="1" t="s">
        <v>241</v>
      </c>
      <c r="F621" s="1" t="s">
        <v>242</v>
      </c>
      <c r="G621" s="1" t="s">
        <v>243</v>
      </c>
      <c r="H621" s="1" t="s">
        <v>244</v>
      </c>
      <c r="I621" s="1" t="s">
        <v>245</v>
      </c>
      <c r="J621" s="1" t="s">
        <v>246</v>
      </c>
    </row>
    <row r="622" spans="1:10" x14ac:dyDescent="0.25">
      <c r="A622" s="1" t="str">
        <f t="shared" si="9"/>
        <v>07 Atrazine 2.5 mg_L+testo</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2845</v>
      </c>
      <c r="D622" s="1" t="s">
        <v>112</v>
      </c>
      <c r="E622" s="1" t="s">
        <v>2846</v>
      </c>
      <c r="F622" s="1" t="s">
        <v>2847</v>
      </c>
      <c r="G622" s="1" t="s">
        <v>2848</v>
      </c>
      <c r="H622" s="1" t="s">
        <v>2849</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252</v>
      </c>
      <c r="D628" s="1" t="s">
        <v>110</v>
      </c>
      <c r="E628" s="1" t="s">
        <v>111</v>
      </c>
      <c r="F628" s="1" t="s">
        <v>112</v>
      </c>
      <c r="G628" s="1" t="s">
        <v>113</v>
      </c>
    </row>
    <row r="629" spans="1:7" x14ac:dyDescent="0.25">
      <c r="A629" s="1" t="str">
        <f t="shared" si="9"/>
        <v>08 Atrazine 5 mg_L+testo</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2850</v>
      </c>
      <c r="D629" s="1" t="s">
        <v>2851</v>
      </c>
      <c r="E629" s="1" t="s">
        <v>2852</v>
      </c>
      <c r="F629" s="1" t="s">
        <v>112</v>
      </c>
      <c r="G629" s="1">
        <v>2288702</v>
      </c>
    </row>
    <row r="630" spans="1:7" x14ac:dyDescent="0.25">
      <c r="A630" s="1" t="str">
        <f t="shared" si="9"/>
        <v>08 Atrazine 5 mg_L+testo</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2853</v>
      </c>
      <c r="D630" s="1" t="s">
        <v>2854</v>
      </c>
      <c r="E630" s="1" t="s">
        <v>2855</v>
      </c>
      <c r="F630" s="1" t="s">
        <v>112</v>
      </c>
      <c r="G630" s="1">
        <v>2473443</v>
      </c>
    </row>
    <row r="631" spans="1:7" x14ac:dyDescent="0.25">
      <c r="A631" s="1" t="str">
        <f t="shared" si="9"/>
        <v>08 Atrazine 5 mg_L+testo</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2856</v>
      </c>
      <c r="D631" s="1" t="s">
        <v>2857</v>
      </c>
      <c r="E631" s="1" t="s">
        <v>2858</v>
      </c>
      <c r="F631" s="1" t="s">
        <v>112</v>
      </c>
      <c r="G631" s="1">
        <v>2408056</v>
      </c>
    </row>
    <row r="632" spans="1:7" x14ac:dyDescent="0.25">
      <c r="A632" s="1" t="str">
        <f t="shared" si="9"/>
        <v>08 Atrazine 5 mg_L+testo</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2859</v>
      </c>
      <c r="D632" s="1" t="s">
        <v>1322</v>
      </c>
      <c r="E632" s="1" t="s">
        <v>2860</v>
      </c>
      <c r="F632" s="1" t="s">
        <v>112</v>
      </c>
      <c r="G632" s="1">
        <v>837531</v>
      </c>
    </row>
    <row r="633" spans="1:7" x14ac:dyDescent="0.25">
      <c r="A633" s="1" t="str">
        <f t="shared" si="9"/>
        <v>08 Atrazine 5 mg_L+testo</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2861</v>
      </c>
    </row>
    <row r="634" spans="1:7" x14ac:dyDescent="0.25">
      <c r="A634" s="1" t="str">
        <f t="shared" si="9"/>
        <v>08 Atrazine 5 mg_L+testo</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2862</v>
      </c>
    </row>
    <row r="635" spans="1:7" x14ac:dyDescent="0.25">
      <c r="A635" s="1" t="str">
        <f t="shared" si="9"/>
        <v>08 Atrazine 5 mg_L+testo</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2863</v>
      </c>
      <c r="D635" s="1" t="s">
        <v>2864</v>
      </c>
      <c r="E635" s="1" t="s">
        <v>2865</v>
      </c>
      <c r="F635" s="1" t="s">
        <v>112</v>
      </c>
      <c r="G635" s="1">
        <v>3524613</v>
      </c>
    </row>
    <row r="636" spans="1:7" x14ac:dyDescent="0.25">
      <c r="A636" s="1" t="str">
        <f t="shared" si="9"/>
        <v>08 Atrazine 5 mg_L+testo</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2866</v>
      </c>
      <c r="D636" s="1" t="s">
        <v>499</v>
      </c>
      <c r="E636" s="1" t="s">
        <v>2867</v>
      </c>
      <c r="F636" s="1" t="s">
        <v>112</v>
      </c>
      <c r="G636" s="1">
        <v>3534930</v>
      </c>
    </row>
    <row r="637" spans="1:7" x14ac:dyDescent="0.25">
      <c r="A637" s="1" t="str">
        <f t="shared" si="9"/>
        <v>08 Atrazine 5 mg_L+testo</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2868</v>
      </c>
      <c r="D637" s="1" t="s">
        <v>2869</v>
      </c>
      <c r="E637" s="1" t="s">
        <v>2870</v>
      </c>
      <c r="F637" s="1" t="s">
        <v>112</v>
      </c>
      <c r="G637" s="1">
        <v>3222725</v>
      </c>
    </row>
    <row r="638" spans="1:7" x14ac:dyDescent="0.25">
      <c r="A638" s="1" t="str">
        <f t="shared" si="9"/>
        <v>08 Atrazine 5 mg_L+testo</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2871</v>
      </c>
      <c r="D638" s="1" t="s">
        <v>2872</v>
      </c>
      <c r="E638" s="1" t="s">
        <v>2873</v>
      </c>
      <c r="F638" s="1" t="s">
        <v>112</v>
      </c>
      <c r="G638" s="1">
        <v>3615069</v>
      </c>
    </row>
    <row r="639" spans="1:7" x14ac:dyDescent="0.25">
      <c r="A639" s="1" t="str">
        <f t="shared" si="9"/>
        <v>08 Atrazine 5 mg_L+testo</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2874</v>
      </c>
      <c r="D639" s="1" t="s">
        <v>2875</v>
      </c>
      <c r="E639" s="1" t="s">
        <v>2876</v>
      </c>
      <c r="F639" s="1" t="s">
        <v>112</v>
      </c>
      <c r="G639" s="1">
        <v>3166638</v>
      </c>
    </row>
    <row r="640" spans="1:7" x14ac:dyDescent="0.25">
      <c r="A640" s="1" t="str">
        <f t="shared" si="9"/>
        <v>08 Atrazine 5 mg_L+testo</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2877</v>
      </c>
      <c r="D640" s="1" t="s">
        <v>2878</v>
      </c>
      <c r="E640" s="1" t="s">
        <v>2879</v>
      </c>
      <c r="F640" s="1" t="s">
        <v>112</v>
      </c>
      <c r="G640" s="1">
        <v>3546329</v>
      </c>
    </row>
    <row r="641" spans="1:10" x14ac:dyDescent="0.25">
      <c r="A641" s="1" t="str">
        <f t="shared" si="9"/>
        <v>08 Atrazine 5 mg_L+testo</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2880</v>
      </c>
      <c r="D641" s="1" t="s">
        <v>2881</v>
      </c>
      <c r="E641" s="1" t="s">
        <v>2882</v>
      </c>
      <c r="F641" s="1" t="s">
        <v>112</v>
      </c>
      <c r="G641" s="1">
        <v>2507554</v>
      </c>
    </row>
    <row r="642" spans="1:10" x14ac:dyDescent="0.25">
      <c r="A642" s="1" t="str">
        <f t="shared" ref="A642:A705" si="10">IFERROR(LEFT(RIGHT(C642,LEN(C642)-SEARCH("@",C642)),SEARCH("/",RIGHT(C642,LEN(C642)-SEARCH("@",C642)-1))),"")</f>
        <v>08 Atrazine 5 mg_L+testo</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2883</v>
      </c>
      <c r="D642" s="1" t="s">
        <v>2884</v>
      </c>
      <c r="E642" s="1" t="s">
        <v>2885</v>
      </c>
      <c r="F642" s="1" t="s">
        <v>112</v>
      </c>
      <c r="G642" s="1">
        <v>2397739</v>
      </c>
    </row>
    <row r="643" spans="1:10" x14ac:dyDescent="0.25">
      <c r="A643" s="1" t="str">
        <f t="shared" si="10"/>
        <v>08 Atrazine 5 mg_L+testo</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2886</v>
      </c>
      <c r="D643" s="1" t="s">
        <v>2887</v>
      </c>
      <c r="E643" s="1" t="s">
        <v>2888</v>
      </c>
      <c r="F643" s="1" t="s">
        <v>112</v>
      </c>
      <c r="G643" s="1">
        <v>2253381</v>
      </c>
    </row>
    <row r="644" spans="1:10" x14ac:dyDescent="0.25">
      <c r="A644" s="1" t="str">
        <f t="shared" si="10"/>
        <v>08 Atrazine 5 mg_L+testo</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2889</v>
      </c>
      <c r="D644" s="1" t="s">
        <v>1500</v>
      </c>
      <c r="E644" s="1" t="s">
        <v>2890</v>
      </c>
      <c r="F644" s="1" t="s">
        <v>112</v>
      </c>
      <c r="G644" s="1">
        <v>1550020</v>
      </c>
    </row>
    <row r="645" spans="1:10" x14ac:dyDescent="0.25">
      <c r="A645" s="1" t="str">
        <f t="shared" si="10"/>
        <v>08 Atrazine 5 mg_L+testo</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2891</v>
      </c>
    </row>
    <row r="646" spans="1:10" x14ac:dyDescent="0.25">
      <c r="A646" s="1" t="str">
        <f t="shared" si="10"/>
        <v>08 Atrazine 5 mg_L+testo</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2892</v>
      </c>
    </row>
    <row r="647" spans="1:10" x14ac:dyDescent="0.25">
      <c r="A647" s="1" t="str">
        <f t="shared" si="10"/>
        <v>08 Atrazine 5 mg_L+testo</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2893</v>
      </c>
      <c r="D647" s="1" t="s">
        <v>2894</v>
      </c>
      <c r="E647" s="1" t="s">
        <v>2895</v>
      </c>
      <c r="F647" s="1" t="s">
        <v>112</v>
      </c>
      <c r="G647" s="1">
        <v>2411885</v>
      </c>
    </row>
    <row r="648" spans="1:10" x14ac:dyDescent="0.25">
      <c r="A648" s="1" t="str">
        <f t="shared" si="10"/>
        <v>08 Atrazine 5 mg_L+testo</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2896</v>
      </c>
      <c r="D648" s="1" t="s">
        <v>2897</v>
      </c>
      <c r="E648" s="1" t="s">
        <v>2898</v>
      </c>
      <c r="F648" s="1" t="s">
        <v>112</v>
      </c>
      <c r="G648" s="1">
        <v>2233654</v>
      </c>
    </row>
    <row r="649" spans="1:10" x14ac:dyDescent="0.25">
      <c r="A649" s="1" t="str">
        <f t="shared" si="10"/>
        <v>08 Atrazine 5 mg_L+testo</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2899</v>
      </c>
      <c r="D649" s="1" t="s">
        <v>2900</v>
      </c>
      <c r="E649" s="1" t="s">
        <v>2901</v>
      </c>
      <c r="F649" s="1" t="s">
        <v>112</v>
      </c>
      <c r="G649" s="1">
        <v>2331768</v>
      </c>
    </row>
    <row r="650" spans="1:10" x14ac:dyDescent="0.25">
      <c r="A650" s="1" t="str">
        <f t="shared" si="10"/>
        <v>08 Atrazine 5 mg_L+testo</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2902</v>
      </c>
    </row>
    <row r="651" spans="1:10" x14ac:dyDescent="0.25">
      <c r="A651" s="1" t="str">
        <f t="shared" si="10"/>
        <v>08 Atrazine 5 mg_L+testo</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2903</v>
      </c>
      <c r="D651" s="1" t="s">
        <v>176</v>
      </c>
      <c r="E651" s="1" t="s">
        <v>2904</v>
      </c>
      <c r="F651" s="1" t="s">
        <v>112</v>
      </c>
      <c r="G651" s="1">
        <v>20419</v>
      </c>
    </row>
    <row r="652" spans="1:10" x14ac:dyDescent="0.25">
      <c r="A652" s="1" t="str">
        <f t="shared" si="10"/>
        <v>08 Atrazine 5 mg_L+testo</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2905</v>
      </c>
      <c r="D652" s="1" t="s">
        <v>1759</v>
      </c>
      <c r="E652" s="1" t="s">
        <v>2906</v>
      </c>
      <c r="F652" s="1" t="s">
        <v>112</v>
      </c>
      <c r="G652" s="1">
        <v>12113</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240</v>
      </c>
      <c r="D654" s="1" t="s">
        <v>112</v>
      </c>
      <c r="E654" s="1" t="s">
        <v>241</v>
      </c>
      <c r="F654" s="1" t="s">
        <v>242</v>
      </c>
      <c r="G654" s="1" t="s">
        <v>243</v>
      </c>
      <c r="H654" s="1" t="s">
        <v>244</v>
      </c>
      <c r="I654" s="1" t="s">
        <v>245</v>
      </c>
      <c r="J654" s="1" t="s">
        <v>246</v>
      </c>
    </row>
    <row r="655" spans="1:10" x14ac:dyDescent="0.25">
      <c r="A655" s="1" t="str">
        <f t="shared" si="10"/>
        <v>08 Atrazine 5 mg_L+testo</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2907</v>
      </c>
      <c r="D655" s="1" t="s">
        <v>112</v>
      </c>
      <c r="E655" s="1" t="s">
        <v>2908</v>
      </c>
      <c r="F655" s="1" t="s">
        <v>2909</v>
      </c>
      <c r="G655" s="1" t="s">
        <v>2910</v>
      </c>
      <c r="H655" s="1" t="s">
        <v>2911</v>
      </c>
      <c r="I655" s="1">
        <v>24</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252</v>
      </c>
      <c r="D661" s="1" t="s">
        <v>110</v>
      </c>
      <c r="E661" s="1" t="s">
        <v>111</v>
      </c>
      <c r="F661" s="1" t="s">
        <v>112</v>
      </c>
      <c r="G661" s="1" t="s">
        <v>113</v>
      </c>
    </row>
    <row r="662" spans="1:7" x14ac:dyDescent="0.25">
      <c r="A662" s="1" t="str">
        <f t="shared" si="10"/>
        <v>09 Atrazine 10 mg_L+testo</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2912</v>
      </c>
      <c r="D662" s="1" t="s">
        <v>2913</v>
      </c>
      <c r="E662" s="1" t="s">
        <v>2914</v>
      </c>
      <c r="F662" s="1" t="s">
        <v>112</v>
      </c>
      <c r="G662" s="1">
        <v>840257</v>
      </c>
    </row>
    <row r="663" spans="1:7" x14ac:dyDescent="0.25">
      <c r="A663" s="1" t="str">
        <f t="shared" si="10"/>
        <v>09 Atrazine 10 mg_L+testo</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2915</v>
      </c>
      <c r="D663" s="1" t="s">
        <v>2916</v>
      </c>
      <c r="E663" s="1" t="s">
        <v>2917</v>
      </c>
      <c r="F663" s="1" t="s">
        <v>112</v>
      </c>
      <c r="G663" s="1">
        <v>697326</v>
      </c>
    </row>
    <row r="664" spans="1:7" x14ac:dyDescent="0.25">
      <c r="A664" s="1" t="str">
        <f t="shared" si="10"/>
        <v>09 Atrazine 10 mg_L+testo</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2918</v>
      </c>
      <c r="D664" s="1" t="s">
        <v>2176</v>
      </c>
      <c r="E664" s="1" t="s">
        <v>2919</v>
      </c>
      <c r="F664" s="1" t="s">
        <v>112</v>
      </c>
      <c r="G664" s="1">
        <v>660101</v>
      </c>
    </row>
    <row r="665" spans="1:7" x14ac:dyDescent="0.25">
      <c r="A665" s="1" t="str">
        <f t="shared" si="10"/>
        <v>09 Atrazine 10 mg_L+testo</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2920</v>
      </c>
      <c r="D665" s="1" t="s">
        <v>273</v>
      </c>
      <c r="E665" s="1">
        <v>64</v>
      </c>
      <c r="F665" s="1" t="s">
        <v>112</v>
      </c>
      <c r="G665" s="1">
        <v>47067</v>
      </c>
    </row>
    <row r="666" spans="1:7" x14ac:dyDescent="0.25">
      <c r="A666" s="1" t="str">
        <f t="shared" si="10"/>
        <v>09 Atrazine 10 mg_L+testo</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2921</v>
      </c>
      <c r="D666" s="1" t="s">
        <v>2922</v>
      </c>
      <c r="E666" s="1" t="s">
        <v>2923</v>
      </c>
      <c r="F666" s="1" t="s">
        <v>112</v>
      </c>
      <c r="G666" s="1">
        <v>1257584</v>
      </c>
    </row>
    <row r="667" spans="1:7" x14ac:dyDescent="0.25">
      <c r="A667" s="1" t="str">
        <f t="shared" si="10"/>
        <v>09 Atrazine 10 mg_L+testo</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2924</v>
      </c>
      <c r="D667" s="1" t="s">
        <v>2925</v>
      </c>
      <c r="E667" s="1" t="s">
        <v>2926</v>
      </c>
      <c r="F667" s="1" t="s">
        <v>112</v>
      </c>
      <c r="G667" s="1">
        <v>1187005</v>
      </c>
    </row>
    <row r="668" spans="1:7" x14ac:dyDescent="0.25">
      <c r="A668" s="1" t="str">
        <f t="shared" si="10"/>
        <v>09 Atrazine 10 mg_L+testo</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2927</v>
      </c>
      <c r="D668" s="1" t="s">
        <v>2928</v>
      </c>
      <c r="E668" s="1" t="s">
        <v>2929</v>
      </c>
      <c r="F668" s="1" t="s">
        <v>112</v>
      </c>
      <c r="G668" s="1">
        <v>1933713</v>
      </c>
    </row>
    <row r="669" spans="1:7" x14ac:dyDescent="0.25">
      <c r="A669" s="1" t="str">
        <f t="shared" si="10"/>
        <v>09 Atrazine 10 mg_L+testo</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2930</v>
      </c>
      <c r="D669" s="1" t="s">
        <v>2931</v>
      </c>
      <c r="E669" s="1" t="s">
        <v>2932</v>
      </c>
      <c r="F669" s="1" t="s">
        <v>112</v>
      </c>
      <c r="G669" s="1">
        <v>1690636</v>
      </c>
    </row>
    <row r="670" spans="1:7" x14ac:dyDescent="0.25">
      <c r="A670" s="1" t="str">
        <f t="shared" si="10"/>
        <v>09 Atrazine 10 mg_L+testo</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2933</v>
      </c>
      <c r="D670" s="1" t="s">
        <v>1709</v>
      </c>
      <c r="E670" s="1" t="s">
        <v>2934</v>
      </c>
      <c r="F670" s="1" t="s">
        <v>112</v>
      </c>
      <c r="G670" s="1">
        <v>83340</v>
      </c>
    </row>
    <row r="671" spans="1:7" x14ac:dyDescent="0.25">
      <c r="A671" s="1" t="str">
        <f t="shared" si="10"/>
        <v>09 Atrazine 10 mg_L+testo</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2935</v>
      </c>
      <c r="D671" s="1" t="s">
        <v>2936</v>
      </c>
      <c r="E671" s="1" t="s">
        <v>2937</v>
      </c>
      <c r="F671" s="1" t="s">
        <v>112</v>
      </c>
      <c r="G671" s="1">
        <v>5449695</v>
      </c>
    </row>
    <row r="672" spans="1:7" x14ac:dyDescent="0.25">
      <c r="A672" s="1" t="str">
        <f t="shared" si="10"/>
        <v>09 Atrazine 10 mg_L+testo</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2938</v>
      </c>
      <c r="D672" s="1" t="s">
        <v>2939</v>
      </c>
      <c r="E672" s="1" t="s">
        <v>2940</v>
      </c>
      <c r="F672" s="1" t="s">
        <v>112</v>
      </c>
      <c r="G672" s="1">
        <v>5013918</v>
      </c>
    </row>
    <row r="673" spans="1:10" x14ac:dyDescent="0.25">
      <c r="A673" s="1" t="str">
        <f t="shared" si="10"/>
        <v>09 Atrazine 10 mg_L+testo</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2941</v>
      </c>
      <c r="D673" s="1" t="s">
        <v>2942</v>
      </c>
      <c r="E673" s="1" t="s">
        <v>2943</v>
      </c>
      <c r="F673" s="1" t="s">
        <v>112</v>
      </c>
      <c r="G673" s="1">
        <v>5053782</v>
      </c>
    </row>
    <row r="674" spans="1:10" x14ac:dyDescent="0.25">
      <c r="A674" s="1" t="str">
        <f t="shared" si="10"/>
        <v>09 Atrazine 10 mg_L+testo</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2944</v>
      </c>
      <c r="D674" s="1" t="s">
        <v>2945</v>
      </c>
      <c r="E674" s="1" t="s">
        <v>2946</v>
      </c>
      <c r="F674" s="1" t="s">
        <v>112</v>
      </c>
      <c r="G674" s="1">
        <v>2314529</v>
      </c>
    </row>
    <row r="675" spans="1:10" x14ac:dyDescent="0.25">
      <c r="A675" s="1" t="str">
        <f t="shared" si="10"/>
        <v>09 Atrazine 10 mg_L+testo</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2947</v>
      </c>
      <c r="D675" s="1" t="s">
        <v>1139</v>
      </c>
      <c r="E675" s="1" t="s">
        <v>2948</v>
      </c>
      <c r="F675" s="1" t="s">
        <v>112</v>
      </c>
      <c r="G675" s="1">
        <v>2354912</v>
      </c>
    </row>
    <row r="676" spans="1:10" x14ac:dyDescent="0.25">
      <c r="A676" s="1" t="str">
        <f t="shared" si="10"/>
        <v>09 Atrazine 10 mg_L+testo</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2949</v>
      </c>
    </row>
    <row r="677" spans="1:10" x14ac:dyDescent="0.25">
      <c r="A677" s="1" t="str">
        <f t="shared" si="10"/>
        <v>09 Atrazine 10 mg_L+testo</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2950</v>
      </c>
      <c r="D677" s="1" t="s">
        <v>2951</v>
      </c>
      <c r="E677" s="1" t="s">
        <v>2952</v>
      </c>
      <c r="F677" s="1" t="s">
        <v>112</v>
      </c>
      <c r="G677" s="1">
        <v>3819493</v>
      </c>
    </row>
    <row r="678" spans="1:10" x14ac:dyDescent="0.25">
      <c r="A678" s="1" t="str">
        <f t="shared" si="10"/>
        <v>09 Atrazine 10 mg_L+testo</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2953</v>
      </c>
      <c r="D678" s="1" t="s">
        <v>2954</v>
      </c>
      <c r="E678" s="1" t="s">
        <v>2955</v>
      </c>
      <c r="F678" s="1" t="s">
        <v>112</v>
      </c>
      <c r="G678" s="1">
        <v>3587880</v>
      </c>
    </row>
    <row r="679" spans="1:10" x14ac:dyDescent="0.25">
      <c r="A679" s="1" t="str">
        <f t="shared" si="10"/>
        <v>09 Atrazine 10 mg_L+testo</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2956</v>
      </c>
      <c r="D679" s="1" t="s">
        <v>2957</v>
      </c>
      <c r="E679" s="1" t="s">
        <v>2958</v>
      </c>
      <c r="F679" s="1" t="s">
        <v>112</v>
      </c>
      <c r="G679" s="1">
        <v>3684717</v>
      </c>
    </row>
    <row r="680" spans="1:10" x14ac:dyDescent="0.25">
      <c r="A680" s="1" t="str">
        <f t="shared" si="10"/>
        <v>09 Atrazine 10 mg_L+testo</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2959</v>
      </c>
      <c r="D680" s="1" t="s">
        <v>2960</v>
      </c>
      <c r="E680" s="1" t="s">
        <v>2961</v>
      </c>
      <c r="F680" s="1" t="s">
        <v>112</v>
      </c>
      <c r="G680" s="1">
        <v>2465029</v>
      </c>
    </row>
    <row r="681" spans="1:10" x14ac:dyDescent="0.25">
      <c r="A681" s="1" t="str">
        <f t="shared" si="10"/>
        <v>09 Atrazine 10 mg_L+testo</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2962</v>
      </c>
      <c r="D681" s="1" t="s">
        <v>2931</v>
      </c>
      <c r="E681" s="1" t="s">
        <v>2963</v>
      </c>
      <c r="F681" s="1" t="s">
        <v>112</v>
      </c>
      <c r="G681" s="1">
        <v>1718041</v>
      </c>
    </row>
    <row r="682" spans="1:10" x14ac:dyDescent="0.25">
      <c r="A682" s="1" t="str">
        <f t="shared" si="10"/>
        <v>09 Atrazine 10 mg_L+testo</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2964</v>
      </c>
      <c r="D682" s="1" t="s">
        <v>2965</v>
      </c>
      <c r="E682" s="1" t="s">
        <v>2966</v>
      </c>
      <c r="F682" s="1" t="s">
        <v>112</v>
      </c>
      <c r="G682" s="1">
        <v>757652</v>
      </c>
    </row>
    <row r="683" spans="1:10" x14ac:dyDescent="0.25">
      <c r="A683" s="1" t="str">
        <f t="shared" si="10"/>
        <v>09 Atrazine 10 mg_L+testo</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2967</v>
      </c>
      <c r="D683" s="1" t="s">
        <v>1690</v>
      </c>
      <c r="E683" s="1" t="s">
        <v>2968</v>
      </c>
      <c r="F683" s="1" t="s">
        <v>112</v>
      </c>
      <c r="G683" s="1">
        <v>349712</v>
      </c>
    </row>
    <row r="684" spans="1:10" x14ac:dyDescent="0.25">
      <c r="A684" s="1" t="str">
        <f t="shared" si="10"/>
        <v>09 Atrazine 10 mg_L+testo</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2969</v>
      </c>
      <c r="D684" s="1" t="s">
        <v>2970</v>
      </c>
      <c r="E684" s="1" t="s">
        <v>2971</v>
      </c>
      <c r="F684" s="1" t="s">
        <v>112</v>
      </c>
      <c r="G684" s="1">
        <v>418603</v>
      </c>
    </row>
    <row r="685" spans="1:10" x14ac:dyDescent="0.25">
      <c r="A685" s="1" t="str">
        <f t="shared" si="10"/>
        <v>09 Atrazine 10 mg_L+testo</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2972</v>
      </c>
      <c r="D685" s="1" t="s">
        <v>801</v>
      </c>
      <c r="E685" s="1" t="s">
        <v>2973</v>
      </c>
      <c r="F685" s="1" t="s">
        <v>112</v>
      </c>
      <c r="G685" s="1">
        <v>402857</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240</v>
      </c>
      <c r="D687" s="1" t="s">
        <v>112</v>
      </c>
      <c r="E687" s="1" t="s">
        <v>241</v>
      </c>
      <c r="F687" s="1" t="s">
        <v>242</v>
      </c>
      <c r="G687" s="1" t="s">
        <v>243</v>
      </c>
      <c r="H687" s="1" t="s">
        <v>244</v>
      </c>
      <c r="I687" s="1" t="s">
        <v>245</v>
      </c>
      <c r="J687" s="1" t="s">
        <v>246</v>
      </c>
    </row>
    <row r="688" spans="1:10" x14ac:dyDescent="0.25">
      <c r="A688" s="1" t="str">
        <f t="shared" si="10"/>
        <v>09 Atrazine 10 mg_L+testo</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2974</v>
      </c>
      <c r="D688" s="1" t="s">
        <v>112</v>
      </c>
      <c r="E688" s="1" t="s">
        <v>2975</v>
      </c>
      <c r="F688" s="1" t="s">
        <v>2976</v>
      </c>
      <c r="G688" s="1">
        <v>1941092</v>
      </c>
      <c r="H688" s="1" t="s">
        <v>2977</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5" priority="1" operator="containsText" text="ERREUR">
      <formula>NOT(ISERROR(SEARCH("ERREUR",A1)))</formula>
    </cfRule>
    <cfRule type="containsText" dxfId="4"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45" zoomScaleNormal="100" zoomScaleSheetLayoutView="40" zoomScalePageLayoutView="30" workbookViewId="0">
      <pane xSplit="1" topLeftCell="B1" activePane="topRight" state="frozen"/>
      <selection pane="topRight" activeCell="T70" sqref="T70"/>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6" t="s">
        <v>40</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c r="A2"/>
      <c r="B2"/>
      <c r="C2"/>
      <c r="D2"/>
      <c r="E2"/>
      <c r="F2"/>
      <c r="G2"/>
      <c r="H2"/>
      <c r="I2"/>
      <c r="J2"/>
      <c r="K2"/>
      <c r="L2"/>
      <c r="M2"/>
      <c r="S2"/>
      <c r="T2"/>
      <c r="U2"/>
      <c r="V2"/>
    </row>
    <row r="3" spans="1:22" ht="15.75" thickBot="1" x14ac:dyDescent="0.3">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Atrazine-0,625mg/L</v>
      </c>
      <c r="J4" s="35" t="str">
        <f>'Page de garde'!A16</f>
        <v>Atrazine-1,25mg/L</v>
      </c>
      <c r="K4" s="35" t="str">
        <f>'Page de garde'!A17</f>
        <v>Atrazine-2,5mg/L</v>
      </c>
      <c r="L4" s="35" t="str">
        <f>'Page de garde'!A18</f>
        <v>Atrazine-5mg/L</v>
      </c>
      <c r="M4" s="35" t="str">
        <f>'Page de garde'!A19</f>
        <v>Atrazine-10mg/L</v>
      </c>
      <c r="N4" s="3"/>
      <c r="O4" s="36" t="str">
        <f>'Page de garde'!A36</f>
        <v>Testo -30µg/L</v>
      </c>
      <c r="P4" s="36" t="str">
        <f>'Page de garde'!A37</f>
        <v>Testo 30µg/L + EE2 -64ng/L</v>
      </c>
      <c r="Q4" s="36" t="str">
        <f>'Page de garde'!A38</f>
        <v>Testo 30µg/L + FAD-10µg/L</v>
      </c>
      <c r="R4" s="36" t="str">
        <f>'Page de garde'!A39</f>
        <v>Atrazine-0,625mg/L + Testostérone</v>
      </c>
      <c r="S4" s="36" t="str">
        <f>'Page de garde'!A40</f>
        <v>Atrazine-1,25mg/L + Testostérone</v>
      </c>
      <c r="T4" s="36" t="str">
        <f>'Page de garde'!A41</f>
        <v>Atrazine-2,5mg/L + Testostérone</v>
      </c>
      <c r="U4" s="36" t="str">
        <f>'Page de garde'!A42</f>
        <v>Atrazine-5mg/L + Testostérone</v>
      </c>
      <c r="V4" s="36" t="str">
        <f>'Page de garde'!A43</f>
        <v>Atrazine-10mg/L + Testostérone</v>
      </c>
    </row>
    <row r="5" spans="1:22" x14ac:dyDescent="0.25">
      <c r="A5" s="220" t="s">
        <v>33</v>
      </c>
      <c r="B5" s="196">
        <v>415077.66666666669</v>
      </c>
      <c r="C5" s="196">
        <v>21024.333333333332</v>
      </c>
      <c r="D5" s="196">
        <v>242622.66666666666</v>
      </c>
      <c r="E5" s="196">
        <v>175656.33333333334</v>
      </c>
      <c r="F5" s="196">
        <v>538671</v>
      </c>
      <c r="G5" s="196">
        <v>417161.33333333331</v>
      </c>
      <c r="H5" s="196">
        <v>1790991.3333333333</v>
      </c>
      <c r="I5" s="196">
        <v>330310</v>
      </c>
      <c r="J5" s="196">
        <v>21060.666666666668</v>
      </c>
      <c r="K5" s="196">
        <v>654051.66666666663</v>
      </c>
      <c r="L5" s="196"/>
      <c r="M5" s="196">
        <v>63830</v>
      </c>
      <c r="N5" s="3"/>
      <c r="O5" s="196">
        <v>541684.66666666663</v>
      </c>
      <c r="P5" s="196">
        <v>3439340.6666666665</v>
      </c>
      <c r="Q5" s="196">
        <v>32149</v>
      </c>
      <c r="R5" s="196">
        <v>1342834.3333333333</v>
      </c>
      <c r="S5" s="196">
        <v>1825238.6666666667</v>
      </c>
      <c r="T5" s="196">
        <v>3781886</v>
      </c>
      <c r="U5" s="196">
        <v>2390067</v>
      </c>
      <c r="V5" s="196">
        <v>732561.33333333337</v>
      </c>
    </row>
    <row r="6" spans="1:22" x14ac:dyDescent="0.25">
      <c r="A6" s="221"/>
      <c r="B6" s="196">
        <v>350786.33333333331</v>
      </c>
      <c r="C6" s="196">
        <v>126614</v>
      </c>
      <c r="D6" s="196">
        <v>47081.333333333336</v>
      </c>
      <c r="E6" s="196">
        <v>685473</v>
      </c>
      <c r="F6" s="196">
        <v>78221</v>
      </c>
      <c r="G6" s="196">
        <v>253026.66666666666</v>
      </c>
      <c r="H6" s="196">
        <v>3957420</v>
      </c>
      <c r="I6" s="196">
        <v>564071.66666666663</v>
      </c>
      <c r="J6" s="196"/>
      <c r="K6" s="196">
        <v>142144.33333333334</v>
      </c>
      <c r="L6" s="196">
        <v>26258.666666666668</v>
      </c>
      <c r="M6" s="196">
        <v>347538.5</v>
      </c>
      <c r="N6" s="3"/>
      <c r="O6" s="196">
        <v>391890.33333333331</v>
      </c>
      <c r="P6" s="196">
        <v>1117508.5</v>
      </c>
      <c r="Q6" s="196">
        <v>37874</v>
      </c>
      <c r="R6" s="196">
        <v>3031682</v>
      </c>
      <c r="S6" s="196">
        <v>5185104</v>
      </c>
      <c r="T6" s="196">
        <v>4414805.666666667</v>
      </c>
      <c r="U6" s="196">
        <v>837531</v>
      </c>
      <c r="V6" s="196">
        <v>830552</v>
      </c>
    </row>
    <row r="7" spans="1:22" x14ac:dyDescent="0.25">
      <c r="A7" s="221"/>
      <c r="B7" s="196">
        <v>21341.333333333332</v>
      </c>
      <c r="C7" s="196">
        <v>19640</v>
      </c>
      <c r="D7" s="196">
        <v>170703</v>
      </c>
      <c r="E7" s="196">
        <v>233365</v>
      </c>
      <c r="F7" s="196">
        <v>237208</v>
      </c>
      <c r="G7" s="196">
        <v>3005884.6666666665</v>
      </c>
      <c r="H7" s="196">
        <v>2651652</v>
      </c>
      <c r="I7" s="196">
        <v>13129</v>
      </c>
      <c r="J7" s="196">
        <v>308421</v>
      </c>
      <c r="K7" s="196">
        <v>77882</v>
      </c>
      <c r="L7" s="196">
        <v>468237</v>
      </c>
      <c r="M7" s="196">
        <v>21983</v>
      </c>
      <c r="N7" s="3"/>
      <c r="O7" s="196">
        <v>216710</v>
      </c>
      <c r="P7" s="196">
        <v>3395864.6666666665</v>
      </c>
      <c r="Q7" s="196">
        <v>130911</v>
      </c>
      <c r="R7" s="196">
        <v>2600072</v>
      </c>
      <c r="S7" s="196">
        <v>482693</v>
      </c>
      <c r="T7" s="196"/>
      <c r="U7" s="196">
        <v>3427422.6666666665</v>
      </c>
      <c r="V7" s="196">
        <v>1235896.3333333333</v>
      </c>
    </row>
    <row r="8" spans="1:22" x14ac:dyDescent="0.25">
      <c r="A8" s="221"/>
      <c r="B8" s="196">
        <v>305089.33333333331</v>
      </c>
      <c r="C8" s="196">
        <v>485677.5</v>
      </c>
      <c r="D8" s="196">
        <v>62459.666666666664</v>
      </c>
      <c r="E8" s="196">
        <v>1162671.3333333333</v>
      </c>
      <c r="F8" s="196">
        <v>796196.66666666663</v>
      </c>
      <c r="G8" s="196">
        <v>1200444.6666666667</v>
      </c>
      <c r="H8" s="196">
        <v>3627917</v>
      </c>
      <c r="I8" s="196">
        <v>148741.33333333334</v>
      </c>
      <c r="J8" s="196">
        <v>292165.5</v>
      </c>
      <c r="K8" s="196">
        <v>1142764.6666666667</v>
      </c>
      <c r="L8" s="196">
        <v>207214.33333333334</v>
      </c>
      <c r="M8" s="196">
        <v>536529.5</v>
      </c>
      <c r="N8" s="3"/>
      <c r="O8" s="196">
        <v>1332971</v>
      </c>
      <c r="P8" s="196">
        <v>863898</v>
      </c>
      <c r="Q8" s="196">
        <v>109166</v>
      </c>
      <c r="R8" s="196">
        <v>2971601.3333333335</v>
      </c>
      <c r="S8" s="196">
        <v>2708805.6666666665</v>
      </c>
      <c r="T8" s="196">
        <v>1944830.6666666667</v>
      </c>
      <c r="U8" s="196">
        <v>3442678.6666666665</v>
      </c>
      <c r="V8" s="196">
        <v>5172465</v>
      </c>
    </row>
    <row r="9" spans="1:22" x14ac:dyDescent="0.25">
      <c r="A9" s="221"/>
      <c r="B9" s="196">
        <v>275471</v>
      </c>
      <c r="C9" s="196">
        <v>95272.666666666672</v>
      </c>
      <c r="D9" s="196">
        <v>162880.33333333334</v>
      </c>
      <c r="E9" s="196">
        <v>121228.33333333333</v>
      </c>
      <c r="F9" s="196">
        <v>729244.66666666663</v>
      </c>
      <c r="G9" s="196">
        <v>1782000.5</v>
      </c>
      <c r="H9" s="196">
        <v>4446623</v>
      </c>
      <c r="I9" s="196">
        <v>199665.33333333334</v>
      </c>
      <c r="J9" s="196">
        <v>143716</v>
      </c>
      <c r="K9" s="196">
        <v>44370</v>
      </c>
      <c r="L9" s="196">
        <v>630266.33333333337</v>
      </c>
      <c r="M9" s="196">
        <v>19286.666666666668</v>
      </c>
      <c r="N9" s="3"/>
      <c r="O9" s="196">
        <v>2068106.3333333333</v>
      </c>
      <c r="P9" s="196">
        <v>2148108.3333333335</v>
      </c>
      <c r="Q9" s="196">
        <v>99584</v>
      </c>
      <c r="R9" s="196">
        <v>2685812.6666666665</v>
      </c>
      <c r="S9" s="196">
        <v>72568.5</v>
      </c>
      <c r="T9" s="196">
        <v>4632892.666666667</v>
      </c>
      <c r="U9" s="196">
        <v>2386224.6666666665</v>
      </c>
      <c r="V9" s="196">
        <v>2334720.5</v>
      </c>
    </row>
    <row r="10" spans="1:22" x14ac:dyDescent="0.25">
      <c r="A10" s="221"/>
      <c r="B10" s="196">
        <v>54089</v>
      </c>
      <c r="C10" s="196">
        <v>18328</v>
      </c>
      <c r="D10" s="196">
        <v>251771.66666666666</v>
      </c>
      <c r="E10" s="196">
        <v>285522</v>
      </c>
      <c r="F10" s="196">
        <v>765677</v>
      </c>
      <c r="G10" s="196">
        <v>999647</v>
      </c>
      <c r="H10" s="196">
        <v>5231997.333333333</v>
      </c>
      <c r="I10" s="196">
        <v>353158.66666666669</v>
      </c>
      <c r="J10" s="196">
        <v>52647</v>
      </c>
      <c r="K10" s="196">
        <v>755099.66666666663</v>
      </c>
      <c r="L10" s="196"/>
      <c r="M10" s="196">
        <v>120370.33333333333</v>
      </c>
      <c r="N10" s="3"/>
      <c r="O10" s="196">
        <v>1258456.3333333333</v>
      </c>
      <c r="P10" s="196"/>
      <c r="Q10" s="196">
        <v>142144.66666666666</v>
      </c>
      <c r="R10" s="196">
        <v>2556891.3333333335</v>
      </c>
      <c r="S10" s="196">
        <v>1400110.3333333333</v>
      </c>
      <c r="T10" s="196">
        <v>3041862.6666666665</v>
      </c>
      <c r="U10" s="196">
        <v>1550020</v>
      </c>
      <c r="V10" s="196">
        <v>3697363.3333333335</v>
      </c>
    </row>
    <row r="11" spans="1:22" x14ac:dyDescent="0.25">
      <c r="A11" s="221"/>
      <c r="B11" s="196">
        <v>139008.33333333334</v>
      </c>
      <c r="C11" s="196">
        <v>84155</v>
      </c>
      <c r="D11" s="196">
        <v>61746</v>
      </c>
      <c r="E11" s="196">
        <v>79569.333333333328</v>
      </c>
      <c r="F11" s="196">
        <v>373671</v>
      </c>
      <c r="G11" s="196">
        <v>3259098.6666666665</v>
      </c>
      <c r="H11" s="196">
        <v>5377134.333333333</v>
      </c>
      <c r="I11" s="196">
        <v>402402.66666666669</v>
      </c>
      <c r="J11" s="196">
        <v>28843.5</v>
      </c>
      <c r="K11" s="196">
        <v>386101</v>
      </c>
      <c r="L11" s="196">
        <v>231901.33333333334</v>
      </c>
      <c r="M11" s="196">
        <v>13634.333333333334</v>
      </c>
      <c r="N11" s="3"/>
      <c r="O11" s="196">
        <v>1612018.3333333333</v>
      </c>
      <c r="P11" s="196">
        <v>1590006.3333333333</v>
      </c>
      <c r="Q11" s="196">
        <v>95387.666666666672</v>
      </c>
      <c r="R11" s="196">
        <v>2344550.6666666665</v>
      </c>
      <c r="S11" s="196">
        <v>2787509.6666666665</v>
      </c>
      <c r="T11" s="196">
        <v>221432.33333333334</v>
      </c>
      <c r="U11" s="196">
        <v>2325769</v>
      </c>
      <c r="V11" s="196">
        <v>1646907.3333333333</v>
      </c>
    </row>
    <row r="12" spans="1:22" x14ac:dyDescent="0.25">
      <c r="A12" s="221"/>
      <c r="B12" s="196">
        <v>9308.3333333333339</v>
      </c>
      <c r="C12" s="196">
        <v>123881.66666666667</v>
      </c>
      <c r="D12" s="196">
        <v>318262.33333333331</v>
      </c>
      <c r="E12" s="196">
        <v>55120</v>
      </c>
      <c r="F12" s="196">
        <v>573805</v>
      </c>
      <c r="G12" s="196">
        <v>1001968.6666666666</v>
      </c>
      <c r="H12" s="196">
        <v>4737141.666666667</v>
      </c>
      <c r="I12" s="196">
        <v>621491.66666666663</v>
      </c>
      <c r="J12" s="196">
        <v>251224.33333333334</v>
      </c>
      <c r="K12" s="196">
        <v>694514</v>
      </c>
      <c r="L12" s="196">
        <v>122814.5</v>
      </c>
      <c r="M12" s="196">
        <v>9055.6666666666661</v>
      </c>
      <c r="N12" s="3"/>
      <c r="O12" s="196">
        <v>612955.33333333337</v>
      </c>
      <c r="P12" s="196">
        <v>4047443.6666666665</v>
      </c>
      <c r="Q12" s="196">
        <v>262961.66666666669</v>
      </c>
      <c r="R12" s="196"/>
      <c r="S12" s="196">
        <v>198987.66666666666</v>
      </c>
      <c r="T12" s="196">
        <v>1235117.6666666667</v>
      </c>
      <c r="U12" s="196">
        <v>16266</v>
      </c>
      <c r="V12" s="196">
        <v>390390.66666666669</v>
      </c>
    </row>
    <row r="13" spans="1:22" ht="16.5" x14ac:dyDescent="0.25">
      <c r="A13" s="221"/>
      <c r="B13" s="14"/>
      <c r="C13" s="13"/>
      <c r="D13" s="16"/>
      <c r="E13" s="16"/>
      <c r="F13" s="16"/>
      <c r="G13" s="16"/>
      <c r="H13" s="16"/>
      <c r="I13" s="32"/>
      <c r="J13" s="16"/>
      <c r="K13" s="13"/>
      <c r="L13" s="13"/>
      <c r="M13" s="13"/>
      <c r="N13" s="3"/>
      <c r="O13" s="196">
        <v>1745511</v>
      </c>
      <c r="P13" s="13"/>
      <c r="Q13" s="13"/>
      <c r="R13" s="4"/>
      <c r="S13" s="32"/>
      <c r="T13" s="32"/>
      <c r="U13" s="32"/>
      <c r="V13" s="32"/>
    </row>
    <row r="14" spans="1:22" ht="16.5" x14ac:dyDescent="0.25">
      <c r="A14" s="221"/>
      <c r="B14" s="14"/>
      <c r="C14" s="16"/>
      <c r="D14" s="16"/>
      <c r="E14" s="16"/>
      <c r="F14" s="16"/>
      <c r="G14" s="16"/>
      <c r="H14" s="16"/>
      <c r="I14" s="32"/>
      <c r="J14" s="16"/>
      <c r="K14" s="13"/>
      <c r="L14" s="13"/>
      <c r="M14" s="13"/>
      <c r="N14" s="3"/>
      <c r="O14" s="196">
        <v>908246.33333333337</v>
      </c>
      <c r="P14" s="13"/>
      <c r="Q14" s="13"/>
      <c r="R14" s="4"/>
      <c r="S14" s="32"/>
      <c r="T14" s="32"/>
      <c r="U14" s="32"/>
      <c r="V14" s="32"/>
    </row>
    <row r="15" spans="1:22" ht="16.5" x14ac:dyDescent="0.25">
      <c r="A15" s="221"/>
      <c r="B15" s="14"/>
      <c r="C15" s="16"/>
      <c r="D15" s="16"/>
      <c r="E15" s="16"/>
      <c r="F15" s="16"/>
      <c r="G15" s="16"/>
      <c r="H15" s="16"/>
      <c r="I15" s="32"/>
      <c r="J15" s="16"/>
      <c r="K15" s="13"/>
      <c r="L15" s="13"/>
      <c r="M15" s="13"/>
      <c r="N15" s="3"/>
      <c r="O15" s="196">
        <v>1082821.6666666667</v>
      </c>
      <c r="P15" s="13"/>
      <c r="Q15" s="13"/>
      <c r="R15" s="4"/>
      <c r="S15" s="32"/>
      <c r="T15" s="32"/>
      <c r="U15" s="32"/>
      <c r="V15" s="32"/>
    </row>
    <row r="16" spans="1:22" ht="16.5" x14ac:dyDescent="0.25">
      <c r="A16" s="221"/>
      <c r="B16" s="14"/>
      <c r="C16" s="16"/>
      <c r="D16" s="16"/>
      <c r="E16" s="16"/>
      <c r="F16" s="16"/>
      <c r="G16" s="16"/>
      <c r="H16" s="16"/>
      <c r="I16" s="32"/>
      <c r="J16" s="16"/>
      <c r="K16" s="13"/>
      <c r="L16" s="13"/>
      <c r="M16" s="13"/>
      <c r="N16" s="3"/>
      <c r="O16" s="196">
        <v>125893</v>
      </c>
      <c r="P16" s="13"/>
      <c r="Q16" s="13"/>
      <c r="R16" s="4"/>
      <c r="S16" s="32"/>
      <c r="T16" s="32"/>
      <c r="U16" s="32"/>
      <c r="V16" s="32"/>
    </row>
    <row r="17" spans="1:22" s="1" customFormat="1" ht="16.5" x14ac:dyDescent="0.25">
      <c r="A17" s="221"/>
      <c r="B17" s="14"/>
      <c r="C17" s="32"/>
      <c r="D17" s="32"/>
      <c r="E17" s="32"/>
      <c r="F17" s="32"/>
      <c r="G17" s="32"/>
      <c r="H17" s="32"/>
      <c r="I17" s="32"/>
      <c r="J17" s="32"/>
      <c r="K17" s="13"/>
      <c r="L17" s="13"/>
      <c r="M17" s="13"/>
      <c r="N17" s="3"/>
      <c r="O17" s="196">
        <v>1293316</v>
      </c>
      <c r="P17" s="13"/>
      <c r="Q17" s="13"/>
      <c r="R17" s="32"/>
      <c r="S17" s="32"/>
      <c r="T17" s="32"/>
      <c r="U17" s="32"/>
      <c r="V17" s="32"/>
    </row>
    <row r="18" spans="1:22" s="1" customFormat="1" ht="16.5" x14ac:dyDescent="0.25">
      <c r="A18" s="221"/>
      <c r="B18" s="14"/>
      <c r="C18" s="32"/>
      <c r="D18" s="32"/>
      <c r="E18" s="32"/>
      <c r="F18" s="32"/>
      <c r="G18" s="32"/>
      <c r="H18" s="32"/>
      <c r="I18" s="32"/>
      <c r="J18" s="32"/>
      <c r="K18" s="13"/>
      <c r="L18" s="13"/>
      <c r="M18" s="13"/>
      <c r="N18" s="3"/>
      <c r="O18" s="196">
        <v>272508</v>
      </c>
      <c r="P18" s="13"/>
      <c r="Q18" s="13"/>
      <c r="R18" s="32"/>
      <c r="S18" s="32"/>
      <c r="T18" s="32"/>
      <c r="U18" s="32"/>
      <c r="V18" s="32"/>
    </row>
    <row r="19" spans="1:22" s="1" customFormat="1" ht="16.5" x14ac:dyDescent="0.25">
      <c r="A19" s="221"/>
      <c r="B19" s="14"/>
      <c r="C19" s="32"/>
      <c r="D19" s="32"/>
      <c r="E19" s="32"/>
      <c r="F19" s="32"/>
      <c r="G19" s="32"/>
      <c r="H19" s="32"/>
      <c r="I19" s="32"/>
      <c r="J19" s="32"/>
      <c r="K19" s="13"/>
      <c r="L19" s="13"/>
      <c r="M19" s="13"/>
      <c r="N19" s="3"/>
      <c r="O19" s="196">
        <v>2014810.6666666667</v>
      </c>
      <c r="P19" s="13"/>
      <c r="Q19" s="13"/>
      <c r="R19" s="32"/>
      <c r="S19" s="32"/>
      <c r="T19" s="32"/>
      <c r="U19" s="32"/>
      <c r="V19" s="32"/>
    </row>
    <row r="20" spans="1:22" ht="16.5" x14ac:dyDescent="0.25">
      <c r="A20" s="221"/>
      <c r="B20" s="14"/>
      <c r="C20" s="16"/>
      <c r="D20" s="16"/>
      <c r="E20" s="16"/>
      <c r="F20" s="16"/>
      <c r="G20" s="16"/>
      <c r="H20" s="16"/>
      <c r="I20" s="32"/>
      <c r="J20" s="16"/>
      <c r="K20" s="13"/>
      <c r="L20" s="13"/>
      <c r="M20" s="13"/>
      <c r="N20" s="3"/>
      <c r="O20" s="196">
        <v>223415</v>
      </c>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Atrazine-0,625mg/L</v>
      </c>
      <c r="J22" s="68" t="str">
        <f t="shared" si="0"/>
        <v>Atrazine-1,25mg/L</v>
      </c>
      <c r="K22" s="68" t="str">
        <f t="shared" si="0"/>
        <v>Atrazine-2,5mg/L</v>
      </c>
      <c r="L22" s="68" t="str">
        <f t="shared" si="0"/>
        <v>Atrazine-5mg/L</v>
      </c>
      <c r="M22" s="68" t="str">
        <f t="shared" si="0"/>
        <v>Atrazine-10mg/L</v>
      </c>
      <c r="N22" s="68" t="s">
        <v>47</v>
      </c>
      <c r="O22" s="68" t="str">
        <f t="shared" ref="O22:V22" si="1">O4</f>
        <v>Testo -30µg/L</v>
      </c>
      <c r="P22" s="68" t="str">
        <f t="shared" si="1"/>
        <v>Testo 30µg/L + EE2 -64ng/L</v>
      </c>
      <c r="Q22" s="68" t="str">
        <f t="shared" si="1"/>
        <v>Testo 30µg/L + FAD-10µg/L</v>
      </c>
      <c r="R22" s="68" t="str">
        <f t="shared" si="1"/>
        <v>Atrazine-0,625mg/L + Testostérone</v>
      </c>
      <c r="S22" s="68" t="str">
        <f t="shared" si="1"/>
        <v>Atrazine-1,25mg/L + Testostérone</v>
      </c>
      <c r="T22" s="68" t="str">
        <f t="shared" si="1"/>
        <v>Atrazine-2,5mg/L + Testostérone</v>
      </c>
      <c r="U22" s="68" t="str">
        <f t="shared" si="1"/>
        <v>Atrazine-5mg/L + Testostérone</v>
      </c>
      <c r="V22" s="68" t="str">
        <f t="shared" si="1"/>
        <v>Atrazine-10mg/L + Testostérone</v>
      </c>
    </row>
    <row r="23" spans="1:22" x14ac:dyDescent="0.25">
      <c r="A23" s="5" t="s">
        <v>0</v>
      </c>
      <c r="B23" s="5">
        <f t="shared" ref="B23:M23" si="2">AVERAGE(B5:B20)</f>
        <v>196271.41666666666</v>
      </c>
      <c r="C23" s="5">
        <f t="shared" si="2"/>
        <v>121824.14583333333</v>
      </c>
      <c r="D23" s="5">
        <f t="shared" si="2"/>
        <v>164690.875</v>
      </c>
      <c r="E23" s="5">
        <f t="shared" si="2"/>
        <v>349825.66666666674</v>
      </c>
      <c r="F23" s="5">
        <f t="shared" si="2"/>
        <v>511586.79166666663</v>
      </c>
      <c r="G23" s="5">
        <f t="shared" si="2"/>
        <v>1489904.0208333333</v>
      </c>
      <c r="H23" s="5">
        <f t="shared" si="2"/>
        <v>3977609.583333333</v>
      </c>
      <c r="I23" s="5">
        <f t="shared" si="2"/>
        <v>329121.29166666669</v>
      </c>
      <c r="J23" s="5">
        <f t="shared" si="2"/>
        <v>156868.28571428571</v>
      </c>
      <c r="K23" s="5">
        <f t="shared" si="2"/>
        <v>487115.91666666669</v>
      </c>
      <c r="L23" s="5">
        <f t="shared" si="2"/>
        <v>281115.36111111112</v>
      </c>
      <c r="M23" s="5">
        <f t="shared" si="2"/>
        <v>141528.5</v>
      </c>
      <c r="N23" s="5" t="s">
        <v>0</v>
      </c>
      <c r="O23" s="5">
        <f t="shared" ref="O23:V23" si="3">AVERAGE(O5:O20)</f>
        <v>981332.12499999988</v>
      </c>
      <c r="P23" s="5">
        <f t="shared" si="3"/>
        <v>2371738.5952380951</v>
      </c>
      <c r="Q23" s="5">
        <f t="shared" si="3"/>
        <v>113772.25</v>
      </c>
      <c r="R23" s="5">
        <f t="shared" si="3"/>
        <v>2504777.7619047617</v>
      </c>
      <c r="S23" s="5">
        <f t="shared" si="3"/>
        <v>1832627.1875</v>
      </c>
      <c r="T23" s="5">
        <f t="shared" si="3"/>
        <v>2753261.0952380956</v>
      </c>
      <c r="U23" s="5">
        <f t="shared" si="3"/>
        <v>2046997.3749999998</v>
      </c>
      <c r="V23" s="5">
        <f t="shared" si="3"/>
        <v>2005107.0625000002</v>
      </c>
    </row>
    <row r="24" spans="1:22" x14ac:dyDescent="0.25">
      <c r="A24" s="3" t="s">
        <v>1</v>
      </c>
      <c r="B24" s="3">
        <f t="shared" ref="B24:M24" si="4">STDEV(B5:B20)</f>
        <v>159872.97475806248</v>
      </c>
      <c r="C24" s="3">
        <f t="shared" si="4"/>
        <v>153926.71683493687</v>
      </c>
      <c r="D24" s="3">
        <f t="shared" si="4"/>
        <v>101531.78002797352</v>
      </c>
      <c r="E24" s="3">
        <f t="shared" si="4"/>
        <v>384253.79852623597</v>
      </c>
      <c r="F24" s="3">
        <f t="shared" si="4"/>
        <v>261767.24163477254</v>
      </c>
      <c r="G24" s="3">
        <f t="shared" si="4"/>
        <v>1118444.6728381282</v>
      </c>
      <c r="H24" s="3">
        <f t="shared" si="4"/>
        <v>1253063.4535286715</v>
      </c>
      <c r="I24" s="3">
        <f t="shared" si="4"/>
        <v>205557.91194615859</v>
      </c>
      <c r="J24" s="3">
        <f t="shared" si="4"/>
        <v>126521.23621955774</v>
      </c>
      <c r="K24" s="3">
        <f t="shared" si="4"/>
        <v>390105.816269501</v>
      </c>
      <c r="L24" s="3">
        <f t="shared" si="4"/>
        <v>225750.03384831583</v>
      </c>
      <c r="M24" s="3">
        <f t="shared" si="4"/>
        <v>195700.49888454226</v>
      </c>
      <c r="N24" s="3" t="s">
        <v>1</v>
      </c>
      <c r="O24" s="3">
        <f t="shared" ref="O24:V24" si="5">STDEV(O5:O20)</f>
        <v>664030.11573674972</v>
      </c>
      <c r="P24" s="3">
        <f t="shared" si="5"/>
        <v>1258596.3143717544</v>
      </c>
      <c r="Q24" s="3">
        <f t="shared" si="5"/>
        <v>72051.201040351458</v>
      </c>
      <c r="R24" s="3">
        <f t="shared" si="5"/>
        <v>565082.29918248253</v>
      </c>
      <c r="S24" s="3">
        <f t="shared" si="5"/>
        <v>1719411.1305974522</v>
      </c>
      <c r="T24" s="3">
        <f t="shared" si="5"/>
        <v>1673498.4003600196</v>
      </c>
      <c r="U24" s="3">
        <f t="shared" si="5"/>
        <v>1195088.2296551848</v>
      </c>
      <c r="V24" s="3">
        <f t="shared" si="5"/>
        <v>1661788.4542640643</v>
      </c>
    </row>
    <row r="25" spans="1:22" ht="15.75" thickBot="1" x14ac:dyDescent="0.3"/>
    <row r="26" spans="1:22" ht="15.75" thickBot="1" x14ac:dyDescent="0.3">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Atrazine-0,625mg/L</v>
      </c>
      <c r="J27" s="35" t="str">
        <f t="shared" si="6"/>
        <v>Atrazine-1,25mg/L</v>
      </c>
      <c r="K27" s="35" t="str">
        <f t="shared" si="6"/>
        <v>Atrazine-2,5mg/L</v>
      </c>
      <c r="L27" s="35" t="str">
        <f t="shared" si="6"/>
        <v>Atrazine-5mg/L</v>
      </c>
      <c r="M27" s="35" t="str">
        <f t="shared" si="6"/>
        <v>Atrazine-10mg/L</v>
      </c>
      <c r="N27" s="3"/>
      <c r="O27" s="36" t="str">
        <f t="shared" ref="O27:V27" si="7">O4</f>
        <v>Testo -30µg/L</v>
      </c>
      <c r="P27" s="36" t="str">
        <f t="shared" si="7"/>
        <v>Testo 30µg/L + EE2 -64ng/L</v>
      </c>
      <c r="Q27" s="36" t="str">
        <f t="shared" si="7"/>
        <v>Testo 30µg/L + FAD-10µg/L</v>
      </c>
      <c r="R27" s="36" t="str">
        <f t="shared" si="7"/>
        <v>Atrazine-0,625mg/L + Testostérone</v>
      </c>
      <c r="S27" s="36" t="str">
        <f t="shared" si="7"/>
        <v>Atrazine-1,25mg/L + Testostérone</v>
      </c>
      <c r="T27" s="36" t="str">
        <f t="shared" si="7"/>
        <v>Atrazine-2,5mg/L + Testostérone</v>
      </c>
      <c r="U27" s="36" t="str">
        <f t="shared" si="7"/>
        <v>Atrazine-5mg/L + Testostérone</v>
      </c>
      <c r="V27" s="36" t="str">
        <f t="shared" si="7"/>
        <v>Atrazine-10mg/L + Testostérone</v>
      </c>
    </row>
    <row r="28" spans="1:22" x14ac:dyDescent="0.25">
      <c r="A28" s="222" t="s">
        <v>34</v>
      </c>
      <c r="B28" s="11">
        <f t="shared" ref="B28:M28" si="8">IF(B5="","",(B5/$O$23))</f>
        <v>0.42297368657595585</v>
      </c>
      <c r="C28" s="11">
        <f t="shared" si="8"/>
        <v>2.1424279097490399E-2</v>
      </c>
      <c r="D28" s="11">
        <f t="shared" si="8"/>
        <v>0.2472380761678078</v>
      </c>
      <c r="E28" s="11">
        <f t="shared" si="8"/>
        <v>0.17899784268586272</v>
      </c>
      <c r="F28" s="11">
        <f t="shared" si="8"/>
        <v>0.54891813513187504</v>
      </c>
      <c r="G28" s="11">
        <f t="shared" si="8"/>
        <v>0.42509699082085317</v>
      </c>
      <c r="H28" s="11">
        <f t="shared" si="8"/>
        <v>1.8250613504916426</v>
      </c>
      <c r="I28" s="11">
        <f t="shared" si="8"/>
        <v>0.33659348510576892</v>
      </c>
      <c r="J28" s="11">
        <f t="shared" si="8"/>
        <v>2.1461303599601075E-2</v>
      </c>
      <c r="K28" s="11">
        <f t="shared" si="8"/>
        <v>0.66649368751345694</v>
      </c>
      <c r="L28" s="11" t="str">
        <f t="shared" si="8"/>
        <v/>
      </c>
      <c r="M28" s="11">
        <f t="shared" si="8"/>
        <v>6.5044237698832094E-2</v>
      </c>
      <c r="N28" s="6"/>
      <c r="O28" s="11">
        <f t="shared" ref="O28:V28" si="9">IF(O5="","",(O5/$O$23))</f>
        <v>0.55198913076107303</v>
      </c>
      <c r="P28" s="11">
        <f t="shared" si="9"/>
        <v>3.5047672230914348</v>
      </c>
      <c r="Q28" s="11">
        <f t="shared" si="9"/>
        <v>3.2760570229982029E-2</v>
      </c>
      <c r="R28" s="11">
        <f t="shared" si="9"/>
        <v>1.3683790626270729</v>
      </c>
      <c r="S28" s="11">
        <f t="shared" si="9"/>
        <v>1.859960170637099</v>
      </c>
      <c r="T28" s="11">
        <f t="shared" si="9"/>
        <v>3.8538287942015557</v>
      </c>
      <c r="U28" s="11">
        <f t="shared" si="9"/>
        <v>2.4355332298940078</v>
      </c>
      <c r="V28" s="11">
        <f t="shared" si="9"/>
        <v>0.7464968430879948</v>
      </c>
    </row>
    <row r="29" spans="1:22" x14ac:dyDescent="0.25">
      <c r="A29" s="223"/>
      <c r="B29" s="11">
        <f t="shared" ref="B29:M29" si="10">IF(B6="","",(B6/$O$23))</f>
        <v>0.35745933960261755</v>
      </c>
      <c r="C29" s="11">
        <f t="shared" si="10"/>
        <v>0.12902257734607436</v>
      </c>
      <c r="D29" s="11">
        <f t="shared" si="10"/>
        <v>4.7976961248805891E-2</v>
      </c>
      <c r="E29" s="11">
        <f t="shared" si="10"/>
        <v>0.69851274867823177</v>
      </c>
      <c r="F29" s="11">
        <f t="shared" si="10"/>
        <v>7.9708997603640058E-2</v>
      </c>
      <c r="G29" s="11">
        <f t="shared" si="10"/>
        <v>0.25783999139604918</v>
      </c>
      <c r="H29" s="11">
        <f t="shared" si="10"/>
        <v>4.0327019764078349</v>
      </c>
      <c r="I29" s="11">
        <f t="shared" si="10"/>
        <v>0.57480199852487934</v>
      </c>
      <c r="J29" s="11" t="str">
        <f t="shared" si="10"/>
        <v/>
      </c>
      <c r="K29" s="11">
        <f t="shared" si="10"/>
        <v>0.14484834411523353</v>
      </c>
      <c r="L29" s="11">
        <f t="shared" si="10"/>
        <v>2.675818512174629E-2</v>
      </c>
      <c r="M29" s="11">
        <f t="shared" si="10"/>
        <v>0.3541497227556879</v>
      </c>
      <c r="N29" s="6"/>
      <c r="O29" s="11">
        <f t="shared" ref="O29:V29" si="11">IF(O6="","",(O6/$O$23))</f>
        <v>0.39934526074272086</v>
      </c>
      <c r="P29" s="11">
        <f t="shared" si="11"/>
        <v>1.1387668573470986</v>
      </c>
      <c r="Q29" s="11">
        <f t="shared" si="11"/>
        <v>3.8594476869897643E-2</v>
      </c>
      <c r="R29" s="11">
        <f t="shared" si="11"/>
        <v>3.0893536681070137</v>
      </c>
      <c r="S29" s="11">
        <f t="shared" si="11"/>
        <v>5.2837402016162471</v>
      </c>
      <c r="T29" s="11">
        <f t="shared" si="11"/>
        <v>4.4987884878085156</v>
      </c>
      <c r="U29" s="11">
        <f t="shared" si="11"/>
        <v>0.85346334708037819</v>
      </c>
      <c r="V29" s="11">
        <f t="shared" si="11"/>
        <v>0.84635158560614743</v>
      </c>
    </row>
    <row r="30" spans="1:22" x14ac:dyDescent="0.25">
      <c r="A30" s="223"/>
      <c r="B30" s="11">
        <f t="shared" ref="B30:M30" si="12">IF(B7="","",(B7/$O$23))</f>
        <v>2.1747309386547734E-2</v>
      </c>
      <c r="C30" s="11">
        <f t="shared" si="12"/>
        <v>2.0013611599640643E-2</v>
      </c>
      <c r="D30" s="11">
        <f t="shared" si="12"/>
        <v>0.17395028212288477</v>
      </c>
      <c r="E30" s="11">
        <f t="shared" si="12"/>
        <v>0.23780430096487468</v>
      </c>
      <c r="F30" s="11">
        <f t="shared" si="12"/>
        <v>0.24172040633032371</v>
      </c>
      <c r="G30" s="11">
        <f t="shared" si="12"/>
        <v>3.0630655922597732</v>
      </c>
      <c r="H30" s="11">
        <f t="shared" si="12"/>
        <v>2.7020943597459426</v>
      </c>
      <c r="I30" s="11">
        <f t="shared" si="12"/>
        <v>1.3378752886541855E-2</v>
      </c>
      <c r="J30" s="11">
        <f t="shared" si="12"/>
        <v>0.31428809079291076</v>
      </c>
      <c r="K30" s="11">
        <f t="shared" si="12"/>
        <v>7.9363548808717543E-2</v>
      </c>
      <c r="L30" s="11">
        <f t="shared" si="12"/>
        <v>0.47714426958151407</v>
      </c>
      <c r="M30" s="11">
        <f t="shared" si="12"/>
        <v>2.2401182474282091E-2</v>
      </c>
      <c r="N30" s="6"/>
      <c r="O30" s="11">
        <f t="shared" ref="O30:V30" si="13">IF(O7="","",(O7/$O$23))</f>
        <v>0.22083247300194114</v>
      </c>
      <c r="P30" s="11">
        <f t="shared" si="13"/>
        <v>3.4604641794098678</v>
      </c>
      <c r="Q30" s="11">
        <f t="shared" si="13"/>
        <v>0.13340131915074116</v>
      </c>
      <c r="R30" s="11">
        <f t="shared" si="13"/>
        <v>2.649533153722039</v>
      </c>
      <c r="S30" s="11">
        <f t="shared" si="13"/>
        <v>0.49187526598092368</v>
      </c>
      <c r="T30" s="11" t="str">
        <f t="shared" si="13"/>
        <v/>
      </c>
      <c r="U30" s="11">
        <f t="shared" si="13"/>
        <v>3.4926225070504717</v>
      </c>
      <c r="V30" s="11">
        <f t="shared" si="13"/>
        <v>1.2594067817084185</v>
      </c>
    </row>
    <row r="31" spans="1:22" x14ac:dyDescent="0.25">
      <c r="A31" s="223"/>
      <c r="B31" s="11">
        <f t="shared" ref="B31:M31" si="14">IF(B8="","",(B8/$O$23))</f>
        <v>0.31089304585166144</v>
      </c>
      <c r="C31" s="11">
        <f t="shared" si="14"/>
        <v>0.49491654010613384</v>
      </c>
      <c r="D31" s="11">
        <f t="shared" si="14"/>
        <v>6.3647836522896545E-2</v>
      </c>
      <c r="E31" s="11">
        <f t="shared" si="14"/>
        <v>1.1847888229821615</v>
      </c>
      <c r="F31" s="11">
        <f t="shared" si="14"/>
        <v>0.81134271097735311</v>
      </c>
      <c r="G31" s="11">
        <f t="shared" si="14"/>
        <v>1.2232807182040095</v>
      </c>
      <c r="H31" s="11">
        <f t="shared" si="14"/>
        <v>3.6969308428581207</v>
      </c>
      <c r="I31" s="11">
        <f t="shared" si="14"/>
        <v>0.15157083880580527</v>
      </c>
      <c r="J31" s="11">
        <f t="shared" si="14"/>
        <v>0.29772336251602893</v>
      </c>
      <c r="K31" s="11">
        <f t="shared" si="14"/>
        <v>1.1645034719174885</v>
      </c>
      <c r="L31" s="11">
        <f t="shared" si="14"/>
        <v>0.21115617032646655</v>
      </c>
      <c r="M31" s="11">
        <f t="shared" si="14"/>
        <v>0.54673589739049877</v>
      </c>
      <c r="N31" s="6"/>
      <c r="O31" s="11">
        <f t="shared" ref="O31:V31" si="15">IF(O8="","",(O8/$O$23))</f>
        <v>1.3583280991641848</v>
      </c>
      <c r="P31" s="11">
        <f t="shared" si="15"/>
        <v>0.88033192635979396</v>
      </c>
      <c r="Q31" s="11">
        <f t="shared" si="15"/>
        <v>0.11124266414900054</v>
      </c>
      <c r="R31" s="11">
        <f t="shared" si="15"/>
        <v>3.028130087286538</v>
      </c>
      <c r="S31" s="11">
        <f t="shared" si="15"/>
        <v>2.7603352602633557</v>
      </c>
      <c r="T31" s="11">
        <f t="shared" si="15"/>
        <v>1.981827168520206</v>
      </c>
      <c r="U31" s="11">
        <f t="shared" si="15"/>
        <v>3.5081687218449789</v>
      </c>
      <c r="V31" s="11">
        <f t="shared" si="15"/>
        <v>5.2708607699967027</v>
      </c>
    </row>
    <row r="32" spans="1:22" x14ac:dyDescent="0.25">
      <c r="A32" s="223"/>
      <c r="B32" s="11">
        <f t="shared" ref="B32:M32" si="16">IF(B9="","",(B9/$O$23))</f>
        <v>0.28071128314483745</v>
      </c>
      <c r="C32" s="11">
        <f t="shared" si="16"/>
        <v>9.7085038020809394E-2</v>
      </c>
      <c r="D32" s="11">
        <f t="shared" si="16"/>
        <v>0.16597880491615757</v>
      </c>
      <c r="E32" s="11">
        <f t="shared" si="16"/>
        <v>0.12353445917541254</v>
      </c>
      <c r="F32" s="11">
        <f t="shared" si="16"/>
        <v>0.74311708349165351</v>
      </c>
      <c r="G32" s="11">
        <f t="shared" si="16"/>
        <v>1.8158994845909078</v>
      </c>
      <c r="H32" s="11">
        <f t="shared" si="16"/>
        <v>4.5312110820788636</v>
      </c>
      <c r="I32" s="11">
        <f t="shared" si="16"/>
        <v>0.20346356574572891</v>
      </c>
      <c r="J32" s="11">
        <f t="shared" si="16"/>
        <v>0.14644990858726858</v>
      </c>
      <c r="K32" s="11">
        <f t="shared" si="16"/>
        <v>4.521405023808836E-2</v>
      </c>
      <c r="L32" s="11">
        <f t="shared" si="16"/>
        <v>0.64225588592988681</v>
      </c>
      <c r="M32" s="11">
        <f t="shared" si="16"/>
        <v>1.9653556808472635E-2</v>
      </c>
      <c r="N32" s="6"/>
      <c r="O32" s="11">
        <f t="shared" ref="O32:V32" si="17">IF(O9="","",(O9/$O$23))</f>
        <v>2.1074479074384054</v>
      </c>
      <c r="P32" s="11">
        <f t="shared" si="17"/>
        <v>2.188971784994131</v>
      </c>
      <c r="Q32" s="11">
        <f t="shared" si="17"/>
        <v>0.10147838582172168</v>
      </c>
      <c r="R32" s="11">
        <f t="shared" si="17"/>
        <v>2.7369048645652629</v>
      </c>
      <c r="S32" s="11">
        <f t="shared" si="17"/>
        <v>7.3948970130780139E-2</v>
      </c>
      <c r="T32" s="11">
        <f t="shared" si="17"/>
        <v>4.7210241554730183</v>
      </c>
      <c r="U32" s="11">
        <f t="shared" si="17"/>
        <v>2.4316178038772214</v>
      </c>
      <c r="V32" s="11">
        <f t="shared" si="17"/>
        <v>2.3791338737636867</v>
      </c>
    </row>
    <row r="33" spans="1:22" x14ac:dyDescent="0.25">
      <c r="A33" s="223"/>
      <c r="B33" s="11">
        <f t="shared" ref="B33:M33" si="18">IF(B10="","",(B10/$O$23))</f>
        <v>5.5117934715527638E-2</v>
      </c>
      <c r="C33" s="11">
        <f t="shared" si="18"/>
        <v>1.8676653431680942E-2</v>
      </c>
      <c r="D33" s="11">
        <f t="shared" si="18"/>
        <v>0.25656111753874017</v>
      </c>
      <c r="E33" s="11">
        <f t="shared" si="18"/>
        <v>0.29095348325624215</v>
      </c>
      <c r="F33" s="11">
        <f t="shared" si="18"/>
        <v>0.7802424688787194</v>
      </c>
      <c r="G33" s="11">
        <f t="shared" si="18"/>
        <v>1.0186632787548866</v>
      </c>
      <c r="H33" s="11">
        <f t="shared" si="18"/>
        <v>5.3315255865422051</v>
      </c>
      <c r="I33" s="11">
        <f t="shared" si="18"/>
        <v>0.35987680181841264</v>
      </c>
      <c r="J33" s="11">
        <f t="shared" si="18"/>
        <v>5.3648503558364612E-2</v>
      </c>
      <c r="K33" s="11">
        <f t="shared" si="18"/>
        <v>0.76946392299820687</v>
      </c>
      <c r="L33" s="11" t="str">
        <f t="shared" si="18"/>
        <v/>
      </c>
      <c r="M33" s="11">
        <f t="shared" si="18"/>
        <v>0.12266013744667061</v>
      </c>
      <c r="N33" s="6"/>
      <c r="O33" s="11">
        <f t="shared" ref="O33:V33" si="19">IF(O10="","",(O10/$O$23))</f>
        <v>1.2823959404501646</v>
      </c>
      <c r="P33" s="11" t="str">
        <f t="shared" si="19"/>
        <v/>
      </c>
      <c r="Q33" s="11">
        <f t="shared" si="19"/>
        <v>0.14484868378956481</v>
      </c>
      <c r="R33" s="11">
        <f t="shared" si="19"/>
        <v>2.6055310614979956</v>
      </c>
      <c r="S33" s="11">
        <f t="shared" si="19"/>
        <v>1.4267446236240695</v>
      </c>
      <c r="T33" s="11">
        <f t="shared" si="19"/>
        <v>3.0997280015332902</v>
      </c>
      <c r="U33" s="11">
        <f t="shared" si="19"/>
        <v>1.5795060209610483</v>
      </c>
      <c r="V33" s="11">
        <f t="shared" si="19"/>
        <v>3.7676982533648675</v>
      </c>
    </row>
    <row r="34" spans="1:22" x14ac:dyDescent="0.25">
      <c r="A34" s="223"/>
      <c r="B34" s="11">
        <f t="shared" ref="B34:M34" si="20">IF(B11="","",(B11/$O$23))</f>
        <v>0.14165268800645181</v>
      </c>
      <c r="C34" s="11">
        <f t="shared" si="20"/>
        <v>8.5755880049274869E-2</v>
      </c>
      <c r="D34" s="11">
        <f t="shared" si="20"/>
        <v>6.292059377960342E-2</v>
      </c>
      <c r="E34" s="11">
        <f t="shared" si="20"/>
        <v>8.1082980273710428E-2</v>
      </c>
      <c r="F34" s="11">
        <f t="shared" si="20"/>
        <v>0.38077934114304068</v>
      </c>
      <c r="G34" s="11">
        <f t="shared" si="20"/>
        <v>3.3210964806300076</v>
      </c>
      <c r="H34" s="11">
        <f t="shared" si="20"/>
        <v>5.4794235268037657</v>
      </c>
      <c r="I34" s="11">
        <f t="shared" si="20"/>
        <v>0.41005757012863175</v>
      </c>
      <c r="J34" s="11">
        <f t="shared" si="20"/>
        <v>2.9392189723739047E-2</v>
      </c>
      <c r="K34" s="11">
        <f t="shared" si="20"/>
        <v>0.39344579695686621</v>
      </c>
      <c r="L34" s="11">
        <f t="shared" si="20"/>
        <v>0.23631279097617777</v>
      </c>
      <c r="M34" s="11">
        <f t="shared" si="20"/>
        <v>1.3893699172778365E-2</v>
      </c>
      <c r="N34" s="6"/>
      <c r="O34" s="11">
        <f t="shared" ref="O34:V34" si="21">IF(O11="","",(O11/$O$23))</f>
        <v>1.6426837482094387</v>
      </c>
      <c r="P34" s="11">
        <f t="shared" si="21"/>
        <v>1.6202530140683344</v>
      </c>
      <c r="Q34" s="11">
        <f t="shared" si="21"/>
        <v>9.7202225665104655E-2</v>
      </c>
      <c r="R34" s="11">
        <f t="shared" si="21"/>
        <v>2.3891510396306113</v>
      </c>
      <c r="S34" s="11">
        <f t="shared" si="21"/>
        <v>2.8405364459730356</v>
      </c>
      <c r="T34" s="11">
        <f t="shared" si="21"/>
        <v>0.22564463925333472</v>
      </c>
      <c r="U34" s="11">
        <f t="shared" si="21"/>
        <v>2.3700120894340437</v>
      </c>
      <c r="V34" s="11">
        <f t="shared" si="21"/>
        <v>1.6782364414426292</v>
      </c>
    </row>
    <row r="35" spans="1:22" x14ac:dyDescent="0.25">
      <c r="A35" s="223"/>
      <c r="B35" s="11">
        <f t="shared" ref="B35:M35" si="22">IF(B12="","",(B12/$O$23))</f>
        <v>9.4854057012892911E-3</v>
      </c>
      <c r="C35" s="11">
        <f t="shared" si="22"/>
        <v>0.12623826685248554</v>
      </c>
      <c r="D35" s="11">
        <f t="shared" si="22"/>
        <v>0.32431663574993363</v>
      </c>
      <c r="E35" s="11">
        <f t="shared" si="22"/>
        <v>5.6168547422209385E-2</v>
      </c>
      <c r="F35" s="11">
        <f t="shared" si="22"/>
        <v>0.5847204889985641</v>
      </c>
      <c r="G35" s="11">
        <f t="shared" si="22"/>
        <v>1.0210291104723253</v>
      </c>
      <c r="H35" s="11">
        <f t="shared" si="22"/>
        <v>4.8272562835611517</v>
      </c>
      <c r="I35" s="11">
        <f t="shared" si="22"/>
        <v>0.63331429883299373</v>
      </c>
      <c r="J35" s="11">
        <f t="shared" si="22"/>
        <v>0.25600337228676107</v>
      </c>
      <c r="K35" s="11">
        <f t="shared" si="22"/>
        <v>0.70772573556582596</v>
      </c>
      <c r="L35" s="11">
        <f t="shared" si="22"/>
        <v>0.12515079948085875</v>
      </c>
      <c r="M35" s="11">
        <f t="shared" si="22"/>
        <v>9.2279325581710349E-3</v>
      </c>
      <c r="N35" s="6"/>
      <c r="O35" s="11">
        <f t="shared" ref="O35:V35" si="23">IF(O12="","",(O12/$O$23))</f>
        <v>0.62461557888297348</v>
      </c>
      <c r="P35" s="11">
        <f t="shared" si="23"/>
        <v>4.1244381627338118</v>
      </c>
      <c r="Q35" s="11">
        <f t="shared" si="23"/>
        <v>0.26796398484016482</v>
      </c>
      <c r="R35" s="11" t="str">
        <f t="shared" si="23"/>
        <v/>
      </c>
      <c r="S35" s="11">
        <f t="shared" si="23"/>
        <v>0.20277300783021515</v>
      </c>
      <c r="T35" s="11">
        <f t="shared" si="23"/>
        <v>1.2586133024705237</v>
      </c>
      <c r="U35" s="11">
        <f t="shared" si="23"/>
        <v>1.6575428018317451E-2</v>
      </c>
      <c r="V35" s="11">
        <f t="shared" si="23"/>
        <v>0.39781706592624461</v>
      </c>
    </row>
    <row r="36" spans="1:22" s="1" customFormat="1" x14ac:dyDescent="0.2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1.7787158450560254</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2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0.92552389776634847</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2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1.1034201765958358</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2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0.12828786176749285</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2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1.3179187423422016</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2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0.27769191801399556</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2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2.0531383976313493</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2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0.22766502217585105</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Atrazine-0,625mg/L</v>
      </c>
      <c r="J45" s="70" t="str">
        <f t="shared" si="46"/>
        <v>Atrazine-1,25mg/L</v>
      </c>
      <c r="K45" s="70" t="str">
        <f t="shared" si="46"/>
        <v>Atrazine-2,5mg/L</v>
      </c>
      <c r="L45" s="70" t="str">
        <f t="shared" si="46"/>
        <v>Atrazine-5mg/L</v>
      </c>
      <c r="M45" s="70" t="str">
        <f t="shared" si="46"/>
        <v>Atrazine-10mg/L</v>
      </c>
      <c r="N45" s="70" t="str">
        <f>N22</f>
        <v>Nom des groupes</v>
      </c>
      <c r="O45" s="70" t="str">
        <f t="shared" ref="O45:V45" si="47">O4</f>
        <v>Testo -30µg/L</v>
      </c>
      <c r="P45" s="70" t="str">
        <f t="shared" si="47"/>
        <v>Testo 30µg/L + EE2 -64ng/L</v>
      </c>
      <c r="Q45" s="70" t="str">
        <f t="shared" si="47"/>
        <v>Testo 30µg/L + FAD-10µg/L</v>
      </c>
      <c r="R45" s="70" t="str">
        <f t="shared" si="47"/>
        <v>Atrazine-0,625mg/L + Testostérone</v>
      </c>
      <c r="S45" s="70" t="str">
        <f t="shared" si="47"/>
        <v>Atrazine-1,25mg/L + Testostérone</v>
      </c>
      <c r="T45" s="70" t="str">
        <f t="shared" si="47"/>
        <v>Atrazine-2,5mg/L + Testostérone</v>
      </c>
      <c r="U45" s="70" t="str">
        <f t="shared" si="47"/>
        <v>Atrazine-5mg/L + Testostérone</v>
      </c>
      <c r="V45" s="70" t="str">
        <f t="shared" si="47"/>
        <v>Atrazine-10mg/L + Testostérone</v>
      </c>
    </row>
    <row r="46" spans="1:22" x14ac:dyDescent="0.25">
      <c r="A46" s="8" t="s">
        <v>0</v>
      </c>
      <c r="B46" s="10">
        <f t="shared" ref="B46:H46" si="48">AVERAGE(B28:B43)</f>
        <v>0.20000508662311112</v>
      </c>
      <c r="C46" s="10">
        <f t="shared" si="48"/>
        <v>0.12414160581294875</v>
      </c>
      <c r="D46" s="10">
        <f t="shared" si="48"/>
        <v>0.16782378850585372</v>
      </c>
      <c r="E46" s="10">
        <f t="shared" si="48"/>
        <v>0.35648039817983812</v>
      </c>
      <c r="F46" s="10">
        <f t="shared" si="48"/>
        <v>0.52131870406939618</v>
      </c>
      <c r="G46" s="10">
        <f t="shared" si="48"/>
        <v>1.5182464558911015</v>
      </c>
      <c r="H46" s="10">
        <f t="shared" si="48"/>
        <v>4.0532756260611915</v>
      </c>
      <c r="I46" s="10">
        <f>AVERAGE(I28:I43)</f>
        <v>0.33538216398109533</v>
      </c>
      <c r="J46" s="9">
        <f>AVERAGE(J28:J43)</f>
        <v>0.15985239015209629</v>
      </c>
      <c r="K46" s="9">
        <f>AVERAGE(K28:K43)</f>
        <v>0.49638231976423547</v>
      </c>
      <c r="L46" s="9">
        <f t="shared" ref="L46:M46" si="49">AVERAGE(L28:L43)</f>
        <v>0.28646301690277504</v>
      </c>
      <c r="M46" s="9">
        <f t="shared" si="49"/>
        <v>0.14422079578817418</v>
      </c>
      <c r="N46" s="8" t="s">
        <v>0</v>
      </c>
      <c r="O46" s="10">
        <f>AVERAGE(O28:O43)</f>
        <v>1.0000000000000002</v>
      </c>
      <c r="P46" s="10">
        <f>AVERAGE(P28:P43)</f>
        <v>2.4168561640006385</v>
      </c>
      <c r="Q46" s="10">
        <f>AVERAGE(Q28:Q43)</f>
        <v>0.11593653881452216</v>
      </c>
      <c r="R46" s="10">
        <f>AVERAGE(R28:R43)</f>
        <v>2.5524261339195045</v>
      </c>
      <c r="S46" s="10">
        <f t="shared" ref="S46:V46" si="50">AVERAGE(S28:S43)</f>
        <v>1.8674892432569659</v>
      </c>
      <c r="T46" s="10">
        <f t="shared" si="50"/>
        <v>2.8056363641800632</v>
      </c>
      <c r="U46" s="10">
        <f t="shared" si="50"/>
        <v>2.0859373935200582</v>
      </c>
      <c r="V46" s="10">
        <f t="shared" si="50"/>
        <v>2.0432502018620862</v>
      </c>
    </row>
    <row r="47" spans="1:22" x14ac:dyDescent="0.25">
      <c r="A47" s="8" t="s">
        <v>1</v>
      </c>
      <c r="B47" s="8">
        <f t="shared" ref="B47:K47" si="51">STDEV(B28:B43)</f>
        <v>0.16291423737713917</v>
      </c>
      <c r="C47" s="8">
        <f t="shared" si="51"/>
        <v>0.15685486382598235</v>
      </c>
      <c r="D47" s="8">
        <f t="shared" si="51"/>
        <v>0.10346321845723082</v>
      </c>
      <c r="E47" s="8">
        <f t="shared" si="51"/>
        <v>0.39156345618078714</v>
      </c>
      <c r="F47" s="8">
        <f t="shared" si="51"/>
        <v>0.26674683826820866</v>
      </c>
      <c r="G47" s="8">
        <f t="shared" si="51"/>
        <v>1.1397208389953895</v>
      </c>
      <c r="H47" s="8">
        <f t="shared" si="51"/>
        <v>1.2769004719260251</v>
      </c>
      <c r="I47" s="8">
        <f>STDEV(I28:I43)</f>
        <v>0.20946823884539453</v>
      </c>
      <c r="J47" s="8">
        <f t="shared" si="51"/>
        <v>0.12892804892080525</v>
      </c>
      <c r="K47" s="8">
        <f t="shared" si="51"/>
        <v>0.39752679682171932</v>
      </c>
      <c r="L47" s="8">
        <f t="shared" ref="L47:M47" si="52">STDEV(L28:L43)</f>
        <v>0.23004447535875375</v>
      </c>
      <c r="M47" s="8">
        <f t="shared" si="52"/>
        <v>0.1994233082755161</v>
      </c>
      <c r="N47" s="8" t="s">
        <v>1</v>
      </c>
      <c r="O47" s="8">
        <f>STDEV(O28:O43)</f>
        <v>0.67666195655904937</v>
      </c>
      <c r="P47" s="8">
        <f>STDEV(P28:P43)</f>
        <v>1.2825385843470234</v>
      </c>
      <c r="Q47" s="8">
        <f>STDEV(Q28:Q43)</f>
        <v>7.3421830596192381E-2</v>
      </c>
      <c r="R47" s="8">
        <f>STDEV(R28:R43)</f>
        <v>0.57583185629684885</v>
      </c>
      <c r="S47" s="8">
        <f t="shared" ref="S47:V47" si="53">STDEV(S28:S43)</f>
        <v>1.7521194779977796</v>
      </c>
      <c r="T47" s="8">
        <f t="shared" si="53"/>
        <v>1.705333350174407</v>
      </c>
      <c r="U47" s="8">
        <f t="shared" si="53"/>
        <v>1.2178223857240835</v>
      </c>
      <c r="V47" s="8">
        <f t="shared" si="53"/>
        <v>1.6934006458456301</v>
      </c>
    </row>
    <row r="48" spans="1:22" x14ac:dyDescent="0.25">
      <c r="A48" s="8" t="s">
        <v>2</v>
      </c>
      <c r="B48" s="8">
        <f t="shared" ref="B48:K48" si="54" xml:space="preserve"> B47/SQRT(COUNT(B28:B43))</f>
        <v>5.7598881000605E-2</v>
      </c>
      <c r="C48" s="8">
        <f t="shared" si="54"/>
        <v>5.5456568936722302E-2</v>
      </c>
      <c r="D48" s="8">
        <f t="shared" si="54"/>
        <v>3.6579771687246534E-2</v>
      </c>
      <c r="E48" s="8">
        <f t="shared" si="54"/>
        <v>0.13843858756513805</v>
      </c>
      <c r="F48" s="8">
        <f t="shared" si="54"/>
        <v>9.4309249099760795E-2</v>
      </c>
      <c r="G48" s="8">
        <f t="shared" si="54"/>
        <v>0.40295216695663055</v>
      </c>
      <c r="H48" s="8">
        <f t="shared" si="54"/>
        <v>0.45145249129959752</v>
      </c>
      <c r="I48" s="8">
        <f xml:space="preserve"> I47/SQRT(COUNT(I28:I43))</f>
        <v>7.405820606539093E-2</v>
      </c>
      <c r="J48" s="8">
        <f t="shared" si="54"/>
        <v>4.8730222066460022E-2</v>
      </c>
      <c r="K48" s="8">
        <f t="shared" si="54"/>
        <v>0.14054694686800229</v>
      </c>
      <c r="L48" s="8">
        <f t="shared" ref="L48:M48" si="55" xml:space="preserve"> L47/SQRT(COUNT(L28:L43))</f>
        <v>9.3915263795867482E-2</v>
      </c>
      <c r="M48" s="8">
        <f t="shared" si="55"/>
        <v>7.0506786804136384E-2</v>
      </c>
      <c r="N48" s="8" t="s">
        <v>2</v>
      </c>
      <c r="O48" s="8">
        <f xml:space="preserve"> O47/SQRT(COUNT(O28:O43))</f>
        <v>0.16916548913976234</v>
      </c>
      <c r="P48" s="8">
        <f xml:space="preserve"> P47/SQRT(COUNT(P28:P43))</f>
        <v>0.48475402014672297</v>
      </c>
      <c r="Q48" s="8">
        <f xml:space="preserve"> Q47/SQRT(COUNT(Q28:Q43))</f>
        <v>2.5958537150848782E-2</v>
      </c>
      <c r="R48" s="8">
        <f xml:space="preserve"> R47/SQRT(COUNT(R28:R43))</f>
        <v>0.21764398410716354</v>
      </c>
      <c r="S48" s="8">
        <f t="shared" ref="S48:V48" si="56" xml:space="preserve"> S47/SQRT(COUNT(S28:S43))</f>
        <v>0.61946778217063181</v>
      </c>
      <c r="T48" s="8">
        <f t="shared" si="56"/>
        <v>0.64455542100372964</v>
      </c>
      <c r="U48" s="8">
        <f t="shared" si="56"/>
        <v>0.43056523361313936</v>
      </c>
      <c r="V48" s="8">
        <f t="shared" si="56"/>
        <v>0.59870753997156212</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c r="A51"/>
      <c r="B51"/>
      <c r="C51"/>
      <c r="D51"/>
      <c r="E51"/>
      <c r="F51"/>
      <c r="G51"/>
      <c r="H51"/>
      <c r="I51"/>
      <c r="J51"/>
      <c r="K51"/>
      <c r="L51"/>
      <c r="M51"/>
      <c r="S51"/>
      <c r="T51"/>
      <c r="U51"/>
      <c r="V51"/>
    </row>
    <row r="52" spans="1:22" x14ac:dyDescent="0.2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Atrazine-0,625mg/L</v>
      </c>
      <c r="J52" s="46" t="str">
        <f>J4</f>
        <v>Atrazine-1,25mg/L</v>
      </c>
      <c r="K52" s="46" t="str">
        <f>K27</f>
        <v>Atrazine-2,5mg/L</v>
      </c>
      <c r="L52" s="46" t="str">
        <f t="shared" ref="L52:M52" si="58">L27</f>
        <v>Atrazine-5mg/L</v>
      </c>
      <c r="M52" s="46" t="str">
        <f t="shared" si="58"/>
        <v>Atrazine-10mg/L</v>
      </c>
      <c r="N52" s="47"/>
      <c r="O52" s="46" t="str">
        <f>O27</f>
        <v>Testo -30µg/L</v>
      </c>
      <c r="P52" s="46" t="str">
        <f>P27</f>
        <v>Testo 30µg/L + EE2 -64ng/L</v>
      </c>
      <c r="Q52" s="46" t="str">
        <f>Q27</f>
        <v>Testo 30µg/L + FAD-10µg/L</v>
      </c>
      <c r="R52" s="46" t="str">
        <f>R27</f>
        <v>Atrazine-0,625mg/L + Testostérone</v>
      </c>
      <c r="S52" s="46" t="str">
        <f t="shared" ref="S52:V52" si="59">S27</f>
        <v>Atrazine-1,25mg/L + Testostérone</v>
      </c>
      <c r="T52" s="46" t="str">
        <f t="shared" si="59"/>
        <v>Atrazine-2,5mg/L + Testostérone</v>
      </c>
      <c r="U52" s="46" t="str">
        <f t="shared" si="59"/>
        <v>Atrazine-5mg/L + Testostérone</v>
      </c>
      <c r="V52" s="46" t="str">
        <f t="shared" si="59"/>
        <v>Atrazine-10mg/L + Testostérone</v>
      </c>
    </row>
    <row r="53" spans="1:22" s="3" customFormat="1" x14ac:dyDescent="0.25">
      <c r="A53" s="61" t="s">
        <v>32</v>
      </c>
      <c r="B53" s="141">
        <f t="shared" ref="B53:M53" si="60">B46</f>
        <v>0.20000508662311112</v>
      </c>
      <c r="C53" s="141">
        <f t="shared" si="60"/>
        <v>0.12414160581294875</v>
      </c>
      <c r="D53" s="141">
        <f t="shared" si="60"/>
        <v>0.16782378850585372</v>
      </c>
      <c r="E53" s="141">
        <f t="shared" si="60"/>
        <v>0.35648039817983812</v>
      </c>
      <c r="F53" s="141">
        <f t="shared" si="60"/>
        <v>0.52131870406939618</v>
      </c>
      <c r="G53" s="141">
        <f t="shared" si="60"/>
        <v>1.5182464558911015</v>
      </c>
      <c r="H53" s="141">
        <f t="shared" si="60"/>
        <v>4.0532756260611915</v>
      </c>
      <c r="I53" s="141">
        <f t="shared" si="60"/>
        <v>0.33538216398109533</v>
      </c>
      <c r="J53" s="141">
        <f t="shared" si="60"/>
        <v>0.15985239015209629</v>
      </c>
      <c r="K53" s="141">
        <f t="shared" si="60"/>
        <v>0.49638231976423547</v>
      </c>
      <c r="L53" s="141">
        <f t="shared" si="60"/>
        <v>0.28646301690277504</v>
      </c>
      <c r="M53" s="141">
        <f t="shared" si="60"/>
        <v>0.14422079578817418</v>
      </c>
      <c r="N53" s="141"/>
      <c r="O53" s="141">
        <f t="shared" ref="O53:V53" si="61">O46</f>
        <v>1.0000000000000002</v>
      </c>
      <c r="P53" s="141">
        <f t="shared" si="61"/>
        <v>2.4168561640006385</v>
      </c>
      <c r="Q53" s="141">
        <f t="shared" si="61"/>
        <v>0.11593653881452216</v>
      </c>
      <c r="R53" s="141">
        <f t="shared" si="61"/>
        <v>2.5524261339195045</v>
      </c>
      <c r="S53" s="141">
        <f t="shared" si="61"/>
        <v>1.8674892432569659</v>
      </c>
      <c r="T53" s="141">
        <f t="shared" si="61"/>
        <v>2.8056363641800632</v>
      </c>
      <c r="U53" s="141">
        <f t="shared" si="61"/>
        <v>2.0859373935200582</v>
      </c>
      <c r="V53" s="141">
        <f t="shared" si="61"/>
        <v>2.0432502018620862</v>
      </c>
    </row>
    <row r="54" spans="1:22" s="3" customFormat="1" x14ac:dyDescent="0.25">
      <c r="A54" s="61" t="s">
        <v>2</v>
      </c>
      <c r="B54" s="141">
        <f t="shared" ref="B54:M54" si="62">B48</f>
        <v>5.7598881000605E-2</v>
      </c>
      <c r="C54" s="141">
        <f t="shared" si="62"/>
        <v>5.5456568936722302E-2</v>
      </c>
      <c r="D54" s="141">
        <f t="shared" si="62"/>
        <v>3.6579771687246534E-2</v>
      </c>
      <c r="E54" s="141">
        <f t="shared" si="62"/>
        <v>0.13843858756513805</v>
      </c>
      <c r="F54" s="141">
        <f t="shared" si="62"/>
        <v>9.4309249099760795E-2</v>
      </c>
      <c r="G54" s="141">
        <f t="shared" si="62"/>
        <v>0.40295216695663055</v>
      </c>
      <c r="H54" s="141">
        <f t="shared" si="62"/>
        <v>0.45145249129959752</v>
      </c>
      <c r="I54" s="141">
        <f t="shared" si="62"/>
        <v>7.405820606539093E-2</v>
      </c>
      <c r="J54" s="141">
        <f t="shared" si="62"/>
        <v>4.8730222066460022E-2</v>
      </c>
      <c r="K54" s="141">
        <f t="shared" si="62"/>
        <v>0.14054694686800229</v>
      </c>
      <c r="L54" s="141">
        <f t="shared" si="62"/>
        <v>9.3915263795867482E-2</v>
      </c>
      <c r="M54" s="141">
        <f t="shared" si="62"/>
        <v>7.0506786804136384E-2</v>
      </c>
      <c r="N54" s="141"/>
      <c r="O54" s="141">
        <f t="shared" ref="O54:V54" si="63">O48</f>
        <v>0.16916548913976234</v>
      </c>
      <c r="P54" s="141">
        <f t="shared" si="63"/>
        <v>0.48475402014672297</v>
      </c>
      <c r="Q54" s="141">
        <f t="shared" si="63"/>
        <v>2.5958537150848782E-2</v>
      </c>
      <c r="R54" s="141">
        <f t="shared" si="63"/>
        <v>0.21764398410716354</v>
      </c>
      <c r="S54" s="141">
        <f t="shared" si="63"/>
        <v>0.61946778217063181</v>
      </c>
      <c r="T54" s="141">
        <f t="shared" si="63"/>
        <v>0.64455542100372964</v>
      </c>
      <c r="U54" s="141">
        <f t="shared" si="63"/>
        <v>0.43056523361313936</v>
      </c>
      <c r="V54" s="141">
        <f t="shared" si="63"/>
        <v>0.59870753997156212</v>
      </c>
    </row>
    <row r="55" spans="1:22" s="3" customFormat="1" x14ac:dyDescent="0.25">
      <c r="A55" s="61" t="s">
        <v>79</v>
      </c>
      <c r="B55" s="141">
        <f t="shared" ref="B55:M55" si="64">(B53*100/$B$53)-100</f>
        <v>0</v>
      </c>
      <c r="C55" s="141">
        <f t="shared" si="64"/>
        <v>-37.930775707279501</v>
      </c>
      <c r="D55" s="141">
        <f t="shared" si="64"/>
        <v>-16.090239833699698</v>
      </c>
      <c r="E55" s="141">
        <f t="shared" si="64"/>
        <v>78.235666001629539</v>
      </c>
      <c r="F55" s="141">
        <f t="shared" si="64"/>
        <v>160.65272282387866</v>
      </c>
      <c r="G55" s="141">
        <f t="shared" si="64"/>
        <v>659.10392156779483</v>
      </c>
      <c r="H55" s="141">
        <f t="shared" si="64"/>
        <v>1926.5862706277915</v>
      </c>
      <c r="I55" s="141">
        <f t="shared" si="64"/>
        <v>67.686817192348855</v>
      </c>
      <c r="J55" s="141">
        <f t="shared" si="64"/>
        <v>-20.075837644408722</v>
      </c>
      <c r="K55" s="141">
        <f t="shared" si="64"/>
        <v>148.18484776820532</v>
      </c>
      <c r="L55" s="141">
        <f t="shared" si="64"/>
        <v>43.227865720527859</v>
      </c>
      <c r="M55" s="141">
        <f t="shared" si="64"/>
        <v>-27.891436051352372</v>
      </c>
      <c r="N55" s="141"/>
      <c r="O55" s="141">
        <f>(O53*100/$O$53)-100</f>
        <v>0</v>
      </c>
      <c r="P55" s="141">
        <f t="shared" ref="P55:V55" si="65">(P53*100/$O$53)-100</f>
        <v>141.68561640006379</v>
      </c>
      <c r="Q55" s="141">
        <f t="shared" si="65"/>
        <v>-88.406346118547788</v>
      </c>
      <c r="R55" s="141">
        <f t="shared" si="65"/>
        <v>155.24261339195039</v>
      </c>
      <c r="S55" s="141">
        <f t="shared" si="65"/>
        <v>86.748924325696549</v>
      </c>
      <c r="T55" s="141">
        <f t="shared" si="65"/>
        <v>180.56363641800624</v>
      </c>
      <c r="U55" s="141">
        <f t="shared" si="65"/>
        <v>108.59373935200577</v>
      </c>
      <c r="V55" s="141">
        <f t="shared" si="65"/>
        <v>104.32502018620855</v>
      </c>
    </row>
    <row r="56" spans="1:22" s="3" customFormat="1" x14ac:dyDescent="0.25">
      <c r="A56" s="61" t="s">
        <v>81</v>
      </c>
      <c r="B56" s="141">
        <f>[1]!SWTEST(B28:B43)</f>
        <v>0.29171368802322162</v>
      </c>
      <c r="C56" s="141">
        <f>[1]!SWTEST(C28:C43)</f>
        <v>1.2557593788725674E-3</v>
      </c>
      <c r="D56" s="141">
        <f>[1]!SWTEST(D28:D43)</f>
        <v>0.35018829662173989</v>
      </c>
      <c r="E56" s="141">
        <f>[1]!SWTEST(E28:E43)</f>
        <v>1.4603210128687705E-2</v>
      </c>
      <c r="F56" s="141">
        <f>[1]!SWTEST(F28:F43)</f>
        <v>0.46530484677345252</v>
      </c>
      <c r="G56" s="141">
        <f>[1]!SWTEST(G28:G43)</f>
        <v>0.21628146169854046</v>
      </c>
      <c r="H56" s="141">
        <f>[1]!SWTEST(H28:H43)</f>
        <v>0.57457001472852698</v>
      </c>
      <c r="I56" s="141">
        <f>[1]!SWTEST(I28:I43)</f>
        <v>0.91511966876803275</v>
      </c>
      <c r="J56" s="141">
        <f>[1]!SWTEST(J28:J43)</f>
        <v>0.14181155034762494</v>
      </c>
      <c r="K56" s="141">
        <f>[1]!SWTEST(K28:K43)</f>
        <v>0.44027098528609643</v>
      </c>
      <c r="L56" s="141">
        <f>[1]!SWTEST(L28:L43)</f>
        <v>0.60087824450727578</v>
      </c>
      <c r="M56" s="141">
        <f>[1]!SWTEST(M28:M43)</f>
        <v>6.0269126729083355E-3</v>
      </c>
      <c r="N56" s="141"/>
      <c r="O56" s="141">
        <f>[1]!SWTEST(O28:O43)</f>
        <v>0.18719400587208757</v>
      </c>
      <c r="P56" s="141">
        <f>[1]!SWTEST(P28:P43)</f>
        <v>0.40099839285000249</v>
      </c>
      <c r="Q56" s="141">
        <f>[1]!SWTEST(Q28:Q43)</f>
        <v>0.21303411024945296</v>
      </c>
      <c r="R56" s="141">
        <f>[1]!SWTEST(R28:R43)</f>
        <v>7.8882776058677773E-2</v>
      </c>
      <c r="S56" s="141">
        <f>[1]!SWTEST(S28:S43)</f>
        <v>0.31564640709566716</v>
      </c>
      <c r="T56" s="141">
        <f>[1]!SWTEST(T28:T43)</f>
        <v>0.62700023798672022</v>
      </c>
      <c r="U56" s="141">
        <f>[1]!SWTEST(U28:U43)</f>
        <v>0.48160831883314692</v>
      </c>
      <c r="V56" s="141">
        <f>[1]!SWTEST(V28:V43)</f>
        <v>0.17694757907264769</v>
      </c>
    </row>
    <row r="57" spans="1:22" s="3" customFormat="1" x14ac:dyDescent="0.25">
      <c r="A57" s="61" t="s">
        <v>85</v>
      </c>
      <c r="B57" s="141" t="str">
        <f t="shared" ref="B57:M57" si="66">IF(B56&gt;0.05,"Oui","Non")</f>
        <v>Oui</v>
      </c>
      <c r="C57" s="141" t="str">
        <f t="shared" si="66"/>
        <v>Non</v>
      </c>
      <c r="D57" s="141" t="str">
        <f t="shared" si="66"/>
        <v>Oui</v>
      </c>
      <c r="E57" s="141" t="str">
        <f t="shared" si="66"/>
        <v>Non</v>
      </c>
      <c r="F57" s="141" t="str">
        <f t="shared" si="66"/>
        <v>Oui</v>
      </c>
      <c r="G57" s="141" t="str">
        <f t="shared" si="66"/>
        <v>Oui</v>
      </c>
      <c r="H57" s="141" t="str">
        <f t="shared" si="66"/>
        <v>Oui</v>
      </c>
      <c r="I57" s="141" t="str">
        <f t="shared" si="66"/>
        <v>Oui</v>
      </c>
      <c r="J57" s="141" t="str">
        <f t="shared" si="66"/>
        <v>Oui</v>
      </c>
      <c r="K57" s="141" t="str">
        <f t="shared" si="66"/>
        <v>Oui</v>
      </c>
      <c r="L57" s="141" t="str">
        <f t="shared" si="66"/>
        <v>Oui</v>
      </c>
      <c r="M57" s="141" t="str">
        <f t="shared" si="66"/>
        <v>Non</v>
      </c>
      <c r="N57" s="141"/>
      <c r="O57" s="141" t="str">
        <f t="shared" ref="O57:V57" si="67">IF(O56&gt;0.05,"Oui","Non")</f>
        <v>Oui</v>
      </c>
      <c r="P57" s="141" t="str">
        <f t="shared" si="67"/>
        <v>Oui</v>
      </c>
      <c r="Q57" s="141" t="str">
        <f t="shared" si="67"/>
        <v>Oui</v>
      </c>
      <c r="R57" s="141" t="str">
        <f t="shared" si="67"/>
        <v>Oui</v>
      </c>
      <c r="S57" s="141" t="str">
        <f t="shared" si="67"/>
        <v>Oui</v>
      </c>
      <c r="T57" s="141" t="str">
        <f t="shared" si="67"/>
        <v>Oui</v>
      </c>
      <c r="U57" s="141" t="str">
        <f t="shared" si="67"/>
        <v>Oui</v>
      </c>
      <c r="V57" s="141" t="str">
        <f t="shared" si="67"/>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1667</v>
      </c>
      <c r="D59" s="150" t="s">
        <v>1667</v>
      </c>
      <c r="E59" s="150" t="s">
        <v>1667</v>
      </c>
      <c r="F59" s="150" t="s">
        <v>1667</v>
      </c>
      <c r="G59" s="150" t="s">
        <v>1667</v>
      </c>
      <c r="H59" s="150" t="s">
        <v>1667</v>
      </c>
      <c r="I59" s="150" t="s">
        <v>1667</v>
      </c>
      <c r="J59" s="150" t="s">
        <v>1667</v>
      </c>
      <c r="K59" s="150" t="s">
        <v>1667</v>
      </c>
      <c r="L59" s="150" t="s">
        <v>1667</v>
      </c>
      <c r="M59" s="150" t="s">
        <v>1667</v>
      </c>
      <c r="N59" s="150"/>
      <c r="O59" s="150" t="str">
        <f>IF($B57="Non",IF(O$57="Non","Mann Withney",IF(O$57="Oui","Mann Withney","")),IF($B$57="Oui",IF(O$57="Oui","T-Test Welch",IF(O$57="Non","Mann Withney",""))))</f>
        <v>T-Test Welch</v>
      </c>
      <c r="P59" s="150" t="str">
        <f>IF($O57="Non",IF(P$57="Non","Mann Withney",IF(P$57="Oui","Mann Withney","")),IF($O$57="Oui",IF(P$57="Oui","T-Test Welch",IF(P$57="Non","Mann Withney",""))))</f>
        <v>T-Test Welch</v>
      </c>
      <c r="Q59" s="150" t="str">
        <f t="shared" ref="Q59" si="68">IF($O57="Non",IF(Q$57="Non","Mann Withney",IF(Q$57="Oui","Mann Withney","")),IF($O$57="Oui",IF(Q$57="Oui","T-Test Welch",IF(Q$57="Non","Mann Withney",""))))</f>
        <v>T-Test Welch</v>
      </c>
      <c r="R59" s="150" t="s">
        <v>2987</v>
      </c>
      <c r="S59" s="150" t="s">
        <v>2987</v>
      </c>
      <c r="T59" s="150" t="s">
        <v>2987</v>
      </c>
      <c r="U59" s="150" t="s">
        <v>2987</v>
      </c>
      <c r="V59" s="150" t="s">
        <v>2987</v>
      </c>
    </row>
    <row r="60" spans="1:22" s="3" customFormat="1" ht="15.75" x14ac:dyDescent="0.25">
      <c r="A60" s="61" t="s">
        <v>83</v>
      </c>
      <c r="B60" s="151"/>
      <c r="C60" s="197">
        <v>0.99990000000000001</v>
      </c>
      <c r="D60" s="197">
        <v>0.99990000000000001</v>
      </c>
      <c r="E60" s="197">
        <v>0.99990000000000001</v>
      </c>
      <c r="F60" s="197">
        <v>0.58699999999999997</v>
      </c>
      <c r="G60" s="197">
        <v>2.8799999999999999E-2</v>
      </c>
      <c r="H60" s="197">
        <v>2.9999999999999997E-4</v>
      </c>
      <c r="I60" s="197">
        <v>0.99990000000000001</v>
      </c>
      <c r="J60" s="197">
        <v>0.99990000000000001</v>
      </c>
      <c r="K60" s="197">
        <v>0.41620000000000001</v>
      </c>
      <c r="L60" s="197">
        <v>0.99990000000000001</v>
      </c>
      <c r="M60" s="197">
        <v>0.99990000000000001</v>
      </c>
      <c r="N60" s="151"/>
      <c r="O60" s="197">
        <v>2.9999999999999997E-4</v>
      </c>
      <c r="P60" s="197">
        <v>2.6200000000000001E-2</v>
      </c>
      <c r="Q60" s="197">
        <v>1E-4</v>
      </c>
      <c r="R60" s="197">
        <v>4.1000000000000002E-2</v>
      </c>
      <c r="S60" s="197">
        <v>0.38819999999999999</v>
      </c>
      <c r="T60" s="197">
        <v>1.3299999999999999E-2</v>
      </c>
      <c r="U60" s="197">
        <v>0.19650000000000001</v>
      </c>
      <c r="V60" s="197">
        <v>0.22689999999999999</v>
      </c>
    </row>
    <row r="61" spans="1:22" s="3" customFormat="1" ht="15.75" thickBot="1" x14ac:dyDescent="0.3">
      <c r="A61" s="62" t="s">
        <v>84</v>
      </c>
      <c r="B61" s="142"/>
      <c r="C61" s="142" t="str">
        <f t="shared" ref="C61:M61" si="69">IF(C60&gt;0.05,"NS",IF(C60&gt;0.01,"*",IF(C60&gt;0.001,"**","***")))</f>
        <v>NS</v>
      </c>
      <c r="D61" s="142" t="str">
        <f t="shared" si="69"/>
        <v>NS</v>
      </c>
      <c r="E61" s="142" t="str">
        <f t="shared" si="69"/>
        <v>NS</v>
      </c>
      <c r="F61" s="142" t="str">
        <f t="shared" si="69"/>
        <v>NS</v>
      </c>
      <c r="G61" s="142" t="str">
        <f t="shared" si="69"/>
        <v>*</v>
      </c>
      <c r="H61" s="142" t="str">
        <f t="shared" si="69"/>
        <v>***</v>
      </c>
      <c r="I61" s="142" t="str">
        <f t="shared" si="69"/>
        <v>NS</v>
      </c>
      <c r="J61" s="142" t="str">
        <f t="shared" si="69"/>
        <v>NS</v>
      </c>
      <c r="K61" s="142" t="str">
        <f t="shared" si="69"/>
        <v>NS</v>
      </c>
      <c r="L61" s="142" t="str">
        <f t="shared" si="69"/>
        <v>NS</v>
      </c>
      <c r="M61" s="142" t="str">
        <f t="shared" si="69"/>
        <v>NS</v>
      </c>
      <c r="N61" s="142"/>
      <c r="O61" s="142" t="str">
        <f>IF(O60&gt;0.05,"NS",IF(O60&gt;0.01,"*",IF(O60&gt;0.001,"**","***")))</f>
        <v>***</v>
      </c>
      <c r="P61" s="142" t="str">
        <f>IF(P60&gt;0.05,"NS",IF(P60&gt;0.01,"*",IF(P60&gt;0.001,"**","***")))</f>
        <v>*</v>
      </c>
      <c r="Q61" s="142" t="str">
        <f t="shared" ref="Q61" si="70">IF(Q60&gt;0.05,"NS",IF(Q60&gt;0.01,"*",IF(Q60&gt;0.001,"**","***")))</f>
        <v>***</v>
      </c>
      <c r="R61" s="142" t="str">
        <f t="shared" ref="R61" si="71">IF(R60&gt;0.05,"NS",IF(R60&gt;0.01,"*",IF(R60&gt;0.001,"**","***")))</f>
        <v>*</v>
      </c>
      <c r="S61" s="142" t="str">
        <f t="shared" ref="S61" si="72">IF(S60&gt;0.05,"NS",IF(S60&gt;0.01,"*",IF(S60&gt;0.001,"**","***")))</f>
        <v>NS</v>
      </c>
      <c r="T61" s="142" t="str">
        <f t="shared" ref="T61" si="73">IF(T60&gt;0.05,"NS",IF(T60&gt;0.01,"*",IF(T60&gt;0.001,"**","***")))</f>
        <v>*</v>
      </c>
      <c r="U61" s="142" t="str">
        <f t="shared" ref="U61" si="74">IF(U60&gt;0.05,"NS",IF(U60&gt;0.01,"*",IF(U60&gt;0.001,"**","***")))</f>
        <v>NS</v>
      </c>
      <c r="V61" s="142" t="str">
        <f t="shared" ref="V61" si="75">IF(V60&gt;0.05,"NS",IF(V60&gt;0.01,"*",IF(V60&gt;0.001,"**","***")))</f>
        <v>NS</v>
      </c>
    </row>
    <row r="63" spans="1:22" x14ac:dyDescent="0.25">
      <c r="A63" s="2" t="s">
        <v>39</v>
      </c>
    </row>
    <row r="64" spans="1:22" x14ac:dyDescent="0.25">
      <c r="A64" s="1" t="s">
        <v>23</v>
      </c>
      <c r="B64" s="1">
        <f>B46+(3*B47)</f>
        <v>0.68874779875452863</v>
      </c>
    </row>
    <row r="65" spans="1:22" x14ac:dyDescent="0.25">
      <c r="A65" s="1" t="s">
        <v>24</v>
      </c>
      <c r="B65" s="1">
        <f>B46+(10*B47)</f>
        <v>1.8291474603945028</v>
      </c>
    </row>
    <row r="66" spans="1:22" ht="15.75" thickBot="1" x14ac:dyDescent="0.3"/>
    <row r="67" spans="1:22" s="1" customFormat="1" ht="27" thickBot="1" x14ac:dyDescent="0.4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J68" s="197"/>
      <c r="N68" s="12"/>
      <c r="O68" s="12"/>
      <c r="P68" s="12"/>
      <c r="Q68" s="12"/>
      <c r="R68" s="12"/>
      <c r="S68" s="12"/>
      <c r="T68" s="12"/>
      <c r="U68" s="12"/>
      <c r="V68" s="12"/>
    </row>
    <row r="69" spans="1:22" ht="16.5" x14ac:dyDescent="0.25">
      <c r="A69" s="12"/>
      <c r="B69" s="12"/>
      <c r="C69" s="197"/>
      <c r="D69" s="12"/>
      <c r="E69" s="12"/>
      <c r="F69" s="12"/>
      <c r="J69" s="197"/>
      <c r="N69" s="12"/>
      <c r="O69" s="12"/>
      <c r="P69" s="12"/>
      <c r="Q69" s="12"/>
      <c r="R69" s="197"/>
      <c r="S69" s="12"/>
      <c r="T69" s="12"/>
      <c r="U69" s="12"/>
      <c r="V69" s="12"/>
    </row>
    <row r="70" spans="1:22" ht="16.5" x14ac:dyDescent="0.25">
      <c r="A70" s="12"/>
      <c r="B70" s="12"/>
      <c r="C70" s="197"/>
      <c r="D70" s="12"/>
      <c r="E70" s="12"/>
      <c r="F70" s="12"/>
      <c r="J70" s="197"/>
      <c r="N70" s="12"/>
      <c r="O70" s="12"/>
      <c r="P70" s="12"/>
      <c r="Q70" s="12"/>
      <c r="R70" s="197"/>
      <c r="S70" s="12"/>
      <c r="T70" s="12"/>
      <c r="U70" s="12"/>
      <c r="V70" s="12"/>
    </row>
    <row r="71" spans="1:22" ht="16.5" x14ac:dyDescent="0.25">
      <c r="A71" s="12"/>
      <c r="B71" s="12"/>
      <c r="C71" s="197"/>
      <c r="D71" s="12"/>
      <c r="E71" s="12"/>
      <c r="F71" s="12"/>
      <c r="J71" s="197"/>
      <c r="N71" s="12"/>
      <c r="O71" s="12"/>
      <c r="P71" s="12"/>
      <c r="Q71" s="12"/>
      <c r="R71" s="197"/>
      <c r="S71" s="12"/>
      <c r="T71" s="12"/>
      <c r="U71" s="12"/>
      <c r="V71" s="12"/>
    </row>
    <row r="72" spans="1:22" ht="16.5" x14ac:dyDescent="0.25">
      <c r="A72" s="12"/>
      <c r="B72" s="12"/>
      <c r="C72" s="197"/>
      <c r="D72" s="12"/>
      <c r="E72" s="12"/>
      <c r="F72" s="12"/>
      <c r="J72" s="197"/>
      <c r="N72" s="12"/>
      <c r="O72" s="12"/>
      <c r="P72" s="12"/>
      <c r="Q72" s="12"/>
      <c r="R72" s="197"/>
      <c r="S72" s="12"/>
      <c r="T72" s="12"/>
      <c r="U72" s="12"/>
      <c r="V72" s="12"/>
    </row>
    <row r="73" spans="1:22" ht="16.5" x14ac:dyDescent="0.25">
      <c r="A73" s="12"/>
      <c r="B73" s="12"/>
      <c r="C73" s="197"/>
      <c r="D73" s="12"/>
      <c r="E73" s="12"/>
      <c r="F73" s="12"/>
      <c r="N73" s="12"/>
      <c r="O73" s="12"/>
      <c r="P73" s="12"/>
      <c r="Q73" s="12"/>
      <c r="R73" s="197"/>
      <c r="S73" s="12"/>
      <c r="T73" s="12"/>
      <c r="U73" s="12"/>
      <c r="V73" s="12"/>
    </row>
    <row r="74" spans="1:22" ht="16.5" x14ac:dyDescent="0.25">
      <c r="A74" s="12"/>
      <c r="B74" s="12"/>
      <c r="C74" s="197"/>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S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1633</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172</v>
      </c>
      <c r="D2" s="1" t="s">
        <v>173</v>
      </c>
      <c r="E2" s="1" t="s">
        <v>174</v>
      </c>
      <c r="F2" s="1" t="s">
        <v>112</v>
      </c>
      <c r="G2" s="1">
        <v>19402</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175</v>
      </c>
      <c r="D3" s="1" t="s">
        <v>176</v>
      </c>
      <c r="E3" s="1" t="s">
        <v>177</v>
      </c>
      <c r="F3" s="1" t="s">
        <v>112</v>
      </c>
      <c r="G3" s="1">
        <v>21024</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178</v>
      </c>
      <c r="D4" s="1" t="s">
        <v>179</v>
      </c>
      <c r="E4" s="1" t="s">
        <v>180</v>
      </c>
      <c r="F4" s="1" t="s">
        <v>112</v>
      </c>
      <c r="G4" s="1">
        <v>9647</v>
      </c>
      <c r="K4" s="118" t="s">
        <v>100</v>
      </c>
      <c r="L4" s="1" t="s">
        <v>1634</v>
      </c>
      <c r="M4" s="1" t="s">
        <v>1635</v>
      </c>
      <c r="N4" s="1" t="s">
        <v>1636</v>
      </c>
      <c r="O4" s="1" t="s">
        <v>1637</v>
      </c>
      <c r="P4" s="1" t="s">
        <v>1638</v>
      </c>
      <c r="Q4" s="1" t="s">
        <v>1639</v>
      </c>
      <c r="R4" s="1" t="s">
        <v>1640</v>
      </c>
      <c r="S4" s="1" t="s">
        <v>1641</v>
      </c>
      <c r="T4" s="1" t="s">
        <v>1642</v>
      </c>
      <c r="U4" s="1" t="s">
        <v>1643</v>
      </c>
      <c r="V4" s="1" t="s">
        <v>1644</v>
      </c>
      <c r="W4" s="1" t="s">
        <v>1645</v>
      </c>
      <c r="X4" s="1" t="s">
        <v>1646</v>
      </c>
      <c r="Y4" s="1" t="s">
        <v>1647</v>
      </c>
      <c r="Z4" s="1" t="s">
        <v>1648</v>
      </c>
      <c r="AA4" s="1" t="s">
        <v>1649</v>
      </c>
      <c r="AB4" s="1" t="s">
        <v>1650</v>
      </c>
      <c r="AC4" s="1" t="s">
        <v>1651</v>
      </c>
      <c r="AD4" s="1" t="s">
        <v>1652</v>
      </c>
      <c r="AE4" s="1" t="s">
        <v>1653</v>
      </c>
      <c r="AF4" s="1" t="s">
        <v>1654</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181</v>
      </c>
      <c r="D5" s="1" t="s">
        <v>182</v>
      </c>
      <c r="E5" s="1" t="s">
        <v>183</v>
      </c>
      <c r="F5" s="1" t="s">
        <v>112</v>
      </c>
      <c r="G5" s="1">
        <v>26107</v>
      </c>
      <c r="K5" s="145" t="s">
        <v>164</v>
      </c>
      <c r="L5" s="44">
        <v>16691</v>
      </c>
      <c r="M5" s="44">
        <v>245275.66666666666</v>
      </c>
      <c r="N5" s="44">
        <v>103355</v>
      </c>
      <c r="O5" s="44">
        <v>589869</v>
      </c>
      <c r="P5" s="44">
        <v>570661.66666666663</v>
      </c>
      <c r="Q5" s="44">
        <v>1015127.3333333334</v>
      </c>
      <c r="R5" s="44">
        <v>3934376.6666666665</v>
      </c>
      <c r="S5" s="44">
        <v>272529.66666666669</v>
      </c>
      <c r="T5" s="44">
        <v>17923.666666666668</v>
      </c>
      <c r="U5" s="44">
        <v>69295</v>
      </c>
      <c r="V5" s="44">
        <v>27621.333333333332</v>
      </c>
      <c r="W5" s="44">
        <v>133398.66666666666</v>
      </c>
      <c r="X5" s="44">
        <v>59489.333333333336</v>
      </c>
      <c r="Y5" s="44">
        <v>91775.666666666672</v>
      </c>
      <c r="Z5" s="44">
        <v>2457372.3333333335</v>
      </c>
      <c r="AA5" s="44">
        <v>179665.33333333334</v>
      </c>
      <c r="AB5" s="44">
        <v>3219660.3333333335</v>
      </c>
      <c r="AC5" s="44">
        <v>2972733.3333333335</v>
      </c>
      <c r="AD5" s="44">
        <v>4573187</v>
      </c>
      <c r="AE5" s="44">
        <v>1546054.3333333333</v>
      </c>
      <c r="AF5" s="44">
        <v>3468433</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184</v>
      </c>
      <c r="D6" s="1" t="s">
        <v>179</v>
      </c>
      <c r="E6" s="1">
        <v>64</v>
      </c>
      <c r="F6" s="1" t="s">
        <v>112</v>
      </c>
      <c r="G6" s="1">
        <v>9690</v>
      </c>
      <c r="K6" s="145" t="s">
        <v>1655</v>
      </c>
      <c r="L6" s="44">
        <v>15559</v>
      </c>
      <c r="M6" s="44">
        <v>36078.666666666664</v>
      </c>
      <c r="N6" s="44">
        <v>32502.333333333332</v>
      </c>
      <c r="O6" s="44">
        <v>269818.33333333331</v>
      </c>
      <c r="P6" s="44">
        <v>842051.66666666663</v>
      </c>
      <c r="Q6" s="44">
        <v>1629718.6666666667</v>
      </c>
      <c r="R6" s="44">
        <v>4079686.3333333335</v>
      </c>
      <c r="S6" s="44">
        <v>107515</v>
      </c>
      <c r="T6" s="44">
        <v>349936</v>
      </c>
      <c r="U6" s="44">
        <v>153752.66666666666</v>
      </c>
      <c r="V6" s="44">
        <v>12405</v>
      </c>
      <c r="W6" s="44">
        <v>801113.66666666663</v>
      </c>
      <c r="X6" s="44">
        <v>1995646.3333333333</v>
      </c>
      <c r="Y6" s="44">
        <v>1104783</v>
      </c>
      <c r="Z6" s="44">
        <v>1627945.3333333333</v>
      </c>
      <c r="AA6" s="44">
        <v>26554</v>
      </c>
      <c r="AB6" s="44">
        <v>220647</v>
      </c>
      <c r="AC6" s="44">
        <v>767241</v>
      </c>
      <c r="AD6" s="44">
        <v>1703008</v>
      </c>
      <c r="AE6" s="44">
        <v>1531079.3333333333</v>
      </c>
      <c r="AF6" s="44">
        <v>2714465.3333333335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185</v>
      </c>
      <c r="D7" s="1" t="s">
        <v>186</v>
      </c>
      <c r="E7" s="1" t="s">
        <v>187</v>
      </c>
      <c r="F7" s="1" t="s">
        <v>112</v>
      </c>
      <c r="G7" s="1">
        <v>10880</v>
      </c>
      <c r="K7" s="145" t="s">
        <v>1656</v>
      </c>
      <c r="L7" s="44">
        <v>325299.33333333331</v>
      </c>
      <c r="M7" s="44">
        <v>167386.66666666666</v>
      </c>
      <c r="N7" s="44">
        <v>57088.666666666664</v>
      </c>
      <c r="O7" s="44">
        <v>251974</v>
      </c>
      <c r="P7" s="44">
        <v>717067</v>
      </c>
      <c r="Q7" s="44">
        <v>1382633.3333333333</v>
      </c>
      <c r="R7" s="44">
        <v>4079376.3333333335</v>
      </c>
      <c r="S7" s="44">
        <v>66425.333333333328</v>
      </c>
      <c r="T7" s="44">
        <v>328363.33333333331</v>
      </c>
      <c r="U7" s="44">
        <v>178230.33333333334</v>
      </c>
      <c r="V7" s="44">
        <v>31753</v>
      </c>
      <c r="W7" s="44">
        <v>649643</v>
      </c>
      <c r="X7" s="44">
        <v>2402209</v>
      </c>
      <c r="Y7" s="44">
        <v>1566855.3333333333</v>
      </c>
      <c r="Z7" s="44">
        <v>2630570.3333333335</v>
      </c>
      <c r="AA7" s="44">
        <v>43937.666666666664</v>
      </c>
      <c r="AB7" s="44">
        <v>3252624.3333333335</v>
      </c>
      <c r="AC7" s="44">
        <v>1368278.3333333333</v>
      </c>
      <c r="AD7" s="44">
        <v>2146132.3333333335</v>
      </c>
      <c r="AE7" s="44">
        <v>1950465</v>
      </c>
      <c r="AF7" s="44">
        <v>3031220.6666666665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188</v>
      </c>
      <c r="D8" s="1" t="s">
        <v>189</v>
      </c>
      <c r="E8" s="1" t="s">
        <v>190</v>
      </c>
      <c r="F8" s="1" t="s">
        <v>112</v>
      </c>
      <c r="G8" s="1">
        <v>223891</v>
      </c>
      <c r="K8" s="145" t="s">
        <v>1657</v>
      </c>
      <c r="L8" s="44">
        <v>148258.66666666666</v>
      </c>
      <c r="M8" s="44">
        <v>26294.666666666668</v>
      </c>
      <c r="N8" s="44">
        <v>22892</v>
      </c>
      <c r="O8" s="44">
        <v>101004.33333333333</v>
      </c>
      <c r="P8" s="44">
        <v>2071661</v>
      </c>
      <c r="Q8" s="44">
        <v>2927728.6666666665</v>
      </c>
      <c r="R8" s="44">
        <v>5696997</v>
      </c>
      <c r="S8" s="44">
        <v>397564.33333333331</v>
      </c>
      <c r="T8" s="44">
        <v>18233.666666666668</v>
      </c>
      <c r="U8" s="44">
        <v>227795</v>
      </c>
      <c r="V8" s="44">
        <v>30844.5</v>
      </c>
      <c r="W8" s="44">
        <v>107839.66666666667</v>
      </c>
      <c r="X8" s="44">
        <v>1367262</v>
      </c>
      <c r="Y8" s="44">
        <v>1885860</v>
      </c>
      <c r="Z8" s="44">
        <v>770457</v>
      </c>
      <c r="AA8" s="44">
        <v>130731</v>
      </c>
      <c r="AB8" s="44">
        <v>4303592</v>
      </c>
      <c r="AC8" s="44">
        <v>134603</v>
      </c>
      <c r="AD8" s="44">
        <v>571988.33333333337</v>
      </c>
      <c r="AE8" s="44">
        <v>1005718</v>
      </c>
      <c r="AF8" s="44">
        <v>3032604.6666666665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191</v>
      </c>
      <c r="D9" s="1" t="s">
        <v>192</v>
      </c>
      <c r="E9" s="1" t="s">
        <v>193</v>
      </c>
      <c r="F9" s="1" t="s">
        <v>112</v>
      </c>
      <c r="G9" s="1">
        <v>507827</v>
      </c>
      <c r="K9" s="145" t="s">
        <v>1658</v>
      </c>
      <c r="L9" s="44">
        <v>224921.66666666666</v>
      </c>
      <c r="M9" s="44">
        <v>24968.333333333332</v>
      </c>
      <c r="N9" s="44">
        <v>158504</v>
      </c>
      <c r="O9" s="44">
        <v>107154.66666666667</v>
      </c>
      <c r="P9" s="44">
        <v>350195</v>
      </c>
      <c r="Q9" s="44">
        <v>3131035.3333333335</v>
      </c>
      <c r="R9" s="44">
        <v>2671811</v>
      </c>
      <c r="S9" s="44">
        <v>504690.33333333331</v>
      </c>
      <c r="T9" s="44">
        <v>500796.66666666669</v>
      </c>
      <c r="U9" s="44"/>
      <c r="V9" s="44">
        <v>461178.33333333331</v>
      </c>
      <c r="W9" s="44">
        <v>72207.666666666672</v>
      </c>
      <c r="X9" s="44">
        <v>219795.66666666666</v>
      </c>
      <c r="Y9" s="44">
        <v>367124.33333333331</v>
      </c>
      <c r="Z9" s="44">
        <v>3144446</v>
      </c>
      <c r="AA9" s="44">
        <v>121718.66666666667</v>
      </c>
      <c r="AB9" s="44">
        <v>2355394.6666666665</v>
      </c>
      <c r="AC9" s="44">
        <v>4112131.3333333335</v>
      </c>
      <c r="AD9" s="44">
        <v>291001.33333333331</v>
      </c>
      <c r="AE9" s="44">
        <v>2345200</v>
      </c>
      <c r="AF9" s="44">
        <v>3788274.3333333335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194</v>
      </c>
      <c r="D10" s="1" t="s">
        <v>195</v>
      </c>
      <c r="E10" s="1" t="s">
        <v>196</v>
      </c>
      <c r="F10" s="1" t="s">
        <v>112</v>
      </c>
      <c r="G10" s="1">
        <v>244180</v>
      </c>
      <c r="K10" s="145" t="s">
        <v>1659</v>
      </c>
      <c r="L10" s="44">
        <v>41788.666666666664</v>
      </c>
      <c r="M10" s="44">
        <v>46972.666666666664</v>
      </c>
      <c r="N10" s="44">
        <v>55005</v>
      </c>
      <c r="O10" s="44">
        <v>346936.33333333331</v>
      </c>
      <c r="P10" s="44">
        <v>3103132.6666666665</v>
      </c>
      <c r="Q10" s="44">
        <v>1335300</v>
      </c>
      <c r="R10" s="44">
        <v>4662871.666666667</v>
      </c>
      <c r="S10" s="44">
        <v>394904.33333333331</v>
      </c>
      <c r="T10" s="44">
        <v>247835.33333333334</v>
      </c>
      <c r="U10" s="44">
        <v>358147.66666666669</v>
      </c>
      <c r="V10" s="44">
        <v>245557</v>
      </c>
      <c r="W10" s="44">
        <v>190523.66666666666</v>
      </c>
      <c r="X10" s="44">
        <v>1054630.3333333333</v>
      </c>
      <c r="Y10" s="44">
        <v>1225045.3333333333</v>
      </c>
      <c r="Z10" s="44">
        <v>544330.66666666663</v>
      </c>
      <c r="AA10" s="44">
        <v>31435.333333333332</v>
      </c>
      <c r="AB10" s="44">
        <v>1192376.6666666667</v>
      </c>
      <c r="AC10" s="44">
        <v>485576.33333333331</v>
      </c>
      <c r="AD10" s="44">
        <v>1664060</v>
      </c>
      <c r="AE10" s="44">
        <v>4441251.666666667</v>
      </c>
      <c r="AF10" s="44">
        <v>1488274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197</v>
      </c>
      <c r="D11" s="1" t="s">
        <v>198</v>
      </c>
      <c r="E11" s="1" t="s">
        <v>199</v>
      </c>
      <c r="F11" s="1" t="s">
        <v>112</v>
      </c>
      <c r="G11" s="1">
        <v>133240</v>
      </c>
      <c r="K11" s="145" t="s">
        <v>1660</v>
      </c>
      <c r="L11" s="44">
        <v>179275.66666666666</v>
      </c>
      <c r="M11" s="44">
        <v>214849.66666666666</v>
      </c>
      <c r="N11" s="44">
        <v>62575.333333333336</v>
      </c>
      <c r="O11" s="44">
        <v>2770313.6666666665</v>
      </c>
      <c r="P11" s="44">
        <v>1350671.6666666667</v>
      </c>
      <c r="Q11" s="44">
        <v>1967772.3333333333</v>
      </c>
      <c r="R11" s="44">
        <v>5419132.333333333</v>
      </c>
      <c r="S11" s="44">
        <v>132757</v>
      </c>
      <c r="T11" s="44">
        <v>35970.333333333336</v>
      </c>
      <c r="U11" s="44">
        <v>39251</v>
      </c>
      <c r="V11" s="44">
        <v>407139.5</v>
      </c>
      <c r="W11" s="44">
        <v>758820</v>
      </c>
      <c r="X11" s="44">
        <v>589003.66666666663</v>
      </c>
      <c r="Y11" s="44">
        <v>3630203</v>
      </c>
      <c r="Z11" s="44">
        <v>3949611.6666666665</v>
      </c>
      <c r="AA11" s="44">
        <v>103196</v>
      </c>
      <c r="AB11" s="44">
        <v>982401</v>
      </c>
      <c r="AC11" s="44">
        <v>1590575.6666666667</v>
      </c>
      <c r="AD11" s="44">
        <v>3116038.3333333335</v>
      </c>
      <c r="AE11" s="44">
        <v>1815649.3333333333</v>
      </c>
      <c r="AF11" s="44">
        <v>3891160.3333333335</v>
      </c>
      <c r="AG11"/>
    </row>
    <row r="12" spans="1:144" x14ac:dyDescent="0.25">
      <c r="A12" s="1" t="str">
        <f t="shared" si="0"/>
        <v>01 Evian +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200</v>
      </c>
      <c r="D12" s="1" t="s">
        <v>201</v>
      </c>
      <c r="E12" s="1" t="s">
        <v>202</v>
      </c>
      <c r="F12" s="1" t="s">
        <v>112</v>
      </c>
      <c r="G12" s="1">
        <v>161792</v>
      </c>
      <c r="K12" s="145" t="s">
        <v>1661</v>
      </c>
      <c r="L12" s="44">
        <v>36562</v>
      </c>
      <c r="M12" s="44">
        <v>303950.33333333331</v>
      </c>
      <c r="N12" s="44">
        <v>39085.333333333336</v>
      </c>
      <c r="O12" s="44">
        <v>29034.666666666668</v>
      </c>
      <c r="P12" s="44">
        <v>2318977</v>
      </c>
      <c r="Q12" s="44">
        <v>2018293</v>
      </c>
      <c r="R12" s="44">
        <v>5995367.333333333</v>
      </c>
      <c r="S12" s="44">
        <v>182606.66666666666</v>
      </c>
      <c r="T12" s="44">
        <v>305154.33333333331</v>
      </c>
      <c r="U12" s="44">
        <v>240048.33333333334</v>
      </c>
      <c r="V12" s="44">
        <v>166853</v>
      </c>
      <c r="W12" s="44">
        <v>55423</v>
      </c>
      <c r="X12" s="44">
        <v>1741026.3333333333</v>
      </c>
      <c r="Y12" s="44">
        <v>721162</v>
      </c>
      <c r="Z12" s="44">
        <v>1636669</v>
      </c>
      <c r="AA12" s="44">
        <v>180313.66666666666</v>
      </c>
      <c r="AB12" s="44">
        <v>342502</v>
      </c>
      <c r="AC12" s="44">
        <v>4236143</v>
      </c>
      <c r="AD12" s="44">
        <v>2278370.3333333335</v>
      </c>
      <c r="AE12" s="44">
        <v>2058509.6666666667</v>
      </c>
      <c r="AF12" s="44">
        <v>2139535.3333333335</v>
      </c>
      <c r="AG12"/>
    </row>
    <row r="13" spans="1:144" x14ac:dyDescent="0.25">
      <c r="A13" s="1" t="str">
        <f t="shared" si="0"/>
        <v>01 Evian +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203</v>
      </c>
      <c r="D13" s="1" t="s">
        <v>204</v>
      </c>
      <c r="E13" s="1" t="s">
        <v>205</v>
      </c>
      <c r="F13" s="1" t="s">
        <v>112</v>
      </c>
      <c r="G13" s="1">
        <v>149744</v>
      </c>
      <c r="K13"/>
      <c r="L13"/>
      <c r="M13"/>
      <c r="N13"/>
      <c r="O13"/>
      <c r="P13"/>
      <c r="Q13"/>
      <c r="R13"/>
      <c r="S13"/>
      <c r="T13"/>
      <c r="U13"/>
      <c r="V13"/>
      <c r="W13"/>
      <c r="X13"/>
      <c r="Y13"/>
      <c r="Z13"/>
      <c r="AA13"/>
      <c r="AB13"/>
      <c r="AC13"/>
      <c r="AD13"/>
      <c r="AE13"/>
      <c r="AF13"/>
      <c r="AG13"/>
    </row>
    <row r="14" spans="1:144" x14ac:dyDescent="0.25">
      <c r="A14" s="1" t="str">
        <f t="shared" si="0"/>
        <v>01 Evian +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206</v>
      </c>
      <c r="D14" s="1" t="s">
        <v>207</v>
      </c>
      <c r="E14" s="1" t="s">
        <v>208</v>
      </c>
      <c r="F14" s="1" t="s">
        <v>112</v>
      </c>
      <c r="G14" s="1">
        <v>387802</v>
      </c>
      <c r="K14"/>
      <c r="L14"/>
      <c r="M14"/>
      <c r="N14"/>
      <c r="O14"/>
      <c r="P14"/>
      <c r="Q14"/>
      <c r="R14"/>
      <c r="S14"/>
      <c r="T14"/>
      <c r="U14"/>
      <c r="V14"/>
      <c r="W14"/>
      <c r="X14"/>
      <c r="Y14"/>
      <c r="Z14"/>
      <c r="AA14"/>
      <c r="AB14"/>
      <c r="AC14"/>
      <c r="AD14"/>
      <c r="AE14"/>
      <c r="AF14"/>
      <c r="AG14"/>
    </row>
    <row r="15" spans="1:144" x14ac:dyDescent="0.25">
      <c r="A15" s="1" t="str">
        <f t="shared" si="0"/>
        <v>01 Evian +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209</v>
      </c>
      <c r="D15" s="1" t="s">
        <v>210</v>
      </c>
      <c r="E15" s="1" t="s">
        <v>211</v>
      </c>
      <c r="F15" s="1" t="s">
        <v>112</v>
      </c>
      <c r="G15" s="1">
        <v>135684</v>
      </c>
    </row>
    <row r="16" spans="1:144" x14ac:dyDescent="0.25">
      <c r="A16" s="1" t="str">
        <f t="shared" si="0"/>
        <v>01 Evian +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212</v>
      </c>
      <c r="D16" s="1" t="s">
        <v>213</v>
      </c>
      <c r="E16" s="1" t="s">
        <v>214</v>
      </c>
      <c r="F16" s="1" t="s">
        <v>112</v>
      </c>
      <c r="G16" s="1">
        <v>151279</v>
      </c>
    </row>
    <row r="17" spans="1:10" x14ac:dyDescent="0.25">
      <c r="A17" s="1" t="str">
        <f t="shared" si="0"/>
        <v>01 Evian +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215</v>
      </c>
      <c r="D17" s="1" t="s">
        <v>216</v>
      </c>
      <c r="E17" s="1" t="s">
        <v>217</v>
      </c>
      <c r="F17" s="1" t="s">
        <v>112</v>
      </c>
      <c r="G17" s="1">
        <v>21608</v>
      </c>
    </row>
    <row r="18" spans="1:10" x14ac:dyDescent="0.25">
      <c r="A18" s="1" t="str">
        <f t="shared" si="0"/>
        <v>01 Evian +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218</v>
      </c>
      <c r="D18" s="1" t="s">
        <v>219</v>
      </c>
      <c r="E18" s="1" t="s">
        <v>220</v>
      </c>
      <c r="F18" s="1" t="s">
        <v>112</v>
      </c>
      <c r="G18" s="1">
        <v>29546</v>
      </c>
    </row>
    <row r="19" spans="1:10" x14ac:dyDescent="0.25">
      <c r="A19" s="1" t="str">
        <f t="shared" si="0"/>
        <v>01 Evian +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221</v>
      </c>
      <c r="D19" s="1" t="s">
        <v>222</v>
      </c>
      <c r="E19" s="1" t="s">
        <v>223</v>
      </c>
      <c r="F19" s="1" t="s">
        <v>112</v>
      </c>
      <c r="G19" s="1">
        <v>74212</v>
      </c>
    </row>
    <row r="20" spans="1:10" x14ac:dyDescent="0.25">
      <c r="A20" s="1" t="str">
        <f t="shared" si="0"/>
        <v>01 Evian +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224</v>
      </c>
      <c r="D20" s="1" t="s">
        <v>225</v>
      </c>
      <c r="E20" s="1" t="s">
        <v>226</v>
      </c>
      <c r="F20" s="1" t="s">
        <v>112</v>
      </c>
      <c r="G20" s="1">
        <v>205938</v>
      </c>
    </row>
    <row r="21" spans="1:10" x14ac:dyDescent="0.25">
      <c r="A21" s="1" t="str">
        <f t="shared" si="0"/>
        <v>01 Evian +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227</v>
      </c>
      <c r="D21" s="1" t="s">
        <v>228</v>
      </c>
      <c r="E21" s="1" t="s">
        <v>229</v>
      </c>
      <c r="F21" s="1" t="s">
        <v>112</v>
      </c>
      <c r="G21" s="1">
        <v>186774</v>
      </c>
    </row>
    <row r="22" spans="1:10" x14ac:dyDescent="0.25">
      <c r="A22" s="1" t="str">
        <f t="shared" si="0"/>
        <v>01 Evian +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230</v>
      </c>
      <c r="D22" s="1" t="s">
        <v>231</v>
      </c>
      <c r="E22" s="1" t="s">
        <v>232</v>
      </c>
      <c r="F22" s="1" t="s">
        <v>112</v>
      </c>
      <c r="G22" s="1">
        <v>145115</v>
      </c>
    </row>
    <row r="23" spans="1:10" x14ac:dyDescent="0.25">
      <c r="A23" s="1" t="str">
        <f t="shared" si="0"/>
        <v>01 Evian +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233</v>
      </c>
      <c r="D23" s="1" t="s">
        <v>234</v>
      </c>
      <c r="E23" s="1" t="s">
        <v>199</v>
      </c>
      <c r="F23" s="1" t="s">
        <v>112</v>
      </c>
      <c r="G23" s="1">
        <v>41638</v>
      </c>
    </row>
    <row r="24" spans="1:10" x14ac:dyDescent="0.25">
      <c r="A24" s="1" t="str">
        <f t="shared" si="0"/>
        <v>01 Evian +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235</v>
      </c>
      <c r="D24" s="1" t="s">
        <v>236</v>
      </c>
      <c r="E24" s="1" t="s">
        <v>237</v>
      </c>
      <c r="F24" s="1" t="s">
        <v>112</v>
      </c>
      <c r="G24" s="1">
        <v>43909</v>
      </c>
    </row>
    <row r="25" spans="1:10" x14ac:dyDescent="0.25">
      <c r="A25" s="1" t="str">
        <f t="shared" si="0"/>
        <v>01 Evian +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238</v>
      </c>
      <c r="D25" s="1" t="s">
        <v>239</v>
      </c>
      <c r="E25" s="1">
        <v>62</v>
      </c>
      <c r="F25" s="1" t="s">
        <v>112</v>
      </c>
      <c r="G25" s="1">
        <v>24139</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240</v>
      </c>
      <c r="D27" s="1" t="s">
        <v>112</v>
      </c>
      <c r="E27" s="1" t="s">
        <v>241</v>
      </c>
      <c r="F27" s="1" t="s">
        <v>242</v>
      </c>
      <c r="G27" s="1" t="s">
        <v>243</v>
      </c>
      <c r="H27" s="1" t="s">
        <v>244</v>
      </c>
      <c r="I27" s="1" t="s">
        <v>245</v>
      </c>
      <c r="J27" s="1" t="s">
        <v>246</v>
      </c>
    </row>
    <row r="28" spans="1:10" x14ac:dyDescent="0.25">
      <c r="A28" s="1" t="str">
        <f t="shared" si="0"/>
        <v>01 Evian +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247</v>
      </c>
      <c r="D28" s="1" t="s">
        <v>112</v>
      </c>
      <c r="E28" s="1" t="s">
        <v>248</v>
      </c>
      <c r="F28" s="1" t="s">
        <v>249</v>
      </c>
      <c r="G28" s="1" t="s">
        <v>250</v>
      </c>
      <c r="H28" s="1" t="s">
        <v>251</v>
      </c>
      <c r="I28" s="1">
        <v>24</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252</v>
      </c>
      <c r="D34" s="1" t="s">
        <v>110</v>
      </c>
      <c r="E34" s="1" t="s">
        <v>111</v>
      </c>
      <c r="F34" s="1" t="s">
        <v>112</v>
      </c>
      <c r="G34" s="1" t="s">
        <v>113</v>
      </c>
    </row>
    <row r="35" spans="1:7" x14ac:dyDescent="0.25">
      <c r="A35" s="1" t="str">
        <f t="shared" si="0"/>
        <v>02 EE2 33.8 ng_L</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253</v>
      </c>
      <c r="D35" s="1" t="s">
        <v>254</v>
      </c>
      <c r="E35" s="1" t="s">
        <v>255</v>
      </c>
      <c r="F35" s="1" t="s">
        <v>112</v>
      </c>
      <c r="G35" s="1">
        <v>457429</v>
      </c>
    </row>
    <row r="36" spans="1:7" x14ac:dyDescent="0.25">
      <c r="A36" s="1" t="str">
        <f t="shared" si="0"/>
        <v>02 EE2 33.8 ng_L</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256</v>
      </c>
      <c r="D36" s="1" t="s">
        <v>239</v>
      </c>
      <c r="E36" s="1" t="s">
        <v>257</v>
      </c>
      <c r="F36" s="1" t="s">
        <v>112</v>
      </c>
      <c r="G36" s="1">
        <v>24593</v>
      </c>
    </row>
    <row r="37" spans="1:7" x14ac:dyDescent="0.25">
      <c r="A37" s="1" t="str">
        <f t="shared" si="0"/>
        <v>02 EE2 33.8 ng_L</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258</v>
      </c>
      <c r="D37" s="1" t="s">
        <v>259</v>
      </c>
      <c r="E37" s="1" t="s">
        <v>260</v>
      </c>
      <c r="F37" s="1" t="s">
        <v>112</v>
      </c>
      <c r="G37" s="1">
        <v>253805</v>
      </c>
    </row>
    <row r="38" spans="1:7" x14ac:dyDescent="0.25">
      <c r="A38" s="1" t="str">
        <f t="shared" si="0"/>
        <v>02 EE2 33.8 ng_L</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261</v>
      </c>
      <c r="D38" s="1" t="s">
        <v>216</v>
      </c>
      <c r="E38" s="1" t="s">
        <v>262</v>
      </c>
      <c r="F38" s="1" t="s">
        <v>112</v>
      </c>
      <c r="G38" s="1">
        <v>21716</v>
      </c>
    </row>
    <row r="39" spans="1:7" x14ac:dyDescent="0.25">
      <c r="A39" s="1" t="str">
        <f t="shared" si="0"/>
        <v>02 EE2 33.8 ng_L</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263</v>
      </c>
      <c r="D39" s="1" t="s">
        <v>264</v>
      </c>
      <c r="E39" s="1" t="s">
        <v>265</v>
      </c>
      <c r="F39" s="1" t="s">
        <v>112</v>
      </c>
      <c r="G39" s="1">
        <v>17737</v>
      </c>
    </row>
    <row r="40" spans="1:7" x14ac:dyDescent="0.25">
      <c r="A40" s="1" t="str">
        <f t="shared" si="0"/>
        <v>02 EE2 33.8 ng_L</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266</v>
      </c>
      <c r="D40" s="1" t="s">
        <v>267</v>
      </c>
      <c r="E40" s="1" t="s">
        <v>268</v>
      </c>
      <c r="F40" s="1" t="s">
        <v>112</v>
      </c>
      <c r="G40" s="1">
        <v>68783</v>
      </c>
    </row>
    <row r="41" spans="1:7" x14ac:dyDescent="0.25">
      <c r="A41" s="1" t="str">
        <f t="shared" si="0"/>
        <v>02 EE2 33.8 ng_L</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269</v>
      </c>
      <c r="D41" s="1" t="s">
        <v>270</v>
      </c>
      <c r="E41" s="1" t="s">
        <v>271</v>
      </c>
      <c r="F41" s="1" t="s">
        <v>112</v>
      </c>
      <c r="G41" s="1">
        <v>245867</v>
      </c>
    </row>
    <row r="42" spans="1:7" x14ac:dyDescent="0.25">
      <c r="A42" s="1" t="str">
        <f t="shared" si="0"/>
        <v>02 EE2 33.8 ng_L</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272</v>
      </c>
      <c r="D42" s="1" t="s">
        <v>273</v>
      </c>
      <c r="E42" s="1" t="s">
        <v>274</v>
      </c>
      <c r="F42" s="1" t="s">
        <v>112</v>
      </c>
      <c r="G42" s="1">
        <v>46829</v>
      </c>
    </row>
    <row r="43" spans="1:7" x14ac:dyDescent="0.25">
      <c r="A43" s="1" t="str">
        <f t="shared" si="0"/>
        <v>02 EE2 33.8 ng_L</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275</v>
      </c>
      <c r="D43" s="1" t="s">
        <v>276</v>
      </c>
      <c r="E43" s="1" t="s">
        <v>277</v>
      </c>
      <c r="F43" s="1" t="s">
        <v>112</v>
      </c>
      <c r="G43" s="1">
        <v>209464</v>
      </c>
    </row>
    <row r="44" spans="1:7" x14ac:dyDescent="0.25">
      <c r="A44" s="1" t="str">
        <f t="shared" si="0"/>
        <v>02 EE2 33.8 ng_L</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278</v>
      </c>
      <c r="D44" s="1" t="s">
        <v>279</v>
      </c>
      <c r="E44" s="1" t="s">
        <v>199</v>
      </c>
      <c r="F44" s="1" t="s">
        <v>112</v>
      </c>
      <c r="G44" s="1">
        <v>16655</v>
      </c>
    </row>
    <row r="45" spans="1:7" x14ac:dyDescent="0.25">
      <c r="A45" s="1" t="str">
        <f t="shared" si="0"/>
        <v>02 EE2 33.8 ng_L</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280</v>
      </c>
      <c r="D45" s="1" t="s">
        <v>234</v>
      </c>
      <c r="E45" s="1" t="s">
        <v>281</v>
      </c>
      <c r="F45" s="1" t="s">
        <v>112</v>
      </c>
      <c r="G45" s="1">
        <v>40859</v>
      </c>
    </row>
    <row r="46" spans="1:7" x14ac:dyDescent="0.25">
      <c r="A46" s="1" t="str">
        <f t="shared" si="0"/>
        <v>02 EE2 33.8 ng_L</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282</v>
      </c>
      <c r="D46" s="1" t="s">
        <v>216</v>
      </c>
      <c r="E46" s="1" t="s">
        <v>283</v>
      </c>
      <c r="F46" s="1" t="s">
        <v>112</v>
      </c>
      <c r="G46" s="1">
        <v>21370</v>
      </c>
    </row>
    <row r="47" spans="1:7" x14ac:dyDescent="0.25">
      <c r="A47" s="1" t="str">
        <f t="shared" si="0"/>
        <v>02 EE2 33.8 ng_L</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284</v>
      </c>
      <c r="D47" s="1" t="s">
        <v>216</v>
      </c>
      <c r="E47" s="1" t="s">
        <v>285</v>
      </c>
      <c r="F47" s="1" t="s">
        <v>112</v>
      </c>
      <c r="G47" s="1">
        <v>21933</v>
      </c>
    </row>
    <row r="48" spans="1:7" x14ac:dyDescent="0.25">
      <c r="A48" s="1" t="str">
        <f t="shared" si="0"/>
        <v>02 EE2 33.8 ng_L</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286</v>
      </c>
      <c r="D48" s="1" t="s">
        <v>264</v>
      </c>
      <c r="E48" s="1" t="s">
        <v>287</v>
      </c>
      <c r="F48" s="1" t="s">
        <v>112</v>
      </c>
      <c r="G48" s="1">
        <v>18169</v>
      </c>
    </row>
    <row r="49" spans="1:10" x14ac:dyDescent="0.25">
      <c r="A49" s="1" t="str">
        <f t="shared" si="0"/>
        <v>02 EE2 33.8 ng_L</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288</v>
      </c>
      <c r="D49" s="1" t="s">
        <v>289</v>
      </c>
      <c r="E49" s="1" t="s">
        <v>290</v>
      </c>
      <c r="F49" s="1" t="s">
        <v>112</v>
      </c>
      <c r="G49" s="1">
        <v>34803</v>
      </c>
    </row>
    <row r="50" spans="1:10" x14ac:dyDescent="0.25">
      <c r="A50" s="1" t="str">
        <f t="shared" si="0"/>
        <v>02 EE2 33.8 ng_L</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291</v>
      </c>
      <c r="D50" s="1" t="s">
        <v>292</v>
      </c>
      <c r="E50" s="1" t="s">
        <v>293</v>
      </c>
      <c r="F50" s="1" t="s">
        <v>112</v>
      </c>
      <c r="G50" s="1">
        <v>44752</v>
      </c>
    </row>
    <row r="51" spans="1:10" x14ac:dyDescent="0.25">
      <c r="A51" s="1" t="str">
        <f t="shared" si="0"/>
        <v>02 EE2 33.8 ng_L</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294</v>
      </c>
      <c r="D51" s="1" t="s">
        <v>292</v>
      </c>
      <c r="E51" s="1" t="s">
        <v>285</v>
      </c>
      <c r="F51" s="1" t="s">
        <v>112</v>
      </c>
      <c r="G51" s="1">
        <v>43865</v>
      </c>
    </row>
    <row r="52" spans="1:10" x14ac:dyDescent="0.25">
      <c r="A52" s="1" t="str">
        <f t="shared" si="0"/>
        <v>02 EE2 33.8 ng_L</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295</v>
      </c>
      <c r="D52" s="1" t="s">
        <v>296</v>
      </c>
      <c r="E52" s="1" t="s">
        <v>297</v>
      </c>
      <c r="F52" s="1" t="s">
        <v>112</v>
      </c>
      <c r="G52" s="1">
        <v>52301</v>
      </c>
    </row>
    <row r="53" spans="1:10" x14ac:dyDescent="0.25">
      <c r="A53" s="1" t="str">
        <f t="shared" si="0"/>
        <v>02 EE2 33.8 ng_L</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298</v>
      </c>
      <c r="D53" s="1" t="s">
        <v>299</v>
      </c>
      <c r="E53" s="1" t="s">
        <v>300</v>
      </c>
      <c r="F53" s="1" t="s">
        <v>112</v>
      </c>
      <c r="G53" s="1">
        <v>358364</v>
      </c>
    </row>
    <row r="54" spans="1:10" x14ac:dyDescent="0.25">
      <c r="A54" s="1" t="str">
        <f t="shared" si="0"/>
        <v>02 EE2 33.8 ng_L</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301</v>
      </c>
      <c r="D54" s="1" t="s">
        <v>195</v>
      </c>
      <c r="E54" s="1" t="s">
        <v>302</v>
      </c>
      <c r="F54" s="1" t="s">
        <v>112</v>
      </c>
      <c r="G54" s="1">
        <v>238945</v>
      </c>
    </row>
    <row r="55" spans="1:10" x14ac:dyDescent="0.25">
      <c r="A55" s="1" t="str">
        <f t="shared" si="0"/>
        <v>02 EE2 33.8 ng_L</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303</v>
      </c>
      <c r="D55" s="1" t="s">
        <v>273</v>
      </c>
      <c r="E55" s="1" t="s">
        <v>304</v>
      </c>
      <c r="F55" s="1" t="s">
        <v>112</v>
      </c>
      <c r="G55" s="1">
        <v>47240</v>
      </c>
    </row>
    <row r="56" spans="1:10" x14ac:dyDescent="0.25">
      <c r="A56" s="1" t="str">
        <f t="shared" si="0"/>
        <v>02 EE2 33.8 ng_L</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305</v>
      </c>
      <c r="D56" s="1" t="s">
        <v>306</v>
      </c>
      <c r="E56" s="1" t="s">
        <v>307</v>
      </c>
      <c r="F56" s="1" t="s">
        <v>112</v>
      </c>
      <c r="G56" s="1">
        <v>227979</v>
      </c>
    </row>
    <row r="57" spans="1:10" x14ac:dyDescent="0.25">
      <c r="A57" s="1" t="str">
        <f t="shared" si="0"/>
        <v>02 EE2 33.8 ng_L</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308</v>
      </c>
      <c r="D57" s="1" t="s">
        <v>309</v>
      </c>
      <c r="E57" s="1" t="s">
        <v>310</v>
      </c>
      <c r="F57" s="1" t="s">
        <v>112</v>
      </c>
      <c r="G57" s="1">
        <v>391479</v>
      </c>
    </row>
    <row r="58" spans="1:10" x14ac:dyDescent="0.25">
      <c r="A58" s="1" t="str">
        <f t="shared" si="0"/>
        <v>02 EE2 33.8 ng_L</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311</v>
      </c>
      <c r="D58" s="1" t="s">
        <v>312</v>
      </c>
      <c r="E58" s="1" t="s">
        <v>313</v>
      </c>
      <c r="F58" s="1" t="s">
        <v>112</v>
      </c>
      <c r="G58" s="1">
        <v>292393</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240</v>
      </c>
      <c r="D60" s="1" t="s">
        <v>112</v>
      </c>
      <c r="E60" s="1" t="s">
        <v>241</v>
      </c>
      <c r="F60" s="1" t="s">
        <v>242</v>
      </c>
      <c r="G60" s="1" t="s">
        <v>243</v>
      </c>
      <c r="H60" s="1" t="s">
        <v>244</v>
      </c>
      <c r="I60" s="1" t="s">
        <v>245</v>
      </c>
      <c r="J60" s="1" t="s">
        <v>246</v>
      </c>
    </row>
    <row r="61" spans="1:10" x14ac:dyDescent="0.25">
      <c r="A61" s="1" t="str">
        <f t="shared" si="0"/>
        <v>02 EE2 33.8 ng_L</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314</v>
      </c>
      <c r="D61" s="1" t="s">
        <v>112</v>
      </c>
      <c r="E61" s="1" t="s">
        <v>315</v>
      </c>
      <c r="F61" s="1" t="s">
        <v>316</v>
      </c>
      <c r="G61" s="1" t="s">
        <v>317</v>
      </c>
      <c r="H61" s="1" t="s">
        <v>318</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252</v>
      </c>
      <c r="D67" s="1" t="s">
        <v>110</v>
      </c>
      <c r="E67" s="1" t="s">
        <v>111</v>
      </c>
      <c r="F67" s="1" t="s">
        <v>112</v>
      </c>
      <c r="G67" s="1" t="s">
        <v>113</v>
      </c>
    </row>
    <row r="68" spans="1:7" x14ac:dyDescent="0.25">
      <c r="A68" s="1" t="str">
        <f t="shared" si="1"/>
        <v>03 EE2 50.6 ng_L</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319</v>
      </c>
      <c r="D68" s="1" t="s">
        <v>320</v>
      </c>
      <c r="E68" s="1" t="s">
        <v>321</v>
      </c>
      <c r="F68" s="1" t="s">
        <v>112</v>
      </c>
      <c r="G68" s="1">
        <v>88942</v>
      </c>
    </row>
    <row r="69" spans="1:7" x14ac:dyDescent="0.25">
      <c r="A69" s="1" t="str">
        <f t="shared" si="1"/>
        <v>03 EE2 50.6 ng_L</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322</v>
      </c>
      <c r="D69" s="1" t="s">
        <v>323</v>
      </c>
      <c r="E69" s="1" t="s">
        <v>324</v>
      </c>
      <c r="F69" s="1" t="s">
        <v>112</v>
      </c>
      <c r="G69" s="1">
        <v>192809</v>
      </c>
    </row>
    <row r="70" spans="1:7" x14ac:dyDescent="0.25">
      <c r="A70" s="1" t="str">
        <f t="shared" si="1"/>
        <v>03 EE2 50.6 ng_L</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325</v>
      </c>
      <c r="D70" s="1" t="s">
        <v>326</v>
      </c>
      <c r="E70" s="1" t="s">
        <v>327</v>
      </c>
      <c r="F70" s="1" t="s">
        <v>112</v>
      </c>
      <c r="G70" s="1">
        <v>28314</v>
      </c>
    </row>
    <row r="71" spans="1:7" x14ac:dyDescent="0.25">
      <c r="A71" s="1" t="str">
        <f t="shared" si="1"/>
        <v>03 EE2 50.6 ng_L</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328</v>
      </c>
      <c r="D71" s="1" t="s">
        <v>239</v>
      </c>
      <c r="E71" s="1" t="s">
        <v>329</v>
      </c>
      <c r="F71" s="1" t="s">
        <v>112</v>
      </c>
      <c r="G71" s="1">
        <v>24052</v>
      </c>
    </row>
    <row r="72" spans="1:7" x14ac:dyDescent="0.25">
      <c r="A72" s="1" t="str">
        <f t="shared" si="1"/>
        <v>03 EE2 50.6 ng_L</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330</v>
      </c>
      <c r="D72" s="1" t="s">
        <v>182</v>
      </c>
      <c r="E72" s="1" t="s">
        <v>331</v>
      </c>
      <c r="F72" s="1" t="s">
        <v>112</v>
      </c>
      <c r="G72" s="1">
        <v>25761</v>
      </c>
    </row>
    <row r="73" spans="1:7" x14ac:dyDescent="0.25">
      <c r="A73" s="1" t="str">
        <f t="shared" si="1"/>
        <v>03 EE2 50.6 ng_L</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332</v>
      </c>
      <c r="D73" s="1" t="s">
        <v>333</v>
      </c>
      <c r="E73" s="1">
        <v>63</v>
      </c>
      <c r="F73" s="1" t="s">
        <v>112</v>
      </c>
      <c r="G73" s="1">
        <v>47694</v>
      </c>
    </row>
    <row r="74" spans="1:7" x14ac:dyDescent="0.25">
      <c r="A74" s="1" t="str">
        <f t="shared" si="1"/>
        <v>03 EE2 50.6 ng_L</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334</v>
      </c>
      <c r="D74" s="1" t="s">
        <v>335</v>
      </c>
      <c r="E74" s="1" t="s">
        <v>336</v>
      </c>
      <c r="F74" s="1" t="s">
        <v>112</v>
      </c>
      <c r="G74" s="1">
        <v>67226</v>
      </c>
    </row>
    <row r="75" spans="1:7" x14ac:dyDescent="0.25">
      <c r="A75" s="1" t="str">
        <f t="shared" si="1"/>
        <v>03 EE2 50.6 ng_L</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337</v>
      </c>
      <c r="D75" s="1" t="s">
        <v>338</v>
      </c>
      <c r="E75" s="1" t="s">
        <v>339</v>
      </c>
      <c r="F75" s="1" t="s">
        <v>112</v>
      </c>
      <c r="G75" s="1">
        <v>45163</v>
      </c>
    </row>
    <row r="76" spans="1:7" x14ac:dyDescent="0.25">
      <c r="A76" s="1" t="str">
        <f t="shared" si="1"/>
        <v>03 EE2 50.6 ng_L</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340</v>
      </c>
      <c r="D76" s="1" t="s">
        <v>341</v>
      </c>
      <c r="E76" s="1" t="s">
        <v>342</v>
      </c>
      <c r="F76" s="1" t="s">
        <v>112</v>
      </c>
      <c r="G76" s="1">
        <v>58877</v>
      </c>
    </row>
    <row r="77" spans="1:7" x14ac:dyDescent="0.25">
      <c r="A77" s="1" t="str">
        <f t="shared" si="1"/>
        <v>03 EE2 50.6 ng_L</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343</v>
      </c>
      <c r="D77" s="1" t="s">
        <v>264</v>
      </c>
      <c r="E77" s="1" t="s">
        <v>344</v>
      </c>
      <c r="F77" s="1" t="s">
        <v>112</v>
      </c>
      <c r="G77" s="1">
        <v>17499</v>
      </c>
    </row>
    <row r="78" spans="1:7" x14ac:dyDescent="0.25">
      <c r="A78" s="1" t="str">
        <f t="shared" si="1"/>
        <v>03 EE2 50.6 ng_L</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345</v>
      </c>
      <c r="D78" s="1" t="s">
        <v>326</v>
      </c>
      <c r="E78" s="1" t="s">
        <v>346</v>
      </c>
      <c r="F78" s="1" t="s">
        <v>112</v>
      </c>
      <c r="G78" s="1">
        <v>28768</v>
      </c>
    </row>
    <row r="79" spans="1:7" x14ac:dyDescent="0.25">
      <c r="A79" s="1" t="str">
        <f t="shared" si="1"/>
        <v>03 EE2 50.6 ng_L</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347</v>
      </c>
      <c r="D79" s="1" t="s">
        <v>216</v>
      </c>
      <c r="E79" s="1" t="s">
        <v>348</v>
      </c>
      <c r="F79" s="1" t="s">
        <v>112</v>
      </c>
      <c r="G79" s="1">
        <v>22409</v>
      </c>
    </row>
    <row r="80" spans="1:7" x14ac:dyDescent="0.25">
      <c r="A80" s="1" t="str">
        <f t="shared" si="1"/>
        <v>03 EE2 50.6 ng_L</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349</v>
      </c>
      <c r="D80" s="1" t="s">
        <v>292</v>
      </c>
      <c r="E80" s="1" t="s">
        <v>350</v>
      </c>
      <c r="F80" s="1" t="s">
        <v>112</v>
      </c>
      <c r="G80" s="1">
        <v>44904</v>
      </c>
    </row>
    <row r="81" spans="1:10" x14ac:dyDescent="0.25">
      <c r="A81" s="1" t="str">
        <f t="shared" si="1"/>
        <v>03 EE2 50.6 ng_L</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351</v>
      </c>
      <c r="D81" s="1" t="s">
        <v>352</v>
      </c>
      <c r="E81" s="1" t="s">
        <v>353</v>
      </c>
      <c r="F81" s="1" t="s">
        <v>112</v>
      </c>
      <c r="G81" s="1">
        <v>272104</v>
      </c>
    </row>
    <row r="82" spans="1:10" x14ac:dyDescent="0.25">
      <c r="A82" s="1" t="str">
        <f t="shared" si="1"/>
        <v>03 EE2 50.6 ng_L</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354</v>
      </c>
    </row>
    <row r="83" spans="1:10" x14ac:dyDescent="0.25">
      <c r="A83" s="1" t="str">
        <f t="shared" si="1"/>
        <v>03 EE2 50.6 ng_L</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355</v>
      </c>
      <c r="D83" s="1" t="s">
        <v>289</v>
      </c>
      <c r="E83" s="1" t="s">
        <v>356</v>
      </c>
      <c r="F83" s="1" t="s">
        <v>112</v>
      </c>
      <c r="G83" s="1">
        <v>34262</v>
      </c>
    </row>
    <row r="84" spans="1:10" x14ac:dyDescent="0.25">
      <c r="A84" s="1" t="str">
        <f t="shared" si="1"/>
        <v>03 EE2 50.6 ng_L</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357</v>
      </c>
      <c r="D84" s="1" t="s">
        <v>358</v>
      </c>
      <c r="E84" s="1">
        <v>65</v>
      </c>
      <c r="F84" s="1" t="s">
        <v>112</v>
      </c>
      <c r="G84" s="1">
        <v>36555</v>
      </c>
    </row>
    <row r="85" spans="1:10" x14ac:dyDescent="0.25">
      <c r="A85" s="1" t="str">
        <f t="shared" si="1"/>
        <v>03 EE2 50.6 ng_L</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359</v>
      </c>
      <c r="D85" s="1" t="s">
        <v>360</v>
      </c>
      <c r="E85" s="1" t="s">
        <v>361</v>
      </c>
      <c r="F85" s="1" t="s">
        <v>112</v>
      </c>
      <c r="G85" s="1">
        <v>94198</v>
      </c>
    </row>
    <row r="86" spans="1:10" x14ac:dyDescent="0.25">
      <c r="A86" s="1" t="str">
        <f t="shared" si="1"/>
        <v>03 EE2 50.6 ng_L</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362</v>
      </c>
      <c r="D86" s="1" t="s">
        <v>173</v>
      </c>
      <c r="E86" s="1" t="s">
        <v>180</v>
      </c>
      <c r="F86" s="1" t="s">
        <v>112</v>
      </c>
      <c r="G86" s="1">
        <v>19294</v>
      </c>
    </row>
    <row r="87" spans="1:10" x14ac:dyDescent="0.25">
      <c r="A87" s="1" t="str">
        <f t="shared" si="1"/>
        <v>03 EE2 50.6 ng_L</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363</v>
      </c>
      <c r="D87" s="1" t="s">
        <v>364</v>
      </c>
      <c r="E87" s="1" t="s">
        <v>365</v>
      </c>
      <c r="F87" s="1" t="s">
        <v>112</v>
      </c>
      <c r="G87" s="1">
        <v>83275</v>
      </c>
    </row>
    <row r="88" spans="1:10" x14ac:dyDescent="0.25">
      <c r="A88" s="1" t="str">
        <f t="shared" si="1"/>
        <v>03 EE2 50.6 ng_L</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366</v>
      </c>
      <c r="D88" s="1" t="s">
        <v>367</v>
      </c>
      <c r="E88" s="1" t="s">
        <v>368</v>
      </c>
      <c r="F88" s="1" t="s">
        <v>112</v>
      </c>
      <c r="G88" s="1">
        <v>85157</v>
      </c>
    </row>
    <row r="89" spans="1:10" x14ac:dyDescent="0.25">
      <c r="A89" s="1" t="str">
        <f t="shared" si="1"/>
        <v>03 EE2 50.6 ng_L</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369</v>
      </c>
      <c r="D89" s="1" t="s">
        <v>236</v>
      </c>
      <c r="E89" s="1" t="s">
        <v>370</v>
      </c>
      <c r="F89" s="1" t="s">
        <v>112</v>
      </c>
      <c r="G89" s="1">
        <v>42481</v>
      </c>
    </row>
    <row r="90" spans="1:10" x14ac:dyDescent="0.25">
      <c r="A90" s="1" t="str">
        <f t="shared" si="1"/>
        <v>03 EE2 50.6 ng_L</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371</v>
      </c>
      <c r="D90" s="1" t="s">
        <v>372</v>
      </c>
      <c r="E90" s="1" t="s">
        <v>373</v>
      </c>
      <c r="F90" s="1" t="s">
        <v>112</v>
      </c>
      <c r="G90" s="1">
        <v>50614</v>
      </c>
    </row>
    <row r="91" spans="1:10" x14ac:dyDescent="0.25">
      <c r="A91" s="1" t="str">
        <f t="shared" si="1"/>
        <v>03 EE2 50.6 ng_L</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374</v>
      </c>
      <c r="D91" s="1" t="s">
        <v>239</v>
      </c>
      <c r="E91" s="1" t="s">
        <v>375</v>
      </c>
      <c r="F91" s="1" t="s">
        <v>112</v>
      </c>
      <c r="G91" s="1">
        <v>24161</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240</v>
      </c>
      <c r="D93" s="1" t="s">
        <v>112</v>
      </c>
      <c r="E93" s="1" t="s">
        <v>241</v>
      </c>
      <c r="F93" s="1" t="s">
        <v>242</v>
      </c>
      <c r="G93" s="1" t="s">
        <v>243</v>
      </c>
      <c r="H93" s="1" t="s">
        <v>244</v>
      </c>
      <c r="I93" s="1" t="s">
        <v>245</v>
      </c>
      <c r="J93" s="1" t="s">
        <v>246</v>
      </c>
    </row>
    <row r="94" spans="1:10" x14ac:dyDescent="0.25">
      <c r="A94" s="1" t="str">
        <f t="shared" si="1"/>
        <v>03 EE2 50.6 ng_L</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376</v>
      </c>
      <c r="D94" s="1" t="s">
        <v>112</v>
      </c>
      <c r="E94" s="1" t="s">
        <v>377</v>
      </c>
      <c r="F94" s="1" t="s">
        <v>378</v>
      </c>
      <c r="G94" s="1" t="s">
        <v>379</v>
      </c>
      <c r="H94" s="1" t="s">
        <v>380</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252</v>
      </c>
      <c r="D100" s="1" t="s">
        <v>110</v>
      </c>
      <c r="E100" s="1" t="s">
        <v>111</v>
      </c>
      <c r="F100" s="1" t="s">
        <v>112</v>
      </c>
      <c r="G100" s="1" t="s">
        <v>113</v>
      </c>
    </row>
    <row r="101" spans="1:7" x14ac:dyDescent="0.25">
      <c r="A101" s="1" t="str">
        <f t="shared" si="1"/>
        <v>04 EE2 76 ng_L</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381</v>
      </c>
      <c r="D101" s="1" t="s">
        <v>382</v>
      </c>
      <c r="E101" s="1" t="s">
        <v>383</v>
      </c>
      <c r="F101" s="1" t="s">
        <v>112</v>
      </c>
      <c r="G101" s="1">
        <v>879991</v>
      </c>
    </row>
    <row r="102" spans="1:7" x14ac:dyDescent="0.25">
      <c r="A102" s="1" t="str">
        <f t="shared" si="1"/>
        <v>04 EE2 76 ng_L</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384</v>
      </c>
      <c r="D102" s="1" t="s">
        <v>385</v>
      </c>
      <c r="E102" s="1" t="s">
        <v>386</v>
      </c>
      <c r="F102" s="1" t="s">
        <v>112</v>
      </c>
      <c r="G102" s="1">
        <v>503241</v>
      </c>
    </row>
    <row r="103" spans="1:7" x14ac:dyDescent="0.25">
      <c r="A103" s="1" t="str">
        <f t="shared" si="1"/>
        <v>04 EE2 76 ng_L</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387</v>
      </c>
      <c r="D103" s="1" t="s">
        <v>388</v>
      </c>
      <c r="E103" s="1" t="s">
        <v>389</v>
      </c>
      <c r="F103" s="1" t="s">
        <v>112</v>
      </c>
      <c r="G103" s="1">
        <v>386375</v>
      </c>
    </row>
    <row r="104" spans="1:7" x14ac:dyDescent="0.25">
      <c r="A104" s="1" t="str">
        <f t="shared" si="1"/>
        <v>04 EE2 76 ng_L</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390</v>
      </c>
      <c r="D104" s="1" t="s">
        <v>391</v>
      </c>
      <c r="E104" s="1" t="s">
        <v>392</v>
      </c>
      <c r="F104" s="1" t="s">
        <v>112</v>
      </c>
      <c r="G104" s="1">
        <v>198800</v>
      </c>
    </row>
    <row r="105" spans="1:7" x14ac:dyDescent="0.25">
      <c r="A105" s="1" t="str">
        <f t="shared" si="1"/>
        <v>04 EE2 76 ng_L</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393</v>
      </c>
      <c r="D105" s="1" t="s">
        <v>394</v>
      </c>
      <c r="E105" s="1" t="s">
        <v>395</v>
      </c>
      <c r="F105" s="1" t="s">
        <v>112</v>
      </c>
      <c r="G105" s="1">
        <v>247922</v>
      </c>
    </row>
    <row r="106" spans="1:7" x14ac:dyDescent="0.25">
      <c r="A106" s="1" t="str">
        <f t="shared" si="1"/>
        <v>04 EE2 76 ng_L</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396</v>
      </c>
      <c r="D106" s="1" t="s">
        <v>397</v>
      </c>
      <c r="E106" s="1" t="s">
        <v>398</v>
      </c>
      <c r="F106" s="1" t="s">
        <v>112</v>
      </c>
      <c r="G106" s="1">
        <v>362733</v>
      </c>
    </row>
    <row r="107" spans="1:7" x14ac:dyDescent="0.25">
      <c r="A107" s="1" t="str">
        <f t="shared" si="1"/>
        <v>04 EE2 76 ng_L</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399</v>
      </c>
      <c r="D107" s="1" t="s">
        <v>151</v>
      </c>
      <c r="E107" s="1" t="s">
        <v>400</v>
      </c>
      <c r="F107" s="1" t="s">
        <v>112</v>
      </c>
      <c r="G107" s="1">
        <v>230813</v>
      </c>
    </row>
    <row r="108" spans="1:7" x14ac:dyDescent="0.25">
      <c r="A108" s="1" t="str">
        <f t="shared" si="1"/>
        <v>04 EE2 76 ng_L</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401</v>
      </c>
      <c r="D108" s="1" t="s">
        <v>402</v>
      </c>
      <c r="E108" s="1" t="s">
        <v>403</v>
      </c>
      <c r="F108" s="1" t="s">
        <v>112</v>
      </c>
      <c r="G108" s="1">
        <v>275911</v>
      </c>
    </row>
    <row r="109" spans="1:7" x14ac:dyDescent="0.25">
      <c r="A109" s="1" t="str">
        <f t="shared" si="1"/>
        <v>04 EE2 76 ng_L</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404</v>
      </c>
      <c r="D109" s="1" t="s">
        <v>405</v>
      </c>
      <c r="E109" s="1" t="s">
        <v>406</v>
      </c>
      <c r="F109" s="1" t="s">
        <v>112</v>
      </c>
      <c r="G109" s="1">
        <v>249198</v>
      </c>
    </row>
    <row r="110" spans="1:7" x14ac:dyDescent="0.25">
      <c r="A110" s="1" t="str">
        <f t="shared" si="1"/>
        <v>04 EE2 76 ng_L</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407</v>
      </c>
      <c r="D110" s="1" t="s">
        <v>408</v>
      </c>
      <c r="E110" s="1" t="s">
        <v>409</v>
      </c>
      <c r="F110" s="1" t="s">
        <v>112</v>
      </c>
      <c r="G110" s="1">
        <v>114401</v>
      </c>
    </row>
    <row r="111" spans="1:7" x14ac:dyDescent="0.25">
      <c r="A111" s="1" t="str">
        <f t="shared" si="1"/>
        <v>04 EE2 76 ng_L</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410</v>
      </c>
      <c r="D111" s="1" t="s">
        <v>411</v>
      </c>
      <c r="E111" s="1" t="s">
        <v>412</v>
      </c>
      <c r="F111" s="1" t="s">
        <v>112</v>
      </c>
      <c r="G111" s="1">
        <v>166485</v>
      </c>
    </row>
    <row r="112" spans="1:7" x14ac:dyDescent="0.25">
      <c r="A112" s="1" t="str">
        <f t="shared" si="1"/>
        <v>04 EE2 76 ng_L</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413</v>
      </c>
      <c r="D112" s="1" t="s">
        <v>216</v>
      </c>
      <c r="E112" s="1" t="s">
        <v>414</v>
      </c>
      <c r="F112" s="1" t="s">
        <v>112</v>
      </c>
      <c r="G112" s="1">
        <v>22127</v>
      </c>
    </row>
    <row r="113" spans="1:10" x14ac:dyDescent="0.25">
      <c r="A113" s="1" t="str">
        <f t="shared" si="1"/>
        <v>04 EE2 76 ng_L</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415</v>
      </c>
      <c r="D113" s="1" t="s">
        <v>416</v>
      </c>
      <c r="E113" s="1" t="s">
        <v>417</v>
      </c>
      <c r="F113" s="1" t="s">
        <v>112</v>
      </c>
      <c r="G113" s="1">
        <v>23447</v>
      </c>
    </row>
    <row r="114" spans="1:10" x14ac:dyDescent="0.25">
      <c r="A114" s="1" t="str">
        <f t="shared" si="1"/>
        <v>04 EE2 76 ng_L</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418</v>
      </c>
      <c r="D114" s="1" t="s">
        <v>419</v>
      </c>
      <c r="E114" s="1" t="s">
        <v>420</v>
      </c>
      <c r="F114" s="1" t="s">
        <v>112</v>
      </c>
      <c r="G114" s="1">
        <v>207669</v>
      </c>
    </row>
    <row r="115" spans="1:10" x14ac:dyDescent="0.25">
      <c r="A115" s="1" t="str">
        <f t="shared" si="1"/>
        <v>04 EE2 76 ng_L</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421</v>
      </c>
      <c r="D115" s="1" t="s">
        <v>422</v>
      </c>
      <c r="E115" s="1" t="s">
        <v>423</v>
      </c>
      <c r="F115" s="1" t="s">
        <v>112</v>
      </c>
      <c r="G115" s="1">
        <v>90348</v>
      </c>
    </row>
    <row r="116" spans="1:10" x14ac:dyDescent="0.25">
      <c r="A116" s="1" t="str">
        <f t="shared" si="1"/>
        <v>04 EE2 76 ng_L</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424</v>
      </c>
      <c r="D116" s="1" t="s">
        <v>425</v>
      </c>
      <c r="E116" s="1" t="s">
        <v>426</v>
      </c>
      <c r="F116" s="1" t="s">
        <v>112</v>
      </c>
      <c r="G116" s="1">
        <v>395200</v>
      </c>
    </row>
    <row r="117" spans="1:10" x14ac:dyDescent="0.25">
      <c r="A117" s="1" t="str">
        <f t="shared" si="1"/>
        <v>04 EE2 76 ng_L</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427</v>
      </c>
      <c r="D117" s="1" t="s">
        <v>428</v>
      </c>
      <c r="E117" s="1" t="s">
        <v>429</v>
      </c>
      <c r="F117" s="1" t="s">
        <v>112</v>
      </c>
      <c r="G117" s="1">
        <v>223653</v>
      </c>
    </row>
    <row r="118" spans="1:10" x14ac:dyDescent="0.25">
      <c r="A118" s="1" t="str">
        <f t="shared" si="1"/>
        <v>04 EE2 76 ng_L</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430</v>
      </c>
      <c r="D118" s="1" t="s">
        <v>431</v>
      </c>
      <c r="E118" s="1" t="s">
        <v>432</v>
      </c>
      <c r="F118" s="1" t="s">
        <v>112</v>
      </c>
      <c r="G118" s="1">
        <v>421956</v>
      </c>
    </row>
    <row r="119" spans="1:10" x14ac:dyDescent="0.25">
      <c r="A119" s="1" t="str">
        <f t="shared" si="1"/>
        <v>04 EE2 76 ng_L</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433</v>
      </c>
      <c r="D119" s="1" t="s">
        <v>434</v>
      </c>
      <c r="E119" s="1" t="s">
        <v>435</v>
      </c>
      <c r="F119" s="1" t="s">
        <v>112</v>
      </c>
      <c r="G119" s="1">
        <v>2752902</v>
      </c>
    </row>
    <row r="120" spans="1:10" x14ac:dyDescent="0.25">
      <c r="A120" s="1" t="str">
        <f t="shared" si="1"/>
        <v>04 EE2 76 ng_L</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436</v>
      </c>
      <c r="D120" s="1" t="s">
        <v>437</v>
      </c>
      <c r="E120" s="1" t="s">
        <v>438</v>
      </c>
      <c r="F120" s="1" t="s">
        <v>112</v>
      </c>
      <c r="G120" s="1">
        <v>2792419</v>
      </c>
    </row>
    <row r="121" spans="1:10" x14ac:dyDescent="0.25">
      <c r="A121" s="1" t="str">
        <f t="shared" si="1"/>
        <v>04 EE2 76 ng_L</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439</v>
      </c>
      <c r="D121" s="1" t="s">
        <v>440</v>
      </c>
      <c r="E121" s="1" t="s">
        <v>441</v>
      </c>
      <c r="F121" s="1" t="s">
        <v>112</v>
      </c>
      <c r="G121" s="1">
        <v>2765620</v>
      </c>
    </row>
    <row r="122" spans="1:10" x14ac:dyDescent="0.25">
      <c r="A122" s="1" t="str">
        <f t="shared" si="1"/>
        <v>04 EE2 76 ng_L</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442</v>
      </c>
      <c r="D122" s="1" t="s">
        <v>443</v>
      </c>
      <c r="E122" s="1" t="s">
        <v>444</v>
      </c>
      <c r="F122" s="1" t="s">
        <v>112</v>
      </c>
      <c r="G122" s="1">
        <v>49879</v>
      </c>
    </row>
    <row r="123" spans="1:10" x14ac:dyDescent="0.25">
      <c r="A123" s="1" t="str">
        <f t="shared" si="1"/>
        <v>04 EE2 76 ng_L</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445</v>
      </c>
      <c r="D123" s="1" t="s">
        <v>326</v>
      </c>
      <c r="E123" s="1" t="s">
        <v>446</v>
      </c>
      <c r="F123" s="1" t="s">
        <v>112</v>
      </c>
      <c r="G123" s="1">
        <v>28789</v>
      </c>
    </row>
    <row r="124" spans="1:10" x14ac:dyDescent="0.25">
      <c r="A124" s="1" t="str">
        <f t="shared" si="1"/>
        <v>04 EE2 76 ng_L</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447</v>
      </c>
      <c r="D124" s="1" t="s">
        <v>448</v>
      </c>
      <c r="E124" s="1">
        <v>65</v>
      </c>
      <c r="F124" s="1" t="s">
        <v>112</v>
      </c>
      <c r="G124" s="1">
        <v>8436</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240</v>
      </c>
      <c r="D126" s="1" t="s">
        <v>112</v>
      </c>
      <c r="E126" s="1" t="s">
        <v>241</v>
      </c>
      <c r="F126" s="1" t="s">
        <v>242</v>
      </c>
      <c r="G126" s="1" t="s">
        <v>243</v>
      </c>
      <c r="H126" s="1" t="s">
        <v>244</v>
      </c>
      <c r="I126" s="1" t="s">
        <v>245</v>
      </c>
      <c r="J126" s="1" t="s">
        <v>246</v>
      </c>
    </row>
    <row r="127" spans="1:10" x14ac:dyDescent="0.25">
      <c r="A127" s="1" t="str">
        <f t="shared" si="1"/>
        <v>04 EE2 76 ng_L</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449</v>
      </c>
      <c r="D127" s="1" t="s">
        <v>112</v>
      </c>
      <c r="E127" s="1" t="s">
        <v>450</v>
      </c>
      <c r="F127" s="1" t="s">
        <v>451</v>
      </c>
      <c r="G127" s="1" t="s">
        <v>452</v>
      </c>
      <c r="H127" s="1" t="s">
        <v>453</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252</v>
      </c>
      <c r="D133" s="1" t="s">
        <v>110</v>
      </c>
      <c r="E133" s="1" t="s">
        <v>111</v>
      </c>
      <c r="F133" s="1" t="s">
        <v>112</v>
      </c>
      <c r="G133" s="1" t="s">
        <v>113</v>
      </c>
    </row>
    <row r="134" spans="1:7" x14ac:dyDescent="0.25">
      <c r="A134" s="1" t="str">
        <f t="shared" si="2"/>
        <v>05 EE2 114 ng_L</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454</v>
      </c>
      <c r="D134" s="1" t="s">
        <v>455</v>
      </c>
      <c r="E134" s="1" t="s">
        <v>456</v>
      </c>
      <c r="F134" s="1" t="s">
        <v>112</v>
      </c>
      <c r="G134" s="1">
        <v>654348</v>
      </c>
    </row>
    <row r="135" spans="1:7" x14ac:dyDescent="0.25">
      <c r="A135" s="1" t="str">
        <f t="shared" si="2"/>
        <v>05 EE2 114 ng_L</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457</v>
      </c>
      <c r="D135" s="1" t="s">
        <v>458</v>
      </c>
      <c r="E135" s="1" t="s">
        <v>459</v>
      </c>
      <c r="F135" s="1" t="s">
        <v>112</v>
      </c>
      <c r="G135" s="1">
        <v>511807</v>
      </c>
    </row>
    <row r="136" spans="1:7" x14ac:dyDescent="0.25">
      <c r="A136" s="1" t="str">
        <f t="shared" si="2"/>
        <v>05 EE2 114 ng_L</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460</v>
      </c>
      <c r="D136" s="1" t="s">
        <v>461</v>
      </c>
      <c r="E136" s="1" t="s">
        <v>462</v>
      </c>
      <c r="F136" s="1" t="s">
        <v>112</v>
      </c>
      <c r="G136" s="1">
        <v>545830</v>
      </c>
    </row>
    <row r="137" spans="1:7" x14ac:dyDescent="0.25">
      <c r="A137" s="1" t="str">
        <f t="shared" si="2"/>
        <v>05 EE2 114 ng_L</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463</v>
      </c>
      <c r="D137" s="1" t="s">
        <v>464</v>
      </c>
      <c r="E137" s="1" t="s">
        <v>465</v>
      </c>
      <c r="F137" s="1" t="s">
        <v>112</v>
      </c>
      <c r="G137" s="1">
        <v>914966</v>
      </c>
    </row>
    <row r="138" spans="1:7" x14ac:dyDescent="0.25">
      <c r="A138" s="1" t="str">
        <f t="shared" si="2"/>
        <v>05 EE2 114 ng_L</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466</v>
      </c>
      <c r="D138" s="1" t="s">
        <v>467</v>
      </c>
      <c r="E138" s="1" t="s">
        <v>468</v>
      </c>
      <c r="F138" s="1" t="s">
        <v>112</v>
      </c>
      <c r="G138" s="1">
        <v>651817</v>
      </c>
    </row>
    <row r="139" spans="1:7" x14ac:dyDescent="0.25">
      <c r="A139" s="1" t="str">
        <f t="shared" si="2"/>
        <v>05 EE2 114 ng_L</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469</v>
      </c>
      <c r="D139" s="1" t="s">
        <v>470</v>
      </c>
      <c r="E139" s="1" t="s">
        <v>471</v>
      </c>
      <c r="F139" s="1" t="s">
        <v>112</v>
      </c>
      <c r="G139" s="1">
        <v>959372</v>
      </c>
    </row>
    <row r="140" spans="1:7" x14ac:dyDescent="0.25">
      <c r="A140" s="1" t="str">
        <f t="shared" si="2"/>
        <v>05 EE2 114 ng_L</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472</v>
      </c>
      <c r="D140" s="1" t="s">
        <v>473</v>
      </c>
      <c r="E140" s="1" t="s">
        <v>474</v>
      </c>
      <c r="F140" s="1" t="s">
        <v>112</v>
      </c>
      <c r="G140" s="1">
        <v>940511</v>
      </c>
    </row>
    <row r="141" spans="1:7" x14ac:dyDescent="0.25">
      <c r="A141" s="1" t="str">
        <f t="shared" si="2"/>
        <v>05 EE2 114 ng_L</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475</v>
      </c>
      <c r="D141" s="1" t="s">
        <v>476</v>
      </c>
      <c r="E141" s="1" t="s">
        <v>477</v>
      </c>
      <c r="F141" s="1" t="s">
        <v>112</v>
      </c>
      <c r="G141" s="1">
        <v>523422</v>
      </c>
    </row>
    <row r="142" spans="1:7" x14ac:dyDescent="0.25">
      <c r="A142" s="1" t="str">
        <f t="shared" si="2"/>
        <v>05 EE2 114 ng_L</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478</v>
      </c>
      <c r="D142" s="1" t="s">
        <v>479</v>
      </c>
      <c r="E142" s="1" t="s">
        <v>480</v>
      </c>
      <c r="F142" s="1" t="s">
        <v>112</v>
      </c>
      <c r="G142" s="1">
        <v>687268</v>
      </c>
    </row>
    <row r="143" spans="1:7" x14ac:dyDescent="0.25">
      <c r="A143" s="1" t="str">
        <f t="shared" si="2"/>
        <v>05 EE2 114 ng_L</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481</v>
      </c>
      <c r="D143" s="1" t="s">
        <v>482</v>
      </c>
      <c r="E143" s="1" t="s">
        <v>483</v>
      </c>
      <c r="F143" s="1" t="s">
        <v>112</v>
      </c>
      <c r="G143" s="1">
        <v>1545932</v>
      </c>
    </row>
    <row r="144" spans="1:7" x14ac:dyDescent="0.25">
      <c r="A144" s="1" t="str">
        <f t="shared" si="2"/>
        <v>05 EE2 114 ng_L</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484</v>
      </c>
      <c r="D144" s="1" t="s">
        <v>485</v>
      </c>
      <c r="E144" s="1" t="s">
        <v>486</v>
      </c>
      <c r="F144" s="1" t="s">
        <v>112</v>
      </c>
      <c r="G144" s="1">
        <v>2094293</v>
      </c>
    </row>
    <row r="145" spans="1:10" x14ac:dyDescent="0.25">
      <c r="A145" s="1" t="str">
        <f t="shared" si="2"/>
        <v>05 EE2 114 ng_L</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487</v>
      </c>
      <c r="D145" s="1" t="s">
        <v>488</v>
      </c>
      <c r="E145" s="1" t="s">
        <v>489</v>
      </c>
      <c r="F145" s="1" t="s">
        <v>112</v>
      </c>
      <c r="G145" s="1">
        <v>2574758</v>
      </c>
    </row>
    <row r="146" spans="1:10" x14ac:dyDescent="0.25">
      <c r="A146" s="1" t="str">
        <f t="shared" si="2"/>
        <v>05 EE2 114 ng_L</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490</v>
      </c>
      <c r="D146" s="1" t="s">
        <v>491</v>
      </c>
      <c r="E146" s="1" t="s">
        <v>492</v>
      </c>
      <c r="F146" s="1" t="s">
        <v>112</v>
      </c>
      <c r="G146" s="1">
        <v>277057</v>
      </c>
    </row>
    <row r="147" spans="1:10" x14ac:dyDescent="0.25">
      <c r="A147" s="1" t="str">
        <f t="shared" si="2"/>
        <v>05 EE2 114 ng_L</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493</v>
      </c>
      <c r="D147" s="1" t="s">
        <v>189</v>
      </c>
      <c r="E147" s="1" t="s">
        <v>494</v>
      </c>
      <c r="F147" s="1" t="s">
        <v>112</v>
      </c>
      <c r="G147" s="1">
        <v>217986</v>
      </c>
    </row>
    <row r="148" spans="1:10" x14ac:dyDescent="0.25">
      <c r="A148" s="1" t="str">
        <f t="shared" si="2"/>
        <v>05 EE2 114 ng_L</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495</v>
      </c>
      <c r="D148" s="1" t="s">
        <v>496</v>
      </c>
      <c r="E148" s="1" t="s">
        <v>497</v>
      </c>
      <c r="F148" s="1" t="s">
        <v>112</v>
      </c>
      <c r="G148" s="1">
        <v>555542</v>
      </c>
    </row>
    <row r="149" spans="1:10" x14ac:dyDescent="0.25">
      <c r="A149" s="1" t="str">
        <f t="shared" si="2"/>
        <v>05 EE2 114 ng_L</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498</v>
      </c>
      <c r="D149" s="1" t="s">
        <v>499</v>
      </c>
      <c r="E149" s="1" t="s">
        <v>500</v>
      </c>
      <c r="F149" s="1" t="s">
        <v>112</v>
      </c>
      <c r="G149" s="1">
        <v>3139147</v>
      </c>
    </row>
    <row r="150" spans="1:10" x14ac:dyDescent="0.25">
      <c r="A150" s="1" t="str">
        <f t="shared" si="2"/>
        <v>05 EE2 114 ng_L</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501</v>
      </c>
      <c r="D150" s="1" t="s">
        <v>502</v>
      </c>
      <c r="E150" s="1" t="s">
        <v>503</v>
      </c>
      <c r="F150" s="1" t="s">
        <v>112</v>
      </c>
      <c r="G150" s="1">
        <v>3270418</v>
      </c>
    </row>
    <row r="151" spans="1:10" x14ac:dyDescent="0.25">
      <c r="A151" s="1" t="str">
        <f t="shared" si="2"/>
        <v>05 EE2 114 ng_L</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504</v>
      </c>
      <c r="D151" s="1" t="s">
        <v>505</v>
      </c>
      <c r="E151" s="1" t="s">
        <v>506</v>
      </c>
      <c r="F151" s="1" t="s">
        <v>112</v>
      </c>
      <c r="G151" s="1">
        <v>2899833</v>
      </c>
    </row>
    <row r="152" spans="1:10" x14ac:dyDescent="0.25">
      <c r="A152" s="1" t="str">
        <f t="shared" si="2"/>
        <v>05 EE2 114 ng_L</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507</v>
      </c>
      <c r="D152" s="1" t="s">
        <v>508</v>
      </c>
      <c r="E152" s="1" t="s">
        <v>509</v>
      </c>
      <c r="F152" s="1" t="s">
        <v>112</v>
      </c>
      <c r="G152" s="1">
        <v>1377240</v>
      </c>
    </row>
    <row r="153" spans="1:10" x14ac:dyDescent="0.25">
      <c r="A153" s="1" t="str">
        <f t="shared" si="2"/>
        <v>05 EE2 114 ng_L</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510</v>
      </c>
      <c r="D153" s="1" t="s">
        <v>511</v>
      </c>
      <c r="E153" s="1" t="s">
        <v>512</v>
      </c>
      <c r="F153" s="1" t="s">
        <v>112</v>
      </c>
      <c r="G153" s="1">
        <v>1586553</v>
      </c>
    </row>
    <row r="154" spans="1:10" x14ac:dyDescent="0.25">
      <c r="A154" s="1" t="str">
        <f t="shared" si="2"/>
        <v>05 EE2 114 ng_L</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513</v>
      </c>
      <c r="D154" s="1" t="s">
        <v>514</v>
      </c>
      <c r="E154" s="1" t="s">
        <v>515</v>
      </c>
      <c r="F154" s="1" t="s">
        <v>112</v>
      </c>
      <c r="G154" s="1">
        <v>1088222</v>
      </c>
    </row>
    <row r="155" spans="1:10" x14ac:dyDescent="0.25">
      <c r="A155" s="1" t="str">
        <f t="shared" si="2"/>
        <v>05 EE2 114 ng_L</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516</v>
      </c>
      <c r="D155" s="1" t="s">
        <v>517</v>
      </c>
      <c r="E155" s="1" t="s">
        <v>518</v>
      </c>
      <c r="F155" s="1" t="s">
        <v>112</v>
      </c>
      <c r="G155" s="1">
        <v>2797178</v>
      </c>
    </row>
    <row r="156" spans="1:10" x14ac:dyDescent="0.25">
      <c r="A156" s="1" t="str">
        <f t="shared" si="2"/>
        <v>05 EE2 114 ng_L</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519</v>
      </c>
      <c r="D156" s="1" t="s">
        <v>520</v>
      </c>
      <c r="E156" s="1" t="s">
        <v>521</v>
      </c>
      <c r="F156" s="1" t="s">
        <v>112</v>
      </c>
      <c r="G156" s="1">
        <v>1531872</v>
      </c>
    </row>
    <row r="157" spans="1:10" x14ac:dyDescent="0.25">
      <c r="A157" s="1" t="str">
        <f t="shared" si="2"/>
        <v>05 EE2 114 ng_L</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522</v>
      </c>
      <c r="D157" s="1" t="s">
        <v>523</v>
      </c>
      <c r="E157" s="1" t="s">
        <v>524</v>
      </c>
      <c r="F157" s="1" t="s">
        <v>112</v>
      </c>
      <c r="G157" s="1">
        <v>2627881</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240</v>
      </c>
      <c r="D159" s="1" t="s">
        <v>112</v>
      </c>
      <c r="E159" s="1" t="s">
        <v>241</v>
      </c>
      <c r="F159" s="1" t="s">
        <v>242</v>
      </c>
      <c r="G159" s="1" t="s">
        <v>243</v>
      </c>
      <c r="H159" s="1" t="s">
        <v>244</v>
      </c>
      <c r="I159" s="1" t="s">
        <v>245</v>
      </c>
      <c r="J159" s="1" t="s">
        <v>246</v>
      </c>
    </row>
    <row r="160" spans="1:10" x14ac:dyDescent="0.25">
      <c r="A160" s="1" t="str">
        <f t="shared" si="2"/>
        <v>05 EE2 114 ng_L</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525</v>
      </c>
      <c r="D160" s="1" t="s">
        <v>112</v>
      </c>
      <c r="E160" s="1" t="s">
        <v>526</v>
      </c>
      <c r="F160" s="1" t="s">
        <v>527</v>
      </c>
      <c r="G160" s="1" t="s">
        <v>528</v>
      </c>
      <c r="H160" s="1" t="s">
        <v>529</v>
      </c>
      <c r="I160" s="1">
        <v>24</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252</v>
      </c>
      <c r="D166" s="1" t="s">
        <v>110</v>
      </c>
      <c r="E166" s="1" t="s">
        <v>111</v>
      </c>
      <c r="F166" s="1" t="s">
        <v>112</v>
      </c>
      <c r="G166" s="1" t="s">
        <v>113</v>
      </c>
    </row>
    <row r="167" spans="1:7" x14ac:dyDescent="0.25">
      <c r="A167" s="1" t="str">
        <f t="shared" si="2"/>
        <v>06 EE2 170.9 ng_L</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530</v>
      </c>
      <c r="D167" s="1" t="s">
        <v>531</v>
      </c>
      <c r="E167" s="1" t="s">
        <v>532</v>
      </c>
      <c r="F167" s="1" t="s">
        <v>112</v>
      </c>
      <c r="G167" s="1">
        <v>1278046</v>
      </c>
    </row>
    <row r="168" spans="1:7" x14ac:dyDescent="0.25">
      <c r="A168" s="1" t="str">
        <f t="shared" si="2"/>
        <v>06 EE2 170.9 ng_L</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533</v>
      </c>
      <c r="D168" s="1" t="s">
        <v>534</v>
      </c>
      <c r="E168" s="1" t="s">
        <v>535</v>
      </c>
      <c r="F168" s="1" t="s">
        <v>112</v>
      </c>
      <c r="G168" s="1">
        <v>1300000</v>
      </c>
    </row>
    <row r="169" spans="1:7" x14ac:dyDescent="0.25">
      <c r="A169" s="1" t="str">
        <f t="shared" si="2"/>
        <v>06 EE2 170.9 ng_L</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536</v>
      </c>
      <c r="D169" s="1" t="s">
        <v>537</v>
      </c>
      <c r="E169" s="1" t="s">
        <v>538</v>
      </c>
      <c r="F169" s="1" t="s">
        <v>112</v>
      </c>
      <c r="G169" s="1">
        <v>467336</v>
      </c>
    </row>
    <row r="170" spans="1:7" x14ac:dyDescent="0.25">
      <c r="A170" s="1" t="str">
        <f t="shared" si="2"/>
        <v>06 EE2 170.9 ng_L</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539</v>
      </c>
      <c r="D170" s="1" t="s">
        <v>540</v>
      </c>
      <c r="E170" s="1" t="s">
        <v>541</v>
      </c>
      <c r="F170" s="1" t="s">
        <v>112</v>
      </c>
      <c r="G170" s="1">
        <v>1331926</v>
      </c>
    </row>
    <row r="171" spans="1:7" x14ac:dyDescent="0.25">
      <c r="A171" s="1" t="str">
        <f t="shared" si="2"/>
        <v>06 EE2 170.9 ng_L</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542</v>
      </c>
      <c r="D171" s="1" t="s">
        <v>543</v>
      </c>
      <c r="E171" s="1" t="s">
        <v>544</v>
      </c>
      <c r="F171" s="1" t="s">
        <v>112</v>
      </c>
      <c r="G171" s="1">
        <v>1283604</v>
      </c>
    </row>
    <row r="172" spans="1:7" x14ac:dyDescent="0.25">
      <c r="A172" s="1" t="str">
        <f t="shared" si="2"/>
        <v>06 EE2 170.9 ng_L</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545</v>
      </c>
      <c r="D172" s="1" t="s">
        <v>546</v>
      </c>
      <c r="E172" s="1" t="s">
        <v>547</v>
      </c>
      <c r="F172" s="1" t="s">
        <v>112</v>
      </c>
      <c r="G172" s="1">
        <v>2273626</v>
      </c>
    </row>
    <row r="173" spans="1:7" x14ac:dyDescent="0.25">
      <c r="A173" s="1" t="str">
        <f t="shared" si="2"/>
        <v>06 EE2 170.9 ng_L</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548</v>
      </c>
      <c r="D173" s="1" t="s">
        <v>549</v>
      </c>
      <c r="E173" s="1" t="s">
        <v>550</v>
      </c>
      <c r="F173" s="1" t="s">
        <v>112</v>
      </c>
      <c r="G173" s="1">
        <v>1294376</v>
      </c>
    </row>
    <row r="174" spans="1:7" x14ac:dyDescent="0.25">
      <c r="A174" s="1" t="str">
        <f t="shared" si="2"/>
        <v>06 EE2 170.9 ng_L</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551</v>
      </c>
      <c r="D174" s="1" t="s">
        <v>552</v>
      </c>
      <c r="E174" s="1" t="s">
        <v>553</v>
      </c>
      <c r="F174" s="1" t="s">
        <v>112</v>
      </c>
      <c r="G174" s="1">
        <v>1232926</v>
      </c>
    </row>
    <row r="175" spans="1:7" x14ac:dyDescent="0.25">
      <c r="A175" s="1" t="str">
        <f t="shared" si="2"/>
        <v>06 EE2 170.9 ng_L</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554</v>
      </c>
      <c r="D175" s="1" t="s">
        <v>555</v>
      </c>
      <c r="E175" s="1" t="s">
        <v>556</v>
      </c>
      <c r="F175" s="1" t="s">
        <v>112</v>
      </c>
      <c r="G175" s="1">
        <v>1620598</v>
      </c>
    </row>
    <row r="176" spans="1:7" x14ac:dyDescent="0.25">
      <c r="A176" s="1" t="str">
        <f t="shared" si="2"/>
        <v>06 EE2 170.9 ng_L</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557</v>
      </c>
      <c r="D176" s="1" t="s">
        <v>558</v>
      </c>
      <c r="E176" s="1" t="s">
        <v>559</v>
      </c>
      <c r="F176" s="1" t="s">
        <v>112</v>
      </c>
      <c r="G176" s="1">
        <v>3023773</v>
      </c>
    </row>
    <row r="177" spans="1:10" x14ac:dyDescent="0.25">
      <c r="A177" s="1" t="str">
        <f t="shared" si="2"/>
        <v>06 EE2 170.9 ng_L</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560</v>
      </c>
      <c r="D177" s="1" t="s">
        <v>561</v>
      </c>
      <c r="E177" s="1" t="s">
        <v>562</v>
      </c>
      <c r="F177" s="1" t="s">
        <v>112</v>
      </c>
      <c r="G177" s="1">
        <v>2810653</v>
      </c>
    </row>
    <row r="178" spans="1:10" x14ac:dyDescent="0.25">
      <c r="A178" s="1" t="str">
        <f t="shared" si="2"/>
        <v>06 EE2 170.9 ng_L</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563</v>
      </c>
      <c r="D178" s="1" t="s">
        <v>564</v>
      </c>
      <c r="E178" s="1" t="s">
        <v>565</v>
      </c>
      <c r="F178" s="1" t="s">
        <v>112</v>
      </c>
      <c r="G178" s="1">
        <v>2948760</v>
      </c>
    </row>
    <row r="179" spans="1:10" x14ac:dyDescent="0.25">
      <c r="A179" s="1" t="str">
        <f t="shared" si="2"/>
        <v>06 EE2 170.9 ng_L</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566</v>
      </c>
      <c r="D179" s="1" t="s">
        <v>567</v>
      </c>
      <c r="E179" s="1" t="s">
        <v>568</v>
      </c>
      <c r="F179" s="1" t="s">
        <v>112</v>
      </c>
      <c r="G179" s="1">
        <v>3339245</v>
      </c>
    </row>
    <row r="180" spans="1:10" x14ac:dyDescent="0.25">
      <c r="A180" s="1" t="str">
        <f t="shared" si="2"/>
        <v>06 EE2 170.9 ng_L</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569</v>
      </c>
      <c r="D180" s="1" t="s">
        <v>570</v>
      </c>
      <c r="E180" s="1" t="s">
        <v>571</v>
      </c>
      <c r="F180" s="1" t="s">
        <v>112</v>
      </c>
      <c r="G180" s="1">
        <v>3097660</v>
      </c>
    </row>
    <row r="181" spans="1:10" x14ac:dyDescent="0.25">
      <c r="A181" s="1" t="str">
        <f t="shared" si="2"/>
        <v>06 EE2 170.9 ng_L</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572</v>
      </c>
      <c r="D181" s="1" t="s">
        <v>573</v>
      </c>
      <c r="E181" s="1" t="s">
        <v>574</v>
      </c>
      <c r="F181" s="1" t="s">
        <v>112</v>
      </c>
      <c r="G181" s="1">
        <v>2956201</v>
      </c>
    </row>
    <row r="182" spans="1:10" x14ac:dyDescent="0.25">
      <c r="A182" s="1" t="str">
        <f t="shared" si="2"/>
        <v>06 EE2 170.9 ng_L</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575</v>
      </c>
      <c r="D182" s="1" t="s">
        <v>576</v>
      </c>
      <c r="E182" s="1" t="s">
        <v>577</v>
      </c>
      <c r="F182" s="1" t="s">
        <v>112</v>
      </c>
      <c r="G182" s="1">
        <v>1087465</v>
      </c>
    </row>
    <row r="183" spans="1:10" x14ac:dyDescent="0.25">
      <c r="A183" s="1" t="str">
        <f t="shared" si="2"/>
        <v>06 EE2 170.9 ng_L</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578</v>
      </c>
      <c r="D183" s="1" t="s">
        <v>579</v>
      </c>
      <c r="E183" s="1" t="s">
        <v>580</v>
      </c>
      <c r="F183" s="1" t="s">
        <v>112</v>
      </c>
      <c r="G183" s="1">
        <v>1488331</v>
      </c>
    </row>
    <row r="184" spans="1:10" x14ac:dyDescent="0.25">
      <c r="A184" s="1" t="str">
        <f t="shared" si="2"/>
        <v>06 EE2 170.9 ng_L</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581</v>
      </c>
      <c r="D184" s="1" t="s">
        <v>582</v>
      </c>
      <c r="E184" s="1" t="s">
        <v>583</v>
      </c>
      <c r="F184" s="1" t="s">
        <v>112</v>
      </c>
      <c r="G184" s="1">
        <v>1430104</v>
      </c>
    </row>
    <row r="185" spans="1:10" x14ac:dyDescent="0.25">
      <c r="A185" s="1" t="str">
        <f t="shared" si="2"/>
        <v>06 EE2 170.9 ng_L</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584</v>
      </c>
      <c r="D185" s="1" t="s">
        <v>585</v>
      </c>
      <c r="E185" s="1" t="s">
        <v>586</v>
      </c>
      <c r="F185" s="1" t="s">
        <v>112</v>
      </c>
      <c r="G185" s="1">
        <v>1898521</v>
      </c>
    </row>
    <row r="186" spans="1:10" x14ac:dyDescent="0.25">
      <c r="A186" s="1" t="str">
        <f t="shared" si="2"/>
        <v>06 EE2 170.9 ng_L</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587</v>
      </c>
      <c r="D186" s="1" t="s">
        <v>485</v>
      </c>
      <c r="E186" s="1" t="s">
        <v>588</v>
      </c>
      <c r="F186" s="1" t="s">
        <v>112</v>
      </c>
      <c r="G186" s="1">
        <v>1795281</v>
      </c>
    </row>
    <row r="187" spans="1:10" x14ac:dyDescent="0.25">
      <c r="A187" s="1" t="str">
        <f t="shared" si="2"/>
        <v>06 EE2 170.9 ng_L</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589</v>
      </c>
      <c r="D187" s="1" t="s">
        <v>590</v>
      </c>
      <c r="E187" s="1" t="s">
        <v>591</v>
      </c>
      <c r="F187" s="1" t="s">
        <v>112</v>
      </c>
      <c r="G187" s="1">
        <v>2209515</v>
      </c>
    </row>
    <row r="188" spans="1:10" x14ac:dyDescent="0.25">
      <c r="A188" s="1" t="str">
        <f t="shared" si="2"/>
        <v>06 EE2 170.9 ng_L</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592</v>
      </c>
      <c r="D188" s="1" t="s">
        <v>593</v>
      </c>
      <c r="E188" s="1" t="s">
        <v>594</v>
      </c>
      <c r="F188" s="1" t="s">
        <v>112</v>
      </c>
      <c r="G188" s="1">
        <v>2174129</v>
      </c>
    </row>
    <row r="189" spans="1:10" x14ac:dyDescent="0.25">
      <c r="A189" s="1" t="str">
        <f t="shared" si="2"/>
        <v>06 EE2 170.9 ng_L</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595</v>
      </c>
      <c r="D189" s="1" t="s">
        <v>596</v>
      </c>
      <c r="E189" s="1" t="s">
        <v>597</v>
      </c>
      <c r="F189" s="1" t="s">
        <v>112</v>
      </c>
      <c r="G189" s="1">
        <v>1819226</v>
      </c>
    </row>
    <row r="190" spans="1:10" x14ac:dyDescent="0.25">
      <c r="A190" s="1" t="str">
        <f t="shared" si="2"/>
        <v>06 EE2 170.9 ng_L</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598</v>
      </c>
      <c r="D190" s="1" t="s">
        <v>599</v>
      </c>
      <c r="E190" s="1" t="s">
        <v>600</v>
      </c>
      <c r="F190" s="1" t="s">
        <v>112</v>
      </c>
      <c r="G190" s="1">
        <v>2061524</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240</v>
      </c>
      <c r="D192" s="1" t="s">
        <v>112</v>
      </c>
      <c r="E192" s="1" t="s">
        <v>241</v>
      </c>
      <c r="F192" s="1" t="s">
        <v>242</v>
      </c>
      <c r="G192" s="1" t="s">
        <v>243</v>
      </c>
      <c r="H192" s="1" t="s">
        <v>244</v>
      </c>
      <c r="I192" s="1" t="s">
        <v>245</v>
      </c>
      <c r="J192" s="1" t="s">
        <v>246</v>
      </c>
    </row>
    <row r="193" spans="1:10" x14ac:dyDescent="0.25">
      <c r="A193" s="1" t="str">
        <f t="shared" si="2"/>
        <v>06 EE2 170.9 ng_L</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601</v>
      </c>
      <c r="D193" s="1" t="s">
        <v>112</v>
      </c>
      <c r="E193" s="1" t="s">
        <v>602</v>
      </c>
      <c r="F193" s="1" t="s">
        <v>603</v>
      </c>
      <c r="G193" s="1" t="s">
        <v>604</v>
      </c>
      <c r="H193" s="1" t="s">
        <v>605</v>
      </c>
      <c r="I193" s="1">
        <v>24</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252</v>
      </c>
      <c r="D199" s="1" t="s">
        <v>110</v>
      </c>
      <c r="E199" s="1" t="s">
        <v>111</v>
      </c>
      <c r="F199" s="1" t="s">
        <v>112</v>
      </c>
      <c r="G199" s="1" t="s">
        <v>113</v>
      </c>
    </row>
    <row r="200" spans="1:10" x14ac:dyDescent="0.25">
      <c r="A200" s="1" t="str">
        <f t="shared" si="3"/>
        <v>07 EE2 488 ng_L</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606</v>
      </c>
      <c r="D200" s="1" t="s">
        <v>607</v>
      </c>
      <c r="E200" s="1" t="s">
        <v>608</v>
      </c>
      <c r="F200" s="1" t="s">
        <v>112</v>
      </c>
      <c r="G200" s="1">
        <v>4170265</v>
      </c>
    </row>
    <row r="201" spans="1:10" x14ac:dyDescent="0.25">
      <c r="A201" s="1" t="str">
        <f t="shared" si="3"/>
        <v>07 EE2 488 ng_L</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609</v>
      </c>
      <c r="D201" s="1" t="s">
        <v>610</v>
      </c>
      <c r="E201" s="1" t="s">
        <v>611</v>
      </c>
      <c r="F201" s="1" t="s">
        <v>112</v>
      </c>
      <c r="G201" s="1">
        <v>3536293</v>
      </c>
    </row>
    <row r="202" spans="1:10" x14ac:dyDescent="0.25">
      <c r="A202" s="1" t="str">
        <f t="shared" si="3"/>
        <v>07 EE2 488 ng_L</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612</v>
      </c>
      <c r="D202" s="1" t="s">
        <v>613</v>
      </c>
      <c r="E202" s="1" t="s">
        <v>614</v>
      </c>
      <c r="F202" s="1" t="s">
        <v>112</v>
      </c>
      <c r="G202" s="1">
        <v>4096572</v>
      </c>
    </row>
    <row r="203" spans="1:10" x14ac:dyDescent="0.25">
      <c r="A203" s="1" t="str">
        <f t="shared" si="3"/>
        <v>07 EE2 488 ng_L</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615</v>
      </c>
      <c r="D203" s="1" t="s">
        <v>616</v>
      </c>
      <c r="E203" s="1" t="s">
        <v>617</v>
      </c>
      <c r="F203" s="1" t="s">
        <v>112</v>
      </c>
      <c r="G203" s="1">
        <v>4208983</v>
      </c>
    </row>
    <row r="204" spans="1:10" x14ac:dyDescent="0.25">
      <c r="A204" s="1" t="str">
        <f t="shared" si="3"/>
        <v>07 EE2 488 ng_L</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618</v>
      </c>
      <c r="D204" s="1" t="s">
        <v>619</v>
      </c>
      <c r="E204" s="1" t="s">
        <v>620</v>
      </c>
      <c r="F204" s="1" t="s">
        <v>112</v>
      </c>
      <c r="G204" s="1">
        <v>3917909</v>
      </c>
    </row>
    <row r="205" spans="1:10" x14ac:dyDescent="0.25">
      <c r="A205" s="1" t="str">
        <f t="shared" si="3"/>
        <v>07 EE2 488 ng_L</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621</v>
      </c>
      <c r="D205" s="1" t="s">
        <v>622</v>
      </c>
      <c r="E205" s="1" t="s">
        <v>623</v>
      </c>
      <c r="F205" s="1" t="s">
        <v>112</v>
      </c>
      <c r="G205" s="1">
        <v>4112167</v>
      </c>
    </row>
    <row r="206" spans="1:10" x14ac:dyDescent="0.25">
      <c r="A206" s="1" t="str">
        <f t="shared" si="3"/>
        <v>07 EE2 488 ng_L</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624</v>
      </c>
      <c r="D206" s="1" t="s">
        <v>625</v>
      </c>
      <c r="E206" s="1" t="s">
        <v>626</v>
      </c>
      <c r="F206" s="1" t="s">
        <v>112</v>
      </c>
      <c r="G206" s="1">
        <v>4192090</v>
      </c>
    </row>
    <row r="207" spans="1:10" x14ac:dyDescent="0.25">
      <c r="A207" s="1" t="str">
        <f t="shared" si="3"/>
        <v>07 EE2 488 ng_L</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627</v>
      </c>
      <c r="D207" s="1" t="s">
        <v>628</v>
      </c>
      <c r="E207" s="1" t="s">
        <v>629</v>
      </c>
      <c r="F207" s="1" t="s">
        <v>112</v>
      </c>
      <c r="G207" s="1">
        <v>3889682</v>
      </c>
    </row>
    <row r="208" spans="1:10" x14ac:dyDescent="0.25">
      <c r="A208" s="1" t="str">
        <f t="shared" si="3"/>
        <v>07 EE2 488 ng_L</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630</v>
      </c>
      <c r="D208" s="1" t="s">
        <v>631</v>
      </c>
      <c r="E208" s="1" t="s">
        <v>632</v>
      </c>
      <c r="F208" s="1" t="s">
        <v>112</v>
      </c>
      <c r="G208" s="1">
        <v>4156357</v>
      </c>
    </row>
    <row r="209" spans="1:7" x14ac:dyDescent="0.25">
      <c r="A209" s="1" t="str">
        <f t="shared" si="3"/>
        <v>07 EE2 488 ng_L</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633</v>
      </c>
      <c r="D209" s="1" t="s">
        <v>634</v>
      </c>
      <c r="E209" s="1" t="s">
        <v>635</v>
      </c>
      <c r="F209" s="1" t="s">
        <v>112</v>
      </c>
      <c r="G209" s="1">
        <v>5581291</v>
      </c>
    </row>
    <row r="210" spans="1:7" x14ac:dyDescent="0.25">
      <c r="A210" s="1" t="str">
        <f t="shared" si="3"/>
        <v>07 EE2 488 ng_L</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636</v>
      </c>
      <c r="D210" s="1" t="s">
        <v>637</v>
      </c>
      <c r="E210" s="1" t="s">
        <v>638</v>
      </c>
      <c r="F210" s="1" t="s">
        <v>112</v>
      </c>
      <c r="G210" s="1">
        <v>5798629</v>
      </c>
    </row>
    <row r="211" spans="1:7" x14ac:dyDescent="0.25">
      <c r="A211" s="1" t="str">
        <f t="shared" si="3"/>
        <v>07 EE2 488 ng_L</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639</v>
      </c>
      <c r="D211" s="1" t="s">
        <v>640</v>
      </c>
      <c r="E211" s="1" t="s">
        <v>641</v>
      </c>
      <c r="F211" s="1" t="s">
        <v>112</v>
      </c>
      <c r="G211" s="1">
        <v>5711071</v>
      </c>
    </row>
    <row r="212" spans="1:7" x14ac:dyDescent="0.25">
      <c r="A212" s="1" t="str">
        <f t="shared" si="3"/>
        <v>07 EE2 488 ng_L</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642</v>
      </c>
    </row>
    <row r="213" spans="1:7" x14ac:dyDescent="0.25">
      <c r="A213" s="1" t="str">
        <f t="shared" si="3"/>
        <v>07 EE2 488 ng_L</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643</v>
      </c>
      <c r="D213" s="1" t="s">
        <v>644</v>
      </c>
      <c r="E213" s="1" t="s">
        <v>645</v>
      </c>
      <c r="F213" s="1" t="s">
        <v>112</v>
      </c>
      <c r="G213" s="1">
        <v>2454885</v>
      </c>
    </row>
    <row r="214" spans="1:7" x14ac:dyDescent="0.25">
      <c r="A214" s="1" t="str">
        <f t="shared" si="3"/>
        <v>07 EE2 488 ng_L</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646</v>
      </c>
      <c r="D214" s="1" t="s">
        <v>647</v>
      </c>
      <c r="E214" s="1" t="s">
        <v>648</v>
      </c>
      <c r="F214" s="1" t="s">
        <v>112</v>
      </c>
      <c r="G214" s="1">
        <v>2888737</v>
      </c>
    </row>
    <row r="215" spans="1:7" x14ac:dyDescent="0.25">
      <c r="A215" s="1" t="str">
        <f t="shared" si="3"/>
        <v>07 EE2 488 ng_L</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649</v>
      </c>
      <c r="D215" s="1" t="s">
        <v>650</v>
      </c>
      <c r="E215" s="1" t="s">
        <v>651</v>
      </c>
      <c r="F215" s="1" t="s">
        <v>112</v>
      </c>
      <c r="G215" s="1">
        <v>4747135</v>
      </c>
    </row>
    <row r="216" spans="1:7" x14ac:dyDescent="0.25">
      <c r="A216" s="1" t="str">
        <f t="shared" si="3"/>
        <v>07 EE2 488 ng_L</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652</v>
      </c>
      <c r="D216" s="1" t="s">
        <v>653</v>
      </c>
      <c r="E216" s="1" t="s">
        <v>654</v>
      </c>
      <c r="F216" s="1" t="s">
        <v>112</v>
      </c>
      <c r="G216" s="1">
        <v>4640737</v>
      </c>
    </row>
    <row r="217" spans="1:7" x14ac:dyDescent="0.25">
      <c r="A217" s="1" t="str">
        <f t="shared" si="3"/>
        <v>07 EE2 488 ng_L</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655</v>
      </c>
      <c r="D217" s="1" t="s">
        <v>656</v>
      </c>
      <c r="E217" s="1" t="s">
        <v>657</v>
      </c>
      <c r="F217" s="1" t="s">
        <v>112</v>
      </c>
      <c r="G217" s="1">
        <v>4600743</v>
      </c>
    </row>
    <row r="218" spans="1:7" x14ac:dyDescent="0.25">
      <c r="A218" s="1" t="str">
        <f t="shared" si="3"/>
        <v>07 EE2 488 ng_L</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658</v>
      </c>
      <c r="D218" s="1" t="s">
        <v>659</v>
      </c>
      <c r="E218" s="1" t="s">
        <v>660</v>
      </c>
      <c r="F218" s="1" t="s">
        <v>112</v>
      </c>
      <c r="G218" s="1">
        <v>5205948</v>
      </c>
    </row>
    <row r="219" spans="1:7" x14ac:dyDescent="0.25">
      <c r="A219" s="1" t="str">
        <f t="shared" si="3"/>
        <v>07 EE2 488 ng_L</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661</v>
      </c>
      <c r="D219" s="1" t="s">
        <v>662</v>
      </c>
      <c r="E219" s="1" t="s">
        <v>663</v>
      </c>
      <c r="F219" s="1" t="s">
        <v>112</v>
      </c>
      <c r="G219" s="1">
        <v>5327703</v>
      </c>
    </row>
    <row r="220" spans="1:7" x14ac:dyDescent="0.25">
      <c r="A220" s="1" t="str">
        <f t="shared" si="3"/>
        <v>07 EE2 488 ng_L</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664</v>
      </c>
      <c r="D220" s="1" t="s">
        <v>665</v>
      </c>
      <c r="E220" s="1" t="s">
        <v>666</v>
      </c>
      <c r="F220" s="1" t="s">
        <v>112</v>
      </c>
      <c r="G220" s="1">
        <v>5723746</v>
      </c>
    </row>
    <row r="221" spans="1:7" x14ac:dyDescent="0.25">
      <c r="A221" s="1" t="str">
        <f t="shared" si="3"/>
        <v>07 EE2 488 ng_L</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667</v>
      </c>
      <c r="D221" s="1" t="s">
        <v>668</v>
      </c>
      <c r="E221" s="1" t="s">
        <v>669</v>
      </c>
      <c r="F221" s="1" t="s">
        <v>112</v>
      </c>
      <c r="G221" s="1">
        <v>6251797</v>
      </c>
    </row>
    <row r="222" spans="1:7" x14ac:dyDescent="0.25">
      <c r="A222" s="1" t="str">
        <f t="shared" si="3"/>
        <v>07 EE2 488 ng_L</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670</v>
      </c>
      <c r="D222" s="1" t="s">
        <v>671</v>
      </c>
      <c r="E222" s="1" t="s">
        <v>672</v>
      </c>
      <c r="F222" s="1" t="s">
        <v>112</v>
      </c>
      <c r="G222" s="1">
        <v>6076638</v>
      </c>
    </row>
    <row r="223" spans="1:7" x14ac:dyDescent="0.25">
      <c r="A223" s="1" t="str">
        <f t="shared" si="3"/>
        <v>07 EE2 488 ng_L</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673</v>
      </c>
      <c r="D223" s="1" t="s">
        <v>674</v>
      </c>
      <c r="E223" s="1" t="s">
        <v>675</v>
      </c>
      <c r="F223" s="1" t="s">
        <v>112</v>
      </c>
      <c r="G223" s="1">
        <v>5657667</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240</v>
      </c>
      <c r="D225" s="1" t="s">
        <v>112</v>
      </c>
      <c r="E225" s="1" t="s">
        <v>241</v>
      </c>
      <c r="F225" s="1" t="s">
        <v>242</v>
      </c>
      <c r="G225" s="1" t="s">
        <v>243</v>
      </c>
      <c r="H225" s="1" t="s">
        <v>244</v>
      </c>
      <c r="I225" s="1" t="s">
        <v>245</v>
      </c>
      <c r="J225" s="1" t="s">
        <v>246</v>
      </c>
    </row>
    <row r="226" spans="1:10" x14ac:dyDescent="0.25">
      <c r="A226" s="1" t="str">
        <f t="shared" si="3"/>
        <v>07 EE2 488 ng_L</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676</v>
      </c>
      <c r="D226" s="1" t="s">
        <v>112</v>
      </c>
      <c r="E226" s="1" t="s">
        <v>677</v>
      </c>
      <c r="F226" s="1" t="s">
        <v>678</v>
      </c>
      <c r="G226" s="1" t="s">
        <v>679</v>
      </c>
      <c r="H226" s="1" t="s">
        <v>680</v>
      </c>
      <c r="I226" s="1">
        <v>24</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252</v>
      </c>
      <c r="D232" s="1" t="s">
        <v>110</v>
      </c>
      <c r="E232" s="1" t="s">
        <v>111</v>
      </c>
      <c r="F232" s="1" t="s">
        <v>112</v>
      </c>
      <c r="G232" s="1" t="s">
        <v>113</v>
      </c>
    </row>
    <row r="233" spans="1:10" x14ac:dyDescent="0.25">
      <c r="A233" s="1" t="str">
        <f t="shared" si="3"/>
        <v>08 Atrazine 0.625 mg_L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681</v>
      </c>
      <c r="D233" s="1" t="s">
        <v>682</v>
      </c>
      <c r="E233" s="1" t="s">
        <v>683</v>
      </c>
      <c r="F233" s="1" t="s">
        <v>112</v>
      </c>
      <c r="G233" s="1">
        <v>300418</v>
      </c>
    </row>
    <row r="234" spans="1:10" x14ac:dyDescent="0.25">
      <c r="A234" s="1" t="str">
        <f t="shared" si="3"/>
        <v>08 Atrazine 0.625 mg_L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684</v>
      </c>
      <c r="D234" s="1" t="s">
        <v>231</v>
      </c>
      <c r="E234" s="1" t="s">
        <v>685</v>
      </c>
      <c r="F234" s="1" t="s">
        <v>112</v>
      </c>
      <c r="G234" s="1">
        <v>144812</v>
      </c>
    </row>
    <row r="235" spans="1:10" x14ac:dyDescent="0.25">
      <c r="A235" s="1" t="str">
        <f t="shared" si="3"/>
        <v>08 Atrazine 0.625 mg_L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686</v>
      </c>
      <c r="D235" s="1" t="s">
        <v>687</v>
      </c>
      <c r="E235" s="1" t="s">
        <v>688</v>
      </c>
      <c r="F235" s="1" t="s">
        <v>112</v>
      </c>
      <c r="G235" s="1">
        <v>372359</v>
      </c>
    </row>
    <row r="236" spans="1:10" x14ac:dyDescent="0.25">
      <c r="A236" s="1" t="str">
        <f t="shared" si="3"/>
        <v>08 Atrazine 0.625 mg_L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689</v>
      </c>
      <c r="D236" s="1" t="s">
        <v>231</v>
      </c>
      <c r="E236" s="1" t="s">
        <v>690</v>
      </c>
      <c r="F236" s="1" t="s">
        <v>112</v>
      </c>
      <c r="G236" s="1">
        <v>146132</v>
      </c>
    </row>
    <row r="237" spans="1:10" x14ac:dyDescent="0.25">
      <c r="A237" s="1" t="str">
        <f t="shared" si="3"/>
        <v>08 Atrazine 0.625 mg_L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691</v>
      </c>
      <c r="D237" s="1" t="s">
        <v>335</v>
      </c>
      <c r="E237" s="1" t="s">
        <v>692</v>
      </c>
      <c r="F237" s="1" t="s">
        <v>112</v>
      </c>
      <c r="G237" s="1">
        <v>68307</v>
      </c>
    </row>
    <row r="238" spans="1:10" x14ac:dyDescent="0.25">
      <c r="A238" s="1" t="str">
        <f t="shared" si="3"/>
        <v>08 Atrazine 0.625 mg_L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693</v>
      </c>
      <c r="D238" s="1" t="s">
        <v>694</v>
      </c>
      <c r="E238" s="1" t="s">
        <v>695</v>
      </c>
      <c r="F238" s="1" t="s">
        <v>112</v>
      </c>
      <c r="G238" s="1">
        <v>108106</v>
      </c>
    </row>
    <row r="239" spans="1:10" x14ac:dyDescent="0.25">
      <c r="A239" s="1" t="str">
        <f t="shared" si="3"/>
        <v>08 Atrazine 0.625 mg_L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696</v>
      </c>
      <c r="D239" s="1" t="s">
        <v>697</v>
      </c>
      <c r="E239" s="1" t="s">
        <v>698</v>
      </c>
      <c r="F239" s="1" t="s">
        <v>112</v>
      </c>
      <c r="G239" s="1">
        <v>31385</v>
      </c>
    </row>
    <row r="240" spans="1:10" x14ac:dyDescent="0.25">
      <c r="A240" s="1" t="str">
        <f t="shared" si="3"/>
        <v>08 Atrazine 0.625 mg_L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699</v>
      </c>
      <c r="D240" s="1" t="s">
        <v>700</v>
      </c>
      <c r="E240" s="1" t="s">
        <v>701</v>
      </c>
      <c r="F240" s="1" t="s">
        <v>112</v>
      </c>
      <c r="G240" s="1">
        <v>6943</v>
      </c>
    </row>
    <row r="241" spans="1:7" x14ac:dyDescent="0.25">
      <c r="A241" s="1" t="str">
        <f t="shared" si="3"/>
        <v>08 Atrazine 0.625 mg_L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702</v>
      </c>
      <c r="D241" s="1" t="s">
        <v>703</v>
      </c>
      <c r="E241" s="1" t="s">
        <v>704</v>
      </c>
      <c r="F241" s="1" t="s">
        <v>112</v>
      </c>
      <c r="G241" s="1">
        <v>160948</v>
      </c>
    </row>
    <row r="242" spans="1:7" x14ac:dyDescent="0.25">
      <c r="A242" s="1" t="str">
        <f t="shared" si="3"/>
        <v>08 Atrazine 0.625 mg_L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705</v>
      </c>
      <c r="D242" s="1" t="s">
        <v>341</v>
      </c>
      <c r="E242" s="1" t="s">
        <v>706</v>
      </c>
      <c r="F242" s="1" t="s">
        <v>112</v>
      </c>
      <c r="G242" s="1">
        <v>58768</v>
      </c>
    </row>
    <row r="243" spans="1:7" x14ac:dyDescent="0.25">
      <c r="A243" s="1" t="str">
        <f t="shared" si="3"/>
        <v>08 Atrazine 0.625 mg_L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707</v>
      </c>
      <c r="D243" s="1" t="s">
        <v>708</v>
      </c>
      <c r="E243" s="1" t="s">
        <v>709</v>
      </c>
      <c r="F243" s="1" t="s">
        <v>112</v>
      </c>
      <c r="G243" s="1">
        <v>632977</v>
      </c>
    </row>
    <row r="244" spans="1:7" x14ac:dyDescent="0.25">
      <c r="A244" s="1" t="str">
        <f t="shared" si="3"/>
        <v>08 Atrazine 0.625 mg_L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710</v>
      </c>
      <c r="D244" s="1" t="s">
        <v>711</v>
      </c>
      <c r="E244" s="1" t="s">
        <v>712</v>
      </c>
      <c r="F244" s="1" t="s">
        <v>112</v>
      </c>
      <c r="G244" s="1">
        <v>500948</v>
      </c>
    </row>
    <row r="245" spans="1:7" x14ac:dyDescent="0.25">
      <c r="A245" s="1" t="str">
        <f t="shared" si="3"/>
        <v>08 Atrazine 0.625 mg_L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713</v>
      </c>
      <c r="D245" s="1" t="s">
        <v>714</v>
      </c>
      <c r="E245" s="1" t="s">
        <v>715</v>
      </c>
      <c r="F245" s="1" t="s">
        <v>112</v>
      </c>
      <c r="G245" s="1">
        <v>514943</v>
      </c>
    </row>
    <row r="246" spans="1:7" x14ac:dyDescent="0.25">
      <c r="A246" s="1" t="str">
        <f t="shared" si="3"/>
        <v>08 Atrazine 0.625 mg_L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716</v>
      </c>
      <c r="D246" s="1" t="s">
        <v>717</v>
      </c>
      <c r="E246" s="1" t="s">
        <v>718</v>
      </c>
      <c r="F246" s="1" t="s">
        <v>112</v>
      </c>
      <c r="G246" s="1">
        <v>351724</v>
      </c>
    </row>
    <row r="247" spans="1:7" x14ac:dyDescent="0.25">
      <c r="A247" s="1" t="str">
        <f t="shared" si="3"/>
        <v>08 Atrazine 0.625 mg_L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719</v>
      </c>
      <c r="D247" s="1" t="s">
        <v>720</v>
      </c>
      <c r="E247" s="1" t="s">
        <v>721</v>
      </c>
      <c r="F247" s="1" t="s">
        <v>112</v>
      </c>
      <c r="G247" s="1">
        <v>647404</v>
      </c>
    </row>
    <row r="248" spans="1:7" x14ac:dyDescent="0.25">
      <c r="A248" s="1" t="str">
        <f t="shared" si="3"/>
        <v>08 Atrazine 0.625 mg_L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722</v>
      </c>
      <c r="D248" s="1" t="s">
        <v>723</v>
      </c>
      <c r="E248" s="1" t="s">
        <v>724</v>
      </c>
      <c r="F248" s="1" t="s">
        <v>112</v>
      </c>
      <c r="G248" s="1">
        <v>466016</v>
      </c>
    </row>
    <row r="249" spans="1:7" x14ac:dyDescent="0.25">
      <c r="A249" s="1" t="str">
        <f t="shared" si="3"/>
        <v>08 Atrazine 0.625 mg_L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725</v>
      </c>
      <c r="D249" s="1" t="s">
        <v>726</v>
      </c>
      <c r="E249" s="1" t="s">
        <v>727</v>
      </c>
      <c r="F249" s="1" t="s">
        <v>112</v>
      </c>
      <c r="G249" s="1">
        <v>232738</v>
      </c>
    </row>
    <row r="250" spans="1:7" x14ac:dyDescent="0.25">
      <c r="A250" s="1" t="str">
        <f t="shared" si="3"/>
        <v>08 Atrazine 0.625 mg_L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728</v>
      </c>
      <c r="D250" s="1" t="s">
        <v>729</v>
      </c>
      <c r="E250" s="1" t="s">
        <v>730</v>
      </c>
      <c r="F250" s="1" t="s">
        <v>112</v>
      </c>
      <c r="G250" s="1">
        <v>485959</v>
      </c>
    </row>
    <row r="251" spans="1:7" x14ac:dyDescent="0.25">
      <c r="A251" s="1" t="str">
        <f t="shared" si="3"/>
        <v>08 Atrazine 0.625 mg_L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731</v>
      </c>
      <c r="D251" s="1" t="s">
        <v>306</v>
      </c>
      <c r="E251" s="1" t="s">
        <v>732</v>
      </c>
      <c r="F251" s="1" t="s">
        <v>112</v>
      </c>
      <c r="G251" s="1">
        <v>223177</v>
      </c>
    </row>
    <row r="252" spans="1:7" x14ac:dyDescent="0.25">
      <c r="A252" s="1" t="str">
        <f t="shared" si="3"/>
        <v>08 Atrazine 0.625 mg_L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733</v>
      </c>
      <c r="D252" s="1" t="s">
        <v>734</v>
      </c>
      <c r="E252" s="1" t="s">
        <v>735</v>
      </c>
      <c r="F252" s="1" t="s">
        <v>112</v>
      </c>
      <c r="G252" s="1">
        <v>57168</v>
      </c>
    </row>
    <row r="253" spans="1:7" x14ac:dyDescent="0.25">
      <c r="A253" s="1" t="str">
        <f t="shared" si="3"/>
        <v>08 Atrazine 0.625 mg_L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736</v>
      </c>
      <c r="D253" s="1" t="s">
        <v>737</v>
      </c>
      <c r="E253" s="1" t="s">
        <v>738</v>
      </c>
      <c r="F253" s="1" t="s">
        <v>112</v>
      </c>
      <c r="G253" s="1">
        <v>117926</v>
      </c>
    </row>
    <row r="254" spans="1:7" x14ac:dyDescent="0.25">
      <c r="A254" s="1" t="str">
        <f t="shared" si="3"/>
        <v>08 Atrazine 0.625 mg_L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739</v>
      </c>
      <c r="D254" s="1" t="s">
        <v>740</v>
      </c>
      <c r="E254" s="1" t="s">
        <v>741</v>
      </c>
      <c r="F254" s="1" t="s">
        <v>112</v>
      </c>
      <c r="G254" s="1">
        <v>389533</v>
      </c>
    </row>
    <row r="255" spans="1:7" x14ac:dyDescent="0.25">
      <c r="A255" s="1" t="str">
        <f t="shared" si="3"/>
        <v>08 Atrazine 0.625 mg_L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742</v>
      </c>
      <c r="D255" s="1" t="s">
        <v>743</v>
      </c>
      <c r="E255" s="1" t="s">
        <v>744</v>
      </c>
      <c r="F255" s="1" t="s">
        <v>112</v>
      </c>
      <c r="G255" s="1">
        <v>64500</v>
      </c>
    </row>
    <row r="256" spans="1:7" x14ac:dyDescent="0.25">
      <c r="A256" s="1" t="str">
        <f t="shared" si="3"/>
        <v>08 Atrazine 0.625 mg_L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745</v>
      </c>
      <c r="D256" s="1" t="s">
        <v>360</v>
      </c>
      <c r="E256" s="1" t="s">
        <v>417</v>
      </c>
      <c r="F256" s="1" t="s">
        <v>112</v>
      </c>
      <c r="G256" s="1">
        <v>93787</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240</v>
      </c>
      <c r="D258" s="1" t="s">
        <v>112</v>
      </c>
      <c r="E258" s="1" t="s">
        <v>241</v>
      </c>
      <c r="F258" s="1" t="s">
        <v>242</v>
      </c>
      <c r="G258" s="1" t="s">
        <v>243</v>
      </c>
      <c r="H258" s="1" t="s">
        <v>244</v>
      </c>
      <c r="I258" s="1" t="s">
        <v>245</v>
      </c>
      <c r="J258" s="1" t="s">
        <v>246</v>
      </c>
    </row>
    <row r="259" spans="1:10" x14ac:dyDescent="0.25">
      <c r="A259" s="1" t="str">
        <f t="shared" si="4"/>
        <v>08 Atrazine 0.625 mg_L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746</v>
      </c>
      <c r="D259" s="1" t="s">
        <v>112</v>
      </c>
      <c r="E259" s="1" t="s">
        <v>747</v>
      </c>
      <c r="F259" s="1" t="s">
        <v>748</v>
      </c>
      <c r="G259" s="1" t="s">
        <v>749</v>
      </c>
      <c r="H259" s="1" t="s">
        <v>750</v>
      </c>
      <c r="I259" s="1">
        <v>24</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252</v>
      </c>
      <c r="D265" s="1" t="s">
        <v>110</v>
      </c>
      <c r="E265" s="1" t="s">
        <v>111</v>
      </c>
      <c r="F265" s="1" t="s">
        <v>112</v>
      </c>
      <c r="G265" s="1" t="s">
        <v>113</v>
      </c>
    </row>
    <row r="266" spans="1:10" x14ac:dyDescent="0.25">
      <c r="A266" s="1" t="str">
        <f t="shared" si="4"/>
        <v>09 Atrazine 1.25 mg_L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751</v>
      </c>
      <c r="D266" s="1" t="s">
        <v>179</v>
      </c>
      <c r="E266" s="1">
        <v>62</v>
      </c>
      <c r="F266" s="1" t="s">
        <v>112</v>
      </c>
      <c r="G266" s="1">
        <v>9387</v>
      </c>
    </row>
    <row r="267" spans="1:10" x14ac:dyDescent="0.25">
      <c r="A267" s="1" t="str">
        <f t="shared" si="4"/>
        <v>09 Atrazine 1.25 mg_L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752</v>
      </c>
      <c r="D267" s="1" t="s">
        <v>216</v>
      </c>
      <c r="E267" s="1" t="s">
        <v>414</v>
      </c>
      <c r="F267" s="1" t="s">
        <v>112</v>
      </c>
      <c r="G267" s="1">
        <v>22127</v>
      </c>
    </row>
    <row r="268" spans="1:10" x14ac:dyDescent="0.25">
      <c r="A268" s="1" t="str">
        <f t="shared" si="4"/>
        <v>09 Atrazine 1.25 mg_L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753</v>
      </c>
      <c r="D268" s="1" t="s">
        <v>216</v>
      </c>
      <c r="E268" s="1" t="s">
        <v>754</v>
      </c>
      <c r="F268" s="1" t="s">
        <v>112</v>
      </c>
      <c r="G268" s="1">
        <v>22257</v>
      </c>
    </row>
    <row r="269" spans="1:10" x14ac:dyDescent="0.25">
      <c r="A269" s="1" t="str">
        <f t="shared" si="4"/>
        <v>09 Atrazine 1.25 mg_L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755</v>
      </c>
      <c r="D269" s="1" t="s">
        <v>756</v>
      </c>
      <c r="E269" s="1" t="s">
        <v>757</v>
      </c>
      <c r="F269" s="1" t="s">
        <v>112</v>
      </c>
      <c r="G269" s="1">
        <v>324730</v>
      </c>
    </row>
    <row r="270" spans="1:10" x14ac:dyDescent="0.25">
      <c r="A270" s="1" t="str">
        <f t="shared" si="4"/>
        <v>09 Atrazine 1.25 mg_L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758</v>
      </c>
      <c r="D270" s="1" t="s">
        <v>687</v>
      </c>
      <c r="E270" s="1" t="s">
        <v>759</v>
      </c>
      <c r="F270" s="1" t="s">
        <v>112</v>
      </c>
      <c r="G270" s="1">
        <v>384580</v>
      </c>
    </row>
    <row r="271" spans="1:10" x14ac:dyDescent="0.25">
      <c r="A271" s="1" t="str">
        <f t="shared" si="4"/>
        <v>09 Atrazine 1.25 mg_L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760</v>
      </c>
      <c r="D271" s="1" t="s">
        <v>761</v>
      </c>
      <c r="E271" s="1" t="s">
        <v>762</v>
      </c>
      <c r="F271" s="1" t="s">
        <v>112</v>
      </c>
      <c r="G271" s="1">
        <v>340498</v>
      </c>
    </row>
    <row r="272" spans="1:10" x14ac:dyDescent="0.25">
      <c r="A272" s="1" t="str">
        <f t="shared" si="4"/>
        <v>09 Atrazine 1.25 mg_L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763</v>
      </c>
      <c r="D272" s="1" t="s">
        <v>764</v>
      </c>
      <c r="E272" s="1" t="s">
        <v>765</v>
      </c>
      <c r="F272" s="1" t="s">
        <v>112</v>
      </c>
      <c r="G272" s="1">
        <v>249198</v>
      </c>
    </row>
    <row r="273" spans="1:7" x14ac:dyDescent="0.25">
      <c r="A273" s="1" t="str">
        <f t="shared" si="4"/>
        <v>09 Atrazine 1.25 mg_L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766</v>
      </c>
      <c r="D273" s="1" t="s">
        <v>767</v>
      </c>
      <c r="E273" s="1" t="s">
        <v>768</v>
      </c>
      <c r="F273" s="1" t="s">
        <v>112</v>
      </c>
      <c r="G273" s="1">
        <v>446744</v>
      </c>
    </row>
    <row r="274" spans="1:7" x14ac:dyDescent="0.25">
      <c r="A274" s="1" t="str">
        <f t="shared" si="4"/>
        <v>09 Atrazine 1.25 mg_L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769</v>
      </c>
      <c r="D274" s="1" t="s">
        <v>770</v>
      </c>
      <c r="E274" s="1" t="s">
        <v>771</v>
      </c>
      <c r="F274" s="1" t="s">
        <v>112</v>
      </c>
      <c r="G274" s="1">
        <v>289148</v>
      </c>
    </row>
    <row r="275" spans="1:7" x14ac:dyDescent="0.25">
      <c r="A275" s="1" t="str">
        <f t="shared" si="4"/>
        <v>09 Atrazine 1.25 mg_L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772</v>
      </c>
      <c r="D275" s="1" t="s">
        <v>448</v>
      </c>
      <c r="E275" s="1" t="s">
        <v>346</v>
      </c>
      <c r="F275" s="1" t="s">
        <v>112</v>
      </c>
      <c r="G275" s="1">
        <v>8219</v>
      </c>
    </row>
    <row r="276" spans="1:7" x14ac:dyDescent="0.25">
      <c r="A276" s="1" t="str">
        <f t="shared" si="4"/>
        <v>09 Atrazine 1.25 mg_L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773</v>
      </c>
      <c r="D276" s="1" t="s">
        <v>216</v>
      </c>
      <c r="E276" s="1" t="s">
        <v>774</v>
      </c>
      <c r="F276" s="1" t="s">
        <v>112</v>
      </c>
      <c r="G276" s="1">
        <v>21846</v>
      </c>
    </row>
    <row r="277" spans="1:7" x14ac:dyDescent="0.25">
      <c r="A277" s="1" t="str">
        <f t="shared" si="4"/>
        <v>09 Atrazine 1.25 mg_L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775</v>
      </c>
      <c r="D277" s="1" t="s">
        <v>239</v>
      </c>
      <c r="E277" s="1" t="s">
        <v>776</v>
      </c>
      <c r="F277" s="1" t="s">
        <v>112</v>
      </c>
      <c r="G277" s="1">
        <v>24636</v>
      </c>
    </row>
    <row r="278" spans="1:7" x14ac:dyDescent="0.25">
      <c r="A278" s="1" t="str">
        <f t="shared" si="4"/>
        <v>09 Atrazine 1.25 mg_L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777</v>
      </c>
      <c r="D278" s="1" t="s">
        <v>778</v>
      </c>
      <c r="E278" s="1" t="s">
        <v>779</v>
      </c>
      <c r="F278" s="1" t="s">
        <v>112</v>
      </c>
      <c r="G278" s="1">
        <v>466059</v>
      </c>
    </row>
    <row r="279" spans="1:7" x14ac:dyDescent="0.25">
      <c r="A279" s="1" t="str">
        <f t="shared" si="4"/>
        <v>09 Atrazine 1.25 mg_L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780</v>
      </c>
      <c r="D279" s="1" t="s">
        <v>781</v>
      </c>
      <c r="E279" s="1" t="s">
        <v>782</v>
      </c>
      <c r="F279" s="1" t="s">
        <v>112</v>
      </c>
      <c r="G279" s="1">
        <v>737752</v>
      </c>
    </row>
    <row r="280" spans="1:7" x14ac:dyDescent="0.25">
      <c r="A280" s="1" t="str">
        <f t="shared" si="4"/>
        <v>09 Atrazine 1.25 mg_L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783</v>
      </c>
      <c r="D280" s="1" t="s">
        <v>784</v>
      </c>
      <c r="E280" s="1" t="s">
        <v>785</v>
      </c>
      <c r="F280" s="1" t="s">
        <v>112</v>
      </c>
      <c r="G280" s="1">
        <v>298579</v>
      </c>
    </row>
    <row r="281" spans="1:7" x14ac:dyDescent="0.25">
      <c r="A281" s="1" t="str">
        <f t="shared" si="4"/>
        <v>09 Atrazine 1.25 mg_L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786</v>
      </c>
      <c r="D281" s="1" t="s">
        <v>787</v>
      </c>
      <c r="E281" s="1" t="s">
        <v>788</v>
      </c>
      <c r="F281" s="1" t="s">
        <v>112</v>
      </c>
      <c r="G281" s="1">
        <v>349842</v>
      </c>
    </row>
    <row r="282" spans="1:7" x14ac:dyDescent="0.25">
      <c r="A282" s="1" t="str">
        <f t="shared" si="4"/>
        <v>09 Atrazine 1.25 mg_L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789</v>
      </c>
      <c r="D282" s="1" t="s">
        <v>790</v>
      </c>
      <c r="E282" s="1" t="s">
        <v>791</v>
      </c>
      <c r="F282" s="1" t="s">
        <v>112</v>
      </c>
      <c r="G282" s="1">
        <v>336172</v>
      </c>
    </row>
    <row r="283" spans="1:7" x14ac:dyDescent="0.25">
      <c r="A283" s="1" t="str">
        <f t="shared" si="4"/>
        <v>09 Atrazine 1.25 mg_L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792</v>
      </c>
      <c r="D283" s="1" t="s">
        <v>734</v>
      </c>
      <c r="E283" s="1" t="s">
        <v>793</v>
      </c>
      <c r="F283" s="1" t="s">
        <v>112</v>
      </c>
      <c r="G283" s="1">
        <v>57492</v>
      </c>
    </row>
    <row r="284" spans="1:7" x14ac:dyDescent="0.25">
      <c r="A284" s="1" t="str">
        <f t="shared" si="4"/>
        <v>09 Atrazine 1.25 mg_L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794</v>
      </c>
      <c r="D284" s="1" t="s">
        <v>795</v>
      </c>
      <c r="E284" s="1" t="s">
        <v>796</v>
      </c>
      <c r="F284" s="1" t="s">
        <v>112</v>
      </c>
      <c r="G284" s="1">
        <v>54096</v>
      </c>
    </row>
    <row r="285" spans="1:7" x14ac:dyDescent="0.25">
      <c r="A285" s="1" t="str">
        <f t="shared" si="4"/>
        <v>09 Atrazine 1.25 mg_L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797</v>
      </c>
      <c r="D285" s="1" t="s">
        <v>289</v>
      </c>
      <c r="E285" s="1" t="s">
        <v>798</v>
      </c>
      <c r="F285" s="1" t="s">
        <v>112</v>
      </c>
      <c r="G285" s="1">
        <v>34759</v>
      </c>
    </row>
    <row r="286" spans="1:7" x14ac:dyDescent="0.25">
      <c r="A286" s="1" t="str">
        <f t="shared" si="4"/>
        <v>09 Atrazine 1.25 mg_L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799</v>
      </c>
      <c r="D286" s="1" t="s">
        <v>173</v>
      </c>
      <c r="E286" s="1" t="s">
        <v>735</v>
      </c>
      <c r="F286" s="1" t="s">
        <v>112</v>
      </c>
      <c r="G286" s="1">
        <v>19056</v>
      </c>
    </row>
    <row r="287" spans="1:7" x14ac:dyDescent="0.25">
      <c r="A287" s="1" t="str">
        <f t="shared" si="4"/>
        <v>09 Atrazine 1.25 mg_L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800</v>
      </c>
      <c r="D287" s="1" t="s">
        <v>801</v>
      </c>
      <c r="E287" s="1" t="s">
        <v>802</v>
      </c>
      <c r="F287" s="1" t="s">
        <v>112</v>
      </c>
      <c r="G287" s="1">
        <v>408632</v>
      </c>
    </row>
    <row r="288" spans="1:7" x14ac:dyDescent="0.25">
      <c r="A288" s="1" t="str">
        <f t="shared" si="4"/>
        <v>09 Atrazine 1.25 mg_L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803</v>
      </c>
      <c r="D288" s="1" t="s">
        <v>147</v>
      </c>
      <c r="E288" s="1" t="s">
        <v>804</v>
      </c>
      <c r="F288" s="1" t="s">
        <v>112</v>
      </c>
      <c r="G288" s="1">
        <v>332170</v>
      </c>
    </row>
    <row r="289" spans="1:10" x14ac:dyDescent="0.25">
      <c r="A289" s="1" t="str">
        <f t="shared" si="4"/>
        <v>09 Atrazine 1.25 mg_L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805</v>
      </c>
      <c r="D289" s="1" t="s">
        <v>806</v>
      </c>
      <c r="E289" s="1" t="s">
        <v>807</v>
      </c>
      <c r="F289" s="1" t="s">
        <v>112</v>
      </c>
      <c r="G289" s="1">
        <v>174661</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240</v>
      </c>
      <c r="D291" s="1" t="s">
        <v>112</v>
      </c>
      <c r="E291" s="1" t="s">
        <v>241</v>
      </c>
      <c r="F291" s="1" t="s">
        <v>242</v>
      </c>
      <c r="G291" s="1" t="s">
        <v>243</v>
      </c>
      <c r="H291" s="1" t="s">
        <v>244</v>
      </c>
      <c r="I291" s="1" t="s">
        <v>245</v>
      </c>
      <c r="J291" s="1" t="s">
        <v>246</v>
      </c>
    </row>
    <row r="292" spans="1:10" x14ac:dyDescent="0.25">
      <c r="A292" s="1" t="str">
        <f t="shared" si="4"/>
        <v>09 Atrazine 1.25 mg_L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808</v>
      </c>
      <c r="D292" s="1" t="s">
        <v>112</v>
      </c>
      <c r="E292" s="1" t="s">
        <v>809</v>
      </c>
      <c r="F292" s="1" t="s">
        <v>810</v>
      </c>
      <c r="G292" s="1" t="s">
        <v>811</v>
      </c>
      <c r="H292" s="1" t="s">
        <v>812</v>
      </c>
      <c r="I292" s="1">
        <v>24</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252</v>
      </c>
      <c r="D298" s="1" t="s">
        <v>110</v>
      </c>
      <c r="E298" s="1" t="s">
        <v>111</v>
      </c>
      <c r="F298" s="1" t="s">
        <v>112</v>
      </c>
      <c r="G298" s="1" t="s">
        <v>113</v>
      </c>
    </row>
    <row r="299" spans="1:10" x14ac:dyDescent="0.25">
      <c r="A299" s="1" t="str">
        <f t="shared" si="4"/>
        <v>10 Atrazine 2.5 mg_L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813</v>
      </c>
      <c r="D299" s="1" t="s">
        <v>213</v>
      </c>
      <c r="E299" s="1" t="s">
        <v>814</v>
      </c>
      <c r="F299" s="1" t="s">
        <v>112</v>
      </c>
      <c r="G299" s="1">
        <v>150717</v>
      </c>
    </row>
    <row r="300" spans="1:10" x14ac:dyDescent="0.25">
      <c r="A300" s="1" t="str">
        <f t="shared" si="4"/>
        <v>10 Atrazine 2.5 mg_L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815</v>
      </c>
      <c r="D300" s="1" t="s">
        <v>234</v>
      </c>
      <c r="E300" s="1" t="s">
        <v>816</v>
      </c>
      <c r="F300" s="1" t="s">
        <v>112</v>
      </c>
      <c r="G300" s="1">
        <v>41140</v>
      </c>
    </row>
    <row r="301" spans="1:10" x14ac:dyDescent="0.25">
      <c r="A301" s="1" t="str">
        <f t="shared" si="4"/>
        <v>10 Atrazine 2.5 mg_L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817</v>
      </c>
      <c r="D301" s="1" t="s">
        <v>279</v>
      </c>
      <c r="E301" s="1" t="s">
        <v>283</v>
      </c>
      <c r="F301" s="1" t="s">
        <v>112</v>
      </c>
      <c r="G301" s="1">
        <v>16028</v>
      </c>
    </row>
    <row r="302" spans="1:10" x14ac:dyDescent="0.25">
      <c r="A302" s="1" t="str">
        <f t="shared" si="4"/>
        <v>10 Atrazine 2.5 mg_L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818</v>
      </c>
      <c r="D302" s="1" t="s">
        <v>819</v>
      </c>
      <c r="E302" s="1" t="s">
        <v>820</v>
      </c>
      <c r="F302" s="1" t="s">
        <v>112</v>
      </c>
      <c r="G302" s="1">
        <v>207150</v>
      </c>
    </row>
    <row r="303" spans="1:10" x14ac:dyDescent="0.25">
      <c r="A303" s="1" t="str">
        <f t="shared" si="4"/>
        <v>10 Atrazine 2.5 mg_L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821</v>
      </c>
      <c r="D303" s="1" t="s">
        <v>822</v>
      </c>
      <c r="E303" s="1" t="s">
        <v>823</v>
      </c>
      <c r="F303" s="1" t="s">
        <v>112</v>
      </c>
      <c r="G303" s="1">
        <v>129304</v>
      </c>
    </row>
    <row r="304" spans="1:10" x14ac:dyDescent="0.25">
      <c r="A304" s="1" t="str">
        <f t="shared" si="4"/>
        <v>10 Atrazine 2.5 mg_L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824</v>
      </c>
      <c r="D304" s="1" t="s">
        <v>825</v>
      </c>
      <c r="E304" s="1" t="s">
        <v>826</v>
      </c>
      <c r="F304" s="1" t="s">
        <v>112</v>
      </c>
      <c r="G304" s="1">
        <v>124804</v>
      </c>
    </row>
    <row r="305" spans="1:7" x14ac:dyDescent="0.25">
      <c r="A305" s="1" t="str">
        <f t="shared" si="4"/>
        <v>10 Atrazine 2.5 mg_L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827</v>
      </c>
      <c r="D305" s="1" t="s">
        <v>341</v>
      </c>
      <c r="E305" s="1" t="s">
        <v>828</v>
      </c>
      <c r="F305" s="1" t="s">
        <v>112</v>
      </c>
      <c r="G305" s="1">
        <v>59050</v>
      </c>
    </row>
    <row r="306" spans="1:7" x14ac:dyDescent="0.25">
      <c r="A306" s="1" t="str">
        <f t="shared" si="4"/>
        <v>10 Atrazine 2.5 mg_L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829</v>
      </c>
      <c r="D306" s="1" t="s">
        <v>830</v>
      </c>
      <c r="E306" s="1" t="s">
        <v>831</v>
      </c>
      <c r="F306" s="1" t="s">
        <v>112</v>
      </c>
      <c r="G306" s="1">
        <v>309848</v>
      </c>
    </row>
    <row r="307" spans="1:7" x14ac:dyDescent="0.25">
      <c r="A307" s="1" t="str">
        <f t="shared" si="4"/>
        <v>10 Atrazine 2.5 mg_L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832</v>
      </c>
      <c r="D307" s="1" t="s">
        <v>833</v>
      </c>
      <c r="E307" s="1" t="s">
        <v>834</v>
      </c>
      <c r="F307" s="1" t="s">
        <v>112</v>
      </c>
      <c r="G307" s="1">
        <v>165793</v>
      </c>
    </row>
    <row r="308" spans="1:7" x14ac:dyDescent="0.25">
      <c r="A308" s="1" t="str">
        <f t="shared" si="4"/>
        <v>10 Atrazine 2.5 mg_L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835</v>
      </c>
      <c r="D308" s="1" t="s">
        <v>836</v>
      </c>
      <c r="E308" s="1" t="s">
        <v>837</v>
      </c>
      <c r="F308" s="1" t="s">
        <v>112</v>
      </c>
      <c r="G308" s="1">
        <v>292068</v>
      </c>
    </row>
    <row r="309" spans="1:7" x14ac:dyDescent="0.25">
      <c r="A309" s="1" t="str">
        <f t="shared" si="4"/>
        <v>10 Atrazine 2.5 mg_L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838</v>
      </c>
      <c r="D309" s="1" t="s">
        <v>839</v>
      </c>
      <c r="E309" s="1" t="s">
        <v>840</v>
      </c>
      <c r="F309" s="1" t="s">
        <v>112</v>
      </c>
      <c r="G309" s="1">
        <v>163522</v>
      </c>
    </row>
    <row r="310" spans="1:7" x14ac:dyDescent="0.25">
      <c r="A310" s="1" t="str">
        <f t="shared" si="4"/>
        <v>10 Atrazine 2.5 mg_L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841</v>
      </c>
    </row>
    <row r="311" spans="1:7" x14ac:dyDescent="0.25">
      <c r="A311" s="1" t="str">
        <f t="shared" si="4"/>
        <v>10 Atrazine 2.5 mg_L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842</v>
      </c>
    </row>
    <row r="312" spans="1:7" x14ac:dyDescent="0.25">
      <c r="A312" s="1" t="str">
        <f t="shared" si="4"/>
        <v>10 Atrazine 2.5 mg_L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843</v>
      </c>
    </row>
    <row r="313" spans="1:7" x14ac:dyDescent="0.25">
      <c r="A313" s="1" t="str">
        <f t="shared" si="4"/>
        <v>10 Atrazine 2.5 mg_L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844</v>
      </c>
    </row>
    <row r="314" spans="1:7" x14ac:dyDescent="0.25">
      <c r="A314" s="1" t="str">
        <f t="shared" si="4"/>
        <v>10 Atrazine 2.5 mg_L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845</v>
      </c>
      <c r="D314" s="1" t="s">
        <v>846</v>
      </c>
      <c r="E314" s="1" t="s">
        <v>847</v>
      </c>
      <c r="F314" s="1" t="s">
        <v>112</v>
      </c>
      <c r="G314" s="1">
        <v>368422</v>
      </c>
    </row>
    <row r="315" spans="1:7" x14ac:dyDescent="0.25">
      <c r="A315" s="1" t="str">
        <f t="shared" si="4"/>
        <v>10 Atrazine 2.5 mg_L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848</v>
      </c>
      <c r="D315" s="1" t="s">
        <v>849</v>
      </c>
      <c r="E315" s="1" t="s">
        <v>850</v>
      </c>
      <c r="F315" s="1" t="s">
        <v>112</v>
      </c>
      <c r="G315" s="1">
        <v>348133</v>
      </c>
    </row>
    <row r="316" spans="1:7" x14ac:dyDescent="0.25">
      <c r="A316" s="1" t="str">
        <f t="shared" si="4"/>
        <v>10 Atrazine 2.5 mg_L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851</v>
      </c>
      <c r="D316" s="1" t="s">
        <v>687</v>
      </c>
      <c r="E316" s="1" t="s">
        <v>852</v>
      </c>
      <c r="F316" s="1" t="s">
        <v>112</v>
      </c>
      <c r="G316" s="1">
        <v>357888</v>
      </c>
    </row>
    <row r="317" spans="1:7" x14ac:dyDescent="0.25">
      <c r="A317" s="1" t="str">
        <f t="shared" si="4"/>
        <v>10 Atrazine 2.5 mg_L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853</v>
      </c>
      <c r="D317" s="1" t="s">
        <v>416</v>
      </c>
      <c r="E317" s="1" t="s">
        <v>854</v>
      </c>
      <c r="F317" s="1" t="s">
        <v>112</v>
      </c>
      <c r="G317" s="1">
        <v>23468</v>
      </c>
    </row>
    <row r="318" spans="1:7" x14ac:dyDescent="0.25">
      <c r="A318" s="1" t="str">
        <f t="shared" si="4"/>
        <v>10 Atrazine 2.5 mg_L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855</v>
      </c>
      <c r="D318" s="1" t="s">
        <v>267</v>
      </c>
      <c r="E318" s="1" t="s">
        <v>856</v>
      </c>
      <c r="F318" s="1" t="s">
        <v>112</v>
      </c>
      <c r="G318" s="1">
        <v>69973</v>
      </c>
    </row>
    <row r="319" spans="1:7" x14ac:dyDescent="0.25">
      <c r="A319" s="1" t="str">
        <f t="shared" si="4"/>
        <v>10 Atrazine 2.5 mg_L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857</v>
      </c>
      <c r="D319" s="1" t="s">
        <v>239</v>
      </c>
      <c r="E319" s="1" t="s">
        <v>858</v>
      </c>
      <c r="F319" s="1" t="s">
        <v>112</v>
      </c>
      <c r="G319" s="1">
        <v>24312</v>
      </c>
    </row>
    <row r="320" spans="1:7" x14ac:dyDescent="0.25">
      <c r="A320" s="1" t="str">
        <f t="shared" si="4"/>
        <v>10 Atrazine 2.5 mg_L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859</v>
      </c>
      <c r="D320" s="1" t="s">
        <v>860</v>
      </c>
      <c r="E320" s="1" t="s">
        <v>861</v>
      </c>
      <c r="F320" s="1" t="s">
        <v>112</v>
      </c>
      <c r="G320" s="1">
        <v>676561</v>
      </c>
    </row>
    <row r="321" spans="1:10" x14ac:dyDescent="0.25">
      <c r="A321" s="1" t="str">
        <f t="shared" si="4"/>
        <v>10 Atrazine 2.5 mg_L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862</v>
      </c>
      <c r="D321" s="1" t="s">
        <v>863</v>
      </c>
      <c r="E321" s="1" t="s">
        <v>864</v>
      </c>
      <c r="F321" s="1" t="s">
        <v>112</v>
      </c>
      <c r="G321" s="1">
        <v>27448</v>
      </c>
    </row>
    <row r="322" spans="1:10" x14ac:dyDescent="0.25">
      <c r="A322" s="1" t="str">
        <f t="shared" ref="A322:A385" si="5">IFERROR(LEFT(RIGHT(C322,LEN(C322)-SEARCH("@",C322)),SEARCH("/",RIGHT(C322,LEN(C322)-SEARCH("@",C322)-1))),"")</f>
        <v>10 Atrazine 2.5 mg_L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865</v>
      </c>
      <c r="D322" s="1" t="s">
        <v>279</v>
      </c>
      <c r="E322" s="1" t="s">
        <v>866</v>
      </c>
      <c r="F322" s="1" t="s">
        <v>112</v>
      </c>
      <c r="G322" s="1">
        <v>16136</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240</v>
      </c>
      <c r="D324" s="1" t="s">
        <v>112</v>
      </c>
      <c r="E324" s="1" t="s">
        <v>241</v>
      </c>
      <c r="F324" s="1" t="s">
        <v>242</v>
      </c>
      <c r="G324" s="1" t="s">
        <v>243</v>
      </c>
      <c r="H324" s="1" t="s">
        <v>244</v>
      </c>
      <c r="I324" s="1" t="s">
        <v>245</v>
      </c>
      <c r="J324" s="1" t="s">
        <v>246</v>
      </c>
    </row>
    <row r="325" spans="1:10" x14ac:dyDescent="0.25">
      <c r="A325" s="1" t="str">
        <f t="shared" si="5"/>
        <v>10 Atrazine 2.5 mg_L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867</v>
      </c>
      <c r="D325" s="1" t="s">
        <v>112</v>
      </c>
      <c r="E325" s="1" t="s">
        <v>868</v>
      </c>
      <c r="F325" s="1" t="s">
        <v>869</v>
      </c>
      <c r="G325" s="1">
        <v>151758</v>
      </c>
      <c r="H325" s="1" t="s">
        <v>870</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252</v>
      </c>
      <c r="D331" s="1" t="s">
        <v>110</v>
      </c>
      <c r="E331" s="1" t="s">
        <v>111</v>
      </c>
      <c r="F331" s="1" t="s">
        <v>112</v>
      </c>
      <c r="G331" s="1" t="s">
        <v>113</v>
      </c>
    </row>
    <row r="332" spans="1:10" x14ac:dyDescent="0.25">
      <c r="A332" s="1" t="str">
        <f t="shared" si="5"/>
        <v>11 Atrazine 5 mg_L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871</v>
      </c>
      <c r="D332" s="1" t="s">
        <v>239</v>
      </c>
      <c r="E332" s="1" t="s">
        <v>368</v>
      </c>
      <c r="F332" s="1" t="s">
        <v>112</v>
      </c>
      <c r="G332" s="1">
        <v>24723</v>
      </c>
    </row>
    <row r="333" spans="1:10" x14ac:dyDescent="0.25">
      <c r="A333" s="1" t="str">
        <f t="shared" si="5"/>
        <v>11 Atrazine 5 mg_L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872</v>
      </c>
      <c r="D333" s="1" t="s">
        <v>236</v>
      </c>
      <c r="E333" s="1">
        <v>64</v>
      </c>
      <c r="F333" s="1" t="s">
        <v>112</v>
      </c>
      <c r="G333" s="1">
        <v>42914</v>
      </c>
    </row>
    <row r="334" spans="1:10" x14ac:dyDescent="0.25">
      <c r="A334" s="1" t="str">
        <f t="shared" si="5"/>
        <v>11 Atrazine 5 mg_L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873</v>
      </c>
      <c r="D334" s="1" t="s">
        <v>874</v>
      </c>
      <c r="E334" s="1" t="s">
        <v>875</v>
      </c>
      <c r="F334" s="1" t="s">
        <v>112</v>
      </c>
      <c r="G334" s="1">
        <v>15227</v>
      </c>
    </row>
    <row r="335" spans="1:10" x14ac:dyDescent="0.25">
      <c r="A335" s="1" t="str">
        <f t="shared" si="5"/>
        <v>11 Atrazine 5 mg_L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876</v>
      </c>
      <c r="D335" s="1" t="s">
        <v>179</v>
      </c>
      <c r="E335" s="1" t="s">
        <v>877</v>
      </c>
      <c r="F335" s="1" t="s">
        <v>112</v>
      </c>
      <c r="G335" s="1">
        <v>9474</v>
      </c>
    </row>
    <row r="336" spans="1:10" x14ac:dyDescent="0.25">
      <c r="A336" s="1" t="str">
        <f t="shared" si="5"/>
        <v>11 Atrazine 5 mg_L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878</v>
      </c>
    </row>
    <row r="337" spans="1:7" x14ac:dyDescent="0.25">
      <c r="A337" s="1" t="str">
        <f t="shared" si="5"/>
        <v>11 Atrazine 5 mg_L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879</v>
      </c>
      <c r="D337" s="1" t="s">
        <v>880</v>
      </c>
      <c r="E337" s="1" t="s">
        <v>881</v>
      </c>
      <c r="F337" s="1" t="s">
        <v>112</v>
      </c>
      <c r="G337" s="1">
        <v>15336</v>
      </c>
    </row>
    <row r="338" spans="1:7" x14ac:dyDescent="0.25">
      <c r="A338" s="1" t="str">
        <f t="shared" si="5"/>
        <v>11 Atrazine 5 mg_L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882</v>
      </c>
    </row>
    <row r="339" spans="1:7" x14ac:dyDescent="0.25">
      <c r="A339" s="1" t="str">
        <f t="shared" si="5"/>
        <v>11 Atrazine 5 mg_L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883</v>
      </c>
      <c r="D339" s="1" t="s">
        <v>884</v>
      </c>
      <c r="E339" s="1" t="s">
        <v>885</v>
      </c>
      <c r="F339" s="1" t="s">
        <v>112</v>
      </c>
      <c r="G339" s="1">
        <v>33570</v>
      </c>
    </row>
    <row r="340" spans="1:7" x14ac:dyDescent="0.25">
      <c r="A340" s="1" t="str">
        <f t="shared" si="5"/>
        <v>11 Atrazine 5 mg_L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886</v>
      </c>
      <c r="D340" s="1" t="s">
        <v>326</v>
      </c>
      <c r="E340" s="1" t="s">
        <v>887</v>
      </c>
      <c r="F340" s="1" t="s">
        <v>112</v>
      </c>
      <c r="G340" s="1">
        <v>29936</v>
      </c>
    </row>
    <row r="341" spans="1:7" x14ac:dyDescent="0.25">
      <c r="A341" s="1" t="str">
        <f t="shared" si="5"/>
        <v>11 Atrazine 5 mg_L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888</v>
      </c>
    </row>
    <row r="342" spans="1:7" x14ac:dyDescent="0.25">
      <c r="A342" s="1" t="str">
        <f t="shared" si="5"/>
        <v>11 Atrazine 5 mg_L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889</v>
      </c>
      <c r="D342" s="1" t="s">
        <v>863</v>
      </c>
      <c r="E342" s="1" t="s">
        <v>890</v>
      </c>
      <c r="F342" s="1" t="s">
        <v>112</v>
      </c>
      <c r="G342" s="1">
        <v>27665</v>
      </c>
    </row>
    <row r="343" spans="1:7" x14ac:dyDescent="0.25">
      <c r="A343" s="1" t="str">
        <f t="shared" si="5"/>
        <v>11 Atrazine 5 mg_L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891</v>
      </c>
      <c r="D343" s="1" t="s">
        <v>289</v>
      </c>
      <c r="E343" s="1" t="s">
        <v>892</v>
      </c>
      <c r="F343" s="1" t="s">
        <v>112</v>
      </c>
      <c r="G343" s="1">
        <v>34024</v>
      </c>
    </row>
    <row r="344" spans="1:7" x14ac:dyDescent="0.25">
      <c r="A344" s="1" t="str">
        <f t="shared" si="5"/>
        <v>11 Atrazine 5 mg_L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893</v>
      </c>
      <c r="D344" s="1" t="s">
        <v>894</v>
      </c>
      <c r="E344" s="1" t="s">
        <v>895</v>
      </c>
      <c r="F344" s="1" t="s">
        <v>112</v>
      </c>
      <c r="G344" s="1">
        <v>462923</v>
      </c>
    </row>
    <row r="345" spans="1:7" x14ac:dyDescent="0.25">
      <c r="A345" s="1" t="str">
        <f t="shared" si="5"/>
        <v>11 Atrazine 5 mg_L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896</v>
      </c>
      <c r="D345" s="1" t="s">
        <v>897</v>
      </c>
      <c r="E345" s="1" t="s">
        <v>898</v>
      </c>
      <c r="F345" s="1" t="s">
        <v>112</v>
      </c>
      <c r="G345" s="1">
        <v>300526</v>
      </c>
    </row>
    <row r="346" spans="1:7" x14ac:dyDescent="0.25">
      <c r="A346" s="1" t="str">
        <f t="shared" si="5"/>
        <v>11 Atrazine 5 mg_L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899</v>
      </c>
      <c r="D346" s="1" t="s">
        <v>900</v>
      </c>
      <c r="E346" s="1" t="s">
        <v>901</v>
      </c>
      <c r="F346" s="1" t="s">
        <v>112</v>
      </c>
      <c r="G346" s="1">
        <v>620086</v>
      </c>
    </row>
    <row r="347" spans="1:7" x14ac:dyDescent="0.25">
      <c r="A347" s="1" t="str">
        <f t="shared" si="5"/>
        <v>11 Atrazine 5 mg_L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902</v>
      </c>
      <c r="D347" s="1" t="s">
        <v>903</v>
      </c>
      <c r="E347" s="1" t="s">
        <v>904</v>
      </c>
      <c r="F347" s="1" t="s">
        <v>112</v>
      </c>
      <c r="G347" s="1">
        <v>423578</v>
      </c>
    </row>
    <row r="348" spans="1:7" x14ac:dyDescent="0.25">
      <c r="A348" s="1" t="str">
        <f t="shared" si="5"/>
        <v>11 Atrazine 5 mg_L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905</v>
      </c>
      <c r="D348" s="1" t="s">
        <v>906</v>
      </c>
      <c r="E348" s="1" t="s">
        <v>907</v>
      </c>
      <c r="F348" s="1" t="s">
        <v>112</v>
      </c>
      <c r="G348" s="1">
        <v>167372</v>
      </c>
    </row>
    <row r="349" spans="1:7" x14ac:dyDescent="0.25">
      <c r="A349" s="1" t="str">
        <f t="shared" si="5"/>
        <v>11 Atrazine 5 mg_L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908</v>
      </c>
      <c r="D349" s="1" t="s">
        <v>909</v>
      </c>
      <c r="E349" s="1" t="s">
        <v>910</v>
      </c>
      <c r="F349" s="1" t="s">
        <v>112</v>
      </c>
      <c r="G349" s="1">
        <v>145721</v>
      </c>
    </row>
    <row r="350" spans="1:7" x14ac:dyDescent="0.25">
      <c r="A350" s="1" t="str">
        <f t="shared" si="5"/>
        <v>11 Atrazine 5 mg_L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911</v>
      </c>
      <c r="D350" s="1" t="s">
        <v>912</v>
      </c>
      <c r="E350" s="1" t="s">
        <v>913</v>
      </c>
      <c r="F350" s="1" t="s">
        <v>112</v>
      </c>
      <c r="G350" s="1">
        <v>593589</v>
      </c>
    </row>
    <row r="351" spans="1:7" x14ac:dyDescent="0.25">
      <c r="A351" s="1" t="str">
        <f t="shared" si="5"/>
        <v>11 Atrazine 5 mg_L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914</v>
      </c>
    </row>
    <row r="352" spans="1:7" x14ac:dyDescent="0.25">
      <c r="A352" s="1" t="str">
        <f t="shared" si="5"/>
        <v>11 Atrazine 5 mg_L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915</v>
      </c>
      <c r="D352" s="1" t="s">
        <v>916</v>
      </c>
      <c r="E352" s="1" t="s">
        <v>917</v>
      </c>
      <c r="F352" s="1" t="s">
        <v>112</v>
      </c>
      <c r="G352" s="1">
        <v>220690</v>
      </c>
    </row>
    <row r="353" spans="1:10" x14ac:dyDescent="0.25">
      <c r="A353" s="1" t="str">
        <f t="shared" si="5"/>
        <v>11 Atrazine 5 mg_L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918</v>
      </c>
      <c r="D353" s="1" t="s">
        <v>697</v>
      </c>
      <c r="E353" s="1" t="s">
        <v>919</v>
      </c>
      <c r="F353" s="1" t="s">
        <v>112</v>
      </c>
      <c r="G353" s="1">
        <v>31212</v>
      </c>
    </row>
    <row r="354" spans="1:10" x14ac:dyDescent="0.25">
      <c r="A354" s="1" t="str">
        <f t="shared" si="5"/>
        <v>11 Atrazine 5 mg_L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920</v>
      </c>
      <c r="D354" s="1" t="s">
        <v>292</v>
      </c>
      <c r="E354" s="1" t="s">
        <v>921</v>
      </c>
      <c r="F354" s="1" t="s">
        <v>112</v>
      </c>
      <c r="G354" s="1">
        <v>43563</v>
      </c>
    </row>
    <row r="355" spans="1:10" x14ac:dyDescent="0.25">
      <c r="A355" s="1" t="str">
        <f t="shared" si="5"/>
        <v>11 Atrazine 5 mg_L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922</v>
      </c>
      <c r="D355" s="1" t="s">
        <v>767</v>
      </c>
      <c r="E355" s="1" t="s">
        <v>923</v>
      </c>
      <c r="F355" s="1" t="s">
        <v>112</v>
      </c>
      <c r="G355" s="1">
        <v>425784</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240</v>
      </c>
      <c r="D357" s="1" t="s">
        <v>112</v>
      </c>
      <c r="E357" s="1" t="s">
        <v>241</v>
      </c>
      <c r="F357" s="1" t="s">
        <v>242</v>
      </c>
      <c r="G357" s="1" t="s">
        <v>243</v>
      </c>
      <c r="H357" s="1" t="s">
        <v>244</v>
      </c>
      <c r="I357" s="1" t="s">
        <v>245</v>
      </c>
      <c r="J357" s="1" t="s">
        <v>246</v>
      </c>
    </row>
    <row r="358" spans="1:10" x14ac:dyDescent="0.25">
      <c r="A358" s="1" t="str">
        <f t="shared" si="5"/>
        <v>11 Atrazine 5 mg_L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924</v>
      </c>
      <c r="D358" s="1" t="s">
        <v>112</v>
      </c>
      <c r="E358" s="1" t="s">
        <v>925</v>
      </c>
      <c r="F358" s="1" t="s">
        <v>926</v>
      </c>
      <c r="G358" s="1" t="s">
        <v>927</v>
      </c>
      <c r="H358" s="1" t="s">
        <v>928</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252</v>
      </c>
      <c r="D364" s="1" t="s">
        <v>110</v>
      </c>
      <c r="E364" s="1" t="s">
        <v>111</v>
      </c>
      <c r="F364" s="1" t="s">
        <v>112</v>
      </c>
      <c r="G364" s="1" t="s">
        <v>113</v>
      </c>
    </row>
    <row r="365" spans="1:10" x14ac:dyDescent="0.25">
      <c r="A365" s="1" t="str">
        <f t="shared" si="5"/>
        <v>12 Atrazine 10 mg_L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929</v>
      </c>
      <c r="D365" s="1" t="s">
        <v>236</v>
      </c>
      <c r="E365" s="1" t="s">
        <v>930</v>
      </c>
      <c r="F365" s="1" t="s">
        <v>112</v>
      </c>
      <c r="G365" s="1">
        <v>42459</v>
      </c>
    </row>
    <row r="366" spans="1:10" x14ac:dyDescent="0.25">
      <c r="A366" s="1" t="str">
        <f t="shared" si="5"/>
        <v>12 Atrazine 10 mg_L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931</v>
      </c>
      <c r="D366" s="1" t="s">
        <v>204</v>
      </c>
      <c r="E366" s="1" t="s">
        <v>932</v>
      </c>
      <c r="F366" s="1" t="s">
        <v>112</v>
      </c>
      <c r="G366" s="1">
        <v>148727</v>
      </c>
    </row>
    <row r="367" spans="1:10" x14ac:dyDescent="0.25">
      <c r="A367" s="1" t="str">
        <f t="shared" si="5"/>
        <v>12 Atrazine 10 mg_L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933</v>
      </c>
      <c r="D367" s="1" t="s">
        <v>276</v>
      </c>
      <c r="E367" s="1" t="s">
        <v>934</v>
      </c>
      <c r="F367" s="1" t="s">
        <v>112</v>
      </c>
      <c r="G367" s="1">
        <v>209010</v>
      </c>
    </row>
    <row r="368" spans="1:10" x14ac:dyDescent="0.25">
      <c r="A368" s="1" t="str">
        <f t="shared" si="5"/>
        <v>12 Atrazine 10 mg_L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935</v>
      </c>
      <c r="D368" s="1" t="s">
        <v>936</v>
      </c>
      <c r="E368" s="1" t="s">
        <v>937</v>
      </c>
      <c r="F368" s="1" t="s">
        <v>112</v>
      </c>
      <c r="G368" s="1">
        <v>773442</v>
      </c>
    </row>
    <row r="369" spans="1:7" x14ac:dyDescent="0.25">
      <c r="A369" s="1" t="str">
        <f t="shared" si="5"/>
        <v>12 Atrazine 10 mg_L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938</v>
      </c>
      <c r="D369" s="1" t="s">
        <v>939</v>
      </c>
      <c r="E369" s="1" t="s">
        <v>940</v>
      </c>
      <c r="F369" s="1" t="s">
        <v>112</v>
      </c>
      <c r="G369" s="1">
        <v>850596</v>
      </c>
    </row>
    <row r="370" spans="1:7" x14ac:dyDescent="0.25">
      <c r="A370" s="1" t="str">
        <f t="shared" si="5"/>
        <v>12 Atrazine 10 mg_L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941</v>
      </c>
      <c r="D370" s="1" t="s">
        <v>942</v>
      </c>
      <c r="E370" s="1" t="s">
        <v>943</v>
      </c>
      <c r="F370" s="1" t="s">
        <v>112</v>
      </c>
      <c r="G370" s="1">
        <v>779303</v>
      </c>
    </row>
    <row r="371" spans="1:7" x14ac:dyDescent="0.25">
      <c r="A371" s="1" t="str">
        <f t="shared" si="5"/>
        <v>12 Atrazine 10 mg_L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944</v>
      </c>
      <c r="D371" s="1" t="s">
        <v>945</v>
      </c>
      <c r="E371" s="1">
        <v>63</v>
      </c>
      <c r="F371" s="1" t="s">
        <v>112</v>
      </c>
      <c r="G371" s="1">
        <v>5451</v>
      </c>
    </row>
    <row r="372" spans="1:7" x14ac:dyDescent="0.25">
      <c r="A372" s="1" t="str">
        <f t="shared" si="5"/>
        <v>12 Atrazine 10 mg_L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946</v>
      </c>
      <c r="D372" s="1" t="s">
        <v>947</v>
      </c>
      <c r="E372" s="1" t="s">
        <v>948</v>
      </c>
      <c r="F372" s="1" t="s">
        <v>112</v>
      </c>
      <c r="G372" s="1">
        <v>1293835</v>
      </c>
    </row>
    <row r="373" spans="1:7" x14ac:dyDescent="0.25">
      <c r="A373" s="1" t="str">
        <f t="shared" si="5"/>
        <v>12 Atrazine 10 mg_L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949</v>
      </c>
    </row>
    <row r="374" spans="1:7" x14ac:dyDescent="0.25">
      <c r="A374" s="1" t="str">
        <f t="shared" si="5"/>
        <v>12 Atrazine 10 mg_L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950</v>
      </c>
      <c r="D374" s="1" t="s">
        <v>951</v>
      </c>
      <c r="E374" s="1" t="s">
        <v>952</v>
      </c>
      <c r="F374" s="1" t="s">
        <v>112</v>
      </c>
      <c r="G374" s="1">
        <v>129931</v>
      </c>
    </row>
    <row r="375" spans="1:7" x14ac:dyDescent="0.25">
      <c r="A375" s="1" t="str">
        <f t="shared" si="5"/>
        <v>12 Atrazine 10 mg_L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953</v>
      </c>
      <c r="D375" s="1" t="s">
        <v>954</v>
      </c>
      <c r="E375" s="1" t="s">
        <v>955</v>
      </c>
      <c r="F375" s="1" t="s">
        <v>112</v>
      </c>
      <c r="G375" s="1">
        <v>80312</v>
      </c>
    </row>
    <row r="376" spans="1:7" x14ac:dyDescent="0.25">
      <c r="A376" s="1" t="str">
        <f t="shared" si="5"/>
        <v>12 Atrazine 10 mg_L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956</v>
      </c>
      <c r="D376" s="1" t="s">
        <v>957</v>
      </c>
      <c r="E376" s="1" t="s">
        <v>958</v>
      </c>
      <c r="F376" s="1" t="s">
        <v>112</v>
      </c>
      <c r="G376" s="1">
        <v>113276</v>
      </c>
    </row>
    <row r="377" spans="1:7" x14ac:dyDescent="0.25">
      <c r="A377" s="1" t="str">
        <f t="shared" si="5"/>
        <v>12 Atrazine 10 mg_L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959</v>
      </c>
      <c r="D377" s="1" t="s">
        <v>358</v>
      </c>
      <c r="E377" s="1" t="s">
        <v>960</v>
      </c>
      <c r="F377" s="1" t="s">
        <v>112</v>
      </c>
      <c r="G377" s="1">
        <v>35841</v>
      </c>
    </row>
    <row r="378" spans="1:7" x14ac:dyDescent="0.25">
      <c r="A378" s="1" t="str">
        <f t="shared" si="5"/>
        <v>12 Atrazine 10 mg_L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961</v>
      </c>
      <c r="D378" s="1" t="s">
        <v>957</v>
      </c>
      <c r="E378" s="1" t="s">
        <v>962</v>
      </c>
      <c r="F378" s="1" t="s">
        <v>112</v>
      </c>
      <c r="G378" s="1">
        <v>111480</v>
      </c>
    </row>
    <row r="379" spans="1:7" x14ac:dyDescent="0.25">
      <c r="A379" s="1" t="str">
        <f t="shared" si="5"/>
        <v>12 Atrazine 10 mg_L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963</v>
      </c>
      <c r="D379" s="1" t="s">
        <v>964</v>
      </c>
      <c r="E379" s="1" t="s">
        <v>965</v>
      </c>
      <c r="F379" s="1" t="s">
        <v>112</v>
      </c>
      <c r="G379" s="1">
        <v>69302</v>
      </c>
    </row>
    <row r="380" spans="1:7" x14ac:dyDescent="0.25">
      <c r="A380" s="1" t="str">
        <f t="shared" si="5"/>
        <v>12 Atrazine 10 mg_L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966</v>
      </c>
      <c r="D380" s="1" t="s">
        <v>341</v>
      </c>
      <c r="E380" s="1" t="s">
        <v>967</v>
      </c>
      <c r="F380" s="1" t="s">
        <v>112</v>
      </c>
      <c r="G380" s="1">
        <v>57882</v>
      </c>
    </row>
    <row r="381" spans="1:7" x14ac:dyDescent="0.25">
      <c r="A381" s="1" t="str">
        <f t="shared" si="5"/>
        <v>12 Atrazine 10 mg_L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968</v>
      </c>
      <c r="D381" s="1" t="s">
        <v>969</v>
      </c>
      <c r="E381" s="1" t="s">
        <v>970</v>
      </c>
      <c r="F381" s="1" t="s">
        <v>112</v>
      </c>
      <c r="G381" s="1">
        <v>412093</v>
      </c>
    </row>
    <row r="382" spans="1:7" x14ac:dyDescent="0.25">
      <c r="A382" s="1" t="str">
        <f t="shared" si="5"/>
        <v>12 Atrazine 10 mg_L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971</v>
      </c>
      <c r="D382" s="1" t="s">
        <v>972</v>
      </c>
      <c r="E382" s="1" t="s">
        <v>973</v>
      </c>
      <c r="F382" s="1" t="s">
        <v>112</v>
      </c>
      <c r="G382" s="1">
        <v>101596</v>
      </c>
    </row>
    <row r="383" spans="1:7" x14ac:dyDescent="0.25">
      <c r="A383" s="1" t="str">
        <f t="shared" si="5"/>
        <v>12 Atrazine 10 mg_L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974</v>
      </c>
      <c r="D383" s="1" t="s">
        <v>975</v>
      </c>
      <c r="E383" s="1" t="s">
        <v>976</v>
      </c>
      <c r="F383" s="1" t="s">
        <v>112</v>
      </c>
      <c r="G383" s="1">
        <v>177279</v>
      </c>
    </row>
    <row r="384" spans="1:7" x14ac:dyDescent="0.25">
      <c r="A384" s="1" t="str">
        <f t="shared" si="5"/>
        <v>12 Atrazine 10 mg_L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977</v>
      </c>
      <c r="D384" s="1" t="s">
        <v>473</v>
      </c>
      <c r="E384" s="1" t="s">
        <v>978</v>
      </c>
      <c r="F384" s="1" t="s">
        <v>112</v>
      </c>
      <c r="G384" s="1">
        <v>1340361</v>
      </c>
    </row>
    <row r="385" spans="1:10" x14ac:dyDescent="0.25">
      <c r="A385" s="1" t="str">
        <f t="shared" si="5"/>
        <v>12 Atrazine 10 mg_L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979</v>
      </c>
    </row>
    <row r="386" spans="1:10" x14ac:dyDescent="0.25">
      <c r="A386" s="1" t="str">
        <f t="shared" ref="A386:A449" si="6">IFERROR(LEFT(RIGHT(C386,LEN(C386)-SEARCH("@",C386)),SEARCH("/",RIGHT(C386,LEN(C386)-SEARCH("@",C386)-1))),"")</f>
        <v>12 Atrazine 10 mg_L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980</v>
      </c>
      <c r="D386" s="1" t="s">
        <v>981</v>
      </c>
      <c r="E386" s="1" t="s">
        <v>982</v>
      </c>
      <c r="F386" s="1" t="s">
        <v>112</v>
      </c>
      <c r="G386" s="1">
        <v>71400</v>
      </c>
    </row>
    <row r="387" spans="1:10" x14ac:dyDescent="0.25">
      <c r="A387" s="1" t="str">
        <f t="shared" si="6"/>
        <v>12 Atrazine 10 mg_L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983</v>
      </c>
      <c r="D387" s="1" t="s">
        <v>984</v>
      </c>
      <c r="E387" s="1" t="s">
        <v>985</v>
      </c>
      <c r="F387" s="1" t="s">
        <v>112</v>
      </c>
      <c r="G387" s="1">
        <v>54010</v>
      </c>
    </row>
    <row r="388" spans="1:10" x14ac:dyDescent="0.25">
      <c r="A388" s="1" t="str">
        <f t="shared" si="6"/>
        <v>12 Atrazine 10 mg_L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986</v>
      </c>
      <c r="D388" s="1" t="s">
        <v>234</v>
      </c>
      <c r="E388" s="1" t="s">
        <v>281</v>
      </c>
      <c r="F388" s="1" t="s">
        <v>112</v>
      </c>
      <c r="G388" s="1">
        <v>40859</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240</v>
      </c>
      <c r="D390" s="1" t="s">
        <v>112</v>
      </c>
      <c r="E390" s="1" t="s">
        <v>241</v>
      </c>
      <c r="F390" s="1" t="s">
        <v>242</v>
      </c>
      <c r="G390" s="1" t="s">
        <v>243</v>
      </c>
      <c r="H390" s="1" t="s">
        <v>244</v>
      </c>
      <c r="I390" s="1" t="s">
        <v>245</v>
      </c>
      <c r="J390" s="1" t="s">
        <v>246</v>
      </c>
    </row>
    <row r="391" spans="1:10" x14ac:dyDescent="0.25">
      <c r="A391" s="1" t="str">
        <f t="shared" si="6"/>
        <v>12 Atrazine 10 mg_L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987</v>
      </c>
      <c r="D391" s="1" t="s">
        <v>112</v>
      </c>
      <c r="E391" s="1" t="s">
        <v>988</v>
      </c>
      <c r="F391" s="1" t="s">
        <v>989</v>
      </c>
      <c r="G391" s="1" t="s">
        <v>990</v>
      </c>
      <c r="H391" s="1" t="s">
        <v>991</v>
      </c>
      <c r="I391" s="1">
        <v>24</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252</v>
      </c>
      <c r="D397" s="1" t="s">
        <v>110</v>
      </c>
      <c r="E397" s="1" t="s">
        <v>111</v>
      </c>
      <c r="F397" s="1" t="s">
        <v>112</v>
      </c>
      <c r="G397" s="1" t="s">
        <v>113</v>
      </c>
    </row>
    <row r="398" spans="1:10" x14ac:dyDescent="0.25">
      <c r="A398" s="1" t="str">
        <f t="shared" si="6"/>
        <v>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992</v>
      </c>
      <c r="D398" s="1" t="s">
        <v>236</v>
      </c>
      <c r="E398" s="1" t="s">
        <v>993</v>
      </c>
      <c r="F398" s="1" t="s">
        <v>112</v>
      </c>
      <c r="G398" s="1">
        <v>43346</v>
      </c>
    </row>
    <row r="399" spans="1:10" x14ac:dyDescent="0.25">
      <c r="A399" s="1" t="str">
        <f t="shared" si="6"/>
        <v>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994</v>
      </c>
      <c r="D399" s="1" t="s">
        <v>743</v>
      </c>
      <c r="E399" s="1" t="s">
        <v>995</v>
      </c>
      <c r="F399" s="1" t="s">
        <v>112</v>
      </c>
      <c r="G399" s="1">
        <v>65712</v>
      </c>
    </row>
    <row r="400" spans="1:10" x14ac:dyDescent="0.25">
      <c r="A400" s="1" t="str">
        <f t="shared" si="6"/>
        <v>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996</v>
      </c>
      <c r="D400" s="1" t="s">
        <v>964</v>
      </c>
      <c r="E400" s="1" t="s">
        <v>997</v>
      </c>
      <c r="F400" s="1" t="s">
        <v>112</v>
      </c>
      <c r="G400" s="1">
        <v>69410</v>
      </c>
    </row>
    <row r="401" spans="1:7" x14ac:dyDescent="0.25">
      <c r="A401" s="1" t="str">
        <f t="shared" si="6"/>
        <v>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998</v>
      </c>
      <c r="D401" s="1" t="s">
        <v>999</v>
      </c>
      <c r="E401" s="1" t="s">
        <v>1000</v>
      </c>
      <c r="F401" s="1" t="s">
        <v>112</v>
      </c>
      <c r="G401" s="1">
        <v>2067191</v>
      </c>
    </row>
    <row r="402" spans="1:7" x14ac:dyDescent="0.25">
      <c r="A402" s="1" t="str">
        <f t="shared" si="6"/>
        <v>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1001</v>
      </c>
      <c r="D402" s="1" t="s">
        <v>1002</v>
      </c>
      <c r="E402" s="1" t="s">
        <v>1003</v>
      </c>
      <c r="F402" s="1" t="s">
        <v>112</v>
      </c>
      <c r="G402" s="1">
        <v>1889371</v>
      </c>
    </row>
    <row r="403" spans="1:7" x14ac:dyDescent="0.25">
      <c r="A403" s="1" t="str">
        <f t="shared" si="6"/>
        <v>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1004</v>
      </c>
      <c r="D403" s="1" t="s">
        <v>1005</v>
      </c>
      <c r="E403" s="1" t="s">
        <v>1006</v>
      </c>
      <c r="F403" s="1" t="s">
        <v>112</v>
      </c>
      <c r="G403" s="1">
        <v>2030377</v>
      </c>
    </row>
    <row r="404" spans="1:7" x14ac:dyDescent="0.25">
      <c r="A404" s="1" t="str">
        <f t="shared" si="6"/>
        <v>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1007</v>
      </c>
      <c r="D404" s="1" t="s">
        <v>1008</v>
      </c>
      <c r="E404" s="1" t="s">
        <v>1009</v>
      </c>
      <c r="F404" s="1" t="s">
        <v>112</v>
      </c>
      <c r="G404" s="1">
        <v>2463602</v>
      </c>
    </row>
    <row r="405" spans="1:7" x14ac:dyDescent="0.25">
      <c r="A405" s="1" t="str">
        <f t="shared" si="6"/>
        <v>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1010</v>
      </c>
      <c r="D405" s="1" t="s">
        <v>1011</v>
      </c>
      <c r="E405" s="1" t="s">
        <v>1012</v>
      </c>
      <c r="F405" s="1" t="s">
        <v>112</v>
      </c>
      <c r="G405" s="1">
        <v>2361487</v>
      </c>
    </row>
    <row r="406" spans="1:7" x14ac:dyDescent="0.25">
      <c r="A406" s="1" t="str">
        <f t="shared" si="6"/>
        <v>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1013</v>
      </c>
      <c r="D406" s="1" t="s">
        <v>1014</v>
      </c>
      <c r="E406" s="1" t="s">
        <v>1015</v>
      </c>
      <c r="F406" s="1" t="s">
        <v>112</v>
      </c>
      <c r="G406" s="1">
        <v>2381538</v>
      </c>
    </row>
    <row r="407" spans="1:7" x14ac:dyDescent="0.25">
      <c r="A407" s="1" t="str">
        <f t="shared" si="6"/>
        <v>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1016</v>
      </c>
      <c r="D407" s="1" t="s">
        <v>1017</v>
      </c>
      <c r="E407" s="1" t="s">
        <v>1018</v>
      </c>
      <c r="F407" s="1" t="s">
        <v>112</v>
      </c>
      <c r="G407" s="1">
        <v>1623021</v>
      </c>
    </row>
    <row r="408" spans="1:7" x14ac:dyDescent="0.25">
      <c r="A408" s="1" t="str">
        <f t="shared" si="6"/>
        <v>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1019</v>
      </c>
      <c r="D408" s="1" t="s">
        <v>1020</v>
      </c>
      <c r="E408" s="1" t="s">
        <v>1021</v>
      </c>
      <c r="F408" s="1" t="s">
        <v>112</v>
      </c>
      <c r="G408" s="1">
        <v>1067998</v>
      </c>
    </row>
    <row r="409" spans="1:7" x14ac:dyDescent="0.25">
      <c r="A409" s="1" t="str">
        <f t="shared" si="6"/>
        <v>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1022</v>
      </c>
      <c r="D409" s="1" t="s">
        <v>1023</v>
      </c>
      <c r="E409" s="1" t="s">
        <v>1024</v>
      </c>
      <c r="F409" s="1" t="s">
        <v>112</v>
      </c>
      <c r="G409" s="1">
        <v>1410767</v>
      </c>
    </row>
    <row r="410" spans="1:7" x14ac:dyDescent="0.25">
      <c r="A410" s="1" t="str">
        <f t="shared" si="6"/>
        <v>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1025</v>
      </c>
      <c r="D410" s="1" t="s">
        <v>1026</v>
      </c>
      <c r="E410" s="1" t="s">
        <v>1027</v>
      </c>
      <c r="F410" s="1" t="s">
        <v>112</v>
      </c>
      <c r="G410" s="1">
        <v>143103</v>
      </c>
    </row>
    <row r="411" spans="1:7" x14ac:dyDescent="0.25">
      <c r="A411" s="1" t="str">
        <f t="shared" si="6"/>
        <v>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1028</v>
      </c>
      <c r="D411" s="1" t="s">
        <v>405</v>
      </c>
      <c r="E411" s="1" t="s">
        <v>1029</v>
      </c>
      <c r="F411" s="1" t="s">
        <v>112</v>
      </c>
      <c r="G411" s="1">
        <v>240935</v>
      </c>
    </row>
    <row r="412" spans="1:7" x14ac:dyDescent="0.25">
      <c r="A412" s="1" t="str">
        <f t="shared" si="6"/>
        <v>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1030</v>
      </c>
      <c r="D412" s="1" t="s">
        <v>312</v>
      </c>
      <c r="E412" s="1" t="s">
        <v>1031</v>
      </c>
      <c r="F412" s="1" t="s">
        <v>112</v>
      </c>
      <c r="G412" s="1">
        <v>275349</v>
      </c>
    </row>
    <row r="413" spans="1:7" x14ac:dyDescent="0.25">
      <c r="A413" s="1" t="str">
        <f t="shared" si="6"/>
        <v>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1032</v>
      </c>
      <c r="D413" s="1" t="s">
        <v>1033</v>
      </c>
      <c r="E413" s="1" t="s">
        <v>1034</v>
      </c>
      <c r="F413" s="1" t="s">
        <v>112</v>
      </c>
      <c r="G413" s="1">
        <v>1189558</v>
      </c>
    </row>
    <row r="414" spans="1:7" x14ac:dyDescent="0.25">
      <c r="A414" s="1" t="str">
        <f t="shared" si="6"/>
        <v>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1035</v>
      </c>
      <c r="D414" s="1" t="s">
        <v>1036</v>
      </c>
      <c r="E414" s="1" t="s">
        <v>1037</v>
      </c>
      <c r="F414" s="1" t="s">
        <v>112</v>
      </c>
      <c r="G414" s="1">
        <v>648983</v>
      </c>
    </row>
    <row r="415" spans="1:7" x14ac:dyDescent="0.25">
      <c r="A415" s="1" t="str">
        <f t="shared" si="6"/>
        <v>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1038</v>
      </c>
      <c r="D415" s="1" t="s">
        <v>1039</v>
      </c>
      <c r="E415" s="1" t="s">
        <v>1040</v>
      </c>
      <c r="F415" s="1" t="s">
        <v>112</v>
      </c>
      <c r="G415" s="1">
        <v>1325350</v>
      </c>
    </row>
    <row r="416" spans="1:7" x14ac:dyDescent="0.25">
      <c r="A416" s="1" t="str">
        <f t="shared" si="6"/>
        <v>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1041</v>
      </c>
      <c r="D416" s="1" t="s">
        <v>1042</v>
      </c>
      <c r="E416" s="1" t="s">
        <v>1043</v>
      </c>
      <c r="F416" s="1" t="s">
        <v>112</v>
      </c>
      <c r="G416" s="1">
        <v>730615</v>
      </c>
    </row>
    <row r="417" spans="1:10" x14ac:dyDescent="0.25">
      <c r="A417" s="1" t="str">
        <f t="shared" si="6"/>
        <v>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1044</v>
      </c>
      <c r="D417" s="1" t="s">
        <v>1045</v>
      </c>
      <c r="E417" s="1" t="s">
        <v>1046</v>
      </c>
      <c r="F417" s="1" t="s">
        <v>112</v>
      </c>
      <c r="G417" s="1">
        <v>465648</v>
      </c>
    </row>
    <row r="418" spans="1:10" x14ac:dyDescent="0.25">
      <c r="A418" s="1" t="str">
        <f t="shared" si="6"/>
        <v>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1047</v>
      </c>
      <c r="D418" s="1" t="s">
        <v>1048</v>
      </c>
      <c r="E418" s="1" t="s">
        <v>1049</v>
      </c>
      <c r="F418" s="1" t="s">
        <v>112</v>
      </c>
      <c r="G418" s="1">
        <v>570748</v>
      </c>
    </row>
    <row r="419" spans="1:10" x14ac:dyDescent="0.25">
      <c r="A419" s="1" t="str">
        <f t="shared" si="6"/>
        <v>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1050</v>
      </c>
      <c r="D419" s="1" t="s">
        <v>1051</v>
      </c>
      <c r="E419" s="1" t="s">
        <v>1052</v>
      </c>
      <c r="F419" s="1" t="s">
        <v>112</v>
      </c>
      <c r="G419" s="1">
        <v>1685012</v>
      </c>
    </row>
    <row r="420" spans="1:10" x14ac:dyDescent="0.25">
      <c r="A420" s="1" t="str">
        <f t="shared" si="6"/>
        <v>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1053</v>
      </c>
      <c r="D420" s="1" t="s">
        <v>1054</v>
      </c>
      <c r="E420" s="1" t="s">
        <v>1055</v>
      </c>
      <c r="F420" s="1" t="s">
        <v>112</v>
      </c>
      <c r="G420" s="1">
        <v>1700326</v>
      </c>
    </row>
    <row r="421" spans="1:10" x14ac:dyDescent="0.25">
      <c r="A421" s="1" t="str">
        <f t="shared" si="6"/>
        <v>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1056</v>
      </c>
      <c r="D421" s="1" t="s">
        <v>1057</v>
      </c>
      <c r="E421" s="1" t="s">
        <v>1058</v>
      </c>
      <c r="F421" s="1" t="s">
        <v>112</v>
      </c>
      <c r="G421" s="1">
        <v>1837741</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240</v>
      </c>
      <c r="D423" s="1" t="s">
        <v>112</v>
      </c>
      <c r="E423" s="1" t="s">
        <v>241</v>
      </c>
      <c r="F423" s="1" t="s">
        <v>242</v>
      </c>
      <c r="G423" s="1" t="s">
        <v>243</v>
      </c>
      <c r="H423" s="1" t="s">
        <v>244</v>
      </c>
      <c r="I423" s="1" t="s">
        <v>245</v>
      </c>
      <c r="J423" s="1" t="s">
        <v>246</v>
      </c>
    </row>
    <row r="424" spans="1:10" x14ac:dyDescent="0.25">
      <c r="A424" s="1" t="str">
        <f t="shared" si="6"/>
        <v>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1059</v>
      </c>
      <c r="D424" s="1" t="s">
        <v>112</v>
      </c>
      <c r="E424" s="1" t="s">
        <v>1060</v>
      </c>
      <c r="F424" s="1" t="s">
        <v>1061</v>
      </c>
      <c r="G424" s="1" t="s">
        <v>1062</v>
      </c>
      <c r="H424" s="1" t="s">
        <v>1063</v>
      </c>
      <c r="I424" s="1">
        <v>24</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252</v>
      </c>
      <c r="D430" s="1" t="s">
        <v>110</v>
      </c>
      <c r="E430" s="1" t="s">
        <v>111</v>
      </c>
      <c r="F430" s="1" t="s">
        <v>112</v>
      </c>
      <c r="G430" s="1" t="s">
        <v>113</v>
      </c>
    </row>
    <row r="431" spans="1:10" x14ac:dyDescent="0.25">
      <c r="A431" s="1" t="str">
        <f t="shared" si="6"/>
        <v>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1064</v>
      </c>
      <c r="D431" s="1" t="s">
        <v>1065</v>
      </c>
      <c r="E431" s="1" t="s">
        <v>1066</v>
      </c>
      <c r="F431" s="1" t="s">
        <v>112</v>
      </c>
      <c r="G431" s="1">
        <v>144185</v>
      </c>
    </row>
    <row r="432" spans="1:10" x14ac:dyDescent="0.25">
      <c r="A432" s="1" t="str">
        <f t="shared" si="6"/>
        <v>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1067</v>
      </c>
      <c r="D432" s="1" t="s">
        <v>341</v>
      </c>
      <c r="E432" s="1">
        <v>64</v>
      </c>
      <c r="F432" s="1" t="s">
        <v>112</v>
      </c>
      <c r="G432" s="1">
        <v>59525</v>
      </c>
    </row>
    <row r="433" spans="1:7" x14ac:dyDescent="0.25">
      <c r="A433" s="1" t="str">
        <f t="shared" si="6"/>
        <v>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1068</v>
      </c>
      <c r="D433" s="1" t="s">
        <v>981</v>
      </c>
      <c r="E433" s="1" t="s">
        <v>1069</v>
      </c>
      <c r="F433" s="1" t="s">
        <v>112</v>
      </c>
      <c r="G433" s="1">
        <v>71617</v>
      </c>
    </row>
    <row r="434" spans="1:7" x14ac:dyDescent="0.25">
      <c r="A434" s="1" t="str">
        <f t="shared" si="6"/>
        <v>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1070</v>
      </c>
      <c r="D434" s="1" t="s">
        <v>1071</v>
      </c>
      <c r="E434" s="1" t="s">
        <v>1072</v>
      </c>
      <c r="F434" s="1" t="s">
        <v>112</v>
      </c>
      <c r="G434" s="1">
        <v>1167841</v>
      </c>
    </row>
    <row r="435" spans="1:7" x14ac:dyDescent="0.25">
      <c r="A435" s="1" t="str">
        <f t="shared" si="6"/>
        <v>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1073</v>
      </c>
      <c r="D435" s="1" t="s">
        <v>1074</v>
      </c>
      <c r="E435" s="1" t="s">
        <v>1075</v>
      </c>
      <c r="F435" s="1" t="s">
        <v>112</v>
      </c>
      <c r="G435" s="1">
        <v>898636</v>
      </c>
    </row>
    <row r="436" spans="1:7" x14ac:dyDescent="0.25">
      <c r="A436" s="1" t="str">
        <f t="shared" si="6"/>
        <v>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1076</v>
      </c>
      <c r="D436" s="1" t="s">
        <v>1077</v>
      </c>
      <c r="E436" s="1" t="s">
        <v>1078</v>
      </c>
      <c r="F436" s="1" t="s">
        <v>112</v>
      </c>
      <c r="G436" s="1">
        <v>1247872</v>
      </c>
    </row>
    <row r="437" spans="1:7" x14ac:dyDescent="0.25">
      <c r="A437" s="1" t="str">
        <f t="shared" si="6"/>
        <v>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1079</v>
      </c>
      <c r="D437" s="1" t="s">
        <v>1080</v>
      </c>
      <c r="E437" s="1" t="s">
        <v>1081</v>
      </c>
      <c r="F437" s="1" t="s">
        <v>112</v>
      </c>
      <c r="G437" s="1">
        <v>1746571</v>
      </c>
    </row>
    <row r="438" spans="1:7" x14ac:dyDescent="0.25">
      <c r="A438" s="1" t="str">
        <f t="shared" si="6"/>
        <v>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1082</v>
      </c>
      <c r="D438" s="1" t="s">
        <v>1023</v>
      </c>
      <c r="E438" s="1" t="s">
        <v>1083</v>
      </c>
      <c r="F438" s="1" t="s">
        <v>112</v>
      </c>
      <c r="G438" s="1">
        <v>1480934</v>
      </c>
    </row>
    <row r="439" spans="1:7" x14ac:dyDescent="0.25">
      <c r="A439" s="1" t="str">
        <f t="shared" si="6"/>
        <v>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1084</v>
      </c>
      <c r="D439" s="1" t="s">
        <v>1085</v>
      </c>
      <c r="E439" s="1" t="s">
        <v>1086</v>
      </c>
      <c r="F439" s="1" t="s">
        <v>112</v>
      </c>
      <c r="G439" s="1">
        <v>1473061</v>
      </c>
    </row>
    <row r="440" spans="1:7" x14ac:dyDescent="0.25">
      <c r="A440" s="1" t="str">
        <f t="shared" si="6"/>
        <v>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1087</v>
      </c>
      <c r="D440" s="1" t="s">
        <v>1088</v>
      </c>
      <c r="E440" s="1" t="s">
        <v>1089</v>
      </c>
      <c r="F440" s="1" t="s">
        <v>112</v>
      </c>
      <c r="G440" s="1">
        <v>2172398</v>
      </c>
    </row>
    <row r="441" spans="1:7" x14ac:dyDescent="0.25">
      <c r="A441" s="1" t="str">
        <f t="shared" si="6"/>
        <v>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1090</v>
      </c>
      <c r="D441" s="1" t="s">
        <v>1091</v>
      </c>
      <c r="E441" s="1" t="s">
        <v>1092</v>
      </c>
      <c r="F441" s="1" t="s">
        <v>112</v>
      </c>
      <c r="G441" s="1">
        <v>1607015</v>
      </c>
    </row>
    <row r="442" spans="1:7" x14ac:dyDescent="0.25">
      <c r="A442" s="1" t="str">
        <f t="shared" si="6"/>
        <v>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1093</v>
      </c>
      <c r="D442" s="1" t="s">
        <v>1094</v>
      </c>
      <c r="E442" s="1" t="s">
        <v>1095</v>
      </c>
      <c r="F442" s="1" t="s">
        <v>112</v>
      </c>
      <c r="G442" s="1">
        <v>1878167</v>
      </c>
    </row>
    <row r="443" spans="1:7" x14ac:dyDescent="0.25">
      <c r="A443" s="1" t="str">
        <f t="shared" si="6"/>
        <v>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1096</v>
      </c>
      <c r="D443" s="1" t="s">
        <v>1097</v>
      </c>
      <c r="E443" s="1" t="s">
        <v>1098</v>
      </c>
      <c r="F443" s="1" t="s">
        <v>112</v>
      </c>
      <c r="G443" s="1">
        <v>378393</v>
      </c>
    </row>
    <row r="444" spans="1:7" x14ac:dyDescent="0.25">
      <c r="A444" s="1" t="str">
        <f t="shared" si="6"/>
        <v>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1099</v>
      </c>
      <c r="D444" s="1" t="s">
        <v>1100</v>
      </c>
      <c r="E444" s="1" t="s">
        <v>1101</v>
      </c>
      <c r="F444" s="1" t="s">
        <v>112</v>
      </c>
      <c r="G444" s="1">
        <v>344954</v>
      </c>
    </row>
    <row r="445" spans="1:7" x14ac:dyDescent="0.25">
      <c r="A445" s="1" t="str">
        <f t="shared" si="6"/>
        <v>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1102</v>
      </c>
      <c r="D445" s="1" t="s">
        <v>388</v>
      </c>
      <c r="E445" s="1" t="s">
        <v>1103</v>
      </c>
      <c r="F445" s="1" t="s">
        <v>112</v>
      </c>
      <c r="G445" s="1">
        <v>378026</v>
      </c>
    </row>
    <row r="446" spans="1:7" x14ac:dyDescent="0.25">
      <c r="A446" s="1" t="str">
        <f t="shared" si="6"/>
        <v>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1104</v>
      </c>
      <c r="D446" s="1" t="s">
        <v>1105</v>
      </c>
      <c r="E446" s="1" t="s">
        <v>1106</v>
      </c>
      <c r="F446" s="1" t="s">
        <v>112</v>
      </c>
      <c r="G446" s="1">
        <v>1049180</v>
      </c>
    </row>
    <row r="447" spans="1:7" x14ac:dyDescent="0.25">
      <c r="A447" s="1" t="str">
        <f t="shared" si="6"/>
        <v>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1107</v>
      </c>
      <c r="D447" s="1" t="s">
        <v>1108</v>
      </c>
      <c r="E447" s="1" t="s">
        <v>1109</v>
      </c>
      <c r="F447" s="1" t="s">
        <v>112</v>
      </c>
      <c r="G447" s="1">
        <v>1913770</v>
      </c>
    </row>
    <row r="448" spans="1:7" x14ac:dyDescent="0.25">
      <c r="A448" s="1" t="str">
        <f t="shared" si="6"/>
        <v>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1110</v>
      </c>
      <c r="D448" s="1" t="s">
        <v>1111</v>
      </c>
      <c r="E448" s="1" t="s">
        <v>1112</v>
      </c>
      <c r="F448" s="1" t="s">
        <v>112</v>
      </c>
      <c r="G448" s="1">
        <v>712186</v>
      </c>
    </row>
    <row r="449" spans="1:10" x14ac:dyDescent="0.25">
      <c r="A449" s="1" t="str">
        <f t="shared" si="6"/>
        <v>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1113</v>
      </c>
      <c r="D449" s="1" t="s">
        <v>616</v>
      </c>
      <c r="E449" s="1" t="s">
        <v>1114</v>
      </c>
      <c r="F449" s="1" t="s">
        <v>112</v>
      </c>
      <c r="G449" s="1">
        <v>3441922</v>
      </c>
    </row>
    <row r="450" spans="1:10" x14ac:dyDescent="0.25">
      <c r="A450" s="1" t="str">
        <f t="shared" ref="A450:A513" si="7">IFERROR(LEFT(RIGHT(C450,LEN(C450)-SEARCH("@",C450)),SEARCH("/",RIGHT(C450,LEN(C450)-SEARCH("@",C450)-1))),"")</f>
        <v>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1115</v>
      </c>
      <c r="D450" s="1" t="s">
        <v>1116</v>
      </c>
      <c r="E450" s="1" t="s">
        <v>1117</v>
      </c>
      <c r="F450" s="1" t="s">
        <v>112</v>
      </c>
      <c r="G450" s="1">
        <v>3404978</v>
      </c>
    </row>
    <row r="451" spans="1:10" x14ac:dyDescent="0.25">
      <c r="A451" s="1" t="str">
        <f t="shared" si="7"/>
        <v>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1118</v>
      </c>
      <c r="D451" s="1" t="s">
        <v>1119</v>
      </c>
      <c r="E451" s="1" t="s">
        <v>1120</v>
      </c>
      <c r="F451" s="1" t="s">
        <v>112</v>
      </c>
      <c r="G451" s="1">
        <v>4043709</v>
      </c>
    </row>
    <row r="452" spans="1:10" x14ac:dyDescent="0.25">
      <c r="A452" s="1" t="str">
        <f t="shared" si="7"/>
        <v>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1121</v>
      </c>
      <c r="D452" s="1" t="s">
        <v>1122</v>
      </c>
      <c r="E452" s="1" t="s">
        <v>1123</v>
      </c>
      <c r="F452" s="1" t="s">
        <v>112</v>
      </c>
      <c r="G452" s="1">
        <v>678270</v>
      </c>
    </row>
    <row r="453" spans="1:10" x14ac:dyDescent="0.25">
      <c r="A453" s="1" t="str">
        <f t="shared" si="7"/>
        <v>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1124</v>
      </c>
      <c r="D453" s="1" t="s">
        <v>1125</v>
      </c>
      <c r="E453" s="1" t="s">
        <v>1126</v>
      </c>
      <c r="F453" s="1" t="s">
        <v>112</v>
      </c>
      <c r="G453" s="1">
        <v>805194</v>
      </c>
    </row>
    <row r="454" spans="1:10" x14ac:dyDescent="0.25">
      <c r="A454" s="1" t="str">
        <f t="shared" si="7"/>
        <v>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1127</v>
      </c>
      <c r="D454" s="1" t="s">
        <v>1128</v>
      </c>
      <c r="E454" s="1" t="s">
        <v>1129</v>
      </c>
      <c r="F454" s="1" t="s">
        <v>112</v>
      </c>
      <c r="G454" s="1">
        <v>680022</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240</v>
      </c>
      <c r="D456" s="1" t="s">
        <v>112</v>
      </c>
      <c r="E456" s="1" t="s">
        <v>241</v>
      </c>
      <c r="F456" s="1" t="s">
        <v>242</v>
      </c>
      <c r="G456" s="1" t="s">
        <v>243</v>
      </c>
      <c r="H456" s="1" t="s">
        <v>244</v>
      </c>
      <c r="I456" s="1" t="s">
        <v>245</v>
      </c>
      <c r="J456" s="1" t="s">
        <v>246</v>
      </c>
    </row>
    <row r="457" spans="1:10" x14ac:dyDescent="0.25">
      <c r="A457" s="1" t="str">
        <f t="shared" si="7"/>
        <v>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1130</v>
      </c>
      <c r="D457" s="1" t="s">
        <v>112</v>
      </c>
      <c r="E457" s="1" t="s">
        <v>1131</v>
      </c>
      <c r="F457" s="1" t="s">
        <v>1132</v>
      </c>
      <c r="G457" s="1" t="s">
        <v>1133</v>
      </c>
      <c r="H457" s="1" t="s">
        <v>1134</v>
      </c>
      <c r="I457" s="1">
        <v>24</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252</v>
      </c>
      <c r="D463" s="1" t="s">
        <v>110</v>
      </c>
      <c r="E463" s="1" t="s">
        <v>111</v>
      </c>
      <c r="F463" s="1" t="s">
        <v>112</v>
      </c>
      <c r="G463" s="1" t="s">
        <v>113</v>
      </c>
    </row>
    <row r="464" spans="1:10" x14ac:dyDescent="0.25">
      <c r="A464" s="1" t="str">
        <f t="shared" si="7"/>
        <v>3 testo +ee2</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1135</v>
      </c>
      <c r="D464" s="1" t="s">
        <v>1136</v>
      </c>
      <c r="E464" s="1" t="s">
        <v>1137</v>
      </c>
      <c r="F464" s="1" t="s">
        <v>112</v>
      </c>
      <c r="G464" s="1">
        <v>2514194</v>
      </c>
    </row>
    <row r="465" spans="1:7" x14ac:dyDescent="0.25">
      <c r="A465" s="1" t="str">
        <f t="shared" si="7"/>
        <v>3 testo +ee2</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1138</v>
      </c>
      <c r="D465" s="1" t="s">
        <v>1139</v>
      </c>
      <c r="E465" s="1" t="s">
        <v>1140</v>
      </c>
      <c r="F465" s="1" t="s">
        <v>112</v>
      </c>
      <c r="G465" s="1">
        <v>2369901</v>
      </c>
    </row>
    <row r="466" spans="1:7" x14ac:dyDescent="0.25">
      <c r="A466" s="1" t="str">
        <f t="shared" si="7"/>
        <v>3 testo +ee2</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1141</v>
      </c>
      <c r="D466" s="1" t="s">
        <v>1142</v>
      </c>
      <c r="E466" s="1" t="s">
        <v>1143</v>
      </c>
      <c r="F466" s="1" t="s">
        <v>112</v>
      </c>
      <c r="G466" s="1">
        <v>2488022</v>
      </c>
    </row>
    <row r="467" spans="1:7" x14ac:dyDescent="0.25">
      <c r="A467" s="1" t="str">
        <f t="shared" si="7"/>
        <v>3 testo +ee2</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1144</v>
      </c>
      <c r="D467" s="1" t="s">
        <v>1145</v>
      </c>
      <c r="E467" s="1" t="s">
        <v>1146</v>
      </c>
      <c r="F467" s="1" t="s">
        <v>112</v>
      </c>
      <c r="G467" s="1">
        <v>1793205</v>
      </c>
    </row>
    <row r="468" spans="1:7" x14ac:dyDescent="0.25">
      <c r="A468" s="1" t="str">
        <f t="shared" si="7"/>
        <v>3 testo +ee2</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1147</v>
      </c>
      <c r="D468" s="1" t="s">
        <v>1148</v>
      </c>
      <c r="E468" s="1" t="s">
        <v>1149</v>
      </c>
      <c r="F468" s="1" t="s">
        <v>112</v>
      </c>
      <c r="G468" s="1">
        <v>1738027</v>
      </c>
    </row>
    <row r="469" spans="1:7" x14ac:dyDescent="0.25">
      <c r="A469" s="1" t="str">
        <f t="shared" si="7"/>
        <v>3 testo +ee2</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1150</v>
      </c>
      <c r="D469" s="1" t="s">
        <v>582</v>
      </c>
      <c r="E469" s="1" t="s">
        <v>1151</v>
      </c>
      <c r="F469" s="1" t="s">
        <v>112</v>
      </c>
      <c r="G469" s="1">
        <v>1352604</v>
      </c>
    </row>
    <row r="470" spans="1:7" x14ac:dyDescent="0.25">
      <c r="A470" s="1" t="str">
        <f t="shared" si="7"/>
        <v>3 testo +ee2</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1152</v>
      </c>
      <c r="D470" s="1" t="s">
        <v>1153</v>
      </c>
      <c r="E470" s="1" t="s">
        <v>1154</v>
      </c>
      <c r="F470" s="1" t="s">
        <v>112</v>
      </c>
      <c r="G470" s="1">
        <v>2765404</v>
      </c>
    </row>
    <row r="471" spans="1:7" x14ac:dyDescent="0.25">
      <c r="A471" s="1" t="str">
        <f t="shared" si="7"/>
        <v>3 testo +ee2</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1155</v>
      </c>
      <c r="D471" s="1" t="s">
        <v>1156</v>
      </c>
      <c r="E471" s="1" t="s">
        <v>1157</v>
      </c>
      <c r="F471" s="1" t="s">
        <v>112</v>
      </c>
      <c r="G471" s="1">
        <v>2497431</v>
      </c>
    </row>
    <row r="472" spans="1:7" x14ac:dyDescent="0.25">
      <c r="A472" s="1" t="str">
        <f t="shared" si="7"/>
        <v>3 testo +ee2</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1158</v>
      </c>
      <c r="D472" s="1" t="s">
        <v>1159</v>
      </c>
      <c r="E472" s="1" t="s">
        <v>1160</v>
      </c>
      <c r="F472" s="1" t="s">
        <v>112</v>
      </c>
      <c r="G472" s="1">
        <v>2628876</v>
      </c>
    </row>
    <row r="473" spans="1:7" x14ac:dyDescent="0.25">
      <c r="A473" s="1" t="str">
        <f t="shared" si="7"/>
        <v>3 testo +ee2</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1161</v>
      </c>
      <c r="D473" s="1" t="s">
        <v>1162</v>
      </c>
      <c r="E473" s="1" t="s">
        <v>1163</v>
      </c>
      <c r="F473" s="1" t="s">
        <v>112</v>
      </c>
      <c r="G473" s="1">
        <v>821352</v>
      </c>
    </row>
    <row r="474" spans="1:7" x14ac:dyDescent="0.25">
      <c r="A474" s="1" t="str">
        <f t="shared" si="7"/>
        <v>3 testo +ee2</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1164</v>
      </c>
      <c r="D474" s="1" t="s">
        <v>1165</v>
      </c>
      <c r="E474" s="1" t="s">
        <v>1166</v>
      </c>
      <c r="F474" s="1" t="s">
        <v>112</v>
      </c>
      <c r="G474" s="1">
        <v>557100</v>
      </c>
    </row>
    <row r="475" spans="1:7" x14ac:dyDescent="0.25">
      <c r="A475" s="1" t="str">
        <f t="shared" si="7"/>
        <v>3 testo +ee2</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1167</v>
      </c>
      <c r="D475" s="1" t="s">
        <v>1168</v>
      </c>
      <c r="E475" s="1" t="s">
        <v>1169</v>
      </c>
      <c r="F475" s="1" t="s">
        <v>112</v>
      </c>
      <c r="G475" s="1">
        <v>932919</v>
      </c>
    </row>
    <row r="476" spans="1:7" x14ac:dyDescent="0.25">
      <c r="A476" s="1" t="str">
        <f t="shared" si="7"/>
        <v>3 testo +ee2</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1170</v>
      </c>
      <c r="D476" s="1" t="s">
        <v>1171</v>
      </c>
      <c r="E476" s="1" t="s">
        <v>1172</v>
      </c>
      <c r="F476" s="1" t="s">
        <v>112</v>
      </c>
      <c r="G476" s="1">
        <v>3362886</v>
      </c>
    </row>
    <row r="477" spans="1:7" x14ac:dyDescent="0.25">
      <c r="A477" s="1" t="str">
        <f t="shared" si="7"/>
        <v>3 testo +ee2</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1173</v>
      </c>
      <c r="D477" s="1" t="s">
        <v>564</v>
      </c>
      <c r="E477" s="1" t="s">
        <v>1174</v>
      </c>
      <c r="F477" s="1" t="s">
        <v>112</v>
      </c>
      <c r="G477" s="1">
        <v>3085072</v>
      </c>
    </row>
    <row r="478" spans="1:7" x14ac:dyDescent="0.25">
      <c r="A478" s="1" t="str">
        <f t="shared" si="7"/>
        <v>3 testo +ee2</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1175</v>
      </c>
      <c r="D478" s="1" t="s">
        <v>561</v>
      </c>
      <c r="E478" s="1" t="s">
        <v>1176</v>
      </c>
      <c r="F478" s="1" t="s">
        <v>112</v>
      </c>
      <c r="G478" s="1">
        <v>2985380</v>
      </c>
    </row>
    <row r="479" spans="1:7" x14ac:dyDescent="0.25">
      <c r="A479" s="1" t="str">
        <f t="shared" si="7"/>
        <v>3 testo +ee2</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1177</v>
      </c>
      <c r="D479" s="1" t="s">
        <v>1128</v>
      </c>
      <c r="E479" s="1" t="s">
        <v>1178</v>
      </c>
      <c r="F479" s="1" t="s">
        <v>112</v>
      </c>
      <c r="G479" s="1">
        <v>703491</v>
      </c>
    </row>
    <row r="480" spans="1:7" x14ac:dyDescent="0.25">
      <c r="A480" s="1" t="str">
        <f t="shared" si="7"/>
        <v>3 testo +ee2</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1179</v>
      </c>
      <c r="D480" s="1" t="s">
        <v>894</v>
      </c>
      <c r="E480" s="1" t="s">
        <v>1180</v>
      </c>
      <c r="F480" s="1" t="s">
        <v>112</v>
      </c>
      <c r="G480" s="1">
        <v>448366</v>
      </c>
    </row>
    <row r="481" spans="1:10" x14ac:dyDescent="0.25">
      <c r="A481" s="1" t="str">
        <f t="shared" si="7"/>
        <v>3 testo +ee2</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1181</v>
      </c>
      <c r="D481" s="1" t="s">
        <v>385</v>
      </c>
      <c r="E481" s="1" t="s">
        <v>1182</v>
      </c>
      <c r="F481" s="1" t="s">
        <v>112</v>
      </c>
      <c r="G481" s="1">
        <v>481135</v>
      </c>
    </row>
    <row r="482" spans="1:10" x14ac:dyDescent="0.25">
      <c r="A482" s="1" t="str">
        <f t="shared" si="7"/>
        <v>3 testo +ee2</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1183</v>
      </c>
      <c r="D482" s="1" t="s">
        <v>1184</v>
      </c>
      <c r="E482" s="1" t="s">
        <v>1185</v>
      </c>
      <c r="F482" s="1" t="s">
        <v>112</v>
      </c>
      <c r="G482" s="1">
        <v>4146948</v>
      </c>
    </row>
    <row r="483" spans="1:10" x14ac:dyDescent="0.25">
      <c r="A483" s="1" t="str">
        <f t="shared" si="7"/>
        <v>3 testo +ee2</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1186</v>
      </c>
      <c r="D483" s="1" t="s">
        <v>1187</v>
      </c>
      <c r="E483" s="1" t="s">
        <v>1188</v>
      </c>
      <c r="F483" s="1" t="s">
        <v>112</v>
      </c>
      <c r="G483" s="1">
        <v>3800827</v>
      </c>
    </row>
    <row r="484" spans="1:10" x14ac:dyDescent="0.25">
      <c r="A484" s="1" t="str">
        <f t="shared" si="7"/>
        <v>3 testo +ee2</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1189</v>
      </c>
      <c r="D484" s="1" t="s">
        <v>1190</v>
      </c>
      <c r="E484" s="1" t="s">
        <v>1191</v>
      </c>
      <c r="F484" s="1" t="s">
        <v>112</v>
      </c>
      <c r="G484" s="1">
        <v>3901060</v>
      </c>
    </row>
    <row r="485" spans="1:10" x14ac:dyDescent="0.25">
      <c r="A485" s="1" t="str">
        <f t="shared" si="7"/>
        <v>3 testo +ee2</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1192</v>
      </c>
      <c r="D485" s="1" t="s">
        <v>1193</v>
      </c>
      <c r="E485" s="1" t="s">
        <v>1194</v>
      </c>
      <c r="F485" s="1" t="s">
        <v>112</v>
      </c>
      <c r="G485" s="1">
        <v>1918593</v>
      </c>
    </row>
    <row r="486" spans="1:10" x14ac:dyDescent="0.25">
      <c r="A486" s="1" t="str">
        <f t="shared" si="7"/>
        <v>3 testo +ee2</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1195</v>
      </c>
      <c r="D486" s="1" t="s">
        <v>1196</v>
      </c>
      <c r="E486" s="1" t="s">
        <v>1197</v>
      </c>
      <c r="F486" s="1" t="s">
        <v>112</v>
      </c>
      <c r="G486" s="1">
        <v>1793053</v>
      </c>
    </row>
    <row r="487" spans="1:10" x14ac:dyDescent="0.25">
      <c r="A487" s="1" t="str">
        <f t="shared" si="7"/>
        <v>3 testo +ee2</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1198</v>
      </c>
      <c r="D487" s="1" t="s">
        <v>1199</v>
      </c>
      <c r="E487" s="1" t="s">
        <v>1200</v>
      </c>
      <c r="F487" s="1" t="s">
        <v>112</v>
      </c>
      <c r="G487" s="1">
        <v>1198361</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240</v>
      </c>
      <c r="D489" s="1" t="s">
        <v>112</v>
      </c>
      <c r="E489" s="1" t="s">
        <v>241</v>
      </c>
      <c r="F489" s="1" t="s">
        <v>242</v>
      </c>
      <c r="G489" s="1" t="s">
        <v>243</v>
      </c>
      <c r="H489" s="1" t="s">
        <v>244</v>
      </c>
      <c r="I489" s="1" t="s">
        <v>245</v>
      </c>
      <c r="J489" s="1" t="s">
        <v>246</v>
      </c>
    </row>
    <row r="490" spans="1:10" x14ac:dyDescent="0.25">
      <c r="A490" s="1" t="str">
        <f t="shared" si="7"/>
        <v>3 testo +ee2</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1201</v>
      </c>
      <c r="D490" s="1" t="s">
        <v>112</v>
      </c>
      <c r="E490" s="1" t="s">
        <v>1202</v>
      </c>
      <c r="F490" s="1" t="s">
        <v>1203</v>
      </c>
      <c r="G490" s="1" t="s">
        <v>1204</v>
      </c>
      <c r="H490" s="1" t="s">
        <v>1205</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252</v>
      </c>
      <c r="D496" s="1" t="s">
        <v>110</v>
      </c>
      <c r="E496" s="1" t="s">
        <v>111</v>
      </c>
      <c r="F496" s="1" t="s">
        <v>112</v>
      </c>
      <c r="G496" s="1" t="s">
        <v>113</v>
      </c>
    </row>
    <row r="497" spans="1:7" x14ac:dyDescent="0.25">
      <c r="A497" s="1" t="str">
        <f t="shared" si="7"/>
        <v>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1206</v>
      </c>
      <c r="D497" s="1" t="s">
        <v>1207</v>
      </c>
      <c r="E497" s="1" t="s">
        <v>1208</v>
      </c>
      <c r="F497" s="1" t="s">
        <v>112</v>
      </c>
      <c r="G497" s="1">
        <v>352892</v>
      </c>
    </row>
    <row r="498" spans="1:7" x14ac:dyDescent="0.25">
      <c r="A498" s="1" t="str">
        <f t="shared" si="7"/>
        <v>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1209</v>
      </c>
      <c r="D498" s="1" t="s">
        <v>964</v>
      </c>
      <c r="E498" s="1" t="s">
        <v>1210</v>
      </c>
      <c r="F498" s="1" t="s">
        <v>112</v>
      </c>
      <c r="G498" s="1">
        <v>70016</v>
      </c>
    </row>
    <row r="499" spans="1:7" x14ac:dyDescent="0.25">
      <c r="A499" s="1" t="str">
        <f t="shared" si="7"/>
        <v>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1211</v>
      </c>
      <c r="D499" s="1" t="s">
        <v>957</v>
      </c>
      <c r="E499" s="1" t="s">
        <v>1212</v>
      </c>
      <c r="F499" s="1" t="s">
        <v>112</v>
      </c>
      <c r="G499" s="1">
        <v>116088</v>
      </c>
    </row>
    <row r="500" spans="1:7" x14ac:dyDescent="0.25">
      <c r="A500" s="1" t="str">
        <f t="shared" si="7"/>
        <v>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1213</v>
      </c>
      <c r="D500" s="1" t="s">
        <v>234</v>
      </c>
      <c r="E500" s="1" t="s">
        <v>1214</v>
      </c>
      <c r="F500" s="1" t="s">
        <v>112</v>
      </c>
      <c r="G500" s="1">
        <v>41356</v>
      </c>
    </row>
    <row r="501" spans="1:7" x14ac:dyDescent="0.25">
      <c r="A501" s="1" t="str">
        <f t="shared" si="7"/>
        <v>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1215</v>
      </c>
      <c r="D501" s="1" t="s">
        <v>219</v>
      </c>
      <c r="E501" s="1" t="s">
        <v>1216</v>
      </c>
      <c r="F501" s="1" t="s">
        <v>112</v>
      </c>
      <c r="G501" s="1">
        <v>29849</v>
      </c>
    </row>
    <row r="502" spans="1:7" x14ac:dyDescent="0.25">
      <c r="A502" s="1" t="str">
        <f t="shared" si="7"/>
        <v>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1217</v>
      </c>
      <c r="D502" s="1" t="s">
        <v>448</v>
      </c>
      <c r="E502" s="1" t="s">
        <v>1218</v>
      </c>
      <c r="F502" s="1" t="s">
        <v>112</v>
      </c>
      <c r="G502" s="1">
        <v>8457</v>
      </c>
    </row>
    <row r="503" spans="1:7" x14ac:dyDescent="0.25">
      <c r="A503" s="1" t="str">
        <f t="shared" si="7"/>
        <v>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1219</v>
      </c>
      <c r="D503" s="1" t="s">
        <v>1220</v>
      </c>
      <c r="E503" s="1" t="s">
        <v>1221</v>
      </c>
      <c r="F503" s="1" t="s">
        <v>112</v>
      </c>
      <c r="G503" s="1">
        <v>84768</v>
      </c>
    </row>
    <row r="504" spans="1:7" x14ac:dyDescent="0.25">
      <c r="A504" s="1" t="str">
        <f t="shared" si="7"/>
        <v>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1222</v>
      </c>
      <c r="D504" s="1" t="s">
        <v>874</v>
      </c>
      <c r="E504" s="1" t="s">
        <v>1223</v>
      </c>
      <c r="F504" s="1" t="s">
        <v>112</v>
      </c>
      <c r="G504" s="1">
        <v>13778</v>
      </c>
    </row>
    <row r="505" spans="1:7" x14ac:dyDescent="0.25">
      <c r="A505" s="1" t="str">
        <f t="shared" si="7"/>
        <v>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1224</v>
      </c>
      <c r="D505" s="1" t="s">
        <v>884</v>
      </c>
      <c r="E505" s="1" t="s">
        <v>1225</v>
      </c>
      <c r="F505" s="1" t="s">
        <v>112</v>
      </c>
      <c r="G505" s="1">
        <v>33267</v>
      </c>
    </row>
    <row r="506" spans="1:7" x14ac:dyDescent="0.25">
      <c r="A506" s="1" t="str">
        <f t="shared" si="7"/>
        <v>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1226</v>
      </c>
      <c r="D506" s="1" t="s">
        <v>1227</v>
      </c>
      <c r="E506" s="1" t="s">
        <v>1228</v>
      </c>
      <c r="F506" s="1" t="s">
        <v>112</v>
      </c>
      <c r="G506" s="1">
        <v>65041</v>
      </c>
    </row>
    <row r="507" spans="1:7" x14ac:dyDescent="0.25">
      <c r="A507" s="1" t="str">
        <f t="shared" si="7"/>
        <v>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1229</v>
      </c>
      <c r="D507" s="1" t="s">
        <v>1230</v>
      </c>
      <c r="E507" s="1" t="s">
        <v>1231</v>
      </c>
      <c r="F507" s="1" t="s">
        <v>112</v>
      </c>
      <c r="G507" s="1">
        <v>187423</v>
      </c>
    </row>
    <row r="508" spans="1:7" x14ac:dyDescent="0.25">
      <c r="A508" s="1" t="str">
        <f t="shared" si="7"/>
        <v>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1232</v>
      </c>
      <c r="D508" s="1" t="s">
        <v>1233</v>
      </c>
      <c r="E508" s="1" t="s">
        <v>1234</v>
      </c>
      <c r="F508" s="1" t="s">
        <v>112</v>
      </c>
      <c r="G508" s="1">
        <v>139729</v>
      </c>
    </row>
    <row r="509" spans="1:7" x14ac:dyDescent="0.25">
      <c r="A509" s="1" t="str">
        <f t="shared" si="7"/>
        <v>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1235</v>
      </c>
      <c r="D509" s="1" t="s">
        <v>1236</v>
      </c>
      <c r="E509" s="1" t="s">
        <v>1237</v>
      </c>
      <c r="F509" s="1" t="s">
        <v>112</v>
      </c>
      <c r="G509" s="1">
        <v>75943</v>
      </c>
    </row>
    <row r="510" spans="1:7" x14ac:dyDescent="0.25">
      <c r="A510" s="1" t="str">
        <f t="shared" si="7"/>
        <v>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1238</v>
      </c>
      <c r="D510" s="1" t="s">
        <v>1239</v>
      </c>
      <c r="E510" s="1" t="s">
        <v>1240</v>
      </c>
      <c r="F510" s="1" t="s">
        <v>112</v>
      </c>
      <c r="G510" s="1">
        <v>229147</v>
      </c>
    </row>
    <row r="511" spans="1:7" x14ac:dyDescent="0.25">
      <c r="A511" s="1" t="str">
        <f t="shared" si="7"/>
        <v>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1241</v>
      </c>
      <c r="D511" s="1" t="s">
        <v>1242</v>
      </c>
      <c r="E511" s="1" t="s">
        <v>1243</v>
      </c>
      <c r="F511" s="1" t="s">
        <v>112</v>
      </c>
      <c r="G511" s="1">
        <v>60066</v>
      </c>
    </row>
    <row r="512" spans="1:7" x14ac:dyDescent="0.25">
      <c r="A512" s="1" t="str">
        <f t="shared" si="7"/>
        <v>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1244</v>
      </c>
      <c r="D512" s="1" t="s">
        <v>697</v>
      </c>
      <c r="E512" s="1" t="s">
        <v>1245</v>
      </c>
      <c r="F512" s="1" t="s">
        <v>112</v>
      </c>
      <c r="G512" s="1">
        <v>31428</v>
      </c>
    </row>
    <row r="513" spans="1:10" x14ac:dyDescent="0.25">
      <c r="A513" s="1" t="str">
        <f t="shared" si="7"/>
        <v>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1246</v>
      </c>
      <c r="D513" s="1" t="s">
        <v>697</v>
      </c>
      <c r="E513" s="1" t="s">
        <v>1247</v>
      </c>
      <c r="F513" s="1" t="s">
        <v>112</v>
      </c>
      <c r="G513" s="1">
        <v>32510</v>
      </c>
    </row>
    <row r="514" spans="1:10" x14ac:dyDescent="0.25">
      <c r="A514" s="1" t="str">
        <f t="shared" ref="A514:A577" si="8">IFERROR(LEFT(RIGHT(C514,LEN(C514)-SEARCH("@",C514)),SEARCH("/",RIGHT(C514,LEN(C514)-SEARCH("@",C514)-1))),"")</f>
        <v>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1248</v>
      </c>
      <c r="D514" s="1" t="s">
        <v>219</v>
      </c>
      <c r="E514" s="1" t="s">
        <v>1249</v>
      </c>
      <c r="F514" s="1" t="s">
        <v>112</v>
      </c>
      <c r="G514" s="1">
        <v>30368</v>
      </c>
    </row>
    <row r="515" spans="1:10" x14ac:dyDescent="0.25">
      <c r="A515" s="1" t="str">
        <f t="shared" si="8"/>
        <v>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1250</v>
      </c>
      <c r="D515" s="1" t="s">
        <v>1251</v>
      </c>
      <c r="E515" s="1" t="s">
        <v>1252</v>
      </c>
      <c r="F515" s="1" t="s">
        <v>112</v>
      </c>
      <c r="G515" s="1">
        <v>123139</v>
      </c>
    </row>
    <row r="516" spans="1:10" x14ac:dyDescent="0.25">
      <c r="A516" s="1" t="str">
        <f t="shared" si="8"/>
        <v>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1253</v>
      </c>
      <c r="D516" s="1" t="s">
        <v>216</v>
      </c>
      <c r="E516" s="1" t="s">
        <v>262</v>
      </c>
      <c r="F516" s="1" t="s">
        <v>112</v>
      </c>
      <c r="G516" s="1">
        <v>21716</v>
      </c>
    </row>
    <row r="517" spans="1:10" x14ac:dyDescent="0.25">
      <c r="A517" s="1" t="str">
        <f t="shared" si="8"/>
        <v>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1254</v>
      </c>
      <c r="D517" s="1" t="s">
        <v>839</v>
      </c>
      <c r="E517" s="1" t="s">
        <v>1255</v>
      </c>
      <c r="F517" s="1" t="s">
        <v>112</v>
      </c>
      <c r="G517" s="1">
        <v>164733</v>
      </c>
    </row>
    <row r="518" spans="1:10" x14ac:dyDescent="0.25">
      <c r="A518" s="1" t="str">
        <f t="shared" si="8"/>
        <v>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1256</v>
      </c>
      <c r="D518" s="1" t="s">
        <v>1257</v>
      </c>
      <c r="E518" s="1" t="s">
        <v>1258</v>
      </c>
      <c r="F518" s="1" t="s">
        <v>112</v>
      </c>
      <c r="G518" s="1">
        <v>322415</v>
      </c>
    </row>
    <row r="519" spans="1:10" x14ac:dyDescent="0.25">
      <c r="A519" s="1" t="str">
        <f t="shared" si="8"/>
        <v>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1259</v>
      </c>
      <c r="D519" s="1" t="s">
        <v>1260</v>
      </c>
      <c r="E519" s="1" t="s">
        <v>1261</v>
      </c>
      <c r="F519" s="1" t="s">
        <v>112</v>
      </c>
      <c r="G519" s="1">
        <v>62099</v>
      </c>
    </row>
    <row r="520" spans="1:10" x14ac:dyDescent="0.25">
      <c r="A520" s="1" t="str">
        <f t="shared" si="8"/>
        <v>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1262</v>
      </c>
      <c r="D520" s="1" t="s">
        <v>1263</v>
      </c>
      <c r="E520" s="1" t="s">
        <v>1264</v>
      </c>
      <c r="F520" s="1" t="s">
        <v>112</v>
      </c>
      <c r="G520" s="1">
        <v>156427</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240</v>
      </c>
      <c r="D522" s="1" t="s">
        <v>112</v>
      </c>
      <c r="E522" s="1" t="s">
        <v>241</v>
      </c>
      <c r="F522" s="1" t="s">
        <v>242</v>
      </c>
      <c r="G522" s="1" t="s">
        <v>243</v>
      </c>
      <c r="H522" s="1" t="s">
        <v>244</v>
      </c>
      <c r="I522" s="1" t="s">
        <v>245</v>
      </c>
      <c r="J522" s="1" t="s">
        <v>246</v>
      </c>
    </row>
    <row r="523" spans="1:10" x14ac:dyDescent="0.25">
      <c r="A523" s="1" t="str">
        <f t="shared" si="8"/>
        <v>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1265</v>
      </c>
      <c r="D523" s="1" t="s">
        <v>112</v>
      </c>
      <c r="E523" s="1" t="s">
        <v>1266</v>
      </c>
      <c r="F523" s="1" t="s">
        <v>1267</v>
      </c>
      <c r="G523" s="1" t="s">
        <v>1268</v>
      </c>
      <c r="H523" s="1" t="s">
        <v>1269</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252</v>
      </c>
      <c r="D529" s="1" t="s">
        <v>110</v>
      </c>
      <c r="E529" s="1" t="s">
        <v>111</v>
      </c>
      <c r="F529" s="1" t="s">
        <v>112</v>
      </c>
      <c r="G529" s="1" t="s">
        <v>113</v>
      </c>
    </row>
    <row r="530" spans="1:7" x14ac:dyDescent="0.25">
      <c r="A530" s="1" t="str">
        <f t="shared" si="8"/>
        <v>5 Atrazine 0.625 mg_L+testo</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1270</v>
      </c>
      <c r="D530" s="1" t="s">
        <v>1271</v>
      </c>
      <c r="E530" s="1" t="s">
        <v>1272</v>
      </c>
      <c r="F530" s="1" t="s">
        <v>112</v>
      </c>
      <c r="G530" s="1">
        <v>3380342</v>
      </c>
    </row>
    <row r="531" spans="1:7" x14ac:dyDescent="0.25">
      <c r="A531" s="1" t="str">
        <f t="shared" si="8"/>
        <v>5 Atrazine 0.625 mg_L+testo</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1273</v>
      </c>
      <c r="D531" s="1" t="s">
        <v>1274</v>
      </c>
      <c r="E531" s="1" t="s">
        <v>1275</v>
      </c>
      <c r="F531" s="1" t="s">
        <v>112</v>
      </c>
      <c r="G531" s="1">
        <v>3252617</v>
      </c>
    </row>
    <row r="532" spans="1:7" x14ac:dyDescent="0.25">
      <c r="A532" s="1" t="str">
        <f t="shared" si="8"/>
        <v>5 Atrazine 0.625 mg_L+testo</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1276</v>
      </c>
      <c r="D532" s="1" t="s">
        <v>1277</v>
      </c>
      <c r="E532" s="1" t="s">
        <v>1278</v>
      </c>
      <c r="F532" s="1" t="s">
        <v>112</v>
      </c>
      <c r="G532" s="1">
        <v>3026022</v>
      </c>
    </row>
    <row r="533" spans="1:7" x14ac:dyDescent="0.25">
      <c r="A533" s="1" t="str">
        <f t="shared" si="8"/>
        <v>5 Atrazine 0.625 mg_L+testo</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1279</v>
      </c>
    </row>
    <row r="534" spans="1:7" x14ac:dyDescent="0.25">
      <c r="A534" s="1" t="str">
        <f t="shared" si="8"/>
        <v>5 Atrazine 0.625 mg_L+testo</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1280</v>
      </c>
      <c r="D534" s="1" t="s">
        <v>1281</v>
      </c>
      <c r="E534" s="1" t="s">
        <v>1282</v>
      </c>
      <c r="F534" s="1" t="s">
        <v>112</v>
      </c>
      <c r="G534" s="1">
        <v>220647</v>
      </c>
    </row>
    <row r="535" spans="1:7" x14ac:dyDescent="0.25">
      <c r="A535" s="1" t="str">
        <f t="shared" si="8"/>
        <v>5 Atrazine 0.625 mg_L+testo</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1283</v>
      </c>
    </row>
    <row r="536" spans="1:7" x14ac:dyDescent="0.25">
      <c r="A536" s="1" t="str">
        <f t="shared" si="8"/>
        <v>5 Atrazine 0.625 mg_L+testo</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1284</v>
      </c>
      <c r="D536" s="1" t="s">
        <v>1285</v>
      </c>
      <c r="E536" s="1" t="s">
        <v>1286</v>
      </c>
      <c r="F536" s="1" t="s">
        <v>112</v>
      </c>
      <c r="G536" s="1">
        <v>3431193</v>
      </c>
    </row>
    <row r="537" spans="1:7" x14ac:dyDescent="0.25">
      <c r="A537" s="1" t="str">
        <f t="shared" si="8"/>
        <v>5 Atrazine 0.625 mg_L+testo</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1287</v>
      </c>
      <c r="D537" s="1" t="s">
        <v>1288</v>
      </c>
      <c r="E537" s="1" t="s">
        <v>1289</v>
      </c>
      <c r="F537" s="1" t="s">
        <v>112</v>
      </c>
      <c r="G537" s="1">
        <v>3261226</v>
      </c>
    </row>
    <row r="538" spans="1:7" x14ac:dyDescent="0.25">
      <c r="A538" s="1" t="str">
        <f t="shared" si="8"/>
        <v>5 Atrazine 0.625 mg_L+testo</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1290</v>
      </c>
      <c r="D538" s="1" t="s">
        <v>570</v>
      </c>
      <c r="E538" s="1" t="s">
        <v>1291</v>
      </c>
      <c r="F538" s="1" t="s">
        <v>112</v>
      </c>
      <c r="G538" s="1">
        <v>3065454</v>
      </c>
    </row>
    <row r="539" spans="1:7" x14ac:dyDescent="0.25">
      <c r="A539" s="1" t="str">
        <f t="shared" si="8"/>
        <v>5 Atrazine 0.625 mg_L+testo</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1292</v>
      </c>
      <c r="D539" s="1" t="s">
        <v>1293</v>
      </c>
      <c r="E539" s="1" t="s">
        <v>1294</v>
      </c>
      <c r="F539" s="1" t="s">
        <v>112</v>
      </c>
      <c r="G539" s="1">
        <v>4557484</v>
      </c>
    </row>
    <row r="540" spans="1:7" x14ac:dyDescent="0.25">
      <c r="A540" s="1" t="str">
        <f t="shared" si="8"/>
        <v>5 Atrazine 0.625 mg_L+testo</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1295</v>
      </c>
      <c r="D540" s="1" t="s">
        <v>1296</v>
      </c>
      <c r="E540" s="1" t="s">
        <v>1297</v>
      </c>
      <c r="F540" s="1" t="s">
        <v>112</v>
      </c>
      <c r="G540" s="1">
        <v>4596374</v>
      </c>
    </row>
    <row r="541" spans="1:7" x14ac:dyDescent="0.25">
      <c r="A541" s="1" t="str">
        <f t="shared" si="8"/>
        <v>5 Atrazine 0.625 mg_L+testo</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1298</v>
      </c>
      <c r="D541" s="1" t="s">
        <v>1299</v>
      </c>
      <c r="E541" s="1" t="s">
        <v>1300</v>
      </c>
      <c r="F541" s="1" t="s">
        <v>112</v>
      </c>
      <c r="G541" s="1">
        <v>3756918</v>
      </c>
    </row>
    <row r="542" spans="1:7" x14ac:dyDescent="0.25">
      <c r="A542" s="1" t="str">
        <f t="shared" si="8"/>
        <v>5 Atrazine 0.625 mg_L+testo</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1301</v>
      </c>
      <c r="D542" s="1" t="s">
        <v>1302</v>
      </c>
      <c r="E542" s="1" t="s">
        <v>1303</v>
      </c>
      <c r="F542" s="1" t="s">
        <v>112</v>
      </c>
      <c r="G542" s="1">
        <v>2591240</v>
      </c>
    </row>
    <row r="543" spans="1:7" x14ac:dyDescent="0.25">
      <c r="A543" s="1" t="str">
        <f t="shared" si="8"/>
        <v>5 Atrazine 0.625 mg_L+testo</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1304</v>
      </c>
      <c r="D543" s="1" t="s">
        <v>1305</v>
      </c>
      <c r="E543" s="1" t="s">
        <v>1306</v>
      </c>
      <c r="F543" s="1" t="s">
        <v>112</v>
      </c>
      <c r="G543" s="1">
        <v>2018221</v>
      </c>
    </row>
    <row r="544" spans="1:7" x14ac:dyDescent="0.25">
      <c r="A544" s="1" t="str">
        <f t="shared" si="8"/>
        <v>5 Atrazine 0.625 mg_L+testo</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1307</v>
      </c>
      <c r="D544" s="1" t="s">
        <v>1308</v>
      </c>
      <c r="E544" s="1" t="s">
        <v>1309</v>
      </c>
      <c r="F544" s="1" t="s">
        <v>112</v>
      </c>
      <c r="G544" s="1">
        <v>2456723</v>
      </c>
    </row>
    <row r="545" spans="1:10" x14ac:dyDescent="0.25">
      <c r="A545" s="1" t="str">
        <f t="shared" si="8"/>
        <v>5 Atrazine 0.625 mg_L+testo</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1310</v>
      </c>
      <c r="D545" s="1" t="s">
        <v>1311</v>
      </c>
      <c r="E545" s="1" t="s">
        <v>1312</v>
      </c>
      <c r="F545" s="1" t="s">
        <v>112</v>
      </c>
      <c r="G545" s="1">
        <v>1007931</v>
      </c>
    </row>
    <row r="546" spans="1:10" x14ac:dyDescent="0.25">
      <c r="A546" s="1" t="str">
        <f t="shared" si="8"/>
        <v>5 Atrazine 0.625 mg_L+testo</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1313</v>
      </c>
      <c r="D546" s="1" t="s">
        <v>1314</v>
      </c>
      <c r="E546" s="1" t="s">
        <v>1315</v>
      </c>
      <c r="F546" s="1" t="s">
        <v>112</v>
      </c>
      <c r="G546" s="1">
        <v>1216465</v>
      </c>
    </row>
    <row r="547" spans="1:10" x14ac:dyDescent="0.25">
      <c r="A547" s="1" t="str">
        <f t="shared" si="8"/>
        <v>5 Atrazine 0.625 mg_L+testo</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1316</v>
      </c>
      <c r="D547" s="1" t="s">
        <v>1317</v>
      </c>
      <c r="E547" s="1" t="s">
        <v>1318</v>
      </c>
      <c r="F547" s="1" t="s">
        <v>112</v>
      </c>
      <c r="G547" s="1">
        <v>1352734</v>
      </c>
    </row>
    <row r="548" spans="1:10" x14ac:dyDescent="0.25">
      <c r="A548" s="1" t="str">
        <f t="shared" si="8"/>
        <v>5 Atrazine 0.625 mg_L+testo</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1319</v>
      </c>
      <c r="D548" s="1" t="s">
        <v>1077</v>
      </c>
      <c r="E548" s="1" t="s">
        <v>1320</v>
      </c>
      <c r="F548" s="1" t="s">
        <v>112</v>
      </c>
      <c r="G548" s="1">
        <v>889205</v>
      </c>
    </row>
    <row r="549" spans="1:10" x14ac:dyDescent="0.25">
      <c r="A549" s="1" t="str">
        <f t="shared" si="8"/>
        <v>5 Atrazine 0.625 mg_L+testo</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1321</v>
      </c>
      <c r="D549" s="1" t="s">
        <v>1322</v>
      </c>
      <c r="E549" s="1" t="s">
        <v>1323</v>
      </c>
      <c r="F549" s="1" t="s">
        <v>112</v>
      </c>
      <c r="G549" s="1">
        <v>820162</v>
      </c>
    </row>
    <row r="550" spans="1:10" x14ac:dyDescent="0.25">
      <c r="A550" s="1" t="str">
        <f t="shared" si="8"/>
        <v>5 Atrazine 0.625 mg_L+testo</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1324</v>
      </c>
      <c r="D550" s="1" t="s">
        <v>534</v>
      </c>
      <c r="E550" s="1" t="s">
        <v>1325</v>
      </c>
      <c r="F550" s="1" t="s">
        <v>112</v>
      </c>
      <c r="G550" s="1">
        <v>1237836</v>
      </c>
    </row>
    <row r="551" spans="1:10" x14ac:dyDescent="0.25">
      <c r="A551" s="1" t="str">
        <f t="shared" si="8"/>
        <v>5 Atrazine 0.625 mg_L+testo</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1326</v>
      </c>
      <c r="D551" s="1" t="s">
        <v>431</v>
      </c>
      <c r="E551" s="1" t="s">
        <v>1327</v>
      </c>
      <c r="F551" s="1" t="s">
        <v>112</v>
      </c>
      <c r="G551" s="1">
        <v>416613</v>
      </c>
    </row>
    <row r="552" spans="1:10" x14ac:dyDescent="0.25">
      <c r="A552" s="1" t="str">
        <f t="shared" si="8"/>
        <v>5 Atrazine 0.625 mg_L+testo</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1328</v>
      </c>
      <c r="D552" s="1" t="s">
        <v>1329</v>
      </c>
      <c r="E552" s="1" t="s">
        <v>1330</v>
      </c>
      <c r="F552" s="1" t="s">
        <v>112</v>
      </c>
      <c r="G552" s="1">
        <v>324708</v>
      </c>
    </row>
    <row r="553" spans="1:10" x14ac:dyDescent="0.25">
      <c r="A553" s="1" t="str">
        <f t="shared" si="8"/>
        <v>5 Atrazine 0.625 mg_L+testo</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1331</v>
      </c>
      <c r="D553" s="1" t="s">
        <v>1332</v>
      </c>
      <c r="E553" s="1" t="s">
        <v>1333</v>
      </c>
      <c r="F553" s="1" t="s">
        <v>112</v>
      </c>
      <c r="G553" s="1">
        <v>286185</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240</v>
      </c>
      <c r="D555" s="1" t="s">
        <v>112</v>
      </c>
      <c r="E555" s="1" t="s">
        <v>241</v>
      </c>
      <c r="F555" s="1" t="s">
        <v>242</v>
      </c>
      <c r="G555" s="1" t="s">
        <v>243</v>
      </c>
      <c r="H555" s="1" t="s">
        <v>244</v>
      </c>
      <c r="I555" s="1" t="s">
        <v>245</v>
      </c>
      <c r="J555" s="1" t="s">
        <v>246</v>
      </c>
    </row>
    <row r="556" spans="1:10" x14ac:dyDescent="0.25">
      <c r="A556" s="1" t="str">
        <f t="shared" si="8"/>
        <v>5 Atrazine 0.625 mg_L+testo</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1334</v>
      </c>
      <c r="D556" s="1" t="s">
        <v>112</v>
      </c>
      <c r="E556" s="1" t="s">
        <v>1335</v>
      </c>
      <c r="F556" s="1" t="s">
        <v>1336</v>
      </c>
      <c r="G556" s="1" t="s">
        <v>1337</v>
      </c>
      <c r="H556" s="1" t="s">
        <v>1338</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252</v>
      </c>
      <c r="D562" s="1" t="s">
        <v>110</v>
      </c>
      <c r="E562" s="1" t="s">
        <v>111</v>
      </c>
      <c r="F562" s="1" t="s">
        <v>112</v>
      </c>
      <c r="G562" s="1" t="s">
        <v>113</v>
      </c>
    </row>
    <row r="563" spans="1:7" x14ac:dyDescent="0.25">
      <c r="A563" s="1" t="str">
        <f t="shared" si="8"/>
        <v>6  Atrazine 1.25 mg_L+testo</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1339</v>
      </c>
      <c r="D563" s="1" t="s">
        <v>1340</v>
      </c>
      <c r="E563" s="1" t="s">
        <v>1341</v>
      </c>
      <c r="F563" s="1" t="s">
        <v>112</v>
      </c>
      <c r="G563" s="1">
        <v>2891744</v>
      </c>
    </row>
    <row r="564" spans="1:7" x14ac:dyDescent="0.25">
      <c r="A564" s="1" t="str">
        <f t="shared" si="8"/>
        <v>6  Atrazine 1.25 mg_L+testo</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1342</v>
      </c>
      <c r="D564" s="1" t="s">
        <v>1343</v>
      </c>
      <c r="E564" s="1" t="s">
        <v>1344</v>
      </c>
      <c r="F564" s="1" t="s">
        <v>112</v>
      </c>
      <c r="G564" s="1">
        <v>2830899</v>
      </c>
    </row>
    <row r="565" spans="1:7" x14ac:dyDescent="0.25">
      <c r="A565" s="1" t="str">
        <f t="shared" si="8"/>
        <v>6  Atrazine 1.25 mg_L+testo</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1345</v>
      </c>
      <c r="D565" s="1" t="s">
        <v>1346</v>
      </c>
      <c r="E565" s="1" t="s">
        <v>1347</v>
      </c>
      <c r="F565" s="1" t="s">
        <v>112</v>
      </c>
      <c r="G565" s="1">
        <v>3195557</v>
      </c>
    </row>
    <row r="566" spans="1:7" x14ac:dyDescent="0.25">
      <c r="A566" s="1" t="str">
        <f t="shared" si="8"/>
        <v>6  Atrazine 1.25 mg_L+testo</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1348</v>
      </c>
      <c r="D566" s="1" t="s">
        <v>1349</v>
      </c>
      <c r="E566" s="1" t="s">
        <v>1350</v>
      </c>
      <c r="F566" s="1" t="s">
        <v>112</v>
      </c>
      <c r="G566" s="1">
        <v>851050</v>
      </c>
    </row>
    <row r="567" spans="1:7" x14ac:dyDescent="0.25">
      <c r="A567" s="1" t="str">
        <f t="shared" si="8"/>
        <v>6  Atrazine 1.25 mg_L+testo</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1351</v>
      </c>
      <c r="D567" s="1" t="s">
        <v>1352</v>
      </c>
      <c r="E567" s="1" t="s">
        <v>1353</v>
      </c>
      <c r="F567" s="1" t="s">
        <v>112</v>
      </c>
      <c r="G567" s="1">
        <v>563480</v>
      </c>
    </row>
    <row r="568" spans="1:7" x14ac:dyDescent="0.25">
      <c r="A568" s="1" t="str">
        <f t="shared" si="8"/>
        <v>6  Atrazine 1.25 mg_L+testo</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1354</v>
      </c>
      <c r="D568" s="1" t="s">
        <v>1355</v>
      </c>
      <c r="E568" s="1" t="s">
        <v>1356</v>
      </c>
      <c r="F568" s="1" t="s">
        <v>112</v>
      </c>
      <c r="G568" s="1">
        <v>887193</v>
      </c>
    </row>
    <row r="569" spans="1:7" x14ac:dyDescent="0.25">
      <c r="A569" s="1" t="str">
        <f t="shared" si="8"/>
        <v>6  Atrazine 1.25 mg_L+testo</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1357</v>
      </c>
      <c r="D569" s="1" t="s">
        <v>1358</v>
      </c>
      <c r="E569" s="1" t="s">
        <v>1359</v>
      </c>
      <c r="F569" s="1" t="s">
        <v>112</v>
      </c>
      <c r="G569" s="1">
        <v>1670931</v>
      </c>
    </row>
    <row r="570" spans="1:7" x14ac:dyDescent="0.25">
      <c r="A570" s="1" t="str">
        <f t="shared" si="8"/>
        <v>6  Atrazine 1.25 mg_L+testo</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1360</v>
      </c>
      <c r="D570" s="1" t="s">
        <v>159</v>
      </c>
      <c r="E570" s="1" t="s">
        <v>1361</v>
      </c>
      <c r="F570" s="1" t="s">
        <v>112</v>
      </c>
      <c r="G570" s="1">
        <v>1463846</v>
      </c>
    </row>
    <row r="571" spans="1:7" x14ac:dyDescent="0.25">
      <c r="A571" s="1" t="str">
        <f t="shared" si="8"/>
        <v>6  Atrazine 1.25 mg_L+testo</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1362</v>
      </c>
      <c r="D571" s="1" t="s">
        <v>1363</v>
      </c>
      <c r="E571" s="1" t="s">
        <v>1364</v>
      </c>
      <c r="F571" s="1" t="s">
        <v>112</v>
      </c>
      <c r="G571" s="1">
        <v>970058</v>
      </c>
    </row>
    <row r="572" spans="1:7" x14ac:dyDescent="0.25">
      <c r="A572" s="1" t="str">
        <f t="shared" si="8"/>
        <v>6  Atrazine 1.25 mg_L+testo</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1365</v>
      </c>
      <c r="D572" s="1" t="s">
        <v>198</v>
      </c>
      <c r="E572" s="1" t="s">
        <v>1366</v>
      </c>
      <c r="F572" s="1" t="s">
        <v>112</v>
      </c>
      <c r="G572" s="1">
        <v>134733</v>
      </c>
    </row>
    <row r="573" spans="1:7" x14ac:dyDescent="0.25">
      <c r="A573" s="1" t="str">
        <f t="shared" si="8"/>
        <v>6  Atrazine 1.25 mg_L+testo</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1367</v>
      </c>
      <c r="D573" s="1" t="s">
        <v>1368</v>
      </c>
      <c r="E573" s="1" t="s">
        <v>1369</v>
      </c>
      <c r="F573" s="1" t="s">
        <v>112</v>
      </c>
      <c r="G573" s="1">
        <v>119873</v>
      </c>
    </row>
    <row r="574" spans="1:7" x14ac:dyDescent="0.25">
      <c r="A574" s="1" t="str">
        <f t="shared" si="8"/>
        <v>6  Atrazine 1.25 mg_L+testo</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1370</v>
      </c>
      <c r="D574" s="1" t="s">
        <v>213</v>
      </c>
      <c r="E574" s="1" t="s">
        <v>1371</v>
      </c>
      <c r="F574" s="1" t="s">
        <v>112</v>
      </c>
      <c r="G574" s="1">
        <v>149203</v>
      </c>
    </row>
    <row r="575" spans="1:7" x14ac:dyDescent="0.25">
      <c r="A575" s="1" t="str">
        <f t="shared" si="8"/>
        <v>6  Atrazine 1.25 mg_L+testo</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1372</v>
      </c>
      <c r="D575" s="1" t="s">
        <v>1373</v>
      </c>
      <c r="E575" s="1" t="s">
        <v>1374</v>
      </c>
      <c r="F575" s="1" t="s">
        <v>112</v>
      </c>
      <c r="G575" s="1">
        <v>4127503</v>
      </c>
    </row>
    <row r="576" spans="1:7" x14ac:dyDescent="0.25">
      <c r="A576" s="1" t="str">
        <f t="shared" si="8"/>
        <v>6  Atrazine 1.25 mg_L+testo</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1375</v>
      </c>
      <c r="D576" s="1" t="s">
        <v>1376</v>
      </c>
      <c r="E576" s="1" t="s">
        <v>1377</v>
      </c>
      <c r="F576" s="1" t="s">
        <v>112</v>
      </c>
      <c r="G576" s="1">
        <v>4182594</v>
      </c>
    </row>
    <row r="577" spans="1:10" x14ac:dyDescent="0.25">
      <c r="A577" s="1" t="str">
        <f t="shared" si="8"/>
        <v>6  Atrazine 1.25 mg_L+testo</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1378</v>
      </c>
      <c r="D577" s="1" t="s">
        <v>1379</v>
      </c>
      <c r="E577" s="1" t="s">
        <v>1380</v>
      </c>
      <c r="F577" s="1" t="s">
        <v>112</v>
      </c>
      <c r="G577" s="1">
        <v>4026297</v>
      </c>
    </row>
    <row r="578" spans="1:10" x14ac:dyDescent="0.25">
      <c r="A578" s="1" t="str">
        <f t="shared" ref="A578:A641" si="9">IFERROR(LEFT(RIGHT(C578,LEN(C578)-SEARCH("@",C578)),SEARCH("/",RIGHT(C578,LEN(C578)-SEARCH("@",C578)-1))),"")</f>
        <v>6  Atrazine 1.25 mg_L+testo</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1381</v>
      </c>
      <c r="D578" s="1" t="s">
        <v>1382</v>
      </c>
      <c r="E578" s="1" t="s">
        <v>1383</v>
      </c>
      <c r="F578" s="1" t="s">
        <v>112</v>
      </c>
      <c r="G578" s="1">
        <v>504798</v>
      </c>
    </row>
    <row r="579" spans="1:10" x14ac:dyDescent="0.25">
      <c r="A579" s="1" t="str">
        <f t="shared" si="9"/>
        <v>6  Atrazine 1.25 mg_L+testo</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1384</v>
      </c>
      <c r="D579" s="1" t="s">
        <v>1385</v>
      </c>
      <c r="E579" s="1" t="s">
        <v>1386</v>
      </c>
      <c r="F579" s="1" t="s">
        <v>112</v>
      </c>
      <c r="G579" s="1">
        <v>447825</v>
      </c>
    </row>
    <row r="580" spans="1:10" x14ac:dyDescent="0.25">
      <c r="A580" s="1" t="str">
        <f t="shared" si="9"/>
        <v>6  Atrazine 1.25 mg_L+testo</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1387</v>
      </c>
      <c r="D580" s="1" t="s">
        <v>1388</v>
      </c>
      <c r="E580" s="1" t="s">
        <v>1389</v>
      </c>
      <c r="F580" s="1" t="s">
        <v>112</v>
      </c>
      <c r="G580" s="1">
        <v>504106</v>
      </c>
    </row>
    <row r="581" spans="1:10" x14ac:dyDescent="0.25">
      <c r="A581" s="1" t="str">
        <f t="shared" si="9"/>
        <v>6  Atrazine 1.25 mg_L+testo</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1390</v>
      </c>
      <c r="D581" s="1" t="s">
        <v>1391</v>
      </c>
      <c r="E581" s="1" t="s">
        <v>1392</v>
      </c>
      <c r="F581" s="1" t="s">
        <v>112</v>
      </c>
      <c r="G581" s="1">
        <v>1476932</v>
      </c>
    </row>
    <row r="582" spans="1:10" x14ac:dyDescent="0.25">
      <c r="A582" s="1" t="str">
        <f t="shared" si="9"/>
        <v>6  Atrazine 1.25 mg_L+testo</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1393</v>
      </c>
      <c r="D582" s="1" t="s">
        <v>1394</v>
      </c>
      <c r="E582" s="1" t="s">
        <v>1395</v>
      </c>
      <c r="F582" s="1" t="s">
        <v>112</v>
      </c>
      <c r="G582" s="1">
        <v>1622804</v>
      </c>
    </row>
    <row r="583" spans="1:10" x14ac:dyDescent="0.25">
      <c r="A583" s="1" t="str">
        <f t="shared" si="9"/>
        <v>6  Atrazine 1.25 mg_L+testo</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1396</v>
      </c>
      <c r="D583" s="1" t="s">
        <v>1397</v>
      </c>
      <c r="E583" s="1" t="s">
        <v>1398</v>
      </c>
      <c r="F583" s="1" t="s">
        <v>112</v>
      </c>
      <c r="G583" s="1">
        <v>1671991</v>
      </c>
    </row>
    <row r="584" spans="1:10" x14ac:dyDescent="0.25">
      <c r="A584" s="1" t="str">
        <f t="shared" si="9"/>
        <v>6  Atrazine 1.25 mg_L+testo</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1399</v>
      </c>
      <c r="D584" s="1" t="s">
        <v>1400</v>
      </c>
      <c r="E584" s="1" t="s">
        <v>1401</v>
      </c>
      <c r="F584" s="1" t="s">
        <v>112</v>
      </c>
      <c r="G584" s="1">
        <v>4458657</v>
      </c>
    </row>
    <row r="585" spans="1:10" x14ac:dyDescent="0.25">
      <c r="A585" s="1" t="str">
        <f t="shared" si="9"/>
        <v>6  Atrazine 1.25 mg_L+testo</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1402</v>
      </c>
      <c r="D585" s="1" t="s">
        <v>1403</v>
      </c>
      <c r="E585" s="1" t="s">
        <v>1404</v>
      </c>
      <c r="F585" s="1" t="s">
        <v>112</v>
      </c>
      <c r="G585" s="1">
        <v>4166718</v>
      </c>
    </row>
    <row r="586" spans="1:10" x14ac:dyDescent="0.25">
      <c r="A586" s="1" t="str">
        <f t="shared" si="9"/>
        <v>6  Atrazine 1.25 mg_L+testo</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1405</v>
      </c>
      <c r="D586" s="1" t="s">
        <v>1406</v>
      </c>
      <c r="E586" s="1" t="s">
        <v>1407</v>
      </c>
      <c r="F586" s="1" t="s">
        <v>112</v>
      </c>
      <c r="G586" s="1">
        <v>4083054</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240</v>
      </c>
      <c r="D588" s="1" t="s">
        <v>112</v>
      </c>
      <c r="E588" s="1" t="s">
        <v>241</v>
      </c>
      <c r="F588" s="1" t="s">
        <v>242</v>
      </c>
      <c r="G588" s="1" t="s">
        <v>243</v>
      </c>
      <c r="H588" s="1" t="s">
        <v>244</v>
      </c>
      <c r="I588" s="1" t="s">
        <v>245</v>
      </c>
      <c r="J588" s="1" t="s">
        <v>246</v>
      </c>
    </row>
    <row r="589" spans="1:10" x14ac:dyDescent="0.25">
      <c r="A589" s="1" t="str">
        <f t="shared" si="9"/>
        <v>6  Atrazine 1.25 mg_L+testo</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1408</v>
      </c>
      <c r="D589" s="1" t="s">
        <v>112</v>
      </c>
      <c r="E589" s="1" t="s">
        <v>1409</v>
      </c>
      <c r="F589" s="1" t="s">
        <v>1410</v>
      </c>
      <c r="G589" s="1" t="s">
        <v>1411</v>
      </c>
      <c r="H589" s="1" t="s">
        <v>1412</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252</v>
      </c>
      <c r="D595" s="1" t="s">
        <v>110</v>
      </c>
      <c r="E595" s="1" t="s">
        <v>111</v>
      </c>
      <c r="F595" s="1" t="s">
        <v>112</v>
      </c>
      <c r="G595" s="1" t="s">
        <v>113</v>
      </c>
    </row>
    <row r="596" spans="1:7" x14ac:dyDescent="0.25">
      <c r="A596" s="1" t="str">
        <f t="shared" si="9"/>
        <v>7 Atrazine 2.5 mg_L+testo</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1413</v>
      </c>
      <c r="D596" s="1" t="s">
        <v>1414</v>
      </c>
      <c r="E596" s="1" t="s">
        <v>1415</v>
      </c>
      <c r="F596" s="1" t="s">
        <v>112</v>
      </c>
      <c r="G596" s="1">
        <v>4589345</v>
      </c>
    </row>
    <row r="597" spans="1:7" x14ac:dyDescent="0.25">
      <c r="A597" s="1" t="str">
        <f t="shared" si="9"/>
        <v>7 Atrazine 2.5 mg_L+testo</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1416</v>
      </c>
      <c r="D597" s="1" t="s">
        <v>1417</v>
      </c>
      <c r="E597" s="1" t="s">
        <v>1418</v>
      </c>
      <c r="F597" s="1" t="s">
        <v>112</v>
      </c>
      <c r="G597" s="1">
        <v>4388597</v>
      </c>
    </row>
    <row r="598" spans="1:7" x14ac:dyDescent="0.25">
      <c r="A598" s="1" t="str">
        <f t="shared" si="9"/>
        <v>7 Atrazine 2.5 mg_L+testo</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1419</v>
      </c>
      <c r="D598" s="1" t="s">
        <v>1420</v>
      </c>
      <c r="E598" s="1" t="s">
        <v>1421</v>
      </c>
      <c r="F598" s="1" t="s">
        <v>112</v>
      </c>
      <c r="G598" s="1">
        <v>4741619</v>
      </c>
    </row>
    <row r="599" spans="1:7" x14ac:dyDescent="0.25">
      <c r="A599" s="1" t="str">
        <f t="shared" si="9"/>
        <v>7 Atrazine 2.5 mg_L+testo</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1422</v>
      </c>
      <c r="D599" s="1" t="s">
        <v>1423</v>
      </c>
      <c r="E599" s="1" t="s">
        <v>1424</v>
      </c>
      <c r="F599" s="1" t="s">
        <v>112</v>
      </c>
      <c r="G599" s="1">
        <v>1531461</v>
      </c>
    </row>
    <row r="600" spans="1:7" x14ac:dyDescent="0.25">
      <c r="A600" s="1" t="str">
        <f t="shared" si="9"/>
        <v>7 Atrazine 2.5 mg_L+testo</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1425</v>
      </c>
      <c r="D600" s="1" t="s">
        <v>1426</v>
      </c>
      <c r="E600" s="1" t="s">
        <v>1427</v>
      </c>
      <c r="F600" s="1" t="s">
        <v>112</v>
      </c>
      <c r="G600" s="1">
        <v>1703419</v>
      </c>
    </row>
    <row r="601" spans="1:7" x14ac:dyDescent="0.25">
      <c r="A601" s="1" t="str">
        <f t="shared" si="9"/>
        <v>7 Atrazine 2.5 mg_L+testo</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1428</v>
      </c>
      <c r="D601" s="1" t="s">
        <v>1429</v>
      </c>
      <c r="E601" s="1" t="s">
        <v>1430</v>
      </c>
      <c r="F601" s="1" t="s">
        <v>112</v>
      </c>
      <c r="G601" s="1">
        <v>1874144</v>
      </c>
    </row>
    <row r="602" spans="1:7" x14ac:dyDescent="0.25">
      <c r="A602" s="1" t="str">
        <f t="shared" si="9"/>
        <v>7 Atrazine 2.5 mg_L+testo</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1431</v>
      </c>
      <c r="D602" s="1" t="s">
        <v>1432</v>
      </c>
      <c r="E602" s="1" t="s">
        <v>1433</v>
      </c>
      <c r="F602" s="1" t="s">
        <v>112</v>
      </c>
      <c r="G602" s="1">
        <v>1932869</v>
      </c>
    </row>
    <row r="603" spans="1:7" x14ac:dyDescent="0.25">
      <c r="A603" s="1" t="str">
        <f t="shared" si="9"/>
        <v>7 Atrazine 2.5 mg_L+testo</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1434</v>
      </c>
      <c r="D603" s="1" t="s">
        <v>1435</v>
      </c>
      <c r="E603" s="1" t="s">
        <v>1436</v>
      </c>
      <c r="F603" s="1" t="s">
        <v>112</v>
      </c>
      <c r="G603" s="1">
        <v>2137812</v>
      </c>
    </row>
    <row r="604" spans="1:7" x14ac:dyDescent="0.25">
      <c r="A604" s="1" t="str">
        <f t="shared" si="9"/>
        <v>7 Atrazine 2.5 mg_L+testo</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1437</v>
      </c>
      <c r="D604" s="1" t="s">
        <v>1438</v>
      </c>
      <c r="E604" s="1" t="s">
        <v>1439</v>
      </c>
      <c r="F604" s="1" t="s">
        <v>112</v>
      </c>
      <c r="G604" s="1">
        <v>2367716</v>
      </c>
    </row>
    <row r="605" spans="1:7" x14ac:dyDescent="0.25">
      <c r="A605" s="1" t="str">
        <f t="shared" si="9"/>
        <v>7 Atrazine 2.5 mg_L+testo</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1440</v>
      </c>
      <c r="D605" s="1" t="s">
        <v>1441</v>
      </c>
      <c r="E605" s="1" t="s">
        <v>1442</v>
      </c>
      <c r="F605" s="1" t="s">
        <v>112</v>
      </c>
      <c r="G605" s="1">
        <v>698473</v>
      </c>
    </row>
    <row r="606" spans="1:7" x14ac:dyDescent="0.25">
      <c r="A606" s="1" t="str">
        <f t="shared" si="9"/>
        <v>7 Atrazine 2.5 mg_L+testo</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1443</v>
      </c>
      <c r="D606" s="1" t="s">
        <v>1444</v>
      </c>
      <c r="E606" s="1" t="s">
        <v>1445</v>
      </c>
      <c r="F606" s="1" t="s">
        <v>112</v>
      </c>
      <c r="G606" s="1">
        <v>473522</v>
      </c>
    </row>
    <row r="607" spans="1:7" x14ac:dyDescent="0.25">
      <c r="A607" s="1" t="str">
        <f t="shared" si="9"/>
        <v>7 Atrazine 2.5 mg_L+testo</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1446</v>
      </c>
      <c r="D607" s="1" t="s">
        <v>1447</v>
      </c>
      <c r="E607" s="1" t="s">
        <v>1448</v>
      </c>
      <c r="F607" s="1" t="s">
        <v>112</v>
      </c>
      <c r="G607" s="1">
        <v>543970</v>
      </c>
    </row>
    <row r="608" spans="1:7" x14ac:dyDescent="0.25">
      <c r="A608" s="1" t="str">
        <f t="shared" si="9"/>
        <v>7 Atrazine 2.5 mg_L+testo</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1449</v>
      </c>
      <c r="D608" s="1" t="s">
        <v>1450</v>
      </c>
      <c r="E608" s="1" t="s">
        <v>1451</v>
      </c>
      <c r="F608" s="1" t="s">
        <v>112</v>
      </c>
      <c r="G608" s="1">
        <v>381876</v>
      </c>
    </row>
    <row r="609" spans="1:10" x14ac:dyDescent="0.25">
      <c r="A609" s="1" t="str">
        <f t="shared" si="9"/>
        <v>7 Atrazine 2.5 mg_L+testo</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1452</v>
      </c>
      <c r="D609" s="1" t="s">
        <v>916</v>
      </c>
      <c r="E609" s="1" t="s">
        <v>1453</v>
      </c>
      <c r="F609" s="1" t="s">
        <v>112</v>
      </c>
      <c r="G609" s="1">
        <v>215131</v>
      </c>
    </row>
    <row r="610" spans="1:10" x14ac:dyDescent="0.25">
      <c r="A610" s="1" t="str">
        <f t="shared" si="9"/>
        <v>7 Atrazine 2.5 mg_L+testo</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1454</v>
      </c>
      <c r="D610" s="1" t="s">
        <v>312</v>
      </c>
      <c r="E610" s="1" t="s">
        <v>1455</v>
      </c>
      <c r="F610" s="1" t="s">
        <v>112</v>
      </c>
      <c r="G610" s="1">
        <v>275997</v>
      </c>
    </row>
    <row r="611" spans="1:10" x14ac:dyDescent="0.25">
      <c r="A611" s="1" t="str">
        <f t="shared" si="9"/>
        <v>7 Atrazine 2.5 mg_L+testo</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1456</v>
      </c>
      <c r="D611" s="1" t="s">
        <v>1358</v>
      </c>
      <c r="E611" s="1" t="s">
        <v>1457</v>
      </c>
      <c r="F611" s="1" t="s">
        <v>112</v>
      </c>
      <c r="G611" s="1">
        <v>1687002</v>
      </c>
    </row>
    <row r="612" spans="1:10" x14ac:dyDescent="0.25">
      <c r="A612" s="1" t="str">
        <f t="shared" si="9"/>
        <v>7 Atrazine 2.5 mg_L+testo</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1458</v>
      </c>
      <c r="D612" s="1" t="s">
        <v>1459</v>
      </c>
      <c r="E612" s="1" t="s">
        <v>1460</v>
      </c>
      <c r="F612" s="1" t="s">
        <v>112</v>
      </c>
      <c r="G612" s="1">
        <v>1560316</v>
      </c>
    </row>
    <row r="613" spans="1:10" x14ac:dyDescent="0.25">
      <c r="A613" s="1" t="str">
        <f t="shared" si="9"/>
        <v>7 Atrazine 2.5 mg_L+testo</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1461</v>
      </c>
      <c r="D613" s="1" t="s">
        <v>1462</v>
      </c>
      <c r="E613" s="1" t="s">
        <v>1463</v>
      </c>
      <c r="F613" s="1" t="s">
        <v>112</v>
      </c>
      <c r="G613" s="1">
        <v>1744862</v>
      </c>
    </row>
    <row r="614" spans="1:10" x14ac:dyDescent="0.25">
      <c r="A614" s="1" t="str">
        <f t="shared" si="9"/>
        <v>7 Atrazine 2.5 mg_L+testo</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1464</v>
      </c>
      <c r="D614" s="1" t="s">
        <v>1465</v>
      </c>
      <c r="E614" s="1" t="s">
        <v>1466</v>
      </c>
      <c r="F614" s="1" t="s">
        <v>112</v>
      </c>
      <c r="G614" s="1">
        <v>3565666</v>
      </c>
    </row>
    <row r="615" spans="1:10" x14ac:dyDescent="0.25">
      <c r="A615" s="1" t="str">
        <f t="shared" si="9"/>
        <v>7 Atrazine 2.5 mg_L+testo</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1467</v>
      </c>
      <c r="D615" s="1" t="s">
        <v>1468</v>
      </c>
      <c r="E615" s="1" t="s">
        <v>1469</v>
      </c>
      <c r="F615" s="1" t="s">
        <v>112</v>
      </c>
      <c r="G615" s="1">
        <v>2825686</v>
      </c>
    </row>
    <row r="616" spans="1:10" x14ac:dyDescent="0.25">
      <c r="A616" s="1" t="str">
        <f t="shared" si="9"/>
        <v>7 Atrazine 2.5 mg_L+testo</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1470</v>
      </c>
      <c r="D616" s="1" t="s">
        <v>1471</v>
      </c>
      <c r="E616" s="1" t="s">
        <v>1472</v>
      </c>
      <c r="F616" s="1" t="s">
        <v>112</v>
      </c>
      <c r="G616" s="1">
        <v>2956763</v>
      </c>
    </row>
    <row r="617" spans="1:10" x14ac:dyDescent="0.25">
      <c r="A617" s="1" t="str">
        <f t="shared" si="9"/>
        <v>7 Atrazine 2.5 mg_L+testo</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1473</v>
      </c>
      <c r="D617" s="1" t="s">
        <v>1474</v>
      </c>
      <c r="E617" s="1" t="s">
        <v>1475</v>
      </c>
      <c r="F617" s="1" t="s">
        <v>112</v>
      </c>
      <c r="G617" s="1">
        <v>2447898</v>
      </c>
    </row>
    <row r="618" spans="1:10" x14ac:dyDescent="0.25">
      <c r="A618" s="1" t="str">
        <f t="shared" si="9"/>
        <v>7 Atrazine 2.5 mg_L+testo</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1476</v>
      </c>
      <c r="D618" s="1" t="s">
        <v>1477</v>
      </c>
      <c r="E618" s="1" t="s">
        <v>1478</v>
      </c>
      <c r="F618" s="1" t="s">
        <v>112</v>
      </c>
      <c r="G618" s="1">
        <v>2291774</v>
      </c>
    </row>
    <row r="619" spans="1:10" x14ac:dyDescent="0.25">
      <c r="A619" s="1" t="str">
        <f t="shared" si="9"/>
        <v>7 Atrazine 2.5 mg_L+testo</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1479</v>
      </c>
      <c r="D619" s="1" t="s">
        <v>1480</v>
      </c>
      <c r="E619" s="1" t="s">
        <v>1481</v>
      </c>
      <c r="F619" s="1" t="s">
        <v>112</v>
      </c>
      <c r="G619" s="1">
        <v>2095439</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240</v>
      </c>
      <c r="D621" s="1" t="s">
        <v>112</v>
      </c>
      <c r="E621" s="1" t="s">
        <v>241</v>
      </c>
      <c r="F621" s="1" t="s">
        <v>242</v>
      </c>
      <c r="G621" s="1" t="s">
        <v>243</v>
      </c>
      <c r="H621" s="1" t="s">
        <v>244</v>
      </c>
      <c r="I621" s="1" t="s">
        <v>245</v>
      </c>
      <c r="J621" s="1" t="s">
        <v>246</v>
      </c>
    </row>
    <row r="622" spans="1:10" x14ac:dyDescent="0.25">
      <c r="A622" s="1" t="str">
        <f t="shared" si="9"/>
        <v>7 Atrazine 2.5 mg_L+testo</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1482</v>
      </c>
      <c r="D622" s="1" t="s">
        <v>112</v>
      </c>
      <c r="E622" s="1" t="s">
        <v>1483</v>
      </c>
      <c r="F622" s="1" t="s">
        <v>1484</v>
      </c>
      <c r="G622" s="1" t="s">
        <v>1485</v>
      </c>
      <c r="H622" s="1" t="s">
        <v>1486</v>
      </c>
      <c r="I622" s="1">
        <v>24</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252</v>
      </c>
      <c r="D628" s="1" t="s">
        <v>110</v>
      </c>
      <c r="E628" s="1" t="s">
        <v>111</v>
      </c>
      <c r="F628" s="1" t="s">
        <v>112</v>
      </c>
      <c r="G628" s="1" t="s">
        <v>113</v>
      </c>
    </row>
    <row r="629" spans="1:7" x14ac:dyDescent="0.25">
      <c r="A629" s="1" t="str">
        <f t="shared" si="9"/>
        <v>8 Atrazine 5 mg_L+testo</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1487</v>
      </c>
      <c r="D629" s="1" t="s">
        <v>1488</v>
      </c>
      <c r="E629" s="1" t="s">
        <v>1489</v>
      </c>
      <c r="F629" s="1" t="s">
        <v>112</v>
      </c>
      <c r="G629" s="1">
        <v>1597844</v>
      </c>
    </row>
    <row r="630" spans="1:7" x14ac:dyDescent="0.25">
      <c r="A630" s="1" t="str">
        <f t="shared" si="9"/>
        <v>8 Atrazine 5 mg_L+testo</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1490</v>
      </c>
      <c r="D630" s="1" t="s">
        <v>1491</v>
      </c>
      <c r="E630" s="1" t="s">
        <v>1492</v>
      </c>
      <c r="F630" s="1" t="s">
        <v>112</v>
      </c>
      <c r="G630" s="1">
        <v>2111164</v>
      </c>
    </row>
    <row r="631" spans="1:7" x14ac:dyDescent="0.25">
      <c r="A631" s="1" t="str">
        <f t="shared" si="9"/>
        <v>8 Atrazine 5 mg_L+testo</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1493</v>
      </c>
      <c r="D631" s="1" t="s">
        <v>1494</v>
      </c>
      <c r="E631" s="1" t="s">
        <v>1495</v>
      </c>
      <c r="F631" s="1" t="s">
        <v>112</v>
      </c>
      <c r="G631" s="1">
        <v>929155</v>
      </c>
    </row>
    <row r="632" spans="1:7" x14ac:dyDescent="0.25">
      <c r="A632" s="1" t="str">
        <f t="shared" si="9"/>
        <v>8 Atrazine 5 mg_L+testo</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1496</v>
      </c>
      <c r="D632" s="1" t="s">
        <v>1497</v>
      </c>
      <c r="E632" s="1" t="s">
        <v>1498</v>
      </c>
      <c r="F632" s="1" t="s">
        <v>112</v>
      </c>
      <c r="G632" s="1">
        <v>1640152</v>
      </c>
    </row>
    <row r="633" spans="1:7" x14ac:dyDescent="0.25">
      <c r="A633" s="1" t="str">
        <f t="shared" si="9"/>
        <v>8 Atrazine 5 mg_L+testo</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1499</v>
      </c>
      <c r="D633" s="1" t="s">
        <v>1500</v>
      </c>
      <c r="E633" s="1" t="s">
        <v>1501</v>
      </c>
      <c r="F633" s="1" t="s">
        <v>112</v>
      </c>
      <c r="G633" s="1">
        <v>1435684</v>
      </c>
    </row>
    <row r="634" spans="1:7" x14ac:dyDescent="0.25">
      <c r="A634" s="1" t="str">
        <f t="shared" si="9"/>
        <v>8 Atrazine 5 mg_L+testo</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1502</v>
      </c>
      <c r="D634" s="1" t="s">
        <v>1503</v>
      </c>
      <c r="E634" s="1" t="s">
        <v>1504</v>
      </c>
      <c r="F634" s="1" t="s">
        <v>112</v>
      </c>
      <c r="G634" s="1">
        <v>1517402</v>
      </c>
    </row>
    <row r="635" spans="1:7" x14ac:dyDescent="0.25">
      <c r="A635" s="1" t="str">
        <f t="shared" si="9"/>
        <v>8 Atrazine 5 mg_L+testo</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1505</v>
      </c>
      <c r="D635" s="1" t="s">
        <v>1506</v>
      </c>
      <c r="E635" s="1" t="s">
        <v>1507</v>
      </c>
      <c r="F635" s="1" t="s">
        <v>112</v>
      </c>
      <c r="G635" s="1">
        <v>1959431</v>
      </c>
    </row>
    <row r="636" spans="1:7" x14ac:dyDescent="0.25">
      <c r="A636" s="1" t="str">
        <f t="shared" si="9"/>
        <v>8 Atrazine 5 mg_L+testo</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1508</v>
      </c>
    </row>
    <row r="637" spans="1:7" x14ac:dyDescent="0.25">
      <c r="A637" s="1" t="str">
        <f t="shared" si="9"/>
        <v>8 Atrazine 5 mg_L+testo</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1509</v>
      </c>
      <c r="D637" s="1" t="s">
        <v>1510</v>
      </c>
      <c r="E637" s="1" t="s">
        <v>1511</v>
      </c>
      <c r="F637" s="1" t="s">
        <v>112</v>
      </c>
      <c r="G637" s="1">
        <v>1941499</v>
      </c>
    </row>
    <row r="638" spans="1:7" x14ac:dyDescent="0.25">
      <c r="A638" s="1" t="str">
        <f t="shared" si="9"/>
        <v>8 Atrazine 5 mg_L+testo</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1512</v>
      </c>
      <c r="D638" s="1" t="s">
        <v>1513</v>
      </c>
      <c r="E638" s="1" t="s">
        <v>1514</v>
      </c>
      <c r="F638" s="1" t="s">
        <v>112</v>
      </c>
      <c r="G638" s="1">
        <v>1278284</v>
      </c>
    </row>
    <row r="639" spans="1:7" x14ac:dyDescent="0.25">
      <c r="A639" s="1" t="str">
        <f t="shared" si="9"/>
        <v>8 Atrazine 5 mg_L+testo</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1515</v>
      </c>
      <c r="D639" s="1" t="s">
        <v>1516</v>
      </c>
      <c r="E639" s="1" t="s">
        <v>1517</v>
      </c>
      <c r="F639" s="1" t="s">
        <v>112</v>
      </c>
      <c r="G639" s="1">
        <v>1577360</v>
      </c>
    </row>
    <row r="640" spans="1:7" x14ac:dyDescent="0.25">
      <c r="A640" s="1" t="str">
        <f t="shared" si="9"/>
        <v>8 Atrazine 5 mg_L+testo</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1518</v>
      </c>
      <c r="D640" s="1" t="s">
        <v>839</v>
      </c>
      <c r="E640" s="1" t="s">
        <v>1519</v>
      </c>
      <c r="F640" s="1" t="s">
        <v>112</v>
      </c>
      <c r="G640" s="1">
        <v>161510</v>
      </c>
    </row>
    <row r="641" spans="1:10" x14ac:dyDescent="0.25">
      <c r="A641" s="1" t="str">
        <f t="shared" si="9"/>
        <v>8 Atrazine 5 mg_L+testo</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1520</v>
      </c>
      <c r="D641" s="1" t="s">
        <v>1521</v>
      </c>
      <c r="E641" s="1" t="s">
        <v>1522</v>
      </c>
      <c r="F641" s="1" t="s">
        <v>112</v>
      </c>
      <c r="G641" s="1">
        <v>2345200</v>
      </c>
    </row>
    <row r="642" spans="1:10" x14ac:dyDescent="0.25">
      <c r="A642" s="1" t="str">
        <f t="shared" ref="A642:A705" si="10">IFERROR(LEFT(RIGHT(C642,LEN(C642)-SEARCH("@",C642)),SEARCH("/",RIGHT(C642,LEN(C642)-SEARCH("@",C642)-1))),"")</f>
        <v>8 Atrazine 5 mg_L+testo</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1523</v>
      </c>
    </row>
    <row r="643" spans="1:10" x14ac:dyDescent="0.25">
      <c r="A643" s="1" t="str">
        <f t="shared" si="10"/>
        <v>8 Atrazine 5 mg_L+testo</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1524</v>
      </c>
    </row>
    <row r="644" spans="1:10" x14ac:dyDescent="0.25">
      <c r="A644" s="1" t="str">
        <f t="shared" si="10"/>
        <v>8 Atrazine 5 mg_L+testo</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1525</v>
      </c>
      <c r="D644" s="1" t="s">
        <v>1526</v>
      </c>
      <c r="E644" s="1" t="s">
        <v>1527</v>
      </c>
      <c r="F644" s="1" t="s">
        <v>112</v>
      </c>
      <c r="G644" s="1">
        <v>4028373</v>
      </c>
    </row>
    <row r="645" spans="1:10" x14ac:dyDescent="0.25">
      <c r="A645" s="1" t="str">
        <f t="shared" si="10"/>
        <v>8 Atrazine 5 mg_L+testo</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1528</v>
      </c>
      <c r="D645" s="1" t="s">
        <v>1529</v>
      </c>
      <c r="E645" s="1" t="s">
        <v>1530</v>
      </c>
      <c r="F645" s="1" t="s">
        <v>112</v>
      </c>
      <c r="G645" s="1">
        <v>4543294</v>
      </c>
    </row>
    <row r="646" spans="1:10" x14ac:dyDescent="0.25">
      <c r="A646" s="1" t="str">
        <f t="shared" si="10"/>
        <v>8 Atrazine 5 mg_L+testo</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1531</v>
      </c>
      <c r="D646" s="1" t="s">
        <v>1532</v>
      </c>
      <c r="E646" s="1" t="s">
        <v>1533</v>
      </c>
      <c r="F646" s="1" t="s">
        <v>112</v>
      </c>
      <c r="G646" s="1">
        <v>4752088</v>
      </c>
    </row>
    <row r="647" spans="1:10" x14ac:dyDescent="0.25">
      <c r="A647" s="1" t="str">
        <f t="shared" si="10"/>
        <v>8 Atrazine 5 mg_L+testo</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1534</v>
      </c>
      <c r="D647" s="1" t="s">
        <v>1535</v>
      </c>
      <c r="E647" s="1" t="s">
        <v>1536</v>
      </c>
      <c r="F647" s="1" t="s">
        <v>112</v>
      </c>
      <c r="G647" s="1">
        <v>1822903</v>
      </c>
    </row>
    <row r="648" spans="1:10" x14ac:dyDescent="0.25">
      <c r="A648" s="1" t="str">
        <f t="shared" si="10"/>
        <v>8 Atrazine 5 mg_L+testo</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1537</v>
      </c>
      <c r="D648" s="1" t="s">
        <v>1538</v>
      </c>
      <c r="E648" s="1" t="s">
        <v>1539</v>
      </c>
      <c r="F648" s="1" t="s">
        <v>112</v>
      </c>
      <c r="G648" s="1">
        <v>1831338</v>
      </c>
    </row>
    <row r="649" spans="1:10" x14ac:dyDescent="0.25">
      <c r="A649" s="1" t="str">
        <f t="shared" si="10"/>
        <v>8 Atrazine 5 mg_L+testo</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1540</v>
      </c>
      <c r="D649" s="1" t="s">
        <v>1541</v>
      </c>
      <c r="E649" s="1" t="s">
        <v>1542</v>
      </c>
      <c r="F649" s="1" t="s">
        <v>112</v>
      </c>
      <c r="G649" s="1">
        <v>1792707</v>
      </c>
    </row>
    <row r="650" spans="1:10" x14ac:dyDescent="0.25">
      <c r="A650" s="1" t="str">
        <f t="shared" si="10"/>
        <v>8 Atrazine 5 mg_L+testo</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1543</v>
      </c>
      <c r="D650" s="1" t="s">
        <v>1544</v>
      </c>
      <c r="E650" s="1" t="s">
        <v>1545</v>
      </c>
      <c r="F650" s="1" t="s">
        <v>112</v>
      </c>
      <c r="G650" s="1">
        <v>2176919</v>
      </c>
    </row>
    <row r="651" spans="1:10" x14ac:dyDescent="0.25">
      <c r="A651" s="1" t="str">
        <f t="shared" si="10"/>
        <v>8 Atrazine 5 mg_L+testo</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1546</v>
      </c>
      <c r="D651" s="1" t="s">
        <v>1547</v>
      </c>
      <c r="E651" s="1" t="s">
        <v>1548</v>
      </c>
      <c r="F651" s="1" t="s">
        <v>112</v>
      </c>
      <c r="G651" s="1">
        <v>2245940</v>
      </c>
    </row>
    <row r="652" spans="1:10" x14ac:dyDescent="0.25">
      <c r="A652" s="1" t="str">
        <f t="shared" si="10"/>
        <v>8 Atrazine 5 mg_L+testo</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1549</v>
      </c>
      <c r="D652" s="1" t="s">
        <v>1550</v>
      </c>
      <c r="E652" s="1" t="s">
        <v>1551</v>
      </c>
      <c r="F652" s="1" t="s">
        <v>112</v>
      </c>
      <c r="G652" s="1">
        <v>1752670</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240</v>
      </c>
      <c r="D654" s="1" t="s">
        <v>112</v>
      </c>
      <c r="E654" s="1" t="s">
        <v>241</v>
      </c>
      <c r="F654" s="1" t="s">
        <v>242</v>
      </c>
      <c r="G654" s="1" t="s">
        <v>243</v>
      </c>
      <c r="H654" s="1" t="s">
        <v>244</v>
      </c>
      <c r="I654" s="1" t="s">
        <v>245</v>
      </c>
      <c r="J654" s="1" t="s">
        <v>246</v>
      </c>
    </row>
    <row r="655" spans="1:10" x14ac:dyDescent="0.25">
      <c r="A655" s="1" t="str">
        <f t="shared" si="10"/>
        <v>8 Atrazine 5 mg_L+testo</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1552</v>
      </c>
      <c r="D655" s="1" t="s">
        <v>112</v>
      </c>
      <c r="E655" s="1" t="s">
        <v>1553</v>
      </c>
      <c r="F655" s="1" t="s">
        <v>1554</v>
      </c>
      <c r="G655" s="1" t="s">
        <v>1555</v>
      </c>
      <c r="H655" s="1" t="s">
        <v>1556</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252</v>
      </c>
      <c r="D661" s="1" t="s">
        <v>110</v>
      </c>
      <c r="E661" s="1" t="s">
        <v>111</v>
      </c>
      <c r="F661" s="1" t="s">
        <v>112</v>
      </c>
      <c r="G661" s="1" t="s">
        <v>113</v>
      </c>
    </row>
    <row r="662" spans="1:7" x14ac:dyDescent="0.25">
      <c r="A662" s="1" t="str">
        <f t="shared" si="10"/>
        <v>9 Atrazine 10 mg_L+testo</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1557</v>
      </c>
      <c r="D662" s="1" t="s">
        <v>1558</v>
      </c>
      <c r="E662" s="1" t="s">
        <v>1559</v>
      </c>
      <c r="F662" s="1" t="s">
        <v>112</v>
      </c>
      <c r="G662" s="1">
        <v>3724863</v>
      </c>
    </row>
    <row r="663" spans="1:7" x14ac:dyDescent="0.25">
      <c r="A663" s="1" t="str">
        <f t="shared" si="10"/>
        <v>9 Atrazine 10 mg_L+testo</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1560</v>
      </c>
      <c r="D663" s="1" t="s">
        <v>1561</v>
      </c>
      <c r="E663" s="1" t="s">
        <v>1562</v>
      </c>
      <c r="F663" s="1" t="s">
        <v>112</v>
      </c>
      <c r="G663" s="1">
        <v>3360312</v>
      </c>
    </row>
    <row r="664" spans="1:7" x14ac:dyDescent="0.25">
      <c r="A664" s="1" t="str">
        <f t="shared" si="10"/>
        <v>9 Atrazine 10 mg_L+testo</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1563</v>
      </c>
      <c r="D664" s="1" t="s">
        <v>1564</v>
      </c>
      <c r="E664" s="1" t="s">
        <v>1565</v>
      </c>
      <c r="F664" s="1" t="s">
        <v>112</v>
      </c>
      <c r="G664" s="1">
        <v>3320124</v>
      </c>
    </row>
    <row r="665" spans="1:7" x14ac:dyDescent="0.25">
      <c r="A665" s="1" t="str">
        <f t="shared" si="10"/>
        <v>9 Atrazine 10 mg_L+testo</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1566</v>
      </c>
      <c r="D665" s="1" t="s">
        <v>1567</v>
      </c>
      <c r="E665" s="1" t="s">
        <v>1568</v>
      </c>
      <c r="F665" s="1" t="s">
        <v>112</v>
      </c>
      <c r="G665" s="1">
        <v>2613432</v>
      </c>
    </row>
    <row r="666" spans="1:7" x14ac:dyDescent="0.25">
      <c r="A666" s="1" t="str">
        <f t="shared" si="10"/>
        <v>9 Atrazine 10 mg_L+testo</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1569</v>
      </c>
      <c r="D666" s="1" t="s">
        <v>1570</v>
      </c>
      <c r="E666" s="1" t="s">
        <v>1571</v>
      </c>
      <c r="F666" s="1" t="s">
        <v>112</v>
      </c>
      <c r="G666" s="1">
        <v>2786774</v>
      </c>
    </row>
    <row r="667" spans="1:7" x14ac:dyDescent="0.25">
      <c r="A667" s="1" t="str">
        <f t="shared" si="10"/>
        <v>9 Atrazine 10 mg_L+testo</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1572</v>
      </c>
      <c r="D667" s="1" t="s">
        <v>1573</v>
      </c>
      <c r="E667" s="1" t="s">
        <v>1574</v>
      </c>
      <c r="F667" s="1" t="s">
        <v>112</v>
      </c>
      <c r="G667" s="1">
        <v>2743190</v>
      </c>
    </row>
    <row r="668" spans="1:7" x14ac:dyDescent="0.25">
      <c r="A668" s="1" t="str">
        <f t="shared" si="10"/>
        <v>9 Atrazine 10 mg_L+testo</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1575</v>
      </c>
      <c r="D668" s="1" t="s">
        <v>558</v>
      </c>
      <c r="E668" s="1" t="s">
        <v>1576</v>
      </c>
      <c r="F668" s="1" t="s">
        <v>112</v>
      </c>
      <c r="G668" s="1">
        <v>3093443</v>
      </c>
    </row>
    <row r="669" spans="1:7" x14ac:dyDescent="0.25">
      <c r="A669" s="1" t="str">
        <f t="shared" si="10"/>
        <v>9 Atrazine 10 mg_L+testo</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1577</v>
      </c>
      <c r="D669" s="1" t="s">
        <v>1578</v>
      </c>
      <c r="E669" s="1" t="s">
        <v>1579</v>
      </c>
      <c r="F669" s="1" t="s">
        <v>112</v>
      </c>
      <c r="G669" s="1">
        <v>3012417</v>
      </c>
    </row>
    <row r="670" spans="1:7" x14ac:dyDescent="0.25">
      <c r="A670" s="1" t="str">
        <f t="shared" si="10"/>
        <v>9 Atrazine 10 mg_L+testo</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1580</v>
      </c>
      <c r="D670" s="1" t="s">
        <v>1581</v>
      </c>
      <c r="E670" s="1" t="s">
        <v>1582</v>
      </c>
      <c r="F670" s="1" t="s">
        <v>112</v>
      </c>
      <c r="G670" s="1">
        <v>2987802</v>
      </c>
    </row>
    <row r="671" spans="1:7" x14ac:dyDescent="0.25">
      <c r="A671" s="1" t="str">
        <f t="shared" si="10"/>
        <v>9 Atrazine 10 mg_L+testo</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1583</v>
      </c>
      <c r="D671" s="1" t="s">
        <v>1584</v>
      </c>
      <c r="E671" s="1" t="s">
        <v>1585</v>
      </c>
      <c r="F671" s="1" t="s">
        <v>112</v>
      </c>
      <c r="G671" s="1">
        <v>2565716</v>
      </c>
    </row>
    <row r="672" spans="1:7" x14ac:dyDescent="0.25">
      <c r="A672" s="1" t="str">
        <f t="shared" si="10"/>
        <v>9 Atrazine 10 mg_L+testo</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1586</v>
      </c>
      <c r="D672" s="1" t="s">
        <v>1587</v>
      </c>
      <c r="E672" s="1" t="s">
        <v>1588</v>
      </c>
      <c r="F672" s="1" t="s">
        <v>112</v>
      </c>
      <c r="G672" s="1">
        <v>3123443</v>
      </c>
    </row>
    <row r="673" spans="1:10" x14ac:dyDescent="0.25">
      <c r="A673" s="1" t="str">
        <f t="shared" si="10"/>
        <v>9 Atrazine 10 mg_L+testo</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1589</v>
      </c>
      <c r="D673" s="1" t="s">
        <v>1590</v>
      </c>
      <c r="E673" s="1" t="s">
        <v>1591</v>
      </c>
      <c r="F673" s="1" t="s">
        <v>112</v>
      </c>
      <c r="G673" s="1">
        <v>3408655</v>
      </c>
    </row>
    <row r="674" spans="1:10" x14ac:dyDescent="0.25">
      <c r="A674" s="1" t="str">
        <f t="shared" si="10"/>
        <v>9 Atrazine 10 mg_L+testo</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1592</v>
      </c>
      <c r="D674" s="1" t="s">
        <v>1593</v>
      </c>
      <c r="E674" s="1" t="s">
        <v>1594</v>
      </c>
      <c r="F674" s="1" t="s">
        <v>112</v>
      </c>
      <c r="G674" s="1">
        <v>3750840</v>
      </c>
    </row>
    <row r="675" spans="1:10" x14ac:dyDescent="0.25">
      <c r="A675" s="1" t="str">
        <f t="shared" si="10"/>
        <v>9 Atrazine 10 mg_L+testo</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1595</v>
      </c>
      <c r="D675" s="1" t="s">
        <v>1596</v>
      </c>
      <c r="E675" s="1" t="s">
        <v>1597</v>
      </c>
      <c r="F675" s="1" t="s">
        <v>112</v>
      </c>
      <c r="G675" s="1">
        <v>3832861</v>
      </c>
    </row>
    <row r="676" spans="1:10" x14ac:dyDescent="0.25">
      <c r="A676" s="1" t="str">
        <f t="shared" si="10"/>
        <v>9 Atrazine 10 mg_L+testo</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1598</v>
      </c>
      <c r="D676" s="1" t="s">
        <v>1599</v>
      </c>
      <c r="E676" s="1" t="s">
        <v>1600</v>
      </c>
      <c r="F676" s="1" t="s">
        <v>112</v>
      </c>
      <c r="G676" s="1">
        <v>3781122</v>
      </c>
    </row>
    <row r="677" spans="1:10" x14ac:dyDescent="0.25">
      <c r="A677" s="1" t="str">
        <f t="shared" si="10"/>
        <v>9 Atrazine 10 mg_L+testo</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1601</v>
      </c>
      <c r="D677" s="1" t="s">
        <v>1602</v>
      </c>
      <c r="E677" s="1" t="s">
        <v>1603</v>
      </c>
      <c r="F677" s="1" t="s">
        <v>112</v>
      </c>
      <c r="G677" s="1">
        <v>1701667</v>
      </c>
    </row>
    <row r="678" spans="1:10" x14ac:dyDescent="0.25">
      <c r="A678" s="1" t="str">
        <f t="shared" si="10"/>
        <v>9 Atrazine 10 mg_L+testo</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1604</v>
      </c>
      <c r="D678" s="1" t="s">
        <v>1605</v>
      </c>
      <c r="E678" s="1" t="s">
        <v>1606</v>
      </c>
      <c r="F678" s="1" t="s">
        <v>112</v>
      </c>
      <c r="G678" s="1">
        <v>1878016</v>
      </c>
    </row>
    <row r="679" spans="1:10" x14ac:dyDescent="0.25">
      <c r="A679" s="1" t="str">
        <f t="shared" si="10"/>
        <v>9 Atrazine 10 mg_L+testo</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1607</v>
      </c>
      <c r="D679" s="1" t="s">
        <v>1608</v>
      </c>
      <c r="E679" s="1" t="s">
        <v>1609</v>
      </c>
      <c r="F679" s="1" t="s">
        <v>112</v>
      </c>
      <c r="G679" s="1">
        <v>885139</v>
      </c>
    </row>
    <row r="680" spans="1:10" x14ac:dyDescent="0.25">
      <c r="A680" s="1" t="str">
        <f t="shared" si="10"/>
        <v>9 Atrazine 10 mg_L+testo</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1610</v>
      </c>
      <c r="D680" s="1" t="s">
        <v>1611</v>
      </c>
      <c r="E680" s="1" t="s">
        <v>1612</v>
      </c>
      <c r="F680" s="1" t="s">
        <v>112</v>
      </c>
      <c r="G680" s="1">
        <v>4105678</v>
      </c>
    </row>
    <row r="681" spans="1:10" x14ac:dyDescent="0.25">
      <c r="A681" s="1" t="str">
        <f t="shared" si="10"/>
        <v>9 Atrazine 10 mg_L+testo</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1613</v>
      </c>
      <c r="D681" s="1" t="s">
        <v>1614</v>
      </c>
      <c r="E681" s="1" t="s">
        <v>1615</v>
      </c>
      <c r="F681" s="1" t="s">
        <v>112</v>
      </c>
      <c r="G681" s="1">
        <v>3814605</v>
      </c>
    </row>
    <row r="682" spans="1:10" x14ac:dyDescent="0.25">
      <c r="A682" s="1" t="str">
        <f t="shared" si="10"/>
        <v>9 Atrazine 10 mg_L+testo</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1616</v>
      </c>
      <c r="D682" s="1" t="s">
        <v>1617</v>
      </c>
      <c r="E682" s="1" t="s">
        <v>1618</v>
      </c>
      <c r="F682" s="1" t="s">
        <v>112</v>
      </c>
      <c r="G682" s="1">
        <v>3753198</v>
      </c>
    </row>
    <row r="683" spans="1:10" x14ac:dyDescent="0.25">
      <c r="A683" s="1" t="str">
        <f t="shared" si="10"/>
        <v>9 Atrazine 10 mg_L+testo</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1619</v>
      </c>
      <c r="D683" s="1" t="s">
        <v>1620</v>
      </c>
      <c r="E683" s="1" t="s">
        <v>1621</v>
      </c>
      <c r="F683" s="1" t="s">
        <v>112</v>
      </c>
      <c r="G683" s="1">
        <v>2096304</v>
      </c>
    </row>
    <row r="684" spans="1:10" x14ac:dyDescent="0.25">
      <c r="A684" s="1" t="str">
        <f t="shared" si="10"/>
        <v>9 Atrazine 10 mg_L+testo</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1622</v>
      </c>
      <c r="D684" s="1" t="s">
        <v>1623</v>
      </c>
      <c r="E684" s="1" t="s">
        <v>1624</v>
      </c>
      <c r="F684" s="1" t="s">
        <v>112</v>
      </c>
      <c r="G684" s="1">
        <v>2127906</v>
      </c>
    </row>
    <row r="685" spans="1:10" x14ac:dyDescent="0.25">
      <c r="A685" s="1" t="str">
        <f t="shared" si="10"/>
        <v>9 Atrazine 10 mg_L+testo</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1625</v>
      </c>
      <c r="D685" s="1" t="s">
        <v>1626</v>
      </c>
      <c r="E685" s="1" t="s">
        <v>1627</v>
      </c>
      <c r="F685" s="1" t="s">
        <v>112</v>
      </c>
      <c r="G685" s="1">
        <v>2194396</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240</v>
      </c>
      <c r="D687" s="1" t="s">
        <v>112</v>
      </c>
      <c r="E687" s="1" t="s">
        <v>241</v>
      </c>
      <c r="F687" s="1" t="s">
        <v>242</v>
      </c>
      <c r="G687" s="1" t="s">
        <v>243</v>
      </c>
      <c r="H687" s="1" t="s">
        <v>244</v>
      </c>
      <c r="I687" s="1" t="s">
        <v>245</v>
      </c>
      <c r="J687" s="1" t="s">
        <v>246</v>
      </c>
    </row>
    <row r="688" spans="1:10" x14ac:dyDescent="0.25">
      <c r="A688" s="1" t="str">
        <f t="shared" si="10"/>
        <v>9 Atrazine 10 mg_L+testo</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1628</v>
      </c>
      <c r="D688" s="1" t="s">
        <v>112</v>
      </c>
      <c r="E688" s="1" t="s">
        <v>1629</v>
      </c>
      <c r="F688" s="1" t="s">
        <v>1630</v>
      </c>
      <c r="G688" s="1" t="s">
        <v>1631</v>
      </c>
      <c r="H688" s="1" t="s">
        <v>1632</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3" priority="1" operator="containsText" text="ERREUR">
      <formula>NOT(ISERROR(SEARCH("ERREUR",A1)))</formula>
    </cfRule>
    <cfRule type="containsText" dxfId="2"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Q48" zoomScale="130" zoomScaleNormal="130" zoomScaleSheetLayoutView="40" zoomScalePageLayoutView="30" workbookViewId="0">
      <selection activeCell="E76" sqref="E76"/>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75" thickBot="1" x14ac:dyDescent="0.3"/>
    <row r="3" spans="1:22" ht="15.75" thickBot="1" x14ac:dyDescent="0.3">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Atrazine-0,625mg/L</v>
      </c>
      <c r="J4" s="35" t="str">
        <f>'Page de garde'!A16</f>
        <v>Atrazine-1,25mg/L</v>
      </c>
      <c r="K4" s="35" t="str">
        <f>'Page de garde'!A17</f>
        <v>Atrazine-2,5mg/L</v>
      </c>
      <c r="L4" s="35" t="str">
        <f>'Page de garde'!A18</f>
        <v>Atrazine-5mg/L</v>
      </c>
      <c r="M4" s="35" t="str">
        <f>'Page de garde'!A19</f>
        <v>Atrazine-10mg/L</v>
      </c>
      <c r="N4" s="3"/>
      <c r="O4" s="36" t="str">
        <f>'Page de garde'!A36</f>
        <v>Testo -30µg/L</v>
      </c>
      <c r="P4" s="36" t="str">
        <f>'Page de garde'!A37</f>
        <v>Testo 30µg/L + EE2 -64ng/L</v>
      </c>
      <c r="Q4" s="36" t="str">
        <f>'Page de garde'!A38</f>
        <v>Testo 30µg/L + FAD-10µg/L</v>
      </c>
      <c r="R4" s="36" t="str">
        <f>'Page de garde'!A39</f>
        <v>Atrazine-0,625mg/L + Testostérone</v>
      </c>
      <c r="S4" s="36" t="str">
        <f>'Page de garde'!A40</f>
        <v>Atrazine-1,25mg/L + Testostérone</v>
      </c>
      <c r="T4" s="36" t="str">
        <f>'Page de garde'!A41</f>
        <v>Atrazine-2,5mg/L + Testostérone</v>
      </c>
      <c r="U4" s="36" t="str">
        <f>'Page de garde'!A42</f>
        <v>Atrazine-5mg/L + Testostérone</v>
      </c>
      <c r="V4" s="36" t="str">
        <f>'Page de garde'!A43</f>
        <v>Atrazine-10mg/L + Testostérone</v>
      </c>
    </row>
    <row r="5" spans="1:22" x14ac:dyDescent="0.25">
      <c r="A5" s="226" t="s">
        <v>33</v>
      </c>
      <c r="B5" s="196">
        <v>16691</v>
      </c>
      <c r="C5" s="196">
        <v>245275.66666666666</v>
      </c>
      <c r="D5" s="196">
        <v>103355</v>
      </c>
      <c r="E5" s="196">
        <v>589869</v>
      </c>
      <c r="F5" s="196">
        <v>570661.66666666663</v>
      </c>
      <c r="G5" s="196">
        <v>1015127.3333333334</v>
      </c>
      <c r="H5" s="196">
        <v>3934376.6666666665</v>
      </c>
      <c r="I5" s="196">
        <v>272529.66666666669</v>
      </c>
      <c r="J5" s="196">
        <v>17923.666666666668</v>
      </c>
      <c r="K5" s="196">
        <v>69295</v>
      </c>
      <c r="L5" s="196">
        <v>27621.333333333332</v>
      </c>
      <c r="M5" s="196">
        <v>133398.66666666666</v>
      </c>
      <c r="N5" s="3"/>
      <c r="O5" s="196">
        <v>59489.333333333336</v>
      </c>
      <c r="P5" s="196">
        <v>2457372.3333333335</v>
      </c>
      <c r="Q5" s="196">
        <v>179665.33333333334</v>
      </c>
      <c r="R5" s="196">
        <v>3219660.3333333335</v>
      </c>
      <c r="S5" s="196">
        <v>2972733.3333333335</v>
      </c>
      <c r="T5" s="196">
        <v>4573187</v>
      </c>
      <c r="U5" s="196">
        <v>1546054.3333333333</v>
      </c>
      <c r="V5" s="196">
        <v>3468433</v>
      </c>
    </row>
    <row r="6" spans="1:22" x14ac:dyDescent="0.25">
      <c r="A6" s="226"/>
      <c r="B6" s="196">
        <v>15559</v>
      </c>
      <c r="C6" s="196">
        <v>36078.666666666664</v>
      </c>
      <c r="D6" s="196">
        <v>32502.333333333332</v>
      </c>
      <c r="E6" s="196">
        <v>269818.33333333331</v>
      </c>
      <c r="F6" s="196">
        <v>842051.66666666663</v>
      </c>
      <c r="G6" s="196">
        <v>1629718.6666666667</v>
      </c>
      <c r="H6" s="196">
        <v>4079686.3333333335</v>
      </c>
      <c r="I6" s="196">
        <v>107515</v>
      </c>
      <c r="J6" s="196">
        <v>349936</v>
      </c>
      <c r="K6" s="196">
        <v>153752.66666666666</v>
      </c>
      <c r="L6" s="196">
        <v>12405</v>
      </c>
      <c r="M6" s="196">
        <v>801113.66666666663</v>
      </c>
      <c r="N6" s="3"/>
      <c r="O6" s="196">
        <v>1995646.3333333333</v>
      </c>
      <c r="P6" s="196">
        <v>1627945.3333333333</v>
      </c>
      <c r="Q6" s="196">
        <v>26554</v>
      </c>
      <c r="R6" s="196">
        <v>220647</v>
      </c>
      <c r="S6" s="196">
        <v>767241</v>
      </c>
      <c r="T6" s="196">
        <v>1703008</v>
      </c>
      <c r="U6" s="196">
        <v>1531079.3333333333</v>
      </c>
      <c r="V6" s="196">
        <v>2714465.3333333335</v>
      </c>
    </row>
    <row r="7" spans="1:22" x14ac:dyDescent="0.25">
      <c r="A7" s="226"/>
      <c r="B7" s="196">
        <v>325299.33333333331</v>
      </c>
      <c r="C7" s="196">
        <v>167386.66666666666</v>
      </c>
      <c r="D7" s="196">
        <v>57088.666666666664</v>
      </c>
      <c r="E7" s="196">
        <v>251974</v>
      </c>
      <c r="F7" s="196">
        <v>717067</v>
      </c>
      <c r="G7" s="196">
        <v>1382633.3333333333</v>
      </c>
      <c r="H7" s="196">
        <v>4079376.3333333335</v>
      </c>
      <c r="I7" s="196">
        <v>66425.333333333328</v>
      </c>
      <c r="J7" s="196">
        <v>328363.33333333331</v>
      </c>
      <c r="K7" s="196">
        <v>178230.33333333334</v>
      </c>
      <c r="L7" s="196">
        <v>31753</v>
      </c>
      <c r="M7" s="196">
        <v>649643</v>
      </c>
      <c r="N7" s="3"/>
      <c r="O7" s="196">
        <v>2402209</v>
      </c>
      <c r="P7" s="196">
        <v>2630570.3333333335</v>
      </c>
      <c r="Q7" s="196">
        <v>43937.666666666664</v>
      </c>
      <c r="R7" s="196">
        <v>3252624.3333333335</v>
      </c>
      <c r="S7" s="196">
        <v>1368278.3333333333</v>
      </c>
      <c r="T7" s="196">
        <v>2146132.3333333335</v>
      </c>
      <c r="U7" s="196">
        <v>1950465</v>
      </c>
      <c r="V7" s="196">
        <v>3031220.6666666665</v>
      </c>
    </row>
    <row r="8" spans="1:22" x14ac:dyDescent="0.25">
      <c r="A8" s="226"/>
      <c r="B8" s="196">
        <v>148258.66666666666</v>
      </c>
      <c r="C8" s="196">
        <v>26294.666666666668</v>
      </c>
      <c r="D8" s="196">
        <v>22892</v>
      </c>
      <c r="E8" s="196">
        <v>101004.33333333333</v>
      </c>
      <c r="F8" s="196">
        <v>2071661</v>
      </c>
      <c r="G8" s="196">
        <v>2927728.6666666665</v>
      </c>
      <c r="H8" s="196">
        <v>5696997</v>
      </c>
      <c r="I8" s="196">
        <v>397564.33333333331</v>
      </c>
      <c r="J8" s="196">
        <v>18233.666666666668</v>
      </c>
      <c r="K8" s="196">
        <v>227795</v>
      </c>
      <c r="L8" s="196">
        <v>30844.5</v>
      </c>
      <c r="M8" s="196">
        <v>107839.66666666667</v>
      </c>
      <c r="N8" s="3"/>
      <c r="O8" s="196">
        <v>1367262</v>
      </c>
      <c r="P8" s="196">
        <v>770457</v>
      </c>
      <c r="Q8" s="196">
        <v>130731</v>
      </c>
      <c r="R8" s="196">
        <v>4303592</v>
      </c>
      <c r="S8" s="196">
        <v>134603</v>
      </c>
      <c r="T8" s="196">
        <v>571988.33333333337</v>
      </c>
      <c r="U8" s="196">
        <v>1005718</v>
      </c>
      <c r="V8" s="196">
        <v>3032604.6666666665</v>
      </c>
    </row>
    <row r="9" spans="1:22" x14ac:dyDescent="0.25">
      <c r="A9" s="226"/>
      <c r="B9" s="196">
        <v>224921.66666666666</v>
      </c>
      <c r="C9" s="196">
        <v>24968.333333333332</v>
      </c>
      <c r="D9" s="196">
        <v>158504</v>
      </c>
      <c r="E9" s="196">
        <v>107154.66666666667</v>
      </c>
      <c r="F9" s="196">
        <v>350195</v>
      </c>
      <c r="G9" s="196">
        <v>3131035.3333333335</v>
      </c>
      <c r="H9" s="196">
        <v>2671811</v>
      </c>
      <c r="I9" s="196">
        <v>504690.33333333331</v>
      </c>
      <c r="J9" s="196">
        <v>500796.66666666669</v>
      </c>
      <c r="K9" s="196"/>
      <c r="L9" s="196">
        <v>461178.33333333331</v>
      </c>
      <c r="M9" s="196">
        <v>72207.666666666672</v>
      </c>
      <c r="N9" s="3"/>
      <c r="O9" s="196">
        <v>219795.66666666666</v>
      </c>
      <c r="P9" s="196">
        <v>3144446</v>
      </c>
      <c r="Q9" s="196">
        <v>121718.66666666667</v>
      </c>
      <c r="R9" s="196">
        <v>2355394.6666666665</v>
      </c>
      <c r="S9" s="196">
        <v>4112131.3333333335</v>
      </c>
      <c r="T9" s="196">
        <v>291001.33333333331</v>
      </c>
      <c r="U9" s="196">
        <v>2345200</v>
      </c>
      <c r="V9" s="196">
        <v>3788274.3333333335</v>
      </c>
    </row>
    <row r="10" spans="1:22" x14ac:dyDescent="0.25">
      <c r="A10" s="226"/>
      <c r="B10" s="196">
        <v>41788.666666666664</v>
      </c>
      <c r="C10" s="196">
        <v>46972.666666666664</v>
      </c>
      <c r="D10" s="196">
        <v>55005</v>
      </c>
      <c r="E10" s="196">
        <v>346936.33333333331</v>
      </c>
      <c r="F10" s="196">
        <v>3103132.6666666665</v>
      </c>
      <c r="G10" s="196">
        <v>1335300</v>
      </c>
      <c r="H10" s="196">
        <v>4662871.666666667</v>
      </c>
      <c r="I10" s="196">
        <v>394904.33333333331</v>
      </c>
      <c r="J10" s="196">
        <v>247835.33333333334</v>
      </c>
      <c r="K10" s="196">
        <v>358147.66666666669</v>
      </c>
      <c r="L10" s="196">
        <v>245557</v>
      </c>
      <c r="M10" s="196">
        <v>190523.66666666666</v>
      </c>
      <c r="N10" s="3"/>
      <c r="O10" s="196">
        <v>1054630.3333333333</v>
      </c>
      <c r="P10" s="196">
        <v>544330.66666666663</v>
      </c>
      <c r="Q10" s="196">
        <v>31435.333333333332</v>
      </c>
      <c r="R10" s="196">
        <v>1192376.6666666667</v>
      </c>
      <c r="S10" s="196">
        <v>485576.33333333331</v>
      </c>
      <c r="T10" s="196">
        <v>1664060</v>
      </c>
      <c r="U10" s="196">
        <v>4441251.666666667</v>
      </c>
      <c r="V10" s="196">
        <v>1488274</v>
      </c>
    </row>
    <row r="11" spans="1:22" x14ac:dyDescent="0.25">
      <c r="A11" s="226"/>
      <c r="B11" s="196">
        <v>179275.66666666666</v>
      </c>
      <c r="C11" s="196">
        <v>214849.66666666666</v>
      </c>
      <c r="D11" s="196">
        <v>62575.333333333336</v>
      </c>
      <c r="E11" s="196">
        <v>2770313.6666666665</v>
      </c>
      <c r="F11" s="196">
        <v>1350671.6666666667</v>
      </c>
      <c r="G11" s="196">
        <v>1967772.3333333333</v>
      </c>
      <c r="H11" s="196">
        <v>5419132.333333333</v>
      </c>
      <c r="I11" s="196">
        <v>132757</v>
      </c>
      <c r="J11" s="196">
        <v>35970.333333333336</v>
      </c>
      <c r="K11" s="196">
        <v>39251</v>
      </c>
      <c r="L11" s="196">
        <v>407139.5</v>
      </c>
      <c r="M11" s="196">
        <v>758820</v>
      </c>
      <c r="N11" s="3"/>
      <c r="O11" s="196">
        <v>589003.66666666663</v>
      </c>
      <c r="P11" s="196">
        <v>3949611.6666666665</v>
      </c>
      <c r="Q11" s="196">
        <v>103196</v>
      </c>
      <c r="R11" s="196">
        <v>982401</v>
      </c>
      <c r="S11" s="196">
        <v>1590575.6666666667</v>
      </c>
      <c r="T11" s="196">
        <v>3116038.3333333335</v>
      </c>
      <c r="U11" s="196">
        <v>1815649.3333333333</v>
      </c>
      <c r="V11" s="196">
        <v>3891160.3333333335</v>
      </c>
    </row>
    <row r="12" spans="1:22" x14ac:dyDescent="0.25">
      <c r="A12" s="226"/>
      <c r="B12" s="196">
        <v>36562</v>
      </c>
      <c r="C12" s="196">
        <v>303950.33333333331</v>
      </c>
      <c r="D12" s="196">
        <v>39085.333333333336</v>
      </c>
      <c r="E12" s="196">
        <v>29034.666666666668</v>
      </c>
      <c r="F12" s="196">
        <v>2318977</v>
      </c>
      <c r="G12" s="196">
        <v>2018293</v>
      </c>
      <c r="H12" s="196">
        <v>5995367.333333333</v>
      </c>
      <c r="I12" s="196">
        <v>182606.66666666666</v>
      </c>
      <c r="J12" s="196">
        <v>305154.33333333331</v>
      </c>
      <c r="K12" s="196">
        <v>240048.33333333334</v>
      </c>
      <c r="L12" s="196">
        <v>166853</v>
      </c>
      <c r="M12" s="196">
        <v>55423</v>
      </c>
      <c r="N12" s="3"/>
      <c r="O12" s="196">
        <v>1741026.3333333333</v>
      </c>
      <c r="P12" s="196">
        <v>1636669</v>
      </c>
      <c r="Q12" s="196">
        <v>180313.66666666666</v>
      </c>
      <c r="R12" s="196">
        <v>342502</v>
      </c>
      <c r="S12" s="196">
        <v>4236143</v>
      </c>
      <c r="T12" s="196">
        <v>2278370.3333333335</v>
      </c>
      <c r="U12" s="196">
        <v>2058509.6666666667</v>
      </c>
      <c r="V12" s="196">
        <v>2139535.3333333335</v>
      </c>
    </row>
    <row r="13" spans="1:22" ht="16.5" x14ac:dyDescent="0.25">
      <c r="A13" s="226"/>
      <c r="B13" s="14"/>
      <c r="C13" s="13"/>
      <c r="D13" s="32"/>
      <c r="E13" s="32"/>
      <c r="F13" s="32"/>
      <c r="G13" s="32"/>
      <c r="H13" s="32"/>
      <c r="I13" s="32"/>
      <c r="J13" s="32"/>
      <c r="K13" s="13"/>
      <c r="L13" s="13"/>
      <c r="M13" s="13"/>
      <c r="N13" s="3"/>
      <c r="O13" s="196">
        <v>91775.666666666672</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6">
        <v>1104783</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6">
        <v>1566855.3333333333</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6">
        <v>1885860</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6">
        <v>367124.33333333331</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6">
        <v>1225045.3333333333</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6">
        <v>3630203</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6">
        <v>721162</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Atrazine-0,625mg/L</v>
      </c>
      <c r="J22" s="3" t="str">
        <f t="shared" si="0"/>
        <v>Atrazine-1,25mg/L</v>
      </c>
      <c r="K22" s="3" t="str">
        <f t="shared" si="0"/>
        <v>Atrazine-2,5mg/L</v>
      </c>
      <c r="L22" s="3" t="str">
        <f t="shared" si="0"/>
        <v>Atrazine-5mg/L</v>
      </c>
      <c r="M22" s="3" t="str">
        <f t="shared" si="0"/>
        <v>Atrazine-10mg/L</v>
      </c>
      <c r="N22" s="3" t="s">
        <v>41</v>
      </c>
      <c r="O22" s="3" t="str">
        <f t="shared" si="0"/>
        <v>Testo -30µg/L</v>
      </c>
      <c r="P22" s="3" t="str">
        <f t="shared" si="0"/>
        <v>Testo 30µg/L + EE2 -64ng/L</v>
      </c>
      <c r="Q22" s="3" t="str">
        <f t="shared" si="0"/>
        <v>Testo 30µg/L + FAD-10µg/L</v>
      </c>
      <c r="R22" s="3" t="str">
        <f t="shared" si="0"/>
        <v>Atrazine-0,625mg/L + Testostérone</v>
      </c>
      <c r="S22" s="3" t="str">
        <f t="shared" si="0"/>
        <v>Atrazine-1,25mg/L + Testostérone</v>
      </c>
      <c r="T22" s="3" t="str">
        <f t="shared" si="0"/>
        <v>Atrazine-2,5mg/L + Testostérone</v>
      </c>
      <c r="U22" s="3" t="str">
        <f t="shared" si="0"/>
        <v>Atrazine-5mg/L + Testostérone</v>
      </c>
      <c r="V22" s="3" t="str">
        <f t="shared" si="0"/>
        <v>Atrazine-10mg/L + Testostérone</v>
      </c>
    </row>
    <row r="23" spans="1:22" x14ac:dyDescent="0.25">
      <c r="A23" s="5" t="s">
        <v>0</v>
      </c>
      <c r="B23" s="5">
        <f t="shared" ref="B23:J23" si="1">AVERAGE(B5:B20)</f>
        <v>123544.49999999999</v>
      </c>
      <c r="C23" s="5">
        <f t="shared" si="1"/>
        <v>133222.08333333331</v>
      </c>
      <c r="D23" s="5">
        <f t="shared" si="1"/>
        <v>66375.958333333328</v>
      </c>
      <c r="E23" s="5">
        <f t="shared" si="1"/>
        <v>558263.125</v>
      </c>
      <c r="F23" s="5">
        <f t="shared" si="1"/>
        <v>1415552.2083333333</v>
      </c>
      <c r="G23" s="5">
        <f t="shared" si="1"/>
        <v>1925951.0833333335</v>
      </c>
      <c r="H23" s="5">
        <f t="shared" si="1"/>
        <v>4567452.333333334</v>
      </c>
      <c r="I23" s="5">
        <f t="shared" si="1"/>
        <v>257374.08333333331</v>
      </c>
      <c r="J23" s="5">
        <f t="shared" si="1"/>
        <v>225526.66666666663</v>
      </c>
      <c r="K23" s="5"/>
      <c r="L23" s="5">
        <f>AVERAGE(L5:L20)</f>
        <v>172918.95833333331</v>
      </c>
      <c r="M23" s="5"/>
      <c r="N23" s="5" t="s">
        <v>0</v>
      </c>
      <c r="O23" s="5">
        <f>AVERAGE(O5:O20)</f>
        <v>1251366.9583333335</v>
      </c>
      <c r="P23" s="5">
        <f>AVERAGE(P5:P20)</f>
        <v>2095175.2916666665</v>
      </c>
      <c r="Q23" s="5">
        <f>AVERAGE(Q5:Q20)</f>
        <v>102193.95833333333</v>
      </c>
      <c r="R23" s="5">
        <f>AVERAGE(R5:R20)</f>
        <v>1983649.75</v>
      </c>
      <c r="S23" s="5">
        <f>AVERAGE(S5:S20)</f>
        <v>1958410.25</v>
      </c>
      <c r="T23" s="5">
        <f t="shared" ref="T23:V23" si="2">AVERAGE(T5:T20)</f>
        <v>2042973.2083333337</v>
      </c>
      <c r="U23" s="5">
        <f t="shared" si="2"/>
        <v>2086740.9166666665</v>
      </c>
      <c r="V23" s="5">
        <f t="shared" si="2"/>
        <v>2944245.958333333</v>
      </c>
    </row>
    <row r="24" spans="1:22" x14ac:dyDescent="0.25">
      <c r="A24" s="3" t="s">
        <v>1</v>
      </c>
      <c r="B24" s="3">
        <f t="shared" ref="B24:J24" si="3">STDEV(B5:B20)</f>
        <v>114659.4995937073</v>
      </c>
      <c r="C24" s="3">
        <f t="shared" si="3"/>
        <v>113113.45385570484</v>
      </c>
      <c r="D24" s="3">
        <f t="shared" si="3"/>
        <v>44510.156353188853</v>
      </c>
      <c r="E24" s="3">
        <f t="shared" si="3"/>
        <v>910926.22987167304</v>
      </c>
      <c r="F24" s="3">
        <f t="shared" si="3"/>
        <v>983027.60134434863</v>
      </c>
      <c r="G24" s="3">
        <f t="shared" si="3"/>
        <v>758521.0092719543</v>
      </c>
      <c r="H24" s="3">
        <f t="shared" si="3"/>
        <v>1103219.3661988317</v>
      </c>
      <c r="I24" s="3">
        <f t="shared" si="3"/>
        <v>160357.47972128863</v>
      </c>
      <c r="J24" s="3">
        <f t="shared" si="3"/>
        <v>181527.594912712</v>
      </c>
      <c r="K24" s="3"/>
      <c r="L24" s="3">
        <f>STDEV(L5:L20)</f>
        <v>181365.81837153708</v>
      </c>
      <c r="M24" s="3"/>
      <c r="N24" s="3" t="s">
        <v>1</v>
      </c>
      <c r="O24" s="3">
        <f>STDEV(O5:O20)</f>
        <v>955145.30844519788</v>
      </c>
      <c r="P24" s="3">
        <f>STDEV(P5:P20)</f>
        <v>1167798.1291150665</v>
      </c>
      <c r="Q24" s="3">
        <f>STDEV(Q5:Q20)</f>
        <v>62590.580843029886</v>
      </c>
      <c r="R24" s="3">
        <f>STDEV(R5:R20)</f>
        <v>1516033.4413613991</v>
      </c>
      <c r="S24" s="3">
        <f>STDEV(S5:S20)</f>
        <v>1614814.7649518899</v>
      </c>
      <c r="T24" s="3">
        <f t="shared" ref="T24:V24" si="4">STDEV(T5:T20)</f>
        <v>1368620.6675313062</v>
      </c>
      <c r="U24" s="3">
        <f t="shared" si="4"/>
        <v>1033239.915996891</v>
      </c>
      <c r="V24" s="3">
        <f t="shared" si="4"/>
        <v>821095.72404651856</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Atrazine-0,625mg/L</v>
      </c>
      <c r="J27" s="35" t="str">
        <f t="shared" si="5"/>
        <v>Atrazine-1,25mg/L</v>
      </c>
      <c r="K27" s="35" t="str">
        <f t="shared" si="5"/>
        <v>Atrazine-2,5mg/L</v>
      </c>
      <c r="L27" s="35" t="str">
        <f t="shared" si="5"/>
        <v>Atrazine-5mg/L</v>
      </c>
      <c r="M27" s="35" t="str">
        <f t="shared" si="5"/>
        <v>Atrazine-10mg/L</v>
      </c>
      <c r="N27" s="3"/>
      <c r="O27" s="36" t="str">
        <f>O4</f>
        <v>Testo -30µg/L</v>
      </c>
      <c r="P27" s="36" t="str">
        <f t="shared" ref="P27:R27" si="6">P4</f>
        <v>Testo 30µg/L + EE2 -64ng/L</v>
      </c>
      <c r="Q27" s="36" t="str">
        <f t="shared" si="6"/>
        <v>Testo 30µg/L + FAD-10µg/L</v>
      </c>
      <c r="R27" s="36" t="str">
        <f t="shared" si="6"/>
        <v>Atrazine-0,625mg/L + Testostérone</v>
      </c>
      <c r="S27" s="36" t="str">
        <f t="shared" ref="S27:V27" si="7">S4</f>
        <v>Atrazine-1,25mg/L + Testostérone</v>
      </c>
      <c r="T27" s="36" t="str">
        <f t="shared" si="7"/>
        <v>Atrazine-2,5mg/L + Testostérone</v>
      </c>
      <c r="U27" s="36" t="str">
        <f t="shared" si="7"/>
        <v>Atrazine-5mg/L + Testostérone</v>
      </c>
      <c r="V27" s="36" t="str">
        <f t="shared" si="7"/>
        <v>Atrazine-10mg/L + Testostérone</v>
      </c>
    </row>
    <row r="28" spans="1:22" x14ac:dyDescent="0.25">
      <c r="A28" s="227" t="s">
        <v>34</v>
      </c>
      <c r="B28" s="11">
        <f t="shared" ref="B28:M28" si="8">IF(B5="","",(B5/$O$23))</f>
        <v>1.3338213774023852E-2</v>
      </c>
      <c r="C28" s="11">
        <f t="shared" si="8"/>
        <v>0.19600618750022264</v>
      </c>
      <c r="D28" s="11">
        <f t="shared" si="8"/>
        <v>8.2593678306526586E-2</v>
      </c>
      <c r="E28" s="11">
        <f t="shared" si="8"/>
        <v>0.47137971485649005</v>
      </c>
      <c r="F28" s="11">
        <f t="shared" si="8"/>
        <v>0.45603063343363132</v>
      </c>
      <c r="G28" s="11">
        <f t="shared" si="8"/>
        <v>0.81121474925737036</v>
      </c>
      <c r="H28" s="11">
        <f t="shared" si="8"/>
        <v>3.1440630907394032</v>
      </c>
      <c r="I28" s="11">
        <f t="shared" si="8"/>
        <v>0.21778557029317971</v>
      </c>
      <c r="J28" s="11">
        <f t="shared" si="8"/>
        <v>1.4323269882831797E-2</v>
      </c>
      <c r="K28" s="11">
        <f t="shared" si="8"/>
        <v>5.5375443261097765E-2</v>
      </c>
      <c r="L28" s="11">
        <f t="shared" si="8"/>
        <v>2.2072928447880343E-2</v>
      </c>
      <c r="M28" s="11">
        <f t="shared" si="8"/>
        <v>0.10660235654962252</v>
      </c>
      <c r="N28" s="6"/>
      <c r="O28" s="11">
        <f t="shared" ref="O28:S37" si="9">IF(O5="","",(O5/$O$23))</f>
        <v>4.7539479076997362E-2</v>
      </c>
      <c r="P28" s="11">
        <f t="shared" si="9"/>
        <v>1.9637503747152238</v>
      </c>
      <c r="Q28" s="11">
        <f t="shared" si="9"/>
        <v>0.14357525755085096</v>
      </c>
      <c r="R28" s="11">
        <f t="shared" si="9"/>
        <v>2.5729146130096994</v>
      </c>
      <c r="S28" s="11">
        <f t="shared" si="9"/>
        <v>2.3755888019391591</v>
      </c>
      <c r="T28" s="11">
        <f t="shared" ref="T28:V28" si="10">IF(T5="","",(T5/$O$23))</f>
        <v>3.6545531025454925</v>
      </c>
      <c r="U28" s="11">
        <f t="shared" si="10"/>
        <v>1.2354923733902061</v>
      </c>
      <c r="V28" s="11">
        <f t="shared" si="10"/>
        <v>2.7717153444897771</v>
      </c>
    </row>
    <row r="29" spans="1:22" x14ac:dyDescent="0.25">
      <c r="A29" s="227"/>
      <c r="B29" s="11">
        <f t="shared" ref="B29:M29" si="11">IF(B6="","",(B6/$O$23))</f>
        <v>1.2433603026183997E-2</v>
      </c>
      <c r="C29" s="11">
        <f t="shared" si="11"/>
        <v>2.8831404270669731E-2</v>
      </c>
      <c r="D29" s="11">
        <f t="shared" si="11"/>
        <v>2.5973462953362964E-2</v>
      </c>
      <c r="E29" s="11">
        <f t="shared" si="11"/>
        <v>0.21561887305439012</v>
      </c>
      <c r="F29" s="11">
        <f t="shared" si="11"/>
        <v>0.67290546634551995</v>
      </c>
      <c r="G29" s="11">
        <f t="shared" si="11"/>
        <v>1.3023507259910803</v>
      </c>
      <c r="H29" s="11">
        <f t="shared" si="11"/>
        <v>3.2601838382939028</v>
      </c>
      <c r="I29" s="11">
        <f t="shared" si="11"/>
        <v>8.5918042892227806E-2</v>
      </c>
      <c r="J29" s="11">
        <f t="shared" si="11"/>
        <v>0.27964299174565999</v>
      </c>
      <c r="K29" s="11">
        <f t="shared" si="11"/>
        <v>0.12286776923648859</v>
      </c>
      <c r="L29" s="11">
        <f t="shared" si="11"/>
        <v>9.9131592994287868E-3</v>
      </c>
      <c r="M29" s="11">
        <f t="shared" si="11"/>
        <v>0.64019084196825149</v>
      </c>
      <c r="N29" s="6"/>
      <c r="O29" s="11">
        <f t="shared" si="9"/>
        <v>1.5947730759898664</v>
      </c>
      <c r="P29" s="11">
        <f t="shared" si="9"/>
        <v>1.300933609036278</v>
      </c>
      <c r="Q29" s="11">
        <f t="shared" si="9"/>
        <v>2.1219994521324628E-2</v>
      </c>
      <c r="R29" s="11">
        <f t="shared" si="9"/>
        <v>0.1763247771012546</v>
      </c>
      <c r="S29" s="11">
        <f t="shared" si="9"/>
        <v>0.61312230987932625</v>
      </c>
      <c r="T29" s="11">
        <f t="shared" ref="T29:V29" si="12">IF(T6="","",(T6/$O$23))</f>
        <v>1.3609181452802595</v>
      </c>
      <c r="U29" s="11">
        <f t="shared" si="12"/>
        <v>1.2235254600077838</v>
      </c>
      <c r="V29" s="11">
        <f t="shared" si="12"/>
        <v>2.1692001017420712</v>
      </c>
    </row>
    <row r="30" spans="1:22" x14ac:dyDescent="0.25">
      <c r="A30" s="227"/>
      <c r="B30" s="11">
        <f t="shared" ref="B30:M30" si="13">IF(B7="","",(B7/$O$23))</f>
        <v>0.25995518833787329</v>
      </c>
      <c r="C30" s="11">
        <f t="shared" si="13"/>
        <v>0.13376305451568343</v>
      </c>
      <c r="D30" s="11">
        <f t="shared" si="13"/>
        <v>4.5621043680665607E-2</v>
      </c>
      <c r="E30" s="11">
        <f t="shared" si="13"/>
        <v>0.20135900050901001</v>
      </c>
      <c r="F30" s="11">
        <f t="shared" si="13"/>
        <v>0.57302695682091909</v>
      </c>
      <c r="G30" s="11">
        <f t="shared" si="13"/>
        <v>1.104898386621004</v>
      </c>
      <c r="H30" s="11">
        <f t="shared" si="13"/>
        <v>3.2599361092021799</v>
      </c>
      <c r="I30" s="11">
        <f t="shared" si="13"/>
        <v>5.3082217722772287E-2</v>
      </c>
      <c r="J30" s="11">
        <f t="shared" si="13"/>
        <v>0.26240371071541857</v>
      </c>
      <c r="K30" s="11">
        <f t="shared" si="13"/>
        <v>0.14242851159400452</v>
      </c>
      <c r="L30" s="11">
        <f t="shared" si="13"/>
        <v>2.5374651127348831E-2</v>
      </c>
      <c r="M30" s="11">
        <f t="shared" si="13"/>
        <v>0.51914667849728457</v>
      </c>
      <c r="N30" s="6"/>
      <c r="O30" s="11">
        <f t="shared" si="9"/>
        <v>1.9196679151569147</v>
      </c>
      <c r="P30" s="11">
        <f t="shared" si="9"/>
        <v>2.102157417386926</v>
      </c>
      <c r="Q30" s="11">
        <f t="shared" si="9"/>
        <v>3.5111736308897128E-2</v>
      </c>
      <c r="R30" s="11">
        <f t="shared" si="9"/>
        <v>2.5992570058469724</v>
      </c>
      <c r="S30" s="11">
        <f t="shared" si="9"/>
        <v>1.0934269314220277</v>
      </c>
      <c r="T30" s="11">
        <f t="shared" ref="T30:V30" si="14">IF(T7="","",(T7/$O$23))</f>
        <v>1.7150303666254039</v>
      </c>
      <c r="U30" s="11">
        <f t="shared" si="14"/>
        <v>1.5586674931850357</v>
      </c>
      <c r="V30" s="11">
        <f t="shared" si="14"/>
        <v>2.4223275566616196</v>
      </c>
    </row>
    <row r="31" spans="1:22" x14ac:dyDescent="0.25">
      <c r="A31" s="227"/>
      <c r="B31" s="11">
        <f t="shared" ref="B31:M31" si="15">IF(B8="","",(B8/$O$23))</f>
        <v>0.11847737043027644</v>
      </c>
      <c r="C31" s="11">
        <f t="shared" si="15"/>
        <v>2.101275448545319E-2</v>
      </c>
      <c r="D31" s="11">
        <f t="shared" si="15"/>
        <v>1.8293594734584747E-2</v>
      </c>
      <c r="E31" s="11">
        <f t="shared" si="15"/>
        <v>8.0715199215311423E-2</v>
      </c>
      <c r="F31" s="11">
        <f t="shared" si="15"/>
        <v>1.655518380283268</v>
      </c>
      <c r="G31" s="11">
        <f t="shared" si="15"/>
        <v>2.3396243980790734</v>
      </c>
      <c r="H31" s="11">
        <f t="shared" si="15"/>
        <v>4.5526190076072472</v>
      </c>
      <c r="I31" s="11">
        <f t="shared" si="15"/>
        <v>0.31770403612289716</v>
      </c>
      <c r="J31" s="11">
        <f t="shared" si="15"/>
        <v>1.4570998974554725E-2</v>
      </c>
      <c r="K31" s="11">
        <f t="shared" si="15"/>
        <v>0.18203693048072395</v>
      </c>
      <c r="L31" s="11">
        <f t="shared" si="15"/>
        <v>2.4648645063380187E-2</v>
      </c>
      <c r="M31" s="11">
        <f t="shared" si="15"/>
        <v>8.6177492500118275E-2</v>
      </c>
      <c r="N31" s="6"/>
      <c r="O31" s="11">
        <f t="shared" si="9"/>
        <v>1.092614752926691</v>
      </c>
      <c r="P31" s="11">
        <f t="shared" si="9"/>
        <v>0.61569229942442605</v>
      </c>
      <c r="Q31" s="11">
        <f t="shared" si="9"/>
        <v>0.10447055448396814</v>
      </c>
      <c r="R31" s="11">
        <f t="shared" si="9"/>
        <v>3.4391127009872897</v>
      </c>
      <c r="S31" s="11">
        <f t="shared" si="9"/>
        <v>0.10756477075219774</v>
      </c>
      <c r="T31" s="11">
        <f t="shared" ref="T31:V31" si="16">IF(T8="","",(T8/$O$23))</f>
        <v>0.45709080739605856</v>
      </c>
      <c r="U31" s="11">
        <f t="shared" si="16"/>
        <v>0.80369550538516088</v>
      </c>
      <c r="V31" s="11">
        <f t="shared" si="16"/>
        <v>2.4234335471872472</v>
      </c>
    </row>
    <row r="32" spans="1:22" x14ac:dyDescent="0.25">
      <c r="A32" s="227"/>
      <c r="B32" s="11">
        <f t="shared" ref="B32:M32" si="17">IF(B9="","",(B9/$O$23))</f>
        <v>0.17974077481335657</v>
      </c>
      <c r="C32" s="11">
        <f t="shared" si="17"/>
        <v>1.9952846898393477E-2</v>
      </c>
      <c r="D32" s="11">
        <f t="shared" si="17"/>
        <v>0.1266646837240355</v>
      </c>
      <c r="E32" s="11">
        <f t="shared" si="17"/>
        <v>8.5630091120020846E-2</v>
      </c>
      <c r="F32" s="11">
        <f t="shared" si="17"/>
        <v>0.27984996540616397</v>
      </c>
      <c r="G32" s="11">
        <f t="shared" si="17"/>
        <v>2.5020920621905236</v>
      </c>
      <c r="H32" s="11">
        <f t="shared" si="17"/>
        <v>2.1351139105978336</v>
      </c>
      <c r="I32" s="11">
        <f t="shared" si="17"/>
        <v>0.40331121896131783</v>
      </c>
      <c r="J32" s="11">
        <f t="shared" si="17"/>
        <v>0.40019968829420438</v>
      </c>
      <c r="K32" s="11" t="str">
        <f t="shared" si="17"/>
        <v/>
      </c>
      <c r="L32" s="11">
        <f t="shared" si="17"/>
        <v>0.36853964399664668</v>
      </c>
      <c r="M32" s="11">
        <f t="shared" si="17"/>
        <v>5.770303122182352E-2</v>
      </c>
      <c r="N32" s="6"/>
      <c r="O32" s="11">
        <f t="shared" si="9"/>
        <v>0.1756444544128026</v>
      </c>
      <c r="P32" s="11">
        <f t="shared" si="9"/>
        <v>2.5128088759735308</v>
      </c>
      <c r="Q32" s="11">
        <f t="shared" si="9"/>
        <v>9.7268563674384467E-2</v>
      </c>
      <c r="R32" s="11">
        <f t="shared" si="9"/>
        <v>1.8822573594269756</v>
      </c>
      <c r="S32" s="11">
        <f t="shared" si="9"/>
        <v>3.2861114846840653</v>
      </c>
      <c r="T32" s="11">
        <f t="shared" ref="T32:V32" si="18">IF(T9="","",(T9/$O$23))</f>
        <v>0.23254676128008941</v>
      </c>
      <c r="U32" s="11">
        <f t="shared" si="18"/>
        <v>1.8741105351890681</v>
      </c>
      <c r="V32" s="11">
        <f t="shared" si="18"/>
        <v>3.0273089025611224</v>
      </c>
    </row>
    <row r="33" spans="1:22" x14ac:dyDescent="0.25">
      <c r="A33" s="227"/>
      <c r="B33" s="11">
        <f t="shared" ref="B33:M33" si="19">IF(B10="","",(B10/$O$23))</f>
        <v>3.3394414314985604E-2</v>
      </c>
      <c r="C33" s="11">
        <f t="shared" si="19"/>
        <v>3.7537084029474831E-2</v>
      </c>
      <c r="D33" s="11">
        <f t="shared" si="19"/>
        <v>4.3955931258773111E-2</v>
      </c>
      <c r="E33" s="11">
        <f t="shared" si="19"/>
        <v>0.27724587981403132</v>
      </c>
      <c r="F33" s="11">
        <f t="shared" si="19"/>
        <v>2.4797943129325204</v>
      </c>
      <c r="G33" s="11">
        <f t="shared" si="19"/>
        <v>1.0670730844439549</v>
      </c>
      <c r="H33" s="11">
        <f t="shared" si="19"/>
        <v>3.7262224606577732</v>
      </c>
      <c r="I33" s="11">
        <f t="shared" si="19"/>
        <v>0.31557836069069395</v>
      </c>
      <c r="J33" s="11">
        <f t="shared" si="19"/>
        <v>0.19805168394682521</v>
      </c>
      <c r="K33" s="11">
        <f t="shared" si="19"/>
        <v>0.28620514892264315</v>
      </c>
      <c r="L33" s="11">
        <f t="shared" si="19"/>
        <v>0.1962310083103454</v>
      </c>
      <c r="M33" s="11">
        <f t="shared" si="19"/>
        <v>0.15225243514533954</v>
      </c>
      <c r="N33" s="6"/>
      <c r="O33" s="11">
        <f t="shared" si="9"/>
        <v>0.84278262767779233</v>
      </c>
      <c r="P33" s="11">
        <f t="shared" si="9"/>
        <v>0.43498884403312676</v>
      </c>
      <c r="Q33" s="11">
        <f t="shared" si="9"/>
        <v>2.5120795402174691E-2</v>
      </c>
      <c r="R33" s="11">
        <f t="shared" si="9"/>
        <v>0.95285931814498714</v>
      </c>
      <c r="S33" s="11">
        <f t="shared" si="9"/>
        <v>0.38803672264134342</v>
      </c>
      <c r="T33" s="11">
        <f t="shared" ref="T33:V33" si="20">IF(T10="","",(T10/$O$23))</f>
        <v>1.3297937818466317</v>
      </c>
      <c r="U33" s="11">
        <f t="shared" si="20"/>
        <v>3.5491201338589495</v>
      </c>
      <c r="V33" s="11">
        <f t="shared" si="20"/>
        <v>1.1893186008220942</v>
      </c>
    </row>
    <row r="34" spans="1:22" x14ac:dyDescent="0.25">
      <c r="A34" s="227"/>
      <c r="B34" s="11">
        <f t="shared" ref="B34:M34" si="21">IF(B11="","",(B11/$O$23))</f>
        <v>0.14326386474630889</v>
      </c>
      <c r="C34" s="11">
        <f t="shared" si="21"/>
        <v>0.17169197671066841</v>
      </c>
      <c r="D34" s="11">
        <f t="shared" si="21"/>
        <v>5.0005582228793997E-2</v>
      </c>
      <c r="E34" s="11">
        <f t="shared" si="21"/>
        <v>2.2138299626804776</v>
      </c>
      <c r="F34" s="11">
        <f t="shared" si="21"/>
        <v>1.0793569845136353</v>
      </c>
      <c r="G34" s="11">
        <f t="shared" si="21"/>
        <v>1.5724982350134635</v>
      </c>
      <c r="H34" s="11">
        <f t="shared" si="21"/>
        <v>4.330570099558126</v>
      </c>
      <c r="I34" s="11">
        <f t="shared" si="21"/>
        <v>0.10608958396729282</v>
      </c>
      <c r="J34" s="11">
        <f t="shared" si="21"/>
        <v>2.8744832276250434E-2</v>
      </c>
      <c r="K34" s="11">
        <f t="shared" si="21"/>
        <v>3.1366498642634369E-2</v>
      </c>
      <c r="L34" s="11">
        <f t="shared" si="21"/>
        <v>0.32535580174041001</v>
      </c>
      <c r="M34" s="11">
        <f t="shared" si="21"/>
        <v>0.60639286897158828</v>
      </c>
      <c r="N34" s="6"/>
      <c r="O34" s="11">
        <f t="shared" si="9"/>
        <v>0.47068820440260539</v>
      </c>
      <c r="P34" s="11">
        <f t="shared" si="9"/>
        <v>3.1562377769084318</v>
      </c>
      <c r="Q34" s="11">
        <f t="shared" si="9"/>
        <v>8.2466617256255786E-2</v>
      </c>
      <c r="R34" s="11">
        <f t="shared" si="9"/>
        <v>0.78506228205708506</v>
      </c>
      <c r="S34" s="11">
        <f t="shared" si="9"/>
        <v>1.2710705329674978</v>
      </c>
      <c r="T34" s="11">
        <f t="shared" ref="T34:V34" si="22">IF(T11="","",(T11/$O$23))</f>
        <v>2.4901075680338502</v>
      </c>
      <c r="U34" s="11">
        <f t="shared" si="22"/>
        <v>1.4509327749484087</v>
      </c>
      <c r="V34" s="11">
        <f t="shared" si="22"/>
        <v>3.1095277907256551</v>
      </c>
    </row>
    <row r="35" spans="1:22" x14ac:dyDescent="0.25">
      <c r="A35" s="227"/>
      <c r="B35" s="11">
        <f t="shared" ref="B35:M35" si="23">IF(B12="","",(B12/$O$23))</f>
        <v>2.9217648553463548E-2</v>
      </c>
      <c r="C35" s="11">
        <f t="shared" si="23"/>
        <v>0.24289464517918682</v>
      </c>
      <c r="D35" s="11">
        <f t="shared" si="23"/>
        <v>3.1234110085014696E-2</v>
      </c>
      <c r="E35" s="11">
        <f t="shared" si="23"/>
        <v>2.3202360005842942E-2</v>
      </c>
      <c r="F35" s="11">
        <f t="shared" si="23"/>
        <v>1.8531550514076154</v>
      </c>
      <c r="G35" s="11">
        <f t="shared" si="23"/>
        <v>1.6128706184540125</v>
      </c>
      <c r="H35" s="11">
        <f t="shared" si="23"/>
        <v>4.7910545291354207</v>
      </c>
      <c r="I35" s="11">
        <f t="shared" si="23"/>
        <v>0.14592575379317688</v>
      </c>
      <c r="J35" s="11">
        <f t="shared" si="23"/>
        <v>0.2438567930063946</v>
      </c>
      <c r="K35" s="11">
        <f t="shared" si="23"/>
        <v>0.19182888898796571</v>
      </c>
      <c r="L35" s="11">
        <f t="shared" si="23"/>
        <v>0.1333365875524056</v>
      </c>
      <c r="M35" s="11">
        <f t="shared" si="23"/>
        <v>4.4289965969547894E-2</v>
      </c>
      <c r="N35" s="6"/>
      <c r="O35" s="11">
        <f t="shared" si="9"/>
        <v>1.3912995878140859</v>
      </c>
      <c r="P35" s="11">
        <f t="shared" si="9"/>
        <v>1.3079049187776552</v>
      </c>
      <c r="Q35" s="11">
        <f t="shared" si="9"/>
        <v>0.14409335764052955</v>
      </c>
      <c r="R35" s="11">
        <f t="shared" si="9"/>
        <v>0.27370228830092369</v>
      </c>
      <c r="S35" s="11">
        <f t="shared" si="9"/>
        <v>3.3852124445110969</v>
      </c>
      <c r="T35" s="11">
        <f t="shared" ref="T35:V35" si="24">IF(T12="","",(T12/$O$23))</f>
        <v>1.8207052041455865</v>
      </c>
      <c r="U35" s="11">
        <f t="shared" si="24"/>
        <v>1.6450088065361321</v>
      </c>
      <c r="V35" s="11">
        <f t="shared" si="24"/>
        <v>1.7097585317283195</v>
      </c>
    </row>
    <row r="36" spans="1:22" x14ac:dyDescent="0.2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7.3340330792256603E-2</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2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0.88286093271268307</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2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1.2521149954448145</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2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1.5070399513438753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2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0.29337863756791027</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2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0.97896570240670455</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2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2.900989974064029</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2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0.57629937820996879</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Atrazine-0,625mg/L</v>
      </c>
      <c r="J45" s="7" t="str">
        <f t="shared" si="41"/>
        <v>Atrazine-1,25mg/L</v>
      </c>
      <c r="K45" s="7" t="str">
        <f t="shared" ref="K45:M45" si="42">K4</f>
        <v>Atrazine-2,5mg/L</v>
      </c>
      <c r="L45" s="7" t="str">
        <f t="shared" si="42"/>
        <v>Atrazine-5mg/L</v>
      </c>
      <c r="M45" s="7" t="str">
        <f t="shared" si="42"/>
        <v>Atrazine-10mg/L</v>
      </c>
      <c r="N45" s="7"/>
      <c r="O45" s="7" t="str">
        <f t="shared" si="41"/>
        <v>Testo -30µg/L</v>
      </c>
      <c r="P45" s="7" t="str">
        <f t="shared" si="41"/>
        <v>Testo 30µg/L + EE2 -64ng/L</v>
      </c>
      <c r="Q45" s="7" t="str">
        <f t="shared" si="41"/>
        <v>Testo 30µg/L + FAD-10µg/L</v>
      </c>
      <c r="R45" s="7" t="str">
        <f t="shared" si="41"/>
        <v>Atrazine-0,625mg/L + Testostérone</v>
      </c>
      <c r="S45" s="7" t="str">
        <f t="shared" ref="S45:V45" si="43">S4</f>
        <v>Atrazine-1,25mg/L + Testostérone</v>
      </c>
      <c r="T45" s="7" t="str">
        <f t="shared" si="43"/>
        <v>Atrazine-2,5mg/L + Testostérone</v>
      </c>
      <c r="U45" s="7" t="str">
        <f t="shared" si="43"/>
        <v>Atrazine-5mg/L + Testostérone</v>
      </c>
      <c r="V45" s="7" t="str">
        <f t="shared" si="43"/>
        <v>Atrazine-10mg/L + Testostérone</v>
      </c>
    </row>
    <row r="46" spans="1:22" x14ac:dyDescent="0.25">
      <c r="A46" s="8" t="s">
        <v>0</v>
      </c>
      <c r="B46" s="10">
        <f t="shared" ref="B46:H46" si="44">AVERAGE(B28:B43)</f>
        <v>9.8727634749559021E-2</v>
      </c>
      <c r="C46" s="10">
        <f t="shared" si="44"/>
        <v>0.10646124419871907</v>
      </c>
      <c r="D46" s="10">
        <f t="shared" si="44"/>
        <v>5.3042760871469648E-2</v>
      </c>
      <c r="E46" s="10">
        <f t="shared" si="44"/>
        <v>0.44612263515694678</v>
      </c>
      <c r="F46" s="10">
        <f t="shared" si="44"/>
        <v>1.1312047188929091</v>
      </c>
      <c r="G46" s="10">
        <f t="shared" si="44"/>
        <v>1.5390777825063104</v>
      </c>
      <c r="H46" s="10">
        <f t="shared" si="44"/>
        <v>3.6499703807239863</v>
      </c>
      <c r="I46" s="10">
        <f>AVERAGE(I28:I43)</f>
        <v>0.20567434805544479</v>
      </c>
      <c r="J46" s="9">
        <f>AVERAGE(J28:J43)</f>
        <v>0.18022424610526747</v>
      </c>
      <c r="K46" s="9">
        <f t="shared" ref="K46:M46" si="45">AVERAGE(K28:K43)</f>
        <v>0.14458702730365114</v>
      </c>
      <c r="L46" s="9">
        <f t="shared" si="45"/>
        <v>0.13818405319223073</v>
      </c>
      <c r="M46" s="9">
        <f t="shared" si="45"/>
        <v>0.27659445885294698</v>
      </c>
      <c r="N46" s="8" t="s">
        <v>0</v>
      </c>
      <c r="O46" s="10">
        <f t="shared" ref="O46:R46" si="46">AVERAGE(O28:O43)</f>
        <v>0.99999999999999978</v>
      </c>
      <c r="P46" s="10">
        <f t="shared" si="46"/>
        <v>1.6743092645319497</v>
      </c>
      <c r="Q46" s="10">
        <f t="shared" si="46"/>
        <v>8.1665859604798177E-2</v>
      </c>
      <c r="R46" s="10">
        <f t="shared" si="46"/>
        <v>1.5851862931093987</v>
      </c>
      <c r="S46" s="10">
        <f t="shared" ref="S46:V46" si="47">AVERAGE(S28:S43)</f>
        <v>1.5650167498495895</v>
      </c>
      <c r="T46" s="10">
        <f t="shared" si="47"/>
        <v>1.6325932171441715</v>
      </c>
      <c r="U46" s="10">
        <f t="shared" si="47"/>
        <v>1.6675691353125932</v>
      </c>
      <c r="V46" s="10">
        <f t="shared" si="47"/>
        <v>2.3528237969897381</v>
      </c>
    </row>
    <row r="47" spans="1:22" x14ac:dyDescent="0.25">
      <c r="A47" s="8" t="s">
        <v>1</v>
      </c>
      <c r="B47" s="8">
        <f t="shared" ref="B47:J47" si="48">STDEV(B28:B43)</f>
        <v>9.1627399005659887E-2</v>
      </c>
      <c r="C47" s="8">
        <f t="shared" si="48"/>
        <v>9.0391913501022908E-2</v>
      </c>
      <c r="D47" s="8">
        <f t="shared" si="48"/>
        <v>3.556922776071289E-2</v>
      </c>
      <c r="E47" s="8">
        <f t="shared" si="48"/>
        <v>0.72794492758935747</v>
      </c>
      <c r="F47" s="8">
        <f t="shared" si="48"/>
        <v>0.7855630155471105</v>
      </c>
      <c r="G47" s="8">
        <f t="shared" si="48"/>
        <v>0.60615393767645087</v>
      </c>
      <c r="H47" s="8">
        <f t="shared" si="48"/>
        <v>0.88161139212768114</v>
      </c>
      <c r="I47" s="8">
        <f t="shared" si="48"/>
        <v>0.12814584774946033</v>
      </c>
      <c r="J47" s="8">
        <f t="shared" si="48"/>
        <v>0.14506343938830246</v>
      </c>
      <c r="K47" s="8">
        <f t="shared" ref="K47:M47" si="49">STDEV(K28:K43)</f>
        <v>8.6548600328545791E-2</v>
      </c>
      <c r="L47" s="8">
        <f t="shared" si="49"/>
        <v>0.14493415953150465</v>
      </c>
      <c r="M47" s="8">
        <f t="shared" si="49"/>
        <v>0.26248717238593255</v>
      </c>
      <c r="N47" s="8" t="s">
        <v>1</v>
      </c>
      <c r="O47" s="8">
        <f t="shared" ref="O47:R47" si="50">STDEV(O28:O43)</f>
        <v>0.76328154749853216</v>
      </c>
      <c r="P47" s="8">
        <f t="shared" si="50"/>
        <v>0.93321796723035533</v>
      </c>
      <c r="Q47" s="8">
        <f t="shared" si="50"/>
        <v>5.0017766911788039E-2</v>
      </c>
      <c r="R47" s="8">
        <f t="shared" si="50"/>
        <v>1.2115018950001433</v>
      </c>
      <c r="S47" s="8">
        <f t="shared" ref="S47:V47" si="51">STDEV(S28:S43)</f>
        <v>1.2904406291042108</v>
      </c>
      <c r="T47" s="8">
        <f t="shared" si="51"/>
        <v>1.0937004996153492</v>
      </c>
      <c r="U47" s="8">
        <f t="shared" si="51"/>
        <v>0.8256889868444659</v>
      </c>
      <c r="V47" s="8">
        <f t="shared" si="51"/>
        <v>0.65615902559878736</v>
      </c>
    </row>
    <row r="48" spans="1:22" x14ac:dyDescent="0.25">
      <c r="A48" s="8" t="s">
        <v>2</v>
      </c>
      <c r="B48" s="8">
        <f t="shared" ref="B48:J48" si="52" xml:space="preserve"> B47/SQRT(COUNT(B28:B43))</f>
        <v>3.2395177589693812E-2</v>
      </c>
      <c r="C48" s="8">
        <f t="shared" si="52"/>
        <v>3.1958367500500566E-2</v>
      </c>
      <c r="D48" s="8">
        <f t="shared" si="52"/>
        <v>1.257562107558444E-2</v>
      </c>
      <c r="E48" s="8">
        <f t="shared" si="52"/>
        <v>0.25736739731439245</v>
      </c>
      <c r="F48" s="8">
        <f t="shared" si="52"/>
        <v>0.27773846767135751</v>
      </c>
      <c r="G48" s="8">
        <f t="shared" si="52"/>
        <v>0.21430777988697314</v>
      </c>
      <c r="H48" s="8">
        <f t="shared" si="52"/>
        <v>0.31169669687239787</v>
      </c>
      <c r="I48" s="8">
        <f t="shared" si="52"/>
        <v>4.5306398962271135E-2</v>
      </c>
      <c r="J48" s="8">
        <f t="shared" si="52"/>
        <v>5.128767084685619E-2</v>
      </c>
      <c r="K48" s="8">
        <f t="shared" ref="K48:M48" si="53" xml:space="preserve"> K47/SQRT(COUNT(K28:K43))</f>
        <v>3.2712296112865039E-2</v>
      </c>
      <c r="L48" s="8">
        <f t="shared" si="53"/>
        <v>5.124196351514991E-2</v>
      </c>
      <c r="M48" s="8">
        <f t="shared" si="53"/>
        <v>9.2803229784287594E-2</v>
      </c>
      <c r="N48" s="8" t="s">
        <v>2</v>
      </c>
      <c r="O48" s="8">
        <f t="shared" ref="O48:R48" si="54" xml:space="preserve"> O47/SQRT(COUNT(O28:O43))</f>
        <v>0.19082038687463304</v>
      </c>
      <c r="P48" s="8">
        <f t="shared" si="54"/>
        <v>0.32994237647685476</v>
      </c>
      <c r="Q48" s="8">
        <f t="shared" si="54"/>
        <v>1.7683951081566718E-2</v>
      </c>
      <c r="R48" s="8">
        <f t="shared" si="54"/>
        <v>0.42833060268747697</v>
      </c>
      <c r="S48" s="8">
        <f t="shared" ref="S48:V48" si="55" xml:space="preserve"> S47/SQRT(COUNT(S28:S43))</f>
        <v>0.45623965977911091</v>
      </c>
      <c r="T48" s="8">
        <f t="shared" si="55"/>
        <v>0.38668151993256417</v>
      </c>
      <c r="U48" s="8">
        <f t="shared" si="55"/>
        <v>0.29192514087438592</v>
      </c>
      <c r="V48" s="8">
        <f t="shared" si="55"/>
        <v>0.23198724826882997</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75" thickBot="1" x14ac:dyDescent="0.3"/>
    <row r="52" spans="1:22" x14ac:dyDescent="0.2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Atrazine-0,625mg/L</v>
      </c>
      <c r="J52" s="46" t="str">
        <f>J4</f>
        <v>Atrazine-1,25mg/L</v>
      </c>
      <c r="K52" s="46" t="str">
        <f t="shared" ref="K52:M52" si="57">K4</f>
        <v>Atrazine-2,5mg/L</v>
      </c>
      <c r="L52" s="46" t="str">
        <f t="shared" si="57"/>
        <v>Atrazine-5mg/L</v>
      </c>
      <c r="M52" s="46" t="str">
        <f t="shared" si="57"/>
        <v>Atrazine-10mg/L</v>
      </c>
      <c r="N52" s="47"/>
      <c r="O52" s="46" t="str">
        <f>O27</f>
        <v>Testo -30µg/L</v>
      </c>
      <c r="P52" s="46" t="str">
        <f>P27</f>
        <v>Testo 30µg/L + EE2 -64ng/L</v>
      </c>
      <c r="Q52" s="46" t="str">
        <f>Q27</f>
        <v>Testo 30µg/L + FAD-10µg/L</v>
      </c>
      <c r="R52" s="46" t="str">
        <f>R27</f>
        <v>Atrazine-0,625mg/L + Testostérone</v>
      </c>
      <c r="S52" s="46" t="str">
        <f t="shared" ref="S52:V52" si="58">S27</f>
        <v>Atrazine-1,25mg/L + Testostérone</v>
      </c>
      <c r="T52" s="46" t="str">
        <f t="shared" si="58"/>
        <v>Atrazine-2,5mg/L + Testostérone</v>
      </c>
      <c r="U52" s="46" t="str">
        <f t="shared" si="58"/>
        <v>Atrazine-5mg/L + Testostérone</v>
      </c>
      <c r="V52" s="46" t="str">
        <f t="shared" si="58"/>
        <v>Atrazine-10mg/L + Testostérone</v>
      </c>
    </row>
    <row r="53" spans="1:22" s="3" customFormat="1" x14ac:dyDescent="0.25">
      <c r="A53" s="61" t="s">
        <v>32</v>
      </c>
      <c r="B53" s="141">
        <f t="shared" ref="B53" si="59">B46</f>
        <v>9.8727634749559021E-2</v>
      </c>
      <c r="C53" s="141">
        <f t="shared" ref="C53:V53" si="60">C46</f>
        <v>0.10646124419871907</v>
      </c>
      <c r="D53" s="141">
        <f t="shared" si="60"/>
        <v>5.3042760871469648E-2</v>
      </c>
      <c r="E53" s="141">
        <f t="shared" si="60"/>
        <v>0.44612263515694678</v>
      </c>
      <c r="F53" s="141">
        <f t="shared" si="60"/>
        <v>1.1312047188929091</v>
      </c>
      <c r="G53" s="141">
        <f t="shared" si="60"/>
        <v>1.5390777825063104</v>
      </c>
      <c r="H53" s="141">
        <f t="shared" si="60"/>
        <v>3.6499703807239863</v>
      </c>
      <c r="I53" s="141">
        <f t="shared" si="60"/>
        <v>0.20567434805544479</v>
      </c>
      <c r="J53" s="141">
        <f t="shared" si="60"/>
        <v>0.18022424610526747</v>
      </c>
      <c r="K53" s="141">
        <f t="shared" si="60"/>
        <v>0.14458702730365114</v>
      </c>
      <c r="L53" s="141">
        <f t="shared" si="60"/>
        <v>0.13818405319223073</v>
      </c>
      <c r="M53" s="141">
        <f t="shared" si="60"/>
        <v>0.27659445885294698</v>
      </c>
      <c r="N53" s="141"/>
      <c r="O53" s="141">
        <f t="shared" si="60"/>
        <v>0.99999999999999978</v>
      </c>
      <c r="P53" s="141">
        <f t="shared" si="60"/>
        <v>1.6743092645319497</v>
      </c>
      <c r="Q53" s="141">
        <f t="shared" si="60"/>
        <v>8.1665859604798177E-2</v>
      </c>
      <c r="R53" s="141">
        <f t="shared" si="60"/>
        <v>1.5851862931093987</v>
      </c>
      <c r="S53" s="141">
        <f t="shared" si="60"/>
        <v>1.5650167498495895</v>
      </c>
      <c r="T53" s="141">
        <f t="shared" si="60"/>
        <v>1.6325932171441715</v>
      </c>
      <c r="U53" s="141">
        <f t="shared" si="60"/>
        <v>1.6675691353125932</v>
      </c>
      <c r="V53" s="141">
        <f t="shared" si="60"/>
        <v>2.3528237969897381</v>
      </c>
    </row>
    <row r="54" spans="1:22" s="3" customFormat="1" x14ac:dyDescent="0.25">
      <c r="A54" s="61" t="s">
        <v>2</v>
      </c>
      <c r="B54" s="141">
        <f t="shared" ref="B54" si="61">B48</f>
        <v>3.2395177589693812E-2</v>
      </c>
      <c r="C54" s="141">
        <f t="shared" ref="C54:V54" si="62">C48</f>
        <v>3.1958367500500566E-2</v>
      </c>
      <c r="D54" s="141">
        <f t="shared" si="62"/>
        <v>1.257562107558444E-2</v>
      </c>
      <c r="E54" s="141">
        <f t="shared" si="62"/>
        <v>0.25736739731439245</v>
      </c>
      <c r="F54" s="141">
        <f t="shared" si="62"/>
        <v>0.27773846767135751</v>
      </c>
      <c r="G54" s="141">
        <f t="shared" si="62"/>
        <v>0.21430777988697314</v>
      </c>
      <c r="H54" s="141">
        <f t="shared" si="62"/>
        <v>0.31169669687239787</v>
      </c>
      <c r="I54" s="141">
        <f t="shared" si="62"/>
        <v>4.5306398962271135E-2</v>
      </c>
      <c r="J54" s="141">
        <f t="shared" si="62"/>
        <v>5.128767084685619E-2</v>
      </c>
      <c r="K54" s="141">
        <f t="shared" si="62"/>
        <v>3.2712296112865039E-2</v>
      </c>
      <c r="L54" s="141">
        <f t="shared" si="62"/>
        <v>5.124196351514991E-2</v>
      </c>
      <c r="M54" s="141">
        <f t="shared" si="62"/>
        <v>9.2803229784287594E-2</v>
      </c>
      <c r="N54" s="141"/>
      <c r="O54" s="141">
        <f t="shared" si="62"/>
        <v>0.19082038687463304</v>
      </c>
      <c r="P54" s="141">
        <f t="shared" si="62"/>
        <v>0.32994237647685476</v>
      </c>
      <c r="Q54" s="141">
        <f t="shared" si="62"/>
        <v>1.7683951081566718E-2</v>
      </c>
      <c r="R54" s="141">
        <f t="shared" si="62"/>
        <v>0.42833060268747697</v>
      </c>
      <c r="S54" s="141">
        <f t="shared" si="62"/>
        <v>0.45623965977911091</v>
      </c>
      <c r="T54" s="141">
        <f t="shared" si="62"/>
        <v>0.38668151993256417</v>
      </c>
      <c r="U54" s="141">
        <f t="shared" si="62"/>
        <v>0.29192514087438592</v>
      </c>
      <c r="V54" s="141">
        <f t="shared" si="62"/>
        <v>0.23198724826882997</v>
      </c>
    </row>
    <row r="55" spans="1:22" s="3" customFormat="1" x14ac:dyDescent="0.25">
      <c r="A55" s="61" t="s">
        <v>79</v>
      </c>
      <c r="B55" s="141">
        <f>(B53*100/$B53)-100</f>
        <v>0</v>
      </c>
      <c r="C55" s="141">
        <f t="shared" ref="C55:M55" si="63">(C53*100/$B53)-100</f>
        <v>7.8332773481080409</v>
      </c>
      <c r="D55" s="141">
        <f t="shared" si="63"/>
        <v>-46.273643639876049</v>
      </c>
      <c r="E55" s="141">
        <f t="shared" si="63"/>
        <v>351.8720987174662</v>
      </c>
      <c r="F55" s="141">
        <f t="shared" si="63"/>
        <v>1045.7832670279399</v>
      </c>
      <c r="G55" s="141">
        <f t="shared" si="63"/>
        <v>1458.912847867233</v>
      </c>
      <c r="H55" s="141">
        <f t="shared" si="63"/>
        <v>3597.0098493525284</v>
      </c>
      <c r="I55" s="141">
        <f t="shared" si="63"/>
        <v>108.32500300161752</v>
      </c>
      <c r="J55" s="141">
        <f t="shared" si="63"/>
        <v>82.546909548111586</v>
      </c>
      <c r="K55" s="141">
        <f t="shared" si="63"/>
        <v>46.450411448043894</v>
      </c>
      <c r="L55" s="141">
        <f t="shared" si="63"/>
        <v>39.964918173883376</v>
      </c>
      <c r="M55" s="141">
        <f t="shared" si="63"/>
        <v>180.15910596316843</v>
      </c>
      <c r="N55" s="141"/>
      <c r="O55" s="141">
        <f>(O53*100/$O53)-100</f>
        <v>0</v>
      </c>
      <c r="P55" s="141">
        <f t="shared" ref="P55:V55" si="64">(P53*100/$O53)-100</f>
        <v>67.430926453195013</v>
      </c>
      <c r="Q55" s="141">
        <f t="shared" si="64"/>
        <v>-91.833414039520179</v>
      </c>
      <c r="R55" s="141">
        <f t="shared" si="64"/>
        <v>58.5186293109399</v>
      </c>
      <c r="S55" s="141">
        <f t="shared" si="64"/>
        <v>56.501674984958981</v>
      </c>
      <c r="T55" s="141">
        <f t="shared" si="64"/>
        <v>63.259321714417183</v>
      </c>
      <c r="U55" s="141">
        <f t="shared" si="64"/>
        <v>66.756913531259357</v>
      </c>
      <c r="V55" s="141">
        <f t="shared" si="64"/>
        <v>135.28237969897387</v>
      </c>
    </row>
    <row r="56" spans="1:22" s="3" customFormat="1" x14ac:dyDescent="0.25">
      <c r="A56" s="61" t="s">
        <v>81</v>
      </c>
      <c r="B56" s="141">
        <f>[1]!SWTEST(B28:B43)</f>
        <v>0.18084760791948473</v>
      </c>
      <c r="C56" s="141">
        <f>[1]!SWTEST(C28:C43)</f>
        <v>9.8866281981672244E-2</v>
      </c>
      <c r="D56" s="141">
        <f>[1]!SWTEST(D28:D43)</f>
        <v>9.9660178751493911E-2</v>
      </c>
      <c r="E56" s="141">
        <f>[1]!SWTEST(E28:E43)</f>
        <v>1.3243735625412256E-4</v>
      </c>
      <c r="F56" s="141">
        <f>[1]!SWTEST(F28:F43)</f>
        <v>0.3729096558052214</v>
      </c>
      <c r="G56" s="141">
        <f>[1]!SWTEST(G28:G43)</f>
        <v>0.35357672735576662</v>
      </c>
      <c r="H56" s="141">
        <f>[1]!SWTEST(H28:H43)</f>
        <v>0.65135826161561516</v>
      </c>
      <c r="I56" s="141">
        <f>[1]!SWTEST(I28:I43)</f>
        <v>0.46620598700051108</v>
      </c>
      <c r="J56" s="141">
        <f>[1]!SWTEST(J28:J43)</f>
        <v>0.20490619585361525</v>
      </c>
      <c r="K56" s="141">
        <f>[1]!SWTEST(K28:K43)</f>
        <v>0.87730308754103703</v>
      </c>
      <c r="L56" s="141">
        <f>[1]!SWTEST(L28:L43)</f>
        <v>5.7475858700502647E-2</v>
      </c>
      <c r="M56" s="141">
        <f>[1]!SWTEST(M28:M43)</f>
        <v>1.6512851509243753E-2</v>
      </c>
      <c r="N56" s="141"/>
      <c r="O56" s="141">
        <f>[1]!SWTEST(O28:O43)</f>
        <v>0.31129644124636668</v>
      </c>
      <c r="P56" s="141">
        <f>[1]!SWTEST(P28:P43)</f>
        <v>0.84521175787496694</v>
      </c>
      <c r="Q56" s="141">
        <f>[1]!SWTEST(Q28:Q43)</f>
        <v>0.230524327025178</v>
      </c>
      <c r="R56" s="141">
        <f>[1]!SWTEST(R28:R43)</f>
        <v>0.43417380203528178</v>
      </c>
      <c r="S56" s="141">
        <f>[1]!SWTEST(S28:S43)</f>
        <v>0.22737904654159879</v>
      </c>
      <c r="T56" s="141">
        <f>[1]!SWTEST(T28:T43)</f>
        <v>0.70542816131834418</v>
      </c>
      <c r="U56" s="141">
        <f>[1]!SWTEST(U28:U43)</f>
        <v>2.376705128491341E-2</v>
      </c>
      <c r="V56" s="141">
        <f>[1]!SWTEST(V28:V43)</f>
        <v>0.6222165624272501</v>
      </c>
    </row>
    <row r="57" spans="1:22" s="3" customFormat="1" x14ac:dyDescent="0.25">
      <c r="A57" s="61" t="s">
        <v>85</v>
      </c>
      <c r="B57" s="141" t="str">
        <f>IF(B56&gt;0.05,"Oui","Non")</f>
        <v>Oui</v>
      </c>
      <c r="C57" s="141" t="str">
        <f t="shared" ref="C57:V57" si="65">IF(C56&gt;0.05,"Oui","Non")</f>
        <v>Oui</v>
      </c>
      <c r="D57" s="141" t="str">
        <f t="shared" si="65"/>
        <v>Oui</v>
      </c>
      <c r="E57" s="141" t="str">
        <f t="shared" si="65"/>
        <v>Non</v>
      </c>
      <c r="F57" s="141" t="str">
        <f t="shared" si="65"/>
        <v>Oui</v>
      </c>
      <c r="G57" s="141" t="str">
        <f t="shared" si="65"/>
        <v>Oui</v>
      </c>
      <c r="H57" s="141" t="str">
        <f t="shared" si="65"/>
        <v>Oui</v>
      </c>
      <c r="I57" s="141" t="str">
        <f t="shared" si="65"/>
        <v>Oui</v>
      </c>
      <c r="J57" s="141" t="str">
        <f t="shared" si="65"/>
        <v>Oui</v>
      </c>
      <c r="K57" s="141" t="str">
        <f t="shared" si="65"/>
        <v>Oui</v>
      </c>
      <c r="L57" s="141" t="str">
        <f t="shared" si="65"/>
        <v>Oui</v>
      </c>
      <c r="M57" s="141" t="str">
        <f t="shared" si="65"/>
        <v>Non</v>
      </c>
      <c r="N57" s="141"/>
      <c r="O57" s="141" t="str">
        <f t="shared" si="65"/>
        <v>Oui</v>
      </c>
      <c r="P57" s="141" t="str">
        <f t="shared" si="65"/>
        <v>Oui</v>
      </c>
      <c r="Q57" s="141" t="str">
        <f t="shared" si="65"/>
        <v>Oui</v>
      </c>
      <c r="R57" s="141" t="str">
        <f t="shared" si="65"/>
        <v>Oui</v>
      </c>
      <c r="S57" s="141" t="str">
        <f t="shared" si="65"/>
        <v>Oui</v>
      </c>
      <c r="T57" s="141" t="str">
        <f t="shared" si="65"/>
        <v>Oui</v>
      </c>
      <c r="U57" s="141" t="str">
        <f t="shared" si="65"/>
        <v>Non</v>
      </c>
      <c r="V57" s="141" t="str">
        <f t="shared" si="65"/>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1667</v>
      </c>
      <c r="D59" s="150" t="s">
        <v>1667</v>
      </c>
      <c r="E59" s="150" t="s">
        <v>1667</v>
      </c>
      <c r="F59" s="150" t="s">
        <v>1667</v>
      </c>
      <c r="G59" s="150" t="s">
        <v>1667</v>
      </c>
      <c r="H59" s="150" t="s">
        <v>1667</v>
      </c>
      <c r="I59" s="150" t="s">
        <v>1667</v>
      </c>
      <c r="J59" s="150" t="s">
        <v>1667</v>
      </c>
      <c r="K59" s="150" t="s">
        <v>1667</v>
      </c>
      <c r="L59" s="150" t="s">
        <v>1667</v>
      </c>
      <c r="M59" s="150" t="s">
        <v>1667</v>
      </c>
      <c r="N59" s="150"/>
      <c r="O59" s="150" t="str">
        <f t="shared" ref="O59" si="66">IF($B57="Non",IF(O57="Non","MW",IF(O57="Oui","MW","")),IF($B57="Oui",IF(O57="Oui","T-Test Welch",IF(O57="Non","MW",""))))</f>
        <v>T-Test Welch</v>
      </c>
      <c r="P59" s="150" t="str">
        <f>IF($O57="Non",IF(P57="Non","MW",IF(P57="Oui","MW","")),IF($O57="Oui",IF(P57="Oui","T-Test Welch",IF(P57="Non","MW",""))))</f>
        <v>T-Test Welch</v>
      </c>
      <c r="Q59" s="150" t="str">
        <f t="shared" ref="Q59" si="67">IF($O57="Non",IF(Q57="Non","MW",IF(Q57="Oui","MW","")),IF($O57="Oui",IF(Q57="Oui","T-Test Welch",IF(Q57="Non","MW",""))))</f>
        <v>T-Test Welch</v>
      </c>
      <c r="R59" s="150" t="s">
        <v>1667</v>
      </c>
      <c r="S59" s="150" t="s">
        <v>1667</v>
      </c>
      <c r="T59" s="150" t="s">
        <v>1667</v>
      </c>
      <c r="U59" s="150" t="s">
        <v>1667</v>
      </c>
      <c r="V59" s="150" t="s">
        <v>1667</v>
      </c>
    </row>
    <row r="60" spans="1:22" s="3" customFormat="1" ht="15.75" x14ac:dyDescent="0.25">
      <c r="A60" s="61" t="s">
        <v>83</v>
      </c>
      <c r="B60" s="151"/>
      <c r="C60" s="197">
        <v>0.99990000000000001</v>
      </c>
      <c r="D60" s="197">
        <v>0.99990000000000001</v>
      </c>
      <c r="E60" s="197">
        <v>0.99990000000000001</v>
      </c>
      <c r="F60" s="197">
        <v>2.3699999999999999E-2</v>
      </c>
      <c r="G60" s="197">
        <v>6.1999999999999998E-3</v>
      </c>
      <c r="H60" s="197">
        <v>1E-4</v>
      </c>
      <c r="I60" s="197">
        <v>0.40029999999999999</v>
      </c>
      <c r="J60" s="197">
        <v>0.99990000000000001</v>
      </c>
      <c r="K60" s="197">
        <v>0.99990000000000001</v>
      </c>
      <c r="L60" s="197">
        <v>0.99990000000000001</v>
      </c>
      <c r="M60" s="197">
        <v>0.40029999999999999</v>
      </c>
      <c r="N60" s="151"/>
      <c r="O60" s="197">
        <v>2.9999999999999997E-4</v>
      </c>
      <c r="P60" s="197">
        <v>0.1026</v>
      </c>
      <c r="Q60" s="197">
        <v>2.0000000000000001E-4</v>
      </c>
      <c r="R60" s="197">
        <v>0.99990000000000001</v>
      </c>
      <c r="S60" s="197">
        <v>0.99990000000000001</v>
      </c>
      <c r="T60" s="197">
        <v>0.62880000000000003</v>
      </c>
      <c r="U60" s="197">
        <v>0.50790000000000002</v>
      </c>
      <c r="V60" s="197">
        <v>9.4999999999999998E-3</v>
      </c>
    </row>
    <row r="61" spans="1:22" s="3" customFormat="1" ht="15.75" thickBot="1" x14ac:dyDescent="0.3">
      <c r="A61" s="62" t="s">
        <v>84</v>
      </c>
      <c r="B61" s="142"/>
      <c r="C61" s="142" t="str">
        <f t="shared" ref="C61:O61" si="68">IF(C60&gt;0.05,"NS",IF(C60&gt;0.01,"*",IF(C60&gt;0.001,"**","***")))</f>
        <v>NS</v>
      </c>
      <c r="D61" s="142" t="str">
        <f t="shared" si="68"/>
        <v>NS</v>
      </c>
      <c r="E61" s="142" t="str">
        <f t="shared" si="68"/>
        <v>NS</v>
      </c>
      <c r="F61" s="142" t="str">
        <f t="shared" si="68"/>
        <v>*</v>
      </c>
      <c r="G61" s="142" t="str">
        <f t="shared" si="68"/>
        <v>**</v>
      </c>
      <c r="H61" s="142" t="str">
        <f t="shared" si="68"/>
        <v>***</v>
      </c>
      <c r="I61" s="142" t="str">
        <f t="shared" si="68"/>
        <v>NS</v>
      </c>
      <c r="J61" s="142" t="str">
        <f t="shared" si="68"/>
        <v>NS</v>
      </c>
      <c r="K61" s="142" t="str">
        <f t="shared" si="68"/>
        <v>NS</v>
      </c>
      <c r="L61" s="142" t="str">
        <f t="shared" si="68"/>
        <v>NS</v>
      </c>
      <c r="M61" s="142" t="str">
        <f t="shared" si="68"/>
        <v>NS</v>
      </c>
      <c r="N61" s="142"/>
      <c r="O61" s="142" t="str">
        <f t="shared" si="68"/>
        <v>***</v>
      </c>
      <c r="P61" s="142" t="str">
        <f>IF(P60&gt;0.05,"NS",IF(P60&gt;0.01,"*",IF(P60&gt;0.001,"**","***")))</f>
        <v>NS</v>
      </c>
      <c r="Q61" s="142" t="str">
        <f t="shared" ref="Q61:V61" si="69">IF(Q60&gt;0.05,"NS",IF(Q60&gt;0.01,"*",IF(Q60&gt;0.001,"**","***")))</f>
        <v>***</v>
      </c>
      <c r="R61" s="142" t="str">
        <f t="shared" si="69"/>
        <v>NS</v>
      </c>
      <c r="S61" s="142" t="str">
        <f t="shared" si="69"/>
        <v>NS</v>
      </c>
      <c r="T61" s="142" t="str">
        <f t="shared" si="69"/>
        <v>NS</v>
      </c>
      <c r="U61" s="142" t="str">
        <f t="shared" si="69"/>
        <v>NS</v>
      </c>
      <c r="V61" s="142" t="str">
        <f t="shared" si="69"/>
        <v>**</v>
      </c>
    </row>
    <row r="63" spans="1:22" x14ac:dyDescent="0.25">
      <c r="A63" s="2" t="s">
        <v>39</v>
      </c>
    </row>
    <row r="64" spans="1:22" x14ac:dyDescent="0.25">
      <c r="A64" s="1" t="s">
        <v>23</v>
      </c>
      <c r="B64" s="1">
        <f>B46+(3*B47)</f>
        <v>0.37360983176653872</v>
      </c>
    </row>
    <row r="65" spans="1:22" x14ac:dyDescent="0.25">
      <c r="A65" s="1" t="s">
        <v>24</v>
      </c>
      <c r="B65" s="1">
        <f>B46+(10*B47)</f>
        <v>1.0150016248061577</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97"/>
      <c r="S68" s="12"/>
      <c r="T68" s="12"/>
      <c r="U68" s="12"/>
      <c r="V68" s="12"/>
    </row>
    <row r="69" spans="1:22" ht="16.5" x14ac:dyDescent="0.25">
      <c r="A69" s="12"/>
      <c r="B69" s="197"/>
      <c r="C69" s="12"/>
      <c r="D69" s="12"/>
      <c r="E69" s="12"/>
      <c r="F69" s="12"/>
      <c r="I69" s="197"/>
      <c r="N69" s="12"/>
      <c r="O69" s="12"/>
      <c r="P69" s="12"/>
      <c r="Q69" s="12"/>
      <c r="R69" s="197"/>
      <c r="S69" s="12"/>
      <c r="T69" s="12"/>
      <c r="U69" s="12"/>
      <c r="V69" s="12"/>
    </row>
    <row r="70" spans="1:22" ht="16.5" x14ac:dyDescent="0.25">
      <c r="A70" s="12"/>
      <c r="B70" s="197"/>
      <c r="C70" s="12"/>
      <c r="D70" s="12"/>
      <c r="E70" s="12"/>
      <c r="F70" s="12"/>
      <c r="I70" s="197"/>
      <c r="N70" s="12"/>
      <c r="O70" s="12"/>
      <c r="P70" s="12"/>
      <c r="Q70" s="12"/>
      <c r="R70" s="197"/>
      <c r="S70" s="12"/>
      <c r="T70" s="12"/>
      <c r="U70" s="12"/>
      <c r="V70" s="12"/>
    </row>
    <row r="71" spans="1:22" ht="16.5" x14ac:dyDescent="0.25">
      <c r="A71" s="12"/>
      <c r="B71" s="197"/>
      <c r="C71" s="12"/>
      <c r="D71" s="12"/>
      <c r="E71" s="12"/>
      <c r="F71" s="12"/>
      <c r="I71" s="197"/>
      <c r="N71" s="12"/>
      <c r="O71" s="12"/>
      <c r="P71" s="12"/>
      <c r="Q71" s="12"/>
      <c r="R71" s="197"/>
      <c r="S71" s="12"/>
      <c r="T71" s="12"/>
      <c r="U71" s="12"/>
      <c r="V71" s="12"/>
    </row>
    <row r="72" spans="1:22" ht="16.5" x14ac:dyDescent="0.25">
      <c r="A72" s="12"/>
      <c r="B72" s="197"/>
      <c r="C72" s="12"/>
      <c r="D72" s="12"/>
      <c r="E72" s="12"/>
      <c r="F72" s="12"/>
      <c r="I72" s="197"/>
      <c r="N72" s="12"/>
      <c r="O72" s="12"/>
      <c r="P72" s="12"/>
      <c r="Q72" s="12"/>
      <c r="R72" s="197"/>
      <c r="S72" s="12"/>
      <c r="T72" s="12"/>
      <c r="U72" s="12"/>
      <c r="V72" s="12"/>
    </row>
    <row r="73" spans="1:22" ht="16.5" x14ac:dyDescent="0.25">
      <c r="A73" s="12"/>
      <c r="B73" s="197"/>
      <c r="C73" s="12"/>
      <c r="D73" s="12"/>
      <c r="E73" s="12"/>
      <c r="F73" s="12"/>
      <c r="I73" s="197"/>
      <c r="N73" s="12"/>
      <c r="O73" s="12"/>
      <c r="P73" s="12"/>
      <c r="Q73" s="12"/>
      <c r="R73" s="12"/>
      <c r="S73" s="12"/>
      <c r="T73" s="12"/>
      <c r="U73" s="12"/>
      <c r="V73" s="12"/>
    </row>
    <row r="74" spans="1:22" ht="16.5" x14ac:dyDescent="0.25">
      <c r="A74" s="12"/>
      <c r="B74" s="197"/>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L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1633</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2988</v>
      </c>
      <c r="D2" s="1" t="s">
        <v>1227</v>
      </c>
      <c r="E2" s="1" t="s">
        <v>2989</v>
      </c>
      <c r="F2" s="1" t="s">
        <v>112</v>
      </c>
      <c r="G2" s="1">
        <v>68697</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2990</v>
      </c>
      <c r="D3" s="1" t="s">
        <v>694</v>
      </c>
      <c r="E3" s="1" t="s">
        <v>2991</v>
      </c>
      <c r="F3" s="1" t="s">
        <v>112</v>
      </c>
      <c r="G3" s="1">
        <v>108128</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2992</v>
      </c>
      <c r="D4" s="1" t="s">
        <v>795</v>
      </c>
      <c r="E4" s="1" t="s">
        <v>2993</v>
      </c>
      <c r="F4" s="1" t="s">
        <v>112</v>
      </c>
      <c r="G4" s="1">
        <v>58466</v>
      </c>
      <c r="K4" s="118" t="s">
        <v>100</v>
      </c>
      <c r="L4" s="1" t="s">
        <v>1634</v>
      </c>
      <c r="M4" s="1" t="s">
        <v>1635</v>
      </c>
      <c r="N4" s="1" t="s">
        <v>1636</v>
      </c>
      <c r="O4" s="1" t="s">
        <v>1637</v>
      </c>
      <c r="P4" s="1" t="s">
        <v>1638</v>
      </c>
      <c r="Q4" s="1" t="s">
        <v>1639</v>
      </c>
      <c r="R4" s="1" t="s">
        <v>1640</v>
      </c>
      <c r="S4" s="1" t="s">
        <v>1641</v>
      </c>
      <c r="T4" s="1" t="s">
        <v>1642</v>
      </c>
      <c r="U4" s="1" t="s">
        <v>1643</v>
      </c>
      <c r="V4" s="1" t="s">
        <v>1644</v>
      </c>
      <c r="W4" s="1" t="s">
        <v>1645</v>
      </c>
      <c r="X4" s="1" t="s">
        <v>2978</v>
      </c>
      <c r="Y4" s="1" t="s">
        <v>2979</v>
      </c>
      <c r="Z4" s="1" t="s">
        <v>2980</v>
      </c>
      <c r="AA4" s="1" t="s">
        <v>2981</v>
      </c>
      <c r="AB4" s="1" t="s">
        <v>2982</v>
      </c>
      <c r="AC4" s="1" t="s">
        <v>2983</v>
      </c>
      <c r="AD4" s="1" t="s">
        <v>2984</v>
      </c>
      <c r="AE4" s="1" t="s">
        <v>2985</v>
      </c>
      <c r="AF4" s="1" t="s">
        <v>2986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2994</v>
      </c>
      <c r="D5" s="1" t="s">
        <v>186</v>
      </c>
      <c r="E5" s="1" t="s">
        <v>1740</v>
      </c>
      <c r="F5" s="1" t="s">
        <v>112</v>
      </c>
      <c r="G5" s="1">
        <v>11031</v>
      </c>
      <c r="K5" s="145" t="s">
        <v>164</v>
      </c>
      <c r="L5" s="44">
        <v>78430.333333333328</v>
      </c>
      <c r="M5" s="44">
        <v>258773</v>
      </c>
      <c r="N5" s="44">
        <v>533421.66666666663</v>
      </c>
      <c r="O5" s="44">
        <v>467371.66666666669</v>
      </c>
      <c r="P5" s="44">
        <v>546753.66666666663</v>
      </c>
      <c r="Q5" s="44">
        <v>2264102</v>
      </c>
      <c r="R5" s="44">
        <v>2458828.6666666665</v>
      </c>
      <c r="S5" s="44">
        <v>134841</v>
      </c>
      <c r="T5" s="44">
        <v>269292.33333333331</v>
      </c>
      <c r="U5" s="44">
        <v>473291</v>
      </c>
      <c r="V5" s="44">
        <v>52849</v>
      </c>
      <c r="W5" s="44">
        <v>509881.66666666669</v>
      </c>
      <c r="X5" s="44">
        <v>389943.66666666669</v>
      </c>
      <c r="Y5" s="44">
        <v>2731387</v>
      </c>
      <c r="Z5" s="44">
        <v>3219054.6666666665</v>
      </c>
      <c r="AA5" s="44">
        <v>145403.33333333334</v>
      </c>
      <c r="AB5" s="44">
        <v>1843501.3333333333</v>
      </c>
      <c r="AC5" s="44">
        <v>2860762.6666666665</v>
      </c>
      <c r="AD5" s="44">
        <v>2665466.3333333335</v>
      </c>
      <c r="AE5" s="44"/>
      <c r="AF5" s="44">
        <v>3271074.3333333335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2995</v>
      </c>
      <c r="D6" s="1" t="s">
        <v>945</v>
      </c>
      <c r="E6" s="1">
        <v>61</v>
      </c>
      <c r="F6" s="1" t="s">
        <v>112</v>
      </c>
      <c r="G6" s="1">
        <v>5278</v>
      </c>
      <c r="K6" s="145" t="s">
        <v>1655</v>
      </c>
      <c r="L6" s="44">
        <v>42337</v>
      </c>
      <c r="M6" s="44">
        <v>42683</v>
      </c>
      <c r="N6" s="44">
        <v>20988</v>
      </c>
      <c r="O6" s="44">
        <v>477047.33333333331</v>
      </c>
      <c r="P6" s="44">
        <v>928434.33333333337</v>
      </c>
      <c r="Q6" s="44">
        <v>3525507</v>
      </c>
      <c r="R6" s="44">
        <v>7670804</v>
      </c>
      <c r="S6" s="44">
        <v>549031.5</v>
      </c>
      <c r="T6" s="44">
        <v>30736</v>
      </c>
      <c r="U6" s="44">
        <v>51075.333333333336</v>
      </c>
      <c r="V6" s="44">
        <v>62798.666666666664</v>
      </c>
      <c r="W6" s="44">
        <v>553898</v>
      </c>
      <c r="X6" s="44">
        <v>791142.33333333337</v>
      </c>
      <c r="Y6" s="44">
        <v>2115512</v>
      </c>
      <c r="Z6" s="44">
        <v>688090.33333333337</v>
      </c>
      <c r="AA6" s="44">
        <v>344210.66666666669</v>
      </c>
      <c r="AB6" s="44">
        <v>1621269</v>
      </c>
      <c r="AC6" s="44">
        <v>3043420</v>
      </c>
      <c r="AD6" s="44">
        <v>1766297.3333333333</v>
      </c>
      <c r="AE6" s="44">
        <v>1371876.3333333333</v>
      </c>
      <c r="AF6" s="44">
        <v>3255068.3333333335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2996</v>
      </c>
      <c r="D7" s="1" t="s">
        <v>2997</v>
      </c>
      <c r="E7" s="1" t="s">
        <v>2998</v>
      </c>
      <c r="F7" s="1" t="s">
        <v>112</v>
      </c>
      <c r="G7" s="1">
        <v>110702</v>
      </c>
      <c r="K7" s="145" t="s">
        <v>1656</v>
      </c>
      <c r="L7" s="44">
        <v>65668.333333333328</v>
      </c>
      <c r="M7" s="44">
        <v>212030.66666666666</v>
      </c>
      <c r="N7" s="44">
        <v>174517.33333333334</v>
      </c>
      <c r="O7" s="44">
        <v>342617.66666666669</v>
      </c>
      <c r="P7" s="44">
        <v>476701.33333333331</v>
      </c>
      <c r="Q7" s="44">
        <v>3225132.6666666665</v>
      </c>
      <c r="R7" s="44">
        <v>7459920</v>
      </c>
      <c r="S7" s="44">
        <v>72041.666666666672</v>
      </c>
      <c r="T7" s="44">
        <v>137231</v>
      </c>
      <c r="U7" s="44">
        <v>931715</v>
      </c>
      <c r="V7" s="44">
        <v>51630.666666666664</v>
      </c>
      <c r="W7" s="44">
        <v>318853.33333333331</v>
      </c>
      <c r="X7" s="44">
        <v>2991522.6666666665</v>
      </c>
      <c r="Y7" s="44">
        <v>3629972</v>
      </c>
      <c r="Z7" s="44">
        <v>76317.333333333328</v>
      </c>
      <c r="AA7" s="44">
        <v>44666</v>
      </c>
      <c r="AB7" s="44">
        <v>1880301.3333333333</v>
      </c>
      <c r="AC7" s="44">
        <v>3438064.6666666665</v>
      </c>
      <c r="AD7" s="44">
        <v>298312.33333333331</v>
      </c>
      <c r="AE7" s="44">
        <v>4312179</v>
      </c>
      <c r="AF7" s="44">
        <v>3312748.3333333335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2999</v>
      </c>
      <c r="D8" s="1" t="s">
        <v>372</v>
      </c>
      <c r="E8" s="1" t="s">
        <v>3000</v>
      </c>
      <c r="F8" s="1" t="s">
        <v>112</v>
      </c>
      <c r="G8" s="1">
        <v>52171</v>
      </c>
      <c r="K8" s="145" t="s">
        <v>1657</v>
      </c>
      <c r="L8" s="44">
        <v>360938</v>
      </c>
      <c r="M8" s="44">
        <v>323378</v>
      </c>
      <c r="N8" s="44">
        <v>170508.5</v>
      </c>
      <c r="O8" s="44">
        <v>207939</v>
      </c>
      <c r="P8" s="44">
        <v>2740219.3333333335</v>
      </c>
      <c r="Q8" s="44">
        <v>1210387.3333333333</v>
      </c>
      <c r="R8" s="44">
        <v>4998957</v>
      </c>
      <c r="S8" s="44">
        <v>84861.333333333328</v>
      </c>
      <c r="T8" s="44">
        <v>436145</v>
      </c>
      <c r="U8" s="44">
        <v>154329.33333333334</v>
      </c>
      <c r="V8" s="44">
        <v>206082.33333333334</v>
      </c>
      <c r="W8" s="44">
        <v>448236.33333333331</v>
      </c>
      <c r="X8" s="44">
        <v>1367168</v>
      </c>
      <c r="Y8" s="44">
        <v>2218117</v>
      </c>
      <c r="Z8" s="44">
        <v>1902558.3333333333</v>
      </c>
      <c r="AA8" s="44">
        <v>345357.33333333331</v>
      </c>
      <c r="AB8" s="44">
        <v>1062727.3333333333</v>
      </c>
      <c r="AC8" s="44">
        <v>267331</v>
      </c>
      <c r="AD8" s="44">
        <v>2720067.6666666665</v>
      </c>
      <c r="AE8" s="44">
        <v>2193502</v>
      </c>
      <c r="AF8" s="44">
        <v>1845448</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3001</v>
      </c>
      <c r="D9" s="1" t="s">
        <v>1808</v>
      </c>
      <c r="E9" s="1" t="s">
        <v>3002</v>
      </c>
      <c r="F9" s="1" t="s">
        <v>112</v>
      </c>
      <c r="G9" s="1">
        <v>81869</v>
      </c>
      <c r="K9" s="145" t="s">
        <v>1658</v>
      </c>
      <c r="L9" s="44">
        <v>53779</v>
      </c>
      <c r="M9" s="44">
        <v>306517.33333333331</v>
      </c>
      <c r="N9" s="44">
        <v>106952.33333333333</v>
      </c>
      <c r="O9" s="44">
        <v>230531.5</v>
      </c>
      <c r="P9" s="44">
        <v>2037427.6666666667</v>
      </c>
      <c r="Q9" s="44">
        <v>1857337.6666666667</v>
      </c>
      <c r="R9" s="44">
        <v>4028546.3333333335</v>
      </c>
      <c r="S9" s="44">
        <v>192030.33333333334</v>
      </c>
      <c r="T9" s="44">
        <v>198353.33333333334</v>
      </c>
      <c r="U9" s="44">
        <v>169708</v>
      </c>
      <c r="V9" s="44">
        <v>120918.33333333333</v>
      </c>
      <c r="W9" s="44">
        <v>278290</v>
      </c>
      <c r="X9" s="44">
        <v>2163811.6666666665</v>
      </c>
      <c r="Y9" s="44">
        <v>754529.66666666663</v>
      </c>
      <c r="Z9" s="44">
        <v>2676267</v>
      </c>
      <c r="AA9" s="44">
        <v>311456</v>
      </c>
      <c r="AB9" s="44"/>
      <c r="AC9" s="44">
        <v>3306634</v>
      </c>
      <c r="AD9" s="44">
        <v>3541397.6666666665</v>
      </c>
      <c r="AE9" s="44">
        <v>2767170</v>
      </c>
      <c r="AF9" s="44">
        <v>3168246</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3003</v>
      </c>
      <c r="D10" s="1" t="s">
        <v>1242</v>
      </c>
      <c r="E10" s="1" t="s">
        <v>3004</v>
      </c>
      <c r="F10" s="1" t="s">
        <v>112</v>
      </c>
      <c r="G10" s="1">
        <v>62965</v>
      </c>
      <c r="K10" s="145" t="s">
        <v>1659</v>
      </c>
      <c r="L10" s="44">
        <v>21781.333333333332</v>
      </c>
      <c r="M10" s="44">
        <v>65704.333333333328</v>
      </c>
      <c r="N10" s="44">
        <v>120528.66666666667</v>
      </c>
      <c r="O10" s="44">
        <v>655544.33333333337</v>
      </c>
      <c r="P10" s="44">
        <v>1294625</v>
      </c>
      <c r="Q10" s="44">
        <v>1558614</v>
      </c>
      <c r="R10" s="44">
        <v>4152204.3333333335</v>
      </c>
      <c r="S10" s="44">
        <v>211746</v>
      </c>
      <c r="T10" s="44">
        <v>186435.33333333334</v>
      </c>
      <c r="U10" s="44">
        <v>234879</v>
      </c>
      <c r="V10" s="44">
        <v>1100990.6666666667</v>
      </c>
      <c r="W10" s="44">
        <v>126599.66666666667</v>
      </c>
      <c r="X10" s="44">
        <v>2344752.6666666665</v>
      </c>
      <c r="Y10" s="44">
        <v>181395.33333333334</v>
      </c>
      <c r="Z10" s="44">
        <v>2969979.3333333335</v>
      </c>
      <c r="AA10" s="44">
        <v>22033.666666666668</v>
      </c>
      <c r="AB10" s="44">
        <v>2684306</v>
      </c>
      <c r="AC10" s="44">
        <v>1510177.6666666667</v>
      </c>
      <c r="AD10" s="44">
        <v>2555983</v>
      </c>
      <c r="AE10" s="44">
        <v>3519111.6666666665</v>
      </c>
      <c r="AF10" s="44">
        <v>3770004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3005</v>
      </c>
      <c r="D11" s="1" t="s">
        <v>3006</v>
      </c>
      <c r="E11" s="1" t="s">
        <v>3007</v>
      </c>
      <c r="F11" s="1" t="s">
        <v>112</v>
      </c>
      <c r="G11" s="1">
        <v>344132</v>
      </c>
      <c r="K11" s="145" t="s">
        <v>1660</v>
      </c>
      <c r="L11" s="44">
        <v>302421.66666666669</v>
      </c>
      <c r="M11" s="44">
        <v>138691</v>
      </c>
      <c r="N11" s="44">
        <v>61508.333333333336</v>
      </c>
      <c r="O11" s="44"/>
      <c r="P11" s="44">
        <v>553040</v>
      </c>
      <c r="Q11" s="44">
        <v>2421575</v>
      </c>
      <c r="R11" s="44">
        <v>5171635.666666667</v>
      </c>
      <c r="S11" s="44">
        <v>182174</v>
      </c>
      <c r="T11" s="44">
        <v>302400.33333333331</v>
      </c>
      <c r="U11" s="44">
        <v>286459</v>
      </c>
      <c r="V11" s="44">
        <v>30974</v>
      </c>
      <c r="W11" s="44">
        <v>1076534.3333333333</v>
      </c>
      <c r="X11" s="44">
        <v>1201850.6666666667</v>
      </c>
      <c r="Y11" s="44">
        <v>2693945.6666666665</v>
      </c>
      <c r="Z11" s="44">
        <v>3317925.3333333335</v>
      </c>
      <c r="AA11" s="44">
        <v>26864.5</v>
      </c>
      <c r="AB11" s="44">
        <v>508800</v>
      </c>
      <c r="AC11" s="44">
        <v>1544901</v>
      </c>
      <c r="AD11" s="44">
        <v>1620598.3333333333</v>
      </c>
      <c r="AE11" s="44">
        <v>2921788</v>
      </c>
      <c r="AF11" s="44">
        <v>2062013.6666666667</v>
      </c>
      <c r="AG11"/>
    </row>
    <row r="12" spans="1:144" x14ac:dyDescent="0.25">
      <c r="A12" s="1" t="str">
        <f t="shared" si="0"/>
        <v>01 Evian +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3008</v>
      </c>
      <c r="K12" s="145" t="s">
        <v>1661</v>
      </c>
      <c r="L12" s="44"/>
      <c r="M12" s="44">
        <v>291217.33333333331</v>
      </c>
      <c r="N12" s="44">
        <v>66166</v>
      </c>
      <c r="O12" s="44">
        <v>246970.33333333334</v>
      </c>
      <c r="P12" s="44">
        <v>1122266.6666666667</v>
      </c>
      <c r="Q12" s="44">
        <v>4593980.666666667</v>
      </c>
      <c r="R12" s="44">
        <v>4773047.333333333</v>
      </c>
      <c r="S12" s="44">
        <v>335883.66666666669</v>
      </c>
      <c r="T12" s="44">
        <v>176017</v>
      </c>
      <c r="U12" s="44">
        <v>28407</v>
      </c>
      <c r="V12" s="44">
        <v>768993.33333333337</v>
      </c>
      <c r="W12" s="44">
        <v>18529.666666666668</v>
      </c>
      <c r="X12" s="44">
        <v>3660633</v>
      </c>
      <c r="Y12" s="44">
        <v>695660.66666666663</v>
      </c>
      <c r="Z12" s="44">
        <v>2499961.6666666665</v>
      </c>
      <c r="AA12" s="44">
        <v>37751</v>
      </c>
      <c r="AB12" s="44">
        <v>3049779</v>
      </c>
      <c r="AC12" s="44">
        <v>653601.5</v>
      </c>
      <c r="AD12" s="44">
        <v>2108878.6666666665</v>
      </c>
      <c r="AE12" s="44">
        <v>2091318.5</v>
      </c>
      <c r="AF12" s="44">
        <v>3482204</v>
      </c>
      <c r="AG12"/>
    </row>
    <row r="13" spans="1:144" x14ac:dyDescent="0.25">
      <c r="A13" s="1" t="str">
        <f t="shared" si="0"/>
        <v>01 Evian +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3009</v>
      </c>
      <c r="D13" s="1" t="s">
        <v>740</v>
      </c>
      <c r="E13" s="1" t="s">
        <v>3010</v>
      </c>
      <c r="F13" s="1" t="s">
        <v>112</v>
      </c>
      <c r="G13" s="1">
        <v>377744</v>
      </c>
      <c r="K13"/>
      <c r="L13"/>
      <c r="M13"/>
      <c r="N13"/>
      <c r="O13"/>
      <c r="P13"/>
      <c r="Q13"/>
      <c r="R13"/>
      <c r="S13"/>
      <c r="T13"/>
      <c r="U13"/>
      <c r="V13"/>
      <c r="W13"/>
      <c r="X13"/>
      <c r="Y13"/>
      <c r="Z13"/>
      <c r="AA13"/>
      <c r="AB13"/>
      <c r="AC13"/>
      <c r="AD13"/>
      <c r="AE13"/>
      <c r="AF13"/>
      <c r="AG13"/>
    </row>
    <row r="14" spans="1:144" x14ac:dyDescent="0.25">
      <c r="A14" s="1" t="str">
        <f t="shared" si="0"/>
        <v>01 Evian +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3011</v>
      </c>
      <c r="D14" s="1" t="s">
        <v>1236</v>
      </c>
      <c r="E14" s="1" t="s">
        <v>3012</v>
      </c>
      <c r="F14" s="1" t="s">
        <v>112</v>
      </c>
      <c r="G14" s="1">
        <v>77478</v>
      </c>
      <c r="K14"/>
      <c r="L14"/>
      <c r="M14"/>
      <c r="N14"/>
      <c r="O14"/>
      <c r="P14"/>
      <c r="Q14"/>
      <c r="R14"/>
      <c r="S14"/>
      <c r="T14"/>
      <c r="U14"/>
      <c r="V14"/>
      <c r="W14"/>
      <c r="X14"/>
      <c r="Y14"/>
      <c r="Z14"/>
      <c r="AA14"/>
      <c r="AB14"/>
      <c r="AC14"/>
      <c r="AD14"/>
      <c r="AE14"/>
      <c r="AF14"/>
      <c r="AG14"/>
    </row>
    <row r="15" spans="1:144" x14ac:dyDescent="0.25">
      <c r="A15" s="1" t="str">
        <f t="shared" si="0"/>
        <v>01 Evian +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3013</v>
      </c>
      <c r="D15" s="1" t="s">
        <v>333</v>
      </c>
      <c r="E15" s="1" t="s">
        <v>3014</v>
      </c>
      <c r="F15" s="1" t="s">
        <v>112</v>
      </c>
      <c r="G15" s="1">
        <v>50419</v>
      </c>
    </row>
    <row r="16" spans="1:144" x14ac:dyDescent="0.25">
      <c r="A16" s="1" t="str">
        <f t="shared" si="0"/>
        <v>01 Evian +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3015</v>
      </c>
      <c r="D16" s="1" t="s">
        <v>884</v>
      </c>
      <c r="E16" s="1" t="s">
        <v>3016</v>
      </c>
      <c r="F16" s="1" t="s">
        <v>112</v>
      </c>
      <c r="G16" s="1">
        <v>33440</v>
      </c>
    </row>
    <row r="17" spans="1:10" x14ac:dyDescent="0.25">
      <c r="A17" s="1" t="str">
        <f t="shared" si="0"/>
        <v>01 Evian +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3017</v>
      </c>
      <c r="D17" s="1" t="s">
        <v>182</v>
      </c>
      <c r="E17" s="1" t="s">
        <v>3018</v>
      </c>
      <c r="F17" s="1" t="s">
        <v>112</v>
      </c>
      <c r="G17" s="1">
        <v>25653</v>
      </c>
    </row>
    <row r="18" spans="1:10" x14ac:dyDescent="0.25">
      <c r="A18" s="1" t="str">
        <f t="shared" si="0"/>
        <v>01 Evian +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3019</v>
      </c>
      <c r="D18" s="1" t="s">
        <v>173</v>
      </c>
      <c r="E18" s="1" t="s">
        <v>3020</v>
      </c>
      <c r="F18" s="1" t="s">
        <v>112</v>
      </c>
      <c r="G18" s="1">
        <v>19359</v>
      </c>
    </row>
    <row r="19" spans="1:10" x14ac:dyDescent="0.25">
      <c r="A19" s="1" t="str">
        <f t="shared" si="0"/>
        <v>01 Evian +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3021</v>
      </c>
      <c r="D19" s="1" t="s">
        <v>176</v>
      </c>
      <c r="E19" s="1" t="s">
        <v>3022</v>
      </c>
      <c r="F19" s="1" t="s">
        <v>112</v>
      </c>
      <c r="G19" s="1">
        <v>20332</v>
      </c>
    </row>
    <row r="20" spans="1:10" x14ac:dyDescent="0.25">
      <c r="A20" s="1" t="str">
        <f t="shared" si="0"/>
        <v>01 Evian +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3023</v>
      </c>
      <c r="D20" s="1" t="s">
        <v>2644</v>
      </c>
      <c r="E20" s="1">
        <v>65</v>
      </c>
      <c r="F20" s="1" t="s">
        <v>112</v>
      </c>
      <c r="G20" s="1">
        <v>194020</v>
      </c>
    </row>
    <row r="21" spans="1:10" x14ac:dyDescent="0.25">
      <c r="A21" s="1" t="str">
        <f t="shared" si="0"/>
        <v>01 Evian +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3024</v>
      </c>
      <c r="D21" s="1" t="s">
        <v>3025</v>
      </c>
      <c r="E21" s="1" t="s">
        <v>3026</v>
      </c>
      <c r="F21" s="1" t="s">
        <v>112</v>
      </c>
      <c r="G21" s="1">
        <v>316207</v>
      </c>
    </row>
    <row r="22" spans="1:10" x14ac:dyDescent="0.25">
      <c r="A22" s="1" t="str">
        <f t="shared" si="0"/>
        <v>01 Evian +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3027</v>
      </c>
      <c r="D22" s="1" t="s">
        <v>3028</v>
      </c>
      <c r="E22" s="1" t="s">
        <v>3029</v>
      </c>
      <c r="F22" s="1" t="s">
        <v>112</v>
      </c>
      <c r="G22" s="1">
        <v>397038</v>
      </c>
    </row>
    <row r="23" spans="1:10" x14ac:dyDescent="0.25">
      <c r="A23" s="1" t="str">
        <f t="shared" si="0"/>
        <v>01 Evian +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3030</v>
      </c>
    </row>
    <row r="24" spans="1:10" x14ac:dyDescent="0.25">
      <c r="A24" s="1" t="str">
        <f t="shared" si="0"/>
        <v>01 Evian +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3031</v>
      </c>
    </row>
    <row r="25" spans="1:10" x14ac:dyDescent="0.25">
      <c r="A25" s="1" t="str">
        <f t="shared" si="0"/>
        <v>01 Evian +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3032</v>
      </c>
    </row>
    <row r="26" spans="1:10"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240</v>
      </c>
      <c r="D27" s="1" t="s">
        <v>112</v>
      </c>
      <c r="E27" s="1" t="s">
        <v>241</v>
      </c>
      <c r="F27" s="1" t="s">
        <v>242</v>
      </c>
      <c r="G27" s="1" t="s">
        <v>243</v>
      </c>
      <c r="H27" s="1" t="s">
        <v>244</v>
      </c>
      <c r="I27" s="1" t="s">
        <v>245</v>
      </c>
      <c r="J27" s="1" t="s">
        <v>246</v>
      </c>
    </row>
    <row r="28" spans="1:10" x14ac:dyDescent="0.25">
      <c r="A28" s="1" t="str">
        <f t="shared" si="0"/>
        <v>01 Evian +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3033</v>
      </c>
      <c r="D28" s="1" t="s">
        <v>112</v>
      </c>
      <c r="E28" s="1" t="s">
        <v>3034</v>
      </c>
      <c r="F28" s="1" t="s">
        <v>3035</v>
      </c>
      <c r="G28" s="1" t="s">
        <v>3036</v>
      </c>
      <c r="H28" s="1" t="s">
        <v>3037</v>
      </c>
      <c r="I28" s="1">
        <v>24</v>
      </c>
      <c r="J28" s="1">
        <v>24</v>
      </c>
    </row>
    <row r="29" spans="1:10"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252</v>
      </c>
      <c r="D34" s="1" t="s">
        <v>110</v>
      </c>
      <c r="E34" s="1" t="s">
        <v>111</v>
      </c>
      <c r="F34" s="1" t="s">
        <v>112</v>
      </c>
      <c r="G34" s="1" t="s">
        <v>113</v>
      </c>
    </row>
    <row r="35" spans="1:7" x14ac:dyDescent="0.25">
      <c r="A35" s="1" t="str">
        <f t="shared" si="0"/>
        <v>02 EE2 33.8 ng_L</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3038</v>
      </c>
      <c r="D35" s="1" t="s">
        <v>189</v>
      </c>
      <c r="E35" s="1" t="s">
        <v>3039</v>
      </c>
      <c r="F35" s="1" t="s">
        <v>112</v>
      </c>
      <c r="G35" s="1">
        <v>221858</v>
      </c>
    </row>
    <row r="36" spans="1:7" x14ac:dyDescent="0.25">
      <c r="A36" s="1" t="str">
        <f t="shared" si="0"/>
        <v>02 EE2 33.8 ng_L</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3040</v>
      </c>
      <c r="D36" s="1" t="s">
        <v>306</v>
      </c>
      <c r="E36" s="1" t="s">
        <v>3041</v>
      </c>
      <c r="F36" s="1" t="s">
        <v>112</v>
      </c>
      <c r="G36" s="1">
        <v>214374</v>
      </c>
    </row>
    <row r="37" spans="1:7" x14ac:dyDescent="0.25">
      <c r="A37" s="1" t="str">
        <f t="shared" si="0"/>
        <v>02 EE2 33.8 ng_L</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3042</v>
      </c>
      <c r="D37" s="1" t="s">
        <v>1700</v>
      </c>
      <c r="E37" s="1" t="s">
        <v>3043</v>
      </c>
      <c r="F37" s="1" t="s">
        <v>112</v>
      </c>
      <c r="G37" s="1">
        <v>340087</v>
      </c>
    </row>
    <row r="38" spans="1:7" x14ac:dyDescent="0.25">
      <c r="A38" s="1" t="str">
        <f t="shared" si="0"/>
        <v>02 EE2 33.8 ng_L</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3044</v>
      </c>
      <c r="D38" s="1" t="s">
        <v>416</v>
      </c>
      <c r="E38" s="1" t="s">
        <v>3045</v>
      </c>
      <c r="F38" s="1" t="s">
        <v>112</v>
      </c>
      <c r="G38" s="1">
        <v>23555</v>
      </c>
    </row>
    <row r="39" spans="1:7" x14ac:dyDescent="0.25">
      <c r="A39" s="1" t="str">
        <f t="shared" si="0"/>
        <v>02 EE2 33.8 ng_L</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3046</v>
      </c>
      <c r="D39" s="1" t="s">
        <v>267</v>
      </c>
      <c r="E39" s="1" t="s">
        <v>3047</v>
      </c>
      <c r="F39" s="1" t="s">
        <v>112</v>
      </c>
      <c r="G39" s="1">
        <v>70838</v>
      </c>
    </row>
    <row r="40" spans="1:7" x14ac:dyDescent="0.25">
      <c r="A40" s="1" t="str">
        <f t="shared" si="0"/>
        <v>02 EE2 33.8 ng_L</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3048</v>
      </c>
      <c r="D40" s="1" t="s">
        <v>289</v>
      </c>
      <c r="E40" s="1" t="s">
        <v>3049</v>
      </c>
      <c r="F40" s="1" t="s">
        <v>112</v>
      </c>
      <c r="G40" s="1">
        <v>33656</v>
      </c>
    </row>
    <row r="41" spans="1:7" x14ac:dyDescent="0.25">
      <c r="A41" s="1" t="str">
        <f t="shared" si="0"/>
        <v>02 EE2 33.8 ng_L</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3050</v>
      </c>
      <c r="D41" s="1" t="s">
        <v>1980</v>
      </c>
      <c r="E41" s="1" t="s">
        <v>3051</v>
      </c>
      <c r="F41" s="1" t="s">
        <v>112</v>
      </c>
      <c r="G41" s="1">
        <v>269379</v>
      </c>
    </row>
    <row r="42" spans="1:7" x14ac:dyDescent="0.25">
      <c r="A42" s="1" t="str">
        <f t="shared" si="0"/>
        <v>02 EE2 33.8 ng_L</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3052</v>
      </c>
      <c r="D42" s="1" t="s">
        <v>694</v>
      </c>
      <c r="E42" s="1" t="s">
        <v>3053</v>
      </c>
      <c r="F42" s="1" t="s">
        <v>112</v>
      </c>
      <c r="G42" s="1">
        <v>108777</v>
      </c>
    </row>
    <row r="43" spans="1:7" x14ac:dyDescent="0.25">
      <c r="A43" s="1" t="str">
        <f t="shared" si="0"/>
        <v>02 EE2 33.8 ng_L</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3054</v>
      </c>
      <c r="D43" s="1" t="s">
        <v>764</v>
      </c>
      <c r="E43" s="1" t="s">
        <v>2398</v>
      </c>
      <c r="F43" s="1" t="s">
        <v>112</v>
      </c>
      <c r="G43" s="1">
        <v>257936</v>
      </c>
    </row>
    <row r="44" spans="1:7" x14ac:dyDescent="0.25">
      <c r="A44" s="1" t="str">
        <f t="shared" si="0"/>
        <v>02 EE2 33.8 ng_L</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3055</v>
      </c>
    </row>
    <row r="45" spans="1:7" x14ac:dyDescent="0.25">
      <c r="A45" s="1" t="str">
        <f t="shared" si="0"/>
        <v>02 EE2 33.8 ng_L</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3056</v>
      </c>
      <c r="D45" s="1" t="s">
        <v>3057</v>
      </c>
      <c r="E45" s="1" t="s">
        <v>3058</v>
      </c>
      <c r="F45" s="1" t="s">
        <v>112</v>
      </c>
      <c r="G45" s="1">
        <v>301586</v>
      </c>
    </row>
    <row r="46" spans="1:7" x14ac:dyDescent="0.25">
      <c r="A46" s="1" t="str">
        <f t="shared" si="0"/>
        <v>02 EE2 33.8 ng_L</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3059</v>
      </c>
      <c r="D46" s="1" t="s">
        <v>299</v>
      </c>
      <c r="E46" s="1" t="s">
        <v>3060</v>
      </c>
      <c r="F46" s="1" t="s">
        <v>112</v>
      </c>
      <c r="G46" s="1">
        <v>345170</v>
      </c>
    </row>
    <row r="47" spans="1:7" x14ac:dyDescent="0.25">
      <c r="A47" s="1" t="str">
        <f t="shared" si="0"/>
        <v>02 EE2 33.8 ng_L</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3061</v>
      </c>
      <c r="D47" s="1" t="s">
        <v>3062</v>
      </c>
      <c r="E47" s="1" t="s">
        <v>3063</v>
      </c>
      <c r="F47" s="1" t="s">
        <v>112</v>
      </c>
      <c r="G47" s="1">
        <v>307036</v>
      </c>
    </row>
    <row r="48" spans="1:7" x14ac:dyDescent="0.25">
      <c r="A48" s="1" t="str">
        <f t="shared" si="0"/>
        <v>02 EE2 33.8 ng_L</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3064</v>
      </c>
      <c r="D48" s="1" t="s">
        <v>767</v>
      </c>
      <c r="E48" s="1" t="s">
        <v>3065</v>
      </c>
      <c r="F48" s="1" t="s">
        <v>112</v>
      </c>
      <c r="G48" s="1">
        <v>427645</v>
      </c>
    </row>
    <row r="49" spans="1:10" x14ac:dyDescent="0.25">
      <c r="A49" s="1" t="str">
        <f t="shared" si="0"/>
        <v>02 EE2 33.8 ng_L</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3066</v>
      </c>
      <c r="D49" s="1" t="s">
        <v>3067</v>
      </c>
      <c r="E49" s="1" t="s">
        <v>348</v>
      </c>
      <c r="F49" s="1" t="s">
        <v>112</v>
      </c>
      <c r="G49" s="1">
        <v>184871</v>
      </c>
    </row>
    <row r="50" spans="1:10" x14ac:dyDescent="0.25">
      <c r="A50" s="1" t="str">
        <f t="shared" si="0"/>
        <v>02 EE2 33.8 ng_L</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3068</v>
      </c>
      <c r="D50" s="1" t="s">
        <v>964</v>
      </c>
      <c r="E50" s="1" t="s">
        <v>3069</v>
      </c>
      <c r="F50" s="1" t="s">
        <v>112</v>
      </c>
      <c r="G50" s="1">
        <v>71573</v>
      </c>
    </row>
    <row r="51" spans="1:10" x14ac:dyDescent="0.25">
      <c r="A51" s="1" t="str">
        <f t="shared" si="0"/>
        <v>02 EE2 33.8 ng_L</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3070</v>
      </c>
      <c r="D51" s="1" t="s">
        <v>273</v>
      </c>
      <c r="E51" s="1" t="s">
        <v>3071</v>
      </c>
      <c r="F51" s="1" t="s">
        <v>112</v>
      </c>
      <c r="G51" s="1">
        <v>46634</v>
      </c>
    </row>
    <row r="52" spans="1:10" x14ac:dyDescent="0.25">
      <c r="A52" s="1" t="str">
        <f t="shared" si="0"/>
        <v>02 EE2 33.8 ng_L</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3072</v>
      </c>
      <c r="D52" s="1" t="s">
        <v>3073</v>
      </c>
      <c r="E52" s="1" t="s">
        <v>3074</v>
      </c>
      <c r="F52" s="1" t="s">
        <v>112</v>
      </c>
      <c r="G52" s="1">
        <v>78906</v>
      </c>
    </row>
    <row r="53" spans="1:10" x14ac:dyDescent="0.25">
      <c r="A53" s="1" t="str">
        <f t="shared" si="0"/>
        <v>02 EE2 33.8 ng_L</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3075</v>
      </c>
      <c r="D53" s="1" t="s">
        <v>259</v>
      </c>
      <c r="E53" s="1" t="s">
        <v>3076</v>
      </c>
      <c r="F53" s="1" t="s">
        <v>112</v>
      </c>
      <c r="G53" s="1">
        <v>253027</v>
      </c>
    </row>
    <row r="54" spans="1:10" x14ac:dyDescent="0.25">
      <c r="A54" s="1" t="str">
        <f t="shared" si="0"/>
        <v>02 EE2 33.8 ng_L</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3077</v>
      </c>
    </row>
    <row r="55" spans="1:10" x14ac:dyDescent="0.25">
      <c r="A55" s="1" t="str">
        <f t="shared" si="0"/>
        <v>02 EE2 33.8 ng_L</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3078</v>
      </c>
      <c r="D55" s="1" t="s">
        <v>239</v>
      </c>
      <c r="E55" s="1" t="s">
        <v>3079</v>
      </c>
      <c r="F55" s="1" t="s">
        <v>112</v>
      </c>
      <c r="G55" s="1">
        <v>24355</v>
      </c>
    </row>
    <row r="56" spans="1:10" x14ac:dyDescent="0.25">
      <c r="A56" s="1" t="str">
        <f t="shared" si="0"/>
        <v>02 EE2 33.8 ng_L</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3080</v>
      </c>
      <c r="D56" s="1" t="s">
        <v>2378</v>
      </c>
      <c r="E56" s="1" t="s">
        <v>3081</v>
      </c>
      <c r="F56" s="1" t="s">
        <v>112</v>
      </c>
      <c r="G56" s="1">
        <v>158179</v>
      </c>
    </row>
    <row r="57" spans="1:10" x14ac:dyDescent="0.25">
      <c r="A57" s="1" t="str">
        <f t="shared" si="0"/>
        <v>02 EE2 33.8 ng_L</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3082</v>
      </c>
      <c r="D57" s="1" t="s">
        <v>860</v>
      </c>
      <c r="E57" s="1" t="s">
        <v>3083</v>
      </c>
      <c r="F57" s="1" t="s">
        <v>112</v>
      </c>
      <c r="G57" s="1">
        <v>665638</v>
      </c>
    </row>
    <row r="58" spans="1:10" x14ac:dyDescent="0.25">
      <c r="A58" s="1" t="str">
        <f t="shared" si="0"/>
        <v>02 EE2 33.8 ng_L</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3084</v>
      </c>
      <c r="D58" s="1" t="s">
        <v>333</v>
      </c>
      <c r="E58" s="1" t="s">
        <v>3085</v>
      </c>
      <c r="F58" s="1" t="s">
        <v>112</v>
      </c>
      <c r="G58" s="1">
        <v>49835</v>
      </c>
    </row>
    <row r="59" spans="1:10"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240</v>
      </c>
      <c r="D60" s="1" t="s">
        <v>112</v>
      </c>
      <c r="E60" s="1" t="s">
        <v>241</v>
      </c>
      <c r="F60" s="1" t="s">
        <v>242</v>
      </c>
      <c r="G60" s="1" t="s">
        <v>243</v>
      </c>
      <c r="H60" s="1" t="s">
        <v>244</v>
      </c>
      <c r="I60" s="1" t="s">
        <v>245</v>
      </c>
      <c r="J60" s="1" t="s">
        <v>246</v>
      </c>
    </row>
    <row r="61" spans="1:10" x14ac:dyDescent="0.25">
      <c r="A61" s="1" t="str">
        <f t="shared" si="0"/>
        <v>02 EE2 33.8 ng_L</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3086</v>
      </c>
      <c r="D61" s="1" t="s">
        <v>112</v>
      </c>
      <c r="E61" s="1" t="s">
        <v>3087</v>
      </c>
      <c r="F61" s="1" t="s">
        <v>3088</v>
      </c>
      <c r="G61" s="1" t="s">
        <v>3089</v>
      </c>
      <c r="H61" s="1" t="s">
        <v>3090</v>
      </c>
      <c r="I61" s="1">
        <v>24</v>
      </c>
      <c r="J61" s="1">
        <v>24</v>
      </c>
    </row>
    <row r="62" spans="1:10"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252</v>
      </c>
      <c r="D67" s="1" t="s">
        <v>110</v>
      </c>
      <c r="E67" s="1" t="s">
        <v>111</v>
      </c>
      <c r="F67" s="1" t="s">
        <v>112</v>
      </c>
      <c r="G67" s="1" t="s">
        <v>113</v>
      </c>
    </row>
    <row r="68" spans="1:7" x14ac:dyDescent="0.25">
      <c r="A68" s="1" t="str">
        <f t="shared" si="1"/>
        <v>03 EE2 50.6 ng_L</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3091</v>
      </c>
      <c r="D68" s="1" t="s">
        <v>3092</v>
      </c>
      <c r="E68" s="1" t="s">
        <v>3093</v>
      </c>
      <c r="F68" s="1" t="s">
        <v>112</v>
      </c>
      <c r="G68" s="1">
        <v>607605</v>
      </c>
    </row>
    <row r="69" spans="1:7" x14ac:dyDescent="0.25">
      <c r="A69" s="1" t="str">
        <f t="shared" si="1"/>
        <v>03 EE2 50.6 ng_L</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3094</v>
      </c>
      <c r="D69" s="1" t="s">
        <v>3095</v>
      </c>
      <c r="E69" s="1" t="s">
        <v>3096</v>
      </c>
      <c r="F69" s="1" t="s">
        <v>112</v>
      </c>
      <c r="G69" s="1">
        <v>676042</v>
      </c>
    </row>
    <row r="70" spans="1:7" x14ac:dyDescent="0.25">
      <c r="A70" s="1" t="str">
        <f t="shared" si="1"/>
        <v>03 EE2 50.6 ng_L</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3097</v>
      </c>
      <c r="D70" s="1" t="s">
        <v>2151</v>
      </c>
      <c r="E70" s="1" t="s">
        <v>3098</v>
      </c>
      <c r="F70" s="1" t="s">
        <v>112</v>
      </c>
      <c r="G70" s="1">
        <v>316618</v>
      </c>
    </row>
    <row r="71" spans="1:7" x14ac:dyDescent="0.25">
      <c r="A71" s="1" t="str">
        <f t="shared" si="1"/>
        <v>03 EE2 50.6 ng_L</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3099</v>
      </c>
      <c r="D71" s="1" t="s">
        <v>173</v>
      </c>
      <c r="E71" s="1" t="s">
        <v>3100</v>
      </c>
      <c r="F71" s="1" t="s">
        <v>112</v>
      </c>
      <c r="G71" s="1">
        <v>18818</v>
      </c>
    </row>
    <row r="72" spans="1:7" x14ac:dyDescent="0.25">
      <c r="A72" s="1" t="str">
        <f t="shared" si="1"/>
        <v>03 EE2 50.6 ng_L</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3101</v>
      </c>
      <c r="D72" s="1" t="s">
        <v>326</v>
      </c>
      <c r="E72" s="1" t="s">
        <v>3102</v>
      </c>
      <c r="F72" s="1" t="s">
        <v>112</v>
      </c>
      <c r="G72" s="1">
        <v>28270</v>
      </c>
    </row>
    <row r="73" spans="1:7" x14ac:dyDescent="0.25">
      <c r="A73" s="1" t="str">
        <f t="shared" si="1"/>
        <v>03 EE2 50.6 ng_L</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3103</v>
      </c>
      <c r="D73" s="1" t="s">
        <v>279</v>
      </c>
      <c r="E73" s="1" t="s">
        <v>3104</v>
      </c>
      <c r="F73" s="1" t="s">
        <v>112</v>
      </c>
      <c r="G73" s="1">
        <v>15876</v>
      </c>
    </row>
    <row r="74" spans="1:7" x14ac:dyDescent="0.25">
      <c r="A74" s="1" t="str">
        <f t="shared" si="1"/>
        <v>03 EE2 50.6 ng_L</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3105</v>
      </c>
      <c r="D74" s="1" t="s">
        <v>1825</v>
      </c>
      <c r="E74" s="1" t="s">
        <v>3106</v>
      </c>
      <c r="F74" s="1" t="s">
        <v>112</v>
      </c>
      <c r="G74" s="1">
        <v>248225</v>
      </c>
    </row>
    <row r="75" spans="1:7" x14ac:dyDescent="0.25">
      <c r="A75" s="1" t="str">
        <f t="shared" si="1"/>
        <v>03 EE2 50.6 ng_L</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3107</v>
      </c>
      <c r="D75" s="1" t="s">
        <v>863</v>
      </c>
      <c r="E75" s="1" t="s">
        <v>3108</v>
      </c>
      <c r="F75" s="1" t="s">
        <v>112</v>
      </c>
      <c r="G75" s="1">
        <v>27102</v>
      </c>
    </row>
    <row r="76" spans="1:7" x14ac:dyDescent="0.25">
      <c r="A76" s="1" t="str">
        <f t="shared" si="1"/>
        <v>03 EE2 50.6 ng_L</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3109</v>
      </c>
      <c r="D76" s="1" t="s">
        <v>2614</v>
      </c>
      <c r="E76" s="1" t="s">
        <v>3110</v>
      </c>
      <c r="F76" s="1" t="s">
        <v>112</v>
      </c>
      <c r="G76" s="1">
        <v>248225</v>
      </c>
    </row>
    <row r="77" spans="1:7" x14ac:dyDescent="0.25">
      <c r="A77" s="1" t="str">
        <f t="shared" si="1"/>
        <v>03 EE2 50.6 ng_L</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3111</v>
      </c>
      <c r="D77" s="1" t="s">
        <v>394</v>
      </c>
      <c r="E77" s="1" t="s">
        <v>3112</v>
      </c>
      <c r="F77" s="1" t="s">
        <v>112</v>
      </c>
      <c r="G77" s="1">
        <v>264274</v>
      </c>
    </row>
    <row r="78" spans="1:7" x14ac:dyDescent="0.25">
      <c r="A78" s="1" t="str">
        <f t="shared" si="1"/>
        <v>03 EE2 50.6 ng_L</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3113</v>
      </c>
      <c r="D78" s="1" t="s">
        <v>1236</v>
      </c>
      <c r="E78" s="1" t="s">
        <v>3114</v>
      </c>
      <c r="F78" s="1" t="s">
        <v>112</v>
      </c>
      <c r="G78" s="1">
        <v>76743</v>
      </c>
    </row>
    <row r="79" spans="1:7" x14ac:dyDescent="0.25">
      <c r="A79" s="1" t="str">
        <f t="shared" si="1"/>
        <v>03 EE2 50.6 ng_L</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3115</v>
      </c>
    </row>
    <row r="80" spans="1:7" x14ac:dyDescent="0.25">
      <c r="A80" s="1" t="str">
        <f t="shared" si="1"/>
        <v>03 EE2 50.6 ng_L</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3116</v>
      </c>
      <c r="D80" s="1" t="s">
        <v>822</v>
      </c>
      <c r="E80" s="1" t="s">
        <v>3117</v>
      </c>
      <c r="F80" s="1" t="s">
        <v>112</v>
      </c>
      <c r="G80" s="1">
        <v>124350</v>
      </c>
    </row>
    <row r="81" spans="1:10" x14ac:dyDescent="0.25">
      <c r="A81" s="1" t="str">
        <f t="shared" si="1"/>
        <v>03 EE2 50.6 ng_L</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3118</v>
      </c>
      <c r="D81" s="1" t="s">
        <v>267</v>
      </c>
      <c r="E81" s="1" t="s">
        <v>3119</v>
      </c>
      <c r="F81" s="1" t="s">
        <v>112</v>
      </c>
      <c r="G81" s="1">
        <v>68242</v>
      </c>
    </row>
    <row r="82" spans="1:10" x14ac:dyDescent="0.25">
      <c r="A82" s="1" t="str">
        <f t="shared" si="1"/>
        <v>03 EE2 50.6 ng_L</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3120</v>
      </c>
      <c r="D82" s="1" t="s">
        <v>825</v>
      </c>
      <c r="E82" s="1" t="s">
        <v>3121</v>
      </c>
      <c r="F82" s="1" t="s">
        <v>112</v>
      </c>
      <c r="G82" s="1">
        <v>128265</v>
      </c>
    </row>
    <row r="83" spans="1:10" x14ac:dyDescent="0.25">
      <c r="A83" s="1" t="str">
        <f t="shared" si="1"/>
        <v>03 EE2 50.6 ng_L</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3122</v>
      </c>
      <c r="D83" s="1" t="s">
        <v>3123</v>
      </c>
      <c r="E83" s="1" t="s">
        <v>3124</v>
      </c>
      <c r="F83" s="1" t="s">
        <v>112</v>
      </c>
      <c r="G83" s="1">
        <v>135511</v>
      </c>
    </row>
    <row r="84" spans="1:10" x14ac:dyDescent="0.25">
      <c r="A84" s="1" t="str">
        <f t="shared" si="1"/>
        <v>03 EE2 50.6 ng_L</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3125</v>
      </c>
      <c r="D84" s="1" t="s">
        <v>3126</v>
      </c>
      <c r="E84" s="1" t="s">
        <v>3127</v>
      </c>
      <c r="F84" s="1" t="s">
        <v>112</v>
      </c>
      <c r="G84" s="1">
        <v>119721</v>
      </c>
    </row>
    <row r="85" spans="1:10" x14ac:dyDescent="0.25">
      <c r="A85" s="1" t="str">
        <f t="shared" si="1"/>
        <v>03 EE2 50.6 ng_L</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3128</v>
      </c>
      <c r="D85" s="1" t="s">
        <v>3129</v>
      </c>
      <c r="E85" s="1" t="s">
        <v>3130</v>
      </c>
      <c r="F85" s="1" t="s">
        <v>112</v>
      </c>
      <c r="G85" s="1">
        <v>106354</v>
      </c>
    </row>
    <row r="86" spans="1:10" x14ac:dyDescent="0.25">
      <c r="A86" s="1" t="str">
        <f t="shared" si="1"/>
        <v>03 EE2 50.6 ng_L</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3131</v>
      </c>
      <c r="D86" s="1" t="s">
        <v>320</v>
      </c>
      <c r="E86" s="1" t="s">
        <v>3132</v>
      </c>
      <c r="F86" s="1" t="s">
        <v>112</v>
      </c>
      <c r="G86" s="1">
        <v>87926</v>
      </c>
    </row>
    <row r="87" spans="1:10" x14ac:dyDescent="0.25">
      <c r="A87" s="1" t="str">
        <f t="shared" si="1"/>
        <v>03 EE2 50.6 ng_L</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3133</v>
      </c>
      <c r="D87" s="1" t="s">
        <v>358</v>
      </c>
      <c r="E87" s="1" t="s">
        <v>344</v>
      </c>
      <c r="F87" s="1" t="s">
        <v>112</v>
      </c>
      <c r="G87" s="1">
        <v>34997</v>
      </c>
    </row>
    <row r="88" spans="1:10" x14ac:dyDescent="0.25">
      <c r="A88" s="1" t="str">
        <f t="shared" si="1"/>
        <v>03 EE2 50.6 ng_L</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3134</v>
      </c>
      <c r="D88" s="1" t="s">
        <v>1260</v>
      </c>
      <c r="E88" s="1" t="s">
        <v>3135</v>
      </c>
      <c r="F88" s="1" t="s">
        <v>112</v>
      </c>
      <c r="G88" s="1">
        <v>61602</v>
      </c>
    </row>
    <row r="89" spans="1:10" x14ac:dyDescent="0.25">
      <c r="A89" s="1" t="str">
        <f t="shared" si="1"/>
        <v>03 EE2 50.6 ng_L</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3136</v>
      </c>
      <c r="D89" s="1" t="s">
        <v>795</v>
      </c>
      <c r="E89" s="1" t="s">
        <v>3137</v>
      </c>
      <c r="F89" s="1" t="s">
        <v>112</v>
      </c>
      <c r="G89" s="1">
        <v>54486</v>
      </c>
    </row>
    <row r="90" spans="1:10" x14ac:dyDescent="0.25">
      <c r="A90" s="1" t="str">
        <f t="shared" si="1"/>
        <v>03 EE2 50.6 ng_L</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3138</v>
      </c>
      <c r="D90" s="1" t="s">
        <v>443</v>
      </c>
      <c r="E90" s="1" t="s">
        <v>2247</v>
      </c>
      <c r="F90" s="1" t="s">
        <v>112</v>
      </c>
      <c r="G90" s="1">
        <v>48927</v>
      </c>
    </row>
    <row r="91" spans="1:10" x14ac:dyDescent="0.25">
      <c r="A91" s="1" t="str">
        <f t="shared" si="1"/>
        <v>03 EE2 50.6 ng_L</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3139</v>
      </c>
      <c r="D91" s="1" t="s">
        <v>1884</v>
      </c>
      <c r="E91" s="1" t="s">
        <v>3140</v>
      </c>
      <c r="F91" s="1" t="s">
        <v>112</v>
      </c>
      <c r="G91" s="1">
        <v>95085</v>
      </c>
    </row>
    <row r="92" spans="1:10"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240</v>
      </c>
      <c r="D93" s="1" t="s">
        <v>112</v>
      </c>
      <c r="E93" s="1" t="s">
        <v>241</v>
      </c>
      <c r="F93" s="1" t="s">
        <v>242</v>
      </c>
      <c r="G93" s="1" t="s">
        <v>243</v>
      </c>
      <c r="H93" s="1" t="s">
        <v>244</v>
      </c>
      <c r="I93" s="1" t="s">
        <v>245</v>
      </c>
      <c r="J93" s="1" t="s">
        <v>246</v>
      </c>
    </row>
    <row r="94" spans="1:10" x14ac:dyDescent="0.25">
      <c r="A94" s="1" t="str">
        <f t="shared" si="1"/>
        <v>03 EE2 50.6 ng_L</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3141</v>
      </c>
      <c r="D94" s="1" t="s">
        <v>112</v>
      </c>
      <c r="E94" s="1" t="s">
        <v>3142</v>
      </c>
      <c r="F94" s="1" t="s">
        <v>3143</v>
      </c>
      <c r="G94" s="1" t="s">
        <v>3144</v>
      </c>
      <c r="H94" s="1" t="s">
        <v>3145</v>
      </c>
      <c r="I94" s="1">
        <v>24</v>
      </c>
      <c r="J94" s="1">
        <v>24</v>
      </c>
    </row>
    <row r="95" spans="1:10"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252</v>
      </c>
      <c r="D100" s="1" t="s">
        <v>110</v>
      </c>
      <c r="E100" s="1" t="s">
        <v>111</v>
      </c>
      <c r="F100" s="1" t="s">
        <v>112</v>
      </c>
      <c r="G100" s="1" t="s">
        <v>113</v>
      </c>
    </row>
    <row r="101" spans="1:7" x14ac:dyDescent="0.25">
      <c r="A101" s="1" t="str">
        <f t="shared" si="1"/>
        <v>04 EE2 76 ng_L</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3146</v>
      </c>
      <c r="D101" s="1" t="s">
        <v>3147</v>
      </c>
      <c r="E101" s="1" t="s">
        <v>3148</v>
      </c>
      <c r="F101" s="1" t="s">
        <v>112</v>
      </c>
      <c r="G101" s="1">
        <v>344759</v>
      </c>
    </row>
    <row r="102" spans="1:7" x14ac:dyDescent="0.25">
      <c r="A102" s="1" t="str">
        <f t="shared" si="1"/>
        <v>04 EE2 76 ng_L</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3149</v>
      </c>
      <c r="D102" s="1" t="s">
        <v>3150</v>
      </c>
      <c r="E102" s="1" t="s">
        <v>3151</v>
      </c>
      <c r="F102" s="1" t="s">
        <v>112</v>
      </c>
      <c r="G102" s="1">
        <v>589826</v>
      </c>
    </row>
    <row r="103" spans="1:7" x14ac:dyDescent="0.25">
      <c r="A103" s="1" t="str">
        <f t="shared" si="1"/>
        <v>04 EE2 76 ng_L</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3152</v>
      </c>
      <c r="D103" s="1" t="s">
        <v>3153</v>
      </c>
      <c r="E103" s="1" t="s">
        <v>3154</v>
      </c>
      <c r="F103" s="1" t="s">
        <v>112</v>
      </c>
      <c r="G103" s="1">
        <v>467530</v>
      </c>
    </row>
    <row r="104" spans="1:7" x14ac:dyDescent="0.25">
      <c r="A104" s="1" t="str">
        <f t="shared" si="1"/>
        <v>04 EE2 76 ng_L</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3155</v>
      </c>
      <c r="D104" s="1" t="s">
        <v>708</v>
      </c>
      <c r="E104" s="1" t="s">
        <v>1240</v>
      </c>
      <c r="F104" s="1" t="s">
        <v>112</v>
      </c>
      <c r="G104" s="1">
        <v>572868</v>
      </c>
    </row>
    <row r="105" spans="1:7" x14ac:dyDescent="0.25">
      <c r="A105" s="1" t="str">
        <f t="shared" si="1"/>
        <v>04 EE2 76 ng_L</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3156</v>
      </c>
      <c r="D105" s="1" t="s">
        <v>3157</v>
      </c>
      <c r="E105" s="1" t="s">
        <v>3158</v>
      </c>
      <c r="F105" s="1" t="s">
        <v>112</v>
      </c>
      <c r="G105" s="1">
        <v>590474</v>
      </c>
    </row>
    <row r="106" spans="1:7" x14ac:dyDescent="0.25">
      <c r="A106" s="1" t="str">
        <f t="shared" si="1"/>
        <v>04 EE2 76 ng_L</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3159</v>
      </c>
      <c r="D106" s="1" t="s">
        <v>3160</v>
      </c>
      <c r="E106" s="1" t="s">
        <v>3161</v>
      </c>
      <c r="F106" s="1" t="s">
        <v>112</v>
      </c>
      <c r="G106" s="1">
        <v>267800</v>
      </c>
    </row>
    <row r="107" spans="1:7" x14ac:dyDescent="0.25">
      <c r="A107" s="1" t="str">
        <f t="shared" si="1"/>
        <v>04 EE2 76 ng_L</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3162</v>
      </c>
      <c r="D107" s="1" t="s">
        <v>3057</v>
      </c>
      <c r="E107" s="1" t="s">
        <v>3163</v>
      </c>
      <c r="F107" s="1" t="s">
        <v>112</v>
      </c>
      <c r="G107" s="1">
        <v>296719</v>
      </c>
    </row>
    <row r="108" spans="1:7" x14ac:dyDescent="0.25">
      <c r="A108" s="1" t="str">
        <f t="shared" si="1"/>
        <v>04 EE2 76 ng_L</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3164</v>
      </c>
      <c r="D108" s="1" t="s">
        <v>3165</v>
      </c>
      <c r="E108" s="1" t="s">
        <v>3166</v>
      </c>
      <c r="F108" s="1" t="s">
        <v>112</v>
      </c>
      <c r="G108" s="1">
        <v>357110</v>
      </c>
    </row>
    <row r="109" spans="1:7" x14ac:dyDescent="0.25">
      <c r="A109" s="1" t="str">
        <f t="shared" si="1"/>
        <v>04 EE2 76 ng_L</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3167</v>
      </c>
      <c r="D109" s="1" t="s">
        <v>1450</v>
      </c>
      <c r="E109" s="1" t="s">
        <v>3168</v>
      </c>
      <c r="F109" s="1" t="s">
        <v>112</v>
      </c>
      <c r="G109" s="1">
        <v>374024</v>
      </c>
    </row>
    <row r="110" spans="1:7" x14ac:dyDescent="0.25">
      <c r="A110" s="1" t="str">
        <f t="shared" si="1"/>
        <v>04 EE2 76 ng_L</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3169</v>
      </c>
    </row>
    <row r="111" spans="1:7" x14ac:dyDescent="0.25">
      <c r="A111" s="1" t="str">
        <f t="shared" si="1"/>
        <v>04 EE2 76 ng_L</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3170</v>
      </c>
      <c r="D111" s="1" t="s">
        <v>726</v>
      </c>
      <c r="E111" s="1" t="s">
        <v>3171</v>
      </c>
      <c r="F111" s="1" t="s">
        <v>112</v>
      </c>
      <c r="G111" s="1">
        <v>227979</v>
      </c>
    </row>
    <row r="112" spans="1:7" x14ac:dyDescent="0.25">
      <c r="A112" s="1" t="str">
        <f t="shared" si="1"/>
        <v>04 EE2 76 ng_L</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3172</v>
      </c>
      <c r="D112" s="1" t="s">
        <v>2625</v>
      </c>
      <c r="E112" s="1" t="s">
        <v>2242</v>
      </c>
      <c r="F112" s="1" t="s">
        <v>112</v>
      </c>
      <c r="G112" s="1">
        <v>187899</v>
      </c>
    </row>
    <row r="113" spans="1:10" x14ac:dyDescent="0.25">
      <c r="A113" s="1" t="str">
        <f t="shared" si="1"/>
        <v>04 EE2 76 ng_L</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3173</v>
      </c>
      <c r="D113" s="1" t="s">
        <v>2614</v>
      </c>
      <c r="E113" s="1" t="s">
        <v>3174</v>
      </c>
      <c r="F113" s="1" t="s">
        <v>112</v>
      </c>
      <c r="G113" s="1">
        <v>251815</v>
      </c>
    </row>
    <row r="114" spans="1:10" x14ac:dyDescent="0.25">
      <c r="A114" s="1" t="str">
        <f t="shared" si="1"/>
        <v>04 EE2 76 ng_L</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3175</v>
      </c>
    </row>
    <row r="115" spans="1:10" x14ac:dyDescent="0.25">
      <c r="A115" s="1" t="str">
        <f t="shared" si="1"/>
        <v>04 EE2 76 ng_L</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3176</v>
      </c>
      <c r="D115" s="1" t="s">
        <v>3177</v>
      </c>
      <c r="E115" s="1" t="s">
        <v>3178</v>
      </c>
      <c r="F115" s="1" t="s">
        <v>112</v>
      </c>
      <c r="G115" s="1">
        <v>209248</v>
      </c>
    </row>
    <row r="116" spans="1:10" x14ac:dyDescent="0.25">
      <c r="A116" s="1" t="str">
        <f t="shared" si="1"/>
        <v>04 EE2 76 ng_L</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3179</v>
      </c>
      <c r="D116" s="1" t="s">
        <v>3180</v>
      </c>
      <c r="E116" s="1" t="s">
        <v>3181</v>
      </c>
      <c r="F116" s="1" t="s">
        <v>112</v>
      </c>
      <c r="G116" s="1">
        <v>383822</v>
      </c>
    </row>
    <row r="117" spans="1:10" x14ac:dyDescent="0.25">
      <c r="A117" s="1" t="str">
        <f t="shared" si="1"/>
        <v>04 EE2 76 ng_L</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3182</v>
      </c>
      <c r="D117" s="1" t="s">
        <v>3183</v>
      </c>
      <c r="E117" s="1" t="s">
        <v>3184</v>
      </c>
      <c r="F117" s="1" t="s">
        <v>112</v>
      </c>
      <c r="G117" s="1">
        <v>723780</v>
      </c>
    </row>
    <row r="118" spans="1:10" x14ac:dyDescent="0.25">
      <c r="A118" s="1" t="str">
        <f t="shared" si="1"/>
        <v>04 EE2 76 ng_L</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3185</v>
      </c>
      <c r="D118" s="1" t="s">
        <v>1875</v>
      </c>
      <c r="E118" s="1" t="s">
        <v>3186</v>
      </c>
      <c r="F118" s="1" t="s">
        <v>112</v>
      </c>
      <c r="G118" s="1">
        <v>859031</v>
      </c>
    </row>
    <row r="119" spans="1:10" x14ac:dyDescent="0.25">
      <c r="A119" s="1" t="str">
        <f t="shared" si="1"/>
        <v>04 EE2 76 ng_L</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3187</v>
      </c>
    </row>
    <row r="120" spans="1:10" x14ac:dyDescent="0.25">
      <c r="A120" s="1" t="str">
        <f t="shared" si="1"/>
        <v>04 EE2 76 ng_L</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3188</v>
      </c>
    </row>
    <row r="121" spans="1:10" x14ac:dyDescent="0.25">
      <c r="A121" s="1" t="str">
        <f t="shared" si="1"/>
        <v>04 EE2 76 ng_L</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3189</v>
      </c>
    </row>
    <row r="122" spans="1:10" x14ac:dyDescent="0.25">
      <c r="A122" s="1" t="str">
        <f t="shared" si="1"/>
        <v>04 EE2 76 ng_L</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3190</v>
      </c>
      <c r="D122" s="1" t="s">
        <v>3191</v>
      </c>
      <c r="E122" s="1" t="s">
        <v>3192</v>
      </c>
      <c r="F122" s="1" t="s">
        <v>112</v>
      </c>
      <c r="G122" s="1">
        <v>250626</v>
      </c>
    </row>
    <row r="123" spans="1:10" x14ac:dyDescent="0.25">
      <c r="A123" s="1" t="str">
        <f t="shared" si="1"/>
        <v>04 EE2 76 ng_L</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3193</v>
      </c>
      <c r="D123" s="1" t="s">
        <v>2647</v>
      </c>
      <c r="E123" s="1" t="s">
        <v>3194</v>
      </c>
      <c r="F123" s="1" t="s">
        <v>112</v>
      </c>
      <c r="G123" s="1">
        <v>227287</v>
      </c>
    </row>
    <row r="124" spans="1:10" x14ac:dyDescent="0.25">
      <c r="A124" s="1" t="str">
        <f t="shared" si="1"/>
        <v>04 EE2 76 ng_L</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3195</v>
      </c>
      <c r="D124" s="1" t="s">
        <v>2129</v>
      </c>
      <c r="E124" s="1" t="s">
        <v>3196</v>
      </c>
      <c r="F124" s="1" t="s">
        <v>112</v>
      </c>
      <c r="G124" s="1">
        <v>262998</v>
      </c>
    </row>
    <row r="125" spans="1:10"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240</v>
      </c>
      <c r="D126" s="1" t="s">
        <v>112</v>
      </c>
      <c r="E126" s="1" t="s">
        <v>241</v>
      </c>
      <c r="F126" s="1" t="s">
        <v>242</v>
      </c>
      <c r="G126" s="1" t="s">
        <v>243</v>
      </c>
      <c r="H126" s="1" t="s">
        <v>244</v>
      </c>
      <c r="I126" s="1" t="s">
        <v>245</v>
      </c>
      <c r="J126" s="1" t="s">
        <v>246</v>
      </c>
    </row>
    <row r="127" spans="1:10" x14ac:dyDescent="0.25">
      <c r="A127" s="1" t="str">
        <f t="shared" si="1"/>
        <v>04 EE2 76 ng_L</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3197</v>
      </c>
      <c r="D127" s="1" t="s">
        <v>112</v>
      </c>
      <c r="E127" s="1" t="s">
        <v>3198</v>
      </c>
      <c r="F127" s="1" t="s">
        <v>3199</v>
      </c>
      <c r="G127" s="1" t="s">
        <v>3200</v>
      </c>
      <c r="H127" s="1" t="s">
        <v>3201</v>
      </c>
      <c r="I127" s="1">
        <v>24</v>
      </c>
      <c r="J127" s="1">
        <v>24</v>
      </c>
    </row>
    <row r="128" spans="1:10"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252</v>
      </c>
      <c r="D133" s="1" t="s">
        <v>110</v>
      </c>
      <c r="E133" s="1" t="s">
        <v>111</v>
      </c>
      <c r="F133" s="1" t="s">
        <v>112</v>
      </c>
      <c r="G133" s="1" t="s">
        <v>113</v>
      </c>
    </row>
    <row r="134" spans="1:7" x14ac:dyDescent="0.25">
      <c r="A134" s="1" t="str">
        <f t="shared" si="2"/>
        <v>05 EE2 114 ng_L</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3202</v>
      </c>
      <c r="D134" s="1" t="s">
        <v>3203</v>
      </c>
      <c r="E134" s="1" t="s">
        <v>3204</v>
      </c>
      <c r="F134" s="1" t="s">
        <v>112</v>
      </c>
      <c r="G134" s="1">
        <v>545874</v>
      </c>
    </row>
    <row r="135" spans="1:7" x14ac:dyDescent="0.25">
      <c r="A135" s="1" t="str">
        <f t="shared" si="2"/>
        <v>05 EE2 114 ng_L</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3205</v>
      </c>
      <c r="D135" s="1" t="s">
        <v>1954</v>
      </c>
      <c r="E135" s="1" t="s">
        <v>3206</v>
      </c>
      <c r="F135" s="1" t="s">
        <v>112</v>
      </c>
      <c r="G135" s="1">
        <v>645761</v>
      </c>
    </row>
    <row r="136" spans="1:7" x14ac:dyDescent="0.25">
      <c r="A136" s="1" t="str">
        <f t="shared" si="2"/>
        <v>05 EE2 114 ng_L</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3207</v>
      </c>
      <c r="D136" s="1" t="s">
        <v>3208</v>
      </c>
      <c r="E136" s="1" t="s">
        <v>3209</v>
      </c>
      <c r="F136" s="1" t="s">
        <v>112</v>
      </c>
      <c r="G136" s="1">
        <v>448626</v>
      </c>
    </row>
    <row r="137" spans="1:7" x14ac:dyDescent="0.25">
      <c r="A137" s="1" t="str">
        <f t="shared" si="2"/>
        <v>05 EE2 114 ng_L</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3210</v>
      </c>
      <c r="D137" s="1" t="s">
        <v>3211</v>
      </c>
      <c r="E137" s="1" t="s">
        <v>3212</v>
      </c>
      <c r="F137" s="1" t="s">
        <v>112</v>
      </c>
      <c r="G137" s="1">
        <v>1173963</v>
      </c>
    </row>
    <row r="138" spans="1:7" x14ac:dyDescent="0.25">
      <c r="A138" s="1" t="str">
        <f t="shared" si="2"/>
        <v>05 EE2 114 ng_L</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3213</v>
      </c>
      <c r="D138" s="1" t="s">
        <v>3214</v>
      </c>
      <c r="E138" s="1" t="s">
        <v>3215</v>
      </c>
      <c r="F138" s="1" t="s">
        <v>112</v>
      </c>
      <c r="G138" s="1">
        <v>637714</v>
      </c>
    </row>
    <row r="139" spans="1:7" x14ac:dyDescent="0.25">
      <c r="A139" s="1" t="str">
        <f t="shared" si="2"/>
        <v>05 EE2 114 ng_L</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3216</v>
      </c>
      <c r="D139" s="1" t="s">
        <v>3217</v>
      </c>
      <c r="E139" s="1" t="s">
        <v>3218</v>
      </c>
      <c r="F139" s="1" t="s">
        <v>112</v>
      </c>
      <c r="G139" s="1">
        <v>973626</v>
      </c>
    </row>
    <row r="140" spans="1:7" x14ac:dyDescent="0.25">
      <c r="A140" s="1" t="str">
        <f t="shared" si="2"/>
        <v>05 EE2 114 ng_L</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3219</v>
      </c>
      <c r="D140" s="1" t="s">
        <v>3150</v>
      </c>
      <c r="E140" s="1" t="s">
        <v>3220</v>
      </c>
      <c r="F140" s="1" t="s">
        <v>112</v>
      </c>
      <c r="G140" s="1">
        <v>619156</v>
      </c>
    </row>
    <row r="141" spans="1:7" x14ac:dyDescent="0.25">
      <c r="A141" s="1" t="str">
        <f t="shared" si="2"/>
        <v>05 EE2 114 ng_L</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3221</v>
      </c>
      <c r="D141" s="1" t="s">
        <v>2288</v>
      </c>
      <c r="E141" s="1" t="s">
        <v>3222</v>
      </c>
      <c r="F141" s="1" t="s">
        <v>112</v>
      </c>
      <c r="G141" s="1">
        <v>607130</v>
      </c>
    </row>
    <row r="142" spans="1:7" x14ac:dyDescent="0.25">
      <c r="A142" s="1" t="str">
        <f t="shared" si="2"/>
        <v>05 EE2 114 ng_L</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3223</v>
      </c>
      <c r="D142" s="1" t="s">
        <v>3224</v>
      </c>
      <c r="E142" s="1" t="s">
        <v>3225</v>
      </c>
      <c r="F142" s="1" t="s">
        <v>112</v>
      </c>
      <c r="G142" s="1">
        <v>203818</v>
      </c>
    </row>
    <row r="143" spans="1:7" x14ac:dyDescent="0.25">
      <c r="A143" s="1" t="str">
        <f t="shared" si="2"/>
        <v>05 EE2 114 ng_L</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3226</v>
      </c>
      <c r="D143" s="1" t="s">
        <v>2696</v>
      </c>
      <c r="E143" s="1" t="s">
        <v>3227</v>
      </c>
      <c r="F143" s="1" t="s">
        <v>112</v>
      </c>
      <c r="G143" s="1">
        <v>2714357</v>
      </c>
    </row>
    <row r="144" spans="1:7" x14ac:dyDescent="0.25">
      <c r="A144" s="1" t="str">
        <f t="shared" si="2"/>
        <v>05 EE2 114 ng_L</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3228</v>
      </c>
      <c r="D144" s="1" t="s">
        <v>3229</v>
      </c>
      <c r="E144" s="1" t="s">
        <v>3230</v>
      </c>
      <c r="F144" s="1" t="s">
        <v>112</v>
      </c>
      <c r="G144" s="1">
        <v>2734927</v>
      </c>
    </row>
    <row r="145" spans="1:10" x14ac:dyDescent="0.25">
      <c r="A145" s="1" t="str">
        <f t="shared" si="2"/>
        <v>05 EE2 114 ng_L</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3231</v>
      </c>
      <c r="D145" s="1" t="s">
        <v>3232</v>
      </c>
      <c r="E145" s="1" t="s">
        <v>3233</v>
      </c>
      <c r="F145" s="1" t="s">
        <v>112</v>
      </c>
      <c r="G145" s="1">
        <v>2771374</v>
      </c>
    </row>
    <row r="146" spans="1:10" x14ac:dyDescent="0.25">
      <c r="A146" s="1" t="str">
        <f t="shared" si="2"/>
        <v>05 EE2 114 ng_L</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3234</v>
      </c>
      <c r="D146" s="1" t="s">
        <v>1491</v>
      </c>
      <c r="E146" s="1" t="s">
        <v>3235</v>
      </c>
      <c r="F146" s="1" t="s">
        <v>112</v>
      </c>
      <c r="G146" s="1">
        <v>2016382</v>
      </c>
    </row>
    <row r="147" spans="1:10" x14ac:dyDescent="0.25">
      <c r="A147" s="1" t="str">
        <f t="shared" si="2"/>
        <v>05 EE2 114 ng_L</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3236</v>
      </c>
      <c r="D147" s="1" t="s">
        <v>1139</v>
      </c>
      <c r="E147" s="1" t="s">
        <v>3237</v>
      </c>
      <c r="F147" s="1" t="s">
        <v>112</v>
      </c>
      <c r="G147" s="1">
        <v>2141554</v>
      </c>
    </row>
    <row r="148" spans="1:10" x14ac:dyDescent="0.25">
      <c r="A148" s="1" t="str">
        <f t="shared" si="2"/>
        <v>05 EE2 114 ng_L</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3238</v>
      </c>
      <c r="D148" s="1" t="s">
        <v>2884</v>
      </c>
      <c r="E148" s="1" t="s">
        <v>3239</v>
      </c>
      <c r="F148" s="1" t="s">
        <v>112</v>
      </c>
      <c r="G148" s="1">
        <v>1954347</v>
      </c>
    </row>
    <row r="149" spans="1:10" x14ac:dyDescent="0.25">
      <c r="A149" s="1" t="str">
        <f t="shared" si="2"/>
        <v>05 EE2 114 ng_L</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3240</v>
      </c>
      <c r="D149" s="1" t="s">
        <v>3241</v>
      </c>
      <c r="E149" s="1" t="s">
        <v>3242</v>
      </c>
      <c r="F149" s="1" t="s">
        <v>112</v>
      </c>
      <c r="G149" s="1">
        <v>1634160</v>
      </c>
    </row>
    <row r="150" spans="1:10" x14ac:dyDescent="0.25">
      <c r="A150" s="1" t="str">
        <f t="shared" si="2"/>
        <v>05 EE2 114 ng_L</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3243</v>
      </c>
    </row>
    <row r="151" spans="1:10" x14ac:dyDescent="0.25">
      <c r="A151" s="1" t="str">
        <f t="shared" si="2"/>
        <v>05 EE2 114 ng_L</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3244</v>
      </c>
      <c r="D151" s="1" t="s">
        <v>3245</v>
      </c>
      <c r="E151" s="1" t="s">
        <v>3246</v>
      </c>
      <c r="F151" s="1" t="s">
        <v>112</v>
      </c>
      <c r="G151" s="1">
        <v>955090</v>
      </c>
    </row>
    <row r="152" spans="1:10" x14ac:dyDescent="0.25">
      <c r="A152" s="1" t="str">
        <f t="shared" si="2"/>
        <v>05 EE2 114 ng_L</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3247</v>
      </c>
      <c r="D152" s="1" t="s">
        <v>3248</v>
      </c>
      <c r="E152" s="1" t="s">
        <v>3249</v>
      </c>
      <c r="F152" s="1" t="s">
        <v>112</v>
      </c>
      <c r="G152" s="1">
        <v>461798</v>
      </c>
    </row>
    <row r="153" spans="1:10" x14ac:dyDescent="0.25">
      <c r="A153" s="1" t="str">
        <f t="shared" si="2"/>
        <v>05 EE2 114 ng_L</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3250</v>
      </c>
      <c r="D153" s="1" t="s">
        <v>720</v>
      </c>
      <c r="E153" s="1" t="s">
        <v>3251</v>
      </c>
      <c r="F153" s="1" t="s">
        <v>112</v>
      </c>
      <c r="G153" s="1">
        <v>584288</v>
      </c>
    </row>
    <row r="154" spans="1:10" x14ac:dyDescent="0.25">
      <c r="A154" s="1" t="str">
        <f t="shared" si="2"/>
        <v>05 EE2 114 ng_L</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3252</v>
      </c>
      <c r="D154" s="1" t="s">
        <v>936</v>
      </c>
      <c r="E154" s="1" t="s">
        <v>3253</v>
      </c>
      <c r="F154" s="1" t="s">
        <v>112</v>
      </c>
      <c r="G154" s="1">
        <v>613034</v>
      </c>
    </row>
    <row r="155" spans="1:10" x14ac:dyDescent="0.25">
      <c r="A155" s="1" t="str">
        <f t="shared" si="2"/>
        <v>05 EE2 114 ng_L</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3254</v>
      </c>
      <c r="D155" s="1" t="s">
        <v>3255</v>
      </c>
      <c r="E155" s="1" t="s">
        <v>3256</v>
      </c>
      <c r="F155" s="1" t="s">
        <v>112</v>
      </c>
      <c r="G155" s="1">
        <v>1431639</v>
      </c>
    </row>
    <row r="156" spans="1:10" x14ac:dyDescent="0.25">
      <c r="A156" s="1" t="str">
        <f t="shared" si="2"/>
        <v>05 EE2 114 ng_L</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3257</v>
      </c>
      <c r="D156" s="1" t="s">
        <v>1105</v>
      </c>
      <c r="E156" s="1" t="s">
        <v>3258</v>
      </c>
      <c r="F156" s="1" t="s">
        <v>112</v>
      </c>
      <c r="G156" s="1">
        <v>1071112</v>
      </c>
    </row>
    <row r="157" spans="1:10" x14ac:dyDescent="0.25">
      <c r="A157" s="1" t="str">
        <f t="shared" si="2"/>
        <v>05 EE2 114 ng_L</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3259</v>
      </c>
      <c r="D157" s="1" t="s">
        <v>3260</v>
      </c>
      <c r="E157" s="1" t="s">
        <v>3261</v>
      </c>
      <c r="F157" s="1" t="s">
        <v>112</v>
      </c>
      <c r="G157" s="1">
        <v>864049</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240</v>
      </c>
      <c r="D159" s="1" t="s">
        <v>112</v>
      </c>
      <c r="E159" s="1" t="s">
        <v>241</v>
      </c>
      <c r="F159" s="1" t="s">
        <v>242</v>
      </c>
      <c r="G159" s="1" t="s">
        <v>243</v>
      </c>
      <c r="H159" s="1" t="s">
        <v>244</v>
      </c>
      <c r="I159" s="1" t="s">
        <v>245</v>
      </c>
      <c r="J159" s="1" t="s">
        <v>246</v>
      </c>
    </row>
    <row r="160" spans="1:10" x14ac:dyDescent="0.25">
      <c r="A160" s="1" t="str">
        <f t="shared" si="2"/>
        <v>05 EE2 114 ng_L</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3262</v>
      </c>
      <c r="D160" s="1" t="s">
        <v>112</v>
      </c>
      <c r="E160" s="1" t="s">
        <v>3263</v>
      </c>
      <c r="F160" s="1" t="s">
        <v>3264</v>
      </c>
      <c r="G160" s="1" t="s">
        <v>3265</v>
      </c>
      <c r="H160" s="1" t="s">
        <v>3266</v>
      </c>
      <c r="I160" s="1">
        <v>24</v>
      </c>
      <c r="J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252</v>
      </c>
      <c r="D166" s="1" t="s">
        <v>110</v>
      </c>
      <c r="E166" s="1" t="s">
        <v>111</v>
      </c>
      <c r="F166" s="1" t="s">
        <v>112</v>
      </c>
      <c r="G166" s="1" t="s">
        <v>113</v>
      </c>
    </row>
    <row r="167" spans="1:7" x14ac:dyDescent="0.25">
      <c r="A167" s="1" t="str">
        <f t="shared" si="2"/>
        <v>06 EE2 170.9 ng_L</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3267</v>
      </c>
      <c r="D167" s="1" t="s">
        <v>3268</v>
      </c>
      <c r="E167" s="1" t="s">
        <v>3269</v>
      </c>
      <c r="F167" s="1" t="s">
        <v>112</v>
      </c>
      <c r="G167" s="1">
        <v>3312380</v>
      </c>
    </row>
    <row r="168" spans="1:7" x14ac:dyDescent="0.25">
      <c r="A168" s="1" t="str">
        <f t="shared" si="2"/>
        <v>06 EE2 170.9 ng_L</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3270</v>
      </c>
      <c r="D168" s="1" t="s">
        <v>2727</v>
      </c>
      <c r="E168" s="1" t="s">
        <v>3271</v>
      </c>
      <c r="F168" s="1" t="s">
        <v>112</v>
      </c>
      <c r="G168" s="1">
        <v>1953353</v>
      </c>
    </row>
    <row r="169" spans="1:7" x14ac:dyDescent="0.25">
      <c r="A169" s="1" t="str">
        <f t="shared" si="2"/>
        <v>06 EE2 170.9 ng_L</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3272</v>
      </c>
      <c r="D169" s="1" t="s">
        <v>520</v>
      </c>
      <c r="E169" s="1" t="s">
        <v>3273</v>
      </c>
      <c r="F169" s="1" t="s">
        <v>112</v>
      </c>
      <c r="G169" s="1">
        <v>1526573</v>
      </c>
    </row>
    <row r="170" spans="1:7" x14ac:dyDescent="0.25">
      <c r="A170" s="1" t="str">
        <f t="shared" si="2"/>
        <v>06 EE2 170.9 ng_L</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3274</v>
      </c>
      <c r="D170" s="1" t="s">
        <v>3275</v>
      </c>
      <c r="E170" s="1" t="s">
        <v>3276</v>
      </c>
      <c r="F170" s="1" t="s">
        <v>112</v>
      </c>
      <c r="G170" s="1">
        <v>3486739</v>
      </c>
    </row>
    <row r="171" spans="1:7" x14ac:dyDescent="0.25">
      <c r="A171" s="1" t="str">
        <f t="shared" si="2"/>
        <v>06 EE2 170.9 ng_L</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3277</v>
      </c>
      <c r="D171" s="1" t="s">
        <v>3278</v>
      </c>
      <c r="E171" s="1" t="s">
        <v>3279</v>
      </c>
      <c r="F171" s="1" t="s">
        <v>112</v>
      </c>
      <c r="G171" s="1">
        <v>3622229</v>
      </c>
    </row>
    <row r="172" spans="1:7" x14ac:dyDescent="0.25">
      <c r="A172" s="1" t="str">
        <f t="shared" si="2"/>
        <v>06 EE2 170.9 ng_L</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3280</v>
      </c>
      <c r="D172" s="1" t="s">
        <v>3281</v>
      </c>
      <c r="E172" s="1" t="s">
        <v>3282</v>
      </c>
      <c r="F172" s="1" t="s">
        <v>112</v>
      </c>
      <c r="G172" s="1">
        <v>3467553</v>
      </c>
    </row>
    <row r="173" spans="1:7" x14ac:dyDescent="0.25">
      <c r="A173" s="1" t="str">
        <f t="shared" si="2"/>
        <v>06 EE2 170.9 ng_L</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3283</v>
      </c>
      <c r="D173" s="1" t="s">
        <v>3284</v>
      </c>
      <c r="E173" s="1" t="s">
        <v>3285</v>
      </c>
      <c r="F173" s="1" t="s">
        <v>112</v>
      </c>
      <c r="G173" s="1">
        <v>3143278</v>
      </c>
    </row>
    <row r="174" spans="1:7" x14ac:dyDescent="0.25">
      <c r="A174" s="1" t="str">
        <f t="shared" si="2"/>
        <v>06 EE2 170.9 ng_L</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3286</v>
      </c>
      <c r="D174" s="1" t="s">
        <v>3287</v>
      </c>
      <c r="E174" s="1" t="s">
        <v>3288</v>
      </c>
      <c r="F174" s="1" t="s">
        <v>112</v>
      </c>
      <c r="G174" s="1">
        <v>3375778</v>
      </c>
    </row>
    <row r="175" spans="1:7" x14ac:dyDescent="0.25">
      <c r="A175" s="1" t="str">
        <f t="shared" si="2"/>
        <v>06 EE2 170.9 ng_L</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3289</v>
      </c>
      <c r="D175" s="1" t="s">
        <v>3290</v>
      </c>
      <c r="E175" s="1" t="s">
        <v>3291</v>
      </c>
      <c r="F175" s="1" t="s">
        <v>112</v>
      </c>
      <c r="G175" s="1">
        <v>3156342</v>
      </c>
    </row>
    <row r="176" spans="1:7" x14ac:dyDescent="0.25">
      <c r="A176" s="1" t="str">
        <f t="shared" si="2"/>
        <v>06 EE2 170.9 ng_L</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3292</v>
      </c>
      <c r="D176" s="1" t="s">
        <v>3293</v>
      </c>
      <c r="E176" s="1" t="s">
        <v>3294</v>
      </c>
      <c r="F176" s="1" t="s">
        <v>112</v>
      </c>
      <c r="G176" s="1">
        <v>1229097</v>
      </c>
    </row>
    <row r="177" spans="1:10" x14ac:dyDescent="0.25">
      <c r="A177" s="1" t="str">
        <f t="shared" si="2"/>
        <v>06 EE2 170.9 ng_L</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3295</v>
      </c>
      <c r="D177" s="1" t="s">
        <v>3296</v>
      </c>
      <c r="E177" s="1" t="s">
        <v>3297</v>
      </c>
      <c r="F177" s="1" t="s">
        <v>112</v>
      </c>
      <c r="G177" s="1">
        <v>1238290</v>
      </c>
    </row>
    <row r="178" spans="1:10" x14ac:dyDescent="0.25">
      <c r="A178" s="1" t="str">
        <f t="shared" si="2"/>
        <v>06 EE2 170.9 ng_L</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3298</v>
      </c>
      <c r="D178" s="1" t="s">
        <v>3299</v>
      </c>
      <c r="E178" s="1" t="s">
        <v>3300</v>
      </c>
      <c r="F178" s="1" t="s">
        <v>112</v>
      </c>
      <c r="G178" s="1">
        <v>1163775</v>
      </c>
    </row>
    <row r="179" spans="1:10" x14ac:dyDescent="0.25">
      <c r="A179" s="1" t="str">
        <f t="shared" si="2"/>
        <v>06 EE2 170.9 ng_L</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3301</v>
      </c>
      <c r="D179" s="1" t="s">
        <v>3302</v>
      </c>
      <c r="E179" s="1" t="s">
        <v>3303</v>
      </c>
      <c r="F179" s="1" t="s">
        <v>112</v>
      </c>
      <c r="G179" s="1">
        <v>1870986</v>
      </c>
    </row>
    <row r="180" spans="1:10" x14ac:dyDescent="0.25">
      <c r="A180" s="1" t="str">
        <f t="shared" si="2"/>
        <v>06 EE2 170.9 ng_L</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3304</v>
      </c>
      <c r="D180" s="1" t="s">
        <v>585</v>
      </c>
      <c r="E180" s="1" t="s">
        <v>3305</v>
      </c>
      <c r="F180" s="1" t="s">
        <v>112</v>
      </c>
      <c r="G180" s="1">
        <v>1936395</v>
      </c>
    </row>
    <row r="181" spans="1:10" x14ac:dyDescent="0.25">
      <c r="A181" s="1" t="str">
        <f t="shared" si="2"/>
        <v>06 EE2 170.9 ng_L</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3306</v>
      </c>
      <c r="D181" s="1" t="s">
        <v>3307</v>
      </c>
      <c r="E181" s="1" t="s">
        <v>3308</v>
      </c>
      <c r="F181" s="1" t="s">
        <v>112</v>
      </c>
      <c r="G181" s="1">
        <v>1764632</v>
      </c>
    </row>
    <row r="182" spans="1:10" x14ac:dyDescent="0.25">
      <c r="A182" s="1" t="str">
        <f t="shared" si="2"/>
        <v>06 EE2 170.9 ng_L</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3309</v>
      </c>
      <c r="D182" s="1" t="s">
        <v>2424</v>
      </c>
      <c r="E182" s="1" t="s">
        <v>3310</v>
      </c>
      <c r="F182" s="1" t="s">
        <v>112</v>
      </c>
      <c r="G182" s="1">
        <v>1415136</v>
      </c>
    </row>
    <row r="183" spans="1:10" x14ac:dyDescent="0.25">
      <c r="A183" s="1" t="str">
        <f t="shared" si="2"/>
        <v>06 EE2 170.9 ng_L</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3311</v>
      </c>
      <c r="D183" s="1" t="s">
        <v>2583</v>
      </c>
      <c r="E183" s="1" t="s">
        <v>3312</v>
      </c>
      <c r="F183" s="1" t="s">
        <v>112</v>
      </c>
      <c r="G183" s="1">
        <v>1485822</v>
      </c>
    </row>
    <row r="184" spans="1:10" x14ac:dyDescent="0.25">
      <c r="A184" s="1" t="str">
        <f t="shared" si="2"/>
        <v>06 EE2 170.9 ng_L</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3313</v>
      </c>
      <c r="D184" s="1" t="s">
        <v>3314</v>
      </c>
      <c r="E184" s="1" t="s">
        <v>3315</v>
      </c>
      <c r="F184" s="1" t="s">
        <v>112</v>
      </c>
      <c r="G184" s="1">
        <v>1774884</v>
      </c>
    </row>
    <row r="185" spans="1:10" x14ac:dyDescent="0.25">
      <c r="A185" s="1" t="str">
        <f t="shared" si="2"/>
        <v>06 EE2 170.9 ng_L</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3316</v>
      </c>
      <c r="D185" s="1" t="s">
        <v>3317</v>
      </c>
      <c r="E185" s="1" t="s">
        <v>3318</v>
      </c>
      <c r="F185" s="1" t="s">
        <v>112</v>
      </c>
      <c r="G185" s="1">
        <v>2663462</v>
      </c>
    </row>
    <row r="186" spans="1:10" x14ac:dyDescent="0.25">
      <c r="A186" s="1" t="str">
        <f t="shared" si="2"/>
        <v>06 EE2 170.9 ng_L</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3319</v>
      </c>
      <c r="D186" s="1" t="s">
        <v>3320</v>
      </c>
      <c r="E186" s="1" t="s">
        <v>3321</v>
      </c>
      <c r="F186" s="1" t="s">
        <v>112</v>
      </c>
      <c r="G186" s="1">
        <v>2318660</v>
      </c>
    </row>
    <row r="187" spans="1:10" x14ac:dyDescent="0.25">
      <c r="A187" s="1" t="str">
        <f t="shared" si="2"/>
        <v>06 EE2 170.9 ng_L</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3322</v>
      </c>
      <c r="D187" s="1" t="s">
        <v>3323</v>
      </c>
      <c r="E187" s="1" t="s">
        <v>3324</v>
      </c>
      <c r="F187" s="1" t="s">
        <v>112</v>
      </c>
      <c r="G187" s="1">
        <v>2282603</v>
      </c>
    </row>
    <row r="188" spans="1:10" x14ac:dyDescent="0.25">
      <c r="A188" s="1" t="str">
        <f t="shared" si="2"/>
        <v>06 EE2 170.9 ng_L</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3325</v>
      </c>
      <c r="D188" s="1" t="s">
        <v>3326</v>
      </c>
      <c r="E188" s="1" t="s">
        <v>3327</v>
      </c>
      <c r="F188" s="1" t="s">
        <v>112</v>
      </c>
      <c r="G188" s="1">
        <v>4796105</v>
      </c>
    </row>
    <row r="189" spans="1:10" x14ac:dyDescent="0.25">
      <c r="A189" s="1" t="str">
        <f t="shared" si="2"/>
        <v>06 EE2 170.9 ng_L</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3328</v>
      </c>
      <c r="D189" s="1" t="s">
        <v>2105</v>
      </c>
      <c r="E189" s="1" t="s">
        <v>3329</v>
      </c>
      <c r="F189" s="1" t="s">
        <v>112</v>
      </c>
      <c r="G189" s="1">
        <v>4436529</v>
      </c>
    </row>
    <row r="190" spans="1:10" x14ac:dyDescent="0.25">
      <c r="A190" s="1" t="str">
        <f t="shared" si="2"/>
        <v>06 EE2 170.9 ng_L</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3330</v>
      </c>
      <c r="D190" s="1" t="s">
        <v>1373</v>
      </c>
      <c r="E190" s="1" t="s">
        <v>3331</v>
      </c>
      <c r="F190" s="1" t="s">
        <v>112</v>
      </c>
      <c r="G190" s="1">
        <v>4549308</v>
      </c>
    </row>
    <row r="191" spans="1:10"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240</v>
      </c>
      <c r="D192" s="1" t="s">
        <v>112</v>
      </c>
      <c r="E192" s="1" t="s">
        <v>241</v>
      </c>
      <c r="F192" s="1" t="s">
        <v>242</v>
      </c>
      <c r="G192" s="1" t="s">
        <v>243</v>
      </c>
      <c r="H192" s="1" t="s">
        <v>244</v>
      </c>
      <c r="I192" s="1" t="s">
        <v>245</v>
      </c>
      <c r="J192" s="1" t="s">
        <v>246</v>
      </c>
    </row>
    <row r="193" spans="1:10" x14ac:dyDescent="0.25">
      <c r="A193" s="1" t="str">
        <f t="shared" si="2"/>
        <v>06 EE2 170.9 ng_L</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3332</v>
      </c>
      <c r="D193" s="1" t="s">
        <v>112</v>
      </c>
      <c r="E193" s="1" t="s">
        <v>3333</v>
      </c>
      <c r="F193" s="1" t="s">
        <v>3334</v>
      </c>
      <c r="G193" s="1" t="s">
        <v>3335</v>
      </c>
      <c r="H193" s="1" t="s">
        <v>3336</v>
      </c>
      <c r="I193" s="1">
        <v>24</v>
      </c>
      <c r="J193" s="1">
        <v>24</v>
      </c>
    </row>
    <row r="194" spans="1:10"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252</v>
      </c>
      <c r="D199" s="1" t="s">
        <v>110</v>
      </c>
      <c r="E199" s="1" t="s">
        <v>111</v>
      </c>
      <c r="F199" s="1" t="s">
        <v>112</v>
      </c>
      <c r="G199" s="1" t="s">
        <v>113</v>
      </c>
    </row>
    <row r="200" spans="1:10" x14ac:dyDescent="0.25">
      <c r="A200" s="1" t="str">
        <f t="shared" si="3"/>
        <v>07 EE2 488 ng_L</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3337</v>
      </c>
      <c r="D200" s="1" t="s">
        <v>3338</v>
      </c>
      <c r="E200" s="1" t="s">
        <v>3339</v>
      </c>
      <c r="F200" s="1" t="s">
        <v>112</v>
      </c>
      <c r="G200" s="1">
        <v>2385712</v>
      </c>
    </row>
    <row r="201" spans="1:10" x14ac:dyDescent="0.25">
      <c r="A201" s="1" t="str">
        <f t="shared" si="3"/>
        <v>07 EE2 488 ng_L</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3340</v>
      </c>
      <c r="D201" s="1" t="s">
        <v>3341</v>
      </c>
      <c r="E201" s="1" t="s">
        <v>3342</v>
      </c>
      <c r="F201" s="1" t="s">
        <v>112</v>
      </c>
      <c r="G201" s="1">
        <v>2627621</v>
      </c>
    </row>
    <row r="202" spans="1:10" x14ac:dyDescent="0.25">
      <c r="A202" s="1" t="str">
        <f t="shared" si="3"/>
        <v>07 EE2 488 ng_L</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3343</v>
      </c>
      <c r="D202" s="1" t="s">
        <v>3344</v>
      </c>
      <c r="E202" s="1" t="s">
        <v>3345</v>
      </c>
      <c r="F202" s="1" t="s">
        <v>112</v>
      </c>
      <c r="G202" s="1">
        <v>2363153</v>
      </c>
    </row>
    <row r="203" spans="1:10" x14ac:dyDescent="0.25">
      <c r="A203" s="1" t="str">
        <f t="shared" si="3"/>
        <v>07 EE2 488 ng_L</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3346</v>
      </c>
      <c r="D203" s="1" t="s">
        <v>3347</v>
      </c>
      <c r="E203" s="1" t="s">
        <v>3348</v>
      </c>
      <c r="F203" s="1" t="s">
        <v>112</v>
      </c>
      <c r="G203" s="1">
        <v>8082053</v>
      </c>
    </row>
    <row r="204" spans="1:10" x14ac:dyDescent="0.25">
      <c r="A204" s="1" t="str">
        <f t="shared" si="3"/>
        <v>07 EE2 488 ng_L</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3349</v>
      </c>
      <c r="D204" s="1" t="s">
        <v>3350</v>
      </c>
      <c r="E204" s="1" t="s">
        <v>3351</v>
      </c>
      <c r="F204" s="1" t="s">
        <v>112</v>
      </c>
      <c r="G204" s="1">
        <v>7068606</v>
      </c>
    </row>
    <row r="205" spans="1:10" x14ac:dyDescent="0.25">
      <c r="A205" s="1" t="str">
        <f t="shared" si="3"/>
        <v>07 EE2 488 ng_L</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3352</v>
      </c>
      <c r="D205" s="1" t="s">
        <v>3353</v>
      </c>
      <c r="E205" s="1" t="s">
        <v>3354</v>
      </c>
      <c r="F205" s="1" t="s">
        <v>112</v>
      </c>
      <c r="G205" s="1">
        <v>7861753</v>
      </c>
    </row>
    <row r="206" spans="1:10" x14ac:dyDescent="0.25">
      <c r="A206" s="1" t="str">
        <f t="shared" si="3"/>
        <v>07 EE2 488 ng_L</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3355</v>
      </c>
      <c r="D206" s="1" t="s">
        <v>3356</v>
      </c>
      <c r="E206" s="1" t="s">
        <v>3357</v>
      </c>
      <c r="F206" s="1" t="s">
        <v>112</v>
      </c>
      <c r="G206" s="1">
        <v>7664748</v>
      </c>
    </row>
    <row r="207" spans="1:10" x14ac:dyDescent="0.25">
      <c r="A207" s="1" t="str">
        <f t="shared" si="3"/>
        <v>07 EE2 488 ng_L</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3358</v>
      </c>
      <c r="D207" s="1" t="s">
        <v>3359</v>
      </c>
      <c r="E207" s="1" t="s">
        <v>3360</v>
      </c>
      <c r="F207" s="1" t="s">
        <v>112</v>
      </c>
      <c r="G207" s="1">
        <v>7264941</v>
      </c>
    </row>
    <row r="208" spans="1:10" x14ac:dyDescent="0.25">
      <c r="A208" s="1" t="str">
        <f t="shared" si="3"/>
        <v>07 EE2 488 ng_L</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3361</v>
      </c>
      <c r="D208" s="1" t="s">
        <v>3362</v>
      </c>
      <c r="E208" s="1" t="s">
        <v>3363</v>
      </c>
      <c r="F208" s="1" t="s">
        <v>112</v>
      </c>
      <c r="G208" s="1">
        <v>7450071</v>
      </c>
    </row>
    <row r="209" spans="1:7" x14ac:dyDescent="0.25">
      <c r="A209" s="1" t="str">
        <f t="shared" si="3"/>
        <v>07 EE2 488 ng_L</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3364</v>
      </c>
      <c r="D209" s="1" t="s">
        <v>3365</v>
      </c>
      <c r="E209" s="1" t="s">
        <v>3366</v>
      </c>
      <c r="F209" s="1" t="s">
        <v>112</v>
      </c>
      <c r="G209" s="1">
        <v>5008121</v>
      </c>
    </row>
    <row r="210" spans="1:7" x14ac:dyDescent="0.25">
      <c r="A210" s="1" t="str">
        <f t="shared" si="3"/>
        <v>07 EE2 488 ng_L</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3367</v>
      </c>
      <c r="D210" s="1" t="s">
        <v>3368</v>
      </c>
      <c r="E210" s="1" t="s">
        <v>3369</v>
      </c>
      <c r="F210" s="1" t="s">
        <v>112</v>
      </c>
      <c r="G210" s="1">
        <v>5300860</v>
      </c>
    </row>
    <row r="211" spans="1:7" x14ac:dyDescent="0.25">
      <c r="A211" s="1" t="str">
        <f t="shared" si="3"/>
        <v>07 EE2 488 ng_L</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3370</v>
      </c>
      <c r="D211" s="1" t="s">
        <v>3371</v>
      </c>
      <c r="E211" s="1" t="s">
        <v>3372</v>
      </c>
      <c r="F211" s="1" t="s">
        <v>112</v>
      </c>
      <c r="G211" s="1">
        <v>4687890</v>
      </c>
    </row>
    <row r="212" spans="1:7" x14ac:dyDescent="0.25">
      <c r="A212" s="1" t="str">
        <f t="shared" si="3"/>
        <v>07 EE2 488 ng_L</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3373</v>
      </c>
      <c r="D212" s="1" t="s">
        <v>3374</v>
      </c>
      <c r="E212" s="1" t="s">
        <v>3375</v>
      </c>
      <c r="F212" s="1" t="s">
        <v>112</v>
      </c>
      <c r="G212" s="1">
        <v>4130055</v>
      </c>
    </row>
    <row r="213" spans="1:7" x14ac:dyDescent="0.25">
      <c r="A213" s="1" t="str">
        <f t="shared" si="3"/>
        <v>07 EE2 488 ng_L</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3376</v>
      </c>
      <c r="D213" s="1" t="s">
        <v>3377</v>
      </c>
      <c r="E213" s="1" t="s">
        <v>3378</v>
      </c>
      <c r="F213" s="1" t="s">
        <v>112</v>
      </c>
      <c r="G213" s="1">
        <v>3830741</v>
      </c>
    </row>
    <row r="214" spans="1:7" x14ac:dyDescent="0.25">
      <c r="A214" s="1" t="str">
        <f t="shared" si="3"/>
        <v>07 EE2 488 ng_L</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3379</v>
      </c>
      <c r="D214" s="1" t="s">
        <v>3380</v>
      </c>
      <c r="E214" s="1" t="s">
        <v>3381</v>
      </c>
      <c r="F214" s="1" t="s">
        <v>112</v>
      </c>
      <c r="G214" s="1">
        <v>4124843</v>
      </c>
    </row>
    <row r="215" spans="1:7" x14ac:dyDescent="0.25">
      <c r="A215" s="1" t="str">
        <f t="shared" si="3"/>
        <v>07 EE2 488 ng_L</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3382</v>
      </c>
      <c r="D215" s="1" t="s">
        <v>3383</v>
      </c>
      <c r="E215" s="1" t="s">
        <v>3384</v>
      </c>
      <c r="F215" s="1" t="s">
        <v>112</v>
      </c>
      <c r="G215" s="1">
        <v>4989368</v>
      </c>
    </row>
    <row r="216" spans="1:7" x14ac:dyDescent="0.25">
      <c r="A216" s="1" t="str">
        <f t="shared" si="3"/>
        <v>07 EE2 488 ng_L</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3385</v>
      </c>
      <c r="D216" s="1" t="s">
        <v>3386</v>
      </c>
      <c r="E216" s="1" t="s">
        <v>3387</v>
      </c>
      <c r="F216" s="1" t="s">
        <v>112</v>
      </c>
      <c r="G216" s="1">
        <v>3056866</v>
      </c>
    </row>
    <row r="217" spans="1:7" x14ac:dyDescent="0.25">
      <c r="A217" s="1" t="str">
        <f t="shared" si="3"/>
        <v>07 EE2 488 ng_L</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3388</v>
      </c>
      <c r="D217" s="1" t="s">
        <v>3389</v>
      </c>
      <c r="E217" s="1" t="s">
        <v>3390</v>
      </c>
      <c r="F217" s="1" t="s">
        <v>112</v>
      </c>
      <c r="G217" s="1">
        <v>4410379</v>
      </c>
    </row>
    <row r="218" spans="1:7" x14ac:dyDescent="0.25">
      <c r="A218" s="1" t="str">
        <f t="shared" si="3"/>
        <v>07 EE2 488 ng_L</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3391</v>
      </c>
      <c r="D218" s="1" t="s">
        <v>3392</v>
      </c>
      <c r="E218" s="1" t="s">
        <v>3393</v>
      </c>
      <c r="F218" s="1" t="s">
        <v>112</v>
      </c>
      <c r="G218" s="1">
        <v>5278754</v>
      </c>
    </row>
    <row r="219" spans="1:7" x14ac:dyDescent="0.25">
      <c r="A219" s="1" t="str">
        <f t="shared" si="3"/>
        <v>07 EE2 488 ng_L</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3394</v>
      </c>
      <c r="D219" s="1" t="s">
        <v>3395</v>
      </c>
      <c r="E219" s="1" t="s">
        <v>3396</v>
      </c>
      <c r="F219" s="1" t="s">
        <v>112</v>
      </c>
      <c r="G219" s="1">
        <v>5222733</v>
      </c>
    </row>
    <row r="220" spans="1:7" x14ac:dyDescent="0.25">
      <c r="A220" s="1" t="str">
        <f t="shared" si="3"/>
        <v>07 EE2 488 ng_L</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3397</v>
      </c>
      <c r="D220" s="1" t="s">
        <v>3398</v>
      </c>
      <c r="E220" s="1" t="s">
        <v>3399</v>
      </c>
      <c r="F220" s="1" t="s">
        <v>112</v>
      </c>
      <c r="G220" s="1">
        <v>5013420</v>
      </c>
    </row>
    <row r="221" spans="1:7" x14ac:dyDescent="0.25">
      <c r="A221" s="1" t="str">
        <f t="shared" si="3"/>
        <v>07 EE2 488 ng_L</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3400</v>
      </c>
      <c r="D221" s="1" t="s">
        <v>3401</v>
      </c>
      <c r="E221" s="1" t="s">
        <v>3402</v>
      </c>
      <c r="F221" s="1" t="s">
        <v>112</v>
      </c>
      <c r="G221" s="1">
        <v>4963823</v>
      </c>
    </row>
    <row r="222" spans="1:7" x14ac:dyDescent="0.25">
      <c r="A222" s="1" t="str">
        <f t="shared" si="3"/>
        <v>07 EE2 488 ng_L</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3403</v>
      </c>
      <c r="D222" s="1" t="s">
        <v>3404</v>
      </c>
      <c r="E222" s="1" t="s">
        <v>3405</v>
      </c>
      <c r="F222" s="1" t="s">
        <v>112</v>
      </c>
      <c r="G222" s="1">
        <v>5267096</v>
      </c>
    </row>
    <row r="223" spans="1:7" x14ac:dyDescent="0.25">
      <c r="A223" s="1" t="str">
        <f t="shared" si="3"/>
        <v>07 EE2 488 ng_L</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3406</v>
      </c>
      <c r="D223" s="1" t="s">
        <v>1406</v>
      </c>
      <c r="E223" s="1" t="s">
        <v>3407</v>
      </c>
      <c r="F223" s="1" t="s">
        <v>112</v>
      </c>
      <c r="G223" s="1">
        <v>4088223</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240</v>
      </c>
      <c r="D225" s="1" t="s">
        <v>112</v>
      </c>
      <c r="E225" s="1" t="s">
        <v>241</v>
      </c>
      <c r="F225" s="1" t="s">
        <v>242</v>
      </c>
      <c r="G225" s="1" t="s">
        <v>243</v>
      </c>
      <c r="H225" s="1" t="s">
        <v>244</v>
      </c>
      <c r="I225" s="1" t="s">
        <v>245</v>
      </c>
      <c r="J225" s="1" t="s">
        <v>246</v>
      </c>
    </row>
    <row r="226" spans="1:10" x14ac:dyDescent="0.25">
      <c r="A226" s="1" t="str">
        <f t="shared" si="3"/>
        <v>07 EE2 488 ng_L</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3408</v>
      </c>
      <c r="D226" s="1" t="s">
        <v>112</v>
      </c>
      <c r="E226" s="1" t="s">
        <v>3409</v>
      </c>
      <c r="F226" s="1" t="s">
        <v>3410</v>
      </c>
      <c r="G226" s="1" t="s">
        <v>3411</v>
      </c>
      <c r="H226" s="1" t="s">
        <v>3412</v>
      </c>
      <c r="I226" s="1">
        <v>24</v>
      </c>
      <c r="J226" s="1">
        <v>24</v>
      </c>
    </row>
    <row r="227" spans="1:10"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252</v>
      </c>
      <c r="D232" s="1" t="s">
        <v>110</v>
      </c>
      <c r="E232" s="1" t="s">
        <v>111</v>
      </c>
      <c r="F232" s="1" t="s">
        <v>112</v>
      </c>
      <c r="G232" s="1" t="s">
        <v>113</v>
      </c>
    </row>
    <row r="233" spans="1:10" x14ac:dyDescent="0.25">
      <c r="A233" s="1" t="str">
        <f t="shared" si="3"/>
        <v>08 Atrazine 0.625 mg_L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3413</v>
      </c>
      <c r="D233" s="1" t="s">
        <v>198</v>
      </c>
      <c r="E233" s="1" t="s">
        <v>3414</v>
      </c>
      <c r="F233" s="1" t="s">
        <v>112</v>
      </c>
      <c r="G233" s="1">
        <v>134841</v>
      </c>
    </row>
    <row r="234" spans="1:10" x14ac:dyDescent="0.25">
      <c r="A234" s="1" t="str">
        <f t="shared" si="3"/>
        <v>08 Atrazine 0.625 mg_L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3415</v>
      </c>
    </row>
    <row r="235" spans="1:10" x14ac:dyDescent="0.25">
      <c r="A235" s="1" t="str">
        <f t="shared" si="3"/>
        <v>08 Atrazine 0.625 mg_L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3416</v>
      </c>
    </row>
    <row r="236" spans="1:10" x14ac:dyDescent="0.25">
      <c r="A236" s="1" t="str">
        <f t="shared" si="3"/>
        <v>08 Atrazine 0.625 mg_L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3417</v>
      </c>
    </row>
    <row r="237" spans="1:10" x14ac:dyDescent="0.25">
      <c r="A237" s="1" t="str">
        <f t="shared" si="3"/>
        <v>08 Atrazine 0.625 mg_L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3418</v>
      </c>
      <c r="D237" s="1" t="s">
        <v>3419</v>
      </c>
      <c r="E237" s="1" t="s">
        <v>3420</v>
      </c>
      <c r="F237" s="1" t="s">
        <v>112</v>
      </c>
      <c r="G237" s="1">
        <v>644506</v>
      </c>
    </row>
    <row r="238" spans="1:10" x14ac:dyDescent="0.25">
      <c r="A238" s="1" t="str">
        <f t="shared" si="3"/>
        <v>08 Atrazine 0.625 mg_L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3421</v>
      </c>
      <c r="D238" s="1" t="s">
        <v>3422</v>
      </c>
      <c r="E238" s="1" t="s">
        <v>3423</v>
      </c>
      <c r="F238" s="1" t="s">
        <v>112</v>
      </c>
      <c r="G238" s="1">
        <v>453557</v>
      </c>
    </row>
    <row r="239" spans="1:10" x14ac:dyDescent="0.25">
      <c r="A239" s="1" t="str">
        <f t="shared" si="3"/>
        <v>08 Atrazine 0.625 mg_L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3424</v>
      </c>
      <c r="D239" s="1" t="s">
        <v>2226</v>
      </c>
      <c r="E239" s="1" t="s">
        <v>3425</v>
      </c>
      <c r="F239" s="1" t="s">
        <v>112</v>
      </c>
      <c r="G239" s="1">
        <v>38436</v>
      </c>
    </row>
    <row r="240" spans="1:10" x14ac:dyDescent="0.25">
      <c r="A240" s="1" t="str">
        <f t="shared" si="3"/>
        <v>08 Atrazine 0.625 mg_L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3426</v>
      </c>
      <c r="D240" s="1" t="s">
        <v>957</v>
      </c>
      <c r="E240" s="1" t="s">
        <v>3427</v>
      </c>
      <c r="F240" s="1" t="s">
        <v>112</v>
      </c>
      <c r="G240" s="1">
        <v>113254</v>
      </c>
    </row>
    <row r="241" spans="1:7" x14ac:dyDescent="0.25">
      <c r="A241" s="1" t="str">
        <f t="shared" si="3"/>
        <v>08 Atrazine 0.625 mg_L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3428</v>
      </c>
      <c r="D241" s="1" t="s">
        <v>743</v>
      </c>
      <c r="E241" s="1" t="s">
        <v>3429</v>
      </c>
      <c r="F241" s="1" t="s">
        <v>112</v>
      </c>
      <c r="G241" s="1">
        <v>64435</v>
      </c>
    </row>
    <row r="242" spans="1:7" x14ac:dyDescent="0.25">
      <c r="A242" s="1" t="str">
        <f t="shared" si="3"/>
        <v>08 Atrazine 0.625 mg_L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3430</v>
      </c>
      <c r="D242" s="1" t="s">
        <v>239</v>
      </c>
      <c r="E242" s="1" t="s">
        <v>375</v>
      </c>
      <c r="F242" s="1" t="s">
        <v>112</v>
      </c>
      <c r="G242" s="1">
        <v>24161</v>
      </c>
    </row>
    <row r="243" spans="1:7" x14ac:dyDescent="0.25">
      <c r="A243" s="1" t="str">
        <f t="shared" si="3"/>
        <v>08 Atrazine 0.625 mg_L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3431</v>
      </c>
      <c r="D243" s="1" t="s">
        <v>1808</v>
      </c>
      <c r="E243" s="1" t="s">
        <v>3432</v>
      </c>
      <c r="F243" s="1" t="s">
        <v>112</v>
      </c>
      <c r="G243" s="1">
        <v>78992</v>
      </c>
    </row>
    <row r="244" spans="1:7" x14ac:dyDescent="0.25">
      <c r="A244" s="1" t="str">
        <f t="shared" si="3"/>
        <v>08 Atrazine 0.625 mg_L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3433</v>
      </c>
      <c r="D244" s="1" t="s">
        <v>1851</v>
      </c>
      <c r="E244" s="1" t="s">
        <v>3434</v>
      </c>
      <c r="F244" s="1" t="s">
        <v>112</v>
      </c>
      <c r="G244" s="1">
        <v>151431</v>
      </c>
    </row>
    <row r="245" spans="1:7" x14ac:dyDescent="0.25">
      <c r="A245" s="1" t="str">
        <f t="shared" si="3"/>
        <v>08 Atrazine 0.625 mg_L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3435</v>
      </c>
      <c r="D245" s="1" t="s">
        <v>3436</v>
      </c>
      <c r="E245" s="1" t="s">
        <v>3437</v>
      </c>
      <c r="F245" s="1" t="s">
        <v>112</v>
      </c>
      <c r="G245" s="1">
        <v>177517</v>
      </c>
    </row>
    <row r="246" spans="1:7" x14ac:dyDescent="0.25">
      <c r="A246" s="1" t="str">
        <f t="shared" si="3"/>
        <v>08 Atrazine 0.625 mg_L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3438</v>
      </c>
      <c r="D246" s="1" t="s">
        <v>3439</v>
      </c>
      <c r="E246" s="1" t="s">
        <v>1369</v>
      </c>
      <c r="F246" s="1" t="s">
        <v>112</v>
      </c>
      <c r="G246" s="1">
        <v>179809</v>
      </c>
    </row>
    <row r="247" spans="1:7" x14ac:dyDescent="0.25">
      <c r="A247" s="1" t="str">
        <f t="shared" si="3"/>
        <v>08 Atrazine 0.625 mg_L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3440</v>
      </c>
      <c r="D247" s="1" t="s">
        <v>1695</v>
      </c>
      <c r="E247" s="1" t="s">
        <v>3441</v>
      </c>
      <c r="F247" s="1" t="s">
        <v>112</v>
      </c>
      <c r="G247" s="1">
        <v>218765</v>
      </c>
    </row>
    <row r="248" spans="1:7" x14ac:dyDescent="0.25">
      <c r="A248" s="1" t="str">
        <f t="shared" si="3"/>
        <v>08 Atrazine 0.625 mg_L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3442</v>
      </c>
      <c r="D248" s="1" t="s">
        <v>849</v>
      </c>
      <c r="E248" s="1" t="s">
        <v>3443</v>
      </c>
      <c r="F248" s="1" t="s">
        <v>112</v>
      </c>
      <c r="G248" s="1">
        <v>342207</v>
      </c>
    </row>
    <row r="249" spans="1:7" x14ac:dyDescent="0.25">
      <c r="A249" s="1" t="str">
        <f t="shared" si="3"/>
        <v>08 Atrazine 0.625 mg_L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3444</v>
      </c>
    </row>
    <row r="250" spans="1:7" x14ac:dyDescent="0.25">
      <c r="A250" s="1" t="str">
        <f t="shared" si="3"/>
        <v>08 Atrazine 0.625 mg_L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3445</v>
      </c>
      <c r="D250" s="1" t="s">
        <v>364</v>
      </c>
      <c r="E250" s="1" t="s">
        <v>3446</v>
      </c>
      <c r="F250" s="1" t="s">
        <v>112</v>
      </c>
      <c r="G250" s="1">
        <v>81285</v>
      </c>
    </row>
    <row r="251" spans="1:7" x14ac:dyDescent="0.25">
      <c r="A251" s="1" t="str">
        <f t="shared" si="3"/>
        <v>08 Atrazine 0.625 mg_L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3447</v>
      </c>
      <c r="D251" s="1" t="s">
        <v>270</v>
      </c>
      <c r="E251" s="1" t="s">
        <v>3448</v>
      </c>
      <c r="F251" s="1" t="s">
        <v>112</v>
      </c>
      <c r="G251" s="1">
        <v>246775</v>
      </c>
    </row>
    <row r="252" spans="1:7" x14ac:dyDescent="0.25">
      <c r="A252" s="1" t="str">
        <f t="shared" si="3"/>
        <v>08 Atrazine 0.625 mg_L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3449</v>
      </c>
      <c r="D252" s="1" t="s">
        <v>1715</v>
      </c>
      <c r="E252" s="1" t="s">
        <v>3450</v>
      </c>
      <c r="F252" s="1" t="s">
        <v>112</v>
      </c>
      <c r="G252" s="1">
        <v>246884</v>
      </c>
    </row>
    <row r="253" spans="1:7" x14ac:dyDescent="0.25">
      <c r="A253" s="1" t="str">
        <f t="shared" si="3"/>
        <v>08 Atrazine 0.625 mg_L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3451</v>
      </c>
      <c r="D253" s="1" t="s">
        <v>296</v>
      </c>
      <c r="E253" s="1" t="s">
        <v>3452</v>
      </c>
      <c r="F253" s="1" t="s">
        <v>112</v>
      </c>
      <c r="G253" s="1">
        <v>52863</v>
      </c>
    </row>
    <row r="254" spans="1:7" x14ac:dyDescent="0.25">
      <c r="A254" s="1" t="str">
        <f t="shared" si="3"/>
        <v>08 Atrazine 0.625 mg_L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3453</v>
      </c>
      <c r="D254" s="1" t="s">
        <v>3454</v>
      </c>
      <c r="E254" s="1" t="s">
        <v>3455</v>
      </c>
      <c r="F254" s="1" t="s">
        <v>112</v>
      </c>
      <c r="G254" s="1">
        <v>123442</v>
      </c>
    </row>
    <row r="255" spans="1:7" x14ac:dyDescent="0.25">
      <c r="A255" s="1" t="str">
        <f t="shared" si="3"/>
        <v>08 Atrazine 0.625 mg_L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3456</v>
      </c>
      <c r="D255" s="1" t="s">
        <v>3457</v>
      </c>
      <c r="E255" s="1" t="s">
        <v>3458</v>
      </c>
      <c r="F255" s="1" t="s">
        <v>112</v>
      </c>
      <c r="G255" s="1">
        <v>447523</v>
      </c>
    </row>
    <row r="256" spans="1:7" x14ac:dyDescent="0.25">
      <c r="A256" s="1" t="str">
        <f t="shared" si="3"/>
        <v>08 Atrazine 0.625 mg_L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3459</v>
      </c>
      <c r="D256" s="1" t="s">
        <v>903</v>
      </c>
      <c r="E256" s="1" t="s">
        <v>2504</v>
      </c>
      <c r="F256" s="1" t="s">
        <v>112</v>
      </c>
      <c r="G256" s="1">
        <v>436686</v>
      </c>
    </row>
    <row r="257" spans="1:10"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240</v>
      </c>
      <c r="D258" s="1" t="s">
        <v>112</v>
      </c>
      <c r="E258" s="1" t="s">
        <v>241</v>
      </c>
      <c r="F258" s="1" t="s">
        <v>242</v>
      </c>
      <c r="G258" s="1" t="s">
        <v>243</v>
      </c>
      <c r="H258" s="1" t="s">
        <v>244</v>
      </c>
      <c r="I258" s="1" t="s">
        <v>245</v>
      </c>
      <c r="J258" s="1" t="s">
        <v>246</v>
      </c>
    </row>
    <row r="259" spans="1:10" x14ac:dyDescent="0.25">
      <c r="A259" s="1" t="str">
        <f t="shared" si="4"/>
        <v>08 Atrazine 0.625 mg_L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3460</v>
      </c>
      <c r="D259" s="1" t="s">
        <v>112</v>
      </c>
      <c r="E259" s="1" t="s">
        <v>3461</v>
      </c>
      <c r="F259" s="1" t="s">
        <v>3462</v>
      </c>
      <c r="G259" s="1" t="s">
        <v>3463</v>
      </c>
      <c r="H259" s="1" t="s">
        <v>3464</v>
      </c>
      <c r="I259" s="1">
        <v>24</v>
      </c>
      <c r="J259" s="1">
        <v>24</v>
      </c>
    </row>
    <row r="260" spans="1:10"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252</v>
      </c>
      <c r="D265" s="1" t="s">
        <v>110</v>
      </c>
      <c r="E265" s="1" t="s">
        <v>111</v>
      </c>
      <c r="F265" s="1" t="s">
        <v>112</v>
      </c>
      <c r="G265" s="1" t="s">
        <v>113</v>
      </c>
    </row>
    <row r="266" spans="1:10" x14ac:dyDescent="0.25">
      <c r="A266" s="1" t="str">
        <f t="shared" si="4"/>
        <v>09 Atrazine 1.25 mg_L</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3465</v>
      </c>
      <c r="D266" s="1" t="s">
        <v>228</v>
      </c>
      <c r="E266" s="1" t="s">
        <v>3466</v>
      </c>
      <c r="F266" s="1" t="s">
        <v>112</v>
      </c>
      <c r="G266" s="1">
        <v>186169</v>
      </c>
    </row>
    <row r="267" spans="1:10" x14ac:dyDescent="0.25">
      <c r="A267" s="1" t="str">
        <f t="shared" si="4"/>
        <v>09 Atrazine 1.25 mg_L</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3467</v>
      </c>
      <c r="D267" s="1" t="s">
        <v>3006</v>
      </c>
      <c r="E267" s="1" t="s">
        <v>3468</v>
      </c>
      <c r="F267" s="1" t="s">
        <v>112</v>
      </c>
      <c r="G267" s="1">
        <v>350123</v>
      </c>
    </row>
    <row r="268" spans="1:10" x14ac:dyDescent="0.25">
      <c r="A268" s="1" t="str">
        <f t="shared" si="4"/>
        <v>09 Atrazine 1.25 mg_L</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3469</v>
      </c>
      <c r="D268" s="1" t="s">
        <v>3470</v>
      </c>
      <c r="E268" s="1" t="s">
        <v>3471</v>
      </c>
      <c r="F268" s="1" t="s">
        <v>112</v>
      </c>
      <c r="G268" s="1">
        <v>271585</v>
      </c>
    </row>
    <row r="269" spans="1:10" x14ac:dyDescent="0.25">
      <c r="A269" s="1" t="str">
        <f t="shared" si="4"/>
        <v>09 Atrazine 1.25 mg_L</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3472</v>
      </c>
      <c r="D269" s="1" t="s">
        <v>443</v>
      </c>
      <c r="E269" s="1" t="s">
        <v>3473</v>
      </c>
      <c r="F269" s="1" t="s">
        <v>112</v>
      </c>
      <c r="G269" s="1">
        <v>49727</v>
      </c>
    </row>
    <row r="270" spans="1:10" x14ac:dyDescent="0.25">
      <c r="A270" s="1" t="str">
        <f t="shared" si="4"/>
        <v>09 Atrazine 1.25 mg_L</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3474</v>
      </c>
      <c r="D270" s="1" t="s">
        <v>176</v>
      </c>
      <c r="E270" s="1" t="s">
        <v>3475</v>
      </c>
      <c r="F270" s="1" t="s">
        <v>112</v>
      </c>
      <c r="G270" s="1">
        <v>20786</v>
      </c>
    </row>
    <row r="271" spans="1:10" x14ac:dyDescent="0.25">
      <c r="A271" s="1" t="str">
        <f t="shared" si="4"/>
        <v>09 Atrazine 1.25 mg_L</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3476</v>
      </c>
      <c r="D271" s="1" t="s">
        <v>216</v>
      </c>
      <c r="E271" s="1" t="s">
        <v>3477</v>
      </c>
      <c r="F271" s="1" t="s">
        <v>112</v>
      </c>
      <c r="G271" s="1">
        <v>21695</v>
      </c>
    </row>
    <row r="272" spans="1:10" x14ac:dyDescent="0.25">
      <c r="A272" s="1" t="str">
        <f t="shared" si="4"/>
        <v>09 Atrazine 1.25 mg_L</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3478</v>
      </c>
      <c r="D272" s="1" t="s">
        <v>3479</v>
      </c>
      <c r="E272" s="1" t="s">
        <v>3480</v>
      </c>
      <c r="F272" s="1" t="s">
        <v>112</v>
      </c>
      <c r="G272" s="1">
        <v>202867</v>
      </c>
    </row>
    <row r="273" spans="1:7" x14ac:dyDescent="0.25">
      <c r="A273" s="1" t="str">
        <f t="shared" si="4"/>
        <v>09 Atrazine 1.25 mg_L</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3481</v>
      </c>
      <c r="D273" s="1" t="s">
        <v>981</v>
      </c>
      <c r="E273" s="1" t="s">
        <v>3482</v>
      </c>
      <c r="F273" s="1" t="s">
        <v>112</v>
      </c>
      <c r="G273" s="1">
        <v>71595</v>
      </c>
    </row>
    <row r="274" spans="1:7" x14ac:dyDescent="0.25">
      <c r="A274" s="1" t="str">
        <f t="shared" si="4"/>
        <v>09 Atrazine 1.25 mg_L</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3483</v>
      </c>
    </row>
    <row r="275" spans="1:7" x14ac:dyDescent="0.25">
      <c r="A275" s="1" t="str">
        <f t="shared" si="4"/>
        <v>09 Atrazine 1.25 mg_L</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3484</v>
      </c>
      <c r="D275" s="1" t="s">
        <v>3485</v>
      </c>
      <c r="E275" s="1" t="s">
        <v>3486</v>
      </c>
      <c r="F275" s="1" t="s">
        <v>112</v>
      </c>
      <c r="G275" s="1">
        <v>436145</v>
      </c>
    </row>
    <row r="276" spans="1:7" x14ac:dyDescent="0.25">
      <c r="A276" s="1" t="str">
        <f t="shared" si="4"/>
        <v>09 Atrazine 1.25 mg_L</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3487</v>
      </c>
    </row>
    <row r="277" spans="1:7" x14ac:dyDescent="0.25">
      <c r="A277" s="1" t="str">
        <f t="shared" si="4"/>
        <v>09 Atrazine 1.25 mg_L</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3488</v>
      </c>
    </row>
    <row r="278" spans="1:7" x14ac:dyDescent="0.25">
      <c r="A278" s="1" t="str">
        <f t="shared" si="4"/>
        <v>09 Atrazine 1.25 mg_L</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3489</v>
      </c>
      <c r="D278" s="1" t="s">
        <v>1892</v>
      </c>
      <c r="E278" s="1" t="s">
        <v>3490</v>
      </c>
      <c r="F278" s="1" t="s">
        <v>112</v>
      </c>
      <c r="G278" s="1">
        <v>139859</v>
      </c>
    </row>
    <row r="279" spans="1:7" x14ac:dyDescent="0.25">
      <c r="A279" s="1" t="str">
        <f t="shared" si="4"/>
        <v>09 Atrazine 1.25 mg_L</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3491</v>
      </c>
      <c r="D279" s="1" t="s">
        <v>1825</v>
      </c>
      <c r="E279" s="1" t="s">
        <v>3492</v>
      </c>
      <c r="F279" s="1" t="s">
        <v>112</v>
      </c>
      <c r="G279" s="1">
        <v>250669</v>
      </c>
    </row>
    <row r="280" spans="1:7" x14ac:dyDescent="0.25">
      <c r="A280" s="1" t="str">
        <f t="shared" si="4"/>
        <v>09 Atrazine 1.25 mg_L</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3493</v>
      </c>
      <c r="D280" s="1" t="s">
        <v>3494</v>
      </c>
      <c r="E280" s="1" t="s">
        <v>3495</v>
      </c>
      <c r="F280" s="1" t="s">
        <v>112</v>
      </c>
      <c r="G280" s="1">
        <v>204532</v>
      </c>
    </row>
    <row r="281" spans="1:7" x14ac:dyDescent="0.25">
      <c r="A281" s="1" t="str">
        <f t="shared" si="4"/>
        <v>09 Atrazine 1.25 mg_L</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3496</v>
      </c>
      <c r="D281" s="1" t="s">
        <v>3497</v>
      </c>
      <c r="E281" s="1" t="s">
        <v>3498</v>
      </c>
      <c r="F281" s="1" t="s">
        <v>112</v>
      </c>
      <c r="G281" s="1">
        <v>173688</v>
      </c>
    </row>
    <row r="282" spans="1:7" x14ac:dyDescent="0.25">
      <c r="A282" s="1" t="str">
        <f t="shared" si="4"/>
        <v>09 Atrazine 1.25 mg_L</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3499</v>
      </c>
      <c r="D282" s="1" t="s">
        <v>1848</v>
      </c>
      <c r="E282" s="1">
        <v>65</v>
      </c>
      <c r="F282" s="1" t="s">
        <v>112</v>
      </c>
      <c r="G282" s="1">
        <v>133565</v>
      </c>
    </row>
    <row r="283" spans="1:7" x14ac:dyDescent="0.25">
      <c r="A283" s="1" t="str">
        <f t="shared" si="4"/>
        <v>09 Atrazine 1.25 mg_L</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3500</v>
      </c>
      <c r="D283" s="1" t="s">
        <v>3501</v>
      </c>
      <c r="E283" s="1" t="s">
        <v>190</v>
      </c>
      <c r="F283" s="1" t="s">
        <v>112</v>
      </c>
      <c r="G283" s="1">
        <v>252053</v>
      </c>
    </row>
    <row r="284" spans="1:7" x14ac:dyDescent="0.25">
      <c r="A284" s="1" t="str">
        <f t="shared" si="4"/>
        <v>09 Atrazine 1.25 mg_L</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3502</v>
      </c>
      <c r="D284" s="1" t="s">
        <v>1819</v>
      </c>
      <c r="E284" s="1" t="s">
        <v>3503</v>
      </c>
      <c r="F284" s="1" t="s">
        <v>112</v>
      </c>
      <c r="G284" s="1">
        <v>283352</v>
      </c>
    </row>
    <row r="285" spans="1:7" x14ac:dyDescent="0.25">
      <c r="A285" s="1" t="str">
        <f t="shared" si="4"/>
        <v>09 Atrazine 1.25 mg_L</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3504</v>
      </c>
      <c r="D285" s="1" t="s">
        <v>770</v>
      </c>
      <c r="E285" s="1" t="s">
        <v>3505</v>
      </c>
      <c r="F285" s="1" t="s">
        <v>112</v>
      </c>
      <c r="G285" s="1">
        <v>279631</v>
      </c>
    </row>
    <row r="286" spans="1:7" x14ac:dyDescent="0.25">
      <c r="A286" s="1" t="str">
        <f t="shared" si="4"/>
        <v>09 Atrazine 1.25 mg_L</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3506</v>
      </c>
      <c r="D286" s="1" t="s">
        <v>3507</v>
      </c>
      <c r="E286" s="1" t="s">
        <v>3508</v>
      </c>
      <c r="F286" s="1" t="s">
        <v>112</v>
      </c>
      <c r="G286" s="1">
        <v>344218</v>
      </c>
    </row>
    <row r="287" spans="1:7" x14ac:dyDescent="0.25">
      <c r="A287" s="1" t="str">
        <f t="shared" si="4"/>
        <v>09 Atrazine 1.25 mg_L</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3509</v>
      </c>
      <c r="D287" s="1" t="s">
        <v>3510</v>
      </c>
      <c r="E287" s="1" t="s">
        <v>3511</v>
      </c>
      <c r="F287" s="1" t="s">
        <v>112</v>
      </c>
      <c r="G287" s="1">
        <v>195924</v>
      </c>
    </row>
    <row r="288" spans="1:7" x14ac:dyDescent="0.25">
      <c r="A288" s="1" t="str">
        <f t="shared" si="4"/>
        <v>09 Atrazine 1.25 mg_L</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3512</v>
      </c>
      <c r="D288" s="1" t="s">
        <v>1825</v>
      </c>
      <c r="E288" s="1" t="s">
        <v>3513</v>
      </c>
      <c r="F288" s="1" t="s">
        <v>112</v>
      </c>
      <c r="G288" s="1">
        <v>240849</v>
      </c>
    </row>
    <row r="289" spans="1:10" x14ac:dyDescent="0.25">
      <c r="A289" s="1" t="str">
        <f t="shared" si="4"/>
        <v>09 Atrazine 1.25 mg_L</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3514</v>
      </c>
      <c r="D289" s="1" t="s">
        <v>422</v>
      </c>
      <c r="E289" s="1" t="s">
        <v>3515</v>
      </c>
      <c r="F289" s="1" t="s">
        <v>112</v>
      </c>
      <c r="G289" s="1">
        <v>91278</v>
      </c>
    </row>
    <row r="290" spans="1:10"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240</v>
      </c>
      <c r="D291" s="1" t="s">
        <v>112</v>
      </c>
      <c r="E291" s="1" t="s">
        <v>241</v>
      </c>
      <c r="F291" s="1" t="s">
        <v>242</v>
      </c>
      <c r="G291" s="1" t="s">
        <v>243</v>
      </c>
      <c r="H291" s="1" t="s">
        <v>244</v>
      </c>
      <c r="I291" s="1" t="s">
        <v>245</v>
      </c>
      <c r="J291" s="1" t="s">
        <v>246</v>
      </c>
    </row>
    <row r="292" spans="1:10" x14ac:dyDescent="0.25">
      <c r="A292" s="1" t="str">
        <f t="shared" si="4"/>
        <v>09 Atrazine 1.25 mg_L</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3516</v>
      </c>
      <c r="D292" s="1" t="s">
        <v>112</v>
      </c>
      <c r="E292" s="1" t="s">
        <v>3517</v>
      </c>
      <c r="F292" s="1" t="s">
        <v>3518</v>
      </c>
      <c r="G292" s="1" t="s">
        <v>3519</v>
      </c>
      <c r="H292" s="1" t="s">
        <v>3520</v>
      </c>
      <c r="I292" s="1">
        <v>24</v>
      </c>
      <c r="J292" s="1">
        <v>24</v>
      </c>
    </row>
    <row r="293" spans="1:10"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252</v>
      </c>
      <c r="D298" s="1" t="s">
        <v>110</v>
      </c>
      <c r="E298" s="1" t="s">
        <v>111</v>
      </c>
      <c r="F298" s="1" t="s">
        <v>112</v>
      </c>
      <c r="G298" s="1" t="s">
        <v>113</v>
      </c>
    </row>
    <row r="299" spans="1:10" x14ac:dyDescent="0.25">
      <c r="A299" s="1" t="str">
        <f t="shared" si="4"/>
        <v>10 Atrazine 2.5 mg_L</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3521</v>
      </c>
      <c r="D299" s="1" t="s">
        <v>781</v>
      </c>
      <c r="E299" s="1" t="s">
        <v>3522</v>
      </c>
      <c r="F299" s="1" t="s">
        <v>112</v>
      </c>
      <c r="G299" s="1">
        <v>653893</v>
      </c>
    </row>
    <row r="300" spans="1:10" x14ac:dyDescent="0.25">
      <c r="A300" s="1" t="str">
        <f t="shared" si="4"/>
        <v>10 Atrazine 2.5 mg_L</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3523</v>
      </c>
      <c r="D300" s="1" t="s">
        <v>957</v>
      </c>
      <c r="E300" s="1" t="s">
        <v>3524</v>
      </c>
      <c r="F300" s="1" t="s">
        <v>112</v>
      </c>
      <c r="G300" s="1">
        <v>110291</v>
      </c>
    </row>
    <row r="301" spans="1:10" x14ac:dyDescent="0.25">
      <c r="A301" s="1" t="str">
        <f t="shared" si="4"/>
        <v>10 Atrazine 2.5 mg_L</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3525</v>
      </c>
      <c r="D301" s="1" t="s">
        <v>3526</v>
      </c>
      <c r="E301" s="1" t="s">
        <v>3527</v>
      </c>
      <c r="F301" s="1" t="s">
        <v>112</v>
      </c>
      <c r="G301" s="1">
        <v>655689</v>
      </c>
    </row>
    <row r="302" spans="1:10" x14ac:dyDescent="0.25">
      <c r="A302" s="1" t="str">
        <f t="shared" si="4"/>
        <v>10 Atrazine 2.5 mg_L</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3528</v>
      </c>
      <c r="D302" s="1" t="s">
        <v>972</v>
      </c>
      <c r="E302" s="1" t="s">
        <v>3529</v>
      </c>
      <c r="F302" s="1" t="s">
        <v>112</v>
      </c>
      <c r="G302" s="1">
        <v>102937</v>
      </c>
    </row>
    <row r="303" spans="1:10" x14ac:dyDescent="0.25">
      <c r="A303" s="1" t="str">
        <f t="shared" si="4"/>
        <v>10 Atrazine 2.5 mg_L</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3530</v>
      </c>
      <c r="D303" s="1" t="s">
        <v>176</v>
      </c>
      <c r="E303" s="1" t="s">
        <v>3531</v>
      </c>
      <c r="F303" s="1" t="s">
        <v>112</v>
      </c>
      <c r="G303" s="1">
        <v>20137</v>
      </c>
    </row>
    <row r="304" spans="1:10" x14ac:dyDescent="0.25">
      <c r="A304" s="1" t="str">
        <f t="shared" si="4"/>
        <v>10 Atrazine 2.5 mg_L</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3532</v>
      </c>
      <c r="D304" s="1" t="s">
        <v>219</v>
      </c>
      <c r="E304" s="1" t="s">
        <v>2387</v>
      </c>
      <c r="F304" s="1" t="s">
        <v>112</v>
      </c>
      <c r="G304" s="1">
        <v>30152</v>
      </c>
    </row>
    <row r="305" spans="1:7" x14ac:dyDescent="0.25">
      <c r="A305" s="1" t="str">
        <f t="shared" si="4"/>
        <v>10 Atrazine 2.5 mg_L</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3533</v>
      </c>
      <c r="D305" s="1" t="s">
        <v>3534</v>
      </c>
      <c r="E305" s="1" t="s">
        <v>3535</v>
      </c>
      <c r="F305" s="1" t="s">
        <v>112</v>
      </c>
      <c r="G305" s="1">
        <v>1356476</v>
      </c>
    </row>
    <row r="306" spans="1:7" x14ac:dyDescent="0.25">
      <c r="A306" s="1" t="str">
        <f t="shared" si="4"/>
        <v>10 Atrazine 2.5 mg_L</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3536</v>
      </c>
      <c r="D306" s="1" t="s">
        <v>3537</v>
      </c>
      <c r="E306" s="1" t="s">
        <v>3538</v>
      </c>
      <c r="F306" s="1" t="s">
        <v>112</v>
      </c>
      <c r="G306" s="1">
        <v>528202</v>
      </c>
    </row>
    <row r="307" spans="1:7" x14ac:dyDescent="0.25">
      <c r="A307" s="1" t="str">
        <f t="shared" si="4"/>
        <v>10 Atrazine 2.5 mg_L</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3539</v>
      </c>
      <c r="D307" s="1" t="s">
        <v>3540</v>
      </c>
      <c r="E307" s="1" t="s">
        <v>3541</v>
      </c>
      <c r="F307" s="1" t="s">
        <v>112</v>
      </c>
      <c r="G307" s="1">
        <v>910467</v>
      </c>
    </row>
    <row r="308" spans="1:7" x14ac:dyDescent="0.25">
      <c r="A308" s="1" t="str">
        <f t="shared" si="4"/>
        <v>10 Atrazine 2.5 mg_L</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3542</v>
      </c>
      <c r="D308" s="1" t="s">
        <v>364</v>
      </c>
      <c r="E308" s="1" t="s">
        <v>3543</v>
      </c>
      <c r="F308" s="1" t="s">
        <v>112</v>
      </c>
      <c r="G308" s="1">
        <v>81134</v>
      </c>
    </row>
    <row r="309" spans="1:7" x14ac:dyDescent="0.25">
      <c r="A309" s="1" t="str">
        <f t="shared" si="4"/>
        <v>10 Atrazine 2.5 mg_L</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3544</v>
      </c>
      <c r="D309" s="1" t="s">
        <v>402</v>
      </c>
      <c r="E309" s="1" t="s">
        <v>3545</v>
      </c>
      <c r="F309" s="1" t="s">
        <v>112</v>
      </c>
      <c r="G309" s="1">
        <v>272537</v>
      </c>
    </row>
    <row r="310" spans="1:7" x14ac:dyDescent="0.25">
      <c r="A310" s="1" t="str">
        <f t="shared" si="4"/>
        <v>10 Atrazine 2.5 mg_L</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3546</v>
      </c>
      <c r="D310" s="1" t="s">
        <v>3547</v>
      </c>
      <c r="E310" s="1" t="s">
        <v>3548</v>
      </c>
      <c r="F310" s="1" t="s">
        <v>112</v>
      </c>
      <c r="G310" s="1">
        <v>109317</v>
      </c>
    </row>
    <row r="311" spans="1:7" x14ac:dyDescent="0.25">
      <c r="A311" s="1" t="str">
        <f t="shared" si="4"/>
        <v>10 Atrazine 2.5 mg_L</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3549</v>
      </c>
      <c r="D311" s="1" t="s">
        <v>2997</v>
      </c>
      <c r="E311" s="1" t="s">
        <v>3550</v>
      </c>
      <c r="F311" s="1" t="s">
        <v>112</v>
      </c>
      <c r="G311" s="1">
        <v>105749</v>
      </c>
    </row>
    <row r="312" spans="1:7" x14ac:dyDescent="0.25">
      <c r="A312" s="1" t="str">
        <f t="shared" si="4"/>
        <v>10 Atrazine 2.5 mg_L</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3551</v>
      </c>
      <c r="D312" s="1" t="s">
        <v>3552</v>
      </c>
      <c r="E312" s="1" t="s">
        <v>3553</v>
      </c>
      <c r="F312" s="1" t="s">
        <v>112</v>
      </c>
      <c r="G312" s="1">
        <v>170681</v>
      </c>
    </row>
    <row r="313" spans="1:7" x14ac:dyDescent="0.25">
      <c r="A313" s="1" t="str">
        <f t="shared" si="4"/>
        <v>10 Atrazine 2.5 mg_L</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3554</v>
      </c>
      <c r="D313" s="1" t="s">
        <v>270</v>
      </c>
      <c r="E313" s="1" t="s">
        <v>3555</v>
      </c>
      <c r="F313" s="1" t="s">
        <v>112</v>
      </c>
      <c r="G313" s="1">
        <v>232694</v>
      </c>
    </row>
    <row r="314" spans="1:7" x14ac:dyDescent="0.25">
      <c r="A314" s="1" t="str">
        <f t="shared" si="4"/>
        <v>10 Atrazine 2.5 mg_L</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3556</v>
      </c>
      <c r="D314" s="1" t="s">
        <v>2137</v>
      </c>
      <c r="E314" s="1" t="s">
        <v>3557</v>
      </c>
      <c r="F314" s="1" t="s">
        <v>112</v>
      </c>
      <c r="G314" s="1">
        <v>321723</v>
      </c>
    </row>
    <row r="315" spans="1:7" x14ac:dyDescent="0.25">
      <c r="A315" s="1" t="str">
        <f t="shared" si="4"/>
        <v>10 Atrazine 2.5 mg_L</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3558</v>
      </c>
    </row>
    <row r="316" spans="1:7" x14ac:dyDescent="0.25">
      <c r="A316" s="1" t="str">
        <f t="shared" si="4"/>
        <v>10 Atrazine 2.5 mg_L</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3559</v>
      </c>
      <c r="D316" s="1" t="s">
        <v>1851</v>
      </c>
      <c r="E316" s="1" t="s">
        <v>3560</v>
      </c>
      <c r="F316" s="1" t="s">
        <v>112</v>
      </c>
      <c r="G316" s="1">
        <v>148035</v>
      </c>
    </row>
    <row r="317" spans="1:7" x14ac:dyDescent="0.25">
      <c r="A317" s="1" t="str">
        <f t="shared" si="4"/>
        <v>10 Atrazine 2.5 mg_L</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3561</v>
      </c>
      <c r="D317" s="1" t="s">
        <v>1926</v>
      </c>
      <c r="E317" s="1" t="s">
        <v>3562</v>
      </c>
      <c r="F317" s="1" t="s">
        <v>112</v>
      </c>
      <c r="G317" s="1">
        <v>329769</v>
      </c>
    </row>
    <row r="318" spans="1:7" x14ac:dyDescent="0.25">
      <c r="A318" s="1" t="str">
        <f t="shared" si="4"/>
        <v>10 Atrazine 2.5 mg_L</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3563</v>
      </c>
      <c r="D318" s="1" t="s">
        <v>3177</v>
      </c>
      <c r="E318" s="1" t="s">
        <v>3564</v>
      </c>
      <c r="F318" s="1" t="s">
        <v>112</v>
      </c>
      <c r="G318" s="1">
        <v>203105</v>
      </c>
    </row>
    <row r="319" spans="1:7" x14ac:dyDescent="0.25">
      <c r="A319" s="1" t="str">
        <f t="shared" si="4"/>
        <v>10 Atrazine 2.5 mg_L</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3565</v>
      </c>
      <c r="D319" s="1" t="s">
        <v>1926</v>
      </c>
      <c r="E319" s="1" t="s">
        <v>3566</v>
      </c>
      <c r="F319" s="1" t="s">
        <v>112</v>
      </c>
      <c r="G319" s="1">
        <v>326503</v>
      </c>
    </row>
    <row r="320" spans="1:7" x14ac:dyDescent="0.25">
      <c r="A320" s="1" t="str">
        <f t="shared" si="4"/>
        <v>10 Atrazine 2.5 mg_L</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3567</v>
      </c>
      <c r="D320" s="1" t="s">
        <v>182</v>
      </c>
      <c r="E320" s="1" t="s">
        <v>3568</v>
      </c>
      <c r="F320" s="1" t="s">
        <v>112</v>
      </c>
      <c r="G320" s="1">
        <v>25934</v>
      </c>
    </row>
    <row r="321" spans="1:10" x14ac:dyDescent="0.25">
      <c r="A321" s="1" t="str">
        <f t="shared" si="4"/>
        <v>10 Atrazine 2.5 mg_L</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3569</v>
      </c>
      <c r="D321" s="1" t="s">
        <v>219</v>
      </c>
      <c r="E321" s="1" t="s">
        <v>3570</v>
      </c>
      <c r="F321" s="1" t="s">
        <v>112</v>
      </c>
      <c r="G321" s="1">
        <v>29438</v>
      </c>
    </row>
    <row r="322" spans="1:10" x14ac:dyDescent="0.25">
      <c r="A322" s="1" t="str">
        <f t="shared" ref="A322:A385" si="5">IFERROR(LEFT(RIGHT(C322,LEN(C322)-SEARCH("@",C322)),SEARCH("/",RIGHT(C322,LEN(C322)-SEARCH("@",C322)-1))),"")</f>
        <v>10 Atrazine 2.5 mg_L</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3571</v>
      </c>
      <c r="D322" s="1" t="s">
        <v>219</v>
      </c>
      <c r="E322" s="1" t="s">
        <v>1216</v>
      </c>
      <c r="F322" s="1" t="s">
        <v>112</v>
      </c>
      <c r="G322" s="1">
        <v>29849</v>
      </c>
    </row>
    <row r="323" spans="1:10"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240</v>
      </c>
      <c r="D324" s="1" t="s">
        <v>112</v>
      </c>
      <c r="E324" s="1" t="s">
        <v>241</v>
      </c>
      <c r="F324" s="1" t="s">
        <v>242</v>
      </c>
      <c r="G324" s="1" t="s">
        <v>243</v>
      </c>
      <c r="H324" s="1" t="s">
        <v>244</v>
      </c>
      <c r="I324" s="1" t="s">
        <v>245</v>
      </c>
      <c r="J324" s="1" t="s">
        <v>246</v>
      </c>
    </row>
    <row r="325" spans="1:10" x14ac:dyDescent="0.25">
      <c r="A325" s="1" t="str">
        <f t="shared" si="5"/>
        <v>10 Atrazine 2.5 mg_L</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3572</v>
      </c>
      <c r="D325" s="1" t="s">
        <v>112</v>
      </c>
      <c r="E325" s="1" t="s">
        <v>3573</v>
      </c>
      <c r="F325" s="1" t="s">
        <v>3574</v>
      </c>
      <c r="G325" s="1" t="s">
        <v>3575</v>
      </c>
      <c r="H325" s="1" t="s">
        <v>3576</v>
      </c>
      <c r="I325" s="1">
        <v>24</v>
      </c>
      <c r="J325" s="1">
        <v>24</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252</v>
      </c>
      <c r="D331" s="1" t="s">
        <v>110</v>
      </c>
      <c r="E331" s="1" t="s">
        <v>111</v>
      </c>
      <c r="F331" s="1" t="s">
        <v>112</v>
      </c>
      <c r="G331" s="1" t="s">
        <v>113</v>
      </c>
    </row>
    <row r="332" spans="1:10" x14ac:dyDescent="0.25">
      <c r="A332" s="1" t="str">
        <f t="shared" si="5"/>
        <v>11 Atrazine 5 mg_L</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3577</v>
      </c>
      <c r="D332" s="1" t="s">
        <v>273</v>
      </c>
      <c r="E332" s="1" t="s">
        <v>3578</v>
      </c>
      <c r="F332" s="1" t="s">
        <v>112</v>
      </c>
      <c r="G332" s="1">
        <v>47607</v>
      </c>
    </row>
    <row r="333" spans="1:10" x14ac:dyDescent="0.25">
      <c r="A333" s="1" t="str">
        <f t="shared" si="5"/>
        <v>11 Atrazine 5 mg_L</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3579</v>
      </c>
      <c r="D333" s="1" t="s">
        <v>296</v>
      </c>
      <c r="E333" s="1" t="s">
        <v>3580</v>
      </c>
      <c r="F333" s="1" t="s">
        <v>112</v>
      </c>
      <c r="G333" s="1">
        <v>52950</v>
      </c>
    </row>
    <row r="334" spans="1:10" x14ac:dyDescent="0.25">
      <c r="A334" s="1" t="str">
        <f t="shared" si="5"/>
        <v>11 Atrazine 5 mg_L</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3581</v>
      </c>
      <c r="D334" s="1" t="s">
        <v>734</v>
      </c>
      <c r="E334" s="1" t="s">
        <v>3582</v>
      </c>
      <c r="F334" s="1" t="s">
        <v>112</v>
      </c>
      <c r="G334" s="1">
        <v>57990</v>
      </c>
    </row>
    <row r="335" spans="1:10" x14ac:dyDescent="0.25">
      <c r="A335" s="1" t="str">
        <f t="shared" si="5"/>
        <v>11 Atrazine 5 mg_L</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3583</v>
      </c>
      <c r="D335" s="1" t="s">
        <v>326</v>
      </c>
      <c r="E335" s="1" t="s">
        <v>3584</v>
      </c>
      <c r="F335" s="1" t="s">
        <v>112</v>
      </c>
      <c r="G335" s="1">
        <v>29200</v>
      </c>
    </row>
    <row r="336" spans="1:10" x14ac:dyDescent="0.25">
      <c r="A336" s="1" t="str">
        <f t="shared" si="5"/>
        <v>11 Atrazine 5 mg_L</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3585</v>
      </c>
      <c r="D336" s="1" t="s">
        <v>2343</v>
      </c>
      <c r="E336" s="1" t="s">
        <v>3586</v>
      </c>
      <c r="F336" s="1" t="s">
        <v>112</v>
      </c>
      <c r="G336" s="1">
        <v>126059</v>
      </c>
    </row>
    <row r="337" spans="1:7" x14ac:dyDescent="0.25">
      <c r="A337" s="1" t="str">
        <f t="shared" si="5"/>
        <v>11 Atrazine 5 mg_L</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3587</v>
      </c>
      <c r="D337" s="1" t="s">
        <v>884</v>
      </c>
      <c r="E337" s="1" t="s">
        <v>3582</v>
      </c>
      <c r="F337" s="1" t="s">
        <v>112</v>
      </c>
      <c r="G337" s="1">
        <v>33137</v>
      </c>
    </row>
    <row r="338" spans="1:7" x14ac:dyDescent="0.25">
      <c r="A338" s="1" t="str">
        <f t="shared" si="5"/>
        <v>11 Atrazine 5 mg_L</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3588</v>
      </c>
      <c r="D338" s="1" t="s">
        <v>1798</v>
      </c>
      <c r="E338" s="1" t="s">
        <v>1774</v>
      </c>
      <c r="F338" s="1" t="s">
        <v>112</v>
      </c>
      <c r="G338" s="1">
        <v>58682</v>
      </c>
    </row>
    <row r="339" spans="1:7" x14ac:dyDescent="0.25">
      <c r="A339" s="1" t="str">
        <f t="shared" si="5"/>
        <v>11 Atrazine 5 mg_L</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3589</v>
      </c>
      <c r="D339" s="1" t="s">
        <v>1808</v>
      </c>
      <c r="E339" s="1" t="s">
        <v>3590</v>
      </c>
      <c r="F339" s="1" t="s">
        <v>112</v>
      </c>
      <c r="G339" s="1">
        <v>79858</v>
      </c>
    </row>
    <row r="340" spans="1:7" x14ac:dyDescent="0.25">
      <c r="A340" s="1" t="str">
        <f t="shared" si="5"/>
        <v>11 Atrazine 5 mg_L</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3591</v>
      </c>
      <c r="D340" s="1" t="s">
        <v>279</v>
      </c>
      <c r="E340" s="1">
        <v>63</v>
      </c>
      <c r="F340" s="1" t="s">
        <v>112</v>
      </c>
      <c r="G340" s="1">
        <v>16352</v>
      </c>
    </row>
    <row r="341" spans="1:7" x14ac:dyDescent="0.25">
      <c r="A341" s="1" t="str">
        <f t="shared" si="5"/>
        <v>11 Atrazine 5 mg_L</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3592</v>
      </c>
      <c r="D341" s="1" t="s">
        <v>1771</v>
      </c>
      <c r="E341" s="1" t="s">
        <v>3593</v>
      </c>
      <c r="F341" s="1" t="s">
        <v>112</v>
      </c>
      <c r="G341" s="1">
        <v>39669</v>
      </c>
    </row>
    <row r="342" spans="1:7" x14ac:dyDescent="0.25">
      <c r="A342" s="1" t="str">
        <f t="shared" si="5"/>
        <v>11 Atrazine 5 mg_L</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3594</v>
      </c>
      <c r="D342" s="1" t="s">
        <v>176</v>
      </c>
      <c r="E342" s="1" t="s">
        <v>346</v>
      </c>
      <c r="F342" s="1" t="s">
        <v>112</v>
      </c>
      <c r="G342" s="1">
        <v>20548</v>
      </c>
    </row>
    <row r="343" spans="1:7" x14ac:dyDescent="0.25">
      <c r="A343" s="1" t="str">
        <f t="shared" si="5"/>
        <v>11 Atrazine 5 mg_L</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3595</v>
      </c>
      <c r="D343" s="1" t="s">
        <v>3596</v>
      </c>
      <c r="E343" s="1" t="s">
        <v>3597</v>
      </c>
      <c r="F343" s="1" t="s">
        <v>112</v>
      </c>
      <c r="G343" s="1">
        <v>558030</v>
      </c>
    </row>
    <row r="344" spans="1:7" x14ac:dyDescent="0.25">
      <c r="A344" s="1" t="str">
        <f t="shared" si="5"/>
        <v>11 Atrazine 5 mg_L</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3598</v>
      </c>
      <c r="D344" s="1" t="s">
        <v>957</v>
      </c>
      <c r="E344" s="1" t="s">
        <v>1767</v>
      </c>
      <c r="F344" s="1" t="s">
        <v>112</v>
      </c>
      <c r="G344" s="1">
        <v>111935</v>
      </c>
    </row>
    <row r="345" spans="1:7" x14ac:dyDescent="0.25">
      <c r="A345" s="1" t="str">
        <f t="shared" si="5"/>
        <v>11 Atrazine 5 mg_L</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3599</v>
      </c>
      <c r="D345" s="1" t="s">
        <v>338</v>
      </c>
      <c r="E345" s="1" t="s">
        <v>3600</v>
      </c>
      <c r="F345" s="1" t="s">
        <v>112</v>
      </c>
      <c r="G345" s="1">
        <v>47045</v>
      </c>
    </row>
    <row r="346" spans="1:7" x14ac:dyDescent="0.25">
      <c r="A346" s="1" t="str">
        <f t="shared" si="5"/>
        <v>11 Atrazine 5 mg_L</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3601</v>
      </c>
      <c r="D346" s="1" t="s">
        <v>3510</v>
      </c>
      <c r="E346" s="1" t="s">
        <v>3602</v>
      </c>
      <c r="F346" s="1" t="s">
        <v>112</v>
      </c>
      <c r="G346" s="1">
        <v>203775</v>
      </c>
    </row>
    <row r="347" spans="1:7" x14ac:dyDescent="0.25">
      <c r="A347" s="1" t="str">
        <f t="shared" si="5"/>
        <v>11 Atrazine 5 mg_L</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3603</v>
      </c>
      <c r="D347" s="1" t="s">
        <v>3604</v>
      </c>
      <c r="E347" s="1" t="s">
        <v>3605</v>
      </c>
      <c r="F347" s="1" t="s">
        <v>112</v>
      </c>
      <c r="G347" s="1">
        <v>1175152</v>
      </c>
    </row>
    <row r="348" spans="1:7" x14ac:dyDescent="0.25">
      <c r="A348" s="1" t="str">
        <f t="shared" si="5"/>
        <v>11 Atrazine 5 mg_L</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3606</v>
      </c>
      <c r="D348" s="1" t="s">
        <v>3607</v>
      </c>
      <c r="E348" s="1" t="s">
        <v>3608</v>
      </c>
      <c r="F348" s="1" t="s">
        <v>112</v>
      </c>
      <c r="G348" s="1">
        <v>1203877</v>
      </c>
    </row>
    <row r="349" spans="1:7" x14ac:dyDescent="0.25">
      <c r="A349" s="1" t="str">
        <f t="shared" si="5"/>
        <v>11 Atrazine 5 mg_L</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3609</v>
      </c>
      <c r="D349" s="1" t="s">
        <v>3610</v>
      </c>
      <c r="E349" s="1" t="s">
        <v>3611</v>
      </c>
      <c r="F349" s="1" t="s">
        <v>112</v>
      </c>
      <c r="G349" s="1">
        <v>923943</v>
      </c>
    </row>
    <row r="350" spans="1:7" x14ac:dyDescent="0.25">
      <c r="A350" s="1" t="str">
        <f t="shared" si="5"/>
        <v>11 Atrazine 5 mg_L</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3612</v>
      </c>
      <c r="D350" s="1" t="s">
        <v>697</v>
      </c>
      <c r="E350" s="1" t="s">
        <v>3613</v>
      </c>
      <c r="F350" s="1" t="s">
        <v>112</v>
      </c>
      <c r="G350" s="1">
        <v>31169</v>
      </c>
    </row>
    <row r="351" spans="1:7" x14ac:dyDescent="0.25">
      <c r="A351" s="1" t="str">
        <f t="shared" si="5"/>
        <v>11 Atrazine 5 mg_L</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3614</v>
      </c>
      <c r="D351" s="1" t="s">
        <v>416</v>
      </c>
      <c r="E351" s="1">
        <v>67</v>
      </c>
      <c r="F351" s="1" t="s">
        <v>112</v>
      </c>
      <c r="G351" s="1">
        <v>24636</v>
      </c>
    </row>
    <row r="352" spans="1:7" x14ac:dyDescent="0.25">
      <c r="A352" s="1" t="str">
        <f t="shared" si="5"/>
        <v>11 Atrazine 5 mg_L</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3615</v>
      </c>
      <c r="D352" s="1" t="s">
        <v>1766</v>
      </c>
      <c r="E352" s="1" t="s">
        <v>3616</v>
      </c>
      <c r="F352" s="1" t="s">
        <v>112</v>
      </c>
      <c r="G352" s="1">
        <v>37117</v>
      </c>
    </row>
    <row r="353" spans="1:10" x14ac:dyDescent="0.25">
      <c r="A353" s="1" t="str">
        <f t="shared" si="5"/>
        <v>11 Atrazine 5 mg_L</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3617</v>
      </c>
      <c r="D353" s="1" t="s">
        <v>422</v>
      </c>
      <c r="E353" s="1" t="s">
        <v>3618</v>
      </c>
      <c r="F353" s="1" t="s">
        <v>112</v>
      </c>
      <c r="G353" s="1">
        <v>89591</v>
      </c>
    </row>
    <row r="354" spans="1:10" x14ac:dyDescent="0.25">
      <c r="A354" s="1" t="str">
        <f t="shared" si="5"/>
        <v>11 Atrazine 5 mg_L</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3619</v>
      </c>
      <c r="D354" s="1" t="s">
        <v>3620</v>
      </c>
      <c r="E354" s="1" t="s">
        <v>3621</v>
      </c>
      <c r="F354" s="1" t="s">
        <v>112</v>
      </c>
      <c r="G354" s="1">
        <v>1068906</v>
      </c>
    </row>
    <row r="355" spans="1:10" x14ac:dyDescent="0.25">
      <c r="A355" s="1" t="str">
        <f t="shared" si="5"/>
        <v>11 Atrazine 5 mg_L</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3622</v>
      </c>
      <c r="D355" s="1" t="s">
        <v>2020</v>
      </c>
      <c r="E355" s="1" t="s">
        <v>3623</v>
      </c>
      <c r="F355" s="1" t="s">
        <v>112</v>
      </c>
      <c r="G355" s="1">
        <v>1148483</v>
      </c>
    </row>
    <row r="356" spans="1:10"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240</v>
      </c>
      <c r="D357" s="1" t="s">
        <v>112</v>
      </c>
      <c r="E357" s="1" t="s">
        <v>241</v>
      </c>
      <c r="F357" s="1" t="s">
        <v>242</v>
      </c>
      <c r="G357" s="1" t="s">
        <v>243</v>
      </c>
      <c r="H357" s="1" t="s">
        <v>244</v>
      </c>
      <c r="I357" s="1" t="s">
        <v>245</v>
      </c>
      <c r="J357" s="1" t="s">
        <v>246</v>
      </c>
    </row>
    <row r="358" spans="1:10" x14ac:dyDescent="0.25">
      <c r="A358" s="1" t="str">
        <f t="shared" si="5"/>
        <v>11 Atrazine 5 mg_L</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3624</v>
      </c>
      <c r="D358" s="1" t="s">
        <v>112</v>
      </c>
      <c r="E358" s="1" t="s">
        <v>3625</v>
      </c>
      <c r="F358" s="1" t="s">
        <v>3626</v>
      </c>
      <c r="G358" s="1" t="s">
        <v>3627</v>
      </c>
      <c r="H358" s="1" t="s">
        <v>3628</v>
      </c>
      <c r="I358" s="1">
        <v>24</v>
      </c>
      <c r="J358" s="1">
        <v>24</v>
      </c>
    </row>
    <row r="359" spans="1:10"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252</v>
      </c>
      <c r="D364" s="1" t="s">
        <v>110</v>
      </c>
      <c r="E364" s="1" t="s">
        <v>111</v>
      </c>
      <c r="F364" s="1" t="s">
        <v>112</v>
      </c>
      <c r="G364" s="1" t="s">
        <v>113</v>
      </c>
    </row>
    <row r="365" spans="1:10" x14ac:dyDescent="0.25">
      <c r="A365" s="1" t="str">
        <f t="shared" si="5"/>
        <v>12 Atrazine 10 mg_L</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3629</v>
      </c>
      <c r="D365" s="1" t="s">
        <v>1122</v>
      </c>
      <c r="E365" s="1" t="s">
        <v>3630</v>
      </c>
      <c r="F365" s="1" t="s">
        <v>112</v>
      </c>
      <c r="G365" s="1">
        <v>862643</v>
      </c>
    </row>
    <row r="366" spans="1:10" x14ac:dyDescent="0.25">
      <c r="A366" s="1" t="str">
        <f t="shared" si="5"/>
        <v>12 Atrazine 10 mg_L</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3631</v>
      </c>
      <c r="D366" s="1" t="s">
        <v>3632</v>
      </c>
      <c r="E366" s="1" t="s">
        <v>3633</v>
      </c>
      <c r="F366" s="1" t="s">
        <v>112</v>
      </c>
      <c r="G366" s="1">
        <v>651839</v>
      </c>
    </row>
    <row r="367" spans="1:10" x14ac:dyDescent="0.25">
      <c r="A367" s="1" t="str">
        <f t="shared" si="5"/>
        <v>12 Atrazine 10 mg_L</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3634</v>
      </c>
      <c r="D367" s="1" t="s">
        <v>880</v>
      </c>
      <c r="E367" s="1" t="s">
        <v>1762</v>
      </c>
      <c r="F367" s="1" t="s">
        <v>112</v>
      </c>
      <c r="G367" s="1">
        <v>15163</v>
      </c>
    </row>
    <row r="368" spans="1:10" x14ac:dyDescent="0.25">
      <c r="A368" s="1" t="str">
        <f t="shared" si="5"/>
        <v>12 Atrazine 10 mg_L</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3635</v>
      </c>
    </row>
    <row r="369" spans="1:7" x14ac:dyDescent="0.25">
      <c r="A369" s="1" t="str">
        <f t="shared" si="5"/>
        <v>12 Atrazine 10 mg_L</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3636</v>
      </c>
      <c r="D369" s="1" t="s">
        <v>3637</v>
      </c>
      <c r="E369" s="1" t="s">
        <v>3638</v>
      </c>
      <c r="F369" s="1" t="s">
        <v>112</v>
      </c>
      <c r="G369" s="1">
        <v>468460</v>
      </c>
    </row>
    <row r="370" spans="1:7" x14ac:dyDescent="0.25">
      <c r="A370" s="1" t="str">
        <f t="shared" si="5"/>
        <v>12 Atrazine 10 mg_L</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3639</v>
      </c>
      <c r="D370" s="1" t="s">
        <v>3640</v>
      </c>
      <c r="E370" s="1" t="s">
        <v>3641</v>
      </c>
      <c r="F370" s="1" t="s">
        <v>112</v>
      </c>
      <c r="G370" s="1">
        <v>639336</v>
      </c>
    </row>
    <row r="371" spans="1:7" x14ac:dyDescent="0.25">
      <c r="A371" s="1" t="str">
        <f t="shared" si="5"/>
        <v>12 Atrazine 10 mg_L</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3642</v>
      </c>
      <c r="D371" s="1" t="s">
        <v>3643</v>
      </c>
      <c r="E371" s="1" t="s">
        <v>3644</v>
      </c>
      <c r="F371" s="1" t="s">
        <v>112</v>
      </c>
      <c r="G371" s="1">
        <v>175959</v>
      </c>
    </row>
    <row r="372" spans="1:7" x14ac:dyDescent="0.25">
      <c r="A372" s="1" t="str">
        <f t="shared" si="5"/>
        <v>12 Atrazine 10 mg_L</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3645</v>
      </c>
      <c r="D372" s="1" t="s">
        <v>3501</v>
      </c>
      <c r="E372" s="1" t="s">
        <v>3646</v>
      </c>
      <c r="F372" s="1" t="s">
        <v>112</v>
      </c>
      <c r="G372" s="1">
        <v>264209</v>
      </c>
    </row>
    <row r="373" spans="1:7" x14ac:dyDescent="0.25">
      <c r="A373" s="1" t="str">
        <f t="shared" si="5"/>
        <v>12 Atrazine 10 mg_L</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3647</v>
      </c>
      <c r="D373" s="1" t="s">
        <v>1444</v>
      </c>
      <c r="E373" s="1" t="s">
        <v>3648</v>
      </c>
      <c r="F373" s="1" t="s">
        <v>112</v>
      </c>
      <c r="G373" s="1">
        <v>516392</v>
      </c>
    </row>
    <row r="374" spans="1:7" x14ac:dyDescent="0.25">
      <c r="A374" s="1" t="str">
        <f t="shared" si="5"/>
        <v>12 Atrazine 10 mg_L</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3649</v>
      </c>
      <c r="D374" s="1" t="s">
        <v>3650</v>
      </c>
      <c r="E374" s="1" t="s">
        <v>3651</v>
      </c>
      <c r="F374" s="1" t="s">
        <v>112</v>
      </c>
      <c r="G374" s="1">
        <v>448712</v>
      </c>
    </row>
    <row r="375" spans="1:7" x14ac:dyDescent="0.25">
      <c r="A375" s="1" t="str">
        <f t="shared" si="5"/>
        <v>12 Atrazine 10 mg_L</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3652</v>
      </c>
      <c r="D375" s="1" t="s">
        <v>2840</v>
      </c>
      <c r="E375" s="1" t="s">
        <v>3653</v>
      </c>
      <c r="F375" s="1" t="s">
        <v>112</v>
      </c>
      <c r="G375" s="1">
        <v>648443</v>
      </c>
    </row>
    <row r="376" spans="1:7" x14ac:dyDescent="0.25">
      <c r="A376" s="1" t="str">
        <f t="shared" si="5"/>
        <v>12 Atrazine 10 mg_L</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3654</v>
      </c>
      <c r="D376" s="1" t="s">
        <v>3655</v>
      </c>
      <c r="E376" s="1" t="s">
        <v>3656</v>
      </c>
      <c r="F376" s="1" t="s">
        <v>112</v>
      </c>
      <c r="G376" s="1">
        <v>247554</v>
      </c>
    </row>
    <row r="377" spans="1:7" x14ac:dyDescent="0.25">
      <c r="A377" s="1" t="str">
        <f t="shared" si="5"/>
        <v>12 Atrazine 10 mg_L</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3657</v>
      </c>
    </row>
    <row r="378" spans="1:7" x14ac:dyDescent="0.25">
      <c r="A378" s="1" t="str">
        <f t="shared" si="5"/>
        <v>12 Atrazine 10 mg_L</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3658</v>
      </c>
      <c r="D378" s="1" t="s">
        <v>2350</v>
      </c>
      <c r="E378" s="1" t="s">
        <v>3659</v>
      </c>
      <c r="F378" s="1" t="s">
        <v>112</v>
      </c>
      <c r="G378" s="1">
        <v>301369</v>
      </c>
    </row>
    <row r="379" spans="1:7" x14ac:dyDescent="0.25">
      <c r="A379" s="1" t="str">
        <f t="shared" si="5"/>
        <v>12 Atrazine 10 mg_L</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3660</v>
      </c>
      <c r="D379" s="1" t="s">
        <v>1715</v>
      </c>
      <c r="E379" s="1" t="s">
        <v>3661</v>
      </c>
      <c r="F379" s="1" t="s">
        <v>112</v>
      </c>
      <c r="G379" s="1">
        <v>255211</v>
      </c>
    </row>
    <row r="380" spans="1:7" x14ac:dyDescent="0.25">
      <c r="A380" s="1" t="str">
        <f t="shared" si="5"/>
        <v>12 Atrazine 10 mg_L</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3662</v>
      </c>
      <c r="D380" s="1" t="s">
        <v>1846</v>
      </c>
      <c r="E380" s="1" t="s">
        <v>3663</v>
      </c>
      <c r="F380" s="1" t="s">
        <v>112</v>
      </c>
      <c r="G380" s="1">
        <v>223350</v>
      </c>
    </row>
    <row r="381" spans="1:7" x14ac:dyDescent="0.25">
      <c r="A381" s="1" t="str">
        <f t="shared" si="5"/>
        <v>12 Atrazine 10 mg_L</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3664</v>
      </c>
      <c r="D381" s="1" t="s">
        <v>2343</v>
      </c>
      <c r="E381" s="1" t="s">
        <v>3665</v>
      </c>
      <c r="F381" s="1" t="s">
        <v>112</v>
      </c>
      <c r="G381" s="1">
        <v>122404</v>
      </c>
    </row>
    <row r="382" spans="1:7" x14ac:dyDescent="0.25">
      <c r="A382" s="1" t="str">
        <f t="shared" si="5"/>
        <v>12 Atrazine 10 mg_L</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3666</v>
      </c>
      <c r="D382" s="1" t="s">
        <v>289</v>
      </c>
      <c r="E382" s="1" t="s">
        <v>3667</v>
      </c>
      <c r="F382" s="1" t="s">
        <v>112</v>
      </c>
      <c r="G382" s="1">
        <v>34045</v>
      </c>
    </row>
    <row r="383" spans="1:7" x14ac:dyDescent="0.25">
      <c r="A383" s="1" t="str">
        <f t="shared" si="5"/>
        <v>12 Atrazine 10 mg_L</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3668</v>
      </c>
      <c r="D383" s="1" t="s">
        <v>3669</v>
      </c>
      <c r="E383" s="1" t="s">
        <v>3670</v>
      </c>
      <c r="F383" s="1" t="s">
        <v>112</v>
      </c>
      <c r="G383" s="1">
        <v>903524</v>
      </c>
    </row>
    <row r="384" spans="1:7" x14ac:dyDescent="0.25">
      <c r="A384" s="1" t="str">
        <f t="shared" si="5"/>
        <v>12 Atrazine 10 mg_L</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3671</v>
      </c>
      <c r="D384" s="1" t="s">
        <v>3672</v>
      </c>
      <c r="E384" s="1" t="s">
        <v>3673</v>
      </c>
      <c r="F384" s="1" t="s">
        <v>112</v>
      </c>
      <c r="G384" s="1">
        <v>1110782</v>
      </c>
    </row>
    <row r="385" spans="1:10" x14ac:dyDescent="0.25">
      <c r="A385" s="1" t="str">
        <f t="shared" si="5"/>
        <v>12 Atrazine 10 mg_L</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3674</v>
      </c>
      <c r="D385" s="1" t="s">
        <v>1322</v>
      </c>
      <c r="E385" s="1" t="s">
        <v>3675</v>
      </c>
      <c r="F385" s="1" t="s">
        <v>112</v>
      </c>
      <c r="G385" s="1">
        <v>1215297</v>
      </c>
    </row>
    <row r="386" spans="1:10" x14ac:dyDescent="0.25">
      <c r="A386" s="1" t="str">
        <f t="shared" ref="A386:A449" si="6">IFERROR(LEFT(RIGHT(C386,LEN(C386)-SEARCH("@",C386)),SEARCH("/",RIGHT(C386,LEN(C386)-SEARCH("@",C386)-1))),"")</f>
        <v>12 Atrazine 10 mg_L</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3676</v>
      </c>
      <c r="D386" s="1" t="s">
        <v>264</v>
      </c>
      <c r="E386" s="1" t="s">
        <v>3677</v>
      </c>
      <c r="F386" s="1" t="s">
        <v>112</v>
      </c>
      <c r="G386" s="1">
        <v>18429</v>
      </c>
    </row>
    <row r="387" spans="1:10" x14ac:dyDescent="0.25">
      <c r="A387" s="1" t="str">
        <f t="shared" si="6"/>
        <v>12 Atrazine 10 mg_L</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3678</v>
      </c>
      <c r="D387" s="1" t="s">
        <v>239</v>
      </c>
      <c r="E387" s="1" t="s">
        <v>3679</v>
      </c>
      <c r="F387" s="1" t="s">
        <v>112</v>
      </c>
      <c r="G387" s="1">
        <v>26215</v>
      </c>
    </row>
    <row r="388" spans="1:10" x14ac:dyDescent="0.25">
      <c r="A388" s="1" t="str">
        <f t="shared" si="6"/>
        <v>12 Atrazine 10 mg_L</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3680</v>
      </c>
      <c r="D388" s="1" t="s">
        <v>186</v>
      </c>
      <c r="E388" s="1" t="s">
        <v>3681</v>
      </c>
      <c r="F388" s="1" t="s">
        <v>112</v>
      </c>
      <c r="G388" s="1">
        <v>10945</v>
      </c>
    </row>
    <row r="389" spans="1:10"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240</v>
      </c>
      <c r="D390" s="1" t="s">
        <v>112</v>
      </c>
      <c r="E390" s="1" t="s">
        <v>241</v>
      </c>
      <c r="F390" s="1" t="s">
        <v>242</v>
      </c>
      <c r="G390" s="1" t="s">
        <v>243</v>
      </c>
      <c r="H390" s="1" t="s">
        <v>244</v>
      </c>
      <c r="I390" s="1" t="s">
        <v>245</v>
      </c>
      <c r="J390" s="1" t="s">
        <v>246</v>
      </c>
    </row>
    <row r="391" spans="1:10" x14ac:dyDescent="0.25">
      <c r="A391" s="1" t="str">
        <f t="shared" si="6"/>
        <v>12 Atrazine 10 mg_L</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3682</v>
      </c>
      <c r="D391" s="1" t="s">
        <v>112</v>
      </c>
      <c r="E391" s="1" t="s">
        <v>3683</v>
      </c>
      <c r="F391" s="1" t="s">
        <v>3684</v>
      </c>
      <c r="G391" s="1" t="s">
        <v>3685</v>
      </c>
      <c r="H391" s="1" t="s">
        <v>3686</v>
      </c>
      <c r="I391" s="1">
        <v>24</v>
      </c>
      <c r="J391" s="1">
        <v>24</v>
      </c>
    </row>
    <row r="392" spans="1:10"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252</v>
      </c>
      <c r="D397" s="1" t="s">
        <v>110</v>
      </c>
      <c r="E397" s="1" t="s">
        <v>111</v>
      </c>
      <c r="F397" s="1" t="s">
        <v>112</v>
      </c>
      <c r="G397" s="1" t="s">
        <v>113</v>
      </c>
    </row>
    <row r="398" spans="1:10" x14ac:dyDescent="0.25">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3687</v>
      </c>
      <c r="D398" s="1" t="s">
        <v>3688</v>
      </c>
      <c r="E398" s="1" t="s">
        <v>3689</v>
      </c>
      <c r="F398" s="1" t="s">
        <v>112</v>
      </c>
      <c r="G398" s="1">
        <v>404219</v>
      </c>
    </row>
    <row r="399" spans="1:10" x14ac:dyDescent="0.25">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3690</v>
      </c>
      <c r="D399" s="1" t="s">
        <v>3485</v>
      </c>
      <c r="E399" s="1" t="s">
        <v>3691</v>
      </c>
      <c r="F399" s="1" t="s">
        <v>112</v>
      </c>
      <c r="G399" s="1">
        <v>378285</v>
      </c>
    </row>
    <row r="400" spans="1:10" x14ac:dyDescent="0.25">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3692</v>
      </c>
      <c r="D400" s="1" t="s">
        <v>3693</v>
      </c>
      <c r="E400" s="1" t="s">
        <v>3694</v>
      </c>
      <c r="F400" s="1" t="s">
        <v>112</v>
      </c>
      <c r="G400" s="1">
        <v>387327</v>
      </c>
    </row>
    <row r="401" spans="1:7" x14ac:dyDescent="0.25">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3695</v>
      </c>
      <c r="D401" s="1" t="s">
        <v>3696</v>
      </c>
      <c r="E401" s="1" t="s">
        <v>3697</v>
      </c>
      <c r="F401" s="1" t="s">
        <v>112</v>
      </c>
      <c r="G401" s="1">
        <v>587533</v>
      </c>
    </row>
    <row r="402" spans="1:7" x14ac:dyDescent="0.25">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3698</v>
      </c>
      <c r="D402" s="1" t="s">
        <v>3699</v>
      </c>
      <c r="E402" s="1" t="s">
        <v>3700</v>
      </c>
      <c r="F402" s="1" t="s">
        <v>112</v>
      </c>
      <c r="G402" s="1">
        <v>943301</v>
      </c>
    </row>
    <row r="403" spans="1:7" x14ac:dyDescent="0.25">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3701</v>
      </c>
      <c r="D403" s="1" t="s">
        <v>3702</v>
      </c>
      <c r="E403" s="1" t="s">
        <v>3703</v>
      </c>
      <c r="F403" s="1" t="s">
        <v>112</v>
      </c>
      <c r="G403" s="1">
        <v>842593</v>
      </c>
    </row>
    <row r="404" spans="1:7" x14ac:dyDescent="0.25">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3704</v>
      </c>
      <c r="D404" s="1" t="s">
        <v>1561</v>
      </c>
      <c r="E404" s="1" t="s">
        <v>3705</v>
      </c>
      <c r="F404" s="1" t="s">
        <v>112</v>
      </c>
      <c r="G404" s="1">
        <v>3133631</v>
      </c>
    </row>
    <row r="405" spans="1:7" x14ac:dyDescent="0.25">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3706</v>
      </c>
      <c r="D405" s="1" t="s">
        <v>3707</v>
      </c>
      <c r="E405" s="1" t="s">
        <v>3708</v>
      </c>
      <c r="F405" s="1" t="s">
        <v>112</v>
      </c>
      <c r="G405" s="1">
        <v>2937859</v>
      </c>
    </row>
    <row r="406" spans="1:7" x14ac:dyDescent="0.25">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3709</v>
      </c>
      <c r="D406" s="1" t="s">
        <v>3710</v>
      </c>
      <c r="E406" s="1" t="s">
        <v>3711</v>
      </c>
      <c r="F406" s="1" t="s">
        <v>112</v>
      </c>
      <c r="G406" s="1">
        <v>2903078</v>
      </c>
    </row>
    <row r="407" spans="1:7" x14ac:dyDescent="0.25">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3712</v>
      </c>
      <c r="D407" s="1" t="s">
        <v>3713</v>
      </c>
      <c r="E407" s="1" t="s">
        <v>3714</v>
      </c>
      <c r="F407" s="1" t="s">
        <v>112</v>
      </c>
      <c r="G407" s="1">
        <v>1317953</v>
      </c>
    </row>
    <row r="408" spans="1:7" x14ac:dyDescent="0.25">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3715</v>
      </c>
      <c r="D408" s="1" t="s">
        <v>3716</v>
      </c>
      <c r="E408" s="1" t="s">
        <v>3717</v>
      </c>
      <c r="F408" s="1" t="s">
        <v>112</v>
      </c>
      <c r="G408" s="1">
        <v>1431077</v>
      </c>
    </row>
    <row r="409" spans="1:7" x14ac:dyDescent="0.25">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3718</v>
      </c>
      <c r="D409" s="1" t="s">
        <v>3719</v>
      </c>
      <c r="E409" s="1" t="s">
        <v>3720</v>
      </c>
      <c r="F409" s="1" t="s">
        <v>112</v>
      </c>
      <c r="G409" s="1">
        <v>1352474</v>
      </c>
    </row>
    <row r="410" spans="1:7" x14ac:dyDescent="0.25">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3721</v>
      </c>
      <c r="D410" s="1" t="s">
        <v>3722</v>
      </c>
      <c r="E410" s="1" t="s">
        <v>3723</v>
      </c>
      <c r="F410" s="1" t="s">
        <v>112</v>
      </c>
      <c r="G410" s="1">
        <v>3599647</v>
      </c>
    </row>
    <row r="411" spans="1:7" x14ac:dyDescent="0.25">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3724</v>
      </c>
      <c r="D411" s="1" t="s">
        <v>3725</v>
      </c>
      <c r="E411" s="1" t="s">
        <v>3726</v>
      </c>
      <c r="F411" s="1" t="s">
        <v>112</v>
      </c>
      <c r="G411" s="1">
        <v>562356</v>
      </c>
    </row>
    <row r="412" spans="1:7" x14ac:dyDescent="0.25">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3727</v>
      </c>
      <c r="D412" s="1" t="s">
        <v>3728</v>
      </c>
      <c r="E412" s="1" t="s">
        <v>3729</v>
      </c>
      <c r="F412" s="1" t="s">
        <v>112</v>
      </c>
      <c r="G412" s="1">
        <v>2329432</v>
      </c>
    </row>
    <row r="413" spans="1:7" x14ac:dyDescent="0.25">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3730</v>
      </c>
      <c r="D413" s="1" t="s">
        <v>3731</v>
      </c>
      <c r="E413" s="1" t="s">
        <v>3732</v>
      </c>
      <c r="F413" s="1" t="s">
        <v>112</v>
      </c>
      <c r="G413" s="1">
        <v>2620721</v>
      </c>
    </row>
    <row r="414" spans="1:7" x14ac:dyDescent="0.25">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3733</v>
      </c>
      <c r="D414" s="1" t="s">
        <v>3734</v>
      </c>
      <c r="E414" s="1" t="s">
        <v>1197</v>
      </c>
      <c r="F414" s="1" t="s">
        <v>112</v>
      </c>
      <c r="G414" s="1">
        <v>1907411</v>
      </c>
    </row>
    <row r="415" spans="1:7" x14ac:dyDescent="0.25">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3735</v>
      </c>
      <c r="D415" s="1" t="s">
        <v>3736</v>
      </c>
      <c r="E415" s="1" t="s">
        <v>3737</v>
      </c>
      <c r="F415" s="1" t="s">
        <v>112</v>
      </c>
      <c r="G415" s="1">
        <v>2506126</v>
      </c>
    </row>
    <row r="416" spans="1:7" x14ac:dyDescent="0.25">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3738</v>
      </c>
      <c r="D416" s="1" t="s">
        <v>540</v>
      </c>
      <c r="E416" s="1" t="s">
        <v>3739</v>
      </c>
      <c r="F416" s="1" t="s">
        <v>112</v>
      </c>
      <c r="G416" s="1">
        <v>1335992</v>
      </c>
    </row>
    <row r="417" spans="1:10" x14ac:dyDescent="0.25">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3740</v>
      </c>
      <c r="D417" s="1" t="s">
        <v>3741</v>
      </c>
      <c r="E417" s="1" t="s">
        <v>3742</v>
      </c>
      <c r="F417" s="1" t="s">
        <v>112</v>
      </c>
      <c r="G417" s="1">
        <v>1001334</v>
      </c>
    </row>
    <row r="418" spans="1:10" x14ac:dyDescent="0.25">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3743</v>
      </c>
      <c r="D418" s="1" t="s">
        <v>3744</v>
      </c>
      <c r="E418" s="1" t="s">
        <v>3745</v>
      </c>
      <c r="F418" s="1" t="s">
        <v>112</v>
      </c>
      <c r="G418" s="1">
        <v>1268226</v>
      </c>
    </row>
    <row r="419" spans="1:10" x14ac:dyDescent="0.25">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3746</v>
      </c>
    </row>
    <row r="420" spans="1:10" x14ac:dyDescent="0.25">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3747</v>
      </c>
      <c r="D420" s="1" t="s">
        <v>3748</v>
      </c>
      <c r="E420" s="1" t="s">
        <v>3749</v>
      </c>
      <c r="F420" s="1" t="s">
        <v>112</v>
      </c>
      <c r="G420" s="1">
        <v>3658005</v>
      </c>
    </row>
    <row r="421" spans="1:10" x14ac:dyDescent="0.25">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3750</v>
      </c>
      <c r="D421" s="1" t="s">
        <v>3751</v>
      </c>
      <c r="E421" s="1" t="s">
        <v>3752</v>
      </c>
      <c r="F421" s="1" t="s">
        <v>112</v>
      </c>
      <c r="G421" s="1">
        <v>3663261</v>
      </c>
    </row>
    <row r="422" spans="1:10"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240</v>
      </c>
      <c r="D423" s="1" t="s">
        <v>112</v>
      </c>
      <c r="E423" s="1" t="s">
        <v>241</v>
      </c>
      <c r="F423" s="1" t="s">
        <v>242</v>
      </c>
      <c r="G423" s="1" t="s">
        <v>243</v>
      </c>
      <c r="H423" s="1" t="s">
        <v>244</v>
      </c>
      <c r="I423" s="1" t="s">
        <v>245</v>
      </c>
      <c r="J423" s="1" t="s">
        <v>246</v>
      </c>
    </row>
    <row r="424" spans="1:10" x14ac:dyDescent="0.25">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3753</v>
      </c>
      <c r="D424" s="1" t="s">
        <v>112</v>
      </c>
      <c r="E424" s="1" t="s">
        <v>3754</v>
      </c>
      <c r="F424" s="1" t="s">
        <v>3755</v>
      </c>
      <c r="G424" s="1" t="s">
        <v>3756</v>
      </c>
      <c r="H424" s="1">
        <v>1109824</v>
      </c>
      <c r="I424" s="1">
        <v>24</v>
      </c>
      <c r="J424" s="1">
        <v>24</v>
      </c>
    </row>
    <row r="425" spans="1:10"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252</v>
      </c>
      <c r="D430" s="1" t="s">
        <v>110</v>
      </c>
      <c r="E430" s="1" t="s">
        <v>111</v>
      </c>
      <c r="F430" s="1" t="s">
        <v>112</v>
      </c>
      <c r="G430" s="1" t="s">
        <v>113</v>
      </c>
    </row>
    <row r="431" spans="1:10" x14ac:dyDescent="0.25">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3757</v>
      </c>
      <c r="D431" s="1" t="s">
        <v>3707</v>
      </c>
      <c r="E431" s="1" t="s">
        <v>3758</v>
      </c>
      <c r="F431" s="1" t="s">
        <v>112</v>
      </c>
      <c r="G431" s="1">
        <v>2892544</v>
      </c>
    </row>
    <row r="432" spans="1:10" x14ac:dyDescent="0.25">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3759</v>
      </c>
      <c r="D432" s="1" t="s">
        <v>3760</v>
      </c>
      <c r="E432" s="1" t="s">
        <v>3761</v>
      </c>
      <c r="F432" s="1" t="s">
        <v>112</v>
      </c>
      <c r="G432" s="1">
        <v>2389173</v>
      </c>
    </row>
    <row r="433" spans="1:7" x14ac:dyDescent="0.25">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3762</v>
      </c>
      <c r="D433" s="1" t="s">
        <v>3763</v>
      </c>
      <c r="E433" s="1" t="s">
        <v>3764</v>
      </c>
      <c r="F433" s="1" t="s">
        <v>112</v>
      </c>
      <c r="G433" s="1">
        <v>2912444</v>
      </c>
    </row>
    <row r="434" spans="1:7" x14ac:dyDescent="0.25">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3765</v>
      </c>
      <c r="D434" s="1" t="s">
        <v>3766</v>
      </c>
      <c r="E434" s="1" t="s">
        <v>3767</v>
      </c>
      <c r="F434" s="1" t="s">
        <v>112</v>
      </c>
      <c r="G434" s="1">
        <v>2209624</v>
      </c>
    </row>
    <row r="435" spans="1:7" x14ac:dyDescent="0.25">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3768</v>
      </c>
      <c r="D435" s="1" t="s">
        <v>2521</v>
      </c>
      <c r="E435" s="1" t="s">
        <v>3769</v>
      </c>
      <c r="F435" s="1" t="s">
        <v>112</v>
      </c>
      <c r="G435" s="1">
        <v>1904793</v>
      </c>
    </row>
    <row r="436" spans="1:7" x14ac:dyDescent="0.25">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3770</v>
      </c>
      <c r="D436" s="1" t="s">
        <v>3771</v>
      </c>
      <c r="E436" s="1" t="s">
        <v>3772</v>
      </c>
      <c r="F436" s="1" t="s">
        <v>112</v>
      </c>
      <c r="G436" s="1">
        <v>2232119</v>
      </c>
    </row>
    <row r="437" spans="1:7" x14ac:dyDescent="0.25">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3773</v>
      </c>
      <c r="D437" s="1" t="s">
        <v>3774</v>
      </c>
      <c r="E437" s="1" t="s">
        <v>3775</v>
      </c>
      <c r="F437" s="1" t="s">
        <v>112</v>
      </c>
      <c r="G437" s="1">
        <v>3629972</v>
      </c>
    </row>
    <row r="438" spans="1:7" x14ac:dyDescent="0.25">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3776</v>
      </c>
    </row>
    <row r="439" spans="1:7" x14ac:dyDescent="0.25">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3777</v>
      </c>
    </row>
    <row r="440" spans="1:7" x14ac:dyDescent="0.25">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3778</v>
      </c>
      <c r="D440" s="1" t="s">
        <v>3779</v>
      </c>
      <c r="E440" s="1" t="s">
        <v>3780</v>
      </c>
      <c r="F440" s="1" t="s">
        <v>112</v>
      </c>
      <c r="G440" s="1">
        <v>2938746</v>
      </c>
    </row>
    <row r="441" spans="1:7" x14ac:dyDescent="0.25">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3781</v>
      </c>
      <c r="D441" s="1" t="s">
        <v>3782</v>
      </c>
      <c r="E441" s="1" t="s">
        <v>3783</v>
      </c>
      <c r="F441" s="1" t="s">
        <v>112</v>
      </c>
      <c r="G441" s="1">
        <v>1925883</v>
      </c>
    </row>
    <row r="442" spans="1:7" x14ac:dyDescent="0.25">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3784</v>
      </c>
      <c r="D442" s="1" t="s">
        <v>3785</v>
      </c>
      <c r="E442" s="1" t="s">
        <v>3786</v>
      </c>
      <c r="F442" s="1" t="s">
        <v>112</v>
      </c>
      <c r="G442" s="1">
        <v>1789722</v>
      </c>
    </row>
    <row r="443" spans="1:7" x14ac:dyDescent="0.25">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3787</v>
      </c>
      <c r="D443" s="1" t="s">
        <v>3788</v>
      </c>
      <c r="E443" s="1" t="s">
        <v>3789</v>
      </c>
      <c r="F443" s="1" t="s">
        <v>112</v>
      </c>
      <c r="G443" s="1">
        <v>798121</v>
      </c>
    </row>
    <row r="444" spans="1:7" x14ac:dyDescent="0.25">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3790</v>
      </c>
      <c r="D444" s="1" t="s">
        <v>3791</v>
      </c>
      <c r="E444" s="1" t="s">
        <v>3792</v>
      </c>
      <c r="F444" s="1" t="s">
        <v>112</v>
      </c>
      <c r="G444" s="1">
        <v>1059951</v>
      </c>
    </row>
    <row r="445" spans="1:7" x14ac:dyDescent="0.25">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3793</v>
      </c>
      <c r="D445" s="1" t="s">
        <v>425</v>
      </c>
      <c r="E445" s="1" t="s">
        <v>3794</v>
      </c>
      <c r="F445" s="1" t="s">
        <v>112</v>
      </c>
      <c r="G445" s="1">
        <v>405517</v>
      </c>
    </row>
    <row r="446" spans="1:7" x14ac:dyDescent="0.25">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3795</v>
      </c>
      <c r="D446" s="1" t="s">
        <v>3057</v>
      </c>
      <c r="E446" s="1" t="s">
        <v>3796</v>
      </c>
      <c r="F446" s="1" t="s">
        <v>112</v>
      </c>
      <c r="G446" s="1">
        <v>314239</v>
      </c>
    </row>
    <row r="447" spans="1:7" x14ac:dyDescent="0.25">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3797</v>
      </c>
      <c r="D447" s="1" t="s">
        <v>1220</v>
      </c>
      <c r="E447" s="1" t="s">
        <v>3798</v>
      </c>
      <c r="F447" s="1" t="s">
        <v>112</v>
      </c>
      <c r="G447" s="1">
        <v>83924</v>
      </c>
    </row>
    <row r="448" spans="1:7" x14ac:dyDescent="0.25">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3799</v>
      </c>
      <c r="D448" s="1" t="s">
        <v>198</v>
      </c>
      <c r="E448" s="1" t="s">
        <v>3800</v>
      </c>
      <c r="F448" s="1" t="s">
        <v>112</v>
      </c>
      <c r="G448" s="1">
        <v>146023</v>
      </c>
    </row>
    <row r="449" spans="1:10" x14ac:dyDescent="0.25">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3801</v>
      </c>
      <c r="D449" s="1" t="s">
        <v>3802</v>
      </c>
      <c r="E449" s="1" t="s">
        <v>3803</v>
      </c>
      <c r="F449" s="1" t="s">
        <v>112</v>
      </c>
      <c r="G449" s="1">
        <v>2047507</v>
      </c>
    </row>
    <row r="450" spans="1:10" x14ac:dyDescent="0.25">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3804</v>
      </c>
      <c r="D450" s="1" t="s">
        <v>3805</v>
      </c>
      <c r="E450" s="1" t="s">
        <v>3806</v>
      </c>
      <c r="F450" s="1" t="s">
        <v>112</v>
      </c>
      <c r="G450" s="1">
        <v>2793371</v>
      </c>
    </row>
    <row r="451" spans="1:10" x14ac:dyDescent="0.25">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3807</v>
      </c>
      <c r="D451" s="1" t="s">
        <v>3808</v>
      </c>
      <c r="E451" s="1" t="s">
        <v>3809</v>
      </c>
      <c r="F451" s="1" t="s">
        <v>112</v>
      </c>
      <c r="G451" s="1">
        <v>3240959</v>
      </c>
    </row>
    <row r="452" spans="1:10" x14ac:dyDescent="0.25">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3810</v>
      </c>
      <c r="D452" s="1" t="s">
        <v>2176</v>
      </c>
      <c r="E452" s="1" t="s">
        <v>3811</v>
      </c>
      <c r="F452" s="1" t="s">
        <v>112</v>
      </c>
      <c r="G452" s="1">
        <v>628370</v>
      </c>
    </row>
    <row r="453" spans="1:10" x14ac:dyDescent="0.25">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3812</v>
      </c>
      <c r="D453" s="1" t="s">
        <v>3813</v>
      </c>
      <c r="E453" s="1" t="s">
        <v>3814</v>
      </c>
      <c r="F453" s="1" t="s">
        <v>112</v>
      </c>
      <c r="G453" s="1">
        <v>701782</v>
      </c>
    </row>
    <row r="454" spans="1:10" x14ac:dyDescent="0.25">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3815</v>
      </c>
      <c r="D454" s="1" t="s">
        <v>1940</v>
      </c>
      <c r="E454" s="1" t="s">
        <v>3816</v>
      </c>
      <c r="F454" s="1" t="s">
        <v>112</v>
      </c>
      <c r="G454" s="1">
        <v>756830</v>
      </c>
    </row>
    <row r="455" spans="1:10"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240</v>
      </c>
      <c r="D456" s="1" t="s">
        <v>112</v>
      </c>
      <c r="E456" s="1" t="s">
        <v>241</v>
      </c>
      <c r="F456" s="1" t="s">
        <v>242</v>
      </c>
      <c r="G456" s="1" t="s">
        <v>243</v>
      </c>
      <c r="H456" s="1" t="s">
        <v>244</v>
      </c>
      <c r="I456" s="1" t="s">
        <v>245</v>
      </c>
      <c r="J456" s="1" t="s">
        <v>246</v>
      </c>
    </row>
    <row r="457" spans="1:10" x14ac:dyDescent="0.25">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3817</v>
      </c>
      <c r="D457" s="1" t="s">
        <v>112</v>
      </c>
      <c r="E457" s="1" t="s">
        <v>3818</v>
      </c>
      <c r="F457" s="1" t="s">
        <v>3819</v>
      </c>
      <c r="G457" s="1" t="s">
        <v>3820</v>
      </c>
      <c r="H457" s="1" t="s">
        <v>3821</v>
      </c>
      <c r="I457" s="1">
        <v>24</v>
      </c>
      <c r="J457" s="1">
        <v>24</v>
      </c>
    </row>
    <row r="458" spans="1:10"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252</v>
      </c>
      <c r="D463" s="1" t="s">
        <v>110</v>
      </c>
      <c r="E463" s="1" t="s">
        <v>111</v>
      </c>
      <c r="F463" s="1" t="s">
        <v>112</v>
      </c>
      <c r="G463" s="1" t="s">
        <v>113</v>
      </c>
    </row>
    <row r="464" spans="1:10" x14ac:dyDescent="0.25">
      <c r="A464" s="1" t="str">
        <f t="shared" si="7"/>
        <v>03 testo +ee2</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3822</v>
      </c>
      <c r="D464" s="1" t="s">
        <v>3823</v>
      </c>
      <c r="E464" s="1" t="s">
        <v>3824</v>
      </c>
      <c r="F464" s="1" t="s">
        <v>112</v>
      </c>
      <c r="G464" s="1">
        <v>3172370</v>
      </c>
    </row>
    <row r="465" spans="1:7" x14ac:dyDescent="0.25">
      <c r="A465" s="1" t="str">
        <f t="shared" si="7"/>
        <v>03 testo +ee2</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3825</v>
      </c>
      <c r="D465" s="1" t="s">
        <v>3826</v>
      </c>
      <c r="E465" s="1" t="s">
        <v>3827</v>
      </c>
      <c r="F465" s="1" t="s">
        <v>112</v>
      </c>
      <c r="G465" s="1">
        <v>3211780</v>
      </c>
    </row>
    <row r="466" spans="1:7" x14ac:dyDescent="0.25">
      <c r="A466" s="1" t="str">
        <f t="shared" si="7"/>
        <v>03 testo +ee2</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3828</v>
      </c>
      <c r="D466" s="1" t="s">
        <v>3829</v>
      </c>
      <c r="E466" s="1" t="s">
        <v>3830</v>
      </c>
      <c r="F466" s="1" t="s">
        <v>112</v>
      </c>
      <c r="G466" s="1">
        <v>3273014</v>
      </c>
    </row>
    <row r="467" spans="1:7" x14ac:dyDescent="0.25">
      <c r="A467" s="1" t="str">
        <f t="shared" si="7"/>
        <v>03 testo +ee2</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3831</v>
      </c>
      <c r="D467" s="1" t="s">
        <v>3092</v>
      </c>
      <c r="E467" s="1" t="s">
        <v>3832</v>
      </c>
      <c r="F467" s="1" t="s">
        <v>112</v>
      </c>
      <c r="G467" s="1">
        <v>531728</v>
      </c>
    </row>
    <row r="468" spans="1:7" x14ac:dyDescent="0.25">
      <c r="A468" s="1" t="str">
        <f t="shared" si="7"/>
        <v>03 testo +ee2</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3833</v>
      </c>
      <c r="D468" s="1" t="s">
        <v>3834</v>
      </c>
      <c r="E468" s="1" t="s">
        <v>3835</v>
      </c>
      <c r="F468" s="1" t="s">
        <v>112</v>
      </c>
      <c r="G468" s="1">
        <v>543949</v>
      </c>
    </row>
    <row r="469" spans="1:7" x14ac:dyDescent="0.25">
      <c r="A469" s="1" t="str">
        <f t="shared" si="7"/>
        <v>03 testo +ee2</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3836</v>
      </c>
      <c r="D469" s="1" t="s">
        <v>3837</v>
      </c>
      <c r="E469" s="1" t="s">
        <v>3838</v>
      </c>
      <c r="F469" s="1" t="s">
        <v>112</v>
      </c>
      <c r="G469" s="1">
        <v>988594</v>
      </c>
    </row>
    <row r="470" spans="1:7" x14ac:dyDescent="0.25">
      <c r="A470" s="1" t="str">
        <f t="shared" si="7"/>
        <v>03 testo +ee2</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3839</v>
      </c>
      <c r="D470" s="1" t="s">
        <v>292</v>
      </c>
      <c r="E470" s="1" t="s">
        <v>774</v>
      </c>
      <c r="F470" s="1" t="s">
        <v>112</v>
      </c>
      <c r="G470" s="1">
        <v>43692</v>
      </c>
    </row>
    <row r="471" spans="1:7" x14ac:dyDescent="0.25">
      <c r="A471" s="1" t="str">
        <f t="shared" si="7"/>
        <v>03 testo +ee2</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3840</v>
      </c>
      <c r="D471" s="1" t="s">
        <v>333</v>
      </c>
      <c r="E471" s="1" t="s">
        <v>3841</v>
      </c>
      <c r="F471" s="1" t="s">
        <v>112</v>
      </c>
      <c r="G471" s="1">
        <v>48754</v>
      </c>
    </row>
    <row r="472" spans="1:7" x14ac:dyDescent="0.25">
      <c r="A472" s="1" t="str">
        <f t="shared" si="7"/>
        <v>03 testo +ee2</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3842</v>
      </c>
      <c r="D472" s="1" t="s">
        <v>198</v>
      </c>
      <c r="E472" s="1" t="s">
        <v>3843</v>
      </c>
      <c r="F472" s="1" t="s">
        <v>112</v>
      </c>
      <c r="G472" s="1">
        <v>136506</v>
      </c>
    </row>
    <row r="473" spans="1:7" x14ac:dyDescent="0.25">
      <c r="A473" s="1" t="str">
        <f t="shared" si="7"/>
        <v>03 testo +ee2</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3844</v>
      </c>
      <c r="D473" s="1" t="s">
        <v>3845</v>
      </c>
      <c r="E473" s="1" t="s">
        <v>3846</v>
      </c>
      <c r="F473" s="1" t="s">
        <v>112</v>
      </c>
      <c r="G473" s="1">
        <v>1891405</v>
      </c>
    </row>
    <row r="474" spans="1:7" x14ac:dyDescent="0.25">
      <c r="A474" s="1" t="str">
        <f t="shared" si="7"/>
        <v>03 testo +ee2</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3847</v>
      </c>
      <c r="D474" s="1" t="s">
        <v>3848</v>
      </c>
      <c r="E474" s="1" t="s">
        <v>3849</v>
      </c>
      <c r="F474" s="1" t="s">
        <v>112</v>
      </c>
      <c r="G474" s="1">
        <v>1938276</v>
      </c>
    </row>
    <row r="475" spans="1:7" x14ac:dyDescent="0.25">
      <c r="A475" s="1" t="str">
        <f t="shared" si="7"/>
        <v>03 testo +ee2</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3850</v>
      </c>
      <c r="D475" s="1" t="s">
        <v>2571</v>
      </c>
      <c r="E475" s="1" t="s">
        <v>3851</v>
      </c>
      <c r="F475" s="1" t="s">
        <v>112</v>
      </c>
      <c r="G475" s="1">
        <v>1877994</v>
      </c>
    </row>
    <row r="476" spans="1:7" x14ac:dyDescent="0.25">
      <c r="A476" s="1" t="str">
        <f t="shared" si="7"/>
        <v>03 testo +ee2</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3852</v>
      </c>
      <c r="D476" s="1" t="s">
        <v>3853</v>
      </c>
      <c r="E476" s="1" t="s">
        <v>3854</v>
      </c>
      <c r="F476" s="1" t="s">
        <v>112</v>
      </c>
      <c r="G476" s="1">
        <v>2876214</v>
      </c>
    </row>
    <row r="477" spans="1:7" x14ac:dyDescent="0.25">
      <c r="A477" s="1" t="str">
        <f t="shared" si="7"/>
        <v>03 testo +ee2</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3855</v>
      </c>
      <c r="D477" s="1" t="s">
        <v>3856</v>
      </c>
      <c r="E477" s="1" t="s">
        <v>3857</v>
      </c>
      <c r="F477" s="1" t="s">
        <v>112</v>
      </c>
      <c r="G477" s="1">
        <v>3087040</v>
      </c>
    </row>
    <row r="478" spans="1:7" x14ac:dyDescent="0.25">
      <c r="A478" s="1" t="str">
        <f t="shared" si="7"/>
        <v>03 testo +ee2</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3858</v>
      </c>
      <c r="D478" s="1" t="s">
        <v>3859</v>
      </c>
      <c r="E478" s="1" t="s">
        <v>3860</v>
      </c>
      <c r="F478" s="1" t="s">
        <v>112</v>
      </c>
      <c r="G478" s="1">
        <v>2065547</v>
      </c>
    </row>
    <row r="479" spans="1:7" x14ac:dyDescent="0.25">
      <c r="A479" s="1" t="str">
        <f t="shared" si="7"/>
        <v>03 testo +ee2</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3861</v>
      </c>
      <c r="D479" s="1" t="s">
        <v>3862</v>
      </c>
      <c r="E479" s="1" t="s">
        <v>3863</v>
      </c>
      <c r="F479" s="1" t="s">
        <v>112</v>
      </c>
      <c r="G479" s="1">
        <v>3175788</v>
      </c>
    </row>
    <row r="480" spans="1:7" x14ac:dyDescent="0.25">
      <c r="A480" s="1" t="str">
        <f t="shared" si="7"/>
        <v>03 testo +ee2</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3864</v>
      </c>
      <c r="D480" s="1" t="s">
        <v>3805</v>
      </c>
      <c r="E480" s="1" t="s">
        <v>3865</v>
      </c>
      <c r="F480" s="1" t="s">
        <v>112</v>
      </c>
      <c r="G480" s="1">
        <v>2759412</v>
      </c>
    </row>
    <row r="481" spans="1:10" x14ac:dyDescent="0.25">
      <c r="A481" s="1" t="str">
        <f t="shared" si="7"/>
        <v>03 testo +ee2</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3866</v>
      </c>
      <c r="D481" s="1" t="s">
        <v>3867</v>
      </c>
      <c r="E481" s="1" t="s">
        <v>3868</v>
      </c>
      <c r="F481" s="1" t="s">
        <v>112</v>
      </c>
      <c r="G481" s="1">
        <v>2974738</v>
      </c>
    </row>
    <row r="482" spans="1:10" x14ac:dyDescent="0.25">
      <c r="A482" s="1" t="str">
        <f t="shared" si="7"/>
        <v>03 testo +ee2</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3869</v>
      </c>
      <c r="D482" s="1" t="s">
        <v>567</v>
      </c>
      <c r="E482" s="1" t="s">
        <v>3870</v>
      </c>
      <c r="F482" s="1" t="s">
        <v>112</v>
      </c>
      <c r="G482" s="1">
        <v>3345042</v>
      </c>
    </row>
    <row r="483" spans="1:10" x14ac:dyDescent="0.25">
      <c r="A483" s="1" t="str">
        <f t="shared" si="7"/>
        <v>03 testo +ee2</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3871</v>
      </c>
      <c r="D483" s="1" t="s">
        <v>1288</v>
      </c>
      <c r="E483" s="1" t="s">
        <v>3872</v>
      </c>
      <c r="F483" s="1" t="s">
        <v>112</v>
      </c>
      <c r="G483" s="1">
        <v>3307233</v>
      </c>
    </row>
    <row r="484" spans="1:10" x14ac:dyDescent="0.25">
      <c r="A484" s="1" t="str">
        <f t="shared" si="7"/>
        <v>03 testo +ee2</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3873</v>
      </c>
      <c r="D484" s="1" t="s">
        <v>3874</v>
      </c>
      <c r="E484" s="1" t="s">
        <v>3875</v>
      </c>
      <c r="F484" s="1" t="s">
        <v>112</v>
      </c>
      <c r="G484" s="1">
        <v>3301501</v>
      </c>
    </row>
    <row r="485" spans="1:10" x14ac:dyDescent="0.25">
      <c r="A485" s="1" t="str">
        <f t="shared" si="7"/>
        <v>03 testo +ee2</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3876</v>
      </c>
      <c r="D485" s="1" t="s">
        <v>1008</v>
      </c>
      <c r="E485" s="1" t="s">
        <v>3877</v>
      </c>
      <c r="F485" s="1" t="s">
        <v>112</v>
      </c>
      <c r="G485" s="1">
        <v>2480906</v>
      </c>
    </row>
    <row r="486" spans="1:10" x14ac:dyDescent="0.25">
      <c r="A486" s="1" t="str">
        <f t="shared" si="7"/>
        <v>03 testo +ee2</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3878</v>
      </c>
      <c r="D486" s="1" t="s">
        <v>647</v>
      </c>
      <c r="E486" s="1" t="s">
        <v>3879</v>
      </c>
      <c r="F486" s="1" t="s">
        <v>112</v>
      </c>
      <c r="G486" s="1">
        <v>2466284</v>
      </c>
    </row>
    <row r="487" spans="1:10" x14ac:dyDescent="0.25">
      <c r="A487" s="1" t="str">
        <f t="shared" si="7"/>
        <v>03 testo +ee2</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3880</v>
      </c>
      <c r="D487" s="1" t="s">
        <v>3881</v>
      </c>
      <c r="E487" s="1" t="s">
        <v>3882</v>
      </c>
      <c r="F487" s="1" t="s">
        <v>112</v>
      </c>
      <c r="G487" s="1">
        <v>2552695</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240</v>
      </c>
      <c r="D489" s="1" t="s">
        <v>112</v>
      </c>
      <c r="E489" s="1" t="s">
        <v>241</v>
      </c>
      <c r="F489" s="1" t="s">
        <v>242</v>
      </c>
      <c r="G489" s="1" t="s">
        <v>243</v>
      </c>
      <c r="H489" s="1" t="s">
        <v>244</v>
      </c>
      <c r="I489" s="1" t="s">
        <v>245</v>
      </c>
      <c r="J489" s="1" t="s">
        <v>246</v>
      </c>
    </row>
    <row r="490" spans="1:10" x14ac:dyDescent="0.25">
      <c r="A490" s="1" t="str">
        <f t="shared" si="7"/>
        <v>03 testo +ee2</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3883</v>
      </c>
      <c r="D490" s="1" t="s">
        <v>112</v>
      </c>
      <c r="E490" s="1" t="s">
        <v>3884</v>
      </c>
      <c r="F490" s="1" t="s">
        <v>3885</v>
      </c>
      <c r="G490" s="1" t="s">
        <v>3886</v>
      </c>
      <c r="H490" s="1" t="s">
        <v>3887</v>
      </c>
      <c r="I490" s="1">
        <v>24</v>
      </c>
      <c r="J490" s="1">
        <v>24</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252</v>
      </c>
      <c r="D496" s="1" t="s">
        <v>110</v>
      </c>
      <c r="E496" s="1" t="s">
        <v>111</v>
      </c>
      <c r="F496" s="1" t="s">
        <v>112</v>
      </c>
      <c r="G496" s="1" t="s">
        <v>113</v>
      </c>
    </row>
    <row r="497" spans="1:7" x14ac:dyDescent="0.25">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3888</v>
      </c>
      <c r="D497" s="1" t="s">
        <v>703</v>
      </c>
      <c r="E497" s="1" t="s">
        <v>704</v>
      </c>
      <c r="F497" s="1" t="s">
        <v>112</v>
      </c>
      <c r="G497" s="1">
        <v>160948</v>
      </c>
    </row>
    <row r="498" spans="1:7" x14ac:dyDescent="0.25">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3889</v>
      </c>
      <c r="D498" s="1" t="s">
        <v>737</v>
      </c>
      <c r="E498" s="1" t="s">
        <v>3890</v>
      </c>
      <c r="F498" s="1" t="s">
        <v>112</v>
      </c>
      <c r="G498" s="1">
        <v>119700</v>
      </c>
    </row>
    <row r="499" spans="1:7" x14ac:dyDescent="0.25">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3891</v>
      </c>
      <c r="D499" s="1" t="s">
        <v>213</v>
      </c>
      <c r="E499" s="1" t="s">
        <v>3892</v>
      </c>
      <c r="F499" s="1" t="s">
        <v>112</v>
      </c>
      <c r="G499" s="1">
        <v>155562</v>
      </c>
    </row>
    <row r="500" spans="1:7" x14ac:dyDescent="0.25">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3893</v>
      </c>
      <c r="D500" s="1" t="s">
        <v>801</v>
      </c>
      <c r="E500" s="1" t="s">
        <v>3894</v>
      </c>
      <c r="F500" s="1" t="s">
        <v>112</v>
      </c>
      <c r="G500" s="1">
        <v>425633</v>
      </c>
    </row>
    <row r="501" spans="1:7" x14ac:dyDescent="0.25">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3895</v>
      </c>
      <c r="D501" s="1" t="s">
        <v>3896</v>
      </c>
      <c r="E501" s="1" t="s">
        <v>3897</v>
      </c>
      <c r="F501" s="1" t="s">
        <v>112</v>
      </c>
      <c r="G501" s="1">
        <v>519247</v>
      </c>
    </row>
    <row r="502" spans="1:7" x14ac:dyDescent="0.25">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3898</v>
      </c>
      <c r="D502" s="1" t="s">
        <v>3899</v>
      </c>
      <c r="E502" s="1" t="s">
        <v>3900</v>
      </c>
      <c r="F502" s="1" t="s">
        <v>112</v>
      </c>
      <c r="G502" s="1">
        <v>87752</v>
      </c>
    </row>
    <row r="503" spans="1:7" x14ac:dyDescent="0.25">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3901</v>
      </c>
      <c r="D503" s="1" t="s">
        <v>338</v>
      </c>
      <c r="E503" s="1" t="s">
        <v>3902</v>
      </c>
      <c r="F503" s="1" t="s">
        <v>112</v>
      </c>
      <c r="G503" s="1">
        <v>44666</v>
      </c>
    </row>
    <row r="504" spans="1:7" x14ac:dyDescent="0.25">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3903</v>
      </c>
    </row>
    <row r="505" spans="1:7" x14ac:dyDescent="0.25">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3904</v>
      </c>
    </row>
    <row r="506" spans="1:7" x14ac:dyDescent="0.25">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3905</v>
      </c>
      <c r="D506" s="1" t="s">
        <v>3906</v>
      </c>
      <c r="E506" s="1" t="s">
        <v>3907</v>
      </c>
      <c r="F506" s="1" t="s">
        <v>112</v>
      </c>
      <c r="G506" s="1">
        <v>293345</v>
      </c>
    </row>
    <row r="507" spans="1:7" x14ac:dyDescent="0.25">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3908</v>
      </c>
      <c r="D507" s="1" t="s">
        <v>3909</v>
      </c>
      <c r="E507" s="1" t="s">
        <v>3910</v>
      </c>
      <c r="F507" s="1" t="s">
        <v>112</v>
      </c>
      <c r="G507" s="1">
        <v>463983</v>
      </c>
    </row>
    <row r="508" spans="1:7" x14ac:dyDescent="0.25">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3911</v>
      </c>
      <c r="D508" s="1" t="s">
        <v>1980</v>
      </c>
      <c r="E508" s="1" t="s">
        <v>3912</v>
      </c>
      <c r="F508" s="1" t="s">
        <v>112</v>
      </c>
      <c r="G508" s="1">
        <v>278744</v>
      </c>
    </row>
    <row r="509" spans="1:7" x14ac:dyDescent="0.25">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3913</v>
      </c>
      <c r="D509" s="1" t="s">
        <v>3552</v>
      </c>
      <c r="E509" s="1" t="s">
        <v>3914</v>
      </c>
      <c r="F509" s="1" t="s">
        <v>112</v>
      </c>
      <c r="G509" s="1">
        <v>166853</v>
      </c>
    </row>
    <row r="510" spans="1:7" x14ac:dyDescent="0.25">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3915</v>
      </c>
      <c r="D510" s="1" t="s">
        <v>1676</v>
      </c>
      <c r="E510" s="1" t="s">
        <v>3916</v>
      </c>
      <c r="F510" s="1" t="s">
        <v>112</v>
      </c>
      <c r="G510" s="1">
        <v>292804</v>
      </c>
    </row>
    <row r="511" spans="1:7" x14ac:dyDescent="0.25">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3917</v>
      </c>
      <c r="D511" s="1" t="s">
        <v>1385</v>
      </c>
      <c r="E511" s="1" t="s">
        <v>3918</v>
      </c>
      <c r="F511" s="1" t="s">
        <v>112</v>
      </c>
      <c r="G511" s="1">
        <v>474711</v>
      </c>
    </row>
    <row r="512" spans="1:7" x14ac:dyDescent="0.25">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3919</v>
      </c>
      <c r="D512" s="1" t="s">
        <v>176</v>
      </c>
      <c r="E512" s="1" t="s">
        <v>3920</v>
      </c>
      <c r="F512" s="1" t="s">
        <v>112</v>
      </c>
      <c r="G512" s="1">
        <v>20527</v>
      </c>
    </row>
    <row r="513" spans="1:10" x14ac:dyDescent="0.25">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3921</v>
      </c>
      <c r="D513" s="1" t="s">
        <v>326</v>
      </c>
      <c r="E513" s="1" t="s">
        <v>3922</v>
      </c>
      <c r="F513" s="1" t="s">
        <v>112</v>
      </c>
      <c r="G513" s="1">
        <v>28054</v>
      </c>
    </row>
    <row r="514" spans="1:10" x14ac:dyDescent="0.25">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3923</v>
      </c>
      <c r="D514" s="1" t="s">
        <v>264</v>
      </c>
      <c r="E514" s="1" t="s">
        <v>3924</v>
      </c>
      <c r="F514" s="1" t="s">
        <v>112</v>
      </c>
      <c r="G514" s="1">
        <v>17520</v>
      </c>
    </row>
    <row r="515" spans="1:10" x14ac:dyDescent="0.25">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3925</v>
      </c>
      <c r="D515" s="1" t="s">
        <v>216</v>
      </c>
      <c r="E515" s="1" t="s">
        <v>187</v>
      </c>
      <c r="F515" s="1" t="s">
        <v>112</v>
      </c>
      <c r="G515" s="1">
        <v>21760</v>
      </c>
    </row>
    <row r="516" spans="1:10" x14ac:dyDescent="0.25">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3926</v>
      </c>
    </row>
    <row r="517" spans="1:10" x14ac:dyDescent="0.25">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3927</v>
      </c>
      <c r="D517" s="1" t="s">
        <v>697</v>
      </c>
      <c r="E517" s="1" t="s">
        <v>3928</v>
      </c>
      <c r="F517" s="1" t="s">
        <v>112</v>
      </c>
      <c r="G517" s="1">
        <v>31969</v>
      </c>
    </row>
    <row r="518" spans="1:10" x14ac:dyDescent="0.25">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3929</v>
      </c>
      <c r="D518" s="1" t="s">
        <v>292</v>
      </c>
      <c r="E518" s="1" t="s">
        <v>3930</v>
      </c>
      <c r="F518" s="1" t="s">
        <v>112</v>
      </c>
      <c r="G518" s="1">
        <v>43584</v>
      </c>
    </row>
    <row r="519" spans="1:10" x14ac:dyDescent="0.25">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3931</v>
      </c>
      <c r="D519" s="1" t="s">
        <v>173</v>
      </c>
      <c r="E519" s="1" t="s">
        <v>3932</v>
      </c>
      <c r="F519" s="1" t="s">
        <v>112</v>
      </c>
      <c r="G519" s="1">
        <v>18969</v>
      </c>
    </row>
    <row r="520" spans="1:10" x14ac:dyDescent="0.25">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3933</v>
      </c>
      <c r="D520" s="1" t="s">
        <v>372</v>
      </c>
      <c r="E520" s="1" t="s">
        <v>3934</v>
      </c>
      <c r="F520" s="1" t="s">
        <v>112</v>
      </c>
      <c r="G520" s="1">
        <v>50700</v>
      </c>
    </row>
    <row r="521" spans="1:10"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240</v>
      </c>
      <c r="D522" s="1" t="s">
        <v>112</v>
      </c>
      <c r="E522" s="1" t="s">
        <v>241</v>
      </c>
      <c r="F522" s="1" t="s">
        <v>242</v>
      </c>
      <c r="G522" s="1" t="s">
        <v>243</v>
      </c>
      <c r="H522" s="1" t="s">
        <v>244</v>
      </c>
      <c r="I522" s="1" t="s">
        <v>245</v>
      </c>
      <c r="J522" s="1" t="s">
        <v>246</v>
      </c>
    </row>
    <row r="523" spans="1:10" x14ac:dyDescent="0.25">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3935</v>
      </c>
      <c r="D523" s="1" t="s">
        <v>112</v>
      </c>
      <c r="E523" s="1" t="s">
        <v>3936</v>
      </c>
      <c r="F523" s="1" t="s">
        <v>3937</v>
      </c>
      <c r="G523" s="1" t="s">
        <v>3938</v>
      </c>
      <c r="H523" s="1" t="s">
        <v>3939</v>
      </c>
      <c r="I523" s="1">
        <v>24</v>
      </c>
      <c r="J523" s="1">
        <v>24</v>
      </c>
    </row>
    <row r="524" spans="1:10"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252</v>
      </c>
      <c r="D529" s="1" t="s">
        <v>110</v>
      </c>
      <c r="E529" s="1" t="s">
        <v>111</v>
      </c>
      <c r="F529" s="1" t="s">
        <v>112</v>
      </c>
      <c r="G529" s="1" t="s">
        <v>113</v>
      </c>
    </row>
    <row r="530" spans="1:7" x14ac:dyDescent="0.25">
      <c r="A530" s="1" t="str">
        <f t="shared" si="8"/>
        <v>05 Atrazine 0.625 mg_L+testo</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3940</v>
      </c>
      <c r="D530" s="1" t="s">
        <v>3941</v>
      </c>
      <c r="E530" s="1" t="s">
        <v>3942</v>
      </c>
      <c r="F530" s="1" t="s">
        <v>112</v>
      </c>
      <c r="G530" s="1">
        <v>1621831</v>
      </c>
    </row>
    <row r="531" spans="1:7" x14ac:dyDescent="0.25">
      <c r="A531" s="1" t="str">
        <f t="shared" si="8"/>
        <v>05 Atrazine 0.625 mg_L+testo</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3943</v>
      </c>
      <c r="D531" s="1" t="s">
        <v>3944</v>
      </c>
      <c r="E531" s="1" t="s">
        <v>3945</v>
      </c>
      <c r="F531" s="1" t="s">
        <v>112</v>
      </c>
      <c r="G531" s="1">
        <v>2100587</v>
      </c>
    </row>
    <row r="532" spans="1:7" x14ac:dyDescent="0.25">
      <c r="A532" s="1" t="str">
        <f t="shared" si="8"/>
        <v>05 Atrazine 0.625 mg_L+testo</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3946</v>
      </c>
      <c r="D532" s="1" t="s">
        <v>3947</v>
      </c>
      <c r="E532" s="1" t="s">
        <v>3948</v>
      </c>
      <c r="F532" s="1" t="s">
        <v>112</v>
      </c>
      <c r="G532" s="1">
        <v>1808086</v>
      </c>
    </row>
    <row r="533" spans="1:7" x14ac:dyDescent="0.25">
      <c r="A533" s="1" t="str">
        <f t="shared" si="8"/>
        <v>05 Atrazine 0.625 mg_L+testo</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3949</v>
      </c>
      <c r="D533" s="1" t="s">
        <v>3845</v>
      </c>
      <c r="E533" s="1" t="s">
        <v>3950</v>
      </c>
      <c r="F533" s="1" t="s">
        <v>112</v>
      </c>
      <c r="G533" s="1">
        <v>1896704</v>
      </c>
    </row>
    <row r="534" spans="1:7" x14ac:dyDescent="0.25">
      <c r="A534" s="1" t="str">
        <f t="shared" si="8"/>
        <v>05 Atrazine 0.625 mg_L+testo</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3951</v>
      </c>
      <c r="D534" s="1" t="s">
        <v>520</v>
      </c>
      <c r="E534" s="1" t="s">
        <v>3952</v>
      </c>
      <c r="F534" s="1" t="s">
        <v>112</v>
      </c>
      <c r="G534" s="1">
        <v>1567562</v>
      </c>
    </row>
    <row r="535" spans="1:7" x14ac:dyDescent="0.25">
      <c r="A535" s="1" t="str">
        <f t="shared" si="8"/>
        <v>05 Atrazine 0.625 mg_L+testo</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3953</v>
      </c>
      <c r="D535" s="1" t="s">
        <v>3954</v>
      </c>
      <c r="E535" s="1" t="s">
        <v>3955</v>
      </c>
      <c r="F535" s="1" t="s">
        <v>112</v>
      </c>
      <c r="G535" s="1">
        <v>1399541</v>
      </c>
    </row>
    <row r="536" spans="1:7" x14ac:dyDescent="0.25">
      <c r="A536" s="1" t="str">
        <f t="shared" si="8"/>
        <v>05 Atrazine 0.625 mg_L+testo</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3956</v>
      </c>
      <c r="D536" s="1" t="s">
        <v>3957</v>
      </c>
      <c r="E536" s="1" t="s">
        <v>3958</v>
      </c>
      <c r="F536" s="1" t="s">
        <v>112</v>
      </c>
      <c r="G536" s="1">
        <v>2315091</v>
      </c>
    </row>
    <row r="537" spans="1:7" x14ac:dyDescent="0.25">
      <c r="A537" s="1" t="str">
        <f t="shared" si="8"/>
        <v>05 Atrazine 0.625 mg_L+testo</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3959</v>
      </c>
      <c r="D537" s="1" t="s">
        <v>1057</v>
      </c>
      <c r="E537" s="1" t="s">
        <v>3960</v>
      </c>
      <c r="F537" s="1" t="s">
        <v>112</v>
      </c>
      <c r="G537" s="1">
        <v>1879184</v>
      </c>
    </row>
    <row r="538" spans="1:7" x14ac:dyDescent="0.25">
      <c r="A538" s="1" t="str">
        <f t="shared" si="8"/>
        <v>05 Atrazine 0.625 mg_L+testo</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3961</v>
      </c>
      <c r="D538" s="1" t="s">
        <v>3962</v>
      </c>
      <c r="E538" s="1" t="s">
        <v>3963</v>
      </c>
      <c r="F538" s="1" t="s">
        <v>112</v>
      </c>
      <c r="G538" s="1">
        <v>1446629</v>
      </c>
    </row>
    <row r="539" spans="1:7" x14ac:dyDescent="0.25">
      <c r="A539" s="1" t="str">
        <f t="shared" si="8"/>
        <v>05 Atrazine 0.625 mg_L+testo</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3964</v>
      </c>
      <c r="D539" s="1" t="s">
        <v>3965</v>
      </c>
      <c r="E539" s="1" t="s">
        <v>3966</v>
      </c>
      <c r="F539" s="1" t="s">
        <v>112</v>
      </c>
      <c r="G539" s="1">
        <v>1076282</v>
      </c>
    </row>
    <row r="540" spans="1:7" x14ac:dyDescent="0.25">
      <c r="A540" s="1" t="str">
        <f t="shared" si="8"/>
        <v>05 Atrazine 0.625 mg_L+testo</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3967</v>
      </c>
      <c r="D540" s="1" t="s">
        <v>3968</v>
      </c>
      <c r="E540" s="1" t="s">
        <v>3969</v>
      </c>
      <c r="F540" s="1" t="s">
        <v>112</v>
      </c>
      <c r="G540" s="1">
        <v>1114913</v>
      </c>
    </row>
    <row r="541" spans="1:7" x14ac:dyDescent="0.25">
      <c r="A541" s="1" t="str">
        <f t="shared" si="8"/>
        <v>05 Atrazine 0.625 mg_L+testo</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3970</v>
      </c>
      <c r="D541" s="1" t="s">
        <v>3971</v>
      </c>
      <c r="E541" s="1" t="s">
        <v>3972</v>
      </c>
      <c r="F541" s="1" t="s">
        <v>112</v>
      </c>
      <c r="G541" s="1">
        <v>996987</v>
      </c>
    </row>
    <row r="542" spans="1:7" x14ac:dyDescent="0.25">
      <c r="A542" s="1" t="str">
        <f t="shared" si="8"/>
        <v>05 Atrazine 0.625 mg_L+testo</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3973</v>
      </c>
    </row>
    <row r="543" spans="1:7" x14ac:dyDescent="0.25">
      <c r="A543" s="1" t="str">
        <f t="shared" si="8"/>
        <v>05 Atrazine 0.625 mg_L+testo</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3974</v>
      </c>
    </row>
    <row r="544" spans="1:7" x14ac:dyDescent="0.25">
      <c r="A544" s="1" t="str">
        <f t="shared" si="8"/>
        <v>05 Atrazine 0.625 mg_L+testo</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3975</v>
      </c>
    </row>
    <row r="545" spans="1:10" x14ac:dyDescent="0.25">
      <c r="A545" s="1" t="str">
        <f t="shared" si="8"/>
        <v>05 Atrazine 0.625 mg_L+testo</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3976</v>
      </c>
      <c r="D545" s="1" t="s">
        <v>3977</v>
      </c>
      <c r="E545" s="1" t="s">
        <v>3978</v>
      </c>
      <c r="F545" s="1" t="s">
        <v>112</v>
      </c>
      <c r="G545" s="1">
        <v>2892739</v>
      </c>
    </row>
    <row r="546" spans="1:10" x14ac:dyDescent="0.25">
      <c r="A546" s="1" t="str">
        <f t="shared" si="8"/>
        <v>05 Atrazine 0.625 mg_L+testo</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3979</v>
      </c>
      <c r="D546" s="1" t="s">
        <v>3980</v>
      </c>
      <c r="E546" s="1" t="s">
        <v>3981</v>
      </c>
      <c r="F546" s="1" t="s">
        <v>112</v>
      </c>
      <c r="G546" s="1">
        <v>2739448</v>
      </c>
    </row>
    <row r="547" spans="1:10" x14ac:dyDescent="0.25">
      <c r="A547" s="1" t="str">
        <f t="shared" si="8"/>
        <v>05 Atrazine 0.625 mg_L+testo</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3982</v>
      </c>
      <c r="D547" s="1" t="s">
        <v>3983</v>
      </c>
      <c r="E547" s="1" t="s">
        <v>3984</v>
      </c>
      <c r="F547" s="1" t="s">
        <v>112</v>
      </c>
      <c r="G547" s="1">
        <v>2420731</v>
      </c>
    </row>
    <row r="548" spans="1:10" x14ac:dyDescent="0.25">
      <c r="A548" s="1" t="str">
        <f t="shared" si="8"/>
        <v>05 Atrazine 0.625 mg_L+testo</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3985</v>
      </c>
      <c r="D548" s="1" t="s">
        <v>2322</v>
      </c>
      <c r="E548" s="1" t="s">
        <v>290</v>
      </c>
      <c r="F548" s="1" t="s">
        <v>112</v>
      </c>
      <c r="G548" s="1">
        <v>452433</v>
      </c>
    </row>
    <row r="549" spans="1:10" x14ac:dyDescent="0.25">
      <c r="A549" s="1" t="str">
        <f t="shared" si="8"/>
        <v>05 Atrazine 0.625 mg_L+testo</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3986</v>
      </c>
      <c r="D549" s="1" t="s">
        <v>2137</v>
      </c>
      <c r="E549" s="1" t="s">
        <v>3987</v>
      </c>
      <c r="F549" s="1" t="s">
        <v>112</v>
      </c>
      <c r="G549" s="1">
        <v>318089</v>
      </c>
    </row>
    <row r="550" spans="1:10" x14ac:dyDescent="0.25">
      <c r="A550" s="1" t="str">
        <f t="shared" si="8"/>
        <v>05 Atrazine 0.625 mg_L+testo</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3988</v>
      </c>
      <c r="D550" s="1" t="s">
        <v>3989</v>
      </c>
      <c r="E550" s="1" t="s">
        <v>3990</v>
      </c>
      <c r="F550" s="1" t="s">
        <v>112</v>
      </c>
      <c r="G550" s="1">
        <v>755878</v>
      </c>
    </row>
    <row r="551" spans="1:10" x14ac:dyDescent="0.25">
      <c r="A551" s="1" t="str">
        <f t="shared" si="8"/>
        <v>05 Atrazine 0.625 mg_L+testo</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3991</v>
      </c>
      <c r="D551" s="1" t="s">
        <v>3992</v>
      </c>
      <c r="E551" s="1" t="s">
        <v>3993</v>
      </c>
      <c r="F551" s="1" t="s">
        <v>112</v>
      </c>
      <c r="G551" s="1">
        <v>3181390</v>
      </c>
    </row>
    <row r="552" spans="1:10" x14ac:dyDescent="0.25">
      <c r="A552" s="1" t="str">
        <f t="shared" si="8"/>
        <v>05 Atrazine 0.625 mg_L+testo</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3994</v>
      </c>
      <c r="D552" s="1" t="s">
        <v>3995</v>
      </c>
      <c r="E552" s="1" t="s">
        <v>3996</v>
      </c>
      <c r="F552" s="1" t="s">
        <v>112</v>
      </c>
      <c r="G552" s="1">
        <v>2978155</v>
      </c>
    </row>
    <row r="553" spans="1:10" x14ac:dyDescent="0.25">
      <c r="A553" s="1" t="str">
        <f t="shared" si="8"/>
        <v>05 Atrazine 0.625 mg_L+testo</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3997</v>
      </c>
      <c r="D553" s="1" t="s">
        <v>2029</v>
      </c>
      <c r="E553" s="1" t="s">
        <v>3998</v>
      </c>
      <c r="F553" s="1" t="s">
        <v>112</v>
      </c>
      <c r="G553" s="1">
        <v>2989792</v>
      </c>
    </row>
    <row r="554" spans="1:10"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240</v>
      </c>
      <c r="D555" s="1" t="s">
        <v>112</v>
      </c>
      <c r="E555" s="1" t="s">
        <v>241</v>
      </c>
      <c r="F555" s="1" t="s">
        <v>242</v>
      </c>
      <c r="G555" s="1" t="s">
        <v>243</v>
      </c>
      <c r="H555" s="1" t="s">
        <v>244</v>
      </c>
      <c r="I555" s="1" t="s">
        <v>245</v>
      </c>
      <c r="J555" s="1" t="s">
        <v>246</v>
      </c>
    </row>
    <row r="556" spans="1:10" x14ac:dyDescent="0.25">
      <c r="A556" s="1" t="str">
        <f t="shared" si="8"/>
        <v>05 Atrazine 0.625 mg_L+testo</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3999</v>
      </c>
      <c r="D556" s="1" t="s">
        <v>112</v>
      </c>
      <c r="E556" s="1" t="s">
        <v>4000</v>
      </c>
      <c r="F556" s="1" t="s">
        <v>4001</v>
      </c>
      <c r="G556" s="1" t="s">
        <v>4002</v>
      </c>
      <c r="H556" s="1" t="s">
        <v>4003</v>
      </c>
      <c r="I556" s="1">
        <v>24</v>
      </c>
      <c r="J556" s="1">
        <v>24</v>
      </c>
    </row>
    <row r="557" spans="1:10"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252</v>
      </c>
      <c r="D562" s="1" t="s">
        <v>110</v>
      </c>
      <c r="E562" s="1" t="s">
        <v>111</v>
      </c>
      <c r="F562" s="1" t="s">
        <v>112</v>
      </c>
      <c r="G562" s="1" t="s">
        <v>113</v>
      </c>
    </row>
    <row r="563" spans="1:7" x14ac:dyDescent="0.25">
      <c r="A563" s="1" t="str">
        <f t="shared" si="8"/>
        <v>06  Atrazine 1.25 mg_L+testo</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4004</v>
      </c>
      <c r="D563" s="1" t="s">
        <v>4005</v>
      </c>
      <c r="E563" s="1" t="s">
        <v>4006</v>
      </c>
      <c r="F563" s="1" t="s">
        <v>112</v>
      </c>
      <c r="G563" s="1">
        <v>2925400</v>
      </c>
    </row>
    <row r="564" spans="1:7" x14ac:dyDescent="0.25">
      <c r="A564" s="1" t="str">
        <f t="shared" si="8"/>
        <v>06  Atrazine 1.25 mg_L+testo</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4007</v>
      </c>
      <c r="D564" s="1" t="s">
        <v>4008</v>
      </c>
      <c r="E564" s="1" t="s">
        <v>4009</v>
      </c>
      <c r="F564" s="1" t="s">
        <v>112</v>
      </c>
      <c r="G564" s="1">
        <v>2639929</v>
      </c>
    </row>
    <row r="565" spans="1:7" x14ac:dyDescent="0.25">
      <c r="A565" s="1" t="str">
        <f t="shared" si="8"/>
        <v>06  Atrazine 1.25 mg_L+testo</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4010</v>
      </c>
      <c r="D565" s="1" t="s">
        <v>4011</v>
      </c>
      <c r="E565" s="1" t="s">
        <v>4012</v>
      </c>
      <c r="F565" s="1" t="s">
        <v>112</v>
      </c>
      <c r="G565" s="1">
        <v>3016959</v>
      </c>
    </row>
    <row r="566" spans="1:7" x14ac:dyDescent="0.25">
      <c r="A566" s="1" t="str">
        <f t="shared" si="8"/>
        <v>06  Atrazine 1.25 mg_L+testo</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4013</v>
      </c>
      <c r="D566" s="1" t="s">
        <v>4014</v>
      </c>
      <c r="E566" s="1" t="s">
        <v>4015</v>
      </c>
      <c r="F566" s="1" t="s">
        <v>112</v>
      </c>
      <c r="G566" s="1">
        <v>3627723</v>
      </c>
    </row>
    <row r="567" spans="1:7" x14ac:dyDescent="0.25">
      <c r="A567" s="1" t="str">
        <f t="shared" si="8"/>
        <v>06  Atrazine 1.25 mg_L+testo</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4016</v>
      </c>
      <c r="D567" s="1" t="s">
        <v>4017</v>
      </c>
      <c r="E567" s="1" t="s">
        <v>4018</v>
      </c>
      <c r="F567" s="1" t="s">
        <v>112</v>
      </c>
      <c r="G567" s="1">
        <v>2754870</v>
      </c>
    </row>
    <row r="568" spans="1:7" x14ac:dyDescent="0.25">
      <c r="A568" s="1" t="str">
        <f t="shared" si="8"/>
        <v>06  Atrazine 1.25 mg_L+testo</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4019</v>
      </c>
      <c r="D568" s="1" t="s">
        <v>1573</v>
      </c>
      <c r="E568" s="1" t="s">
        <v>4020</v>
      </c>
      <c r="F568" s="1" t="s">
        <v>112</v>
      </c>
      <c r="G568" s="1">
        <v>2747667</v>
      </c>
    </row>
    <row r="569" spans="1:7" x14ac:dyDescent="0.25">
      <c r="A569" s="1" t="str">
        <f t="shared" si="8"/>
        <v>06  Atrazine 1.25 mg_L+testo</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4021</v>
      </c>
      <c r="D569" s="1" t="s">
        <v>4022</v>
      </c>
      <c r="E569" s="1" t="s">
        <v>4023</v>
      </c>
      <c r="F569" s="1" t="s">
        <v>112</v>
      </c>
      <c r="G569" s="1">
        <v>3607931</v>
      </c>
    </row>
    <row r="570" spans="1:7" x14ac:dyDescent="0.25">
      <c r="A570" s="1" t="str">
        <f t="shared" si="8"/>
        <v>06  Atrazine 1.25 mg_L+testo</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4024</v>
      </c>
      <c r="D570" s="1" t="s">
        <v>4025</v>
      </c>
      <c r="E570" s="1" t="s">
        <v>4026</v>
      </c>
      <c r="F570" s="1" t="s">
        <v>112</v>
      </c>
      <c r="G570" s="1">
        <v>3476768</v>
      </c>
    </row>
    <row r="571" spans="1:7" x14ac:dyDescent="0.25">
      <c r="A571" s="1" t="str">
        <f t="shared" si="8"/>
        <v>06  Atrazine 1.25 mg_L+testo</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4027</v>
      </c>
      <c r="D571" s="1" t="s">
        <v>4028</v>
      </c>
      <c r="E571" s="1" t="s">
        <v>4029</v>
      </c>
      <c r="F571" s="1" t="s">
        <v>112</v>
      </c>
      <c r="G571" s="1">
        <v>3229495</v>
      </c>
    </row>
    <row r="572" spans="1:7" x14ac:dyDescent="0.25">
      <c r="A572" s="1" t="str">
        <f t="shared" si="8"/>
        <v>06  Atrazine 1.25 mg_L+testo</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4030</v>
      </c>
      <c r="D572" s="1" t="s">
        <v>204</v>
      </c>
      <c r="E572" s="1" t="s">
        <v>4031</v>
      </c>
      <c r="F572" s="1" t="s">
        <v>112</v>
      </c>
      <c r="G572" s="1">
        <v>145115</v>
      </c>
    </row>
    <row r="573" spans="1:7" x14ac:dyDescent="0.25">
      <c r="A573" s="1" t="str">
        <f t="shared" si="8"/>
        <v>06  Atrazine 1.25 mg_L+testo</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4032</v>
      </c>
      <c r="D573" s="1" t="s">
        <v>4033</v>
      </c>
      <c r="E573" s="1" t="s">
        <v>4034</v>
      </c>
      <c r="F573" s="1" t="s">
        <v>112</v>
      </c>
      <c r="G573" s="1">
        <v>505274</v>
      </c>
    </row>
    <row r="574" spans="1:7" x14ac:dyDescent="0.25">
      <c r="A574" s="1" t="str">
        <f t="shared" si="8"/>
        <v>06  Atrazine 1.25 mg_L+testo</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4035</v>
      </c>
      <c r="D574" s="1" t="s">
        <v>4036</v>
      </c>
      <c r="E574" s="1" t="s">
        <v>4037</v>
      </c>
      <c r="F574" s="1" t="s">
        <v>112</v>
      </c>
      <c r="G574" s="1">
        <v>151604</v>
      </c>
    </row>
    <row r="575" spans="1:7" x14ac:dyDescent="0.25">
      <c r="A575" s="1" t="str">
        <f t="shared" si="8"/>
        <v>06  Atrazine 1.25 mg_L+testo</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4038</v>
      </c>
      <c r="D575" s="1" t="s">
        <v>3995</v>
      </c>
      <c r="E575" s="1" t="s">
        <v>4009</v>
      </c>
      <c r="F575" s="1" t="s">
        <v>112</v>
      </c>
      <c r="G575" s="1">
        <v>3310758</v>
      </c>
    </row>
    <row r="576" spans="1:7" x14ac:dyDescent="0.25">
      <c r="A576" s="1" t="str">
        <f t="shared" si="8"/>
        <v>06  Atrazine 1.25 mg_L+testo</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4039</v>
      </c>
      <c r="D576" s="1" t="s">
        <v>4040</v>
      </c>
      <c r="E576" s="1" t="s">
        <v>4041</v>
      </c>
      <c r="F576" s="1" t="s">
        <v>112</v>
      </c>
      <c r="G576" s="1">
        <v>3328408</v>
      </c>
    </row>
    <row r="577" spans="1:10" x14ac:dyDescent="0.25">
      <c r="A577" s="1" t="str">
        <f t="shared" si="8"/>
        <v>06  Atrazine 1.25 mg_L+testo</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4042</v>
      </c>
      <c r="D577" s="1" t="s">
        <v>4043</v>
      </c>
      <c r="E577" s="1" t="s">
        <v>4044</v>
      </c>
      <c r="F577" s="1" t="s">
        <v>112</v>
      </c>
      <c r="G577" s="1">
        <v>3280736</v>
      </c>
    </row>
    <row r="578" spans="1:10" x14ac:dyDescent="0.25">
      <c r="A578" s="1" t="str">
        <f t="shared" ref="A578:A641" si="9">IFERROR(LEFT(RIGHT(C578,LEN(C578)-SEARCH("@",C578)),SEARCH("/",RIGHT(C578,LEN(C578)-SEARCH("@",C578)-1))),"")</f>
        <v>06  Atrazine 1.25 mg_L+testo</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4045</v>
      </c>
      <c r="D578" s="1" t="s">
        <v>4046</v>
      </c>
      <c r="E578" s="1" t="s">
        <v>4047</v>
      </c>
      <c r="F578" s="1" t="s">
        <v>112</v>
      </c>
      <c r="G578" s="1">
        <v>1620923</v>
      </c>
    </row>
    <row r="579" spans="1:10" x14ac:dyDescent="0.25">
      <c r="A579" s="1" t="str">
        <f t="shared" si="9"/>
        <v>06  Atrazine 1.25 mg_L+testo</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4048</v>
      </c>
      <c r="D579" s="1" t="s">
        <v>4049</v>
      </c>
      <c r="E579" s="1" t="s">
        <v>4050</v>
      </c>
      <c r="F579" s="1" t="s">
        <v>112</v>
      </c>
      <c r="G579" s="1">
        <v>1197712</v>
      </c>
    </row>
    <row r="580" spans="1:10" x14ac:dyDescent="0.25">
      <c r="A580" s="1" t="str">
        <f t="shared" si="9"/>
        <v>06  Atrazine 1.25 mg_L+testo</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4051</v>
      </c>
      <c r="D580" s="1" t="s">
        <v>2013</v>
      </c>
      <c r="E580" s="1" t="s">
        <v>4052</v>
      </c>
      <c r="F580" s="1" t="s">
        <v>112</v>
      </c>
      <c r="G580" s="1">
        <v>1711898</v>
      </c>
    </row>
    <row r="581" spans="1:10" x14ac:dyDescent="0.25">
      <c r="A581" s="1" t="str">
        <f t="shared" si="9"/>
        <v>06  Atrazine 1.25 mg_L+testo</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4053</v>
      </c>
      <c r="D581" s="1" t="s">
        <v>4054</v>
      </c>
      <c r="E581" s="1" t="s">
        <v>4055</v>
      </c>
      <c r="F581" s="1" t="s">
        <v>112</v>
      </c>
      <c r="G581" s="1">
        <v>1521490</v>
      </c>
    </row>
    <row r="582" spans="1:10" x14ac:dyDescent="0.25">
      <c r="A582" s="1" t="str">
        <f t="shared" si="9"/>
        <v>06  Atrazine 1.25 mg_L+testo</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4056</v>
      </c>
      <c r="D582" s="1" t="s">
        <v>4057</v>
      </c>
      <c r="E582" s="1" t="s">
        <v>4058</v>
      </c>
      <c r="F582" s="1" t="s">
        <v>112</v>
      </c>
      <c r="G582" s="1">
        <v>1374299</v>
      </c>
    </row>
    <row r="583" spans="1:10" x14ac:dyDescent="0.25">
      <c r="A583" s="1" t="str">
        <f t="shared" si="9"/>
        <v>06  Atrazine 1.25 mg_L+testo</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4059</v>
      </c>
      <c r="D583" s="1" t="s">
        <v>4060</v>
      </c>
      <c r="E583" s="1" t="s">
        <v>4061</v>
      </c>
      <c r="F583" s="1" t="s">
        <v>112</v>
      </c>
      <c r="G583" s="1">
        <v>1738914</v>
      </c>
    </row>
    <row r="584" spans="1:10" x14ac:dyDescent="0.25">
      <c r="A584" s="1" t="str">
        <f t="shared" si="9"/>
        <v>06  Atrazine 1.25 mg_L+testo</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4062</v>
      </c>
    </row>
    <row r="585" spans="1:10" x14ac:dyDescent="0.25">
      <c r="A585" s="1" t="str">
        <f t="shared" si="9"/>
        <v>06  Atrazine 1.25 mg_L+testo</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4063</v>
      </c>
      <c r="D585" s="1" t="s">
        <v>4064</v>
      </c>
      <c r="E585" s="1" t="s">
        <v>4065</v>
      </c>
      <c r="F585" s="1" t="s">
        <v>112</v>
      </c>
      <c r="G585" s="1">
        <v>499283</v>
      </c>
    </row>
    <row r="586" spans="1:10" x14ac:dyDescent="0.25">
      <c r="A586" s="1" t="str">
        <f t="shared" si="9"/>
        <v>06  Atrazine 1.25 mg_L+testo</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4066</v>
      </c>
      <c r="D586" s="1" t="s">
        <v>1957</v>
      </c>
      <c r="E586" s="1" t="s">
        <v>4067</v>
      </c>
      <c r="F586" s="1" t="s">
        <v>112</v>
      </c>
      <c r="G586" s="1">
        <v>807920</v>
      </c>
    </row>
    <row r="587" spans="1:10"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240</v>
      </c>
      <c r="D588" s="1" t="s">
        <v>112</v>
      </c>
      <c r="E588" s="1" t="s">
        <v>241</v>
      </c>
      <c r="F588" s="1" t="s">
        <v>242</v>
      </c>
      <c r="G588" s="1" t="s">
        <v>243</v>
      </c>
      <c r="H588" s="1" t="s">
        <v>244</v>
      </c>
      <c r="I588" s="1" t="s">
        <v>245</v>
      </c>
      <c r="J588" s="1" t="s">
        <v>246</v>
      </c>
    </row>
    <row r="589" spans="1:10" x14ac:dyDescent="0.25">
      <c r="A589" s="1" t="str">
        <f t="shared" si="9"/>
        <v>06  Atrazine 1.25 mg_L+testo</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4068</v>
      </c>
      <c r="D589" s="1" t="s">
        <v>112</v>
      </c>
      <c r="E589" s="1" t="s">
        <v>4069</v>
      </c>
      <c r="F589" s="1" t="s">
        <v>4070</v>
      </c>
      <c r="G589" s="1" t="s">
        <v>4071</v>
      </c>
      <c r="H589" s="1" t="s">
        <v>4072</v>
      </c>
      <c r="I589" s="1">
        <v>24</v>
      </c>
      <c r="J589" s="1">
        <v>24</v>
      </c>
    </row>
    <row r="590" spans="1:10"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252</v>
      </c>
      <c r="D595" s="1" t="s">
        <v>110</v>
      </c>
      <c r="E595" s="1" t="s">
        <v>111</v>
      </c>
      <c r="F595" s="1" t="s">
        <v>112</v>
      </c>
      <c r="G595" s="1" t="s">
        <v>113</v>
      </c>
    </row>
    <row r="596" spans="1:7" x14ac:dyDescent="0.25">
      <c r="A596" s="1" t="str">
        <f t="shared" si="9"/>
        <v>07 Atrazine 2.5 mg_L+testo</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4073</v>
      </c>
      <c r="D596" s="1" t="s">
        <v>4074</v>
      </c>
      <c r="E596" s="1" t="s">
        <v>4075</v>
      </c>
      <c r="F596" s="1" t="s">
        <v>112</v>
      </c>
      <c r="G596" s="1">
        <v>2773493</v>
      </c>
    </row>
    <row r="597" spans="1:7" x14ac:dyDescent="0.25">
      <c r="A597" s="1" t="str">
        <f t="shared" si="9"/>
        <v>07 Atrazine 2.5 mg_L+testo</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4076</v>
      </c>
      <c r="D597" s="1" t="s">
        <v>4077</v>
      </c>
      <c r="E597" s="1" t="s">
        <v>4078</v>
      </c>
      <c r="F597" s="1" t="s">
        <v>112</v>
      </c>
      <c r="G597" s="1">
        <v>2490185</v>
      </c>
    </row>
    <row r="598" spans="1:7" x14ac:dyDescent="0.25">
      <c r="A598" s="1" t="str">
        <f t="shared" si="9"/>
        <v>07 Atrazine 2.5 mg_L+testo</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4079</v>
      </c>
      <c r="D598" s="1" t="s">
        <v>561</v>
      </c>
      <c r="E598" s="1" t="s">
        <v>4080</v>
      </c>
      <c r="F598" s="1" t="s">
        <v>112</v>
      </c>
      <c r="G598" s="1">
        <v>2732721</v>
      </c>
    </row>
    <row r="599" spans="1:7" x14ac:dyDescent="0.25">
      <c r="A599" s="1" t="str">
        <f t="shared" si="9"/>
        <v>07 Atrazine 2.5 mg_L+testo</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4081</v>
      </c>
      <c r="D599" s="1" t="s">
        <v>2574</v>
      </c>
      <c r="E599" s="1" t="s">
        <v>4082</v>
      </c>
      <c r="F599" s="1" t="s">
        <v>112</v>
      </c>
      <c r="G599" s="1">
        <v>1844230</v>
      </c>
    </row>
    <row r="600" spans="1:7" x14ac:dyDescent="0.25">
      <c r="A600" s="1" t="str">
        <f t="shared" si="9"/>
        <v>07 Atrazine 2.5 mg_L+testo</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4083</v>
      </c>
      <c r="D600" s="1" t="s">
        <v>4084</v>
      </c>
      <c r="E600" s="1" t="s">
        <v>4085</v>
      </c>
      <c r="F600" s="1" t="s">
        <v>112</v>
      </c>
      <c r="G600" s="1">
        <v>1738135</v>
      </c>
    </row>
    <row r="601" spans="1:7" x14ac:dyDescent="0.25">
      <c r="A601" s="1" t="str">
        <f t="shared" si="9"/>
        <v>07 Atrazine 2.5 mg_L+testo</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4086</v>
      </c>
      <c r="D601" s="1" t="s">
        <v>4087</v>
      </c>
      <c r="E601" s="1" t="s">
        <v>4088</v>
      </c>
      <c r="F601" s="1" t="s">
        <v>112</v>
      </c>
      <c r="G601" s="1">
        <v>1716527</v>
      </c>
    </row>
    <row r="602" spans="1:7" x14ac:dyDescent="0.25">
      <c r="A602" s="1" t="str">
        <f t="shared" si="9"/>
        <v>07 Atrazine 2.5 mg_L+testo</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4089</v>
      </c>
      <c r="D602" s="1" t="s">
        <v>1450</v>
      </c>
      <c r="E602" s="1" t="s">
        <v>4090</v>
      </c>
      <c r="F602" s="1" t="s">
        <v>112</v>
      </c>
      <c r="G602" s="1">
        <v>378999</v>
      </c>
    </row>
    <row r="603" spans="1:7" x14ac:dyDescent="0.25">
      <c r="A603" s="1" t="str">
        <f t="shared" si="9"/>
        <v>07 Atrazine 2.5 mg_L+testo</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4091</v>
      </c>
      <c r="D603" s="1" t="s">
        <v>1026</v>
      </c>
      <c r="E603" s="1" t="s">
        <v>2348</v>
      </c>
      <c r="F603" s="1" t="s">
        <v>112</v>
      </c>
      <c r="G603" s="1">
        <v>146413</v>
      </c>
    </row>
    <row r="604" spans="1:7" x14ac:dyDescent="0.25">
      <c r="A604" s="1" t="str">
        <f t="shared" si="9"/>
        <v>07 Atrazine 2.5 mg_L+testo</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4092</v>
      </c>
      <c r="D604" s="1" t="s">
        <v>1674</v>
      </c>
      <c r="E604" s="1" t="s">
        <v>4093</v>
      </c>
      <c r="F604" s="1" t="s">
        <v>112</v>
      </c>
      <c r="G604" s="1">
        <v>369525</v>
      </c>
    </row>
    <row r="605" spans="1:7" x14ac:dyDescent="0.25">
      <c r="A605" s="1" t="str">
        <f t="shared" si="9"/>
        <v>07 Atrazine 2.5 mg_L+testo</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4094</v>
      </c>
      <c r="D605" s="1" t="s">
        <v>4095</v>
      </c>
      <c r="E605" s="1" t="s">
        <v>4096</v>
      </c>
      <c r="F605" s="1" t="s">
        <v>112</v>
      </c>
      <c r="G605" s="1">
        <v>2733846</v>
      </c>
    </row>
    <row r="606" spans="1:7" x14ac:dyDescent="0.25">
      <c r="A606" s="1" t="str">
        <f t="shared" si="9"/>
        <v>07 Atrazine 2.5 mg_L+testo</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4097</v>
      </c>
      <c r="D606" s="1" t="s">
        <v>3229</v>
      </c>
      <c r="E606" s="1" t="s">
        <v>4098</v>
      </c>
      <c r="F606" s="1" t="s">
        <v>112</v>
      </c>
      <c r="G606" s="1">
        <v>2613735</v>
      </c>
    </row>
    <row r="607" spans="1:7" x14ac:dyDescent="0.25">
      <c r="A607" s="1" t="str">
        <f t="shared" si="9"/>
        <v>07 Atrazine 2.5 mg_L+testo</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4099</v>
      </c>
      <c r="D607" s="1" t="s">
        <v>1570</v>
      </c>
      <c r="E607" s="1" t="s">
        <v>4100</v>
      </c>
      <c r="F607" s="1" t="s">
        <v>112</v>
      </c>
      <c r="G607" s="1">
        <v>2812622</v>
      </c>
    </row>
    <row r="608" spans="1:7" x14ac:dyDescent="0.25">
      <c r="A608" s="1" t="str">
        <f t="shared" si="9"/>
        <v>07 Atrazine 2.5 mg_L+testo</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4101</v>
      </c>
      <c r="D608" s="1" t="s">
        <v>4102</v>
      </c>
      <c r="E608" s="1" t="s">
        <v>4103</v>
      </c>
      <c r="F608" s="1" t="s">
        <v>112</v>
      </c>
      <c r="G608" s="1">
        <v>3492817</v>
      </c>
    </row>
    <row r="609" spans="1:10" x14ac:dyDescent="0.25">
      <c r="A609" s="1" t="str">
        <f t="shared" si="9"/>
        <v>07 Atrazine 2.5 mg_L+testo</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4104</v>
      </c>
      <c r="D609" s="1" t="s">
        <v>4105</v>
      </c>
      <c r="E609" s="1" t="s">
        <v>4106</v>
      </c>
      <c r="F609" s="1" t="s">
        <v>112</v>
      </c>
      <c r="G609" s="1">
        <v>4009750</v>
      </c>
    </row>
    <row r="610" spans="1:10" x14ac:dyDescent="0.25">
      <c r="A610" s="1" t="str">
        <f t="shared" si="9"/>
        <v>07 Atrazine 2.5 mg_L+testo</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4107</v>
      </c>
      <c r="D610" s="1" t="s">
        <v>4108</v>
      </c>
      <c r="E610" s="1" t="s">
        <v>4109</v>
      </c>
      <c r="F610" s="1" t="s">
        <v>112</v>
      </c>
      <c r="G610" s="1">
        <v>3121626</v>
      </c>
    </row>
    <row r="611" spans="1:10" x14ac:dyDescent="0.25">
      <c r="A611" s="1" t="str">
        <f t="shared" si="9"/>
        <v>07 Atrazine 2.5 mg_L+testo</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4110</v>
      </c>
      <c r="D611" s="1" t="s">
        <v>4111</v>
      </c>
      <c r="E611" s="1" t="s">
        <v>4112</v>
      </c>
      <c r="F611" s="1" t="s">
        <v>112</v>
      </c>
      <c r="G611" s="1">
        <v>2570670</v>
      </c>
    </row>
    <row r="612" spans="1:10" x14ac:dyDescent="0.25">
      <c r="A612" s="1" t="str">
        <f t="shared" si="9"/>
        <v>07 Atrazine 2.5 mg_L+testo</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4113</v>
      </c>
      <c r="D612" s="1" t="s">
        <v>3341</v>
      </c>
      <c r="E612" s="1" t="s">
        <v>4114</v>
      </c>
      <c r="F612" s="1" t="s">
        <v>112</v>
      </c>
      <c r="G612" s="1">
        <v>2474698</v>
      </c>
    </row>
    <row r="613" spans="1:10" x14ac:dyDescent="0.25">
      <c r="A613" s="1" t="str">
        <f t="shared" si="9"/>
        <v>07 Atrazine 2.5 mg_L+testo</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4115</v>
      </c>
      <c r="D613" s="1" t="s">
        <v>3736</v>
      </c>
      <c r="E613" s="1" t="s">
        <v>4116</v>
      </c>
      <c r="F613" s="1" t="s">
        <v>112</v>
      </c>
      <c r="G613" s="1">
        <v>2622581</v>
      </c>
    </row>
    <row r="614" spans="1:10" x14ac:dyDescent="0.25">
      <c r="A614" s="1" t="str">
        <f t="shared" si="9"/>
        <v>07 Atrazine 2.5 mg_L+testo</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4117</v>
      </c>
      <c r="D614" s="1" t="s">
        <v>4118</v>
      </c>
      <c r="E614" s="1" t="s">
        <v>4119</v>
      </c>
      <c r="F614" s="1" t="s">
        <v>112</v>
      </c>
      <c r="G614" s="1">
        <v>1552962</v>
      </c>
    </row>
    <row r="615" spans="1:10" x14ac:dyDescent="0.25">
      <c r="A615" s="1" t="str">
        <f t="shared" si="9"/>
        <v>07 Atrazine 2.5 mg_L+testo</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4120</v>
      </c>
      <c r="D615" s="1" t="s">
        <v>4121</v>
      </c>
      <c r="E615" s="1" t="s">
        <v>4122</v>
      </c>
      <c r="F615" s="1" t="s">
        <v>112</v>
      </c>
      <c r="G615" s="1">
        <v>1507452</v>
      </c>
    </row>
    <row r="616" spans="1:10" x14ac:dyDescent="0.25">
      <c r="A616" s="1" t="str">
        <f t="shared" si="9"/>
        <v>07 Atrazine 2.5 mg_L+testo</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4123</v>
      </c>
      <c r="D616" s="1" t="s">
        <v>4124</v>
      </c>
      <c r="E616" s="1" t="s">
        <v>4125</v>
      </c>
      <c r="F616" s="1" t="s">
        <v>112</v>
      </c>
      <c r="G616" s="1">
        <v>1801381</v>
      </c>
    </row>
    <row r="617" spans="1:10" x14ac:dyDescent="0.25">
      <c r="A617" s="1" t="str">
        <f t="shared" si="9"/>
        <v>07 Atrazine 2.5 mg_L+testo</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4126</v>
      </c>
      <c r="D617" s="1" t="s">
        <v>3344</v>
      </c>
      <c r="E617" s="1" t="s">
        <v>4127</v>
      </c>
      <c r="F617" s="1" t="s">
        <v>112</v>
      </c>
      <c r="G617" s="1">
        <v>2396160</v>
      </c>
    </row>
    <row r="618" spans="1:10" x14ac:dyDescent="0.25">
      <c r="A618" s="1" t="str">
        <f t="shared" si="9"/>
        <v>07 Atrazine 2.5 mg_L+testo</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4128</v>
      </c>
      <c r="D618" s="1" t="s">
        <v>4129</v>
      </c>
      <c r="E618" s="1" t="s">
        <v>4130</v>
      </c>
      <c r="F618" s="1" t="s">
        <v>112</v>
      </c>
      <c r="G618" s="1">
        <v>1809189</v>
      </c>
    </row>
    <row r="619" spans="1:10" x14ac:dyDescent="0.25">
      <c r="A619" s="1" t="str">
        <f t="shared" si="9"/>
        <v>07 Atrazine 2.5 mg_L+testo</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4131</v>
      </c>
      <c r="D619" s="1" t="s">
        <v>4132</v>
      </c>
      <c r="E619" s="1" t="s">
        <v>4133</v>
      </c>
      <c r="F619" s="1" t="s">
        <v>112</v>
      </c>
      <c r="G619" s="1">
        <v>2121287</v>
      </c>
    </row>
    <row r="620" spans="1:10"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240</v>
      </c>
      <c r="D621" s="1" t="s">
        <v>112</v>
      </c>
      <c r="E621" s="1" t="s">
        <v>241</v>
      </c>
      <c r="F621" s="1" t="s">
        <v>242</v>
      </c>
      <c r="G621" s="1" t="s">
        <v>243</v>
      </c>
      <c r="H621" s="1" t="s">
        <v>244</v>
      </c>
      <c r="I621" s="1" t="s">
        <v>245</v>
      </c>
      <c r="J621" s="1" t="s">
        <v>246</v>
      </c>
    </row>
    <row r="622" spans="1:10" x14ac:dyDescent="0.25">
      <c r="A622" s="1" t="str">
        <f t="shared" si="9"/>
        <v>07 Atrazine 2.5 mg_L+testo</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4134</v>
      </c>
      <c r="D622" s="1" t="s">
        <v>112</v>
      </c>
      <c r="E622" s="1" t="s">
        <v>4135</v>
      </c>
      <c r="F622" s="1" t="s">
        <v>4136</v>
      </c>
      <c r="G622" s="1" t="s">
        <v>4137</v>
      </c>
      <c r="H622" s="1" t="s">
        <v>4138</v>
      </c>
      <c r="I622" s="1">
        <v>24</v>
      </c>
      <c r="J622" s="1">
        <v>24</v>
      </c>
    </row>
    <row r="623" spans="1:10"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252</v>
      </c>
      <c r="D628" s="1" t="s">
        <v>110</v>
      </c>
      <c r="E628" s="1" t="s">
        <v>111</v>
      </c>
      <c r="F628" s="1" t="s">
        <v>112</v>
      </c>
      <c r="G628" s="1" t="s">
        <v>113</v>
      </c>
    </row>
    <row r="629" spans="1:7" x14ac:dyDescent="0.25">
      <c r="A629" s="1" t="str">
        <f t="shared" si="9"/>
        <v>08 Atrazine 5 mg_L+testo</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4139</v>
      </c>
    </row>
    <row r="630" spans="1:7" x14ac:dyDescent="0.25">
      <c r="A630" s="1" t="str">
        <f t="shared" si="9"/>
        <v>08 Atrazine 5 mg_L+testo</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4140</v>
      </c>
    </row>
    <row r="631" spans="1:7" x14ac:dyDescent="0.25">
      <c r="A631" s="1" t="str">
        <f t="shared" si="9"/>
        <v>08 Atrazine 5 mg_L+testo</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4141</v>
      </c>
    </row>
    <row r="632" spans="1:7" x14ac:dyDescent="0.25">
      <c r="A632" s="1" t="str">
        <f t="shared" si="9"/>
        <v>08 Atrazine 5 mg_L+testo</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4142</v>
      </c>
      <c r="D632" s="1" t="s">
        <v>2583</v>
      </c>
      <c r="E632" s="1" t="s">
        <v>4143</v>
      </c>
      <c r="F632" s="1" t="s">
        <v>112</v>
      </c>
      <c r="G632" s="1">
        <v>1517056</v>
      </c>
    </row>
    <row r="633" spans="1:7" x14ac:dyDescent="0.25">
      <c r="A633" s="1" t="str">
        <f t="shared" si="9"/>
        <v>08 Atrazine 5 mg_L+testo</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4144</v>
      </c>
      <c r="D633" s="1" t="s">
        <v>4145</v>
      </c>
      <c r="E633" s="1" t="s">
        <v>4146</v>
      </c>
      <c r="F633" s="1" t="s">
        <v>112</v>
      </c>
      <c r="G633" s="1">
        <v>1360564</v>
      </c>
    </row>
    <row r="634" spans="1:7" x14ac:dyDescent="0.25">
      <c r="A634" s="1" t="str">
        <f t="shared" si="9"/>
        <v>08 Atrazine 5 mg_L+testo</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4147</v>
      </c>
      <c r="D634" s="1" t="s">
        <v>4148</v>
      </c>
      <c r="E634" s="1" t="s">
        <v>4149</v>
      </c>
      <c r="F634" s="1" t="s">
        <v>112</v>
      </c>
      <c r="G634" s="1">
        <v>1238009</v>
      </c>
    </row>
    <row r="635" spans="1:7" x14ac:dyDescent="0.25">
      <c r="A635" s="1" t="str">
        <f t="shared" si="9"/>
        <v>08 Atrazine 5 mg_L+testo</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4150</v>
      </c>
      <c r="D635" s="1" t="s">
        <v>4151</v>
      </c>
      <c r="E635" s="1" t="s">
        <v>4152</v>
      </c>
      <c r="F635" s="1" t="s">
        <v>112</v>
      </c>
      <c r="G635" s="1">
        <v>4230872</v>
      </c>
    </row>
    <row r="636" spans="1:7" x14ac:dyDescent="0.25">
      <c r="A636" s="1" t="str">
        <f t="shared" si="9"/>
        <v>08 Atrazine 5 mg_L+testo</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4153</v>
      </c>
      <c r="D636" s="1" t="s">
        <v>4154</v>
      </c>
      <c r="E636" s="1" t="s">
        <v>4155</v>
      </c>
      <c r="F636" s="1" t="s">
        <v>112</v>
      </c>
      <c r="G636" s="1">
        <v>4143617</v>
      </c>
    </row>
    <row r="637" spans="1:7" x14ac:dyDescent="0.25">
      <c r="A637" s="1" t="str">
        <f t="shared" si="9"/>
        <v>08 Atrazine 5 mg_L+testo</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4156</v>
      </c>
      <c r="D637" s="1" t="s">
        <v>3392</v>
      </c>
      <c r="E637" s="1" t="s">
        <v>4157</v>
      </c>
      <c r="F637" s="1" t="s">
        <v>112</v>
      </c>
      <c r="G637" s="1">
        <v>4562048</v>
      </c>
    </row>
    <row r="638" spans="1:7" x14ac:dyDescent="0.25">
      <c r="A638" s="1" t="str">
        <f t="shared" si="9"/>
        <v>08 Atrazine 5 mg_L+testo</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4158</v>
      </c>
      <c r="D638" s="1" t="s">
        <v>4159</v>
      </c>
      <c r="E638" s="1" t="s">
        <v>4160</v>
      </c>
      <c r="F638" s="1" t="s">
        <v>112</v>
      </c>
      <c r="G638" s="1">
        <v>2322921</v>
      </c>
    </row>
    <row r="639" spans="1:7" x14ac:dyDescent="0.25">
      <c r="A639" s="1" t="str">
        <f t="shared" si="9"/>
        <v>08 Atrazine 5 mg_L+testo</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4161</v>
      </c>
      <c r="D639" s="1" t="s">
        <v>1340</v>
      </c>
      <c r="E639" s="1" t="s">
        <v>4162</v>
      </c>
      <c r="F639" s="1" t="s">
        <v>112</v>
      </c>
      <c r="G639" s="1">
        <v>2957001</v>
      </c>
    </row>
    <row r="640" spans="1:7" x14ac:dyDescent="0.25">
      <c r="A640" s="1" t="str">
        <f t="shared" si="9"/>
        <v>08 Atrazine 5 mg_L+testo</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4163</v>
      </c>
      <c r="D640" s="1" t="s">
        <v>1317</v>
      </c>
      <c r="E640" s="1" t="s">
        <v>4164</v>
      </c>
      <c r="F640" s="1" t="s">
        <v>112</v>
      </c>
      <c r="G640" s="1">
        <v>1300584</v>
      </c>
    </row>
    <row r="641" spans="1:10" x14ac:dyDescent="0.25">
      <c r="A641" s="1" t="str">
        <f t="shared" si="9"/>
        <v>08 Atrazine 5 mg_L+testo</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4165</v>
      </c>
      <c r="D641" s="1" t="s">
        <v>4166</v>
      </c>
      <c r="E641" s="1" t="s">
        <v>4167</v>
      </c>
      <c r="F641" s="1" t="s">
        <v>112</v>
      </c>
      <c r="G641" s="1">
        <v>2876776</v>
      </c>
    </row>
    <row r="642" spans="1:10" x14ac:dyDescent="0.25">
      <c r="A642" s="1" t="str">
        <f t="shared" ref="A642:A705" si="10">IFERROR(LEFT(RIGHT(C642,LEN(C642)-SEARCH("@",C642)),SEARCH("/",RIGHT(C642,LEN(C642)-SEARCH("@",C642)-1))),"")</f>
        <v>08 Atrazine 5 mg_L+testo</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4168</v>
      </c>
      <c r="D642" s="1" t="s">
        <v>4169</v>
      </c>
      <c r="E642" s="1" t="s">
        <v>4170</v>
      </c>
      <c r="F642" s="1" t="s">
        <v>112</v>
      </c>
      <c r="G642" s="1">
        <v>2603720</v>
      </c>
    </row>
    <row r="643" spans="1:10" x14ac:dyDescent="0.25">
      <c r="A643" s="1" t="str">
        <f t="shared" si="10"/>
        <v>08 Atrazine 5 mg_L+testo</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4171</v>
      </c>
      <c r="D643" s="1" t="s">
        <v>4172</v>
      </c>
      <c r="E643" s="1" t="s">
        <v>4173</v>
      </c>
      <c r="F643" s="1" t="s">
        <v>112</v>
      </c>
      <c r="G643" s="1">
        <v>2821014</v>
      </c>
    </row>
    <row r="644" spans="1:10" x14ac:dyDescent="0.25">
      <c r="A644" s="1" t="str">
        <f t="shared" si="10"/>
        <v>08 Atrazine 5 mg_L+testo</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4174</v>
      </c>
      <c r="D644" s="1" t="s">
        <v>4175</v>
      </c>
      <c r="E644" s="1" t="s">
        <v>4176</v>
      </c>
      <c r="F644" s="1" t="s">
        <v>112</v>
      </c>
      <c r="G644" s="1">
        <v>3631205</v>
      </c>
    </row>
    <row r="645" spans="1:10" x14ac:dyDescent="0.25">
      <c r="A645" s="1" t="str">
        <f t="shared" si="10"/>
        <v>08 Atrazine 5 mg_L+testo</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4177</v>
      </c>
      <c r="D645" s="1" t="s">
        <v>4178</v>
      </c>
      <c r="E645" s="1" t="s">
        <v>4179</v>
      </c>
      <c r="F645" s="1" t="s">
        <v>112</v>
      </c>
      <c r="G645" s="1">
        <v>3317420</v>
      </c>
    </row>
    <row r="646" spans="1:10" x14ac:dyDescent="0.25">
      <c r="A646" s="1" t="str">
        <f t="shared" si="10"/>
        <v>08 Atrazine 5 mg_L+testo</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4180</v>
      </c>
      <c r="D646" s="1" t="s">
        <v>1190</v>
      </c>
      <c r="E646" s="1" t="s">
        <v>4181</v>
      </c>
      <c r="F646" s="1" t="s">
        <v>112</v>
      </c>
      <c r="G646" s="1">
        <v>3608710</v>
      </c>
    </row>
    <row r="647" spans="1:10" x14ac:dyDescent="0.25">
      <c r="A647" s="1" t="str">
        <f t="shared" si="10"/>
        <v>08 Atrazine 5 mg_L+testo</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4182</v>
      </c>
      <c r="D647" s="1" t="s">
        <v>4183</v>
      </c>
      <c r="E647" s="1" t="s">
        <v>4184</v>
      </c>
      <c r="F647" s="1" t="s">
        <v>112</v>
      </c>
      <c r="G647" s="1">
        <v>2991934</v>
      </c>
    </row>
    <row r="648" spans="1:10" x14ac:dyDescent="0.25">
      <c r="A648" s="1" t="str">
        <f t="shared" si="10"/>
        <v>08 Atrazine 5 mg_L+testo</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4185</v>
      </c>
      <c r="D648" s="1" t="s">
        <v>4186</v>
      </c>
      <c r="E648" s="1" t="s">
        <v>4187</v>
      </c>
      <c r="F648" s="1" t="s">
        <v>112</v>
      </c>
      <c r="G648" s="1">
        <v>2885990</v>
      </c>
    </row>
    <row r="649" spans="1:10" x14ac:dyDescent="0.25">
      <c r="A649" s="1" t="str">
        <f t="shared" si="10"/>
        <v>08 Atrazine 5 mg_L+testo</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4188</v>
      </c>
      <c r="D649" s="1" t="s">
        <v>505</v>
      </c>
      <c r="E649" s="1" t="s">
        <v>4189</v>
      </c>
      <c r="F649" s="1" t="s">
        <v>112</v>
      </c>
      <c r="G649" s="1">
        <v>2887440</v>
      </c>
    </row>
    <row r="650" spans="1:10" x14ac:dyDescent="0.25">
      <c r="A650" s="1" t="str">
        <f t="shared" si="10"/>
        <v>08 Atrazine 5 mg_L+testo</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4190</v>
      </c>
      <c r="D650" s="1" t="s">
        <v>2711</v>
      </c>
      <c r="E650" s="1" t="s">
        <v>4191</v>
      </c>
      <c r="F650" s="1" t="s">
        <v>112</v>
      </c>
      <c r="G650" s="1">
        <v>1986511</v>
      </c>
    </row>
    <row r="651" spans="1:10" x14ac:dyDescent="0.25">
      <c r="A651" s="1" t="str">
        <f t="shared" si="10"/>
        <v>08 Atrazine 5 mg_L+testo</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4192</v>
      </c>
      <c r="D651" s="1" t="s">
        <v>4193</v>
      </c>
      <c r="E651" s="1" t="s">
        <v>4194</v>
      </c>
      <c r="F651" s="1" t="s">
        <v>112</v>
      </c>
      <c r="G651" s="1">
        <v>2196126</v>
      </c>
    </row>
    <row r="652" spans="1:10" x14ac:dyDescent="0.25">
      <c r="A652" s="1" t="str">
        <f t="shared" si="10"/>
        <v>08 Atrazine 5 mg_L+testo</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4195</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240</v>
      </c>
      <c r="D654" s="1" t="s">
        <v>112</v>
      </c>
      <c r="E654" s="1" t="s">
        <v>241</v>
      </c>
      <c r="F654" s="1" t="s">
        <v>242</v>
      </c>
      <c r="G654" s="1" t="s">
        <v>243</v>
      </c>
      <c r="H654" s="1" t="s">
        <v>244</v>
      </c>
      <c r="I654" s="1" t="s">
        <v>245</v>
      </c>
      <c r="J654" s="1" t="s">
        <v>246</v>
      </c>
    </row>
    <row r="655" spans="1:10" x14ac:dyDescent="0.25">
      <c r="A655" s="1" t="str">
        <f t="shared" si="10"/>
        <v>08 Atrazine 5 mg_L+testo</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4196</v>
      </c>
      <c r="D655" s="1" t="s">
        <v>112</v>
      </c>
      <c r="E655" s="1" t="s">
        <v>4197</v>
      </c>
      <c r="F655" s="1" t="s">
        <v>4198</v>
      </c>
      <c r="G655" s="1" t="s">
        <v>4199</v>
      </c>
      <c r="H655" s="1" t="s">
        <v>4200</v>
      </c>
      <c r="I655" s="1">
        <v>24</v>
      </c>
      <c r="J655" s="1">
        <v>24</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252</v>
      </c>
      <c r="D661" s="1" t="s">
        <v>110</v>
      </c>
      <c r="E661" s="1" t="s">
        <v>111</v>
      </c>
      <c r="F661" s="1" t="s">
        <v>112</v>
      </c>
      <c r="G661" s="1" t="s">
        <v>113</v>
      </c>
    </row>
    <row r="662" spans="1:7" x14ac:dyDescent="0.25">
      <c r="A662" s="1" t="str">
        <f t="shared" si="10"/>
        <v>09 Atrazine 10 mg_L+testo</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4201</v>
      </c>
      <c r="D662" s="1" t="s">
        <v>2671</v>
      </c>
      <c r="E662" s="1" t="s">
        <v>4202</v>
      </c>
      <c r="F662" s="1" t="s">
        <v>112</v>
      </c>
      <c r="G662" s="1">
        <v>3438937</v>
      </c>
    </row>
    <row r="663" spans="1:7" x14ac:dyDescent="0.25">
      <c r="A663" s="1" t="str">
        <f t="shared" si="10"/>
        <v>09 Atrazine 10 mg_L+testo</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4203</v>
      </c>
      <c r="D663" s="1" t="s">
        <v>4204</v>
      </c>
      <c r="E663" s="1" t="s">
        <v>4205</v>
      </c>
      <c r="F663" s="1" t="s">
        <v>112</v>
      </c>
      <c r="G663" s="1">
        <v>3141915</v>
      </c>
    </row>
    <row r="664" spans="1:7" x14ac:dyDescent="0.25">
      <c r="A664" s="1" t="str">
        <f t="shared" si="10"/>
        <v>09 Atrazine 10 mg_L+testo</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4206</v>
      </c>
      <c r="D664" s="1" t="s">
        <v>4207</v>
      </c>
      <c r="E664" s="1" t="s">
        <v>4208</v>
      </c>
      <c r="F664" s="1" t="s">
        <v>112</v>
      </c>
      <c r="G664" s="1">
        <v>3232371</v>
      </c>
    </row>
    <row r="665" spans="1:7" x14ac:dyDescent="0.25">
      <c r="A665" s="1" t="str">
        <f t="shared" si="10"/>
        <v>09 Atrazine 10 mg_L+testo</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4209</v>
      </c>
      <c r="D665" s="1" t="s">
        <v>4210</v>
      </c>
      <c r="E665" s="1" t="s">
        <v>4211</v>
      </c>
      <c r="F665" s="1" t="s">
        <v>112</v>
      </c>
      <c r="G665" s="1">
        <v>3162896</v>
      </c>
    </row>
    <row r="666" spans="1:7" x14ac:dyDescent="0.25">
      <c r="A666" s="1" t="str">
        <f t="shared" si="10"/>
        <v>09 Atrazine 10 mg_L+testo</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4212</v>
      </c>
      <c r="D666" s="1" t="s">
        <v>4213</v>
      </c>
      <c r="E666" s="1" t="s">
        <v>4214</v>
      </c>
      <c r="F666" s="1" t="s">
        <v>112</v>
      </c>
      <c r="G666" s="1">
        <v>3431994</v>
      </c>
    </row>
    <row r="667" spans="1:7" x14ac:dyDescent="0.25">
      <c r="A667" s="1" t="str">
        <f t="shared" si="10"/>
        <v>09 Atrazine 10 mg_L+testo</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4215</v>
      </c>
      <c r="D667" s="1" t="s">
        <v>4216</v>
      </c>
      <c r="E667" s="1" t="s">
        <v>4217</v>
      </c>
      <c r="F667" s="1" t="s">
        <v>112</v>
      </c>
      <c r="G667" s="1">
        <v>3170315</v>
      </c>
    </row>
    <row r="668" spans="1:7" x14ac:dyDescent="0.25">
      <c r="A668" s="1" t="str">
        <f t="shared" si="10"/>
        <v>09 Atrazine 10 mg_L+testo</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4218</v>
      </c>
      <c r="D668" s="1" t="s">
        <v>2822</v>
      </c>
      <c r="E668" s="1" t="s">
        <v>4219</v>
      </c>
      <c r="F668" s="1" t="s">
        <v>112</v>
      </c>
      <c r="G668" s="1">
        <v>3102506</v>
      </c>
    </row>
    <row r="669" spans="1:7" x14ac:dyDescent="0.25">
      <c r="A669" s="1" t="str">
        <f t="shared" si="10"/>
        <v>09 Atrazine 10 mg_L+testo</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4220</v>
      </c>
      <c r="D669" s="1" t="s">
        <v>2785</v>
      </c>
      <c r="E669" s="1" t="s">
        <v>4221</v>
      </c>
      <c r="F669" s="1" t="s">
        <v>112</v>
      </c>
      <c r="G669" s="1">
        <v>3363146</v>
      </c>
    </row>
    <row r="670" spans="1:7" x14ac:dyDescent="0.25">
      <c r="A670" s="1" t="str">
        <f t="shared" si="10"/>
        <v>09 Atrazine 10 mg_L+testo</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4222</v>
      </c>
      <c r="D670" s="1" t="s">
        <v>1187</v>
      </c>
      <c r="E670" s="1" t="s">
        <v>4223</v>
      </c>
      <c r="F670" s="1" t="s">
        <v>112</v>
      </c>
      <c r="G670" s="1">
        <v>3472593</v>
      </c>
    </row>
    <row r="671" spans="1:7" x14ac:dyDescent="0.25">
      <c r="A671" s="1" t="str">
        <f t="shared" si="10"/>
        <v>09 Atrazine 10 mg_L+testo</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4224</v>
      </c>
      <c r="D671" s="1" t="s">
        <v>4225</v>
      </c>
      <c r="E671" s="1" t="s">
        <v>4226</v>
      </c>
      <c r="F671" s="1" t="s">
        <v>112</v>
      </c>
      <c r="G671" s="1">
        <v>1641687</v>
      </c>
    </row>
    <row r="672" spans="1:7" x14ac:dyDescent="0.25">
      <c r="A672" s="1" t="str">
        <f t="shared" si="10"/>
        <v>09 Atrazine 10 mg_L+testo</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4227</v>
      </c>
      <c r="D672" s="1" t="s">
        <v>2451</v>
      </c>
      <c r="E672" s="1" t="s">
        <v>4228</v>
      </c>
      <c r="F672" s="1" t="s">
        <v>112</v>
      </c>
      <c r="G672" s="1">
        <v>1847409</v>
      </c>
    </row>
    <row r="673" spans="1:10" x14ac:dyDescent="0.25">
      <c r="A673" s="1" t="str">
        <f t="shared" si="10"/>
        <v>09 Atrazine 10 mg_L+testo</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4229</v>
      </c>
      <c r="D673" s="1" t="s">
        <v>2881</v>
      </c>
      <c r="E673" s="1" t="s">
        <v>4230</v>
      </c>
      <c r="F673" s="1" t="s">
        <v>112</v>
      </c>
      <c r="G673" s="1">
        <v>2047248</v>
      </c>
    </row>
    <row r="674" spans="1:10" x14ac:dyDescent="0.25">
      <c r="A674" s="1" t="str">
        <f t="shared" si="10"/>
        <v>09 Atrazine 10 mg_L+testo</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4231</v>
      </c>
      <c r="D674" s="1" t="s">
        <v>1570</v>
      </c>
      <c r="E674" s="1" t="s">
        <v>4232</v>
      </c>
      <c r="F674" s="1" t="s">
        <v>112</v>
      </c>
      <c r="G674" s="1">
        <v>3101770</v>
      </c>
    </row>
    <row r="675" spans="1:10" x14ac:dyDescent="0.25">
      <c r="A675" s="1" t="str">
        <f t="shared" si="10"/>
        <v>09 Atrazine 10 mg_L+testo</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4233</v>
      </c>
      <c r="D675" s="1" t="s">
        <v>4234</v>
      </c>
      <c r="E675" s="1" t="s">
        <v>4235</v>
      </c>
      <c r="F675" s="1" t="s">
        <v>112</v>
      </c>
      <c r="G675" s="1">
        <v>3174555</v>
      </c>
    </row>
    <row r="676" spans="1:10" x14ac:dyDescent="0.25">
      <c r="A676" s="1" t="str">
        <f t="shared" si="10"/>
        <v>09 Atrazine 10 mg_L+testo</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4236</v>
      </c>
      <c r="D676" s="1" t="s">
        <v>4237</v>
      </c>
      <c r="E676" s="1" t="s">
        <v>4238</v>
      </c>
      <c r="F676" s="1" t="s">
        <v>112</v>
      </c>
      <c r="G676" s="1">
        <v>3228413</v>
      </c>
    </row>
    <row r="677" spans="1:10" x14ac:dyDescent="0.25">
      <c r="A677" s="1" t="str">
        <f t="shared" si="10"/>
        <v>09 Atrazine 10 mg_L+testo</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4239</v>
      </c>
      <c r="D677" s="1" t="s">
        <v>4240</v>
      </c>
      <c r="E677" s="1" t="s">
        <v>4241</v>
      </c>
      <c r="F677" s="1" t="s">
        <v>112</v>
      </c>
      <c r="G677" s="1">
        <v>3829270</v>
      </c>
    </row>
    <row r="678" spans="1:10" x14ac:dyDescent="0.25">
      <c r="A678" s="1" t="str">
        <f t="shared" si="10"/>
        <v>09 Atrazine 10 mg_L+testo</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4242</v>
      </c>
    </row>
    <row r="679" spans="1:10" x14ac:dyDescent="0.25">
      <c r="A679" s="1" t="str">
        <f t="shared" si="10"/>
        <v>09 Atrazine 10 mg_L+testo</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4243</v>
      </c>
      <c r="D679" s="1" t="s">
        <v>4244</v>
      </c>
      <c r="E679" s="1" t="s">
        <v>4245</v>
      </c>
      <c r="F679" s="1" t="s">
        <v>112</v>
      </c>
      <c r="G679" s="1">
        <v>3710738</v>
      </c>
    </row>
    <row r="680" spans="1:10" x14ac:dyDescent="0.25">
      <c r="A680" s="1" t="str">
        <f t="shared" si="10"/>
        <v>09 Atrazine 10 mg_L+testo</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4246</v>
      </c>
      <c r="D680" s="1" t="s">
        <v>4247</v>
      </c>
      <c r="E680" s="1" t="s">
        <v>4248</v>
      </c>
      <c r="F680" s="1" t="s">
        <v>112</v>
      </c>
      <c r="G680" s="1">
        <v>2152888</v>
      </c>
    </row>
    <row r="681" spans="1:10" x14ac:dyDescent="0.25">
      <c r="A681" s="1" t="str">
        <f t="shared" si="10"/>
        <v>09 Atrazine 10 mg_L+testo</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4249</v>
      </c>
      <c r="D681" s="1" t="s">
        <v>4250</v>
      </c>
      <c r="E681" s="1" t="s">
        <v>4251</v>
      </c>
      <c r="F681" s="1" t="s">
        <v>112</v>
      </c>
      <c r="G681" s="1">
        <v>2065871</v>
      </c>
    </row>
    <row r="682" spans="1:10" x14ac:dyDescent="0.25">
      <c r="A682" s="1" t="str">
        <f t="shared" si="10"/>
        <v>09 Atrazine 10 mg_L+testo</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4252</v>
      </c>
      <c r="D682" s="1" t="s">
        <v>2521</v>
      </c>
      <c r="E682" s="1" t="s">
        <v>4253</v>
      </c>
      <c r="F682" s="1" t="s">
        <v>112</v>
      </c>
      <c r="G682" s="1">
        <v>1967282</v>
      </c>
    </row>
    <row r="683" spans="1:10" x14ac:dyDescent="0.25">
      <c r="A683" s="1" t="str">
        <f t="shared" si="10"/>
        <v>09 Atrazine 10 mg_L+testo</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4254</v>
      </c>
      <c r="D683" s="1" t="s">
        <v>4255</v>
      </c>
      <c r="E683" s="1" t="s">
        <v>4256</v>
      </c>
      <c r="F683" s="1" t="s">
        <v>112</v>
      </c>
      <c r="G683" s="1">
        <v>3554657</v>
      </c>
    </row>
    <row r="684" spans="1:10" x14ac:dyDescent="0.25">
      <c r="A684" s="1" t="str">
        <f t="shared" si="10"/>
        <v>09 Atrazine 10 mg_L+testo</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4257</v>
      </c>
      <c r="D684" s="1" t="s">
        <v>4258</v>
      </c>
      <c r="E684" s="1" t="s">
        <v>4259</v>
      </c>
      <c r="F684" s="1" t="s">
        <v>112</v>
      </c>
      <c r="G684" s="1">
        <v>3721294</v>
      </c>
    </row>
    <row r="685" spans="1:10" x14ac:dyDescent="0.25">
      <c r="A685" s="1" t="str">
        <f t="shared" si="10"/>
        <v>09 Atrazine 10 mg_L+testo</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4260</v>
      </c>
      <c r="D685" s="1" t="s">
        <v>4261</v>
      </c>
      <c r="E685" s="1" t="s">
        <v>4262</v>
      </c>
      <c r="F685" s="1" t="s">
        <v>112</v>
      </c>
      <c r="G685" s="1">
        <v>3170661</v>
      </c>
    </row>
    <row r="686" spans="1:10"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240</v>
      </c>
      <c r="D687" s="1" t="s">
        <v>112</v>
      </c>
      <c r="E687" s="1" t="s">
        <v>241</v>
      </c>
      <c r="F687" s="1" t="s">
        <v>242</v>
      </c>
      <c r="G687" s="1" t="s">
        <v>243</v>
      </c>
      <c r="H687" s="1" t="s">
        <v>244</v>
      </c>
      <c r="I687" s="1" t="s">
        <v>245</v>
      </c>
      <c r="J687" s="1" t="s">
        <v>246</v>
      </c>
    </row>
    <row r="688" spans="1:10" x14ac:dyDescent="0.25">
      <c r="A688" s="1" t="str">
        <f t="shared" si="10"/>
        <v>09 Atrazine 10 mg_L+testo</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4263</v>
      </c>
      <c r="D688" s="1" t="s">
        <v>112</v>
      </c>
      <c r="E688" s="1" t="s">
        <v>4264</v>
      </c>
      <c r="F688" s="1" t="s">
        <v>4265</v>
      </c>
      <c r="G688" s="1" t="s">
        <v>4266</v>
      </c>
      <c r="H688" s="1" t="s">
        <v>4267</v>
      </c>
      <c r="I688" s="1">
        <v>24</v>
      </c>
      <c r="J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 t="s">
        <v>112</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3" s="1" t="s">
        <v>112</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1" priority="1" operator="containsText" text="ERREUR">
      <formula>NOT(ISERROR(SEARCH("ERREUR",A1)))</formula>
    </cfRule>
    <cfRule type="containsText" dxfId="0"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6"/>
  <sheetViews>
    <sheetView showGridLines="0" topLeftCell="N54" zoomScaleNormal="100" zoomScaleSheetLayoutView="40" zoomScalePageLayoutView="30" workbookViewId="0">
      <selection activeCell="S74" sqref="S74"/>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row r="3" spans="1:22" ht="15.75" thickBot="1" x14ac:dyDescent="0.3">
      <c r="A3" s="152"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Atrazine-0,625mg/L</v>
      </c>
      <c r="J4" s="35" t="str">
        <f>'Page de garde'!A16</f>
        <v>Atrazine-1,25mg/L</v>
      </c>
      <c r="K4" s="35" t="str">
        <f>'Page de garde'!A17</f>
        <v>Atrazine-2,5mg/L</v>
      </c>
      <c r="L4" s="35" t="str">
        <f>'Page de garde'!A18</f>
        <v>Atrazine-5mg/L</v>
      </c>
      <c r="M4" s="35" t="str">
        <f>'Page de garde'!A19</f>
        <v>Atrazine-10mg/L</v>
      </c>
      <c r="N4" s="3"/>
      <c r="O4" s="36" t="str">
        <f>'Page de garde'!A36</f>
        <v>Testo -30µg/L</v>
      </c>
      <c r="P4" s="36" t="str">
        <f>'Page de garde'!A37</f>
        <v>Testo 30µg/L + EE2 -64ng/L</v>
      </c>
      <c r="Q4" s="36" t="str">
        <f>'Page de garde'!A38</f>
        <v>Testo 30µg/L + FAD-10µg/L</v>
      </c>
      <c r="R4" s="36" t="str">
        <f>'Page de garde'!A39</f>
        <v>Atrazine-0,625mg/L + Testostérone</v>
      </c>
      <c r="S4" s="36" t="str">
        <f>'Page de garde'!A40</f>
        <v>Atrazine-1,25mg/L + Testostérone</v>
      </c>
      <c r="T4" s="36" t="str">
        <f>'Page de garde'!A41</f>
        <v>Atrazine-2,5mg/L + Testostérone</v>
      </c>
      <c r="U4" s="36" t="str">
        <f>'Page de garde'!A42</f>
        <v>Atrazine-5mg/L + Testostérone</v>
      </c>
      <c r="V4" s="36" t="str">
        <f>'Page de garde'!A43</f>
        <v>Atrazine-10mg/L + Testostérone</v>
      </c>
    </row>
    <row r="5" spans="1:22" x14ac:dyDescent="0.25">
      <c r="A5" s="226" t="s">
        <v>33</v>
      </c>
      <c r="B5" s="196">
        <v>78430.333333333328</v>
      </c>
      <c r="C5" s="196">
        <v>258773</v>
      </c>
      <c r="D5" s="196">
        <v>533421.66666666663</v>
      </c>
      <c r="E5" s="196">
        <v>467371.66666666669</v>
      </c>
      <c r="F5" s="196">
        <v>546753.66666666663</v>
      </c>
      <c r="G5" s="196">
        <v>2264102</v>
      </c>
      <c r="H5" s="196">
        <v>2458828.6666666665</v>
      </c>
      <c r="I5" s="196">
        <v>134841</v>
      </c>
      <c r="J5" s="196">
        <v>269292.33333333331</v>
      </c>
      <c r="K5" s="196">
        <v>473291</v>
      </c>
      <c r="L5" s="196">
        <v>52849</v>
      </c>
      <c r="M5" s="196">
        <v>509881.66666666669</v>
      </c>
      <c r="N5" s="3"/>
      <c r="O5" s="196">
        <v>389943.66666666669</v>
      </c>
      <c r="P5" s="196">
        <v>3219054.6666666665</v>
      </c>
      <c r="Q5" s="196">
        <v>145403.33333333334</v>
      </c>
      <c r="R5" s="196">
        <v>1843501.3333333333</v>
      </c>
      <c r="S5" s="196">
        <v>2860762.6666666665</v>
      </c>
      <c r="T5" s="196">
        <v>2665466.3333333335</v>
      </c>
      <c r="U5" s="196"/>
      <c r="V5" s="196">
        <v>3271074.3333333335</v>
      </c>
    </row>
    <row r="6" spans="1:22" x14ac:dyDescent="0.25">
      <c r="A6" s="226"/>
      <c r="B6" s="196">
        <v>42337</v>
      </c>
      <c r="C6" s="196">
        <v>42683</v>
      </c>
      <c r="D6" s="196">
        <v>20988</v>
      </c>
      <c r="E6" s="196">
        <v>477047.33333333331</v>
      </c>
      <c r="F6" s="196">
        <v>928434.33333333337</v>
      </c>
      <c r="G6" s="196">
        <v>3525507</v>
      </c>
      <c r="H6" s="196">
        <v>7670804</v>
      </c>
      <c r="I6" s="196">
        <v>549031.5</v>
      </c>
      <c r="J6" s="196">
        <v>30736</v>
      </c>
      <c r="K6" s="196">
        <v>51075.333333333336</v>
      </c>
      <c r="L6" s="196">
        <v>62798.666666666664</v>
      </c>
      <c r="M6" s="196">
        <v>553898</v>
      </c>
      <c r="N6" s="3"/>
      <c r="O6" s="196">
        <v>791142.33333333337</v>
      </c>
      <c r="P6" s="196">
        <v>688090.33333333337</v>
      </c>
      <c r="Q6" s="196">
        <v>344210.66666666669</v>
      </c>
      <c r="R6" s="196">
        <v>1621269</v>
      </c>
      <c r="S6" s="196">
        <v>3043420</v>
      </c>
      <c r="T6" s="196">
        <v>1766297.3333333333</v>
      </c>
      <c r="U6" s="196">
        <v>1371876.3333333333</v>
      </c>
      <c r="V6" s="196">
        <v>3255068.3333333335</v>
      </c>
    </row>
    <row r="7" spans="1:22" x14ac:dyDescent="0.25">
      <c r="A7" s="226"/>
      <c r="B7" s="196">
        <v>65668.333333333328</v>
      </c>
      <c r="C7" s="196">
        <v>212030.66666666666</v>
      </c>
      <c r="D7" s="196">
        <v>174517.33333333334</v>
      </c>
      <c r="E7" s="196">
        <v>342617.66666666669</v>
      </c>
      <c r="F7" s="196">
        <v>476701.33333333331</v>
      </c>
      <c r="G7" s="196">
        <v>3225132.6666666665</v>
      </c>
      <c r="H7" s="196">
        <v>7459920</v>
      </c>
      <c r="I7" s="196">
        <v>72041.666666666672</v>
      </c>
      <c r="J7" s="196">
        <v>137231</v>
      </c>
      <c r="K7" s="196">
        <v>931715</v>
      </c>
      <c r="L7" s="196">
        <v>51630.666666666664</v>
      </c>
      <c r="M7" s="196">
        <v>318853.33333333331</v>
      </c>
      <c r="N7" s="3"/>
      <c r="O7" s="196">
        <v>2991522.6666666665</v>
      </c>
      <c r="P7" s="196">
        <v>76317.333333333328</v>
      </c>
      <c r="Q7" s="196">
        <v>44666</v>
      </c>
      <c r="R7" s="196">
        <v>1880301.3333333333</v>
      </c>
      <c r="S7" s="196">
        <v>3438064.6666666665</v>
      </c>
      <c r="T7" s="196">
        <v>298312.33333333331</v>
      </c>
      <c r="U7" s="196">
        <v>4312179</v>
      </c>
      <c r="V7" s="196">
        <v>3312748.3333333335</v>
      </c>
    </row>
    <row r="8" spans="1:22" x14ac:dyDescent="0.25">
      <c r="A8" s="226"/>
      <c r="B8" s="196">
        <v>360938</v>
      </c>
      <c r="C8" s="196">
        <v>323378</v>
      </c>
      <c r="D8" s="196">
        <v>170508.5</v>
      </c>
      <c r="E8" s="196">
        <v>207939</v>
      </c>
      <c r="F8" s="196">
        <v>2740219.3333333335</v>
      </c>
      <c r="G8" s="196">
        <v>1210387.3333333333</v>
      </c>
      <c r="H8" s="196">
        <v>4998957</v>
      </c>
      <c r="I8" s="196">
        <v>84861.333333333328</v>
      </c>
      <c r="J8" s="196">
        <v>436145</v>
      </c>
      <c r="K8" s="196">
        <v>154329.33333333334</v>
      </c>
      <c r="L8" s="196">
        <v>206082.33333333334</v>
      </c>
      <c r="M8" s="196">
        <v>448236.33333333331</v>
      </c>
      <c r="N8" s="3"/>
      <c r="O8" s="196">
        <v>1367168</v>
      </c>
      <c r="P8" s="196">
        <v>1902558.3333333333</v>
      </c>
      <c r="Q8" s="196">
        <v>345357.33333333331</v>
      </c>
      <c r="R8" s="196">
        <v>1062727.3333333333</v>
      </c>
      <c r="S8" s="196">
        <v>267331</v>
      </c>
      <c r="T8" s="196">
        <v>2720067.6666666665</v>
      </c>
      <c r="U8" s="196">
        <v>2193502</v>
      </c>
      <c r="V8" s="196">
        <v>1845448</v>
      </c>
    </row>
    <row r="9" spans="1:22" x14ac:dyDescent="0.25">
      <c r="A9" s="226"/>
      <c r="B9" s="196">
        <v>53779</v>
      </c>
      <c r="C9" s="196">
        <v>306517.33333333331</v>
      </c>
      <c r="D9" s="196">
        <v>106952.33333333333</v>
      </c>
      <c r="E9" s="196">
        <v>230531.5</v>
      </c>
      <c r="F9" s="196">
        <v>2037427.6666666667</v>
      </c>
      <c r="G9" s="196">
        <v>1857337.6666666667</v>
      </c>
      <c r="H9" s="196">
        <v>4028546.3333333335</v>
      </c>
      <c r="I9" s="196">
        <v>192030.33333333334</v>
      </c>
      <c r="J9" s="196">
        <v>198353.33333333334</v>
      </c>
      <c r="K9" s="196">
        <v>169708</v>
      </c>
      <c r="L9" s="196">
        <v>120918.33333333333</v>
      </c>
      <c r="M9" s="196">
        <v>278290</v>
      </c>
      <c r="N9" s="3"/>
      <c r="O9" s="196">
        <v>2163811.6666666665</v>
      </c>
      <c r="P9" s="196">
        <v>2676267</v>
      </c>
      <c r="Q9" s="196">
        <v>311456</v>
      </c>
      <c r="R9" s="196"/>
      <c r="S9" s="196">
        <v>3306634</v>
      </c>
      <c r="T9" s="196">
        <v>3541397.6666666665</v>
      </c>
      <c r="U9" s="196">
        <v>2767170</v>
      </c>
      <c r="V9" s="196">
        <v>3168246</v>
      </c>
    </row>
    <row r="10" spans="1:22" x14ac:dyDescent="0.25">
      <c r="A10" s="226"/>
      <c r="B10" s="196">
        <v>21781.333333333332</v>
      </c>
      <c r="C10" s="196">
        <v>65704.333333333328</v>
      </c>
      <c r="D10" s="196">
        <v>120528.66666666667</v>
      </c>
      <c r="E10" s="196">
        <v>655544.33333333337</v>
      </c>
      <c r="F10" s="196">
        <v>1294625</v>
      </c>
      <c r="G10" s="196">
        <v>1558614</v>
      </c>
      <c r="H10" s="196">
        <v>4152204.3333333335</v>
      </c>
      <c r="I10" s="196">
        <v>211746</v>
      </c>
      <c r="J10" s="196">
        <v>186435.33333333334</v>
      </c>
      <c r="K10" s="196">
        <v>234879</v>
      </c>
      <c r="L10" s="196">
        <v>1100990.6666666667</v>
      </c>
      <c r="M10" s="196">
        <v>126599.66666666667</v>
      </c>
      <c r="N10" s="3"/>
      <c r="O10" s="196">
        <v>2344752.6666666665</v>
      </c>
      <c r="P10" s="196">
        <v>2969979.3333333335</v>
      </c>
      <c r="Q10" s="196">
        <v>22033.666666666668</v>
      </c>
      <c r="R10" s="196">
        <v>2684306</v>
      </c>
      <c r="S10" s="196">
        <v>1510177.6666666667</v>
      </c>
      <c r="T10" s="196">
        <v>2555983</v>
      </c>
      <c r="U10" s="196">
        <v>3519111.6666666665</v>
      </c>
      <c r="V10" s="196">
        <v>3770004</v>
      </c>
    </row>
    <row r="11" spans="1:22" x14ac:dyDescent="0.25">
      <c r="A11" s="226"/>
      <c r="B11" s="196">
        <v>302421.66666666669</v>
      </c>
      <c r="C11" s="196">
        <v>138691</v>
      </c>
      <c r="D11" s="196">
        <v>61508.333333333336</v>
      </c>
      <c r="E11" s="196"/>
      <c r="F11" s="196">
        <v>553040</v>
      </c>
      <c r="G11" s="196">
        <v>2421575</v>
      </c>
      <c r="H11" s="196">
        <v>5171635.666666667</v>
      </c>
      <c r="I11" s="196">
        <v>182174</v>
      </c>
      <c r="J11" s="196">
        <v>302400.33333333331</v>
      </c>
      <c r="K11" s="196">
        <v>286459</v>
      </c>
      <c r="L11" s="196">
        <v>30974</v>
      </c>
      <c r="M11" s="196">
        <v>1076534.3333333333</v>
      </c>
      <c r="N11" s="3"/>
      <c r="O11" s="196">
        <v>1201850.6666666667</v>
      </c>
      <c r="P11" s="196">
        <v>3317925.3333333335</v>
      </c>
      <c r="Q11" s="196">
        <v>26864.5</v>
      </c>
      <c r="R11" s="196">
        <v>508800</v>
      </c>
      <c r="S11" s="196">
        <v>1544901</v>
      </c>
      <c r="T11" s="196">
        <v>1620598.3333333333</v>
      </c>
      <c r="U11" s="196">
        <v>2921788</v>
      </c>
      <c r="V11" s="196">
        <v>2062013.6666666667</v>
      </c>
    </row>
    <row r="12" spans="1:22" x14ac:dyDescent="0.25">
      <c r="A12" s="226"/>
      <c r="B12" s="196"/>
      <c r="C12" s="196">
        <v>291217.33333333331</v>
      </c>
      <c r="D12" s="196">
        <v>66166</v>
      </c>
      <c r="E12" s="196">
        <v>246970.33333333334</v>
      </c>
      <c r="F12" s="196">
        <v>1122266.6666666667</v>
      </c>
      <c r="G12" s="196">
        <v>4593980.666666667</v>
      </c>
      <c r="H12" s="196">
        <v>4773047.333333333</v>
      </c>
      <c r="I12" s="196">
        <v>335883.66666666669</v>
      </c>
      <c r="J12" s="196">
        <v>176017</v>
      </c>
      <c r="K12" s="196">
        <v>28407</v>
      </c>
      <c r="L12" s="196">
        <v>768993.33333333337</v>
      </c>
      <c r="M12" s="196">
        <v>18529.666666666668</v>
      </c>
      <c r="N12" s="3"/>
      <c r="O12" s="196">
        <v>3660633</v>
      </c>
      <c r="P12" s="196">
        <v>2499961.6666666665</v>
      </c>
      <c r="Q12" s="196">
        <v>37751</v>
      </c>
      <c r="R12" s="196">
        <v>3049779</v>
      </c>
      <c r="S12" s="196">
        <v>653601.5</v>
      </c>
      <c r="T12" s="196">
        <v>2108878.6666666665</v>
      </c>
      <c r="U12" s="196">
        <v>2091318.5</v>
      </c>
      <c r="V12" s="196">
        <v>3482204</v>
      </c>
    </row>
    <row r="13" spans="1:22" ht="16.5" x14ac:dyDescent="0.25">
      <c r="A13" s="226"/>
      <c r="B13" s="14"/>
      <c r="C13" s="13"/>
      <c r="D13" s="32"/>
      <c r="E13" s="32"/>
      <c r="F13" s="32"/>
      <c r="G13" s="32"/>
      <c r="H13" s="32"/>
      <c r="I13" s="32"/>
      <c r="J13" s="32"/>
      <c r="K13" s="13"/>
      <c r="L13" s="13"/>
      <c r="M13" s="13"/>
      <c r="N13" s="3"/>
      <c r="O13" s="196">
        <v>2731387</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6">
        <v>2115512</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6">
        <v>3629972</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6">
        <v>2218117</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6">
        <v>754529.66666666663</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6">
        <v>181395.33333333334</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6">
        <v>2693945.6666666665</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6">
        <v>695660.66666666663</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Atrazine-0,625mg/L</v>
      </c>
      <c r="J22" s="3" t="str">
        <f t="shared" si="0"/>
        <v>Atrazine-1,25mg/L</v>
      </c>
      <c r="K22" s="3" t="str">
        <f t="shared" si="0"/>
        <v>Atrazine-2,5mg/L</v>
      </c>
      <c r="L22" s="3" t="str">
        <f t="shared" si="0"/>
        <v>Atrazine-5mg/L</v>
      </c>
      <c r="M22" s="3" t="str">
        <f t="shared" si="0"/>
        <v>Atrazine-10mg/L</v>
      </c>
      <c r="N22" s="3" t="s">
        <v>41</v>
      </c>
      <c r="O22" s="3" t="str">
        <f t="shared" si="0"/>
        <v>Testo -30µg/L</v>
      </c>
      <c r="P22" s="3" t="str">
        <f t="shared" si="0"/>
        <v>Testo 30µg/L + EE2 -64ng/L</v>
      </c>
      <c r="Q22" s="3" t="str">
        <f t="shared" si="0"/>
        <v>Testo 30µg/L + FAD-10µg/L</v>
      </c>
      <c r="R22" s="3" t="str">
        <f t="shared" si="0"/>
        <v>Atrazine-0,625mg/L + Testostérone</v>
      </c>
      <c r="S22" s="3" t="str">
        <f t="shared" si="0"/>
        <v>Atrazine-1,25mg/L + Testostérone</v>
      </c>
      <c r="T22" s="3" t="str">
        <f t="shared" si="0"/>
        <v>Atrazine-2,5mg/L + Testostérone</v>
      </c>
      <c r="U22" s="3" t="str">
        <f t="shared" si="0"/>
        <v>Atrazine-5mg/L + Testostérone</v>
      </c>
      <c r="V22" s="3" t="str">
        <f t="shared" si="0"/>
        <v>Atrazine-10mg/L + Testostérone</v>
      </c>
    </row>
    <row r="23" spans="1:22" x14ac:dyDescent="0.25">
      <c r="A23" s="5" t="s">
        <v>0</v>
      </c>
      <c r="B23" s="5">
        <f t="shared" ref="B23:J23" si="1">AVERAGE(B5:B20)</f>
        <v>132193.66666666669</v>
      </c>
      <c r="C23" s="5">
        <f t="shared" si="1"/>
        <v>204874.33333333331</v>
      </c>
      <c r="D23" s="5">
        <f t="shared" si="1"/>
        <v>156823.85416666666</v>
      </c>
      <c r="E23" s="5">
        <f t="shared" si="1"/>
        <v>375431.69047619047</v>
      </c>
      <c r="F23" s="5">
        <f t="shared" si="1"/>
        <v>1212433.5</v>
      </c>
      <c r="G23" s="5">
        <f t="shared" si="1"/>
        <v>2582079.5416666665</v>
      </c>
      <c r="H23" s="5">
        <f t="shared" si="1"/>
        <v>5089242.916666666</v>
      </c>
      <c r="I23" s="5">
        <f t="shared" si="1"/>
        <v>220326.18750000003</v>
      </c>
      <c r="J23" s="5">
        <f t="shared" si="1"/>
        <v>217076.29166666663</v>
      </c>
      <c r="K23" s="5"/>
      <c r="L23" s="5">
        <f>AVERAGE(L5:L20)</f>
        <v>299404.625</v>
      </c>
      <c r="M23" s="5"/>
      <c r="N23" s="5" t="s">
        <v>0</v>
      </c>
      <c r="O23" s="5">
        <f>AVERAGE(O5:O20)</f>
        <v>1870709</v>
      </c>
      <c r="P23" s="5">
        <f>AVERAGE(P5:P20)</f>
        <v>2168769.2500000005</v>
      </c>
      <c r="Q23" s="5">
        <f>AVERAGE(Q5:Q20)</f>
        <v>159717.8125</v>
      </c>
      <c r="R23" s="5">
        <f>AVERAGE(R5:R20)</f>
        <v>1807240.5714285714</v>
      </c>
      <c r="S23" s="5">
        <f>AVERAGE(S5:S20)</f>
        <v>2078111.5624999998</v>
      </c>
      <c r="T23" s="5">
        <f t="shared" ref="T23:V23" si="2">AVERAGE(T5:T20)</f>
        <v>2159625.1666666665</v>
      </c>
      <c r="U23" s="5">
        <f t="shared" si="2"/>
        <v>2739563.6428571427</v>
      </c>
      <c r="V23" s="5">
        <f t="shared" si="2"/>
        <v>3020850.8333333335</v>
      </c>
    </row>
    <row r="24" spans="1:22" x14ac:dyDescent="0.25">
      <c r="A24" s="3" t="s">
        <v>1</v>
      </c>
      <c r="B24" s="3">
        <f t="shared" ref="B24:J24" si="3">STDEV(B5:B20)</f>
        <v>138462.76385568632</v>
      </c>
      <c r="C24" s="3">
        <f t="shared" si="3"/>
        <v>110091.10682016463</v>
      </c>
      <c r="D24" s="3">
        <f t="shared" si="3"/>
        <v>161194.65812369398</v>
      </c>
      <c r="E24" s="3">
        <f t="shared" si="3"/>
        <v>165262.78961305582</v>
      </c>
      <c r="F24" s="3">
        <f t="shared" si="3"/>
        <v>804409.02923095413</v>
      </c>
      <c r="G24" s="3">
        <f t="shared" si="3"/>
        <v>1129630.9300668431</v>
      </c>
      <c r="H24" s="3">
        <f t="shared" si="3"/>
        <v>1745266.4509833818</v>
      </c>
      <c r="I24" s="3">
        <f t="shared" si="3"/>
        <v>156468.76500884237</v>
      </c>
      <c r="J24" s="3">
        <f t="shared" si="3"/>
        <v>120754.21547966407</v>
      </c>
      <c r="K24" s="3"/>
      <c r="L24" s="3">
        <f>STDEV(L5:L20)</f>
        <v>405997.73648698296</v>
      </c>
      <c r="M24" s="3"/>
      <c r="N24" s="3" t="s">
        <v>1</v>
      </c>
      <c r="O24" s="3">
        <f>STDEV(O5:O20)</f>
        <v>1125587.8717332191</v>
      </c>
      <c r="P24" s="3">
        <f>STDEV(P5:P20)</f>
        <v>1199670.9353013625</v>
      </c>
      <c r="Q24" s="3">
        <f>STDEV(Q5:Q20)</f>
        <v>149498.57923854911</v>
      </c>
      <c r="R24" s="3">
        <f>STDEV(R5:R20)</f>
        <v>875083.95167419792</v>
      </c>
      <c r="S24" s="3">
        <f>STDEV(S5:S20)</f>
        <v>1243159.5997425881</v>
      </c>
      <c r="T24" s="3">
        <f t="shared" ref="T24:V24" si="4">STDEV(T5:T20)</f>
        <v>967226.02158540871</v>
      </c>
      <c r="U24" s="3">
        <f t="shared" si="4"/>
        <v>975000.48460739362</v>
      </c>
      <c r="V24" s="3">
        <f t="shared" si="4"/>
        <v>686545.89558693592</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Atrazine-0,625mg/L</v>
      </c>
      <c r="J27" s="35" t="str">
        <f t="shared" si="5"/>
        <v>Atrazine-1,25mg/L</v>
      </c>
      <c r="K27" s="35" t="str">
        <f t="shared" si="5"/>
        <v>Atrazine-2,5mg/L</v>
      </c>
      <c r="L27" s="35" t="str">
        <f t="shared" si="5"/>
        <v>Atrazine-5mg/L</v>
      </c>
      <c r="M27" s="35" t="str">
        <f t="shared" si="5"/>
        <v>Atrazine-10mg/L</v>
      </c>
      <c r="N27" s="3"/>
      <c r="O27" s="36" t="str">
        <f>O4</f>
        <v>Testo -30µg/L</v>
      </c>
      <c r="P27" s="36" t="str">
        <f t="shared" ref="P27:V27" si="6">P4</f>
        <v>Testo 30µg/L + EE2 -64ng/L</v>
      </c>
      <c r="Q27" s="36" t="str">
        <f t="shared" si="6"/>
        <v>Testo 30µg/L + FAD-10µg/L</v>
      </c>
      <c r="R27" s="36" t="str">
        <f t="shared" si="6"/>
        <v>Atrazine-0,625mg/L + Testostérone</v>
      </c>
      <c r="S27" s="36" t="str">
        <f t="shared" si="6"/>
        <v>Atrazine-1,25mg/L + Testostérone</v>
      </c>
      <c r="T27" s="36" t="str">
        <f t="shared" si="6"/>
        <v>Atrazine-2,5mg/L + Testostérone</v>
      </c>
      <c r="U27" s="36" t="str">
        <f t="shared" si="6"/>
        <v>Atrazine-5mg/L + Testostérone</v>
      </c>
      <c r="V27" s="36" t="str">
        <f t="shared" si="6"/>
        <v>Atrazine-10mg/L + Testostérone</v>
      </c>
    </row>
    <row r="28" spans="1:22" x14ac:dyDescent="0.25">
      <c r="A28" s="227" t="s">
        <v>34</v>
      </c>
      <c r="B28" s="11">
        <f t="shared" ref="B28:M28" si="7">IF(B5="","",(B5/$O$23))</f>
        <v>4.192545892136796E-2</v>
      </c>
      <c r="C28" s="11">
        <f t="shared" si="7"/>
        <v>0.13832883682069205</v>
      </c>
      <c r="D28" s="11">
        <f t="shared" si="7"/>
        <v>0.28514411737296746</v>
      </c>
      <c r="E28" s="11">
        <f t="shared" si="7"/>
        <v>0.24983664838660993</v>
      </c>
      <c r="F28" s="11">
        <f t="shared" si="7"/>
        <v>0.29227082708570207</v>
      </c>
      <c r="G28" s="11">
        <f t="shared" si="7"/>
        <v>1.2102908576373985</v>
      </c>
      <c r="H28" s="11">
        <f t="shared" si="7"/>
        <v>1.314383298881155</v>
      </c>
      <c r="I28" s="11">
        <f t="shared" si="7"/>
        <v>7.2080157843897694E-2</v>
      </c>
      <c r="J28" s="11">
        <f t="shared" si="7"/>
        <v>0.14395201676654856</v>
      </c>
      <c r="K28" s="11">
        <f t="shared" si="7"/>
        <v>0.25300086758549833</v>
      </c>
      <c r="L28" s="11">
        <f t="shared" si="7"/>
        <v>2.8250786199243174E-2</v>
      </c>
      <c r="M28" s="11">
        <f t="shared" si="7"/>
        <v>0.27256065302870019</v>
      </c>
      <c r="N28" s="6"/>
      <c r="O28" s="11">
        <f t="shared" ref="O28:V39" si="8">IF(O5="","",(O5/$O$23))</f>
        <v>0.20844699344829509</v>
      </c>
      <c r="P28" s="11">
        <f t="shared" si="8"/>
        <v>1.7207671886256315</v>
      </c>
      <c r="Q28" s="11">
        <f t="shared" si="8"/>
        <v>7.7726323727171545E-2</v>
      </c>
      <c r="R28" s="11">
        <f t="shared" si="8"/>
        <v>0.98545595992392898</v>
      </c>
      <c r="S28" s="11">
        <f t="shared" si="8"/>
        <v>1.5292398051576523</v>
      </c>
      <c r="T28" s="11">
        <f t="shared" si="8"/>
        <v>1.4248428447895067</v>
      </c>
      <c r="U28" s="11" t="str">
        <f t="shared" si="8"/>
        <v/>
      </c>
      <c r="V28" s="11">
        <f t="shared" si="8"/>
        <v>1.7485746491481751</v>
      </c>
    </row>
    <row r="29" spans="1:22" x14ac:dyDescent="0.25">
      <c r="A29" s="227"/>
      <c r="B29" s="11">
        <f t="shared" ref="B29:M29" si="9">IF(B6="","",(B6/$O$23))</f>
        <v>2.2631526335736878E-2</v>
      </c>
      <c r="C29" s="11">
        <f t="shared" si="9"/>
        <v>2.2816482948443611E-2</v>
      </c>
      <c r="D29" s="11">
        <f t="shared" si="9"/>
        <v>1.1219275686384146E-2</v>
      </c>
      <c r="E29" s="11">
        <f t="shared" si="9"/>
        <v>0.2550088406766276</v>
      </c>
      <c r="F29" s="11">
        <f t="shared" si="9"/>
        <v>0.4963007786530847</v>
      </c>
      <c r="G29" s="11">
        <f t="shared" si="9"/>
        <v>1.8845833317742098</v>
      </c>
      <c r="H29" s="11">
        <f t="shared" si="9"/>
        <v>4.1004795508013272</v>
      </c>
      <c r="I29" s="11">
        <f t="shared" si="9"/>
        <v>0.29348845811935476</v>
      </c>
      <c r="J29" s="11">
        <f t="shared" si="9"/>
        <v>1.6430134243220085E-2</v>
      </c>
      <c r="K29" s="11">
        <f t="shared" si="9"/>
        <v>2.730266082716945E-2</v>
      </c>
      <c r="L29" s="11">
        <f t="shared" si="9"/>
        <v>3.3569447020710685E-2</v>
      </c>
      <c r="M29" s="11">
        <f t="shared" si="9"/>
        <v>0.29608987822264177</v>
      </c>
      <c r="N29" s="6"/>
      <c r="O29" s="11">
        <f t="shared" si="8"/>
        <v>0.42291042237640025</v>
      </c>
      <c r="P29" s="11">
        <f t="shared" si="8"/>
        <v>0.36782328696410471</v>
      </c>
      <c r="Q29" s="11">
        <f t="shared" si="8"/>
        <v>0.18400011261327479</v>
      </c>
      <c r="R29" s="11">
        <f t="shared" si="8"/>
        <v>0.86666018071223261</v>
      </c>
      <c r="S29" s="11">
        <f t="shared" si="8"/>
        <v>1.626880503595161</v>
      </c>
      <c r="T29" s="11">
        <f t="shared" si="8"/>
        <v>0.9441860456828578</v>
      </c>
      <c r="U29" s="11">
        <f t="shared" si="8"/>
        <v>0.73334566377418042</v>
      </c>
      <c r="V29" s="11">
        <f t="shared" si="8"/>
        <v>1.7400185348620942</v>
      </c>
    </row>
    <row r="30" spans="1:22" x14ac:dyDescent="0.25">
      <c r="A30" s="227"/>
      <c r="B30" s="11">
        <f t="shared" ref="B30:M30" si="10">IF(B7="","",(B7/$O$23))</f>
        <v>3.510344651858377E-2</v>
      </c>
      <c r="C30" s="11">
        <f t="shared" si="10"/>
        <v>0.11334241010582974</v>
      </c>
      <c r="D30" s="11">
        <f t="shared" si="10"/>
        <v>9.328940702874329E-2</v>
      </c>
      <c r="E30" s="11">
        <f t="shared" si="10"/>
        <v>0.18314856381546604</v>
      </c>
      <c r="F30" s="11">
        <f t="shared" si="10"/>
        <v>0.25482388406392087</v>
      </c>
      <c r="G30" s="11">
        <f t="shared" si="10"/>
        <v>1.7240162241517343</v>
      </c>
      <c r="H30" s="11">
        <f t="shared" si="10"/>
        <v>3.9877500990266257</v>
      </c>
      <c r="I30" s="11">
        <f t="shared" si="10"/>
        <v>3.8510354452064258E-2</v>
      </c>
      <c r="J30" s="11">
        <f t="shared" si="10"/>
        <v>7.3357748318952865E-2</v>
      </c>
      <c r="K30" s="11">
        <f t="shared" si="10"/>
        <v>0.49805448094813248</v>
      </c>
      <c r="L30" s="11">
        <f t="shared" si="10"/>
        <v>2.7599517972419368E-2</v>
      </c>
      <c r="M30" s="11">
        <f t="shared" si="10"/>
        <v>0.17044518058839367</v>
      </c>
      <c r="N30" s="6"/>
      <c r="O30" s="11">
        <f t="shared" si="8"/>
        <v>1.5991384371736419</v>
      </c>
      <c r="P30" s="11">
        <f t="shared" si="8"/>
        <v>4.0795940647814985E-2</v>
      </c>
      <c r="Q30" s="11">
        <f t="shared" si="8"/>
        <v>2.3876508853060523E-2</v>
      </c>
      <c r="R30" s="11">
        <f t="shared" si="8"/>
        <v>1.0051276458996741</v>
      </c>
      <c r="S30" s="11">
        <f t="shared" si="8"/>
        <v>1.8378404480155206</v>
      </c>
      <c r="T30" s="11">
        <f t="shared" si="8"/>
        <v>0.15946485173981273</v>
      </c>
      <c r="U30" s="11">
        <f t="shared" si="8"/>
        <v>2.3051041075870167</v>
      </c>
      <c r="V30" s="11">
        <f t="shared" si="8"/>
        <v>1.770851764402338</v>
      </c>
    </row>
    <row r="31" spans="1:22" x14ac:dyDescent="0.25">
      <c r="A31" s="227"/>
      <c r="B31" s="11">
        <f t="shared" ref="B31:M31" si="11">IF(B8="","",(B8/$O$23))</f>
        <v>0.19294182045417005</v>
      </c>
      <c r="C31" s="11">
        <f t="shared" si="11"/>
        <v>0.17286387139849116</v>
      </c>
      <c r="D31" s="11">
        <f t="shared" si="11"/>
        <v>9.1146458374872841E-2</v>
      </c>
      <c r="E31" s="11">
        <f t="shared" si="11"/>
        <v>0.11115518233995773</v>
      </c>
      <c r="F31" s="11">
        <f t="shared" si="11"/>
        <v>1.4648025605977912</v>
      </c>
      <c r="G31" s="11">
        <f t="shared" si="11"/>
        <v>0.64702063941175958</v>
      </c>
      <c r="H31" s="11">
        <f t="shared" si="11"/>
        <v>2.6722258779959898</v>
      </c>
      <c r="I31" s="11">
        <f t="shared" si="11"/>
        <v>4.5363192956966225E-2</v>
      </c>
      <c r="J31" s="11">
        <f t="shared" si="11"/>
        <v>0.23314422499704657</v>
      </c>
      <c r="K31" s="11">
        <f t="shared" si="11"/>
        <v>8.2497776689657951E-2</v>
      </c>
      <c r="L31" s="11">
        <f t="shared" si="11"/>
        <v>0.11016268876310177</v>
      </c>
      <c r="M31" s="11">
        <f t="shared" si="11"/>
        <v>0.23960772805034525</v>
      </c>
      <c r="N31" s="6"/>
      <c r="O31" s="11">
        <f t="shared" si="8"/>
        <v>0.73082879271976564</v>
      </c>
      <c r="P31" s="11">
        <f t="shared" si="8"/>
        <v>1.0170252740182109</v>
      </c>
      <c r="Q31" s="11">
        <f t="shared" si="8"/>
        <v>0.18461307094440307</v>
      </c>
      <c r="R31" s="11">
        <f t="shared" si="8"/>
        <v>0.56808799943408261</v>
      </c>
      <c r="S31" s="11">
        <f t="shared" si="8"/>
        <v>0.14290357292342101</v>
      </c>
      <c r="T31" s="11">
        <f t="shared" si="8"/>
        <v>1.4540303524848956</v>
      </c>
      <c r="U31" s="11">
        <f t="shared" si="8"/>
        <v>1.1725511557382788</v>
      </c>
      <c r="V31" s="11">
        <f t="shared" si="8"/>
        <v>0.98649656360235616</v>
      </c>
    </row>
    <row r="32" spans="1:22" x14ac:dyDescent="0.25">
      <c r="A32" s="227"/>
      <c r="B32" s="11">
        <f t="shared" ref="B32:M32" si="12">IF(B9="","",(B9/$O$23))</f>
        <v>2.8747923915478035E-2</v>
      </c>
      <c r="C32" s="11">
        <f t="shared" si="12"/>
        <v>0.16385088933304609</v>
      </c>
      <c r="D32" s="11">
        <f t="shared" si="12"/>
        <v>5.7172084665938601E-2</v>
      </c>
      <c r="E32" s="11">
        <f t="shared" si="12"/>
        <v>0.12323215422601805</v>
      </c>
      <c r="F32" s="11">
        <f t="shared" si="12"/>
        <v>1.0891205776348254</v>
      </c>
      <c r="G32" s="11">
        <f t="shared" si="12"/>
        <v>0.99285226439102325</v>
      </c>
      <c r="H32" s="11">
        <f t="shared" si="12"/>
        <v>2.1534863697845754</v>
      </c>
      <c r="I32" s="11">
        <f t="shared" si="12"/>
        <v>0.10265109823779826</v>
      </c>
      <c r="J32" s="11">
        <f t="shared" si="12"/>
        <v>0.10603110015151118</v>
      </c>
      <c r="K32" s="11">
        <f t="shared" si="12"/>
        <v>9.071854574923198E-2</v>
      </c>
      <c r="L32" s="11">
        <f t="shared" si="12"/>
        <v>6.4637703316407488E-2</v>
      </c>
      <c r="M32" s="11">
        <f t="shared" si="12"/>
        <v>0.14876177962473053</v>
      </c>
      <c r="N32" s="6"/>
      <c r="O32" s="11">
        <f t="shared" si="8"/>
        <v>1.1566799896010906</v>
      </c>
      <c r="P32" s="11">
        <f t="shared" si="8"/>
        <v>1.4306164133491632</v>
      </c>
      <c r="Q32" s="11">
        <f t="shared" si="8"/>
        <v>0.16649088661037073</v>
      </c>
      <c r="R32" s="11" t="str">
        <f t="shared" si="8"/>
        <v/>
      </c>
      <c r="S32" s="11">
        <f t="shared" si="8"/>
        <v>1.7675833066500455</v>
      </c>
      <c r="T32" s="11">
        <f t="shared" si="8"/>
        <v>1.8930777938560548</v>
      </c>
      <c r="U32" s="11">
        <f t="shared" si="8"/>
        <v>1.4792092196060425</v>
      </c>
      <c r="V32" s="11">
        <f t="shared" si="8"/>
        <v>1.6936070762475617</v>
      </c>
    </row>
    <row r="33" spans="1:22" x14ac:dyDescent="0.25">
      <c r="A33" s="227"/>
      <c r="B33" s="11">
        <f t="shared" ref="B33:M33" si="13">IF(B10="","",(B10/$O$23))</f>
        <v>1.164335732245546E-2</v>
      </c>
      <c r="C33" s="11">
        <f t="shared" si="13"/>
        <v>3.5122690559212216E-2</v>
      </c>
      <c r="D33" s="11">
        <f t="shared" si="13"/>
        <v>6.4429404395160692E-2</v>
      </c>
      <c r="E33" s="11">
        <f t="shared" si="13"/>
        <v>0.35042560512262111</v>
      </c>
      <c r="F33" s="11">
        <f t="shared" si="13"/>
        <v>0.69205044718339415</v>
      </c>
      <c r="G33" s="11">
        <f t="shared" si="13"/>
        <v>0.83316753166847435</v>
      </c>
      <c r="H33" s="11">
        <f t="shared" si="13"/>
        <v>2.21958858022992</v>
      </c>
      <c r="I33" s="11">
        <f t="shared" si="13"/>
        <v>0.11319023963641593</v>
      </c>
      <c r="J33" s="11">
        <f t="shared" si="13"/>
        <v>9.9660253590127243E-2</v>
      </c>
      <c r="K33" s="11">
        <f t="shared" si="13"/>
        <v>0.12555613941024499</v>
      </c>
      <c r="L33" s="11">
        <f t="shared" si="13"/>
        <v>0.58854192002426176</v>
      </c>
      <c r="M33" s="11">
        <f t="shared" si="13"/>
        <v>6.7674698024474497E-2</v>
      </c>
      <c r="N33" s="6"/>
      <c r="O33" s="11">
        <f t="shared" si="8"/>
        <v>1.2534032105830819</v>
      </c>
      <c r="P33" s="11">
        <f t="shared" si="8"/>
        <v>1.5876223043420081</v>
      </c>
      <c r="Q33" s="11">
        <f t="shared" si="8"/>
        <v>1.177824379241596E-2</v>
      </c>
      <c r="R33" s="11">
        <f t="shared" si="8"/>
        <v>1.4349137145328321</v>
      </c>
      <c r="S33" s="11">
        <f t="shared" si="8"/>
        <v>0.80727556593070693</v>
      </c>
      <c r="T33" s="11">
        <f t="shared" si="8"/>
        <v>1.3663177971560516</v>
      </c>
      <c r="U33" s="11">
        <f t="shared" si="8"/>
        <v>1.8811646635936783</v>
      </c>
      <c r="V33" s="11">
        <f t="shared" si="8"/>
        <v>2.0152808373723547</v>
      </c>
    </row>
    <row r="34" spans="1:22" x14ac:dyDescent="0.25">
      <c r="A34" s="227"/>
      <c r="B34" s="11">
        <f t="shared" ref="B34:M34" si="14">IF(B11="","",(B11/$O$23))</f>
        <v>0.1616615233404376</v>
      </c>
      <c r="C34" s="11">
        <f t="shared" si="14"/>
        <v>7.4138201077773191E-2</v>
      </c>
      <c r="D34" s="11">
        <f t="shared" si="14"/>
        <v>3.2879690712629993E-2</v>
      </c>
      <c r="E34" s="11" t="str">
        <f t="shared" si="14"/>
        <v/>
      </c>
      <c r="F34" s="11">
        <f t="shared" si="14"/>
        <v>0.29563122858766383</v>
      </c>
      <c r="G34" s="11">
        <f t="shared" si="14"/>
        <v>1.2944691023563792</v>
      </c>
      <c r="H34" s="11">
        <f t="shared" si="14"/>
        <v>2.7645324134681917</v>
      </c>
      <c r="I34" s="11">
        <f t="shared" si="14"/>
        <v>9.7382329373515597E-2</v>
      </c>
      <c r="J34" s="11">
        <f t="shared" si="14"/>
        <v>0.16165011946450961</v>
      </c>
      <c r="K34" s="11">
        <f t="shared" si="14"/>
        <v>0.15312857317733544</v>
      </c>
      <c r="L34" s="11">
        <f t="shared" si="14"/>
        <v>1.6557358734041478E-2</v>
      </c>
      <c r="M34" s="11">
        <f t="shared" si="14"/>
        <v>0.57546862357177586</v>
      </c>
      <c r="N34" s="6"/>
      <c r="O34" s="11">
        <f t="shared" si="8"/>
        <v>0.64245730718495864</v>
      </c>
      <c r="P34" s="11">
        <f t="shared" si="8"/>
        <v>1.7736191643560455</v>
      </c>
      <c r="Q34" s="11">
        <f t="shared" si="8"/>
        <v>1.4360598040635931E-2</v>
      </c>
      <c r="R34" s="11">
        <f t="shared" si="8"/>
        <v>0.27198244088203993</v>
      </c>
      <c r="S34" s="11">
        <f t="shared" si="8"/>
        <v>0.82583715585908868</v>
      </c>
      <c r="T34" s="11">
        <f t="shared" si="8"/>
        <v>0.86630167136274705</v>
      </c>
      <c r="U34" s="11">
        <f t="shared" si="8"/>
        <v>1.5618613049918506</v>
      </c>
      <c r="V34" s="11">
        <f t="shared" si="8"/>
        <v>1.1022631882706859</v>
      </c>
    </row>
    <row r="35" spans="1:22" x14ac:dyDescent="0.25">
      <c r="A35" s="227"/>
      <c r="B35" s="11" t="str">
        <f t="shared" ref="B35:M35" si="15">IF(B12="","",(B12/$O$23))</f>
        <v/>
      </c>
      <c r="C35" s="11">
        <f t="shared" si="15"/>
        <v>0.15567217206595643</v>
      </c>
      <c r="D35" s="11">
        <f t="shared" si="15"/>
        <v>3.5369477561715906E-2</v>
      </c>
      <c r="E35" s="11">
        <f t="shared" si="15"/>
        <v>0.1320196424635437</v>
      </c>
      <c r="F35" s="11">
        <f t="shared" si="15"/>
        <v>0.59991514803567347</v>
      </c>
      <c r="G35" s="11">
        <f t="shared" si="15"/>
        <v>2.4557430721008275</v>
      </c>
      <c r="H35" s="11">
        <f t="shared" si="15"/>
        <v>2.5514643556712095</v>
      </c>
      <c r="I35" s="11">
        <f t="shared" si="15"/>
        <v>0.17954885910457835</v>
      </c>
      <c r="J35" s="11">
        <f t="shared" si="15"/>
        <v>9.4091063869367178E-2</v>
      </c>
      <c r="K35" s="11">
        <f t="shared" si="15"/>
        <v>1.5185151725896438E-2</v>
      </c>
      <c r="L35" s="11">
        <f t="shared" si="15"/>
        <v>0.41107052637974872</v>
      </c>
      <c r="M35" s="11">
        <f t="shared" si="15"/>
        <v>9.9051571712471947E-3</v>
      </c>
      <c r="N35" s="6"/>
      <c r="O35" s="11">
        <f t="shared" si="8"/>
        <v>1.9568158382730825</v>
      </c>
      <c r="P35" s="11">
        <f t="shared" si="8"/>
        <v>1.3363712189692072</v>
      </c>
      <c r="Q35" s="11">
        <f t="shared" si="8"/>
        <v>2.0180049382346479E-2</v>
      </c>
      <c r="R35" s="11">
        <f t="shared" si="8"/>
        <v>1.6302797495495023</v>
      </c>
      <c r="S35" s="11">
        <f t="shared" si="8"/>
        <v>0.34938705057814978</v>
      </c>
      <c r="T35" s="11">
        <f t="shared" si="8"/>
        <v>1.1273151872721341</v>
      </c>
      <c r="U35" s="11">
        <f t="shared" si="8"/>
        <v>1.1179282828061445</v>
      </c>
      <c r="V35" s="11">
        <f t="shared" si="8"/>
        <v>1.8614354236816095</v>
      </c>
    </row>
    <row r="36" spans="1:22" x14ac:dyDescent="0.2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1.4600811777780509</v>
      </c>
      <c r="P36" s="11" t="str">
        <f t="shared" si="8"/>
        <v/>
      </c>
      <c r="Q36" s="11" t="str">
        <f t="shared" si="8"/>
        <v/>
      </c>
      <c r="R36" s="11" t="str">
        <f t="shared" si="8"/>
        <v/>
      </c>
      <c r="S36" s="11" t="str">
        <f t="shared" si="8"/>
        <v/>
      </c>
      <c r="T36" s="11" t="str">
        <f t="shared" si="8"/>
        <v/>
      </c>
      <c r="U36" s="11" t="str">
        <f t="shared" si="8"/>
        <v/>
      </c>
      <c r="V36" s="11" t="str">
        <f t="shared" si="8"/>
        <v/>
      </c>
    </row>
    <row r="37" spans="1:22" x14ac:dyDescent="0.2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1.1308610799434866</v>
      </c>
      <c r="P37" s="11" t="str">
        <f t="shared" si="8"/>
        <v/>
      </c>
      <c r="Q37" s="11" t="str">
        <f t="shared" si="8"/>
        <v/>
      </c>
      <c r="R37" s="11" t="str">
        <f t="shared" si="8"/>
        <v/>
      </c>
      <c r="S37" s="11" t="str">
        <f t="shared" si="8"/>
        <v/>
      </c>
      <c r="T37" s="11" t="str">
        <f t="shared" si="8"/>
        <v/>
      </c>
      <c r="U37" s="11" t="str">
        <f t="shared" si="8"/>
        <v/>
      </c>
      <c r="V37" s="11" t="str">
        <f t="shared" si="8"/>
        <v/>
      </c>
    </row>
    <row r="38" spans="1:22" x14ac:dyDescent="0.2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1.9404257957811717</v>
      </c>
      <c r="P38" s="11" t="str">
        <f t="shared" si="8"/>
        <v/>
      </c>
      <c r="Q38" s="11" t="str">
        <f t="shared" si="8"/>
        <v/>
      </c>
      <c r="R38" s="11" t="str">
        <f t="shared" si="8"/>
        <v/>
      </c>
      <c r="S38" s="11" t="str">
        <f t="shared" si="8"/>
        <v/>
      </c>
      <c r="T38" s="11" t="str">
        <f t="shared" si="8"/>
        <v/>
      </c>
      <c r="U38" s="11" t="str">
        <f t="shared" si="8"/>
        <v/>
      </c>
      <c r="V38" s="11" t="str">
        <f t="shared" si="8"/>
        <v/>
      </c>
    </row>
    <row r="39" spans="1:22" x14ac:dyDescent="0.2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1.1857092685179791</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2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0.40333887668614765</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2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9.6966087902144768E-2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2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1.4400666627822214</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2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0.37187005924848099</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Atrazine-0,625mg/L</v>
      </c>
      <c r="J45" s="7" t="str">
        <f t="shared" si="26"/>
        <v>Atrazine-1,25mg/L</v>
      </c>
      <c r="K45" s="7" t="str">
        <f t="shared" si="26"/>
        <v>Atrazine-2,5mg/L</v>
      </c>
      <c r="L45" s="7" t="str">
        <f t="shared" si="26"/>
        <v>Atrazine-5mg/L</v>
      </c>
      <c r="M45" s="7" t="str">
        <f t="shared" si="26"/>
        <v>Atrazine-10mg/L</v>
      </c>
      <c r="N45" s="7"/>
      <c r="O45" s="7" t="str">
        <f t="shared" si="26"/>
        <v>Testo -30µg/L</v>
      </c>
      <c r="P45" s="7" t="str">
        <f t="shared" si="26"/>
        <v>Testo 30µg/L + EE2 -64ng/L</v>
      </c>
      <c r="Q45" s="7" t="str">
        <f t="shared" si="26"/>
        <v>Testo 30µg/L + FAD-10µg/L</v>
      </c>
      <c r="R45" s="7" t="str">
        <f t="shared" si="26"/>
        <v>Atrazine-0,625mg/L + Testostérone</v>
      </c>
      <c r="S45" s="7" t="str">
        <f t="shared" si="26"/>
        <v>Atrazine-1,25mg/L + Testostérone</v>
      </c>
      <c r="T45" s="7" t="str">
        <f t="shared" si="26"/>
        <v>Atrazine-2,5mg/L + Testostérone</v>
      </c>
      <c r="U45" s="7" t="str">
        <f t="shared" si="26"/>
        <v>Atrazine-5mg/L + Testostérone</v>
      </c>
      <c r="V45" s="7" t="str">
        <f t="shared" si="26"/>
        <v>Atrazine-10mg/L + Testostérone</v>
      </c>
    </row>
    <row r="46" spans="1:22" x14ac:dyDescent="0.25">
      <c r="A46" s="8" t="s">
        <v>0</v>
      </c>
      <c r="B46" s="10">
        <f t="shared" ref="B46:H46" si="27">AVERAGE(B28:B43)</f>
        <v>7.0665008115461392E-2</v>
      </c>
      <c r="C46" s="10">
        <f t="shared" si="27"/>
        <v>0.10951694428868056</v>
      </c>
      <c r="D46" s="10">
        <f t="shared" si="27"/>
        <v>8.3831239474801617E-2</v>
      </c>
      <c r="E46" s="10">
        <f t="shared" si="27"/>
        <v>0.20068951957583492</v>
      </c>
      <c r="F46" s="10">
        <f t="shared" si="27"/>
        <v>0.64811443148025705</v>
      </c>
      <c r="G46" s="10">
        <f t="shared" si="27"/>
        <v>1.3802678779364759</v>
      </c>
      <c r="H46" s="10">
        <f t="shared" si="27"/>
        <v>2.7204888182323743</v>
      </c>
      <c r="I46" s="10">
        <f>AVERAGE(I28:I43)</f>
        <v>0.11777683621557389</v>
      </c>
      <c r="J46" s="9">
        <f>AVERAGE(J28:J43)</f>
        <v>0.1160395826751604</v>
      </c>
      <c r="K46" s="9">
        <f t="shared" ref="K46:M46" si="28">AVERAGE(K28:K43)</f>
        <v>0.15568052451414591</v>
      </c>
      <c r="L46" s="9">
        <f t="shared" si="28"/>
        <v>0.16004874355124182</v>
      </c>
      <c r="M46" s="9">
        <f t="shared" si="28"/>
        <v>0.22256421228528861</v>
      </c>
      <c r="N46" s="8" t="s">
        <v>0</v>
      </c>
      <c r="O46" s="10">
        <f t="shared" ref="O46:V46" si="29">AVERAGE(O28:O43)</f>
        <v>1</v>
      </c>
      <c r="P46" s="10">
        <f t="shared" si="29"/>
        <v>1.1593300989090234</v>
      </c>
      <c r="Q46" s="10">
        <f t="shared" si="29"/>
        <v>8.5378224245459891E-2</v>
      </c>
      <c r="R46" s="10">
        <f t="shared" si="29"/>
        <v>0.96607252727632742</v>
      </c>
      <c r="S46" s="10">
        <f t="shared" si="29"/>
        <v>1.1108684260887183</v>
      </c>
      <c r="T46" s="10">
        <f t="shared" si="29"/>
        <v>1.1544420680430076</v>
      </c>
      <c r="U46" s="10">
        <f t="shared" si="29"/>
        <v>1.4644520568710273</v>
      </c>
      <c r="V46" s="10">
        <f t="shared" si="29"/>
        <v>1.614816004698397</v>
      </c>
    </row>
    <row r="47" spans="1:22" x14ac:dyDescent="0.25">
      <c r="A47" s="8" t="s">
        <v>1</v>
      </c>
      <c r="B47" s="8">
        <f t="shared" ref="B47:M47" si="30">STDEV(B28:B43)</f>
        <v>7.4016195921271746E-2</v>
      </c>
      <c r="C47" s="8">
        <f t="shared" si="30"/>
        <v>5.8849937013273894E-2</v>
      </c>
      <c r="D47" s="8">
        <f t="shared" si="30"/>
        <v>8.6167681945024041E-2</v>
      </c>
      <c r="E47" s="8">
        <f t="shared" si="30"/>
        <v>8.8342328824555644E-2</v>
      </c>
      <c r="F47" s="8">
        <f t="shared" si="30"/>
        <v>0.43000222334470722</v>
      </c>
      <c r="G47" s="8">
        <f t="shared" si="30"/>
        <v>0.60385176425988352</v>
      </c>
      <c r="H47" s="8">
        <f t="shared" si="30"/>
        <v>0.93294384694967392</v>
      </c>
      <c r="I47" s="8">
        <f t="shared" si="30"/>
        <v>8.3641424192026886E-2</v>
      </c>
      <c r="J47" s="8">
        <f t="shared" si="30"/>
        <v>6.4549973020744569E-2</v>
      </c>
      <c r="K47" s="8">
        <f t="shared" si="30"/>
        <v>0.15738976422392431</v>
      </c>
      <c r="L47" s="8">
        <f t="shared" si="30"/>
        <v>0.21702880377813058</v>
      </c>
      <c r="M47" s="8">
        <f t="shared" si="30"/>
        <v>0.17325270579425825</v>
      </c>
      <c r="N47" s="8" t="s">
        <v>1</v>
      </c>
      <c r="O47" s="8">
        <f t="shared" ref="O47:V47" si="31">STDEV(O28:O43)</f>
        <v>0.60169052040334392</v>
      </c>
      <c r="P47" s="8">
        <f t="shared" si="31"/>
        <v>0.64129211721404211</v>
      </c>
      <c r="Q47" s="8">
        <f t="shared" si="31"/>
        <v>7.9915464798934008E-2</v>
      </c>
      <c r="R47" s="8">
        <f t="shared" si="31"/>
        <v>0.46778197553665379</v>
      </c>
      <c r="S47" s="8">
        <f t="shared" si="31"/>
        <v>0.66453927347470254</v>
      </c>
      <c r="T47" s="8">
        <f t="shared" si="31"/>
        <v>0.51703713489666636</v>
      </c>
      <c r="U47" s="8">
        <f t="shared" si="31"/>
        <v>0.52119302607054019</v>
      </c>
      <c r="V47" s="8">
        <f t="shared" si="31"/>
        <v>0.36699769744355543</v>
      </c>
    </row>
    <row r="48" spans="1:22" x14ac:dyDescent="0.25">
      <c r="A48" s="8" t="s">
        <v>2</v>
      </c>
      <c r="B48" s="8">
        <f t="shared" ref="B48:M48" si="32" xml:space="preserve"> B47/SQRT(COUNT(B28:B43))</f>
        <v>2.7975492485531189E-2</v>
      </c>
      <c r="C48" s="8">
        <f t="shared" si="32"/>
        <v>2.0806594767243582E-2</v>
      </c>
      <c r="D48" s="8">
        <f t="shared" si="32"/>
        <v>3.0464876111226065E-2</v>
      </c>
      <c r="E48" s="8">
        <f t="shared" si="32"/>
        <v>3.3390261758581036E-2</v>
      </c>
      <c r="F48" s="8">
        <f t="shared" si="32"/>
        <v>0.1520287440261674</v>
      </c>
      <c r="G48" s="8">
        <f t="shared" si="32"/>
        <v>0.21349383866981206</v>
      </c>
      <c r="H48" s="8">
        <f t="shared" si="32"/>
        <v>0.32984546032218948</v>
      </c>
      <c r="I48" s="8">
        <f t="shared" si="32"/>
        <v>2.9571709117141378E-2</v>
      </c>
      <c r="J48" s="8">
        <f t="shared" si="32"/>
        <v>2.2821861824188588E-2</v>
      </c>
      <c r="K48" s="8">
        <f t="shared" si="32"/>
        <v>5.5645684786044376E-2</v>
      </c>
      <c r="L48" s="8">
        <f t="shared" si="32"/>
        <v>7.6731269432160368E-2</v>
      </c>
      <c r="M48" s="8">
        <f t="shared" si="32"/>
        <v>6.1254081563018925E-2</v>
      </c>
      <c r="N48" s="8" t="s">
        <v>2</v>
      </c>
      <c r="O48" s="8">
        <f t="shared" ref="O48:V48" si="33" xml:space="preserve"> O47/SQRT(COUNT(O28:O43))</f>
        <v>0.15042263010083598</v>
      </c>
      <c r="P48" s="8">
        <f t="shared" si="33"/>
        <v>0.22673100240176372</v>
      </c>
      <c r="Q48" s="8">
        <f t="shared" si="33"/>
        <v>2.8254383540500534E-2</v>
      </c>
      <c r="R48" s="8">
        <f t="shared" si="33"/>
        <v>0.17680496786692657</v>
      </c>
      <c r="S48" s="8">
        <f t="shared" si="33"/>
        <v>0.23495011331937185</v>
      </c>
      <c r="T48" s="8">
        <f t="shared" si="33"/>
        <v>0.18280023210534824</v>
      </c>
      <c r="U48" s="8">
        <f t="shared" si="33"/>
        <v>0.19699244743483613</v>
      </c>
      <c r="V48" s="8">
        <f t="shared" si="33"/>
        <v>0.12975328027109345</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row r="52" spans="1:22" x14ac:dyDescent="0.2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Atrazine-0,625mg/L</v>
      </c>
      <c r="J52" s="46" t="str">
        <f>J4</f>
        <v>Atrazine-1,25mg/L</v>
      </c>
      <c r="K52" s="46" t="str">
        <f t="shared" ref="K52:M52" si="35">K4</f>
        <v>Atrazine-2,5mg/L</v>
      </c>
      <c r="L52" s="46" t="str">
        <f t="shared" si="35"/>
        <v>Atrazine-5mg/L</v>
      </c>
      <c r="M52" s="46" t="str">
        <f t="shared" si="35"/>
        <v>Atrazine-10mg/L</v>
      </c>
      <c r="N52" s="47"/>
      <c r="O52" s="46" t="str">
        <f>O27</f>
        <v>Testo -30µg/L</v>
      </c>
      <c r="P52" s="46" t="str">
        <f>P27</f>
        <v>Testo 30µg/L + EE2 -64ng/L</v>
      </c>
      <c r="Q52" s="46" t="str">
        <f>Q27</f>
        <v>Testo 30µg/L + FAD-10µg/L</v>
      </c>
      <c r="R52" s="46" t="str">
        <f>R27</f>
        <v>Atrazine-0,625mg/L + Testostérone</v>
      </c>
      <c r="S52" s="46" t="str">
        <f t="shared" ref="S52:V52" si="36">S27</f>
        <v>Atrazine-1,25mg/L + Testostérone</v>
      </c>
      <c r="T52" s="46" t="str">
        <f t="shared" si="36"/>
        <v>Atrazine-2,5mg/L + Testostérone</v>
      </c>
      <c r="U52" s="46" t="str">
        <f t="shared" si="36"/>
        <v>Atrazine-5mg/L + Testostérone</v>
      </c>
      <c r="V52" s="46" t="str">
        <f t="shared" si="36"/>
        <v>Atrazine-10mg/L + Testostérone</v>
      </c>
    </row>
    <row r="53" spans="1:22" s="3" customFormat="1" x14ac:dyDescent="0.25">
      <c r="A53" s="61" t="s">
        <v>32</v>
      </c>
      <c r="B53" s="141">
        <f t="shared" ref="B53:V53" si="37">B46</f>
        <v>7.0665008115461392E-2</v>
      </c>
      <c r="C53" s="141">
        <f t="shared" si="37"/>
        <v>0.10951694428868056</v>
      </c>
      <c r="D53" s="141">
        <f t="shared" si="37"/>
        <v>8.3831239474801617E-2</v>
      </c>
      <c r="E53" s="141">
        <f t="shared" si="37"/>
        <v>0.20068951957583492</v>
      </c>
      <c r="F53" s="141">
        <f t="shared" si="37"/>
        <v>0.64811443148025705</v>
      </c>
      <c r="G53" s="141">
        <f t="shared" si="37"/>
        <v>1.3802678779364759</v>
      </c>
      <c r="H53" s="141">
        <f t="shared" si="37"/>
        <v>2.7204888182323743</v>
      </c>
      <c r="I53" s="141">
        <f t="shared" si="37"/>
        <v>0.11777683621557389</v>
      </c>
      <c r="J53" s="141">
        <f t="shared" si="37"/>
        <v>0.1160395826751604</v>
      </c>
      <c r="K53" s="141">
        <f t="shared" si="37"/>
        <v>0.15568052451414591</v>
      </c>
      <c r="L53" s="141">
        <f t="shared" si="37"/>
        <v>0.16004874355124182</v>
      </c>
      <c r="M53" s="141">
        <f t="shared" si="37"/>
        <v>0.22256421228528861</v>
      </c>
      <c r="N53" s="141"/>
      <c r="O53" s="141">
        <f t="shared" si="37"/>
        <v>1</v>
      </c>
      <c r="P53" s="141">
        <f t="shared" si="37"/>
        <v>1.1593300989090234</v>
      </c>
      <c r="Q53" s="141">
        <f t="shared" si="37"/>
        <v>8.5378224245459891E-2</v>
      </c>
      <c r="R53" s="141">
        <f t="shared" si="37"/>
        <v>0.96607252727632742</v>
      </c>
      <c r="S53" s="141">
        <f t="shared" si="37"/>
        <v>1.1108684260887183</v>
      </c>
      <c r="T53" s="141">
        <f t="shared" si="37"/>
        <v>1.1544420680430076</v>
      </c>
      <c r="U53" s="141">
        <f t="shared" si="37"/>
        <v>1.4644520568710273</v>
      </c>
      <c r="V53" s="141">
        <f t="shared" si="37"/>
        <v>1.614816004698397</v>
      </c>
    </row>
    <row r="54" spans="1:22" s="3" customFormat="1" x14ac:dyDescent="0.25">
      <c r="A54" s="61" t="s">
        <v>2</v>
      </c>
      <c r="B54" s="141">
        <f t="shared" ref="B54:V54" si="38">B48</f>
        <v>2.7975492485531189E-2</v>
      </c>
      <c r="C54" s="141">
        <f t="shared" si="38"/>
        <v>2.0806594767243582E-2</v>
      </c>
      <c r="D54" s="141">
        <f t="shared" si="38"/>
        <v>3.0464876111226065E-2</v>
      </c>
      <c r="E54" s="141">
        <f t="shared" si="38"/>
        <v>3.3390261758581036E-2</v>
      </c>
      <c r="F54" s="141">
        <f t="shared" si="38"/>
        <v>0.1520287440261674</v>
      </c>
      <c r="G54" s="141">
        <f t="shared" si="38"/>
        <v>0.21349383866981206</v>
      </c>
      <c r="H54" s="141">
        <f t="shared" si="38"/>
        <v>0.32984546032218948</v>
      </c>
      <c r="I54" s="141">
        <f t="shared" si="38"/>
        <v>2.9571709117141378E-2</v>
      </c>
      <c r="J54" s="141">
        <f t="shared" si="38"/>
        <v>2.2821861824188588E-2</v>
      </c>
      <c r="K54" s="141">
        <f t="shared" si="38"/>
        <v>5.5645684786044376E-2</v>
      </c>
      <c r="L54" s="141">
        <f t="shared" si="38"/>
        <v>7.6731269432160368E-2</v>
      </c>
      <c r="M54" s="141">
        <f t="shared" si="38"/>
        <v>6.1254081563018925E-2</v>
      </c>
      <c r="N54" s="141"/>
      <c r="O54" s="141">
        <f t="shared" si="38"/>
        <v>0.15042263010083598</v>
      </c>
      <c r="P54" s="141">
        <f t="shared" si="38"/>
        <v>0.22673100240176372</v>
      </c>
      <c r="Q54" s="141">
        <f t="shared" si="38"/>
        <v>2.8254383540500534E-2</v>
      </c>
      <c r="R54" s="141">
        <f t="shared" si="38"/>
        <v>0.17680496786692657</v>
      </c>
      <c r="S54" s="141">
        <f t="shared" si="38"/>
        <v>0.23495011331937185</v>
      </c>
      <c r="T54" s="141">
        <f t="shared" si="38"/>
        <v>0.18280023210534824</v>
      </c>
      <c r="U54" s="141">
        <f t="shared" si="38"/>
        <v>0.19699244743483613</v>
      </c>
      <c r="V54" s="141">
        <f t="shared" si="38"/>
        <v>0.12975328027109345</v>
      </c>
    </row>
    <row r="55" spans="1:22" s="3" customFormat="1" x14ac:dyDescent="0.25">
      <c r="A55" s="61" t="s">
        <v>79</v>
      </c>
      <c r="B55" s="141">
        <f>(B53*100/$B53)-100</f>
        <v>0</v>
      </c>
      <c r="C55" s="141">
        <f t="shared" ref="C55:M55" si="39">(C53*100/$B53)-100</f>
        <v>54.980445356686261</v>
      </c>
      <c r="D55" s="141">
        <f t="shared" si="39"/>
        <v>18.631896762578123</v>
      </c>
      <c r="E55" s="141">
        <f t="shared" si="39"/>
        <v>184.00126870136791</v>
      </c>
      <c r="F55" s="141">
        <f t="shared" si="39"/>
        <v>817.16458932727505</v>
      </c>
      <c r="G55" s="141">
        <f t="shared" si="39"/>
        <v>1853.2551042536081</v>
      </c>
      <c r="H55" s="141">
        <f t="shared" si="39"/>
        <v>3749.8386836484856</v>
      </c>
      <c r="I55" s="141">
        <f t="shared" si="39"/>
        <v>66.669246005229695</v>
      </c>
      <c r="J55" s="141">
        <f t="shared" si="39"/>
        <v>64.210810654065597</v>
      </c>
      <c r="K55" s="141">
        <f t="shared" si="39"/>
        <v>120.30779966765937</v>
      </c>
      <c r="L55" s="141">
        <f t="shared" si="39"/>
        <v>126.4893867835323</v>
      </c>
      <c r="M55" s="141">
        <f t="shared" si="39"/>
        <v>214.95674906261269</v>
      </c>
      <c r="N55" s="141"/>
      <c r="O55" s="141">
        <f>(O53*100/$O53)-100</f>
        <v>0</v>
      </c>
      <c r="P55" s="141">
        <f t="shared" ref="P55:V55" si="40">(P53*100/$O53)-100</f>
        <v>15.933009890902341</v>
      </c>
      <c r="Q55" s="141">
        <f t="shared" si="40"/>
        <v>-91.462177575454007</v>
      </c>
      <c r="R55" s="141">
        <f t="shared" si="40"/>
        <v>-3.3927472723672594</v>
      </c>
      <c r="S55" s="141">
        <f t="shared" si="40"/>
        <v>11.086842608871834</v>
      </c>
      <c r="T55" s="141">
        <f t="shared" si="40"/>
        <v>15.444206804300762</v>
      </c>
      <c r="U55" s="141">
        <f t="shared" si="40"/>
        <v>46.445205687102742</v>
      </c>
      <c r="V55" s="141">
        <f t="shared" si="40"/>
        <v>61.481600469839691</v>
      </c>
    </row>
    <row r="56" spans="1:22" s="3" customFormat="1" x14ac:dyDescent="0.25">
      <c r="A56" s="61" t="s">
        <v>81</v>
      </c>
      <c r="B56" s="141">
        <f>[1]!SWTEST(B28:B43)</f>
        <v>1.2528176495606114E-2</v>
      </c>
      <c r="C56" s="141">
        <f>[1]!SWTEST(C28:C43)</f>
        <v>0.25317930884391449</v>
      </c>
      <c r="D56" s="141">
        <f>[1]!SWTEST(D28:D43)</f>
        <v>5.1294665885736057E-3</v>
      </c>
      <c r="E56" s="141">
        <f>[1]!SWTEST(E28:E43)</f>
        <v>0.35055145931301568</v>
      </c>
      <c r="F56" s="141">
        <f>[1]!SWTEST(F28:F43)</f>
        <v>0.14138334221453019</v>
      </c>
      <c r="G56" s="141">
        <f>[1]!SWTEST(G28:G43)</f>
        <v>0.74258375660698905</v>
      </c>
      <c r="H56" s="141">
        <f>[1]!SWTEST(H28:H43)</f>
        <v>0.43391662731463998</v>
      </c>
      <c r="I56" s="141">
        <f>[1]!SWTEST(I28:I43)</f>
        <v>9.8919051256992629E-2</v>
      </c>
      <c r="J56" s="141">
        <f>[1]!SWTEST(J28:J43)</f>
        <v>0.89265349452876486</v>
      </c>
      <c r="K56" s="141">
        <f>[1]!SWTEST(K28:K43)</f>
        <v>5.0820338062912529E-2</v>
      </c>
      <c r="L56" s="141">
        <f>[1]!SWTEST(L28:L43)</f>
        <v>2.8429252107277092E-3</v>
      </c>
      <c r="M56" s="141">
        <f>[1]!SWTEST(M28:M43)</f>
        <v>0.44247567740072613</v>
      </c>
      <c r="N56" s="141"/>
      <c r="O56" s="141">
        <f>[1]!SWTEST(O28:O43)</f>
        <v>0.36365472738886151</v>
      </c>
      <c r="P56" s="141">
        <f>[1]!SWTEST(P28:P43)</f>
        <v>0.14728928694939569</v>
      </c>
      <c r="Q56" s="141">
        <f>[1]!SWTEST(Q28:Q43)</f>
        <v>1.8010221346567934E-2</v>
      </c>
      <c r="R56" s="141">
        <f>[1]!SWTEST(R28:R43)</f>
        <v>0.89922736589272001</v>
      </c>
      <c r="S56" s="141">
        <f>[1]!SWTEST(S28:S43)</f>
        <v>0.2270415612483373</v>
      </c>
      <c r="T56" s="141">
        <f>[1]!SWTEST(T28:T43)</f>
        <v>0.6996595476186952</v>
      </c>
      <c r="U56" s="141">
        <f>[1]!SWTEST(U28:U43)</f>
        <v>0.97176169079381791</v>
      </c>
      <c r="V56" s="141">
        <f>[1]!SWTEST(V28:V43)</f>
        <v>4.1399175966297719E-2</v>
      </c>
    </row>
    <row r="57" spans="1:22" s="3" customFormat="1" x14ac:dyDescent="0.25">
      <c r="A57" s="61" t="s">
        <v>85</v>
      </c>
      <c r="B57" s="141" t="str">
        <f>IF(B56&gt;0.05,"Oui","Non")</f>
        <v>Non</v>
      </c>
      <c r="C57" s="141" t="str">
        <f t="shared" ref="C57:V57" si="41">IF(C56&gt;0.05,"Oui","Non")</f>
        <v>Oui</v>
      </c>
      <c r="D57" s="141" t="str">
        <f t="shared" si="41"/>
        <v>Non</v>
      </c>
      <c r="E57" s="141" t="str">
        <f t="shared" si="41"/>
        <v>Oui</v>
      </c>
      <c r="F57" s="141" t="str">
        <f t="shared" si="41"/>
        <v>Oui</v>
      </c>
      <c r="G57" s="141" t="str">
        <f t="shared" si="41"/>
        <v>Oui</v>
      </c>
      <c r="H57" s="141" t="str">
        <f t="shared" si="41"/>
        <v>Oui</v>
      </c>
      <c r="I57" s="141" t="str">
        <f t="shared" si="41"/>
        <v>Oui</v>
      </c>
      <c r="J57" s="141" t="str">
        <f t="shared" si="41"/>
        <v>Oui</v>
      </c>
      <c r="K57" s="141" t="str">
        <f t="shared" si="41"/>
        <v>Oui</v>
      </c>
      <c r="L57" s="141" t="str">
        <f t="shared" si="41"/>
        <v>Non</v>
      </c>
      <c r="M57" s="141" t="str">
        <f t="shared" si="41"/>
        <v>Oui</v>
      </c>
      <c r="N57" s="141"/>
      <c r="O57" s="141" t="str">
        <f t="shared" si="41"/>
        <v>Oui</v>
      </c>
      <c r="P57" s="141" t="str">
        <f t="shared" si="41"/>
        <v>Oui</v>
      </c>
      <c r="Q57" s="141" t="str">
        <f t="shared" si="41"/>
        <v>Non</v>
      </c>
      <c r="R57" s="141" t="str">
        <f t="shared" si="41"/>
        <v>Oui</v>
      </c>
      <c r="S57" s="141" t="str">
        <f t="shared" si="41"/>
        <v>Oui</v>
      </c>
      <c r="T57" s="141" t="str">
        <f t="shared" si="41"/>
        <v>Oui</v>
      </c>
      <c r="U57" s="141" t="str">
        <f t="shared" si="41"/>
        <v>Oui</v>
      </c>
      <c r="V57" s="141" t="str">
        <f t="shared" si="41"/>
        <v>Non</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1667</v>
      </c>
      <c r="D59" s="150" t="s">
        <v>1667</v>
      </c>
      <c r="E59" s="150" t="s">
        <v>1667</v>
      </c>
      <c r="F59" s="150" t="s">
        <v>1667</v>
      </c>
      <c r="G59" s="150" t="s">
        <v>1667</v>
      </c>
      <c r="H59" s="150" t="s">
        <v>1667</v>
      </c>
      <c r="I59" s="150" t="s">
        <v>1667</v>
      </c>
      <c r="J59" s="150" t="s">
        <v>1667</v>
      </c>
      <c r="K59" s="150" t="s">
        <v>1667</v>
      </c>
      <c r="L59" s="150" t="s">
        <v>1667</v>
      </c>
      <c r="M59" s="150" t="s">
        <v>1667</v>
      </c>
      <c r="N59" s="150"/>
      <c r="O59" s="150" t="str">
        <f t="shared" ref="O59" si="42">IF($B57="Non",IF(O57="Non","MW",IF(O57="Oui","MW","")),IF($B57="Oui",IF(O57="Oui","T-Test Welch",IF(O57="Non","MW",""))))</f>
        <v>MW</v>
      </c>
      <c r="P59" s="150" t="str">
        <f>IF($O57="Non",IF(P57="Non","MW",IF(P57="Oui","MW","")),IF($O57="Oui",IF(P57="Oui","T-Test Welch",IF(P57="Non","MW",""))))</f>
        <v>T-Test Welch</v>
      </c>
      <c r="Q59" s="150" t="str">
        <f t="shared" ref="Q59" si="43">IF($O57="Non",IF(Q57="Non","MW",IF(Q57="Oui","MW","")),IF($O57="Oui",IF(Q57="Oui","T-Test Welch",IF(Q57="Non","MW",""))))</f>
        <v>MW</v>
      </c>
      <c r="R59" s="150" t="s">
        <v>1667</v>
      </c>
      <c r="S59" s="150" t="s">
        <v>1667</v>
      </c>
      <c r="T59" s="150" t="s">
        <v>1667</v>
      </c>
      <c r="U59" s="150" t="s">
        <v>1667</v>
      </c>
      <c r="V59" s="150" t="s">
        <v>1667</v>
      </c>
    </row>
    <row r="60" spans="1:22" s="3" customFormat="1" ht="15.75" x14ac:dyDescent="0.25">
      <c r="A60" s="61" t="s">
        <v>83</v>
      </c>
      <c r="B60" s="151"/>
      <c r="C60" s="197">
        <v>0.99990000000000001</v>
      </c>
      <c r="D60" s="197">
        <v>0.99990000000000001</v>
      </c>
      <c r="E60" s="197">
        <v>0.72050000000000003</v>
      </c>
      <c r="F60" s="197">
        <v>1.6799999999999999E-2</v>
      </c>
      <c r="G60" s="197">
        <v>8.0000000000000004E-4</v>
      </c>
      <c r="H60" s="197">
        <v>1E-4</v>
      </c>
      <c r="I60" s="197">
        <v>0.99990000000000001</v>
      </c>
      <c r="J60" s="197">
        <v>0.99990000000000001</v>
      </c>
      <c r="K60" s="197">
        <v>0.99990000000000001</v>
      </c>
      <c r="L60" s="197">
        <v>0.99990000000000001</v>
      </c>
      <c r="M60" s="197">
        <v>0.15709999999999999</v>
      </c>
      <c r="N60" s="151"/>
      <c r="O60" s="197">
        <v>1E-4</v>
      </c>
      <c r="P60" s="197">
        <v>0.56799999999999995</v>
      </c>
      <c r="Q60" s="197">
        <v>1E-4</v>
      </c>
      <c r="R60" s="197">
        <v>0.99990000000000001</v>
      </c>
      <c r="S60" s="197">
        <v>0.99990000000000001</v>
      </c>
      <c r="T60" s="197">
        <v>0.99990000000000001</v>
      </c>
      <c r="U60" s="197">
        <v>0.58730000000000004</v>
      </c>
      <c r="V60" s="197">
        <v>7.3300000000000004E-2</v>
      </c>
    </row>
    <row r="61" spans="1:22" s="3" customFormat="1" ht="15.75" thickBot="1" x14ac:dyDescent="0.3">
      <c r="A61" s="62" t="s">
        <v>84</v>
      </c>
      <c r="B61" s="142"/>
      <c r="C61" s="142" t="str">
        <f t="shared" ref="C61:O61" si="44">IF(C60&gt;0.05,"NS",IF(C60&gt;0.01,"*",IF(C60&gt;0.001,"**","***")))</f>
        <v>NS</v>
      </c>
      <c r="D61" s="142" t="str">
        <f t="shared" si="44"/>
        <v>NS</v>
      </c>
      <c r="E61" s="142" t="str">
        <f t="shared" si="44"/>
        <v>NS</v>
      </c>
      <c r="F61" s="142" t="str">
        <f t="shared" si="44"/>
        <v>*</v>
      </c>
      <c r="G61" s="142" t="str">
        <f t="shared" si="44"/>
        <v>***</v>
      </c>
      <c r="H61" s="142" t="str">
        <f t="shared" si="44"/>
        <v>***</v>
      </c>
      <c r="I61" s="142" t="str">
        <f t="shared" si="44"/>
        <v>NS</v>
      </c>
      <c r="J61" s="142" t="str">
        <f t="shared" si="44"/>
        <v>NS</v>
      </c>
      <c r="K61" s="142" t="str">
        <f t="shared" si="44"/>
        <v>NS</v>
      </c>
      <c r="L61" s="142" t="str">
        <f t="shared" si="44"/>
        <v>NS</v>
      </c>
      <c r="M61" s="142" t="str">
        <f t="shared" si="44"/>
        <v>NS</v>
      </c>
      <c r="N61" s="142"/>
      <c r="O61" s="142" t="str">
        <f t="shared" si="44"/>
        <v>***</v>
      </c>
      <c r="P61" s="142" t="str">
        <f>IF(P60&gt;0.05,"NS",IF(P60&gt;0.01,"*",IF(P60&gt;0.001,"**","***")))</f>
        <v>NS</v>
      </c>
      <c r="Q61" s="142" t="str">
        <f t="shared" ref="Q61:V61" si="45">IF(Q60&gt;0.05,"NS",IF(Q60&gt;0.01,"*",IF(Q60&gt;0.001,"**","***")))</f>
        <v>***</v>
      </c>
      <c r="R61" s="142" t="str">
        <f t="shared" si="45"/>
        <v>NS</v>
      </c>
      <c r="S61" s="142" t="str">
        <f t="shared" si="45"/>
        <v>NS</v>
      </c>
      <c r="T61" s="142" t="str">
        <f t="shared" si="45"/>
        <v>NS</v>
      </c>
      <c r="U61" s="142" t="str">
        <f t="shared" si="45"/>
        <v>NS</v>
      </c>
      <c r="V61" s="142" t="str">
        <f t="shared" si="45"/>
        <v>NS</v>
      </c>
    </row>
    <row r="63" spans="1:22" x14ac:dyDescent="0.25">
      <c r="A63" s="2" t="s">
        <v>39</v>
      </c>
    </row>
    <row r="64" spans="1:22" x14ac:dyDescent="0.25">
      <c r="A64" s="1" t="s">
        <v>23</v>
      </c>
      <c r="B64" s="1">
        <f>B46+(3*B47)</f>
        <v>0.29271359587927664</v>
      </c>
    </row>
    <row r="65" spans="1:22" x14ac:dyDescent="0.25">
      <c r="A65" s="1" t="s">
        <v>24</v>
      </c>
      <c r="B65" s="1">
        <f>B46+(10*B47)</f>
        <v>0.81082696732817883</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I69" s="197"/>
      <c r="N69" s="12"/>
      <c r="O69" s="12"/>
      <c r="P69" s="12"/>
      <c r="Q69" s="12"/>
      <c r="R69" s="12"/>
      <c r="S69" s="12"/>
      <c r="T69" s="12"/>
      <c r="U69" s="12"/>
      <c r="V69" s="12"/>
    </row>
    <row r="70" spans="1:22" ht="16.5" x14ac:dyDescent="0.25">
      <c r="A70" s="12"/>
      <c r="B70" s="12"/>
      <c r="C70" s="197"/>
      <c r="D70" s="12"/>
      <c r="E70" s="12"/>
      <c r="F70" s="12"/>
      <c r="I70" s="197"/>
      <c r="N70" s="12"/>
      <c r="O70" s="12"/>
      <c r="P70" s="12"/>
      <c r="Q70" s="12"/>
      <c r="R70" s="12"/>
      <c r="S70" s="12"/>
      <c r="T70" s="12"/>
      <c r="U70" s="12"/>
      <c r="V70" s="12"/>
    </row>
    <row r="71" spans="1:22" ht="16.5" x14ac:dyDescent="0.25">
      <c r="A71" s="12"/>
      <c r="B71" s="12"/>
      <c r="C71" s="197"/>
      <c r="D71" s="12"/>
      <c r="E71" s="12"/>
      <c r="F71" s="12"/>
      <c r="I71" s="197"/>
      <c r="N71" s="12"/>
      <c r="O71" s="12"/>
      <c r="P71" s="12"/>
      <c r="Q71" s="12"/>
      <c r="R71" s="12"/>
      <c r="S71" s="12"/>
      <c r="T71" s="12"/>
      <c r="U71" s="12"/>
      <c r="V71" s="12"/>
    </row>
    <row r="72" spans="1:22" ht="16.5" x14ac:dyDescent="0.25">
      <c r="A72" s="12"/>
      <c r="B72" s="12"/>
      <c r="C72" s="197"/>
      <c r="D72" s="12"/>
      <c r="E72" s="12"/>
      <c r="F72" s="12"/>
      <c r="I72" s="197"/>
      <c r="N72" s="12"/>
      <c r="O72" s="12"/>
      <c r="P72" s="12"/>
      <c r="Q72" s="12"/>
      <c r="R72" s="197"/>
      <c r="S72" s="12"/>
      <c r="T72" s="12"/>
      <c r="U72" s="12"/>
      <c r="V72" s="12"/>
    </row>
    <row r="73" spans="1:22" ht="16.5" x14ac:dyDescent="0.25">
      <c r="A73" s="12"/>
      <c r="B73" s="12"/>
      <c r="C73" s="197"/>
      <c r="D73" s="12"/>
      <c r="E73" s="12"/>
      <c r="F73" s="12"/>
      <c r="I73" s="197"/>
      <c r="N73" s="12"/>
      <c r="O73" s="12"/>
      <c r="P73" s="12"/>
      <c r="Q73" s="12"/>
      <c r="R73" s="197"/>
      <c r="S73" s="12"/>
      <c r="T73" s="12"/>
      <c r="U73" s="12"/>
      <c r="V73" s="12"/>
    </row>
    <row r="74" spans="1:22" ht="16.5" x14ac:dyDescent="0.25">
      <c r="A74" s="12"/>
      <c r="B74" s="12"/>
      <c r="C74" s="197"/>
      <c r="D74" s="12"/>
      <c r="E74" s="12"/>
      <c r="F74" s="12"/>
      <c r="N74" s="12"/>
      <c r="O74" s="12"/>
      <c r="P74" s="12"/>
      <c r="Q74" s="12"/>
      <c r="R74" s="197"/>
      <c r="S74" s="12"/>
      <c r="T74" s="12"/>
      <c r="U74" s="12"/>
      <c r="V74" s="12"/>
    </row>
    <row r="75" spans="1:22" ht="15.75" x14ac:dyDescent="0.25">
      <c r="C75" s="197"/>
      <c r="R75" s="197"/>
    </row>
    <row r="76" spans="1:22" ht="15.75" x14ac:dyDescent="0.25">
      <c r="R76" s="197"/>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3"/>
  <sheetViews>
    <sheetView showGridLines="0" topLeftCell="M70" zoomScaleNormal="100" workbookViewId="0">
      <selection activeCell="R96" sqref="R96:R100"/>
    </sheetView>
  </sheetViews>
  <sheetFormatPr baseColWidth="10"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Atrazine-0,625mg/L</v>
      </c>
      <c r="J4" s="35" t="str">
        <f>'R1'!J4</f>
        <v>Atrazine-1,25mg/L</v>
      </c>
      <c r="K4" s="35" t="str">
        <f>'R1'!K4</f>
        <v>Atrazine-2,5mg/L</v>
      </c>
      <c r="L4" s="35" t="str">
        <f>'R1'!L4</f>
        <v>Atrazine-5mg/L</v>
      </c>
      <c r="M4" s="35" t="str">
        <f>'R1'!M4</f>
        <v>Atrazine-10mg/L</v>
      </c>
      <c r="O4" s="35" t="str">
        <f>'R1'!O4</f>
        <v>Testo -30µg/L</v>
      </c>
      <c r="P4" s="35" t="str">
        <f>'R1'!P4</f>
        <v>Testo 30µg/L + EE2 -64ng/L</v>
      </c>
      <c r="Q4" s="35" t="str">
        <f>'R1'!Q4</f>
        <v>Testo 30µg/L + FAD-10µg/L</v>
      </c>
      <c r="R4" s="35" t="str">
        <f>'R1'!R4</f>
        <v>Atrazine-0,625mg/L + Testostérone</v>
      </c>
      <c r="S4" s="35" t="str">
        <f>'R1'!S4</f>
        <v>Atrazine-1,25mg/L + Testostérone</v>
      </c>
      <c r="T4" s="35" t="str">
        <f>'R1'!T4</f>
        <v>Atrazine-2,5mg/L + Testostérone</v>
      </c>
      <c r="U4" s="35" t="str">
        <f>'R1'!U4</f>
        <v>Atrazine-5mg/L + Testostérone</v>
      </c>
      <c r="V4" s="35" t="str">
        <f>'R1'!V4</f>
        <v>Atrazine-10mg/L + Testostérone</v>
      </c>
    </row>
    <row r="5" spans="1:22" s="1" customFormat="1" x14ac:dyDescent="0.25">
      <c r="A5" s="34"/>
      <c r="B5" s="35"/>
      <c r="C5" s="193" t="s">
        <v>165</v>
      </c>
      <c r="D5" s="35"/>
      <c r="E5" s="35"/>
      <c r="F5" s="35"/>
      <c r="G5" s="35"/>
      <c r="H5" s="35"/>
      <c r="I5" s="35"/>
      <c r="J5" s="35"/>
      <c r="K5" s="35"/>
      <c r="L5" s="35"/>
      <c r="M5" s="35"/>
      <c r="O5" s="35"/>
      <c r="P5" s="35"/>
      <c r="Q5" s="35"/>
      <c r="R5" s="35"/>
      <c r="S5" s="35"/>
      <c r="T5" s="35"/>
      <c r="U5" s="35"/>
      <c r="V5" s="35"/>
    </row>
    <row r="6" spans="1:22" s="1" customFormat="1" x14ac:dyDescent="0.25">
      <c r="A6" s="71" t="s">
        <v>4</v>
      </c>
      <c r="B6" s="53">
        <f>'R1'!B28</f>
        <v>0.42297368657595585</v>
      </c>
      <c r="C6" s="53">
        <f>'R1'!C28</f>
        <v>2.1424279097490399E-2</v>
      </c>
      <c r="D6" s="53">
        <f>'R1'!D28</f>
        <v>0.2472380761678078</v>
      </c>
      <c r="E6" s="53">
        <f>'R1'!E28</f>
        <v>0.17899784268586272</v>
      </c>
      <c r="F6" s="53">
        <f>'R1'!F28</f>
        <v>0.54891813513187504</v>
      </c>
      <c r="G6" s="53">
        <f>'R1'!G28</f>
        <v>0.42509699082085317</v>
      </c>
      <c r="H6" s="53">
        <f>'R1'!H28</f>
        <v>1.8250613504916426</v>
      </c>
      <c r="I6" s="53">
        <f>'R1'!I28</f>
        <v>0.33659348510576892</v>
      </c>
      <c r="J6" s="53">
        <f>'R1'!J28</f>
        <v>2.1461303599601075E-2</v>
      </c>
      <c r="K6" s="53">
        <f>'R1'!K28</f>
        <v>0.66649368751345694</v>
      </c>
      <c r="L6" s="53" t="str">
        <f>'R1'!L28</f>
        <v/>
      </c>
      <c r="M6" s="53">
        <f>'R1'!M28</f>
        <v>6.5044237698832094E-2</v>
      </c>
      <c r="N6"/>
      <c r="O6" s="53">
        <f>'R1'!O28</f>
        <v>0.55198913076107303</v>
      </c>
      <c r="P6" s="53">
        <f>'R1'!P28</f>
        <v>3.5047672230914348</v>
      </c>
      <c r="Q6" s="53">
        <f>'R1'!Q28</f>
        <v>3.2760570229982029E-2</v>
      </c>
      <c r="R6" s="53">
        <f>'R1'!R28</f>
        <v>1.3683790626270729</v>
      </c>
      <c r="S6" s="53">
        <f>'R1'!S28</f>
        <v>1.859960170637099</v>
      </c>
      <c r="T6" s="53">
        <f>'R1'!T28</f>
        <v>3.8538287942015557</v>
      </c>
      <c r="U6" s="53">
        <f>'R1'!U28</f>
        <v>2.4355332298940078</v>
      </c>
      <c r="V6" s="53">
        <f>'R1'!V28</f>
        <v>0.7464968430879948</v>
      </c>
    </row>
    <row r="7" spans="1:22" s="1" customFormat="1" x14ac:dyDescent="0.25">
      <c r="A7" s="228" t="s">
        <v>34</v>
      </c>
      <c r="B7" s="53">
        <f>'R1'!B29</f>
        <v>0.35745933960261755</v>
      </c>
      <c r="C7" s="53">
        <f>'R1'!C29</f>
        <v>0.12902257734607436</v>
      </c>
      <c r="D7" s="53">
        <f>'R1'!D29</f>
        <v>4.7976961248805891E-2</v>
      </c>
      <c r="E7" s="53">
        <f>'R1'!E29</f>
        <v>0.69851274867823177</v>
      </c>
      <c r="F7" s="53">
        <f>'R1'!F29</f>
        <v>7.9708997603640058E-2</v>
      </c>
      <c r="G7" s="53">
        <f>'R1'!G29</f>
        <v>0.25783999139604918</v>
      </c>
      <c r="H7" s="53">
        <f>'R1'!H29</f>
        <v>4.0327019764078349</v>
      </c>
      <c r="I7" s="53">
        <f>'R1'!I29</f>
        <v>0.57480199852487934</v>
      </c>
      <c r="J7" s="53" t="str">
        <f>'R1'!J29</f>
        <v/>
      </c>
      <c r="K7" s="53">
        <f>'R1'!K29</f>
        <v>0.14484834411523353</v>
      </c>
      <c r="L7" s="53">
        <f>'R1'!L29</f>
        <v>2.675818512174629E-2</v>
      </c>
      <c r="M7" s="53">
        <f>'R1'!M29</f>
        <v>0.3541497227556879</v>
      </c>
      <c r="N7"/>
      <c r="O7" s="53">
        <f>'R1'!O29</f>
        <v>0.39934526074272086</v>
      </c>
      <c r="P7" s="53">
        <f>'R1'!P29</f>
        <v>1.1387668573470986</v>
      </c>
      <c r="Q7" s="53">
        <f>'R1'!Q29</f>
        <v>3.8594476869897643E-2</v>
      </c>
      <c r="R7" s="53">
        <f>'R1'!R29</f>
        <v>3.0893536681070137</v>
      </c>
      <c r="S7" s="53">
        <f>'R1'!S29</f>
        <v>5.2837402016162471</v>
      </c>
      <c r="T7" s="53">
        <f>'R1'!T29</f>
        <v>4.4987884878085156</v>
      </c>
      <c r="U7" s="53">
        <f>'R1'!U29</f>
        <v>0.85346334708037819</v>
      </c>
      <c r="V7" s="53">
        <f>'R1'!V29</f>
        <v>0.84635158560614743</v>
      </c>
    </row>
    <row r="8" spans="1:22" s="1" customFormat="1" x14ac:dyDescent="0.25">
      <c r="A8" s="229"/>
      <c r="B8" s="53">
        <f>'R1'!B30</f>
        <v>2.1747309386547734E-2</v>
      </c>
      <c r="C8" s="53">
        <f>'R1'!C30</f>
        <v>2.0013611599640643E-2</v>
      </c>
      <c r="D8" s="53">
        <f>'R1'!D30</f>
        <v>0.17395028212288477</v>
      </c>
      <c r="E8" s="53">
        <f>'R1'!E30</f>
        <v>0.23780430096487468</v>
      </c>
      <c r="F8" s="53">
        <f>'R1'!F30</f>
        <v>0.24172040633032371</v>
      </c>
      <c r="G8" s="53">
        <f>'R1'!G30</f>
        <v>3.0630655922597732</v>
      </c>
      <c r="H8" s="53">
        <f>'R1'!H30</f>
        <v>2.7020943597459426</v>
      </c>
      <c r="I8" s="53">
        <f>'R1'!I30</f>
        <v>1.3378752886541855E-2</v>
      </c>
      <c r="J8" s="53">
        <f>'R1'!J30</f>
        <v>0.31428809079291076</v>
      </c>
      <c r="K8" s="53">
        <f>'R1'!K30</f>
        <v>7.9363548808717543E-2</v>
      </c>
      <c r="L8" s="53">
        <f>'R1'!L30</f>
        <v>0.47714426958151407</v>
      </c>
      <c r="M8" s="53">
        <f>'R1'!M30</f>
        <v>2.2401182474282091E-2</v>
      </c>
      <c r="N8"/>
      <c r="O8" s="53">
        <f>'R1'!O30</f>
        <v>0.22083247300194114</v>
      </c>
      <c r="P8" s="53">
        <f>'R1'!P30</f>
        <v>3.4604641794098678</v>
      </c>
      <c r="Q8" s="53">
        <f>'R1'!Q30</f>
        <v>0.13340131915074116</v>
      </c>
      <c r="R8" s="53">
        <f>'R1'!R30</f>
        <v>2.649533153722039</v>
      </c>
      <c r="S8" s="53">
        <f>'R1'!S30</f>
        <v>0.49187526598092368</v>
      </c>
      <c r="T8" s="53" t="str">
        <f>'R1'!T30</f>
        <v/>
      </c>
      <c r="U8" s="53">
        <f>'R1'!U30</f>
        <v>3.4926225070504717</v>
      </c>
      <c r="V8" s="53">
        <f>'R1'!V30</f>
        <v>1.2594067817084185</v>
      </c>
    </row>
    <row r="9" spans="1:22" s="1" customFormat="1" x14ac:dyDescent="0.25">
      <c r="A9" s="229"/>
      <c r="B9" s="53">
        <f>'R1'!B31</f>
        <v>0.31089304585166144</v>
      </c>
      <c r="C9" s="53">
        <f>'R1'!C31</f>
        <v>0.49491654010613384</v>
      </c>
      <c r="D9" s="53">
        <f>'R1'!D31</f>
        <v>6.3647836522896545E-2</v>
      </c>
      <c r="E9" s="53">
        <f>'R1'!E31</f>
        <v>1.1847888229821615</v>
      </c>
      <c r="F9" s="53">
        <f>'R1'!F31</f>
        <v>0.81134271097735311</v>
      </c>
      <c r="G9" s="53">
        <f>'R1'!G31</f>
        <v>1.2232807182040095</v>
      </c>
      <c r="H9" s="53">
        <f>'R1'!H31</f>
        <v>3.6969308428581207</v>
      </c>
      <c r="I9" s="53">
        <f>'R1'!I31</f>
        <v>0.15157083880580527</v>
      </c>
      <c r="J9" s="53">
        <f>'R1'!J31</f>
        <v>0.29772336251602893</v>
      </c>
      <c r="K9" s="53">
        <f>'R1'!K31</f>
        <v>1.1645034719174885</v>
      </c>
      <c r="L9" s="53">
        <f>'R1'!L31</f>
        <v>0.21115617032646655</v>
      </c>
      <c r="M9" s="53">
        <f>'R1'!M31</f>
        <v>0.54673589739049877</v>
      </c>
      <c r="N9"/>
      <c r="O9" s="53">
        <f>'R1'!O31</f>
        <v>1.3583280991641848</v>
      </c>
      <c r="P9" s="53">
        <f>'R1'!P31</f>
        <v>0.88033192635979396</v>
      </c>
      <c r="Q9" s="53">
        <f>'R1'!Q31</f>
        <v>0.11124266414900054</v>
      </c>
      <c r="R9" s="53">
        <f>'R1'!R31</f>
        <v>3.028130087286538</v>
      </c>
      <c r="S9" s="53">
        <f>'R1'!S31</f>
        <v>2.7603352602633557</v>
      </c>
      <c r="T9" s="53">
        <f>'R1'!T31</f>
        <v>1.981827168520206</v>
      </c>
      <c r="U9" s="53">
        <f>'R1'!U31</f>
        <v>3.5081687218449789</v>
      </c>
      <c r="V9" s="53">
        <f>'R1'!V31</f>
        <v>5.2708607699967027</v>
      </c>
    </row>
    <row r="10" spans="1:22" s="1" customFormat="1" x14ac:dyDescent="0.25">
      <c r="A10" s="229"/>
      <c r="B10" s="53">
        <f>'R1'!B32</f>
        <v>0.28071128314483745</v>
      </c>
      <c r="C10" s="53">
        <f>'R1'!C32</f>
        <v>9.7085038020809394E-2</v>
      </c>
      <c r="D10" s="53">
        <f>'R1'!D32</f>
        <v>0.16597880491615757</v>
      </c>
      <c r="E10" s="53">
        <f>'R1'!E32</f>
        <v>0.12353445917541254</v>
      </c>
      <c r="F10" s="53">
        <f>'R1'!F32</f>
        <v>0.74311708349165351</v>
      </c>
      <c r="G10" s="53">
        <f>'R1'!G32</f>
        <v>1.8158994845909078</v>
      </c>
      <c r="H10" s="53">
        <f>'R1'!H32</f>
        <v>4.5312110820788636</v>
      </c>
      <c r="I10" s="53">
        <f>'R1'!I32</f>
        <v>0.20346356574572891</v>
      </c>
      <c r="J10" s="53">
        <f>'R1'!J32</f>
        <v>0.14644990858726858</v>
      </c>
      <c r="K10" s="53">
        <f>'R1'!K32</f>
        <v>4.521405023808836E-2</v>
      </c>
      <c r="L10" s="53">
        <f>'R1'!L32</f>
        <v>0.64225588592988681</v>
      </c>
      <c r="M10" s="53">
        <f>'R1'!M32</f>
        <v>1.9653556808472635E-2</v>
      </c>
      <c r="N10"/>
      <c r="O10" s="53">
        <f>'R1'!O32</f>
        <v>2.1074479074384054</v>
      </c>
      <c r="P10" s="53">
        <f>'R1'!P32</f>
        <v>2.188971784994131</v>
      </c>
      <c r="Q10" s="53">
        <f>'R1'!Q32</f>
        <v>0.10147838582172168</v>
      </c>
      <c r="R10" s="53">
        <f>'R1'!R32</f>
        <v>2.7369048645652629</v>
      </c>
      <c r="S10" s="53">
        <f>'R1'!S32</f>
        <v>7.3948970130780139E-2</v>
      </c>
      <c r="T10" s="53">
        <f>'R1'!T32</f>
        <v>4.7210241554730183</v>
      </c>
      <c r="U10" s="53">
        <f>'R1'!U32</f>
        <v>2.4316178038772214</v>
      </c>
      <c r="V10" s="53">
        <f>'R1'!V32</f>
        <v>2.3791338737636867</v>
      </c>
    </row>
    <row r="11" spans="1:22" s="1" customFormat="1" x14ac:dyDescent="0.25">
      <c r="A11" s="229"/>
      <c r="B11" s="53">
        <f>'R1'!B33</f>
        <v>5.5117934715527638E-2</v>
      </c>
      <c r="C11" s="53">
        <f>'R1'!C33</f>
        <v>1.8676653431680942E-2</v>
      </c>
      <c r="D11" s="53">
        <f>'R1'!D33</f>
        <v>0.25656111753874017</v>
      </c>
      <c r="E11" s="53">
        <f>'R1'!E33</f>
        <v>0.29095348325624215</v>
      </c>
      <c r="F11" s="53">
        <f>'R1'!F33</f>
        <v>0.7802424688787194</v>
      </c>
      <c r="G11" s="53">
        <f>'R1'!G33</f>
        <v>1.0186632787548866</v>
      </c>
      <c r="H11" s="53">
        <f>'R1'!H33</f>
        <v>5.3315255865422051</v>
      </c>
      <c r="I11" s="53">
        <f>'R1'!I33</f>
        <v>0.35987680181841264</v>
      </c>
      <c r="J11" s="53">
        <f>'R1'!J33</f>
        <v>5.3648503558364612E-2</v>
      </c>
      <c r="K11" s="53">
        <f>'R1'!K33</f>
        <v>0.76946392299820687</v>
      </c>
      <c r="L11" s="53" t="str">
        <f>'R1'!L33</f>
        <v/>
      </c>
      <c r="M11" s="53">
        <f>'R1'!M33</f>
        <v>0.12266013744667061</v>
      </c>
      <c r="N11"/>
      <c r="O11" s="53">
        <f>'R1'!O33</f>
        <v>1.2823959404501646</v>
      </c>
      <c r="P11" s="53" t="str">
        <f>'R1'!P33</f>
        <v/>
      </c>
      <c r="Q11" s="53">
        <f>'R1'!Q33</f>
        <v>0.14484868378956481</v>
      </c>
      <c r="R11" s="53">
        <f>'R1'!R33</f>
        <v>2.6055310614979956</v>
      </c>
      <c r="S11" s="53">
        <f>'R1'!S33</f>
        <v>1.4267446236240695</v>
      </c>
      <c r="T11" s="53">
        <f>'R1'!T33</f>
        <v>3.0997280015332902</v>
      </c>
      <c r="U11" s="53">
        <f>'R1'!U33</f>
        <v>1.5795060209610483</v>
      </c>
      <c r="V11" s="53">
        <f>'R1'!V33</f>
        <v>3.7676982533648675</v>
      </c>
    </row>
    <row r="12" spans="1:22" s="1" customFormat="1" x14ac:dyDescent="0.25">
      <c r="A12" s="229"/>
      <c r="B12" s="53">
        <f>'R1'!B34</f>
        <v>0.14165268800645181</v>
      </c>
      <c r="C12" s="53">
        <f>'R1'!C34</f>
        <v>8.5755880049274869E-2</v>
      </c>
      <c r="D12" s="53">
        <f>'R1'!D34</f>
        <v>6.292059377960342E-2</v>
      </c>
      <c r="E12" s="53">
        <f>'R1'!E34</f>
        <v>8.1082980273710428E-2</v>
      </c>
      <c r="F12" s="53">
        <f>'R1'!F34</f>
        <v>0.38077934114304068</v>
      </c>
      <c r="G12" s="53">
        <f>'R1'!G34</f>
        <v>3.3210964806300076</v>
      </c>
      <c r="H12" s="53">
        <f>'R1'!H34</f>
        <v>5.4794235268037657</v>
      </c>
      <c r="I12" s="53">
        <f>'R1'!I34</f>
        <v>0.41005757012863175</v>
      </c>
      <c r="J12" s="53">
        <f>'R1'!J34</f>
        <v>2.9392189723739047E-2</v>
      </c>
      <c r="K12" s="53">
        <f>'R1'!K34</f>
        <v>0.39344579695686621</v>
      </c>
      <c r="L12" s="53">
        <f>'R1'!L34</f>
        <v>0.23631279097617777</v>
      </c>
      <c r="M12" s="53">
        <f>'R1'!M34</f>
        <v>1.3893699172778365E-2</v>
      </c>
      <c r="N12"/>
      <c r="O12" s="53">
        <f>'R1'!O34</f>
        <v>1.6426837482094387</v>
      </c>
      <c r="P12" s="53">
        <f>'R1'!P34</f>
        <v>1.6202530140683344</v>
      </c>
      <c r="Q12" s="53">
        <f>'R1'!Q34</f>
        <v>9.7202225665104655E-2</v>
      </c>
      <c r="R12" s="53">
        <f>'R1'!R34</f>
        <v>2.3891510396306113</v>
      </c>
      <c r="S12" s="53">
        <f>'R1'!S34</f>
        <v>2.8405364459730356</v>
      </c>
      <c r="T12" s="53">
        <f>'R1'!T34</f>
        <v>0.22564463925333472</v>
      </c>
      <c r="U12" s="53">
        <f>'R1'!U34</f>
        <v>2.3700120894340437</v>
      </c>
      <c r="V12" s="53">
        <f>'R1'!V34</f>
        <v>1.6782364414426292</v>
      </c>
    </row>
    <row r="13" spans="1:22" s="1" customFormat="1" x14ac:dyDescent="0.25">
      <c r="A13" s="229"/>
      <c r="B13" s="53">
        <f>'R1'!B35</f>
        <v>9.4854057012892911E-3</v>
      </c>
      <c r="C13" s="53">
        <f>'R1'!C35</f>
        <v>0.12623826685248554</v>
      </c>
      <c r="D13" s="53">
        <f>'R1'!D35</f>
        <v>0.32431663574993363</v>
      </c>
      <c r="E13" s="53">
        <f>'R1'!E35</f>
        <v>5.6168547422209385E-2</v>
      </c>
      <c r="F13" s="53">
        <f>'R1'!F35</f>
        <v>0.5847204889985641</v>
      </c>
      <c r="G13" s="53">
        <f>'R1'!G35</f>
        <v>1.0210291104723253</v>
      </c>
      <c r="H13" s="53">
        <f>'R1'!H35</f>
        <v>4.8272562835611517</v>
      </c>
      <c r="I13" s="53">
        <f>'R1'!I35</f>
        <v>0.63331429883299373</v>
      </c>
      <c r="J13" s="53">
        <f>'R1'!J35</f>
        <v>0.25600337228676107</v>
      </c>
      <c r="K13" s="53">
        <f>'R1'!K35</f>
        <v>0.70772573556582596</v>
      </c>
      <c r="L13" s="53">
        <f>'R1'!L35</f>
        <v>0.12515079948085875</v>
      </c>
      <c r="M13" s="53">
        <f>'R1'!M35</f>
        <v>9.2279325581710349E-3</v>
      </c>
      <c r="N13"/>
      <c r="O13" s="53">
        <f>'R1'!O35</f>
        <v>0.62461557888297348</v>
      </c>
      <c r="P13" s="53">
        <f>'R1'!P35</f>
        <v>4.1244381627338118</v>
      </c>
      <c r="Q13" s="53">
        <f>'R1'!Q35</f>
        <v>0.26796398484016482</v>
      </c>
      <c r="R13" s="53" t="str">
        <f>'R1'!R35</f>
        <v/>
      </c>
      <c r="S13" s="53">
        <f>'R1'!S35</f>
        <v>0.20277300783021515</v>
      </c>
      <c r="T13" s="53">
        <f>'R1'!T35</f>
        <v>1.2586133024705237</v>
      </c>
      <c r="U13" s="53">
        <f>'R1'!U35</f>
        <v>1.6575428018317451E-2</v>
      </c>
      <c r="V13" s="53">
        <f>'R1'!V35</f>
        <v>0.39781706592624461</v>
      </c>
    </row>
    <row r="14" spans="1:22" s="1" customFormat="1" x14ac:dyDescent="0.2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1.7787158450560254</v>
      </c>
      <c r="P14" s="53" t="str">
        <f>'R1'!P36</f>
        <v/>
      </c>
      <c r="Q14" s="53" t="str">
        <f>'R1'!Q36</f>
        <v/>
      </c>
      <c r="R14" s="53" t="str">
        <f>'R1'!R36</f>
        <v/>
      </c>
      <c r="S14" s="53" t="str">
        <f>'R1'!S36</f>
        <v/>
      </c>
      <c r="T14" s="53" t="str">
        <f>'R1'!T36</f>
        <v/>
      </c>
      <c r="U14" s="53" t="str">
        <f>'R1'!U36</f>
        <v/>
      </c>
      <c r="V14" s="53" t="str">
        <f>'R1'!V36</f>
        <v/>
      </c>
    </row>
    <row r="15" spans="1:22" s="1" customFormat="1" x14ac:dyDescent="0.2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0.92552389776634847</v>
      </c>
      <c r="P15" s="53" t="str">
        <f>'R1'!P37</f>
        <v/>
      </c>
      <c r="Q15" s="53" t="str">
        <f>'R1'!Q37</f>
        <v/>
      </c>
      <c r="R15" s="53" t="str">
        <f>'R1'!R37</f>
        <v/>
      </c>
      <c r="S15" s="53" t="str">
        <f>'R1'!S37</f>
        <v/>
      </c>
      <c r="T15" s="53" t="str">
        <f>'R1'!T37</f>
        <v/>
      </c>
      <c r="U15" s="53" t="str">
        <f>'R1'!U37</f>
        <v/>
      </c>
      <c r="V15" s="53" t="str">
        <f>'R1'!V37</f>
        <v/>
      </c>
    </row>
    <row r="16" spans="1:22" s="1" customFormat="1" x14ac:dyDescent="0.2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1.1034201765958358</v>
      </c>
      <c r="P16" s="53" t="str">
        <f>'R1'!P38</f>
        <v/>
      </c>
      <c r="Q16" s="53" t="str">
        <f>'R1'!Q38</f>
        <v/>
      </c>
      <c r="R16" s="53" t="str">
        <f>'R1'!R38</f>
        <v/>
      </c>
      <c r="S16" s="53" t="str">
        <f>'R1'!S38</f>
        <v/>
      </c>
      <c r="T16" s="53" t="str">
        <f>'R1'!T38</f>
        <v/>
      </c>
      <c r="U16" s="53" t="str">
        <f>'R1'!U38</f>
        <v/>
      </c>
      <c r="V16" s="53" t="str">
        <f>'R1'!V38</f>
        <v/>
      </c>
    </row>
    <row r="17" spans="1:22" s="1" customFormat="1" x14ac:dyDescent="0.2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0.12828786176749285</v>
      </c>
      <c r="P17" s="53" t="str">
        <f>'R1'!P39</f>
        <v/>
      </c>
      <c r="Q17" s="53" t="str">
        <f>'R1'!Q39</f>
        <v/>
      </c>
      <c r="R17" s="53" t="str">
        <f>'R1'!R39</f>
        <v/>
      </c>
      <c r="S17" s="53" t="str">
        <f>'R1'!S39</f>
        <v/>
      </c>
      <c r="T17" s="53" t="str">
        <f>'R1'!T39</f>
        <v/>
      </c>
      <c r="U17" s="53" t="str">
        <f>'R1'!U39</f>
        <v/>
      </c>
      <c r="V17" s="53" t="str">
        <f>'R1'!V39</f>
        <v/>
      </c>
    </row>
    <row r="18" spans="1:22" s="1" customFormat="1" x14ac:dyDescent="0.2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1.3179187423422016</v>
      </c>
      <c r="P18" s="53" t="str">
        <f>'R1'!P40</f>
        <v/>
      </c>
      <c r="Q18" s="53" t="str">
        <f>'R1'!Q40</f>
        <v/>
      </c>
      <c r="R18" s="53" t="str">
        <f>'R1'!R40</f>
        <v/>
      </c>
      <c r="S18" s="53" t="str">
        <f>'R1'!S40</f>
        <v/>
      </c>
      <c r="T18" s="53" t="str">
        <f>'R1'!T40</f>
        <v/>
      </c>
      <c r="U18" s="53" t="str">
        <f>'R1'!U40</f>
        <v/>
      </c>
      <c r="V18" s="53" t="str">
        <f>'R1'!V40</f>
        <v/>
      </c>
    </row>
    <row r="19" spans="1:22" s="1" customFormat="1" x14ac:dyDescent="0.2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0.27769191801399556</v>
      </c>
      <c r="P19" s="53" t="str">
        <f>'R1'!P41</f>
        <v/>
      </c>
      <c r="Q19" s="53" t="str">
        <f>'R1'!Q41</f>
        <v/>
      </c>
      <c r="R19" s="53" t="str">
        <f>'R1'!R41</f>
        <v/>
      </c>
      <c r="S19" s="53" t="str">
        <f>'R1'!S41</f>
        <v/>
      </c>
      <c r="T19" s="53" t="str">
        <f>'R1'!T41</f>
        <v/>
      </c>
      <c r="U19" s="53" t="str">
        <f>'R1'!U41</f>
        <v/>
      </c>
      <c r="V19" s="53" t="str">
        <f>'R1'!V41</f>
        <v/>
      </c>
    </row>
    <row r="20" spans="1:22" s="1" customFormat="1" x14ac:dyDescent="0.2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2.0531383976313493</v>
      </c>
      <c r="P20" s="53" t="str">
        <f>'R1'!P42</f>
        <v/>
      </c>
      <c r="Q20" s="53" t="str">
        <f>'R1'!Q42</f>
        <v/>
      </c>
      <c r="R20" s="53" t="str">
        <f>'R1'!R42</f>
        <v/>
      </c>
      <c r="S20" s="53" t="str">
        <f>'R1'!S42</f>
        <v/>
      </c>
      <c r="T20" s="53" t="str">
        <f>'R1'!T42</f>
        <v/>
      </c>
      <c r="U20" s="53" t="str">
        <f>'R1'!U42</f>
        <v/>
      </c>
      <c r="V20" s="53" t="str">
        <f>'R1'!V42</f>
        <v/>
      </c>
    </row>
    <row r="21" spans="1:22" s="1" customFormat="1" x14ac:dyDescent="0.2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0.22766502217585105</v>
      </c>
      <c r="P21" s="53" t="str">
        <f>'R1'!P43</f>
        <v/>
      </c>
      <c r="Q21" s="53" t="str">
        <f>'R1'!Q43</f>
        <v/>
      </c>
      <c r="R21" s="53" t="str">
        <f>'R1'!R43</f>
        <v/>
      </c>
      <c r="S21" s="53" t="str">
        <f>'R1'!S43</f>
        <v/>
      </c>
      <c r="T21" s="53" t="str">
        <f>'R1'!T43</f>
        <v/>
      </c>
      <c r="U21" s="53" t="str">
        <f>'R1'!U43</f>
        <v/>
      </c>
      <c r="V21" s="53" t="str">
        <f>'R1'!V43</f>
        <v/>
      </c>
    </row>
    <row r="22" spans="1:22" x14ac:dyDescent="0.25">
      <c r="A22" s="39" t="s">
        <v>5</v>
      </c>
      <c r="B22" s="54">
        <f>'R2'!B28</f>
        <v>1.3338213774023852E-2</v>
      </c>
      <c r="C22" s="54">
        <f>'R2'!C28</f>
        <v>0.19600618750022264</v>
      </c>
      <c r="D22" s="54">
        <f>'R2'!D28</f>
        <v>8.2593678306526586E-2</v>
      </c>
      <c r="E22" s="54">
        <f>'R2'!E28</f>
        <v>0.47137971485649005</v>
      </c>
      <c r="F22" s="54">
        <f>'R2'!F28</f>
        <v>0.45603063343363132</v>
      </c>
      <c r="G22" s="54">
        <f>'R2'!G28</f>
        <v>0.81121474925737036</v>
      </c>
      <c r="H22" s="54">
        <f>'R2'!H28</f>
        <v>3.1440630907394032</v>
      </c>
      <c r="I22" s="54">
        <f>'R2'!I28</f>
        <v>0.21778557029317971</v>
      </c>
      <c r="J22" s="54">
        <f>'R2'!J28</f>
        <v>1.4323269882831797E-2</v>
      </c>
      <c r="K22" s="54">
        <f>'R2'!K28</f>
        <v>5.5375443261097765E-2</v>
      </c>
      <c r="L22" s="54">
        <f>'R2'!L28</f>
        <v>2.2072928447880343E-2</v>
      </c>
      <c r="M22" s="54">
        <f>'R2'!M28</f>
        <v>0.10660235654962252</v>
      </c>
      <c r="O22" s="54">
        <f>'R2'!O28</f>
        <v>4.7539479076997362E-2</v>
      </c>
      <c r="P22" s="54">
        <f>'R2'!P28</f>
        <v>1.9637503747152238</v>
      </c>
      <c r="Q22" s="54">
        <f>'R2'!Q28</f>
        <v>0.14357525755085096</v>
      </c>
      <c r="R22" s="54">
        <f>'R2'!R28</f>
        <v>2.5729146130096994</v>
      </c>
      <c r="S22" s="54">
        <f>'R2'!S28</f>
        <v>2.3755888019391591</v>
      </c>
      <c r="T22" s="54">
        <f>'R2'!T28</f>
        <v>3.6545531025454925</v>
      </c>
      <c r="U22" s="54">
        <f>'R2'!U28</f>
        <v>1.2354923733902061</v>
      </c>
      <c r="V22" s="54">
        <f>'R2'!V28</f>
        <v>2.7717153444897771</v>
      </c>
    </row>
    <row r="23" spans="1:22" x14ac:dyDescent="0.25">
      <c r="A23" s="228" t="s">
        <v>34</v>
      </c>
      <c r="B23" s="54">
        <f>'R2'!B29</f>
        <v>1.2433603026183997E-2</v>
      </c>
      <c r="C23" s="54">
        <f>'R2'!C29</f>
        <v>2.8831404270669731E-2</v>
      </c>
      <c r="D23" s="54">
        <f>'R2'!D29</f>
        <v>2.5973462953362964E-2</v>
      </c>
      <c r="E23" s="54">
        <f>'R2'!E29</f>
        <v>0.21561887305439012</v>
      </c>
      <c r="F23" s="54">
        <f>'R2'!F29</f>
        <v>0.67290546634551995</v>
      </c>
      <c r="G23" s="54">
        <f>'R2'!G29</f>
        <v>1.3023507259910803</v>
      </c>
      <c r="H23" s="54">
        <f>'R2'!H29</f>
        <v>3.2601838382939028</v>
      </c>
      <c r="I23" s="54">
        <f>'R2'!I29</f>
        <v>8.5918042892227806E-2</v>
      </c>
      <c r="J23" s="54">
        <f>'R2'!J29</f>
        <v>0.27964299174565999</v>
      </c>
      <c r="K23" s="54">
        <f>'R2'!K29</f>
        <v>0.12286776923648859</v>
      </c>
      <c r="L23" s="54">
        <f>'R2'!L29</f>
        <v>9.9131592994287868E-3</v>
      </c>
      <c r="M23" s="54">
        <f>'R2'!M29</f>
        <v>0.64019084196825149</v>
      </c>
      <c r="O23" s="54">
        <f>'R2'!O29</f>
        <v>1.5947730759898664</v>
      </c>
      <c r="P23" s="54">
        <f>'R2'!P29</f>
        <v>1.300933609036278</v>
      </c>
      <c r="Q23" s="54">
        <f>'R2'!Q29</f>
        <v>2.1219994521324628E-2</v>
      </c>
      <c r="R23" s="54">
        <f>'R2'!R29</f>
        <v>0.1763247771012546</v>
      </c>
      <c r="S23" s="54">
        <f>'R2'!S29</f>
        <v>0.61312230987932625</v>
      </c>
      <c r="T23" s="54">
        <f>'R2'!T29</f>
        <v>1.3609181452802595</v>
      </c>
      <c r="U23" s="54">
        <f>'R2'!U29</f>
        <v>1.2235254600077838</v>
      </c>
      <c r="V23" s="54">
        <f>'R2'!V29</f>
        <v>2.1692001017420712</v>
      </c>
    </row>
    <row r="24" spans="1:22" x14ac:dyDescent="0.25">
      <c r="A24" s="229"/>
      <c r="B24" s="54">
        <f>'R2'!B30</f>
        <v>0.25995518833787329</v>
      </c>
      <c r="C24" s="54">
        <f>'R2'!C30</f>
        <v>0.13376305451568343</v>
      </c>
      <c r="D24" s="54">
        <f>'R2'!D30</f>
        <v>4.5621043680665607E-2</v>
      </c>
      <c r="E24" s="54">
        <f>'R2'!E30</f>
        <v>0.20135900050901001</v>
      </c>
      <c r="F24" s="54">
        <f>'R2'!F30</f>
        <v>0.57302695682091909</v>
      </c>
      <c r="G24" s="54">
        <f>'R2'!G30</f>
        <v>1.104898386621004</v>
      </c>
      <c r="H24" s="54">
        <f>'R2'!H30</f>
        <v>3.2599361092021799</v>
      </c>
      <c r="I24" s="54">
        <f>'R2'!I30</f>
        <v>5.3082217722772287E-2</v>
      </c>
      <c r="J24" s="54">
        <f>'R2'!J30</f>
        <v>0.26240371071541857</v>
      </c>
      <c r="K24" s="54">
        <f>'R2'!K30</f>
        <v>0.14242851159400452</v>
      </c>
      <c r="L24" s="54">
        <f>'R2'!L30</f>
        <v>2.5374651127348831E-2</v>
      </c>
      <c r="M24" s="54">
        <f>'R2'!M30</f>
        <v>0.51914667849728457</v>
      </c>
      <c r="O24" s="54">
        <f>'R2'!O30</f>
        <v>1.9196679151569147</v>
      </c>
      <c r="P24" s="54">
        <f>'R2'!P30</f>
        <v>2.102157417386926</v>
      </c>
      <c r="Q24" s="54">
        <f>'R2'!Q30</f>
        <v>3.5111736308897128E-2</v>
      </c>
      <c r="R24" s="54">
        <f>'R2'!R30</f>
        <v>2.5992570058469724</v>
      </c>
      <c r="S24" s="54">
        <f>'R2'!S30</f>
        <v>1.0934269314220277</v>
      </c>
      <c r="T24" s="54">
        <f>'R2'!T30</f>
        <v>1.7150303666254039</v>
      </c>
      <c r="U24" s="54">
        <f>'R2'!U30</f>
        <v>1.5586674931850357</v>
      </c>
      <c r="V24" s="54">
        <f>'R2'!V30</f>
        <v>2.4223275566616196</v>
      </c>
    </row>
    <row r="25" spans="1:22" x14ac:dyDescent="0.25">
      <c r="A25" s="229"/>
      <c r="B25" s="54">
        <f>'R2'!B31</f>
        <v>0.11847737043027644</v>
      </c>
      <c r="C25" s="54">
        <f>'R2'!C31</f>
        <v>2.101275448545319E-2</v>
      </c>
      <c r="D25" s="54">
        <f>'R2'!D31</f>
        <v>1.8293594734584747E-2</v>
      </c>
      <c r="E25" s="54">
        <f>'R2'!E31</f>
        <v>8.0715199215311423E-2</v>
      </c>
      <c r="F25" s="54">
        <f>'R2'!F31</f>
        <v>1.655518380283268</v>
      </c>
      <c r="G25" s="54">
        <f>'R2'!G31</f>
        <v>2.3396243980790734</v>
      </c>
      <c r="H25" s="54">
        <f>'R2'!H31</f>
        <v>4.5526190076072472</v>
      </c>
      <c r="I25" s="54">
        <f>'R2'!I31</f>
        <v>0.31770403612289716</v>
      </c>
      <c r="J25" s="54">
        <f>'R2'!J31</f>
        <v>1.4570998974554725E-2</v>
      </c>
      <c r="K25" s="54">
        <f>'R2'!K31</f>
        <v>0.18203693048072395</v>
      </c>
      <c r="L25" s="54">
        <f>'R2'!L31</f>
        <v>2.4648645063380187E-2</v>
      </c>
      <c r="M25" s="54">
        <f>'R2'!M31</f>
        <v>8.6177492500118275E-2</v>
      </c>
      <c r="O25" s="54">
        <f>'R2'!O31</f>
        <v>1.092614752926691</v>
      </c>
      <c r="P25" s="54">
        <f>'R2'!P31</f>
        <v>0.61569229942442605</v>
      </c>
      <c r="Q25" s="54">
        <f>'R2'!Q31</f>
        <v>0.10447055448396814</v>
      </c>
      <c r="R25" s="54">
        <f>'R2'!R31</f>
        <v>3.4391127009872897</v>
      </c>
      <c r="S25" s="54">
        <f>'R2'!S31</f>
        <v>0.10756477075219774</v>
      </c>
      <c r="T25" s="54">
        <f>'R2'!T31</f>
        <v>0.45709080739605856</v>
      </c>
      <c r="U25" s="54">
        <f>'R2'!U31</f>
        <v>0.80369550538516088</v>
      </c>
      <c r="V25" s="54">
        <f>'R2'!V31</f>
        <v>2.4234335471872472</v>
      </c>
    </row>
    <row r="26" spans="1:22" x14ac:dyDescent="0.25">
      <c r="A26" s="229"/>
      <c r="B26" s="54">
        <f>'R2'!B32</f>
        <v>0.17974077481335657</v>
      </c>
      <c r="C26" s="54">
        <f>'R2'!C32</f>
        <v>1.9952846898393477E-2</v>
      </c>
      <c r="D26" s="54">
        <f>'R2'!D32</f>
        <v>0.1266646837240355</v>
      </c>
      <c r="E26" s="54">
        <f>'R2'!E32</f>
        <v>8.5630091120020846E-2</v>
      </c>
      <c r="F26" s="54">
        <f>'R2'!F32</f>
        <v>0.27984996540616397</v>
      </c>
      <c r="G26" s="54">
        <f>'R2'!G32</f>
        <v>2.5020920621905236</v>
      </c>
      <c r="H26" s="54">
        <f>'R2'!H32</f>
        <v>2.1351139105978336</v>
      </c>
      <c r="I26" s="54">
        <f>'R2'!I32</f>
        <v>0.40331121896131783</v>
      </c>
      <c r="J26" s="54">
        <f>'R2'!J32</f>
        <v>0.40019968829420438</v>
      </c>
      <c r="K26" s="54" t="str">
        <f>'R2'!K32</f>
        <v/>
      </c>
      <c r="L26" s="54">
        <f>'R2'!L32</f>
        <v>0.36853964399664668</v>
      </c>
      <c r="M26" s="54">
        <f>'R2'!M32</f>
        <v>5.770303122182352E-2</v>
      </c>
      <c r="O26" s="54">
        <f>'R2'!O32</f>
        <v>0.1756444544128026</v>
      </c>
      <c r="P26" s="54">
        <f>'R2'!P32</f>
        <v>2.5128088759735308</v>
      </c>
      <c r="Q26" s="54">
        <f>'R2'!Q32</f>
        <v>9.7268563674384467E-2</v>
      </c>
      <c r="R26" s="54">
        <f>'R2'!R32</f>
        <v>1.8822573594269756</v>
      </c>
      <c r="S26" s="54">
        <f>'R2'!S32</f>
        <v>3.2861114846840653</v>
      </c>
      <c r="T26" s="54">
        <f>'R2'!T32</f>
        <v>0.23254676128008941</v>
      </c>
      <c r="U26" s="54">
        <f>'R2'!U32</f>
        <v>1.8741105351890681</v>
      </c>
      <c r="V26" s="54">
        <f>'R2'!V32</f>
        <v>3.0273089025611224</v>
      </c>
    </row>
    <row r="27" spans="1:22" x14ac:dyDescent="0.25">
      <c r="A27" s="229"/>
      <c r="B27" s="54">
        <f>'R2'!B33</f>
        <v>3.3394414314985604E-2</v>
      </c>
      <c r="C27" s="54">
        <f>'R2'!C33</f>
        <v>3.7537084029474831E-2</v>
      </c>
      <c r="D27" s="54">
        <f>'R2'!D33</f>
        <v>4.3955931258773111E-2</v>
      </c>
      <c r="E27" s="54">
        <f>'R2'!E33</f>
        <v>0.27724587981403132</v>
      </c>
      <c r="F27" s="54">
        <f>'R2'!F33</f>
        <v>2.4797943129325204</v>
      </c>
      <c r="G27" s="54">
        <f>'R2'!G33</f>
        <v>1.0670730844439549</v>
      </c>
      <c r="H27" s="54">
        <f>'R2'!H33</f>
        <v>3.7262224606577732</v>
      </c>
      <c r="I27" s="54">
        <f>'R2'!I33</f>
        <v>0.31557836069069395</v>
      </c>
      <c r="J27" s="54">
        <f>'R2'!J33</f>
        <v>0.19805168394682521</v>
      </c>
      <c r="K27" s="54">
        <f>'R2'!K33</f>
        <v>0.28620514892264315</v>
      </c>
      <c r="L27" s="54">
        <f>'R2'!L33</f>
        <v>0.1962310083103454</v>
      </c>
      <c r="M27" s="54">
        <f>'R2'!M33</f>
        <v>0.15225243514533954</v>
      </c>
      <c r="O27" s="54">
        <f>'R2'!O33</f>
        <v>0.84278262767779233</v>
      </c>
      <c r="P27" s="54">
        <f>'R2'!P33</f>
        <v>0.43498884403312676</v>
      </c>
      <c r="Q27" s="54">
        <f>'R2'!Q33</f>
        <v>2.5120795402174691E-2</v>
      </c>
      <c r="R27" s="54">
        <f>'R2'!R33</f>
        <v>0.95285931814498714</v>
      </c>
      <c r="S27" s="54">
        <f>'R2'!S33</f>
        <v>0.38803672264134342</v>
      </c>
      <c r="T27" s="54">
        <f>'R2'!T33</f>
        <v>1.3297937818466317</v>
      </c>
      <c r="U27" s="54">
        <f>'R2'!U33</f>
        <v>3.5491201338589495</v>
      </c>
      <c r="V27" s="54">
        <f>'R2'!V33</f>
        <v>1.1893186008220942</v>
      </c>
    </row>
    <row r="28" spans="1:22" x14ac:dyDescent="0.25">
      <c r="A28" s="229"/>
      <c r="B28" s="54">
        <f>'R2'!B34</f>
        <v>0.14326386474630889</v>
      </c>
      <c r="C28" s="54">
        <f>'R2'!C34</f>
        <v>0.17169197671066841</v>
      </c>
      <c r="D28" s="54">
        <f>'R2'!D34</f>
        <v>5.0005582228793997E-2</v>
      </c>
      <c r="E28" s="54">
        <f>'R2'!E34</f>
        <v>2.2138299626804776</v>
      </c>
      <c r="F28" s="54">
        <f>'R2'!F34</f>
        <v>1.0793569845136353</v>
      </c>
      <c r="G28" s="54">
        <f>'R2'!G34</f>
        <v>1.5724982350134635</v>
      </c>
      <c r="H28" s="54">
        <f>'R2'!H34</f>
        <v>4.330570099558126</v>
      </c>
      <c r="I28" s="54">
        <f>'R2'!I34</f>
        <v>0.10608958396729282</v>
      </c>
      <c r="J28" s="54">
        <f>'R2'!J34</f>
        <v>2.8744832276250434E-2</v>
      </c>
      <c r="K28" s="54">
        <f>'R2'!K34</f>
        <v>3.1366498642634369E-2</v>
      </c>
      <c r="L28" s="54">
        <f>'R2'!L34</f>
        <v>0.32535580174041001</v>
      </c>
      <c r="M28" s="54">
        <f>'R2'!M34</f>
        <v>0.60639286897158828</v>
      </c>
      <c r="O28" s="54">
        <f>'R2'!O34</f>
        <v>0.47068820440260539</v>
      </c>
      <c r="P28" s="54">
        <f>'R2'!P34</f>
        <v>3.1562377769084318</v>
      </c>
      <c r="Q28" s="54">
        <f>'R2'!Q34</f>
        <v>8.2466617256255786E-2</v>
      </c>
      <c r="R28" s="54">
        <f>'R2'!R34</f>
        <v>0.78506228205708506</v>
      </c>
      <c r="S28" s="54">
        <f>'R2'!S34</f>
        <v>1.2710705329674978</v>
      </c>
      <c r="T28" s="54">
        <f>'R2'!T34</f>
        <v>2.4901075680338502</v>
      </c>
      <c r="U28" s="54">
        <f>'R2'!U34</f>
        <v>1.4509327749484087</v>
      </c>
      <c r="V28" s="54">
        <f>'R2'!V34</f>
        <v>3.1095277907256551</v>
      </c>
    </row>
    <row r="29" spans="1:22" x14ac:dyDescent="0.25">
      <c r="A29" s="229"/>
      <c r="B29" s="54">
        <f>'R2'!B35</f>
        <v>2.9217648553463548E-2</v>
      </c>
      <c r="C29" s="54">
        <f>'R2'!C35</f>
        <v>0.24289464517918682</v>
      </c>
      <c r="D29" s="54">
        <f>'R2'!D35</f>
        <v>3.1234110085014696E-2</v>
      </c>
      <c r="E29" s="54">
        <f>'R2'!E35</f>
        <v>2.3202360005842942E-2</v>
      </c>
      <c r="F29" s="54">
        <f>'R2'!F35</f>
        <v>1.8531550514076154</v>
      </c>
      <c r="G29" s="54">
        <f>'R2'!G35</f>
        <v>1.6128706184540125</v>
      </c>
      <c r="H29" s="54">
        <f>'R2'!H35</f>
        <v>4.7910545291354207</v>
      </c>
      <c r="I29" s="54">
        <f>'R2'!I35</f>
        <v>0.14592575379317688</v>
      </c>
      <c r="J29" s="54">
        <f>'R2'!J35</f>
        <v>0.2438567930063946</v>
      </c>
      <c r="K29" s="54">
        <f>'R2'!K35</f>
        <v>0.19182888898796571</v>
      </c>
      <c r="L29" s="54">
        <f>'R2'!L35</f>
        <v>0.1333365875524056</v>
      </c>
      <c r="M29" s="54">
        <f>'R2'!M35</f>
        <v>4.4289965969547894E-2</v>
      </c>
      <c r="O29" s="54">
        <f>'R2'!O35</f>
        <v>1.3912995878140859</v>
      </c>
      <c r="P29" s="54">
        <f>'R2'!P35</f>
        <v>1.3079049187776552</v>
      </c>
      <c r="Q29" s="54">
        <f>'R2'!Q35</f>
        <v>0.14409335764052955</v>
      </c>
      <c r="R29" s="54">
        <f>'R2'!R35</f>
        <v>0.27370228830092369</v>
      </c>
      <c r="S29" s="54">
        <f>'R2'!S35</f>
        <v>3.3852124445110969</v>
      </c>
      <c r="T29" s="54">
        <f>'R2'!T35</f>
        <v>1.8207052041455865</v>
      </c>
      <c r="U29" s="54">
        <f>'R2'!U35</f>
        <v>1.6450088065361321</v>
      </c>
      <c r="V29" s="54">
        <f>'R2'!V35</f>
        <v>1.7097585317283195</v>
      </c>
    </row>
    <row r="30" spans="1:22" x14ac:dyDescent="0.2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7.3340330792256603E-2</v>
      </c>
      <c r="P30" s="54" t="str">
        <f>'R2'!P36</f>
        <v/>
      </c>
      <c r="Q30" s="54" t="str">
        <f>'R2'!Q36</f>
        <v/>
      </c>
      <c r="R30" s="54" t="str">
        <f>'R2'!R36</f>
        <v/>
      </c>
      <c r="S30" s="54" t="str">
        <f>'R2'!S36</f>
        <v/>
      </c>
      <c r="T30" s="54" t="str">
        <f>'R2'!T36</f>
        <v/>
      </c>
      <c r="U30" s="54" t="str">
        <f>'R2'!U36</f>
        <v/>
      </c>
      <c r="V30" s="54" t="str">
        <f>'R2'!V36</f>
        <v/>
      </c>
    </row>
    <row r="31" spans="1:22" s="1" customFormat="1" x14ac:dyDescent="0.2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0.88286093271268307</v>
      </c>
      <c r="P31" s="54" t="str">
        <f>'R2'!P37</f>
        <v/>
      </c>
      <c r="Q31" s="54" t="str">
        <f>'R2'!Q37</f>
        <v/>
      </c>
      <c r="R31" s="54" t="str">
        <f>'R2'!R37</f>
        <v/>
      </c>
      <c r="S31" s="54" t="str">
        <f>'R2'!S37</f>
        <v/>
      </c>
      <c r="T31" s="54" t="str">
        <f>'R2'!T37</f>
        <v/>
      </c>
      <c r="U31" s="54" t="str">
        <f>'R2'!U37</f>
        <v/>
      </c>
      <c r="V31" s="54" t="str">
        <f>'R2'!V37</f>
        <v/>
      </c>
    </row>
    <row r="32" spans="1:22" s="1" customFormat="1" x14ac:dyDescent="0.2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1.2521149954448145</v>
      </c>
      <c r="P32" s="54" t="str">
        <f>'R2'!P38</f>
        <v/>
      </c>
      <c r="Q32" s="54" t="str">
        <f>'R2'!Q38</f>
        <v/>
      </c>
      <c r="R32" s="54" t="str">
        <f>'R2'!R38</f>
        <v/>
      </c>
      <c r="S32" s="54" t="str">
        <f>'R2'!S38</f>
        <v/>
      </c>
      <c r="T32" s="54" t="str">
        <f>'R2'!T38</f>
        <v/>
      </c>
      <c r="U32" s="54" t="str">
        <f>'R2'!U38</f>
        <v/>
      </c>
      <c r="V32" s="54" t="str">
        <f>'R2'!V38</f>
        <v/>
      </c>
    </row>
    <row r="33" spans="1:22" s="1" customFormat="1" x14ac:dyDescent="0.2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1.5070399513438753</v>
      </c>
      <c r="P33" s="54" t="str">
        <f>'R2'!P39</f>
        <v/>
      </c>
      <c r="Q33" s="54" t="str">
        <f>'R2'!Q39</f>
        <v/>
      </c>
      <c r="R33" s="54" t="str">
        <f>'R2'!R39</f>
        <v/>
      </c>
      <c r="S33" s="54" t="str">
        <f>'R2'!S39</f>
        <v/>
      </c>
      <c r="T33" s="54" t="str">
        <f>'R2'!T39</f>
        <v/>
      </c>
      <c r="U33" s="54" t="str">
        <f>'R2'!U39</f>
        <v/>
      </c>
      <c r="V33" s="54" t="str">
        <f>'R2'!V39</f>
        <v/>
      </c>
    </row>
    <row r="34" spans="1:22" s="1" customFormat="1" x14ac:dyDescent="0.2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0.29337863756791027</v>
      </c>
      <c r="P34" s="54" t="str">
        <f>'R2'!P40</f>
        <v/>
      </c>
      <c r="Q34" s="54" t="str">
        <f>'R2'!Q40</f>
        <v/>
      </c>
      <c r="R34" s="54" t="str">
        <f>'R2'!R40</f>
        <v/>
      </c>
      <c r="S34" s="54" t="str">
        <f>'R2'!S40</f>
        <v/>
      </c>
      <c r="T34" s="54" t="str">
        <f>'R2'!T40</f>
        <v/>
      </c>
      <c r="U34" s="54" t="str">
        <f>'R2'!U40</f>
        <v/>
      </c>
      <c r="V34" s="54" t="str">
        <f>'R2'!V40</f>
        <v/>
      </c>
    </row>
    <row r="35" spans="1:22" s="1" customFormat="1" x14ac:dyDescent="0.2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0.97896570240670455</v>
      </c>
      <c r="P35" s="54" t="str">
        <f>'R2'!P41</f>
        <v/>
      </c>
      <c r="Q35" s="54" t="str">
        <f>'R2'!Q41</f>
        <v/>
      </c>
      <c r="R35" s="54" t="str">
        <f>'R2'!R41</f>
        <v/>
      </c>
      <c r="S35" s="54" t="str">
        <f>'R2'!S41</f>
        <v/>
      </c>
      <c r="T35" s="54" t="str">
        <f>'R2'!T41</f>
        <v/>
      </c>
      <c r="U35" s="54" t="str">
        <f>'R2'!U41</f>
        <v/>
      </c>
      <c r="V35" s="54" t="str">
        <f>'R2'!V41</f>
        <v/>
      </c>
    </row>
    <row r="36" spans="1:22" x14ac:dyDescent="0.2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2.900989974064029</v>
      </c>
      <c r="P36" s="54" t="str">
        <f>'R2'!P42</f>
        <v/>
      </c>
      <c r="Q36" s="54" t="str">
        <f>'R2'!Q42</f>
        <v/>
      </c>
      <c r="R36" s="54" t="str">
        <f>'R2'!R42</f>
        <v/>
      </c>
      <c r="S36" s="54" t="str">
        <f>'R2'!S42</f>
        <v/>
      </c>
      <c r="T36" s="54" t="str">
        <f>'R2'!T42</f>
        <v/>
      </c>
      <c r="U36" s="54" t="str">
        <f>'R2'!U42</f>
        <v/>
      </c>
      <c r="V36" s="54" t="str">
        <f>'R2'!V42</f>
        <v/>
      </c>
    </row>
    <row r="37" spans="1:22" x14ac:dyDescent="0.2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0.57629937820996879</v>
      </c>
      <c r="P37" s="54" t="str">
        <f>'R2'!P43</f>
        <v/>
      </c>
      <c r="Q37" s="54" t="str">
        <f>'R2'!Q43</f>
        <v/>
      </c>
      <c r="R37" s="54" t="str">
        <f>'R2'!R43</f>
        <v/>
      </c>
      <c r="S37" s="54" t="str">
        <f>'R2'!S43</f>
        <v/>
      </c>
      <c r="T37" s="54" t="str">
        <f>'R2'!T43</f>
        <v/>
      </c>
      <c r="U37" s="54" t="str">
        <f>'R2'!U43</f>
        <v/>
      </c>
      <c r="V37" s="54" t="str">
        <f>'R2'!V43</f>
        <v/>
      </c>
    </row>
    <row r="38" spans="1:22" s="1" customFormat="1" x14ac:dyDescent="0.25">
      <c r="A38" s="153" t="s">
        <v>116</v>
      </c>
      <c r="B38" s="154">
        <f>'R3'!B28</f>
        <v>4.192545892136796E-2</v>
      </c>
      <c r="C38" s="154">
        <f>'R3'!C28</f>
        <v>0.13832883682069205</v>
      </c>
      <c r="D38" s="154">
        <f>'R3'!D28</f>
        <v>0.28514411737296746</v>
      </c>
      <c r="E38" s="154">
        <f>'R3'!E28</f>
        <v>0.24983664838660993</v>
      </c>
      <c r="F38" s="154">
        <f>'R3'!F28</f>
        <v>0.29227082708570207</v>
      </c>
      <c r="G38" s="154">
        <f>'R3'!G28</f>
        <v>1.2102908576373985</v>
      </c>
      <c r="H38" s="154">
        <f>'R3'!H28</f>
        <v>1.314383298881155</v>
      </c>
      <c r="I38" s="154">
        <f>'R3'!I28</f>
        <v>7.2080157843897694E-2</v>
      </c>
      <c r="J38" s="154">
        <f>'R3'!J28</f>
        <v>0.14395201676654856</v>
      </c>
      <c r="K38" s="154">
        <f>'R3'!K28</f>
        <v>0.25300086758549833</v>
      </c>
      <c r="L38" s="154">
        <f>'R3'!L28</f>
        <v>2.8250786199243174E-2</v>
      </c>
      <c r="M38" s="154">
        <f>'R3'!M28</f>
        <v>0.27256065302870019</v>
      </c>
      <c r="N38"/>
      <c r="O38" s="154">
        <f>'R3'!O28</f>
        <v>0.20844699344829509</v>
      </c>
      <c r="P38" s="154">
        <f>'R3'!P28</f>
        <v>1.7207671886256315</v>
      </c>
      <c r="Q38" s="154">
        <f>'R3'!Q28</f>
        <v>7.7726323727171545E-2</v>
      </c>
      <c r="R38" s="154">
        <f>'R3'!R28</f>
        <v>0.98545595992392898</v>
      </c>
      <c r="S38" s="154">
        <f>'R3'!S28</f>
        <v>1.5292398051576523</v>
      </c>
      <c r="T38" s="154">
        <f>'R3'!T28</f>
        <v>1.4248428447895067</v>
      </c>
      <c r="U38" s="154" t="str">
        <f>'R3'!U28</f>
        <v/>
      </c>
      <c r="V38" s="154">
        <f>'R3'!V28</f>
        <v>1.7485746491481751</v>
      </c>
    </row>
    <row r="39" spans="1:22" s="1" customFormat="1" x14ac:dyDescent="0.25">
      <c r="A39" s="228" t="s">
        <v>34</v>
      </c>
      <c r="B39" s="154">
        <f>'R3'!B29</f>
        <v>2.2631526335736878E-2</v>
      </c>
      <c r="C39" s="154">
        <f>'R3'!C29</f>
        <v>2.2816482948443611E-2</v>
      </c>
      <c r="D39" s="154">
        <f>'R3'!D29</f>
        <v>1.1219275686384146E-2</v>
      </c>
      <c r="E39" s="154">
        <f>'R3'!E29</f>
        <v>0.2550088406766276</v>
      </c>
      <c r="F39" s="154">
        <f>'R3'!F29</f>
        <v>0.4963007786530847</v>
      </c>
      <c r="G39" s="154">
        <f>'R3'!G29</f>
        <v>1.8845833317742098</v>
      </c>
      <c r="H39" s="154">
        <f>'R3'!H29</f>
        <v>4.1004795508013272</v>
      </c>
      <c r="I39" s="154">
        <f>'R3'!I29</f>
        <v>0.29348845811935476</v>
      </c>
      <c r="J39" s="154">
        <f>'R3'!J29</f>
        <v>1.6430134243220085E-2</v>
      </c>
      <c r="K39" s="154">
        <f>'R3'!K29</f>
        <v>2.730266082716945E-2</v>
      </c>
      <c r="L39" s="154">
        <f>'R3'!L29</f>
        <v>3.3569447020710685E-2</v>
      </c>
      <c r="M39" s="154">
        <f>'R3'!M29</f>
        <v>0.29608987822264177</v>
      </c>
      <c r="N39"/>
      <c r="O39" s="154">
        <f>'R3'!O29</f>
        <v>0.42291042237640025</v>
      </c>
      <c r="P39" s="154">
        <f>'R3'!P29</f>
        <v>0.36782328696410471</v>
      </c>
      <c r="Q39" s="154">
        <f>'R3'!Q29</f>
        <v>0.18400011261327479</v>
      </c>
      <c r="R39" s="154">
        <f>'R3'!R29</f>
        <v>0.86666018071223261</v>
      </c>
      <c r="S39" s="154">
        <f>'R3'!S29</f>
        <v>1.626880503595161</v>
      </c>
      <c r="T39" s="154">
        <f>'R3'!T29</f>
        <v>0.9441860456828578</v>
      </c>
      <c r="U39" s="154">
        <f>'R3'!U29</f>
        <v>0.73334566377418042</v>
      </c>
      <c r="V39" s="154">
        <f>'R3'!V29</f>
        <v>1.7400185348620942</v>
      </c>
    </row>
    <row r="40" spans="1:22" s="1" customFormat="1" x14ac:dyDescent="0.25">
      <c r="A40" s="229"/>
      <c r="B40" s="154">
        <f>'R3'!B30</f>
        <v>3.510344651858377E-2</v>
      </c>
      <c r="C40" s="154">
        <f>'R3'!C30</f>
        <v>0.11334241010582974</v>
      </c>
      <c r="D40" s="154">
        <f>'R3'!D30</f>
        <v>9.328940702874329E-2</v>
      </c>
      <c r="E40" s="154">
        <f>'R3'!E30</f>
        <v>0.18314856381546604</v>
      </c>
      <c r="F40" s="154">
        <f>'R3'!F30</f>
        <v>0.25482388406392087</v>
      </c>
      <c r="G40" s="154">
        <f>'R3'!G30</f>
        <v>1.7240162241517343</v>
      </c>
      <c r="H40" s="154">
        <f>'R3'!H30</f>
        <v>3.9877500990266257</v>
      </c>
      <c r="I40" s="154">
        <f>'R3'!I30</f>
        <v>3.8510354452064258E-2</v>
      </c>
      <c r="J40" s="154">
        <f>'R3'!J30</f>
        <v>7.3357748318952865E-2</v>
      </c>
      <c r="K40" s="154">
        <f>'R3'!K30</f>
        <v>0.49805448094813248</v>
      </c>
      <c r="L40" s="154">
        <f>'R3'!L30</f>
        <v>2.7599517972419368E-2</v>
      </c>
      <c r="M40" s="154">
        <f>'R3'!M30</f>
        <v>0.17044518058839367</v>
      </c>
      <c r="N40"/>
      <c r="O40" s="154">
        <f>'R3'!O30</f>
        <v>1.5991384371736419</v>
      </c>
      <c r="P40" s="154">
        <f>'R3'!P30</f>
        <v>4.0795940647814985E-2</v>
      </c>
      <c r="Q40" s="154">
        <f>'R3'!Q30</f>
        <v>2.3876508853060523E-2</v>
      </c>
      <c r="R40" s="154">
        <f>'R3'!R30</f>
        <v>1.0051276458996741</v>
      </c>
      <c r="S40" s="154">
        <f>'R3'!S30</f>
        <v>1.8378404480155206</v>
      </c>
      <c r="T40" s="154">
        <f>'R3'!T30</f>
        <v>0.15946485173981273</v>
      </c>
      <c r="U40" s="154">
        <f>'R3'!U30</f>
        <v>2.3051041075870167</v>
      </c>
      <c r="V40" s="154">
        <f>'R3'!V30</f>
        <v>1.770851764402338</v>
      </c>
    </row>
    <row r="41" spans="1:22" s="1" customFormat="1" x14ac:dyDescent="0.25">
      <c r="A41" s="229"/>
      <c r="B41" s="154">
        <f>'R3'!B31</f>
        <v>0.19294182045417005</v>
      </c>
      <c r="C41" s="154">
        <f>'R3'!C31</f>
        <v>0.17286387139849116</v>
      </c>
      <c r="D41" s="154">
        <f>'R3'!D31</f>
        <v>9.1146458374872841E-2</v>
      </c>
      <c r="E41" s="154">
        <f>'R3'!E31</f>
        <v>0.11115518233995773</v>
      </c>
      <c r="F41" s="154">
        <f>'R3'!F31</f>
        <v>1.4648025605977912</v>
      </c>
      <c r="G41" s="154">
        <f>'R3'!G31</f>
        <v>0.64702063941175958</v>
      </c>
      <c r="H41" s="154">
        <f>'R3'!H31</f>
        <v>2.6722258779959898</v>
      </c>
      <c r="I41" s="154">
        <f>'R3'!I31</f>
        <v>4.5363192956966225E-2</v>
      </c>
      <c r="J41" s="154">
        <f>'R3'!J31</f>
        <v>0.23314422499704657</v>
      </c>
      <c r="K41" s="154">
        <f>'R3'!K31</f>
        <v>8.2497776689657951E-2</v>
      </c>
      <c r="L41" s="154">
        <f>'R3'!L31</f>
        <v>0.11016268876310177</v>
      </c>
      <c r="M41" s="154">
        <f>'R3'!M31</f>
        <v>0.23960772805034525</v>
      </c>
      <c r="N41"/>
      <c r="O41" s="154">
        <f>'R3'!O31</f>
        <v>0.73082879271976564</v>
      </c>
      <c r="P41" s="154">
        <f>'R3'!P31</f>
        <v>1.0170252740182109</v>
      </c>
      <c r="Q41" s="154">
        <f>'R3'!Q31</f>
        <v>0.18461307094440307</v>
      </c>
      <c r="R41" s="154">
        <f>'R3'!R31</f>
        <v>0.56808799943408261</v>
      </c>
      <c r="S41" s="154">
        <f>'R3'!S31</f>
        <v>0.14290357292342101</v>
      </c>
      <c r="T41" s="154">
        <f>'R3'!T31</f>
        <v>1.4540303524848956</v>
      </c>
      <c r="U41" s="154">
        <f>'R3'!U31</f>
        <v>1.1725511557382788</v>
      </c>
      <c r="V41" s="154">
        <f>'R3'!V31</f>
        <v>0.98649656360235616</v>
      </c>
    </row>
    <row r="42" spans="1:22" s="1" customFormat="1" x14ac:dyDescent="0.25">
      <c r="A42" s="229"/>
      <c r="B42" s="154">
        <f>'R3'!B32</f>
        <v>2.8747923915478035E-2</v>
      </c>
      <c r="C42" s="154">
        <f>'R3'!C32</f>
        <v>0.16385088933304609</v>
      </c>
      <c r="D42" s="154">
        <f>'R3'!D32</f>
        <v>5.7172084665938601E-2</v>
      </c>
      <c r="E42" s="154">
        <f>'R3'!E32</f>
        <v>0.12323215422601805</v>
      </c>
      <c r="F42" s="154">
        <f>'R3'!F32</f>
        <v>1.0891205776348254</v>
      </c>
      <c r="G42" s="154">
        <f>'R3'!G32</f>
        <v>0.99285226439102325</v>
      </c>
      <c r="H42" s="154">
        <f>'R3'!H32</f>
        <v>2.1534863697845754</v>
      </c>
      <c r="I42" s="154">
        <f>'R3'!I32</f>
        <v>0.10265109823779826</v>
      </c>
      <c r="J42" s="154">
        <f>'R3'!J32</f>
        <v>0.10603110015151118</v>
      </c>
      <c r="K42" s="154">
        <f>'R3'!K32</f>
        <v>9.071854574923198E-2</v>
      </c>
      <c r="L42" s="154">
        <f>'R3'!L32</f>
        <v>6.4637703316407488E-2</v>
      </c>
      <c r="M42" s="154">
        <f>'R3'!M32</f>
        <v>0.14876177962473053</v>
      </c>
      <c r="N42"/>
      <c r="O42" s="154">
        <f>'R3'!O32</f>
        <v>1.1566799896010906</v>
      </c>
      <c r="P42" s="154">
        <f>'R3'!P32</f>
        <v>1.4306164133491632</v>
      </c>
      <c r="Q42" s="154">
        <f>'R3'!Q32</f>
        <v>0.16649088661037073</v>
      </c>
      <c r="R42" s="154" t="str">
        <f>'R3'!R32</f>
        <v/>
      </c>
      <c r="S42" s="154">
        <f>'R3'!S32</f>
        <v>1.7675833066500455</v>
      </c>
      <c r="T42" s="154">
        <f>'R3'!T32</f>
        <v>1.8930777938560548</v>
      </c>
      <c r="U42" s="154">
        <f>'R3'!U32</f>
        <v>1.4792092196060425</v>
      </c>
      <c r="V42" s="154">
        <f>'R3'!V32</f>
        <v>1.6936070762475617</v>
      </c>
    </row>
    <row r="43" spans="1:22" s="1" customFormat="1" x14ac:dyDescent="0.25">
      <c r="A43" s="229"/>
      <c r="B43" s="154">
        <f>'R3'!B33</f>
        <v>1.164335732245546E-2</v>
      </c>
      <c r="C43" s="154">
        <f>'R3'!C33</f>
        <v>3.5122690559212216E-2</v>
      </c>
      <c r="D43" s="154">
        <f>'R3'!D33</f>
        <v>6.4429404395160692E-2</v>
      </c>
      <c r="E43" s="154">
        <f>'R3'!E33</f>
        <v>0.35042560512262111</v>
      </c>
      <c r="F43" s="154">
        <f>'R3'!F33</f>
        <v>0.69205044718339415</v>
      </c>
      <c r="G43" s="154">
        <f>'R3'!G33</f>
        <v>0.83316753166847435</v>
      </c>
      <c r="H43" s="154">
        <f>'R3'!H33</f>
        <v>2.21958858022992</v>
      </c>
      <c r="I43" s="154">
        <f>'R3'!I33</f>
        <v>0.11319023963641593</v>
      </c>
      <c r="J43" s="154">
        <f>'R3'!J33</f>
        <v>9.9660253590127243E-2</v>
      </c>
      <c r="K43" s="154">
        <f>'R3'!K33</f>
        <v>0.12555613941024499</v>
      </c>
      <c r="L43" s="154">
        <f>'R3'!L33</f>
        <v>0.58854192002426176</v>
      </c>
      <c r="M43" s="154">
        <f>'R3'!M33</f>
        <v>6.7674698024474497E-2</v>
      </c>
      <c r="N43"/>
      <c r="O43" s="154">
        <f>'R3'!O33</f>
        <v>1.2534032105830819</v>
      </c>
      <c r="P43" s="154">
        <f>'R3'!P33</f>
        <v>1.5876223043420081</v>
      </c>
      <c r="Q43" s="154">
        <f>'R3'!Q33</f>
        <v>1.177824379241596E-2</v>
      </c>
      <c r="R43" s="154">
        <f>'R3'!R33</f>
        <v>1.4349137145328321</v>
      </c>
      <c r="S43" s="154">
        <f>'R3'!S33</f>
        <v>0.80727556593070693</v>
      </c>
      <c r="T43" s="154">
        <f>'R3'!T33</f>
        <v>1.3663177971560516</v>
      </c>
      <c r="U43" s="154">
        <f>'R3'!U33</f>
        <v>1.8811646635936783</v>
      </c>
      <c r="V43" s="154">
        <f>'R3'!V33</f>
        <v>2.0152808373723547</v>
      </c>
    </row>
    <row r="44" spans="1:22" s="1" customFormat="1" x14ac:dyDescent="0.25">
      <c r="A44" s="229"/>
      <c r="B44" s="154">
        <f>'R3'!B34</f>
        <v>0.1616615233404376</v>
      </c>
      <c r="C44" s="154">
        <f>'R3'!C34</f>
        <v>7.4138201077773191E-2</v>
      </c>
      <c r="D44" s="154">
        <f>'R3'!D34</f>
        <v>3.2879690712629993E-2</v>
      </c>
      <c r="E44" s="154" t="str">
        <f>'R3'!E34</f>
        <v/>
      </c>
      <c r="F44" s="154">
        <f>'R3'!F34</f>
        <v>0.29563122858766383</v>
      </c>
      <c r="G44" s="154">
        <f>'R3'!G34</f>
        <v>1.2944691023563792</v>
      </c>
      <c r="H44" s="154">
        <f>'R3'!H34</f>
        <v>2.7645324134681917</v>
      </c>
      <c r="I44" s="154">
        <f>'R3'!I34</f>
        <v>9.7382329373515597E-2</v>
      </c>
      <c r="J44" s="154">
        <f>'R3'!J34</f>
        <v>0.16165011946450961</v>
      </c>
      <c r="K44" s="154">
        <f>'R3'!K34</f>
        <v>0.15312857317733544</v>
      </c>
      <c r="L44" s="154">
        <f>'R3'!L34</f>
        <v>1.6557358734041478E-2</v>
      </c>
      <c r="M44" s="154">
        <f>'R3'!M34</f>
        <v>0.57546862357177586</v>
      </c>
      <c r="N44"/>
      <c r="O44" s="154">
        <f>'R3'!O34</f>
        <v>0.64245730718495864</v>
      </c>
      <c r="P44" s="154">
        <f>'R3'!P34</f>
        <v>1.7736191643560455</v>
      </c>
      <c r="Q44" s="154">
        <f>'R3'!Q34</f>
        <v>1.4360598040635931E-2</v>
      </c>
      <c r="R44" s="154">
        <f>'R3'!R34</f>
        <v>0.27198244088203993</v>
      </c>
      <c r="S44" s="154">
        <f>'R3'!S34</f>
        <v>0.82583715585908868</v>
      </c>
      <c r="T44" s="154">
        <f>'R3'!T34</f>
        <v>0.86630167136274705</v>
      </c>
      <c r="U44" s="154">
        <f>'R3'!U34</f>
        <v>1.5618613049918506</v>
      </c>
      <c r="V44" s="154">
        <f>'R3'!V34</f>
        <v>1.1022631882706859</v>
      </c>
    </row>
    <row r="45" spans="1:22" s="1" customFormat="1" x14ac:dyDescent="0.25">
      <c r="A45" s="229"/>
      <c r="B45" s="154" t="str">
        <f>'R3'!B35</f>
        <v/>
      </c>
      <c r="C45" s="154">
        <f>'R3'!C35</f>
        <v>0.15567217206595643</v>
      </c>
      <c r="D45" s="154">
        <f>'R3'!D35</f>
        <v>3.5369477561715906E-2</v>
      </c>
      <c r="E45" s="154">
        <f>'R3'!E35</f>
        <v>0.1320196424635437</v>
      </c>
      <c r="F45" s="154">
        <f>'R3'!F35</f>
        <v>0.59991514803567347</v>
      </c>
      <c r="G45" s="154">
        <f>'R3'!G35</f>
        <v>2.4557430721008275</v>
      </c>
      <c r="H45" s="154">
        <f>'R3'!H35</f>
        <v>2.5514643556712095</v>
      </c>
      <c r="I45" s="154">
        <f>'R3'!I35</f>
        <v>0.17954885910457835</v>
      </c>
      <c r="J45" s="154">
        <f>'R3'!J35</f>
        <v>9.4091063869367178E-2</v>
      </c>
      <c r="K45" s="154">
        <f>'R3'!K35</f>
        <v>1.5185151725896438E-2</v>
      </c>
      <c r="L45" s="154">
        <f>'R3'!L35</f>
        <v>0.41107052637974872</v>
      </c>
      <c r="M45" s="154">
        <f>'R3'!M35</f>
        <v>9.9051571712471947E-3</v>
      </c>
      <c r="N45"/>
      <c r="O45" s="154">
        <f>'R3'!O35</f>
        <v>1.9568158382730825</v>
      </c>
      <c r="P45" s="154">
        <f>'R3'!P35</f>
        <v>1.3363712189692072</v>
      </c>
      <c r="Q45" s="154">
        <f>'R3'!Q35</f>
        <v>2.0180049382346479E-2</v>
      </c>
      <c r="R45" s="154">
        <f>'R3'!R35</f>
        <v>1.6302797495495023</v>
      </c>
      <c r="S45" s="154">
        <f>'R3'!S35</f>
        <v>0.34938705057814978</v>
      </c>
      <c r="T45" s="154">
        <f>'R3'!T35</f>
        <v>1.1273151872721341</v>
      </c>
      <c r="U45" s="154">
        <f>'R3'!U35</f>
        <v>1.1179282828061445</v>
      </c>
      <c r="V45" s="154">
        <f>'R3'!V35</f>
        <v>1.8614354236816095</v>
      </c>
    </row>
    <row r="46" spans="1:22" s="1" customFormat="1" x14ac:dyDescent="0.25">
      <c r="A46" s="229"/>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1.4600811777780509</v>
      </c>
      <c r="P46" s="154" t="str">
        <f>'R3'!P36</f>
        <v/>
      </c>
      <c r="Q46" s="154" t="str">
        <f>'R3'!Q36</f>
        <v/>
      </c>
      <c r="R46" s="154" t="str">
        <f>'R3'!R36</f>
        <v/>
      </c>
      <c r="S46" s="154" t="str">
        <f>'R3'!S36</f>
        <v/>
      </c>
      <c r="T46" s="154" t="str">
        <f>'R3'!T36</f>
        <v/>
      </c>
      <c r="U46" s="154" t="str">
        <f>'R3'!U36</f>
        <v/>
      </c>
      <c r="V46" s="154" t="str">
        <f>'R3'!V36</f>
        <v/>
      </c>
    </row>
    <row r="47" spans="1:22" s="1" customFormat="1" x14ac:dyDescent="0.25">
      <c r="A47" s="229"/>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1.1308610799434866</v>
      </c>
      <c r="P47" s="154" t="str">
        <f>'R3'!P37</f>
        <v/>
      </c>
      <c r="Q47" s="154" t="str">
        <f>'R3'!Q37</f>
        <v/>
      </c>
      <c r="R47" s="154" t="str">
        <f>'R3'!R37</f>
        <v/>
      </c>
      <c r="S47" s="154" t="str">
        <f>'R3'!S37</f>
        <v/>
      </c>
      <c r="T47" s="154" t="str">
        <f>'R3'!T37</f>
        <v/>
      </c>
      <c r="U47" s="154" t="str">
        <f>'R3'!U37</f>
        <v/>
      </c>
      <c r="V47" s="154" t="str">
        <f>'R3'!V37</f>
        <v/>
      </c>
    </row>
    <row r="48" spans="1:22" s="1" customFormat="1" x14ac:dyDescent="0.25">
      <c r="A48" s="229"/>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1.9404257957811717</v>
      </c>
      <c r="P48" s="154" t="str">
        <f>'R3'!P38</f>
        <v/>
      </c>
      <c r="Q48" s="154" t="str">
        <f>'R3'!Q38</f>
        <v/>
      </c>
      <c r="R48" s="154" t="str">
        <f>'R3'!R38</f>
        <v/>
      </c>
      <c r="S48" s="154" t="str">
        <f>'R3'!S38</f>
        <v/>
      </c>
      <c r="T48" s="154" t="str">
        <f>'R3'!T38</f>
        <v/>
      </c>
      <c r="U48" s="154" t="str">
        <f>'R3'!U38</f>
        <v/>
      </c>
      <c r="V48" s="154" t="str">
        <f>'R3'!V38</f>
        <v/>
      </c>
    </row>
    <row r="49" spans="1:24" s="1" customFormat="1" x14ac:dyDescent="0.25">
      <c r="A49" s="229"/>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1.1857092685179791</v>
      </c>
      <c r="P49" s="154" t="str">
        <f>'R3'!P39</f>
        <v/>
      </c>
      <c r="Q49" s="154" t="str">
        <f>'R3'!Q39</f>
        <v/>
      </c>
      <c r="R49" s="154" t="str">
        <f>'R3'!R39</f>
        <v/>
      </c>
      <c r="S49" s="154" t="str">
        <f>'R3'!S39</f>
        <v/>
      </c>
      <c r="T49" s="154" t="str">
        <f>'R3'!T39</f>
        <v/>
      </c>
      <c r="U49" s="154" t="str">
        <f>'R3'!U39</f>
        <v/>
      </c>
      <c r="V49" s="154" t="str">
        <f>'R3'!V39</f>
        <v/>
      </c>
    </row>
    <row r="50" spans="1:24" s="1" customFormat="1" x14ac:dyDescent="0.25">
      <c r="A50" s="229"/>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0.40333887668614765</v>
      </c>
      <c r="P50" s="154" t="str">
        <f>'R3'!P40</f>
        <v/>
      </c>
      <c r="Q50" s="154" t="str">
        <f>'R3'!Q40</f>
        <v/>
      </c>
      <c r="R50" s="154" t="str">
        <f>'R3'!R40</f>
        <v/>
      </c>
      <c r="S50" s="154" t="str">
        <f>'R3'!S40</f>
        <v/>
      </c>
      <c r="T50" s="154" t="str">
        <f>'R3'!T40</f>
        <v/>
      </c>
      <c r="U50" s="154" t="str">
        <f>'R3'!U40</f>
        <v/>
      </c>
      <c r="V50" s="154" t="str">
        <f>'R3'!V40</f>
        <v/>
      </c>
    </row>
    <row r="51" spans="1:24" s="1" customFormat="1" x14ac:dyDescent="0.25">
      <c r="A51" s="229"/>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9.6966087902144768E-2</v>
      </c>
      <c r="P51" s="154" t="str">
        <f>'R3'!P41</f>
        <v/>
      </c>
      <c r="Q51" s="154" t="str">
        <f>'R3'!Q41</f>
        <v/>
      </c>
      <c r="R51" s="154" t="str">
        <f>'R3'!R41</f>
        <v/>
      </c>
      <c r="S51" s="154" t="str">
        <f>'R3'!S41</f>
        <v/>
      </c>
      <c r="T51" s="154" t="str">
        <f>'R3'!T41</f>
        <v/>
      </c>
      <c r="U51" s="154" t="str">
        <f>'R3'!U41</f>
        <v/>
      </c>
      <c r="V51" s="154" t="str">
        <f>'R3'!V41</f>
        <v/>
      </c>
    </row>
    <row r="52" spans="1:24" s="1" customFormat="1" x14ac:dyDescent="0.25">
      <c r="A52" s="229"/>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1.4400666627822214</v>
      </c>
      <c r="P52" s="154" t="str">
        <f>'R3'!P42</f>
        <v/>
      </c>
      <c r="Q52" s="154" t="str">
        <f>'R3'!Q42</f>
        <v/>
      </c>
      <c r="R52" s="154" t="str">
        <f>'R3'!R42</f>
        <v/>
      </c>
      <c r="S52" s="154" t="str">
        <f>'R3'!S42</f>
        <v/>
      </c>
      <c r="T52" s="154" t="str">
        <f>'R3'!T42</f>
        <v/>
      </c>
      <c r="U52" s="154" t="str">
        <f>'R3'!U42</f>
        <v/>
      </c>
      <c r="V52" s="154" t="str">
        <f>'R3'!V42</f>
        <v/>
      </c>
    </row>
    <row r="53" spans="1:24" s="1" customFormat="1" x14ac:dyDescent="0.25">
      <c r="A53" s="230"/>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0.37187005924848099</v>
      </c>
      <c r="P53" s="154" t="str">
        <f>'R3'!P43</f>
        <v/>
      </c>
      <c r="Q53" s="154" t="str">
        <f>'R3'!Q43</f>
        <v/>
      </c>
      <c r="R53" s="154" t="str">
        <f>'R3'!R43</f>
        <v/>
      </c>
      <c r="S53" s="154" t="str">
        <f>'R3'!S43</f>
        <v/>
      </c>
      <c r="T53" s="154" t="str">
        <f>'R3'!T43</f>
        <v/>
      </c>
      <c r="U53" s="154" t="str">
        <f>'R3'!U43</f>
        <v/>
      </c>
      <c r="V53" s="154"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Atrazine-0,625mg/L</v>
      </c>
      <c r="J55" s="15" t="str">
        <f t="shared" si="0"/>
        <v>Atrazine-1,25mg/L</v>
      </c>
      <c r="K55" s="15" t="str">
        <f t="shared" si="0"/>
        <v>Atrazine-2,5mg/L</v>
      </c>
      <c r="L55" s="15" t="str">
        <f t="shared" si="0"/>
        <v>Atrazine-5mg/L</v>
      </c>
      <c r="M55" s="15" t="str">
        <f t="shared" si="0"/>
        <v>Atrazine-10mg/L</v>
      </c>
      <c r="O55" s="15" t="str">
        <f t="shared" ref="O55:V55" si="1">O4</f>
        <v>Testo -30µg/L</v>
      </c>
      <c r="P55" s="15" t="str">
        <f t="shared" si="1"/>
        <v>Testo 30µg/L + EE2 -64ng/L</v>
      </c>
      <c r="Q55" s="15" t="str">
        <f t="shared" si="1"/>
        <v>Testo 30µg/L + FAD-10µg/L</v>
      </c>
      <c r="R55" s="15" t="str">
        <f t="shared" si="1"/>
        <v>Atrazine-0,625mg/L + Testostérone</v>
      </c>
      <c r="S55" s="15" t="str">
        <f t="shared" si="1"/>
        <v>Atrazine-1,25mg/L + Testostérone</v>
      </c>
      <c r="T55" s="15" t="str">
        <f t="shared" si="1"/>
        <v>Atrazine-2,5mg/L + Testostérone</v>
      </c>
      <c r="U55" s="15" t="str">
        <f t="shared" si="1"/>
        <v>Atrazine-5mg/L + Testostérone</v>
      </c>
      <c r="V55" s="15" t="str">
        <f t="shared" si="1"/>
        <v>Atrazine-10mg/L + Testostérone</v>
      </c>
    </row>
    <row r="56" spans="1:24" x14ac:dyDescent="0.25">
      <c r="A56" t="s">
        <v>48</v>
      </c>
      <c r="B56" s="9">
        <f t="shared" ref="B56:V56" si="2">AVERAGE(B6:B53)</f>
        <v>0.12541377512128657</v>
      </c>
      <c r="C56" s="9">
        <f t="shared" si="2"/>
        <v>0.11337326476678278</v>
      </c>
      <c r="D56" s="9">
        <f t="shared" si="2"/>
        <v>0.10156592961737498</v>
      </c>
      <c r="E56" s="9">
        <f t="shared" si="2"/>
        <v>0.34024569146630979</v>
      </c>
      <c r="F56" s="9">
        <f t="shared" si="2"/>
        <v>0.76687928481418732</v>
      </c>
      <c r="G56" s="9">
        <f t="shared" si="2"/>
        <v>1.4791973721112959</v>
      </c>
      <c r="H56" s="9">
        <f t="shared" si="2"/>
        <v>3.4745782750058503</v>
      </c>
      <c r="I56" s="9">
        <f t="shared" si="2"/>
        <v>0.21961111608403805</v>
      </c>
      <c r="J56" s="9">
        <f t="shared" si="2"/>
        <v>0.1516990157090477</v>
      </c>
      <c r="K56" s="9">
        <f t="shared" si="2"/>
        <v>0.27080921501533078</v>
      </c>
      <c r="L56" s="9">
        <f t="shared" si="2"/>
        <v>0.18657456706201964</v>
      </c>
      <c r="M56" s="9">
        <f t="shared" si="2"/>
        <v>0.21445982230880334</v>
      </c>
      <c r="N56" s="9"/>
      <c r="O56" s="9">
        <f t="shared" si="2"/>
        <v>0.99999999999999989</v>
      </c>
      <c r="P56" s="9">
        <f t="shared" si="2"/>
        <v>1.7211786111100984</v>
      </c>
      <c r="Q56" s="9">
        <f t="shared" si="2"/>
        <v>9.4326874221593415E-2</v>
      </c>
      <c r="R56" s="9">
        <f t="shared" si="2"/>
        <v>1.6959536806020916</v>
      </c>
      <c r="S56" s="9">
        <f t="shared" si="2"/>
        <v>1.514458139731758</v>
      </c>
      <c r="T56" s="9">
        <f t="shared" si="2"/>
        <v>1.823292905685125</v>
      </c>
      <c r="U56" s="9">
        <f t="shared" si="2"/>
        <v>1.7512702882068869</v>
      </c>
      <c r="V56" s="9">
        <f t="shared" si="2"/>
        <v>2.003630001183407</v>
      </c>
    </row>
    <row r="57" spans="1:24" x14ac:dyDescent="0.25">
      <c r="A57" t="s">
        <v>1</v>
      </c>
      <c r="B57" s="3">
        <f>STDEV(B6:B53)</f>
        <v>0.1258817788839228</v>
      </c>
      <c r="C57" s="3">
        <f t="shared" ref="C57:V57" si="3">STDEV(C6:C53)</f>
        <v>0.10531341736429635</v>
      </c>
      <c r="D57" s="3">
        <f t="shared" si="3"/>
        <v>9.1422503811856445E-2</v>
      </c>
      <c r="E57" s="3">
        <f t="shared" si="3"/>
        <v>0.47946589252833882</v>
      </c>
      <c r="F57" s="3">
        <f t="shared" si="3"/>
        <v>0.58120041306498882</v>
      </c>
      <c r="G57" s="3">
        <f t="shared" si="3"/>
        <v>0.78950568728551518</v>
      </c>
      <c r="H57" s="3">
        <f t="shared" si="3"/>
        <v>1.150068337741518</v>
      </c>
      <c r="I57" s="3">
        <f t="shared" si="3"/>
        <v>0.16975665976226872</v>
      </c>
      <c r="J57" s="3">
        <f t="shared" si="3"/>
        <v>0.11547391836795029</v>
      </c>
      <c r="K57" s="3">
        <f t="shared" si="3"/>
        <v>0.29765481977873576</v>
      </c>
      <c r="L57" s="3">
        <f t="shared" si="3"/>
        <v>0.19827620138251859</v>
      </c>
      <c r="M57" s="3">
        <f t="shared" si="3"/>
        <v>0.21281539475673089</v>
      </c>
      <c r="N57" s="3"/>
      <c r="O57" s="3">
        <f t="shared" si="3"/>
        <v>0.66903430084505466</v>
      </c>
      <c r="P57" s="3">
        <f t="shared" si="3"/>
        <v>1.0612005528352044</v>
      </c>
      <c r="Q57" s="3">
        <f t="shared" si="3"/>
        <v>6.7763021836493312E-2</v>
      </c>
      <c r="R57" s="3">
        <f t="shared" si="3"/>
        <v>1.0359864853241407</v>
      </c>
      <c r="S57" s="3">
        <f t="shared" si="3"/>
        <v>1.2947717478795167</v>
      </c>
      <c r="T57" s="3">
        <f t="shared" si="3"/>
        <v>1.3197510352383195</v>
      </c>
      <c r="U57" s="3">
        <f t="shared" si="3"/>
        <v>0.91233330246976707</v>
      </c>
      <c r="V57" s="3">
        <f t="shared" si="3"/>
        <v>1.0678569192267637</v>
      </c>
      <c r="W57" s="3"/>
      <c r="X57" s="3"/>
    </row>
    <row r="58" spans="1:24" x14ac:dyDescent="0.25">
      <c r="A58" t="s">
        <v>2</v>
      </c>
      <c r="B58" s="3">
        <f xml:space="preserve"> B57/SQRT(COUNT(B6:B53))</f>
        <v>2.624816536444341E-2</v>
      </c>
      <c r="C58" s="3">
        <f t="shared" ref="C58:V58" si="4" xml:space="preserve"> C57/SQRT(COUNT(C6:C53))</f>
        <v>2.1497011300940647E-2</v>
      </c>
      <c r="D58" s="3">
        <f t="shared" si="4"/>
        <v>1.8661540445558199E-2</v>
      </c>
      <c r="E58" s="3">
        <f t="shared" si="4"/>
        <v>9.9975549640898956E-2</v>
      </c>
      <c r="F58" s="3">
        <f t="shared" si="4"/>
        <v>0.11863703752533637</v>
      </c>
      <c r="G58" s="3">
        <f t="shared" si="4"/>
        <v>0.16115717357290441</v>
      </c>
      <c r="H58" s="3">
        <f t="shared" si="4"/>
        <v>0.2347567163997957</v>
      </c>
      <c r="I58" s="3">
        <f t="shared" si="4"/>
        <v>3.4651433071400929E-2</v>
      </c>
      <c r="J58" s="3">
        <f t="shared" si="4"/>
        <v>2.4077976427367639E-2</v>
      </c>
      <c r="K58" s="3">
        <f t="shared" si="4"/>
        <v>6.2065320337427281E-2</v>
      </c>
      <c r="L58" s="3">
        <f t="shared" si="4"/>
        <v>4.2272628171022238E-2</v>
      </c>
      <c r="M58" s="3">
        <f t="shared" si="4"/>
        <v>4.3440760546913773E-2</v>
      </c>
      <c r="N58" s="3"/>
      <c r="O58" s="3">
        <f t="shared" si="4"/>
        <v>9.6566783422496347E-2</v>
      </c>
      <c r="P58" s="3">
        <f t="shared" si="4"/>
        <v>0.22127561147147648</v>
      </c>
      <c r="Q58" s="3">
        <f t="shared" si="4"/>
        <v>1.3832068910706909E-2</v>
      </c>
      <c r="R58" s="3">
        <f t="shared" si="4"/>
        <v>0.22087306080583788</v>
      </c>
      <c r="S58" s="3">
        <f t="shared" si="4"/>
        <v>0.26429417630636026</v>
      </c>
      <c r="T58" s="3">
        <f t="shared" si="4"/>
        <v>0.27518711381393607</v>
      </c>
      <c r="U58" s="3">
        <f t="shared" si="4"/>
        <v>0.19023464398923945</v>
      </c>
      <c r="V58" s="3">
        <f t="shared" si="4"/>
        <v>0.21797538086716689</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Atrazine-0,625mg/L</v>
      </c>
      <c r="J62" s="3" t="str">
        <f t="shared" si="6"/>
        <v>Atrazine-1,25mg/L</v>
      </c>
      <c r="K62" s="3" t="str">
        <f t="shared" si="6"/>
        <v>Atrazine-2,5mg/L</v>
      </c>
      <c r="L62" s="3" t="str">
        <f t="shared" si="6"/>
        <v>Atrazine-5mg/L</v>
      </c>
      <c r="M62" s="3" t="str">
        <f t="shared" si="6"/>
        <v>Atrazine-10mg/L</v>
      </c>
      <c r="N62" s="3"/>
      <c r="O62" s="3" t="str">
        <f t="shared" si="6"/>
        <v>Testo -30µg/L</v>
      </c>
      <c r="P62" s="3" t="str">
        <f t="shared" si="6"/>
        <v>Testo 30µg/L + EE2 -64ng/L</v>
      </c>
      <c r="Q62" s="3" t="str">
        <f t="shared" si="6"/>
        <v>Testo 30µg/L + FAD-10µg/L</v>
      </c>
      <c r="R62" s="3" t="str">
        <f t="shared" si="6"/>
        <v>Atrazine-0,625mg/L + Testostérone</v>
      </c>
      <c r="S62" s="3" t="str">
        <f t="shared" si="6"/>
        <v>Atrazine-1,25mg/L + Testostérone</v>
      </c>
      <c r="T62" s="3" t="str">
        <f t="shared" si="6"/>
        <v>Atrazine-2,5mg/L + Testostérone</v>
      </c>
      <c r="U62" s="3" t="str">
        <f t="shared" si="6"/>
        <v>Atrazine-5mg/L + Testostérone</v>
      </c>
      <c r="V62" s="3" t="str">
        <f t="shared" si="6"/>
        <v>Atrazine-10mg/L + Testostérone</v>
      </c>
    </row>
    <row r="63" spans="1:24" s="1" customFormat="1" x14ac:dyDescent="0.25">
      <c r="A63" s="1" t="s">
        <v>49</v>
      </c>
      <c r="B63" s="3">
        <f>COUNT(B6:B53)</f>
        <v>23</v>
      </c>
      <c r="C63" s="3">
        <f t="shared" ref="C63:V63" si="7">COUNT(C6:C53)</f>
        <v>24</v>
      </c>
      <c r="D63" s="3">
        <f t="shared" si="7"/>
        <v>24</v>
      </c>
      <c r="E63" s="3">
        <f t="shared" si="7"/>
        <v>23</v>
      </c>
      <c r="F63" s="3">
        <f t="shared" si="7"/>
        <v>24</v>
      </c>
      <c r="G63" s="3">
        <f t="shared" si="7"/>
        <v>24</v>
      </c>
      <c r="H63" s="3">
        <f t="shared" si="7"/>
        <v>24</v>
      </c>
      <c r="I63" s="3">
        <f t="shared" si="7"/>
        <v>24</v>
      </c>
      <c r="J63" s="3">
        <f t="shared" si="7"/>
        <v>23</v>
      </c>
      <c r="K63" s="3">
        <f t="shared" si="7"/>
        <v>23</v>
      </c>
      <c r="L63" s="3">
        <f t="shared" si="7"/>
        <v>22</v>
      </c>
      <c r="M63" s="3">
        <f t="shared" si="7"/>
        <v>24</v>
      </c>
      <c r="N63" s="3"/>
      <c r="O63" s="3">
        <f t="shared" si="7"/>
        <v>48</v>
      </c>
      <c r="P63" s="3">
        <f t="shared" si="7"/>
        <v>23</v>
      </c>
      <c r="Q63" s="3">
        <f t="shared" si="7"/>
        <v>24</v>
      </c>
      <c r="R63" s="3">
        <f t="shared" si="7"/>
        <v>22</v>
      </c>
      <c r="S63" s="3">
        <f t="shared" si="7"/>
        <v>24</v>
      </c>
      <c r="T63" s="3">
        <f t="shared" si="7"/>
        <v>23</v>
      </c>
      <c r="U63" s="3">
        <f t="shared" si="7"/>
        <v>23</v>
      </c>
      <c r="V63" s="3">
        <f t="shared" si="7"/>
        <v>24</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75" thickBot="1" x14ac:dyDescent="0.3"/>
    <row r="72" spans="1:22" s="48" customFormat="1" ht="27" thickBot="1" x14ac:dyDescent="0.3">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Atrazine-0,625mg/L</v>
      </c>
      <c r="J74" s="46" t="str">
        <f t="shared" si="9"/>
        <v>Atrazine-1,25mg/L</v>
      </c>
      <c r="K74" s="46" t="str">
        <f t="shared" si="9"/>
        <v>Atrazine-2,5mg/L</v>
      </c>
      <c r="L74" s="46" t="str">
        <f t="shared" si="9"/>
        <v>Atrazine-5mg/L</v>
      </c>
      <c r="M74" s="46" t="str">
        <f t="shared" si="9"/>
        <v>Atrazine-10mg/L</v>
      </c>
      <c r="N74" s="46"/>
      <c r="O74" s="46" t="str">
        <f t="shared" ref="O74:V74" si="10">O4</f>
        <v>Testo -30µg/L</v>
      </c>
      <c r="P74" s="46" t="str">
        <f t="shared" si="10"/>
        <v>Testo 30µg/L + EE2 -64ng/L</v>
      </c>
      <c r="Q74" s="46" t="str">
        <f t="shared" si="10"/>
        <v>Testo 30µg/L + FAD-10µg/L</v>
      </c>
      <c r="R74" s="46" t="str">
        <f t="shared" si="10"/>
        <v>Atrazine-0,625mg/L + Testostérone</v>
      </c>
      <c r="S74" s="46" t="str">
        <f t="shared" si="10"/>
        <v>Atrazine-1,25mg/L + Testostérone</v>
      </c>
      <c r="T74" s="46" t="str">
        <f t="shared" si="10"/>
        <v>Atrazine-2,5mg/L + Testostérone</v>
      </c>
      <c r="U74" s="46" t="str">
        <f t="shared" si="10"/>
        <v>Atrazine-5mg/L + Testostérone</v>
      </c>
      <c r="V74" s="46" t="str">
        <f t="shared" si="10"/>
        <v>Atrazine-10mg/L + Testostérone</v>
      </c>
    </row>
    <row r="75" spans="1:22" s="3" customFormat="1" x14ac:dyDescent="0.25">
      <c r="A75" s="61" t="s">
        <v>32</v>
      </c>
      <c r="B75" s="141">
        <f>B56</f>
        <v>0.12541377512128657</v>
      </c>
      <c r="C75" s="141">
        <f t="shared" ref="C75:V75" si="11">C56</f>
        <v>0.11337326476678278</v>
      </c>
      <c r="D75" s="141">
        <f t="shared" si="11"/>
        <v>0.10156592961737498</v>
      </c>
      <c r="E75" s="141">
        <f t="shared" si="11"/>
        <v>0.34024569146630979</v>
      </c>
      <c r="F75" s="141">
        <f t="shared" si="11"/>
        <v>0.76687928481418732</v>
      </c>
      <c r="G75" s="141">
        <f t="shared" si="11"/>
        <v>1.4791973721112959</v>
      </c>
      <c r="H75" s="141">
        <f t="shared" si="11"/>
        <v>3.4745782750058503</v>
      </c>
      <c r="I75" s="141">
        <f t="shared" si="11"/>
        <v>0.21961111608403805</v>
      </c>
      <c r="J75" s="141">
        <f t="shared" si="11"/>
        <v>0.1516990157090477</v>
      </c>
      <c r="K75" s="141">
        <f t="shared" si="11"/>
        <v>0.27080921501533078</v>
      </c>
      <c r="L75" s="141">
        <f t="shared" si="11"/>
        <v>0.18657456706201964</v>
      </c>
      <c r="M75" s="141">
        <f t="shared" si="11"/>
        <v>0.21445982230880334</v>
      </c>
      <c r="N75" s="141"/>
      <c r="O75" s="141">
        <f t="shared" si="11"/>
        <v>0.99999999999999989</v>
      </c>
      <c r="P75" s="141">
        <f t="shared" si="11"/>
        <v>1.7211786111100984</v>
      </c>
      <c r="Q75" s="141">
        <f t="shared" si="11"/>
        <v>9.4326874221593415E-2</v>
      </c>
      <c r="R75" s="141">
        <f t="shared" si="11"/>
        <v>1.6959536806020916</v>
      </c>
      <c r="S75" s="141">
        <f t="shared" si="11"/>
        <v>1.514458139731758</v>
      </c>
      <c r="T75" s="141">
        <f t="shared" si="11"/>
        <v>1.823292905685125</v>
      </c>
      <c r="U75" s="141">
        <f t="shared" si="11"/>
        <v>1.7512702882068869</v>
      </c>
      <c r="V75" s="141">
        <f t="shared" si="11"/>
        <v>2.003630001183407</v>
      </c>
    </row>
    <row r="76" spans="1:22" s="3" customFormat="1" x14ac:dyDescent="0.25">
      <c r="A76" s="61" t="s">
        <v>2</v>
      </c>
      <c r="B76" s="141">
        <f>B58</f>
        <v>2.624816536444341E-2</v>
      </c>
      <c r="C76" s="141">
        <f t="shared" ref="C76:V76" si="12">C58</f>
        <v>2.1497011300940647E-2</v>
      </c>
      <c r="D76" s="141">
        <f t="shared" si="12"/>
        <v>1.8661540445558199E-2</v>
      </c>
      <c r="E76" s="141">
        <f t="shared" si="12"/>
        <v>9.9975549640898956E-2</v>
      </c>
      <c r="F76" s="141">
        <f t="shared" si="12"/>
        <v>0.11863703752533637</v>
      </c>
      <c r="G76" s="141">
        <f t="shared" si="12"/>
        <v>0.16115717357290441</v>
      </c>
      <c r="H76" s="141">
        <f t="shared" si="12"/>
        <v>0.2347567163997957</v>
      </c>
      <c r="I76" s="141">
        <f t="shared" si="12"/>
        <v>3.4651433071400929E-2</v>
      </c>
      <c r="J76" s="141">
        <f t="shared" si="12"/>
        <v>2.4077976427367639E-2</v>
      </c>
      <c r="K76" s="141">
        <f t="shared" si="12"/>
        <v>6.2065320337427281E-2</v>
      </c>
      <c r="L76" s="141">
        <f t="shared" si="12"/>
        <v>4.2272628171022238E-2</v>
      </c>
      <c r="M76" s="141">
        <f t="shared" si="12"/>
        <v>4.3440760546913773E-2</v>
      </c>
      <c r="N76" s="141"/>
      <c r="O76" s="141">
        <f t="shared" si="12"/>
        <v>9.6566783422496347E-2</v>
      </c>
      <c r="P76" s="141">
        <f t="shared" si="12"/>
        <v>0.22127561147147648</v>
      </c>
      <c r="Q76" s="141">
        <f t="shared" si="12"/>
        <v>1.3832068910706909E-2</v>
      </c>
      <c r="R76" s="141">
        <f t="shared" si="12"/>
        <v>0.22087306080583788</v>
      </c>
      <c r="S76" s="141">
        <f t="shared" si="12"/>
        <v>0.26429417630636026</v>
      </c>
      <c r="T76" s="141">
        <f t="shared" si="12"/>
        <v>0.27518711381393607</v>
      </c>
      <c r="U76" s="141">
        <f t="shared" si="12"/>
        <v>0.19023464398923945</v>
      </c>
      <c r="V76" s="141">
        <f t="shared" si="12"/>
        <v>0.21797538086716689</v>
      </c>
    </row>
    <row r="77" spans="1:22" s="3" customFormat="1" x14ac:dyDescent="0.25">
      <c r="A77" s="61" t="s">
        <v>79</v>
      </c>
      <c r="B77" s="141">
        <f>(B75*100/$B$75)-100</f>
        <v>0</v>
      </c>
      <c r="C77" s="141">
        <f t="shared" ref="C77:M77" si="13">(C75*100/$B$75)-100</f>
        <v>-9.6006282745731255</v>
      </c>
      <c r="D77" s="141">
        <f t="shared" si="13"/>
        <v>-19.015331833244431</v>
      </c>
      <c r="E77" s="141">
        <f t="shared" si="13"/>
        <v>171.29850061307951</v>
      </c>
      <c r="F77" s="141">
        <f t="shared" si="13"/>
        <v>511.47930845120095</v>
      </c>
      <c r="G77" s="141">
        <f t="shared" si="13"/>
        <v>1079.4536690094665</v>
      </c>
      <c r="H77" s="141">
        <f t="shared" si="13"/>
        <v>2670.4917355733978</v>
      </c>
      <c r="I77" s="141">
        <f t="shared" si="13"/>
        <v>75.109246070979083</v>
      </c>
      <c r="J77" s="141">
        <f t="shared" si="13"/>
        <v>20.958814581843896</v>
      </c>
      <c r="K77" s="141">
        <f t="shared" si="13"/>
        <v>115.93259173757713</v>
      </c>
      <c r="L77" s="141">
        <f t="shared" si="13"/>
        <v>48.76720430557566</v>
      </c>
      <c r="M77" s="141">
        <f t="shared" si="13"/>
        <v>71.001807497941201</v>
      </c>
      <c r="N77" s="141"/>
      <c r="O77" s="141">
        <f>(O75*100/$O$75)-100</f>
        <v>0</v>
      </c>
      <c r="P77" s="141">
        <f t="shared" ref="P77:V77" si="14">(P75*100/$O$75)-100</f>
        <v>72.117861111009859</v>
      </c>
      <c r="Q77" s="141">
        <f t="shared" si="14"/>
        <v>-90.567312577840653</v>
      </c>
      <c r="R77" s="141">
        <f t="shared" si="14"/>
        <v>69.595368060209182</v>
      </c>
      <c r="S77" s="141">
        <f t="shared" si="14"/>
        <v>51.445813973175831</v>
      </c>
      <c r="T77" s="141">
        <f t="shared" si="14"/>
        <v>82.329290568512533</v>
      </c>
      <c r="U77" s="141">
        <f t="shared" si="14"/>
        <v>75.127028820688707</v>
      </c>
      <c r="V77" s="141">
        <f t="shared" si="14"/>
        <v>100.36300011834072</v>
      </c>
    </row>
    <row r="78" spans="1:22" s="3" customFormat="1" x14ac:dyDescent="0.25">
      <c r="A78" s="61" t="s">
        <v>81</v>
      </c>
      <c r="B78" s="141">
        <f>[1]!DPTEST(B6:B53)</f>
        <v>0.13019758213812971</v>
      </c>
      <c r="C78" s="141">
        <f>[1]!DPTEST(C6:C53)</f>
        <v>4.0922495360140587E-6</v>
      </c>
      <c r="D78" s="141">
        <f>[1]!DPTEST(D6:D53)</f>
        <v>2.5543019954855528E-2</v>
      </c>
      <c r="E78" s="141">
        <f>[1]!DPTEST(E6:E53)</f>
        <v>5.7571593048422187E-9</v>
      </c>
      <c r="F78" s="141">
        <f>[1]!DPTEST(F6:F53)</f>
        <v>2.1781987008873127E-3</v>
      </c>
      <c r="G78" s="141">
        <f>[1]!DPTEST(G6:G53)</f>
        <v>0.2088887514774812</v>
      </c>
      <c r="H78" s="141">
        <f>[1]!DPTEST(H6:H53)</f>
        <v>0.44248538857999875</v>
      </c>
      <c r="I78" s="141">
        <f>[1]!DPTEST(I6:I53)</f>
        <v>0.12092253372701345</v>
      </c>
      <c r="J78" s="141">
        <f>[1]!DPTEST(J6:J53)</f>
        <v>0.31154762033847394</v>
      </c>
      <c r="K78" s="141">
        <f>[1]!DPTEST(K6:K53)</f>
        <v>1.0008636042658781E-3</v>
      </c>
      <c r="L78" s="141">
        <f>[1]!DPTEST(L6:L53)</f>
        <v>9.1929192136191329E-2</v>
      </c>
      <c r="M78" s="141">
        <f>[1]!DPTEST(M6:M53)</f>
        <v>0.12401086496666924</v>
      </c>
      <c r="N78" s="141"/>
      <c r="O78" s="141">
        <f>[1]!DPTEST(O6:O53)</f>
        <v>0.35873961295197043</v>
      </c>
      <c r="P78" s="141">
        <f>[1]!DPTEST(P6:P53)</f>
        <v>0.34052850112333377</v>
      </c>
      <c r="Q78" s="141">
        <f>[1]!DPTEST(Q6:Q53)</f>
        <v>0.34016101437600155</v>
      </c>
      <c r="R78" s="141">
        <f>[1]!DPTEST(R6:R53)</f>
        <v>4.3217313980015937E-2</v>
      </c>
      <c r="S78" s="141">
        <f>[1]!DPTEST(S6:S53)</f>
        <v>1.6398184468379262E-2</v>
      </c>
      <c r="T78" s="141">
        <f>[1]!DPTEST(T6:T53)</f>
        <v>0.15723520976797023</v>
      </c>
      <c r="U78" s="141">
        <f>[1]!DPTEST(U6:U53)</f>
        <v>0.42118242397190042</v>
      </c>
      <c r="V78" s="141">
        <f>[1]!DPTEST(V6:V53)</f>
        <v>4.1445081775109971E-3</v>
      </c>
    </row>
    <row r="79" spans="1:22" s="3" customFormat="1" x14ac:dyDescent="0.25">
      <c r="A79" s="61" t="s">
        <v>85</v>
      </c>
      <c r="B79" s="141" t="str">
        <f>IF(B78&gt;0.05,"Oui","Non")</f>
        <v>Oui</v>
      </c>
      <c r="C79" s="141" t="str">
        <f t="shared" ref="C79:V79" si="15">IF(C78&gt;0.05,"Oui","Non")</f>
        <v>Non</v>
      </c>
      <c r="D79" s="141" t="str">
        <f t="shared" si="15"/>
        <v>Non</v>
      </c>
      <c r="E79" s="141" t="str">
        <f t="shared" si="15"/>
        <v>Non</v>
      </c>
      <c r="F79" s="141" t="str">
        <f t="shared" si="15"/>
        <v>Non</v>
      </c>
      <c r="G79" s="141" t="str">
        <f t="shared" si="15"/>
        <v>Oui</v>
      </c>
      <c r="H79" s="141" t="str">
        <f t="shared" si="15"/>
        <v>Oui</v>
      </c>
      <c r="I79" s="141" t="str">
        <f t="shared" si="15"/>
        <v>Oui</v>
      </c>
      <c r="J79" s="141" t="str">
        <f t="shared" si="15"/>
        <v>Oui</v>
      </c>
      <c r="K79" s="141" t="str">
        <f t="shared" si="15"/>
        <v>Non</v>
      </c>
      <c r="L79" s="141" t="str">
        <f t="shared" si="15"/>
        <v>Oui</v>
      </c>
      <c r="M79" s="141" t="str">
        <f t="shared" si="15"/>
        <v>Oui</v>
      </c>
      <c r="N79" s="141"/>
      <c r="O79" s="141" t="str">
        <f t="shared" si="15"/>
        <v>Oui</v>
      </c>
      <c r="P79" s="141" t="str">
        <f t="shared" si="15"/>
        <v>Oui</v>
      </c>
      <c r="Q79" s="141" t="str">
        <f t="shared" si="15"/>
        <v>Oui</v>
      </c>
      <c r="R79" s="141" t="str">
        <f t="shared" si="15"/>
        <v>Non</v>
      </c>
      <c r="S79" s="141" t="str">
        <f t="shared" si="15"/>
        <v>Non</v>
      </c>
      <c r="T79" s="141" t="str">
        <f t="shared" si="15"/>
        <v>Oui</v>
      </c>
      <c r="U79" s="141" t="str">
        <f t="shared" si="15"/>
        <v>Oui</v>
      </c>
      <c r="V79" s="141" t="str">
        <f t="shared" si="15"/>
        <v>Non</v>
      </c>
    </row>
    <row r="80" spans="1:22" s="3" customFormat="1" x14ac:dyDescent="0.25">
      <c r="A80" s="61" t="s">
        <v>122</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Oui</v>
      </c>
      <c r="S80" s="141"/>
      <c r="T80" s="141"/>
      <c r="U80" s="141"/>
      <c r="V80" s="141"/>
    </row>
    <row r="81" spans="1:22" s="3" customFormat="1" x14ac:dyDescent="0.25">
      <c r="A81" s="61" t="s">
        <v>82</v>
      </c>
      <c r="B81" s="141"/>
      <c r="C81" s="141" t="str">
        <f t="shared" ref="C81:M81" si="16">IF($B80="Non","Kruskal-Wallis","ANOVA")</f>
        <v>Kruskal-Wallis</v>
      </c>
      <c r="D81" s="141" t="str">
        <f t="shared" si="16"/>
        <v>Kruskal-Wallis</v>
      </c>
      <c r="E81" s="141" t="str">
        <f t="shared" si="16"/>
        <v>Kruskal-Wallis</v>
      </c>
      <c r="F81" s="141" t="str">
        <f t="shared" si="16"/>
        <v>Kruskal-Wallis</v>
      </c>
      <c r="G81" s="141" t="str">
        <f t="shared" si="16"/>
        <v>Kruskal-Wallis</v>
      </c>
      <c r="H81" s="141" t="str">
        <f t="shared" si="16"/>
        <v>Kruskal-Wallis</v>
      </c>
      <c r="I81" s="141" t="str">
        <f t="shared" si="16"/>
        <v>Kruskal-Wallis</v>
      </c>
      <c r="J81" s="141" t="str">
        <f t="shared" si="16"/>
        <v>Kruskal-Wallis</v>
      </c>
      <c r="K81" s="141" t="str">
        <f t="shared" si="16"/>
        <v>Kruskal-Wallis</v>
      </c>
      <c r="L81" s="141" t="str">
        <f t="shared" si="16"/>
        <v>Kruskal-Wallis</v>
      </c>
      <c r="M81" s="141" t="str">
        <f t="shared" si="16"/>
        <v>Kruskal-Wallis</v>
      </c>
      <c r="N81" s="141"/>
      <c r="O81" s="141" t="str">
        <f>IF($B79="Non",IF(O79="Non","Mann Withney",IF(O79="Oui","Mann Withney","")),IF($B79="Oui",IF(O79="Oui","T-Test Welch",IF(O79="Non","Mann Withney",""))))</f>
        <v>T-Test Welch</v>
      </c>
      <c r="P81" s="141" t="str">
        <f t="shared" ref="P81:V81" si="17">IF($O79="Non",IF(P79="Non","Mann Withney",IF(P$79="Oui","Mann Withney","")),IF($O79="Oui",IF(P79="Oui","T-Test Welch",IF(P79="Non","Mann Withney",""))))</f>
        <v>T-Test Welch</v>
      </c>
      <c r="Q81" s="141" t="str">
        <f t="shared" si="17"/>
        <v>T-Test Welch</v>
      </c>
      <c r="R81" s="141" t="s">
        <v>1667</v>
      </c>
      <c r="S81" s="141" t="s">
        <v>1667</v>
      </c>
      <c r="T81" s="141" t="s">
        <v>1667</v>
      </c>
      <c r="U81" s="141" t="s">
        <v>1667</v>
      </c>
      <c r="V81" s="141" t="s">
        <v>1667</v>
      </c>
    </row>
    <row r="82" spans="1:22" s="3" customFormat="1" ht="15.75" x14ac:dyDescent="0.25">
      <c r="A82" s="61" t="s">
        <v>83</v>
      </c>
      <c r="B82" s="141"/>
      <c r="C82" s="197">
        <v>0.99990000000000001</v>
      </c>
      <c r="D82" s="197">
        <v>0.99990000000000001</v>
      </c>
      <c r="E82" s="197">
        <v>0.30740000000000001</v>
      </c>
      <c r="F82" s="197">
        <v>1E-4</v>
      </c>
      <c r="G82" s="197">
        <v>1E-4</v>
      </c>
      <c r="H82" s="197">
        <v>1E-4</v>
      </c>
      <c r="I82" s="197">
        <v>0.14119999999999999</v>
      </c>
      <c r="J82" s="197">
        <v>0.99990000000000001</v>
      </c>
      <c r="K82" s="197">
        <v>0.1981</v>
      </c>
      <c r="L82" s="197">
        <v>0.99990000000000001</v>
      </c>
      <c r="M82" s="197">
        <v>0.86519999999999997</v>
      </c>
      <c r="N82" s="141"/>
      <c r="O82" s="197">
        <v>1E-4</v>
      </c>
      <c r="P82" s="197">
        <v>5.4999999999999997E-3</v>
      </c>
      <c r="Q82" s="197">
        <v>1E-4</v>
      </c>
      <c r="R82" s="197">
        <v>4.2700000000000002E-2</v>
      </c>
      <c r="S82" s="197">
        <v>0.58140000000000003</v>
      </c>
      <c r="T82" s="197">
        <v>3.4099999999999998E-2</v>
      </c>
      <c r="U82" s="197">
        <v>1.29E-2</v>
      </c>
      <c r="V82" s="197">
        <v>4.0000000000000002E-4</v>
      </c>
    </row>
    <row r="83" spans="1:22" s="3" customFormat="1" ht="15.75" thickBot="1" x14ac:dyDescent="0.3">
      <c r="A83" s="62" t="s">
        <v>84</v>
      </c>
      <c r="B83" s="142"/>
      <c r="C83" s="142" t="str">
        <f t="shared" ref="C83:O83" si="18">IF(C82&gt;0.05,"NS",IF(C82&gt;0.01,"*",IF(C82&gt;0.001,"**","***")))</f>
        <v>NS</v>
      </c>
      <c r="D83" s="142" t="str">
        <f t="shared" si="18"/>
        <v>NS</v>
      </c>
      <c r="E83" s="142" t="str">
        <f t="shared" si="18"/>
        <v>NS</v>
      </c>
      <c r="F83" s="142" t="str">
        <f t="shared" si="18"/>
        <v>***</v>
      </c>
      <c r="G83" s="142" t="str">
        <f t="shared" si="18"/>
        <v>***</v>
      </c>
      <c r="H83" s="142" t="str">
        <f t="shared" si="18"/>
        <v>***</v>
      </c>
      <c r="I83" s="142" t="str">
        <f t="shared" si="18"/>
        <v>NS</v>
      </c>
      <c r="J83" s="142" t="str">
        <f t="shared" si="18"/>
        <v>NS</v>
      </c>
      <c r="K83" s="142" t="str">
        <f t="shared" si="18"/>
        <v>NS</v>
      </c>
      <c r="L83" s="142" t="str">
        <f t="shared" si="18"/>
        <v>NS</v>
      </c>
      <c r="M83" s="142" t="str">
        <f t="shared" si="18"/>
        <v>NS</v>
      </c>
      <c r="N83" s="142"/>
      <c r="O83" s="142" t="str">
        <f t="shared" si="18"/>
        <v>***</v>
      </c>
      <c r="P83" s="142" t="str">
        <f t="shared" ref="P83" si="19">IF(P82&gt;0.05,"NS",IF(P82&gt;0.01,"*",IF(P82&gt;0.001,"**","***")))</f>
        <v>**</v>
      </c>
      <c r="Q83" s="142" t="str">
        <f t="shared" ref="Q83:V83" si="20">IF(Q82&gt;0.05,"NS",IF(Q82&gt;0.01,"*",IF(Q82&gt;0.001,"**","***")))</f>
        <v>***</v>
      </c>
      <c r="R83" s="142" t="str">
        <f t="shared" si="20"/>
        <v>*</v>
      </c>
      <c r="S83" s="142" t="str">
        <f t="shared" si="20"/>
        <v>NS</v>
      </c>
      <c r="T83" s="142" t="str">
        <f t="shared" si="20"/>
        <v>*</v>
      </c>
      <c r="U83" s="142" t="str">
        <f t="shared" si="20"/>
        <v>*</v>
      </c>
      <c r="V83" s="142" t="str">
        <f t="shared" si="20"/>
        <v>***</v>
      </c>
    </row>
    <row r="84" spans="1:22" s="1" customFormat="1" x14ac:dyDescent="0.25"/>
    <row r="85" spans="1:22" s="1" customFormat="1" x14ac:dyDescent="0.25">
      <c r="A85" s="2" t="s">
        <v>39</v>
      </c>
    </row>
    <row r="86" spans="1:22" x14ac:dyDescent="0.25">
      <c r="A86" s="1" t="s">
        <v>23</v>
      </c>
      <c r="B86" s="1">
        <f>B56+(3*B57)</f>
        <v>0.50305911177305496</v>
      </c>
      <c r="I86" s="1"/>
    </row>
    <row r="87" spans="1:22" x14ac:dyDescent="0.25">
      <c r="A87" s="1" t="s">
        <v>24</v>
      </c>
      <c r="B87" s="1">
        <f>B56+(10*B57)</f>
        <v>1.3842315639605145</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6" spans="1:22" ht="15.75" x14ac:dyDescent="0.25">
      <c r="J96" s="197"/>
      <c r="R96" s="197"/>
    </row>
    <row r="97" spans="4:18" ht="15.75" x14ac:dyDescent="0.25">
      <c r="J97" s="197"/>
      <c r="R97" s="197"/>
    </row>
    <row r="98" spans="4:18" ht="15.75" x14ac:dyDescent="0.25">
      <c r="D98" s="197"/>
      <c r="J98" s="197"/>
      <c r="R98" s="197"/>
    </row>
    <row r="99" spans="4:18" ht="15.75" x14ac:dyDescent="0.25">
      <c r="D99" s="197"/>
      <c r="J99" s="197"/>
      <c r="R99" s="197"/>
    </row>
    <row r="100" spans="4:18" ht="15.75" x14ac:dyDescent="0.25">
      <c r="D100" s="197"/>
      <c r="J100" s="197"/>
      <c r="R100" s="197"/>
    </row>
    <row r="101" spans="4:18" ht="15.75" x14ac:dyDescent="0.25">
      <c r="D101" s="197"/>
    </row>
    <row r="102" spans="4:18" ht="15.75" x14ac:dyDescent="0.25">
      <c r="D102" s="197"/>
    </row>
    <row r="103" spans="4:18" ht="15.75" x14ac:dyDescent="0.25">
      <c r="D103" s="197"/>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31" t="s">
        <v>104</v>
      </c>
      <c r="B1" s="232"/>
      <c r="C1" s="232"/>
      <c r="D1" s="232"/>
      <c r="E1" s="232"/>
      <c r="F1" s="232"/>
      <c r="G1" s="232"/>
      <c r="H1" s="232"/>
      <c r="I1" s="232"/>
      <c r="J1" s="232"/>
      <c r="K1" s="232"/>
      <c r="L1" s="232"/>
      <c r="M1" s="232"/>
      <c r="N1" s="232"/>
      <c r="O1" s="233"/>
    </row>
    <row r="2" spans="1:15" s="48" customFormat="1" ht="27" thickBot="1" x14ac:dyDescent="0.3">
      <c r="A2" s="231" t="s">
        <v>105</v>
      </c>
      <c r="B2" s="232"/>
      <c r="C2" s="232"/>
      <c r="D2" s="232"/>
      <c r="E2" s="232"/>
      <c r="F2" s="232"/>
      <c r="G2" s="232"/>
      <c r="H2" s="232"/>
      <c r="I2" s="232"/>
      <c r="J2" s="232"/>
      <c r="K2" s="232"/>
      <c r="L2" s="232"/>
      <c r="M2" s="232"/>
      <c r="N2" s="232"/>
      <c r="O2" s="233"/>
    </row>
    <row r="3" spans="1:15" s="76" customFormat="1" ht="15.75" x14ac:dyDescent="0.25">
      <c r="H3" s="77"/>
      <c r="I3" s="77"/>
      <c r="J3" s="77"/>
      <c r="K3" s="77"/>
      <c r="L3" s="77"/>
      <c r="M3" s="77"/>
      <c r="N3" s="77"/>
    </row>
    <row r="4" spans="1:15" s="76" customFormat="1" ht="15.75" x14ac:dyDescent="0.25">
      <c r="O4"/>
    </row>
    <row r="5" spans="1:15" s="76" customFormat="1" ht="45.75" customHeight="1" thickBot="1" x14ac:dyDescent="0.3">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75" x14ac:dyDescent="0.25">
      <c r="A6" s="79" t="s">
        <v>28</v>
      </c>
      <c r="B6" s="99">
        <v>64</v>
      </c>
      <c r="C6" s="79"/>
      <c r="D6" s="79"/>
      <c r="E6" s="89"/>
      <c r="F6" s="90"/>
      <c r="G6" s="128">
        <f>IF(F6="NS","NC",ROUND(B6,2-(1+INT(LOG10(ABS(B6))))))</f>
        <v>64</v>
      </c>
      <c r="H6" s="120"/>
      <c r="I6" s="120"/>
      <c r="J6" s="121"/>
      <c r="K6" s="122"/>
      <c r="L6" s="124"/>
      <c r="M6" s="121"/>
      <c r="N6" s="91"/>
      <c r="O6"/>
    </row>
    <row r="7" spans="1:15" s="76" customFormat="1" ht="15.75" x14ac:dyDescent="0.25">
      <c r="A7" s="79" t="str">
        <f>'Page de garde'!A15</f>
        <v>Atrazine-0,625mg/L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Atrazine-0,625mg/L : 0%</v>
      </c>
      <c r="O7"/>
    </row>
    <row r="8" spans="1:15" s="76" customFormat="1" ht="15.75" x14ac:dyDescent="0.25">
      <c r="A8" s="79" t="str">
        <f>'Page de garde'!A16</f>
        <v>Atrazine-1,25mg/L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Atrazine-1,25mg/L : 0%</v>
      </c>
      <c r="O8"/>
    </row>
    <row r="9" spans="1:15" s="76" customFormat="1" ht="15.75" x14ac:dyDescent="0.25">
      <c r="A9" s="79" t="str">
        <f>'Page de garde'!A17</f>
        <v>Atrazine-2,5mg/L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Atrazine-2,5mg/L : 0%</v>
      </c>
      <c r="O9"/>
    </row>
    <row r="10" spans="1:15" s="76" customFormat="1" ht="15.75" x14ac:dyDescent="0.25">
      <c r="A10" s="79" t="str">
        <f>'Page de garde'!A18</f>
        <v>Atrazine-5mg/L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Atrazine-5mg/L : 0%</v>
      </c>
      <c r="O10"/>
    </row>
    <row r="11" spans="1:15" s="76" customFormat="1" ht="15.75" x14ac:dyDescent="0.25">
      <c r="A11" s="79" t="str">
        <f>'Page de garde'!A19</f>
        <v>Atrazine-10mg/L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Atrazine-10mg/L : 0%</v>
      </c>
      <c r="O11"/>
    </row>
    <row r="12" spans="1:15" s="76" customFormat="1" ht="15.75" x14ac:dyDescent="0.2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75" x14ac:dyDescent="0.2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75" x14ac:dyDescent="0.2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75" x14ac:dyDescent="0.2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75" x14ac:dyDescent="0.2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75" x14ac:dyDescent="0.2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75" x14ac:dyDescent="0.2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75" x14ac:dyDescent="0.2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75" x14ac:dyDescent="0.2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75" x14ac:dyDescent="0.2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75" x14ac:dyDescent="0.2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75" x14ac:dyDescent="0.2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75" x14ac:dyDescent="0.2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75" x14ac:dyDescent="0.2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75" x14ac:dyDescent="0.2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75" x14ac:dyDescent="0.25">
      <c r="A27"/>
      <c r="B27"/>
      <c r="C27"/>
      <c r="D27"/>
      <c r="E27"/>
      <c r="F27"/>
      <c r="G27"/>
      <c r="H27"/>
      <c r="I27"/>
      <c r="J27"/>
      <c r="K27"/>
      <c r="L27"/>
      <c r="M27"/>
      <c r="N27"/>
      <c r="O27" s="1"/>
    </row>
    <row r="28" spans="1:15" s="76" customFormat="1" ht="32.25" thickBot="1" x14ac:dyDescent="0.3">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75" x14ac:dyDescent="0.25">
      <c r="A29" s="83" t="s">
        <v>29</v>
      </c>
      <c r="B29" s="99"/>
      <c r="C29" s="79"/>
      <c r="D29" s="79"/>
      <c r="E29" s="81"/>
      <c r="F29" s="90"/>
      <c r="G29" s="133"/>
      <c r="H29" s="120"/>
      <c r="I29" s="120"/>
      <c r="J29" s="121"/>
      <c r="K29" s="122"/>
      <c r="L29" s="124"/>
      <c r="M29" s="121"/>
      <c r="N29" s="91"/>
      <c r="O29"/>
    </row>
    <row r="30" spans="1:15" s="76" customFormat="1" ht="15.75" x14ac:dyDescent="0.25">
      <c r="A30" s="83" t="s">
        <v>31</v>
      </c>
      <c r="B30" s="99"/>
      <c r="C30" s="79"/>
      <c r="D30" s="79"/>
      <c r="E30" s="81"/>
      <c r="F30" s="90"/>
      <c r="G30" s="132" t="e">
        <f>IF(F30="NS","NC",ROUND(B30-$B$29,2-(1+INT(LOG10(ABS(B30-$B$29))))))</f>
        <v>#NUM!</v>
      </c>
      <c r="H30" s="120"/>
      <c r="I30" s="133"/>
      <c r="J30" s="134"/>
      <c r="K30" s="135"/>
      <c r="L30" s="134"/>
      <c r="M30" s="134"/>
      <c r="N30" s="136"/>
      <c r="O30"/>
    </row>
    <row r="31" spans="1:15" s="76" customFormat="1" ht="15.75" x14ac:dyDescent="0.2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75" x14ac:dyDescent="0.25">
      <c r="A32" s="127" t="str">
        <f>'Page de garde'!A39</f>
        <v>Atrazine-0,625mg/L + Testostérone</v>
      </c>
      <c r="B32" s="99"/>
      <c r="C32" s="79"/>
      <c r="D32" s="79"/>
      <c r="E32" s="81"/>
      <c r="F32" s="93" t="str">
        <f>HLOOKUP(A32,'pooled normalised values'!$B$74:$V$83,10,FALSE)</f>
        <v>*</v>
      </c>
      <c r="G32" s="132" t="e">
        <f t="shared" si="6"/>
        <v>#NUM!</v>
      </c>
      <c r="H32" s="123" t="str">
        <f>IF(VLOOKUP(A32,liste_groupe[],4,FALSE)="%",VLOOKUP(A32,liste_groupe[],3,FALSE)/100,IF(ISBLANK(VLOOKUP(A32,liste_groupe[],4,FALSE)),"Non","Non"))</f>
        <v>Non</v>
      </c>
      <c r="I32" s="132" t="e">
        <f>IF(F32="NS","NC",IF(H32="Non",G32,G32*(1/H32)))</f>
        <v>#NUM!</v>
      </c>
      <c r="J32" s="137" t="e">
        <f>IF(G32&lt;0,$G$31,$G$30)</f>
        <v>#NUM!</v>
      </c>
      <c r="K32" s="138" t="e">
        <f>IF(F32="NS",0,IF(I32&lt;0,-ROUND(I32/J32*100,0),ROUND(I32/J32*100,0)))</f>
        <v>#NUM!</v>
      </c>
      <c r="L32" s="139">
        <v>1</v>
      </c>
      <c r="M32" s="131" t="e">
        <f>IF(I32&lt;0,IF(K32&lt;-100,-125,K32),IF(K32&gt;100,125,K32))</f>
        <v>#NUM!</v>
      </c>
      <c r="N32" s="140" t="e">
        <f>IF(H32="Non",CONCATENATE(VLOOKUP(A32,liste_groupe[],5,FALSE),"-",VLOOKUP(A32,liste_groupe[],3,FALSE),VLOOKUP(A32,liste_groupe[],4,FALSE)," : ",ROUND(K32,0),"%"),CONCATENATE(VLOOKUP(A32,liste_groupe[],5,FALSE)," : ",ROUND(K32,0),"%"))</f>
        <v>#NUM!</v>
      </c>
    </row>
    <row r="33" spans="1:14" s="76" customFormat="1" ht="15.75" x14ac:dyDescent="0.25">
      <c r="A33" s="127" t="str">
        <f>'Page de garde'!A40</f>
        <v>Atrazine-1,25mg/L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Atrazine-1,25mg/L : 0%</v>
      </c>
    </row>
    <row r="34" spans="1:14" s="76" customFormat="1" ht="15.75" x14ac:dyDescent="0.25">
      <c r="A34" s="127" t="str">
        <f>'Page de garde'!A41</f>
        <v>Atrazine-2,5mg/L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75" x14ac:dyDescent="0.25">
      <c r="A35" s="127" t="str">
        <f>'Page de garde'!A42</f>
        <v>Atrazine-5mg/L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75" x14ac:dyDescent="0.25">
      <c r="A36" s="127" t="str">
        <f>'Page de garde'!A43</f>
        <v>Atrazine-10mg/L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75" x14ac:dyDescent="0.2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75" x14ac:dyDescent="0.2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75" x14ac:dyDescent="0.2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75" x14ac:dyDescent="0.2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75" x14ac:dyDescent="0.2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75" x14ac:dyDescent="0.2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75" x14ac:dyDescent="0.2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75" x14ac:dyDescent="0.2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75" x14ac:dyDescent="0.2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75" x14ac:dyDescent="0.2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75" x14ac:dyDescent="0.2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75" x14ac:dyDescent="0.2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75" x14ac:dyDescent="0.2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75" x14ac:dyDescent="0.2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75" x14ac:dyDescent="0.2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5" thickBot="1" x14ac:dyDescent="0.3">
      <c r="E52" s="77"/>
      <c r="F52" s="77"/>
      <c r="G52" s="77"/>
      <c r="H52" s="77"/>
      <c r="I52" s="77"/>
      <c r="J52" s="77"/>
      <c r="K52" s="77"/>
      <c r="L52" s="77"/>
      <c r="M52" s="77"/>
      <c r="N52" s="77"/>
    </row>
    <row r="53" spans="1:15" s="48" customFormat="1" ht="27" thickBot="1" x14ac:dyDescent="0.3">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78" customWidth="1"/>
    <col min="2" max="2" width="46.28515625" style="178" customWidth="1"/>
    <col min="3" max="3" width="15.28515625" style="178" customWidth="1"/>
    <col min="4" max="4" width="24.7109375" style="178" customWidth="1"/>
    <col min="5" max="5" width="24.42578125" style="178" customWidth="1"/>
    <col min="6" max="6" width="23.140625" style="178" customWidth="1"/>
    <col min="7" max="7" width="21.28515625" style="178" customWidth="1"/>
    <col min="8" max="16384" width="11.42578125" style="178"/>
  </cols>
  <sheetData>
    <row r="1" spans="1:7" ht="30.75" thickBot="1" x14ac:dyDescent="0.3">
      <c r="A1" s="183" t="s">
        <v>132</v>
      </c>
      <c r="B1" s="184" t="s">
        <v>133</v>
      </c>
      <c r="C1" s="184" t="s">
        <v>139</v>
      </c>
      <c r="D1" s="184" t="s">
        <v>138</v>
      </c>
      <c r="E1" s="184" t="s">
        <v>140</v>
      </c>
      <c r="F1" s="185" t="s">
        <v>141</v>
      </c>
      <c r="G1" s="186" t="s">
        <v>142</v>
      </c>
    </row>
    <row r="2" spans="1:7" ht="60" x14ac:dyDescent="0.25">
      <c r="A2" s="179" t="s">
        <v>134</v>
      </c>
      <c r="B2" s="180" t="s">
        <v>135</v>
      </c>
      <c r="C2" s="180" t="s">
        <v>136</v>
      </c>
      <c r="D2" s="180" t="s">
        <v>143</v>
      </c>
      <c r="E2" s="180" t="s">
        <v>137</v>
      </c>
      <c r="F2" s="181" t="s">
        <v>136</v>
      </c>
      <c r="G2" s="182"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0.12541377512128657</v>
      </c>
      <c r="D2" s="17" t="s">
        <v>9</v>
      </c>
      <c r="E2" s="18"/>
      <c r="F2" s="19" t="str">
        <f>'pooled normalised values'!J74</f>
        <v>Atrazine-1,25mg/L</v>
      </c>
      <c r="G2" s="19" t="str">
        <f>'pooled normalised values'!K74</f>
        <v>Atrazine-2,5mg/L</v>
      </c>
      <c r="H2" s="19" t="str">
        <f>'pooled normalised values'!L74</f>
        <v>Atrazine-5mg/L</v>
      </c>
      <c r="I2" s="19" t="str">
        <f>'pooled normalised values'!M74</f>
        <v>Atrazine-10mg/L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Atrazine-0,625mg/L + Testostérone</v>
      </c>
      <c r="W2" s="19" t="str">
        <f>'pooled normalised values'!S74</f>
        <v>Atrazine-1,25mg/L + Testostérone</v>
      </c>
      <c r="X2" s="19" t="str">
        <f>'pooled normalised values'!T74</f>
        <v>Atrazine-2,5mg/L + Testostérone</v>
      </c>
      <c r="Y2" s="19" t="str">
        <f>'pooled normalised values'!U74</f>
        <v>Atrazine-5mg/L + Testostérone</v>
      </c>
      <c r="Z2" s="19" t="str">
        <f>'pooled normalised values'!V74</f>
        <v>Atrazine-10mg/L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0.1516990157090477</v>
      </c>
      <c r="G3" s="19">
        <f>HLOOKUP(G2,'pooled normalised values'!C74:W83,2,FALSE)</f>
        <v>0.27080921501533078</v>
      </c>
      <c r="H3" s="19">
        <f>HLOOKUP(H2,'pooled normalised values'!C74:X83,2,FALSE)</f>
        <v>0.18657456706201964</v>
      </c>
      <c r="I3" s="19">
        <f>HLOOKUP(I2,'pooled normalised values'!D74:Y83,2,FALSE)</f>
        <v>0.21445982230880334</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1.6959536806020916</v>
      </c>
      <c r="W3" s="19">
        <f>HLOOKUP(W2,'pooled normalised values'!N74:AM83,2,FALSE)</f>
        <v>1.514458139731758</v>
      </c>
      <c r="X3" s="19">
        <f>HLOOKUP(X2,'pooled normalised values'!N74:AN83,2,FALSE)</f>
        <v>1.823292905685125</v>
      </c>
      <c r="Y3" s="19">
        <f>HLOOKUP(Y2,'pooled normalised values'!N74:AO83,2,FALSE)</f>
        <v>1.7512702882068869</v>
      </c>
      <c r="Z3" s="19">
        <f>HLOOKUP(Z2,'pooled normalised values'!N74:AP83,2,FALSE)</f>
        <v>2.003630001183407</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0.99999999999999989</v>
      </c>
      <c r="D4" s="21" t="s">
        <v>2</v>
      </c>
      <c r="E4" s="22"/>
      <c r="F4" s="19">
        <f>HLOOKUP(F2,'pooled normalised values'!B74:V83,3,FALSE)</f>
        <v>2.4077976427367639E-2</v>
      </c>
      <c r="G4" s="19">
        <f>HLOOKUP(G2,'pooled normalised values'!C74:W83,3,FALSE)</f>
        <v>6.2065320337427281E-2</v>
      </c>
      <c r="H4" s="19">
        <f>HLOOKUP(H2,'pooled normalised values'!C74:X83,3,FALSE)</f>
        <v>4.2272628171022238E-2</v>
      </c>
      <c r="I4" s="19">
        <f>HLOOKUP(I2,'pooled normalised values'!D74:Y83,3,FALSE)</f>
        <v>4.3440760546913773E-2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0.22087306080583788</v>
      </c>
      <c r="W4" s="19">
        <f>HLOOKUP(W2,'pooled normalised values'!N74:AM83,3,FALSE)</f>
        <v>0.26429417630636026</v>
      </c>
      <c r="X4" s="19">
        <f>HLOOKUP(X2,'pooled normalised values'!N74:AN83,3,FALSE)</f>
        <v>0.27518711381393607</v>
      </c>
      <c r="Y4" s="19">
        <f>HLOOKUP(Y2,'pooled normalised values'!N74:AO83,3,FALSE)</f>
        <v>0.19023464398923945</v>
      </c>
      <c r="Z4" s="19">
        <f>HLOOKUP(Z2,'pooled normalised values'!N74:AP83,3,FALSE)</f>
        <v>0.21797538086716689</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1.7211786111100984</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v>
      </c>
      <c r="W5" s="19" t="str">
        <f>HLOOKUP(W2,'pooled normalised values'!N74:AM83,10,FALSE)</f>
        <v>NS</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9.4326874221593415E-2</v>
      </c>
      <c r="D6" s="21" t="s">
        <v>12</v>
      </c>
      <c r="E6" s="24">
        <f>$B$2</f>
        <v>0.12541377512128657</v>
      </c>
      <c r="F6" s="24">
        <f>$B$2</f>
        <v>0.12541377512128657</v>
      </c>
      <c r="G6" s="24">
        <f t="shared" ref="G6:R6" si="0">$B$2</f>
        <v>0.12541377512128657</v>
      </c>
      <c r="H6" s="24">
        <f t="shared" si="0"/>
        <v>0.12541377512128657</v>
      </c>
      <c r="I6" s="24">
        <f t="shared" si="0"/>
        <v>0.12541377512128657</v>
      </c>
      <c r="J6" s="24">
        <f t="shared" si="0"/>
        <v>0.12541377512128657</v>
      </c>
      <c r="K6" s="24">
        <f t="shared" si="0"/>
        <v>0.12541377512128657</v>
      </c>
      <c r="L6" s="24">
        <f t="shared" si="0"/>
        <v>0.12541377512128657</v>
      </c>
      <c r="M6" s="24">
        <f t="shared" si="0"/>
        <v>0.12541377512128657</v>
      </c>
      <c r="N6" s="24">
        <f t="shared" si="0"/>
        <v>0.12541377512128657</v>
      </c>
      <c r="O6" s="24">
        <f t="shared" si="0"/>
        <v>0.12541377512128657</v>
      </c>
      <c r="P6" s="24">
        <f t="shared" si="0"/>
        <v>0.12541377512128657</v>
      </c>
      <c r="Q6" s="24">
        <f t="shared" si="0"/>
        <v>0.12541377512128657</v>
      </c>
      <c r="R6" s="24">
        <f t="shared" si="0"/>
        <v>0.12541377512128657</v>
      </c>
      <c r="S6" s="24">
        <f>$B$2</f>
        <v>0.12541377512128657</v>
      </c>
      <c r="T6" s="24">
        <f>$B$2</f>
        <v>0.12541377512128657</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0.99999999999999989</v>
      </c>
      <c r="V7" s="25">
        <f t="shared" si="1"/>
        <v>0.99999999999999989</v>
      </c>
      <c r="W7" s="25">
        <f t="shared" si="1"/>
        <v>0.99999999999999989</v>
      </c>
      <c r="X7" s="25">
        <f t="shared" si="1"/>
        <v>0.99999999999999989</v>
      </c>
      <c r="Y7" s="25">
        <f t="shared" si="1"/>
        <v>0.99999999999999989</v>
      </c>
      <c r="Z7" s="25">
        <f t="shared" si="1"/>
        <v>0.99999999999999989</v>
      </c>
      <c r="AA7" s="25">
        <f t="shared" si="1"/>
        <v>0.99999999999999989</v>
      </c>
      <c r="AB7" s="25">
        <f t="shared" si="1"/>
        <v>0.99999999999999989</v>
      </c>
      <c r="AC7" s="25">
        <f t="shared" si="1"/>
        <v>0.99999999999999989</v>
      </c>
      <c r="AD7" s="25">
        <f t="shared" si="1"/>
        <v>0.99999999999999989</v>
      </c>
      <c r="AE7" s="25">
        <f t="shared" si="1"/>
        <v>0.99999999999999989</v>
      </c>
      <c r="AF7" s="25">
        <f t="shared" si="1"/>
        <v>0.99999999999999989</v>
      </c>
      <c r="AG7" s="25">
        <f t="shared" si="1"/>
        <v>0.99999999999999989</v>
      </c>
      <c r="AH7" s="25">
        <f t="shared" si="1"/>
        <v>0.99999999999999989</v>
      </c>
      <c r="AI7" s="25">
        <f t="shared" si="1"/>
        <v>0.99999999999999989</v>
      </c>
      <c r="AJ7" s="25">
        <f t="shared" si="1"/>
        <v>0.99999999999999989</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9.4326874221593415E-2</v>
      </c>
      <c r="V8" s="25">
        <f t="shared" ref="V8:AJ8" si="2">$B$6</f>
        <v>9.4326874221593415E-2</v>
      </c>
      <c r="W8" s="25">
        <f t="shared" si="2"/>
        <v>9.4326874221593415E-2</v>
      </c>
      <c r="X8" s="25">
        <f t="shared" si="2"/>
        <v>9.4326874221593415E-2</v>
      </c>
      <c r="Y8" s="25">
        <f t="shared" si="2"/>
        <v>9.4326874221593415E-2</v>
      </c>
      <c r="Z8" s="25">
        <f t="shared" si="2"/>
        <v>9.4326874221593415E-2</v>
      </c>
      <c r="AA8" s="25">
        <f t="shared" si="2"/>
        <v>9.4326874221593415E-2</v>
      </c>
      <c r="AB8" s="25">
        <f t="shared" si="2"/>
        <v>9.4326874221593415E-2</v>
      </c>
      <c r="AC8" s="25">
        <f t="shared" si="2"/>
        <v>9.4326874221593415E-2</v>
      </c>
      <c r="AD8" s="25">
        <f t="shared" si="2"/>
        <v>9.4326874221593415E-2</v>
      </c>
      <c r="AE8" s="25">
        <f t="shared" si="2"/>
        <v>9.4326874221593415E-2</v>
      </c>
      <c r="AF8" s="25">
        <f t="shared" si="2"/>
        <v>9.4326874221593415E-2</v>
      </c>
      <c r="AG8" s="25">
        <f t="shared" si="2"/>
        <v>9.4326874221593415E-2</v>
      </c>
      <c r="AH8" s="25">
        <f t="shared" si="2"/>
        <v>9.4326874221593415E-2</v>
      </c>
      <c r="AI8" s="25">
        <f t="shared" si="2"/>
        <v>9.4326874221593415E-2</v>
      </c>
      <c r="AJ8" s="25">
        <f t="shared" si="2"/>
        <v>9.4326874221593415E-2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1.6268517368885049</v>
      </c>
      <c r="V9" s="25">
        <f>$B$5-V8</f>
        <v>1.6268517368885049</v>
      </c>
      <c r="W9" s="25">
        <f t="shared" ref="W9:AH9" si="4">$B$5-W8</f>
        <v>1.6268517368885049</v>
      </c>
      <c r="X9" s="25">
        <f t="shared" si="4"/>
        <v>1.6268517368885049</v>
      </c>
      <c r="Y9" s="25">
        <f t="shared" si="4"/>
        <v>1.6268517368885049</v>
      </c>
      <c r="Z9" s="25">
        <f t="shared" si="4"/>
        <v>1.6268517368885049</v>
      </c>
      <c r="AA9" s="25">
        <f t="shared" si="4"/>
        <v>1.6268517368885049</v>
      </c>
      <c r="AB9" s="25">
        <f t="shared" si="4"/>
        <v>1.6268517368885049</v>
      </c>
      <c r="AC9" s="25">
        <f t="shared" si="4"/>
        <v>1.6268517368885049</v>
      </c>
      <c r="AD9" s="25">
        <f t="shared" si="4"/>
        <v>1.6268517368885049</v>
      </c>
      <c r="AE9" s="25">
        <f t="shared" si="4"/>
        <v>1.6268517368885049</v>
      </c>
      <c r="AF9" s="25">
        <f t="shared" si="4"/>
        <v>1.6268517368885049</v>
      </c>
      <c r="AG9" s="25">
        <f t="shared" si="4"/>
        <v>1.6268517368885049</v>
      </c>
      <c r="AH9" s="25">
        <f t="shared" si="4"/>
        <v>1.6268517368885049</v>
      </c>
      <c r="AI9" s="25">
        <f>$B$5-AI8</f>
        <v>1.6268517368885049</v>
      </c>
      <c r="AJ9" s="25">
        <f>$B$5-AJ8</f>
        <v>1.6268517368885049</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0.87314826311149507</v>
      </c>
      <c r="V10" s="25">
        <f>2.5-V9</f>
        <v>0.87314826311149507</v>
      </c>
      <c r="W10" s="25">
        <f t="shared" ref="W10:AH10" si="6">2.5-W9</f>
        <v>0.87314826311149507</v>
      </c>
      <c r="X10" s="25">
        <f t="shared" si="6"/>
        <v>0.87314826311149507</v>
      </c>
      <c r="Y10" s="25">
        <f t="shared" si="6"/>
        <v>0.87314826311149507</v>
      </c>
      <c r="Z10" s="25">
        <f t="shared" si="6"/>
        <v>0.87314826311149507</v>
      </c>
      <c r="AA10" s="25">
        <f t="shared" si="6"/>
        <v>0.87314826311149507</v>
      </c>
      <c r="AB10" s="25">
        <f t="shared" si="6"/>
        <v>0.87314826311149507</v>
      </c>
      <c r="AC10" s="25">
        <f t="shared" si="6"/>
        <v>0.87314826311149507</v>
      </c>
      <c r="AD10" s="25">
        <f t="shared" si="6"/>
        <v>0.87314826311149507</v>
      </c>
      <c r="AE10" s="25">
        <f t="shared" si="6"/>
        <v>0.87314826311149507</v>
      </c>
      <c r="AF10" s="25">
        <f t="shared" si="6"/>
        <v>0.87314826311149507</v>
      </c>
      <c r="AG10" s="25">
        <f t="shared" si="6"/>
        <v>0.87314826311149507</v>
      </c>
      <c r="AH10" s="25">
        <f t="shared" si="6"/>
        <v>0.87314826311149507</v>
      </c>
      <c r="AI10" s="25">
        <f>2.5-AI9</f>
        <v>0.87314826311149507</v>
      </c>
      <c r="AJ10" s="25">
        <f>2.5-AJ9</f>
        <v>0.87314826311149507</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0.12541377512128657</v>
      </c>
      <c r="D2" s="17" t="s">
        <v>9</v>
      </c>
      <c r="E2" s="18"/>
      <c r="F2" s="19" t="str">
        <f>'pooled normalised values'!J74</f>
        <v>Atrazine-1,25mg/L</v>
      </c>
      <c r="G2" s="18"/>
      <c r="H2" s="20"/>
      <c r="I2" s="19" t="str">
        <f>'pooled normalised values'!R74</f>
        <v>Atrazine-0,625mg/L + Testostérone</v>
      </c>
      <c r="J2" s="20"/>
      <c r="K2" s="17" t="s">
        <v>9</v>
      </c>
    </row>
    <row r="3" spans="1:11" x14ac:dyDescent="0.2">
      <c r="A3" s="17" t="s">
        <v>71</v>
      </c>
      <c r="B3" s="63">
        <f>'summary results'!E6</f>
        <v>0</v>
      </c>
      <c r="D3" s="21" t="s">
        <v>10</v>
      </c>
      <c r="E3" s="22"/>
      <c r="F3" s="19">
        <f>HLOOKUP(F2,'pooled normalised values'!B74:V83,2,FALSE)</f>
        <v>0.1516990157090477</v>
      </c>
      <c r="G3" s="22"/>
      <c r="H3" s="20"/>
      <c r="I3" s="19">
        <f>HLOOKUP(I2,'pooled normalised values'!N74:AL83,2,FALSE)</f>
        <v>1.6959536806020916</v>
      </c>
      <c r="J3" s="20"/>
      <c r="K3" s="21" t="s">
        <v>10</v>
      </c>
    </row>
    <row r="4" spans="1:11" x14ac:dyDescent="0.2">
      <c r="A4" s="17" t="s">
        <v>72</v>
      </c>
      <c r="B4" s="63">
        <f>'pooled normalised values'!O75</f>
        <v>0.99999999999999989</v>
      </c>
      <c r="D4" s="21" t="s">
        <v>2</v>
      </c>
      <c r="E4" s="22"/>
      <c r="F4" s="19">
        <f>HLOOKUP(F2,'pooled normalised values'!B74:V83,3,FALSE)</f>
        <v>2.4077976427367639E-2</v>
      </c>
      <c r="G4" s="22"/>
      <c r="H4" s="20"/>
      <c r="I4" s="19">
        <f>HLOOKUP(I2,'pooled normalised values'!N74:AL83,3,FALSE)</f>
        <v>0.22087306080583788</v>
      </c>
      <c r="J4" s="20"/>
      <c r="K4" s="21" t="s">
        <v>2</v>
      </c>
    </row>
    <row r="5" spans="1:11" x14ac:dyDescent="0.2">
      <c r="A5" s="17" t="s">
        <v>73</v>
      </c>
      <c r="B5" s="63">
        <f>'pooled normalised values'!P75</f>
        <v>1.7211786111100984</v>
      </c>
      <c r="D5" s="23" t="s">
        <v>11</v>
      </c>
      <c r="E5" s="22"/>
      <c r="F5" s="19" t="str">
        <f>HLOOKUP(F2,'pooled normalised values'!B74:V83,10,FALSE)</f>
        <v>NS</v>
      </c>
      <c r="G5" s="22"/>
      <c r="H5" s="20"/>
      <c r="I5" s="19" t="str">
        <f>HLOOKUP(I2,'pooled normalised values'!N74:AL83,10,FALSE)</f>
        <v>*</v>
      </c>
      <c r="J5" s="20"/>
      <c r="K5" s="23" t="s">
        <v>11</v>
      </c>
    </row>
    <row r="6" spans="1:11" x14ac:dyDescent="0.2">
      <c r="A6" s="17" t="s">
        <v>74</v>
      </c>
      <c r="B6" s="63">
        <f>'pooled normalised values'!Q75</f>
        <v>9.4326874221593415E-2</v>
      </c>
      <c r="D6" s="21" t="s">
        <v>12</v>
      </c>
      <c r="E6" s="24">
        <f>$B$2</f>
        <v>0.12541377512128657</v>
      </c>
      <c r="F6" s="24">
        <f>$B$2</f>
        <v>0.12541377512128657</v>
      </c>
      <c r="G6" s="24">
        <f>$B$2</f>
        <v>0.12541377512128657</v>
      </c>
      <c r="H6" s="25"/>
      <c r="I6" s="25"/>
      <c r="J6" s="25"/>
      <c r="K6" s="21" t="s">
        <v>12</v>
      </c>
    </row>
    <row r="7" spans="1:11" x14ac:dyDescent="0.2">
      <c r="B7" s="26"/>
      <c r="D7" s="26" t="s">
        <v>13</v>
      </c>
      <c r="E7" s="24"/>
      <c r="F7" s="24"/>
      <c r="G7" s="27"/>
      <c r="H7" s="25">
        <f t="shared" ref="H7:J7" si="0">$B$4</f>
        <v>0.99999999999999989</v>
      </c>
      <c r="I7" s="25">
        <f t="shared" si="0"/>
        <v>0.99999999999999989</v>
      </c>
      <c r="J7" s="25">
        <f t="shared" si="0"/>
        <v>0.99999999999999989</v>
      </c>
      <c r="K7" s="26" t="s">
        <v>13</v>
      </c>
    </row>
    <row r="8" spans="1:11" x14ac:dyDescent="0.2">
      <c r="D8" s="28" t="s">
        <v>14</v>
      </c>
      <c r="E8" s="24">
        <v>0</v>
      </c>
      <c r="F8" s="24">
        <v>0</v>
      </c>
      <c r="G8" s="27">
        <v>0</v>
      </c>
      <c r="H8" s="25">
        <f>$B$6</f>
        <v>9.4326874221593415E-2</v>
      </c>
      <c r="I8" s="25">
        <f t="shared" ref="I8:J8" si="1">$B$6</f>
        <v>9.4326874221593415E-2</v>
      </c>
      <c r="J8" s="25">
        <f t="shared" si="1"/>
        <v>9.4326874221593415E-2</v>
      </c>
      <c r="K8" s="28" t="s">
        <v>14</v>
      </c>
    </row>
    <row r="9" spans="1:11" x14ac:dyDescent="0.2">
      <c r="D9" s="28" t="s">
        <v>15</v>
      </c>
      <c r="E9" s="29">
        <f>$B$3-E8</f>
        <v>0</v>
      </c>
      <c r="F9" s="29">
        <f>$B$3-F8</f>
        <v>0</v>
      </c>
      <c r="G9" s="29">
        <f>$B$3-G8</f>
        <v>0</v>
      </c>
      <c r="H9" s="25">
        <f>$B$5-H8</f>
        <v>1.6268517368885049</v>
      </c>
      <c r="I9" s="25">
        <f>$B$5-I8</f>
        <v>1.6268517368885049</v>
      </c>
      <c r="J9" s="25">
        <f>$B$5-J8</f>
        <v>1.6268517368885049</v>
      </c>
      <c r="K9" s="28" t="s">
        <v>15</v>
      </c>
    </row>
    <row r="10" spans="1:11" x14ac:dyDescent="0.2">
      <c r="D10" s="28" t="s">
        <v>16</v>
      </c>
      <c r="E10" s="27">
        <f t="shared" ref="E10:J10" si="2">2.5-E9</f>
        <v>2.5</v>
      </c>
      <c r="F10" s="27">
        <f t="shared" si="2"/>
        <v>2.5</v>
      </c>
      <c r="G10" s="27">
        <f t="shared" si="2"/>
        <v>2.5</v>
      </c>
      <c r="H10" s="25">
        <f t="shared" si="2"/>
        <v>0.87314826311149507</v>
      </c>
      <c r="I10" s="25">
        <f t="shared" si="2"/>
        <v>0.87314826311149507</v>
      </c>
      <c r="J10" s="25">
        <f t="shared" si="2"/>
        <v>0.87314826311149507</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4" t="s">
        <v>99</v>
      </c>
      <c r="R1" s="234"/>
      <c r="S1" s="234"/>
      <c r="U1" s="234" t="s">
        <v>98</v>
      </c>
      <c r="V1" s="234"/>
      <c r="W1" s="234"/>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131</v>
      </c>
      <c r="U2" s="118" t="s">
        <v>7</v>
      </c>
      <c r="V2" s="1" t="s">
        <v>131</v>
      </c>
    </row>
    <row r="3" spans="1:23" x14ac:dyDescent="0.25">
      <c r="A3" s="1" t="str">
        <f>Q7</f>
        <v>Atrazine-0,625mg/L</v>
      </c>
      <c r="B3" t="str">
        <f t="shared" si="0"/>
        <v>Atrazine-0,625mg/L + Testostérone</v>
      </c>
      <c r="D3" t="str">
        <f>CONCATENATE(VLOOKUP(Tableau3[[#This Row],[Nom ND]],liste_groupe[],3,FALSE),VLOOKUP(Tableau3[[#This Row],[Nom ND]],liste_groupe[],4,FALSE))</f>
        <v>0,625mg/L</v>
      </c>
      <c r="E3">
        <f>HLOOKUP(Tableau3[[#This Row],[Nom ND]],'pooled normalised values'!$B$74:$V$83,4,FALSE)</f>
        <v>75.109246070979083</v>
      </c>
      <c r="F3" t="str">
        <f>HLOOKUP(Tableau3[[#This Row],[Nom ND]],'pooled normalised values'!$B$74:$V$83,8,FALSE)</f>
        <v>Kruskal-Wallis</v>
      </c>
      <c r="G3" t="str">
        <f>VLOOKUP(Tableau3[[#This Row],[Nom ND]],'summary results'!$A$6:$N$26,9,FALSE)</f>
        <v>NC</v>
      </c>
      <c r="H3">
        <f>VLOOKUP(Tableau3[[#This Row],[Nom ND]],'summary results'!$A$6:$N$26,11,FALSE)</f>
        <v>0</v>
      </c>
      <c r="I3">
        <f>HLOOKUP(Tableau3[[#This Row],[Nom D]],'pooled normalised values'!$B$74:$V$83,4,FALSE)</f>
        <v>69.595368060209182</v>
      </c>
      <c r="J3" t="str">
        <f>HLOOKUP(Tableau3[[#This Row],[Nom D]],'pooled normalised values'!$B$74:$V$83,8,FALSE)</f>
        <v>Krustall Wallis</v>
      </c>
      <c r="K3" t="e">
        <f>VLOOKUP(Tableau3[[#This Row],[Nom D]],'summary results'!$A$29:$N$51,9,FALSE)</f>
        <v>#NUM!</v>
      </c>
      <c r="L3" t="e">
        <f>VLOOKUP(Tableau3[[#This Row],[Nom D]],'summary results'!$A$29:$N$51,11,FALSE)</f>
        <v>#NUM!</v>
      </c>
      <c r="M3" s="1" t="e">
        <f>'summary results'!$G$30</f>
        <v>#NUM!</v>
      </c>
      <c r="N3" s="1" t="e">
        <f>'summary results'!$G$31</f>
        <v>#NUM!</v>
      </c>
      <c r="Q3" s="118" t="s">
        <v>78</v>
      </c>
      <c r="R3" s="1" t="s">
        <v>106</v>
      </c>
      <c r="U3" s="118" t="s">
        <v>78</v>
      </c>
      <c r="V3" s="1" t="s">
        <v>50</v>
      </c>
    </row>
    <row r="4" spans="1:23" x14ac:dyDescent="0.25">
      <c r="A4" s="1" t="str">
        <f t="shared" ref="A4:A15" si="1">Q8</f>
        <v>Atrazine-1,25mg/L</v>
      </c>
      <c r="B4" s="44" t="str">
        <f t="shared" ref="B4:B15" si="2">U8</f>
        <v>Atrazine-1,25mg/L + Testostérone</v>
      </c>
      <c r="D4" s="44" t="str">
        <f>CONCATENATE(VLOOKUP(Tableau3[[#This Row],[Nom ND]],liste_groupe[],3,FALSE),VLOOKUP(Tableau3[[#This Row],[Nom ND]],liste_groupe[],4,FALSE))</f>
        <v>1,25mg/L</v>
      </c>
      <c r="E4" s="44">
        <f>HLOOKUP(Tableau3[[#This Row],[Nom ND]],'pooled normalised values'!$B$74:$V$83,4,FALSE)</f>
        <v>20.958814581843896</v>
      </c>
      <c r="F4" s="44" t="str">
        <f>HLOOKUP(Tableau3[[#This Row],[Nom ND]],'pooled normalised values'!$B$74:$V$83,8,FALSE)</f>
        <v>Kruskal-Wallis</v>
      </c>
      <c r="G4" s="44" t="str">
        <f>VLOOKUP(Tableau3[[#This Row],[Nom ND]],'summary results'!$A$6:$N$26,9,FALSE)</f>
        <v>NC</v>
      </c>
      <c r="H4" s="44">
        <f>VLOOKUP(Tableau3[[#This Row],[Nom ND]],'summary results'!$A$6:$N$26,11,FALSE)</f>
        <v>0</v>
      </c>
      <c r="I4" s="44">
        <f>HLOOKUP(Tableau3[[#This Row],[Nom D]],'pooled normalised values'!$B$74:$V$83,4,FALSE)</f>
        <v>51.445813973175831</v>
      </c>
      <c r="J4" s="44" t="str">
        <f>HLOOKUP(Tableau3[[#This Row],[Nom D]],'pooled normalised values'!$B$74:$V$83,8,FALSE)</f>
        <v>Krustall Wallis</v>
      </c>
      <c r="K4" s="44" t="str">
        <f>VLOOKUP(Tableau3[[#This Row],[Nom D]],'summary results'!$A$29:$N$51,9,FALSE)</f>
        <v>NC</v>
      </c>
      <c r="L4" s="44">
        <f>VLOOKUP(Tableau3[[#This Row],[Nom D]],'summary results'!$A$29:$N$51,11,FALSE)</f>
        <v>0</v>
      </c>
      <c r="M4" t="e">
        <f>'summary results'!$G$30</f>
        <v>#NUM!</v>
      </c>
      <c r="N4" t="e">
        <f>'summary results'!$G$31</f>
        <v>#NUM!</v>
      </c>
    </row>
    <row r="5" spans="1:23" x14ac:dyDescent="0.25">
      <c r="A5" s="1" t="str">
        <f t="shared" si="1"/>
        <v>Atrazine-2,5mg/L</v>
      </c>
      <c r="B5" s="44" t="str">
        <f t="shared" si="2"/>
        <v>Atrazine-2,5mg/L + Testostérone</v>
      </c>
      <c r="D5" s="44" t="str">
        <f>CONCATENATE(VLOOKUP(Tableau3[[#This Row],[Nom ND]],liste_groupe[],3,FALSE),VLOOKUP(Tableau3[[#This Row],[Nom ND]],liste_groupe[],4,FALSE))</f>
        <v>2,5mg/L</v>
      </c>
      <c r="E5" s="44">
        <f>HLOOKUP(Tableau3[[#This Row],[Nom ND]],'pooled normalised values'!$B$74:$V$83,4,FALSE)</f>
        <v>115.93259173757713</v>
      </c>
      <c r="F5" s="44" t="str">
        <f>HLOOKUP(Tableau3[[#This Row],[Nom ND]],'pooled normalised values'!$B$74:$V$83,8,FALSE)</f>
        <v>Kruskal-Wallis</v>
      </c>
      <c r="G5" s="44" t="str">
        <f>VLOOKUP(Tableau3[[#This Row],[Nom ND]],'summary results'!$A$6:$N$26,9,FALSE)</f>
        <v>NC</v>
      </c>
      <c r="H5" s="44">
        <f>VLOOKUP(Tableau3[[#This Row],[Nom ND]],'summary results'!$A$6:$N$26,11,FALSE)</f>
        <v>0</v>
      </c>
      <c r="I5" s="44">
        <f>HLOOKUP(Tableau3[[#This Row],[Nom D]],'pooled normalised values'!$B$74:$V$83,4,FALSE)</f>
        <v>82.329290568512533</v>
      </c>
      <c r="J5" s="44" t="str">
        <f>HLOOKUP(Tableau3[[#This Row],[Nom D]],'pooled normalised values'!$B$74:$V$83,8,FALSE)</f>
        <v>Krustall Wallis</v>
      </c>
      <c r="K5" s="44" t="e">
        <f>VLOOKUP(Tableau3[[#This Row],[Nom D]],'summary results'!$A$29:$N$51,9,FALSE)</f>
        <v>#NUM!</v>
      </c>
      <c r="L5" s="44" t="e">
        <f>VLOOKUP(Tableau3[[#This Row],[Nom D]],'summary results'!$A$29:$N$51,11,FALSE)</f>
        <v>#NUM!</v>
      </c>
      <c r="M5" t="e">
        <f>'summary results'!$G$30</f>
        <v>#NUM!</v>
      </c>
      <c r="N5" t="e">
        <f>'summary results'!$G$31</f>
        <v>#NUM!</v>
      </c>
      <c r="Q5" s="118" t="s">
        <v>100</v>
      </c>
      <c r="U5" s="118" t="s">
        <v>100</v>
      </c>
    </row>
    <row r="6" spans="1:23" x14ac:dyDescent="0.25">
      <c r="A6" s="1" t="str">
        <f t="shared" si="1"/>
        <v>Atrazine-5mg/L</v>
      </c>
      <c r="B6" s="44" t="str">
        <f t="shared" si="2"/>
        <v>Atrazine-5mg/L + Testostérone</v>
      </c>
      <c r="D6" s="44" t="str">
        <f>CONCATENATE(VLOOKUP(Tableau3[[#This Row],[Nom ND]],liste_groupe[],3,FALSE),VLOOKUP(Tableau3[[#This Row],[Nom ND]],liste_groupe[],4,FALSE))</f>
        <v>5mg/L</v>
      </c>
      <c r="E6" s="44">
        <f>HLOOKUP(Tableau3[[#This Row],[Nom ND]],'pooled normalised values'!$B$74:$V$83,4,FALSE)</f>
        <v>48.76720430557566</v>
      </c>
      <c r="F6" s="44" t="str">
        <f>HLOOKUP(Tableau3[[#This Row],[Nom ND]],'pooled normalised values'!$B$74:$V$83,8,FALSE)</f>
        <v>Kruskal-Wallis</v>
      </c>
      <c r="G6" s="44" t="str">
        <f>VLOOKUP(Tableau3[[#This Row],[Nom ND]],'summary results'!$A$6:$N$26,9,FALSE)</f>
        <v>NC</v>
      </c>
      <c r="H6" s="44">
        <f>VLOOKUP(Tableau3[[#This Row],[Nom ND]],'summary results'!$A$6:$N$26,11,FALSE)</f>
        <v>0</v>
      </c>
      <c r="I6" s="44">
        <f>HLOOKUP(Tableau3[[#This Row],[Nom D]],'pooled normalised values'!$B$74:$V$83,4,FALSE)</f>
        <v>75.127028820688707</v>
      </c>
      <c r="J6" s="44" t="str">
        <f>HLOOKUP(Tableau3[[#This Row],[Nom D]],'pooled normalised values'!$B$74:$V$83,8,FALSE)</f>
        <v>Krustall Wallis</v>
      </c>
      <c r="K6" s="44" t="e">
        <f>VLOOKUP(Tableau3[[#This Row],[Nom D]],'summary results'!$A$29:$N$51,9,FALSE)</f>
        <v>#NUM!</v>
      </c>
      <c r="L6" s="44" t="e">
        <f>VLOOKUP(Tableau3[[#This Row],[Nom D]],'summary results'!$A$29:$N$51,11,FALSE)</f>
        <v>#NUM!</v>
      </c>
      <c r="M6" t="e">
        <f>'summary results'!$G$30</f>
        <v>#NUM!</v>
      </c>
      <c r="N6" t="e">
        <f>'summary results'!$G$31</f>
        <v>#NUM!</v>
      </c>
      <c r="Q6" s="145" t="s">
        <v>112</v>
      </c>
      <c r="U6" s="145" t="s">
        <v>101</v>
      </c>
    </row>
    <row r="7" spans="1:23" x14ac:dyDescent="0.25">
      <c r="A7" s="1" t="str">
        <f t="shared" si="1"/>
        <v>Atrazine-10mg/L</v>
      </c>
      <c r="B7" s="44" t="str">
        <f t="shared" si="2"/>
        <v>Atrazine-10mg/L + Testostérone</v>
      </c>
      <c r="D7" s="44" t="str">
        <f>CONCATENATE(VLOOKUP(Tableau3[[#This Row],[Nom ND]],liste_groupe[],3,FALSE),VLOOKUP(Tableau3[[#This Row],[Nom ND]],liste_groupe[],4,FALSE))</f>
        <v>10mg/L</v>
      </c>
      <c r="E7" s="44">
        <f>HLOOKUP(Tableau3[[#This Row],[Nom ND]],'pooled normalised values'!$B$74:$V$83,4,FALSE)</f>
        <v>71.001807497941201</v>
      </c>
      <c r="F7" s="44" t="str">
        <f>HLOOKUP(Tableau3[[#This Row],[Nom ND]],'pooled normalised values'!$B$74:$V$83,8,FALSE)</f>
        <v>Kruskal-Wallis</v>
      </c>
      <c r="G7" s="44" t="str">
        <f>VLOOKUP(Tableau3[[#This Row],[Nom ND]],'summary results'!$A$6:$N$26,9,FALSE)</f>
        <v>NC</v>
      </c>
      <c r="H7" s="44">
        <f>VLOOKUP(Tableau3[[#This Row],[Nom ND]],'summary results'!$A$6:$N$26,11,FALSE)</f>
        <v>0</v>
      </c>
      <c r="I7" s="44">
        <f>HLOOKUP(Tableau3[[#This Row],[Nom D]],'pooled normalised values'!$B$74:$V$83,4,FALSE)</f>
        <v>100.36300011834072</v>
      </c>
      <c r="J7" s="44" t="str">
        <f>HLOOKUP(Tableau3[[#This Row],[Nom D]],'pooled normalised values'!$B$74:$V$83,8,FALSE)</f>
        <v>Krustall Wallis</v>
      </c>
      <c r="K7" s="44" t="e">
        <f>VLOOKUP(Tableau3[[#This Row],[Nom D]],'summary results'!$A$29:$N$51,9,FALSE)</f>
        <v>#NUM!</v>
      </c>
      <c r="L7" s="44" t="e">
        <f>VLOOKUP(Tableau3[[#This Row],[Nom D]],'summary results'!$A$29:$N$51,11,FALSE)</f>
        <v>#NUM!</v>
      </c>
      <c r="M7" t="e">
        <f>'summary results'!$G$30</f>
        <v>#NUM!</v>
      </c>
      <c r="N7" t="e">
        <f>'summary results'!$G$31</f>
        <v>#NUM!</v>
      </c>
      <c r="Q7" s="145" t="s">
        <v>166</v>
      </c>
      <c r="U7" s="145" t="s">
        <v>1662</v>
      </c>
    </row>
    <row r="8" spans="1:23" x14ac:dyDescent="0.2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c r="Q8" s="145" t="s">
        <v>167</v>
      </c>
      <c r="U8" s="145" t="s">
        <v>1663</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c r="Q9" s="145" t="s">
        <v>168</v>
      </c>
      <c r="U9" s="145" t="s">
        <v>1664</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c r="Q10" s="145" t="s">
        <v>169</v>
      </c>
      <c r="U10" s="145" t="s">
        <v>1665</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c r="Q11" s="145" t="s">
        <v>170</v>
      </c>
      <c r="U11" s="145" t="s">
        <v>1666</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E69DB9-B956-4AEF-A78F-92561F0D191C}"/>
</file>

<file path=customXml/itemProps2.xml><?xml version="1.0" encoding="utf-8"?>
<ds:datastoreItem xmlns:ds="http://schemas.openxmlformats.org/officeDocument/2006/customXml" ds:itemID="{B1085F98-778D-4951-9E0B-B65272326E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2021-06-10T11:34:41Z</dcterms:modified>
</cp:coreProperties>
</file>