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6.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filterPrivacy="1" hidePivotFieldList="1" defaultThemeVersion="124226"/>
  <xr:revisionPtr revIDLastSave="22" documentId="13_ncr:1_{957DABC7-06F6-419E-A201-C786DBA0F92A}" xr6:coauthVersionLast="47" xr6:coauthVersionMax="47" xr10:uidLastSave="{3A4AB628-DD86-4E85-9C3E-2ACD29645FC5}"/>
  <bookViews>
    <workbookView xWindow="-108" yWindow="-108" windowWidth="23256" windowHeight="12576" activeTab="9" xr2:uid="{00000000-000D-0000-FFFF-FFFF00000000}"/>
  </bookViews>
  <sheets>
    <sheet name="Page de garde" sheetId="10" r:id="rId1"/>
    <sheet name="Feuil1" sheetId="39" r:id="rId2"/>
    <sheet name="Raw data R4" sheetId="35" r:id="rId3"/>
    <sheet name="R1" sheetId="1" r:id="rId4"/>
    <sheet name="Graph R4" sheetId="8" r:id="rId5"/>
    <sheet name="Raw data R5" sheetId="36" r:id="rId6"/>
    <sheet name="R2" sheetId="23" r:id="rId7"/>
    <sheet name="Graph R5" sheetId="19" r:id="rId8"/>
    <sheet name="Raw data R6" sheetId="37" r:id="rId9"/>
    <sheet name="R3" sheetId="33" r:id="rId10"/>
    <sheet name="Graph R6"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0" r:id="rId20"/>
    <pivotCache cacheId="1" r:id="rId21"/>
    <pivotCache cacheId="2" r:id="rId22"/>
    <pivotCache cacheId="3"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61" i="23" l="1"/>
  <c r="S61" i="23"/>
  <c r="T61" i="23"/>
  <c r="U61" i="23"/>
  <c r="V61" i="23"/>
  <c r="H61" i="23"/>
  <c r="C61" i="23"/>
  <c r="D61" i="23"/>
  <c r="E61" i="23"/>
  <c r="F61" i="23"/>
  <c r="G61" i="23"/>
  <c r="S34" i="23"/>
  <c r="I61" i="1"/>
  <c r="J61" i="1"/>
  <c r="K61" i="1"/>
  <c r="L61" i="1"/>
  <c r="M61" i="1"/>
  <c r="C61" i="1"/>
  <c r="D61" i="1"/>
  <c r="E61" i="1"/>
  <c r="F61" i="1"/>
  <c r="G61" i="1"/>
  <c r="H61" i="1"/>
  <c r="D56" i="33"/>
  <c r="C56" i="33"/>
  <c r="F56" i="33"/>
  <c r="G56" i="33"/>
  <c r="M56" i="33"/>
  <c r="I56" i="33"/>
  <c r="B56" i="33"/>
  <c r="H56" i="33"/>
  <c r="L56" i="33"/>
  <c r="K56" i="33"/>
  <c r="E56" i="33"/>
  <c r="J56" i="33"/>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R35" i="33"/>
  <c r="R45" i="4" s="1"/>
  <c r="Q35" i="33"/>
  <c r="Q45" i="4" s="1"/>
  <c r="C35" i="33"/>
  <c r="C45" i="4" s="1"/>
  <c r="R34" i="33"/>
  <c r="R44" i="4" s="1"/>
  <c r="Q34" i="33"/>
  <c r="Q44" i="4" s="1"/>
  <c r="R33" i="33"/>
  <c r="R43" i="4" s="1"/>
  <c r="Q33" i="33"/>
  <c r="Q43" i="4" s="1"/>
  <c r="D33" i="33"/>
  <c r="D43" i="4" s="1"/>
  <c r="S32" i="33"/>
  <c r="S42" i="4" s="1"/>
  <c r="R32" i="33"/>
  <c r="R42" i="4" s="1"/>
  <c r="S31" i="33"/>
  <c r="S41" i="4" s="1"/>
  <c r="R31" i="33"/>
  <c r="R41" i="4" s="1"/>
  <c r="L31" i="33"/>
  <c r="L41" i="4" s="1"/>
  <c r="T30" i="33"/>
  <c r="T40" i="4" s="1"/>
  <c r="S30" i="33"/>
  <c r="S40" i="4" s="1"/>
  <c r="S29" i="33"/>
  <c r="S39" i="4" s="1"/>
  <c r="R29" i="33"/>
  <c r="R39" i="4" s="1"/>
  <c r="E29" i="33"/>
  <c r="E39" i="4" s="1"/>
  <c r="T28" i="33"/>
  <c r="S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O35" i="33" s="1"/>
  <c r="O45" i="4" s="1"/>
  <c r="L23" i="33"/>
  <c r="J23" i="33"/>
  <c r="I23" i="33"/>
  <c r="H23" i="33"/>
  <c r="G23" i="33"/>
  <c r="F23" i="33"/>
  <c r="E23" i="33"/>
  <c r="D23" i="33"/>
  <c r="C23" i="33"/>
  <c r="B23" i="33"/>
  <c r="A22" i="33"/>
  <c r="H22" i="33"/>
  <c r="G45" i="33"/>
  <c r="F27" i="33"/>
  <c r="F52" i="33" s="1"/>
  <c r="E45" i="33"/>
  <c r="D22" i="33"/>
  <c r="C45" i="33"/>
  <c r="B45" i="33"/>
  <c r="T56" i="33"/>
  <c r="S56" i="33"/>
  <c r="P56" i="33"/>
  <c r="V56" i="33"/>
  <c r="U56" i="33"/>
  <c r="Q56" i="33"/>
  <c r="R56" i="33"/>
  <c r="U28" i="33" l="1"/>
  <c r="T29" i="33"/>
  <c r="T39" i="4" s="1"/>
  <c r="U30" i="33"/>
  <c r="U40" i="4" s="1"/>
  <c r="T31" i="33"/>
  <c r="T41" i="4" s="1"/>
  <c r="T32" i="33"/>
  <c r="T42" i="4" s="1"/>
  <c r="S33" i="33"/>
  <c r="S43" i="4" s="1"/>
  <c r="S34" i="33"/>
  <c r="S44" i="4" s="1"/>
  <c r="S35" i="33"/>
  <c r="S45" i="4" s="1"/>
  <c r="V28" i="33"/>
  <c r="U29" i="33"/>
  <c r="U39" i="4" s="1"/>
  <c r="V30" i="33"/>
  <c r="V40" i="4" s="1"/>
  <c r="U31" i="33"/>
  <c r="U41" i="4" s="1"/>
  <c r="U32" i="33"/>
  <c r="U42" i="4" s="1"/>
  <c r="T33" i="33"/>
  <c r="T43" i="4" s="1"/>
  <c r="T34" i="33"/>
  <c r="T44" i="4" s="1"/>
  <c r="T35" i="33"/>
  <c r="T45" i="4" s="1"/>
  <c r="V29" i="33"/>
  <c r="V39" i="4" s="1"/>
  <c r="G31" i="33"/>
  <c r="G41" i="4" s="1"/>
  <c r="V31" i="33"/>
  <c r="V41" i="4" s="1"/>
  <c r="V32" i="33"/>
  <c r="V42" i="4" s="1"/>
  <c r="U33" i="33"/>
  <c r="U43" i="4" s="1"/>
  <c r="U34" i="33"/>
  <c r="U44" i="4" s="1"/>
  <c r="U35" i="33"/>
  <c r="U45" i="4" s="1"/>
  <c r="P28" i="33"/>
  <c r="G29" i="33"/>
  <c r="G39" i="4" s="1"/>
  <c r="P30" i="33"/>
  <c r="P40" i="4" s="1"/>
  <c r="K32" i="33"/>
  <c r="K42" i="4" s="1"/>
  <c r="C33" i="33"/>
  <c r="C43" i="4" s="1"/>
  <c r="V33" i="33"/>
  <c r="V43" i="4" s="1"/>
  <c r="V34" i="33"/>
  <c r="V44" i="4" s="1"/>
  <c r="V35" i="33"/>
  <c r="V45" i="4" s="1"/>
  <c r="Q28" i="33"/>
  <c r="P29" i="33"/>
  <c r="P39" i="4" s="1"/>
  <c r="Q30" i="33"/>
  <c r="Q40" i="4" s="1"/>
  <c r="P31" i="33"/>
  <c r="P41" i="4" s="1"/>
  <c r="P32" i="33"/>
  <c r="P42" i="4" s="1"/>
  <c r="G34" i="33"/>
  <c r="G44" i="4" s="1"/>
  <c r="R28" i="33"/>
  <c r="R47" i="33" s="1"/>
  <c r="R48" i="33" s="1"/>
  <c r="R54" i="33" s="1"/>
  <c r="Q29" i="33"/>
  <c r="Q39" i="4" s="1"/>
  <c r="R30" i="33"/>
  <c r="R40" i="4" s="1"/>
  <c r="Q31" i="33"/>
  <c r="Q41" i="4" s="1"/>
  <c r="Q32" i="33"/>
  <c r="Q42" i="4" s="1"/>
  <c r="P33" i="33"/>
  <c r="P43" i="4" s="1"/>
  <c r="P34" i="33"/>
  <c r="P44" i="4" s="1"/>
  <c r="P35" i="33"/>
  <c r="P45" i="4" s="1"/>
  <c r="B28" i="33"/>
  <c r="B38" i="4" s="1"/>
  <c r="K29" i="33"/>
  <c r="K39" i="4" s="1"/>
  <c r="C30" i="33"/>
  <c r="C40" i="4" s="1"/>
  <c r="K31" i="33"/>
  <c r="K41" i="4" s="1"/>
  <c r="K34" i="33"/>
  <c r="K44" i="4" s="1"/>
  <c r="F28" i="33"/>
  <c r="C29" i="33"/>
  <c r="C39" i="4" s="1"/>
  <c r="G30" i="33"/>
  <c r="G40" i="4" s="1"/>
  <c r="C32" i="33"/>
  <c r="C42" i="4" s="1"/>
  <c r="G33" i="33"/>
  <c r="G43" i="4" s="1"/>
  <c r="G35" i="33"/>
  <c r="G45" i="4" s="1"/>
  <c r="J28" i="33"/>
  <c r="K30" i="33"/>
  <c r="K40" i="4" s="1"/>
  <c r="C31" i="33"/>
  <c r="C41" i="4" s="1"/>
  <c r="G32" i="33"/>
  <c r="G42" i="4" s="1"/>
  <c r="K33" i="33"/>
  <c r="K43" i="4" s="1"/>
  <c r="C34" i="33"/>
  <c r="C44" i="4" s="1"/>
  <c r="K35" i="33"/>
  <c r="K45" i="4" s="1"/>
  <c r="O36" i="33"/>
  <c r="O46" i="4" s="1"/>
  <c r="O37" i="33"/>
  <c r="O47" i="4" s="1"/>
  <c r="O38" i="33"/>
  <c r="O48" i="4" s="1"/>
  <c r="O39" i="33"/>
  <c r="O49" i="4" s="1"/>
  <c r="O40" i="33"/>
  <c r="O50" i="4" s="1"/>
  <c r="O41" i="33"/>
  <c r="O51" i="4" s="1"/>
  <c r="O42" i="33"/>
  <c r="O52" i="4" s="1"/>
  <c r="O43" i="33"/>
  <c r="O53" i="4" s="1"/>
  <c r="C28" i="33"/>
  <c r="G28" i="33"/>
  <c r="K28" i="33"/>
  <c r="K38" i="4" s="1"/>
  <c r="D29" i="33"/>
  <c r="D39" i="4" s="1"/>
  <c r="H29" i="33"/>
  <c r="H39" i="4" s="1"/>
  <c r="L29" i="33"/>
  <c r="L39" i="4" s="1"/>
  <c r="D30" i="33"/>
  <c r="D40" i="4" s="1"/>
  <c r="H30" i="33"/>
  <c r="H40" i="4" s="1"/>
  <c r="L30" i="33"/>
  <c r="L40" i="4" s="1"/>
  <c r="D31" i="33"/>
  <c r="D41" i="4" s="1"/>
  <c r="H31" i="33"/>
  <c r="H41" i="4" s="1"/>
  <c r="D32" i="33"/>
  <c r="D42" i="4" s="1"/>
  <c r="H32" i="33"/>
  <c r="H42" i="4" s="1"/>
  <c r="L32" i="33"/>
  <c r="L42" i="4" s="1"/>
  <c r="H33" i="33"/>
  <c r="H43" i="4" s="1"/>
  <c r="L33" i="33"/>
  <c r="L43" i="4" s="1"/>
  <c r="D34" i="33"/>
  <c r="D44" i="4" s="1"/>
  <c r="H34" i="33"/>
  <c r="H44" i="4" s="1"/>
  <c r="L34" i="33"/>
  <c r="L44" i="4" s="1"/>
  <c r="D35" i="33"/>
  <c r="D45" i="4" s="1"/>
  <c r="H35" i="33"/>
  <c r="H45" i="4" s="1"/>
  <c r="L35" i="33"/>
  <c r="L45" i="4" s="1"/>
  <c r="H28" i="33"/>
  <c r="H38" i="4" s="1"/>
  <c r="I29" i="33"/>
  <c r="I39" i="4" s="1"/>
  <c r="M29" i="33"/>
  <c r="M39" i="4" s="1"/>
  <c r="B30" i="33"/>
  <c r="B40" i="4" s="1"/>
  <c r="E30" i="33"/>
  <c r="E40" i="4" s="1"/>
  <c r="I30" i="33"/>
  <c r="I40" i="4" s="1"/>
  <c r="M30" i="33"/>
  <c r="M40" i="4" s="1"/>
  <c r="B31" i="33"/>
  <c r="B41" i="4" s="1"/>
  <c r="E31" i="33"/>
  <c r="E41" i="4" s="1"/>
  <c r="I31" i="33"/>
  <c r="I41" i="4" s="1"/>
  <c r="M31" i="33"/>
  <c r="M41" i="4" s="1"/>
  <c r="B32" i="33"/>
  <c r="B42" i="4" s="1"/>
  <c r="E32" i="33"/>
  <c r="E42" i="4" s="1"/>
  <c r="I32" i="33"/>
  <c r="I42" i="4" s="1"/>
  <c r="M32" i="33"/>
  <c r="M42" i="4" s="1"/>
  <c r="B33" i="33"/>
  <c r="B43" i="4" s="1"/>
  <c r="E33" i="33"/>
  <c r="E43" i="4" s="1"/>
  <c r="I33" i="33"/>
  <c r="I43" i="4" s="1"/>
  <c r="M33" i="33"/>
  <c r="M43" i="4" s="1"/>
  <c r="B34" i="33"/>
  <c r="B44" i="4" s="1"/>
  <c r="E34" i="33"/>
  <c r="E44" i="4" s="1"/>
  <c r="I34" i="33"/>
  <c r="I44" i="4" s="1"/>
  <c r="M34" i="33"/>
  <c r="M44" i="4" s="1"/>
  <c r="B35" i="33"/>
  <c r="B45" i="4" s="1"/>
  <c r="E35" i="33"/>
  <c r="E45" i="4" s="1"/>
  <c r="I35" i="33"/>
  <c r="I45" i="4" s="1"/>
  <c r="M35" i="33"/>
  <c r="M45" i="4" s="1"/>
  <c r="D28" i="33"/>
  <c r="D38" i="4" s="1"/>
  <c r="L28" i="33"/>
  <c r="O28" i="33"/>
  <c r="B29" i="33"/>
  <c r="B39" i="4" s="1"/>
  <c r="E28" i="33"/>
  <c r="E38" i="4" s="1"/>
  <c r="I28" i="33"/>
  <c r="I38" i="4" s="1"/>
  <c r="M28" i="33"/>
  <c r="M38" i="4" s="1"/>
  <c r="F29" i="33"/>
  <c r="F39" i="4" s="1"/>
  <c r="J29" i="33"/>
  <c r="J39" i="4" s="1"/>
  <c r="O29" i="33"/>
  <c r="O39" i="4" s="1"/>
  <c r="F30" i="33"/>
  <c r="F40" i="4" s="1"/>
  <c r="J30" i="33"/>
  <c r="J40" i="4" s="1"/>
  <c r="O30" i="33"/>
  <c r="O40" i="4" s="1"/>
  <c r="F31" i="33"/>
  <c r="F41" i="4" s="1"/>
  <c r="J31" i="33"/>
  <c r="J41" i="4" s="1"/>
  <c r="O31" i="33"/>
  <c r="O41" i="4" s="1"/>
  <c r="F32" i="33"/>
  <c r="F42" i="4" s="1"/>
  <c r="J32" i="33"/>
  <c r="J42" i="4" s="1"/>
  <c r="O32" i="33"/>
  <c r="O42" i="4" s="1"/>
  <c r="F33" i="33"/>
  <c r="F43" i="4" s="1"/>
  <c r="J33" i="33"/>
  <c r="J43" i="4" s="1"/>
  <c r="O33" i="33"/>
  <c r="O43" i="4" s="1"/>
  <c r="F34" i="33"/>
  <c r="F44" i="4" s="1"/>
  <c r="J34" i="33"/>
  <c r="J44" i="4" s="1"/>
  <c r="O34" i="33"/>
  <c r="O44" i="4" s="1"/>
  <c r="F35" i="33"/>
  <c r="F45" i="4" s="1"/>
  <c r="J35" i="33"/>
  <c r="J45" i="4" s="1"/>
  <c r="U38" i="4"/>
  <c r="V38" i="4"/>
  <c r="B22" i="33"/>
  <c r="E22" i="33"/>
  <c r="I45" i="33"/>
  <c r="I52" i="33"/>
  <c r="I27" i="33"/>
  <c r="G38" i="4"/>
  <c r="P46" i="33"/>
  <c r="P53" i="33" s="1"/>
  <c r="P38" i="4"/>
  <c r="P47" i="33"/>
  <c r="P48" i="33" s="1"/>
  <c r="P54" i="33" s="1"/>
  <c r="T38" i="4"/>
  <c r="B27" i="33"/>
  <c r="B52" i="33" s="1"/>
  <c r="Q38" i="4"/>
  <c r="D27" i="33"/>
  <c r="D52" i="33" s="1"/>
  <c r="I22" i="33"/>
  <c r="E27" i="33"/>
  <c r="E52" i="33" s="1"/>
  <c r="F38" i="4"/>
  <c r="J38" i="4"/>
  <c r="S38" i="4"/>
  <c r="D45" i="33"/>
  <c r="G57" i="33"/>
  <c r="T57" i="33"/>
  <c r="H57" i="33"/>
  <c r="U57" i="33"/>
  <c r="C57" i="33"/>
  <c r="J57" i="33"/>
  <c r="P57" i="33"/>
  <c r="D57" i="33"/>
  <c r="L57" i="33"/>
  <c r="S57" i="33"/>
  <c r="F57" i="33"/>
  <c r="K57" i="33"/>
  <c r="Q57" i="33"/>
  <c r="B57" i="33"/>
  <c r="E57" i="33"/>
  <c r="I57" i="33"/>
  <c r="M57" i="33"/>
  <c r="R57" i="33"/>
  <c r="V57" i="33"/>
  <c r="F22" i="33"/>
  <c r="B47" i="33"/>
  <c r="B48" i="33" s="1"/>
  <c r="B54" i="33" s="1"/>
  <c r="B46" i="33"/>
  <c r="F45" i="33"/>
  <c r="G22" i="33"/>
  <c r="G27" i="33"/>
  <c r="G52" i="33" s="1"/>
  <c r="C22" i="33"/>
  <c r="C27" i="33"/>
  <c r="C52" i="33" s="1"/>
  <c r="H27" i="33"/>
  <c r="H52" i="33" s="1"/>
  <c r="H45" i="33"/>
  <c r="O56" i="33"/>
  <c r="S47" i="33" l="1"/>
  <c r="S48" i="33" s="1"/>
  <c r="S54" i="33" s="1"/>
  <c r="S46" i="33"/>
  <c r="S53" i="33" s="1"/>
  <c r="Q47" i="33"/>
  <c r="Q48" i="33" s="1"/>
  <c r="Q54" i="33" s="1"/>
  <c r="K46" i="33"/>
  <c r="K53" i="33" s="1"/>
  <c r="R38" i="4"/>
  <c r="Q46" i="33"/>
  <c r="Q53" i="33" s="1"/>
  <c r="U47" i="33"/>
  <c r="U48" i="33" s="1"/>
  <c r="U54" i="33" s="1"/>
  <c r="R46" i="33"/>
  <c r="R53" i="33" s="1"/>
  <c r="U46" i="33"/>
  <c r="U53" i="33" s="1"/>
  <c r="T47" i="33"/>
  <c r="T48" i="33" s="1"/>
  <c r="T54" i="33" s="1"/>
  <c r="V46" i="33"/>
  <c r="V53" i="33" s="1"/>
  <c r="V47" i="33"/>
  <c r="V48" i="33" s="1"/>
  <c r="V54" i="33" s="1"/>
  <c r="T46" i="33"/>
  <c r="T53" i="33" s="1"/>
  <c r="L46" i="33"/>
  <c r="L53" i="33" s="1"/>
  <c r="I46" i="33"/>
  <c r="I53" i="33" s="1"/>
  <c r="G47" i="33"/>
  <c r="G48" i="33" s="1"/>
  <c r="G54" i="33" s="1"/>
  <c r="C46" i="33"/>
  <c r="C53" i="33" s="1"/>
  <c r="G46" i="33"/>
  <c r="G53" i="33" s="1"/>
  <c r="K47" i="33"/>
  <c r="K48" i="33" s="1"/>
  <c r="K54" i="33" s="1"/>
  <c r="C47" i="33"/>
  <c r="C48" i="33" s="1"/>
  <c r="C54" i="33" s="1"/>
  <c r="I47" i="33"/>
  <c r="I48" i="33" s="1"/>
  <c r="I54" i="33" s="1"/>
  <c r="E46" i="33"/>
  <c r="E53" i="33" s="1"/>
  <c r="H46" i="33"/>
  <c r="H53" i="33" s="1"/>
  <c r="E47" i="33"/>
  <c r="E48" i="33" s="1"/>
  <c r="E54" i="33" s="1"/>
  <c r="D47" i="33"/>
  <c r="D48" i="33" s="1"/>
  <c r="D54" i="33" s="1"/>
  <c r="O47" i="33"/>
  <c r="O48" i="33" s="1"/>
  <c r="O54" i="33" s="1"/>
  <c r="O46" i="33"/>
  <c r="O53" i="33" s="1"/>
  <c r="O55" i="33" s="1"/>
  <c r="O57" i="33"/>
  <c r="U61" i="33" s="1"/>
  <c r="O38" i="4"/>
  <c r="F47" i="33"/>
  <c r="F48" i="33" s="1"/>
  <c r="F54" i="33" s="1"/>
  <c r="M46" i="33"/>
  <c r="M53" i="33" s="1"/>
  <c r="D46" i="33"/>
  <c r="D53" i="33" s="1"/>
  <c r="J47" i="33"/>
  <c r="J48" i="33" s="1"/>
  <c r="J54" i="33" s="1"/>
  <c r="L38" i="4"/>
  <c r="C38" i="4"/>
  <c r="M47" i="33"/>
  <c r="M48" i="33" s="1"/>
  <c r="M54" i="33" s="1"/>
  <c r="L47" i="33"/>
  <c r="L48" i="33" s="1"/>
  <c r="L54" i="33" s="1"/>
  <c r="H47" i="33"/>
  <c r="H48" i="33" s="1"/>
  <c r="H54" i="33" s="1"/>
  <c r="J46" i="33"/>
  <c r="J53" i="33" s="1"/>
  <c r="F46" i="33"/>
  <c r="F53" i="33" s="1"/>
  <c r="V55" i="33"/>
  <c r="U55" i="33"/>
  <c r="R55" i="33"/>
  <c r="S55" i="33"/>
  <c r="Q55" i="33"/>
  <c r="T55" i="33"/>
  <c r="P55" i="33"/>
  <c r="O59" i="33"/>
  <c r="S61" i="33"/>
  <c r="T61" i="33"/>
  <c r="B53" i="33"/>
  <c r="B65" i="33"/>
  <c r="B64" i="33"/>
  <c r="M55" i="33" l="1"/>
  <c r="O61" i="33"/>
  <c r="L61" i="33"/>
  <c r="D61" i="33"/>
  <c r="C61" i="33"/>
  <c r="G61" i="33"/>
  <c r="I61" i="33"/>
  <c r="F61" i="33"/>
  <c r="E61" i="33"/>
  <c r="H61" i="33"/>
  <c r="V61" i="33"/>
  <c r="Q59" i="33"/>
  <c r="Q61" i="33" s="1"/>
  <c r="P59" i="33"/>
  <c r="P61" i="33" s="1"/>
  <c r="R61" i="33"/>
  <c r="D55" i="33"/>
  <c r="B55" i="33"/>
  <c r="K55" i="33"/>
  <c r="L55" i="33"/>
  <c r="G55" i="33"/>
  <c r="F55" i="33"/>
  <c r="C55" i="33"/>
  <c r="J55" i="33"/>
  <c r="H55" i="33"/>
  <c r="I55" i="33"/>
  <c r="E55" i="33"/>
  <c r="M61" i="33" l="1"/>
  <c r="J61" i="33"/>
  <c r="K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S28" i="4"/>
  <c r="P36" i="23"/>
  <c r="P30" i="4" s="1"/>
  <c r="Q36" i="23"/>
  <c r="Q30" i="4" s="1"/>
  <c r="R36" i="23"/>
  <c r="R30" i="4" s="1"/>
  <c r="S36" i="23"/>
  <c r="T36" i="23"/>
  <c r="T30" i="4" s="1"/>
  <c r="U36" i="23"/>
  <c r="U30" i="4" s="1"/>
  <c r="V36" i="23"/>
  <c r="V30" i="4" s="1"/>
  <c r="P37" i="23"/>
  <c r="P31" i="4" s="1"/>
  <c r="Q37" i="23"/>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P40" i="23"/>
  <c r="P34" i="4" s="1"/>
  <c r="Q40" i="23"/>
  <c r="Q34" i="4" s="1"/>
  <c r="R40" i="23"/>
  <c r="R34" i="4" s="1"/>
  <c r="S40" i="23"/>
  <c r="T40" i="23"/>
  <c r="T34" i="4" s="1"/>
  <c r="U40" i="23"/>
  <c r="U34" i="4" s="1"/>
  <c r="V40" i="23"/>
  <c r="V34" i="4" s="1"/>
  <c r="P41" i="23"/>
  <c r="P35" i="4" s="1"/>
  <c r="Q41" i="23"/>
  <c r="Q35" i="4" s="1"/>
  <c r="R41" i="23"/>
  <c r="R35" i="4" s="1"/>
  <c r="S41" i="23"/>
  <c r="S35" i="4" s="1"/>
  <c r="T41" i="23"/>
  <c r="T35" i="4" s="1"/>
  <c r="U41" i="23"/>
  <c r="U35" i="4" s="1"/>
  <c r="V41" i="23"/>
  <c r="P42" i="23"/>
  <c r="P36" i="4" s="1"/>
  <c r="Q42" i="23"/>
  <c r="Q36" i="4" s="1"/>
  <c r="R42" i="23"/>
  <c r="R36" i="4" s="1"/>
  <c r="S42" i="23"/>
  <c r="T42" i="23"/>
  <c r="T36" i="4" s="1"/>
  <c r="U42" i="23"/>
  <c r="U36" i="4" s="1"/>
  <c r="V42" i="23"/>
  <c r="V36" i="4" s="1"/>
  <c r="P43" i="23"/>
  <c r="Q43" i="23"/>
  <c r="Q37" i="4" s="1"/>
  <c r="R43" i="23"/>
  <c r="S43" i="23"/>
  <c r="T43" i="23"/>
  <c r="U43" i="23"/>
  <c r="U37" i="4" s="1"/>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V28" i="1"/>
  <c r="S29" i="1"/>
  <c r="S7" i="4" s="1"/>
  <c r="S31" i="1"/>
  <c r="S9" i="4" s="1"/>
  <c r="S33" i="1"/>
  <c r="S11" i="4" s="1"/>
  <c r="S35" i="1"/>
  <c r="S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L28"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V35" i="4"/>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V33" i="4"/>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L23" i="23"/>
  <c r="J23" i="23"/>
  <c r="I23" i="23"/>
  <c r="H23" i="23"/>
  <c r="G23" i="23"/>
  <c r="F23" i="23"/>
  <c r="E23" i="23"/>
  <c r="D23" i="23"/>
  <c r="C23" i="23"/>
  <c r="B23" i="23"/>
  <c r="Q45" i="23"/>
  <c r="P45" i="23"/>
  <c r="O45" i="23"/>
  <c r="I22" i="23"/>
  <c r="H27" i="23"/>
  <c r="H52" i="23" s="1"/>
  <c r="G45" i="23"/>
  <c r="F27" i="23"/>
  <c r="F52" i="23" s="1"/>
  <c r="E45" i="23"/>
  <c r="C45" i="23"/>
  <c r="B45" i="23"/>
  <c r="C28" i="23"/>
  <c r="J40" i="23"/>
  <c r="J34" i="4" s="1"/>
  <c r="J36" i="23"/>
  <c r="J30" i="4" s="1"/>
  <c r="C31" i="23"/>
  <c r="C25" i="4" s="1"/>
  <c r="E29" i="23"/>
  <c r="E23" i="4" s="1"/>
  <c r="J42" i="23"/>
  <c r="J36" i="4" s="1"/>
  <c r="J38" i="23"/>
  <c r="J32" i="4" s="1"/>
  <c r="F34" i="23"/>
  <c r="F28" i="4" s="1"/>
  <c r="C33" i="23"/>
  <c r="C27" i="4" s="1"/>
  <c r="I31" i="23"/>
  <c r="I25" i="4" s="1"/>
  <c r="E31" i="23"/>
  <c r="E25" i="4" s="1"/>
  <c r="C29" i="23"/>
  <c r="C23" i="4" s="1"/>
  <c r="D28" i="23"/>
  <c r="J41" i="23"/>
  <c r="J35" i="4" s="1"/>
  <c r="J37" i="23"/>
  <c r="J31" i="4" s="1"/>
  <c r="H35" i="23"/>
  <c r="H29" i="4" s="1"/>
  <c r="E34" i="23"/>
  <c r="E28" i="4" s="1"/>
  <c r="C32" i="23"/>
  <c r="C26" i="4" s="1"/>
  <c r="J43" i="23"/>
  <c r="J39" i="23"/>
  <c r="J33" i="4" s="1"/>
  <c r="J35" i="23"/>
  <c r="J29" i="4" s="1"/>
  <c r="F35" i="23"/>
  <c r="F29" i="4" s="1"/>
  <c r="G34" i="23"/>
  <c r="G28" i="4" s="1"/>
  <c r="C34" i="23"/>
  <c r="C28" i="4" s="1"/>
  <c r="H33" i="23"/>
  <c r="H27" i="4" s="1"/>
  <c r="D33" i="23"/>
  <c r="D27" i="4" s="1"/>
  <c r="I32" i="23"/>
  <c r="I26" i="4" s="1"/>
  <c r="E32" i="23"/>
  <c r="E26" i="4" s="1"/>
  <c r="J31" i="23"/>
  <c r="J25" i="4" s="1"/>
  <c r="F31" i="23"/>
  <c r="F25" i="4" s="1"/>
  <c r="G30" i="23"/>
  <c r="G24" i="4" s="1"/>
  <c r="C30" i="23"/>
  <c r="C24" i="4" s="1"/>
  <c r="H29" i="23"/>
  <c r="H23" i="4" s="1"/>
  <c r="D29" i="23"/>
  <c r="D23" i="4" s="1"/>
  <c r="I28" i="23"/>
  <c r="E28" i="23"/>
  <c r="I35" i="23"/>
  <c r="I29" i="4" s="1"/>
  <c r="E35" i="23"/>
  <c r="E29" i="4" s="1"/>
  <c r="G33" i="23"/>
  <c r="G27" i="4" s="1"/>
  <c r="D32" i="23"/>
  <c r="D26" i="4" s="1"/>
  <c r="G29" i="23"/>
  <c r="G23" i="4" s="1"/>
  <c r="H28" i="23"/>
  <c r="D35" i="23"/>
  <c r="D29" i="4" s="1"/>
  <c r="J33" i="23"/>
  <c r="J27" i="4" s="1"/>
  <c r="F33" i="23"/>
  <c r="F27" i="4" s="1"/>
  <c r="G32" i="23"/>
  <c r="G26" i="4" s="1"/>
  <c r="H31" i="23"/>
  <c r="H25" i="4" s="1"/>
  <c r="G28" i="23"/>
  <c r="I30" i="23"/>
  <c r="I24"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E35" i="1"/>
  <c r="E13" i="4" s="1"/>
  <c r="G35" i="1"/>
  <c r="G13" i="4" s="1"/>
  <c r="O40" i="1"/>
  <c r="O18" i="4" s="1"/>
  <c r="Q33" i="1"/>
  <c r="Q11" i="4" s="1"/>
  <c r="Q35" i="1"/>
  <c r="Q13"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R56" i="23"/>
  <c r="T56" i="1"/>
  <c r="S56" i="23"/>
  <c r="P56" i="23"/>
  <c r="V56" i="23"/>
  <c r="S56" i="1"/>
  <c r="U56" i="23"/>
  <c r="T56" i="23"/>
  <c r="U56" i="1"/>
  <c r="Q56" i="23"/>
  <c r="V56" i="1"/>
  <c r="P28" i="1" l="1"/>
  <c r="G30" i="1"/>
  <c r="G8" i="4" s="1"/>
  <c r="H35" i="1"/>
  <c r="H13" i="4" s="1"/>
  <c r="T35" i="1"/>
  <c r="T13" i="4" s="1"/>
  <c r="T33" i="1"/>
  <c r="T11" i="4" s="1"/>
  <c r="T31" i="1"/>
  <c r="T9" i="4" s="1"/>
  <c r="T29" i="1"/>
  <c r="T7" i="4" s="1"/>
  <c r="V34" i="1"/>
  <c r="V12" i="4" s="1"/>
  <c r="V32" i="1"/>
  <c r="V10" i="4" s="1"/>
  <c r="V30" i="1"/>
  <c r="V8" i="4" s="1"/>
  <c r="C35" i="1"/>
  <c r="C13" i="4" s="1"/>
  <c r="H30" i="1"/>
  <c r="H8" i="4" s="1"/>
  <c r="U34" i="1"/>
  <c r="U12" i="4" s="1"/>
  <c r="U32" i="1"/>
  <c r="U10" i="4" s="1"/>
  <c r="U30" i="1"/>
  <c r="U8" i="4" s="1"/>
  <c r="U28" i="1"/>
  <c r="U46" i="1" s="1"/>
  <c r="U53" i="1" s="1"/>
  <c r="O32" i="1"/>
  <c r="O10" i="4" s="1"/>
  <c r="I33" i="1"/>
  <c r="I11" i="4" s="1"/>
  <c r="O41" i="1"/>
  <c r="O19" i="4" s="1"/>
  <c r="Q31" i="1"/>
  <c r="Q9" i="4" s="1"/>
  <c r="I29" i="1"/>
  <c r="T34" i="1"/>
  <c r="T12" i="4" s="1"/>
  <c r="T32" i="1"/>
  <c r="T10" i="4" s="1"/>
  <c r="T30" i="1"/>
  <c r="T8" i="4" s="1"/>
  <c r="T28" i="1"/>
  <c r="F32" i="1"/>
  <c r="F10" i="4" s="1"/>
  <c r="Q34" i="1"/>
  <c r="Q12" i="4" s="1"/>
  <c r="P34" i="1"/>
  <c r="P12" i="4" s="1"/>
  <c r="O43" i="1"/>
  <c r="E29" i="1"/>
  <c r="S34" i="1"/>
  <c r="S12" i="4" s="1"/>
  <c r="S32" i="1"/>
  <c r="S10" i="4" s="1"/>
  <c r="S30" i="1"/>
  <c r="S8" i="4" s="1"/>
  <c r="S28" i="1"/>
  <c r="B33" i="1"/>
  <c r="B11" i="4" s="1"/>
  <c r="P33" i="1"/>
  <c r="P11" i="4" s="1"/>
  <c r="G34" i="1"/>
  <c r="G12" i="4" s="1"/>
  <c r="H33" i="1"/>
  <c r="H11" i="4" s="1"/>
  <c r="R33" i="1"/>
  <c r="R11" i="4" s="1"/>
  <c r="H34" i="23"/>
  <c r="H28" i="4" s="1"/>
  <c r="P28" i="23"/>
  <c r="Q29" i="23"/>
  <c r="Q23" i="4" s="1"/>
  <c r="S30" i="23"/>
  <c r="S24" i="4" s="1"/>
  <c r="T31" i="23"/>
  <c r="T25" i="4" s="1"/>
  <c r="U32" i="23"/>
  <c r="U26" i="4" s="1"/>
  <c r="V33" i="23"/>
  <c r="V27" i="4" s="1"/>
  <c r="P35" i="23"/>
  <c r="P29" i="4" s="1"/>
  <c r="V28" i="23"/>
  <c r="V22" i="4" s="1"/>
  <c r="Q28" i="23"/>
  <c r="R29" i="23"/>
  <c r="R23" i="4" s="1"/>
  <c r="T30" i="23"/>
  <c r="T24" i="4" s="1"/>
  <c r="U31" i="23"/>
  <c r="U25" i="4" s="1"/>
  <c r="V32" i="23"/>
  <c r="V26" i="4" s="1"/>
  <c r="P34" i="23"/>
  <c r="P28" i="4" s="1"/>
  <c r="Q35" i="23"/>
  <c r="Q29" i="4" s="1"/>
  <c r="R28" i="23"/>
  <c r="R47" i="23" s="1"/>
  <c r="R48" i="23" s="1"/>
  <c r="R54" i="23" s="1"/>
  <c r="T29" i="23"/>
  <c r="T23" i="4" s="1"/>
  <c r="U30" i="23"/>
  <c r="U24" i="4" s="1"/>
  <c r="V31" i="23"/>
  <c r="V25" i="4" s="1"/>
  <c r="P33" i="23"/>
  <c r="P27" i="4" s="1"/>
  <c r="Q34" i="23"/>
  <c r="Q28" i="4" s="1"/>
  <c r="R35" i="23"/>
  <c r="R29" i="4" s="1"/>
  <c r="R31" i="23"/>
  <c r="R25" i="4" s="1"/>
  <c r="U34" i="23"/>
  <c r="U28" i="4" s="1"/>
  <c r="S28" i="23"/>
  <c r="S22" i="4" s="1"/>
  <c r="U29" i="23"/>
  <c r="U23" i="4" s="1"/>
  <c r="V30" i="23"/>
  <c r="V24" i="4" s="1"/>
  <c r="P32" i="23"/>
  <c r="P26" i="4" s="1"/>
  <c r="Q33" i="23"/>
  <c r="Q27" i="4" s="1"/>
  <c r="R34" i="23"/>
  <c r="R28" i="4" s="1"/>
  <c r="S35" i="23"/>
  <c r="S29" i="4" s="1"/>
  <c r="T33" i="23"/>
  <c r="T47" i="23" s="1"/>
  <c r="T48" i="23" s="1"/>
  <c r="T54" i="23" s="1"/>
  <c r="S29" i="23"/>
  <c r="S23" i="4" s="1"/>
  <c r="T28" i="23"/>
  <c r="T22" i="4" s="1"/>
  <c r="V29" i="23"/>
  <c r="V23" i="4" s="1"/>
  <c r="P31" i="23"/>
  <c r="P25" i="4" s="1"/>
  <c r="Q32" i="23"/>
  <c r="Q26" i="4" s="1"/>
  <c r="R33" i="23"/>
  <c r="R27" i="4" s="1"/>
  <c r="T35" i="23"/>
  <c r="T29" i="4" s="1"/>
  <c r="Q30" i="23"/>
  <c r="Q24" i="4" s="1"/>
  <c r="U28" i="23"/>
  <c r="U22" i="4" s="1"/>
  <c r="P30" i="23"/>
  <c r="P24" i="4" s="1"/>
  <c r="Q31" i="23"/>
  <c r="Q25" i="4" s="1"/>
  <c r="R32" i="23"/>
  <c r="R26" i="4" s="1"/>
  <c r="S33" i="23"/>
  <c r="S27" i="4" s="1"/>
  <c r="T34" i="23"/>
  <c r="T28" i="4" s="1"/>
  <c r="U35" i="23"/>
  <c r="U29" i="4" s="1"/>
  <c r="S32" i="23"/>
  <c r="S26" i="4" s="1"/>
  <c r="V35" i="23"/>
  <c r="V29" i="4" s="1"/>
  <c r="P29" i="23"/>
  <c r="R30" i="23"/>
  <c r="R24" i="4" s="1"/>
  <c r="S31" i="23"/>
  <c r="S25" i="4" s="1"/>
  <c r="T32" i="23"/>
  <c r="T26" i="4" s="1"/>
  <c r="U33" i="23"/>
  <c r="U27" i="4" s="1"/>
  <c r="V34" i="23"/>
  <c r="V28" i="4" s="1"/>
  <c r="V35" i="1"/>
  <c r="V13" i="4" s="1"/>
  <c r="V33" i="1"/>
  <c r="V11" i="4" s="1"/>
  <c r="V31" i="1"/>
  <c r="V9" i="4" s="1"/>
  <c r="V29" i="1"/>
  <c r="V7" i="4" s="1"/>
  <c r="Q28" i="1"/>
  <c r="O38" i="1"/>
  <c r="O16" i="4" s="1"/>
  <c r="P30" i="1"/>
  <c r="P8" i="4" s="1"/>
  <c r="F33" i="1"/>
  <c r="F11" i="4" s="1"/>
  <c r="E30" i="1"/>
  <c r="E8" i="4" s="1"/>
  <c r="U35" i="1"/>
  <c r="U13" i="4" s="1"/>
  <c r="U33" i="1"/>
  <c r="U11" i="4" s="1"/>
  <c r="U31" i="1"/>
  <c r="U9" i="4" s="1"/>
  <c r="U29" i="1"/>
  <c r="U7" i="4" s="1"/>
  <c r="O9" i="12"/>
  <c r="O10" i="12" s="1"/>
  <c r="I34" i="23"/>
  <c r="I28" i="4" s="1"/>
  <c r="J30" i="23"/>
  <c r="J24" i="4" s="1"/>
  <c r="F28" i="23"/>
  <c r="F22" i="4" s="1"/>
  <c r="B32" i="23"/>
  <c r="B26" i="4" s="1"/>
  <c r="O36" i="23"/>
  <c r="O30" i="4" s="1"/>
  <c r="O40" i="23"/>
  <c r="O34" i="4" s="1"/>
  <c r="O43" i="23"/>
  <c r="O37" i="23"/>
  <c r="O31" i="4" s="1"/>
  <c r="O41" i="23"/>
  <c r="O35" i="4" s="1"/>
  <c r="O38" i="23"/>
  <c r="O42" i="23"/>
  <c r="O36" i="4" s="1"/>
  <c r="O39" i="23"/>
  <c r="O33" i="4" s="1"/>
  <c r="F30" i="23"/>
  <c r="F24" i="4" s="1"/>
  <c r="H32" i="23"/>
  <c r="H26" i="4" s="1"/>
  <c r="J34" i="23"/>
  <c r="J28" i="4" s="1"/>
  <c r="J28" i="23"/>
  <c r="J22" i="4" s="1"/>
  <c r="F32" i="23"/>
  <c r="F26" i="4" s="1"/>
  <c r="G35" i="23"/>
  <c r="G29" i="4" s="1"/>
  <c r="O35" i="23"/>
  <c r="O29" i="4" s="1"/>
  <c r="D30" i="23"/>
  <c r="D24" i="4" s="1"/>
  <c r="I33" i="23"/>
  <c r="I27" i="4" s="1"/>
  <c r="L33" i="23"/>
  <c r="L27" i="4" s="1"/>
  <c r="L31" i="23"/>
  <c r="L25" i="4" s="1"/>
  <c r="M29" i="23"/>
  <c r="M23" i="4" s="1"/>
  <c r="H30" i="23"/>
  <c r="J32" i="23"/>
  <c r="J26" i="4" s="1"/>
  <c r="D34" i="23"/>
  <c r="D28" i="4" s="1"/>
  <c r="D31" i="23"/>
  <c r="K32" i="23"/>
  <c r="K26" i="4" s="1"/>
  <c r="L28" i="23"/>
  <c r="I29" i="23"/>
  <c r="G31" i="23"/>
  <c r="E33" i="23"/>
  <c r="E27" i="4" s="1"/>
  <c r="C35" i="23"/>
  <c r="C47" i="23" s="1"/>
  <c r="C48" i="23" s="1"/>
  <c r="C54" i="23" s="1"/>
  <c r="J29" i="23"/>
  <c r="E30" i="23"/>
  <c r="M34" i="23"/>
  <c r="M28" i="4" s="1"/>
  <c r="M35" i="23"/>
  <c r="M29" i="4" s="1"/>
  <c r="L34" i="23"/>
  <c r="L28" i="4" s="1"/>
  <c r="K33" i="23"/>
  <c r="K27" i="4" s="1"/>
  <c r="K31" i="23"/>
  <c r="K25" i="4" s="1"/>
  <c r="M30" i="23"/>
  <c r="M24" i="4" s="1"/>
  <c r="L29" i="23"/>
  <c r="L46" i="23" s="1"/>
  <c r="L53" i="23" s="1"/>
  <c r="K28" i="23"/>
  <c r="O33" i="23"/>
  <c r="O27" i="4" s="1"/>
  <c r="F29" i="23"/>
  <c r="L35" i="23"/>
  <c r="L29" i="4" s="1"/>
  <c r="K34" i="23"/>
  <c r="K28" i="4" s="1"/>
  <c r="M32" i="23"/>
  <c r="M26" i="4" s="1"/>
  <c r="L30" i="23"/>
  <c r="L24" i="4" s="1"/>
  <c r="K29" i="23"/>
  <c r="K23" i="4" s="1"/>
  <c r="O29" i="23"/>
  <c r="O23" i="4" s="1"/>
  <c r="K35" i="23"/>
  <c r="K29" i="4" s="1"/>
  <c r="M33" i="23"/>
  <c r="M27" i="4" s="1"/>
  <c r="L32" i="23"/>
  <c r="L26" i="4" s="1"/>
  <c r="M31" i="23"/>
  <c r="M25" i="4" s="1"/>
  <c r="K30" i="23"/>
  <c r="K24" i="4" s="1"/>
  <c r="M28" i="23"/>
  <c r="M22" i="4" s="1"/>
  <c r="O42" i="1"/>
  <c r="O20" i="4" s="1"/>
  <c r="O39" i="1"/>
  <c r="O17" i="4" s="1"/>
  <c r="F29" i="1"/>
  <c r="F7" i="4" s="1"/>
  <c r="E33" i="1"/>
  <c r="E11" i="4" s="1"/>
  <c r="I34" i="1"/>
  <c r="I12" i="4" s="1"/>
  <c r="H31" i="1"/>
  <c r="J32" i="1"/>
  <c r="M35" i="1"/>
  <c r="M13" i="4" s="1"/>
  <c r="L34" i="1"/>
  <c r="L12" i="4" s="1"/>
  <c r="K33" i="1"/>
  <c r="K11" i="4" s="1"/>
  <c r="L32" i="1"/>
  <c r="L10" i="4" s="1"/>
  <c r="L31" i="1"/>
  <c r="L9" i="4" s="1"/>
  <c r="M30" i="1"/>
  <c r="M8" i="4" s="1"/>
  <c r="L29" i="1"/>
  <c r="K28" i="1"/>
  <c r="K6" i="4" s="1"/>
  <c r="H32" i="1"/>
  <c r="H10" i="4" s="1"/>
  <c r="F35" i="1"/>
  <c r="F13" i="4" s="1"/>
  <c r="D33" i="1"/>
  <c r="D11" i="4" s="1"/>
  <c r="D35" i="1"/>
  <c r="D13" i="4" s="1"/>
  <c r="H34" i="1"/>
  <c r="H12" i="4" s="1"/>
  <c r="G29" i="1"/>
  <c r="J35" i="1"/>
  <c r="J13" i="4" s="1"/>
  <c r="J31" i="1"/>
  <c r="J9" i="4" s="1"/>
  <c r="L35" i="1"/>
  <c r="L13" i="4" s="1"/>
  <c r="K34" i="1"/>
  <c r="K12" i="4" s="1"/>
  <c r="K32" i="1"/>
  <c r="K10" i="4" s="1"/>
  <c r="K31" i="1"/>
  <c r="L30" i="1"/>
  <c r="L8" i="4" s="1"/>
  <c r="K29" i="1"/>
  <c r="K7" i="4" s="1"/>
  <c r="F34" i="1"/>
  <c r="F12" i="4" s="1"/>
  <c r="F30" i="1"/>
  <c r="F8" i="4" s="1"/>
  <c r="I30" i="1"/>
  <c r="I8" i="4" s="1"/>
  <c r="E32" i="1"/>
  <c r="E10" i="4" s="1"/>
  <c r="C33" i="1"/>
  <c r="C11" i="4" s="1"/>
  <c r="J34" i="1"/>
  <c r="J12" i="4" s="1"/>
  <c r="J30" i="1"/>
  <c r="J8" i="4" s="1"/>
  <c r="K35" i="1"/>
  <c r="K13" i="4" s="1"/>
  <c r="M33" i="1"/>
  <c r="M11" i="4" s="1"/>
  <c r="K30" i="1"/>
  <c r="K8" i="4" s="1"/>
  <c r="M28" i="1"/>
  <c r="M6" i="4" s="1"/>
  <c r="J33" i="1"/>
  <c r="J11" i="4" s="1"/>
  <c r="J29" i="1"/>
  <c r="J7" i="4" s="1"/>
  <c r="J28" i="1"/>
  <c r="J6" i="4" s="1"/>
  <c r="M34" i="1"/>
  <c r="M12" i="4" s="1"/>
  <c r="L33" i="1"/>
  <c r="L11" i="4" s="1"/>
  <c r="M32" i="1"/>
  <c r="M10" i="4" s="1"/>
  <c r="M31" i="1"/>
  <c r="M9" i="4" s="1"/>
  <c r="M29" i="1"/>
  <c r="M7" i="4" s="1"/>
  <c r="E22" i="4"/>
  <c r="L6" i="4"/>
  <c r="T6" i="4"/>
  <c r="Q6" i="4"/>
  <c r="H22" i="4"/>
  <c r="I22" i="4"/>
  <c r="D22" i="4"/>
  <c r="C22" i="4"/>
  <c r="S6" i="4"/>
  <c r="L22" i="4"/>
  <c r="G22" i="4"/>
  <c r="Q22" i="4"/>
  <c r="P6" i="4"/>
  <c r="U6"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4" i="23"/>
  <c r="O28" i="4" s="1"/>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P23" i="4"/>
  <c r="O29" i="1"/>
  <c r="O7" i="4" s="1"/>
  <c r="B27" i="23"/>
  <c r="B52" i="23" s="1"/>
  <c r="K45" i="23"/>
  <c r="E27" i="23"/>
  <c r="E52" i="23" s="1"/>
  <c r="Q30" i="1"/>
  <c r="Q8" i="4" s="1"/>
  <c r="B29" i="1"/>
  <c r="B7" i="4" s="1"/>
  <c r="P35" i="1"/>
  <c r="P13" i="4" s="1"/>
  <c r="P31" i="1"/>
  <c r="P9" i="4" s="1"/>
  <c r="H22" i="23"/>
  <c r="P37" i="1"/>
  <c r="F22" i="23"/>
  <c r="L47" i="23"/>
  <c r="L48" i="23" s="1"/>
  <c r="L54" i="23" s="1"/>
  <c r="O36" i="1"/>
  <c r="H45" i="23"/>
  <c r="R31" i="1"/>
  <c r="R9" i="4" s="1"/>
  <c r="R22" i="4"/>
  <c r="V57" i="1"/>
  <c r="U57" i="23"/>
  <c r="Q57" i="23"/>
  <c r="U57" i="1"/>
  <c r="T57" i="23"/>
  <c r="P57" i="23"/>
  <c r="T57" i="1"/>
  <c r="S57" i="23"/>
  <c r="S57" i="1"/>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K9" i="4"/>
  <c r="B32" i="1"/>
  <c r="D28" i="1"/>
  <c r="C32" i="1"/>
  <c r="B28" i="1"/>
  <c r="D32" i="1"/>
  <c r="B30" i="1"/>
  <c r="B8" i="4" s="1"/>
  <c r="C28" i="1"/>
  <c r="D31" i="1"/>
  <c r="D9" i="4" s="1"/>
  <c r="O28" i="1"/>
  <c r="C30" i="1"/>
  <c r="C8" i="4" s="1"/>
  <c r="C31" i="1"/>
  <c r="C9" i="4" s="1"/>
  <c r="D29" i="1"/>
  <c r="D7" i="4" s="1"/>
  <c r="D30" i="1"/>
  <c r="S47" i="1"/>
  <c r="S48" i="1" s="1"/>
  <c r="S54" i="1" s="1"/>
  <c r="V6" i="4"/>
  <c r="U47" i="1"/>
  <c r="U48" i="1" s="1"/>
  <c r="U54" i="1" s="1"/>
  <c r="G21" i="4"/>
  <c r="I21" i="4"/>
  <c r="F21" i="4"/>
  <c r="H21" i="4"/>
  <c r="E21" i="4"/>
  <c r="L52" i="23"/>
  <c r="E7" i="4"/>
  <c r="D17" i="4"/>
  <c r="H9" i="4"/>
  <c r="J10" i="4"/>
  <c r="G7" i="4"/>
  <c r="C4" i="4"/>
  <c r="I46" i="23"/>
  <c r="I53" i="23" s="1"/>
  <c r="F47" i="23"/>
  <c r="F48" i="23" s="1"/>
  <c r="F54" i="23" s="1"/>
  <c r="U47" i="23"/>
  <c r="U48" i="23" s="1"/>
  <c r="U54" i="23" s="1"/>
  <c r="A47" i="22"/>
  <c r="I47" i="23"/>
  <c r="I48" i="23" s="1"/>
  <c r="I54" i="23" s="1"/>
  <c r="G27" i="23"/>
  <c r="G52" i="23" s="1"/>
  <c r="A50" i="22"/>
  <c r="H50" i="22" s="1"/>
  <c r="K27" i="23"/>
  <c r="L22" i="1"/>
  <c r="I7" i="4"/>
  <c r="D27" i="1"/>
  <c r="D52" i="1" s="1"/>
  <c r="D45" i="1"/>
  <c r="D22" i="23"/>
  <c r="D45" i="23"/>
  <c r="D27" i="23"/>
  <c r="D52" i="23" s="1"/>
  <c r="S46" i="23"/>
  <c r="S53" i="23" s="1"/>
  <c r="S47" i="23"/>
  <c r="S48" i="23" s="1"/>
  <c r="S54"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M56" i="23"/>
  <c r="G56" i="1"/>
  <c r="M56" i="1"/>
  <c r="L56" i="1"/>
  <c r="U78" i="4"/>
  <c r="K56" i="1"/>
  <c r="P56" i="1"/>
  <c r="C56" i="23"/>
  <c r="O56" i="1"/>
  <c r="S78" i="4"/>
  <c r="K56" i="23"/>
  <c r="I56" i="1"/>
  <c r="O56" i="23"/>
  <c r="L56" i="23"/>
  <c r="M78" i="4"/>
  <c r="D56" i="23"/>
  <c r="T78" i="4"/>
  <c r="B56" i="1"/>
  <c r="R56" i="1"/>
  <c r="F56" i="23"/>
  <c r="I56" i="23"/>
  <c r="F56" i="1"/>
  <c r="B56" i="23"/>
  <c r="H56" i="23"/>
  <c r="E56" i="23"/>
  <c r="V78" i="4"/>
  <c r="D56" i="1"/>
  <c r="H56" i="1"/>
  <c r="J56" i="23"/>
  <c r="J56" i="1"/>
  <c r="C56" i="1"/>
  <c r="G56" i="23"/>
  <c r="Q56" i="1"/>
  <c r="E56" i="1"/>
  <c r="V47" i="1" l="1"/>
  <c r="V48" i="1" s="1"/>
  <c r="V54" i="1" s="1"/>
  <c r="T46" i="23"/>
  <c r="T53" i="23" s="1"/>
  <c r="P47" i="23"/>
  <c r="P48" i="23" s="1"/>
  <c r="P54" i="23" s="1"/>
  <c r="H46" i="23"/>
  <c r="H53" i="23" s="1"/>
  <c r="U46" i="23"/>
  <c r="U53" i="23" s="1"/>
  <c r="G46" i="23"/>
  <c r="G53" i="23" s="1"/>
  <c r="C46" i="23"/>
  <c r="C53" i="23" s="1"/>
  <c r="V46" i="1"/>
  <c r="V53" i="1" s="1"/>
  <c r="T27" i="4"/>
  <c r="Q47" i="23"/>
  <c r="Q48" i="23" s="1"/>
  <c r="Q54" i="23" s="1"/>
  <c r="P46" i="23"/>
  <c r="P53" i="23" s="1"/>
  <c r="R46" i="23"/>
  <c r="R53" i="23" s="1"/>
  <c r="S46" i="1"/>
  <c r="S53" i="1" s="1"/>
  <c r="H47" i="23"/>
  <c r="H48" i="23" s="1"/>
  <c r="H54" i="23" s="1"/>
  <c r="F46" i="23"/>
  <c r="F53" i="23" s="1"/>
  <c r="T47" i="1"/>
  <c r="T48" i="1" s="1"/>
  <c r="T54" i="1" s="1"/>
  <c r="V47" i="23"/>
  <c r="V48" i="23" s="1"/>
  <c r="V54" i="23" s="1"/>
  <c r="V46" i="23"/>
  <c r="V53" i="23" s="1"/>
  <c r="T46" i="1"/>
  <c r="T53" i="1" s="1"/>
  <c r="Q46" i="23"/>
  <c r="Q53" i="23" s="1"/>
  <c r="E46" i="23"/>
  <c r="E53" i="23" s="1"/>
  <c r="S63" i="4"/>
  <c r="S64" i="4" s="1"/>
  <c r="G47" i="23"/>
  <c r="G48" i="23" s="1"/>
  <c r="G54" i="23" s="1"/>
  <c r="E47" i="23"/>
  <c r="E48" i="23" s="1"/>
  <c r="E54" i="23" s="1"/>
  <c r="D47" i="23"/>
  <c r="D48" i="23" s="1"/>
  <c r="D54" i="23" s="1"/>
  <c r="D46" i="23"/>
  <c r="D53" i="23" s="1"/>
  <c r="J46" i="23"/>
  <c r="J53" i="23" s="1"/>
  <c r="J47" i="23"/>
  <c r="J48" i="23" s="1"/>
  <c r="J54" i="23" s="1"/>
  <c r="M47" i="23"/>
  <c r="M48" i="23" s="1"/>
  <c r="M54" i="23" s="1"/>
  <c r="H57" i="23"/>
  <c r="E57" i="23"/>
  <c r="G57" i="23"/>
  <c r="D57" i="23"/>
  <c r="J57" i="23"/>
  <c r="I57" i="23"/>
  <c r="C57" i="23"/>
  <c r="H24" i="4"/>
  <c r="E24" i="4"/>
  <c r="G25" i="4"/>
  <c r="D25" i="4"/>
  <c r="J23" i="4"/>
  <c r="J57" i="4" s="1"/>
  <c r="J58" i="4" s="1"/>
  <c r="J76" i="4" s="1"/>
  <c r="I23" i="4"/>
  <c r="C29" i="4"/>
  <c r="K57" i="23"/>
  <c r="L57" i="23"/>
  <c r="M57" i="23"/>
  <c r="F57" i="23"/>
  <c r="K46" i="23"/>
  <c r="K53" i="23" s="1"/>
  <c r="M46" i="23"/>
  <c r="M53" i="23" s="1"/>
  <c r="K22" i="4"/>
  <c r="K57" i="4" s="1"/>
  <c r="K58" i="4" s="1"/>
  <c r="K76" i="4" s="1"/>
  <c r="K47" i="23"/>
  <c r="K48" i="23" s="1"/>
  <c r="K54" i="23" s="1"/>
  <c r="L23" i="4"/>
  <c r="F23" i="4"/>
  <c r="M46" i="1"/>
  <c r="M53" i="1" s="1"/>
  <c r="L47" i="1"/>
  <c r="L48" i="1" s="1"/>
  <c r="L54" i="1" s="1"/>
  <c r="M57" i="1"/>
  <c r="L57" i="1"/>
  <c r="J57" i="1"/>
  <c r="K57" i="1"/>
  <c r="J46" i="1"/>
  <c r="J53" i="1" s="1"/>
  <c r="K47" i="1"/>
  <c r="K48" i="1" s="1"/>
  <c r="K54" i="1" s="1"/>
  <c r="J47" i="1"/>
  <c r="J48" i="1" s="1"/>
  <c r="J54" i="1" s="1"/>
  <c r="K46" i="1"/>
  <c r="K53" i="1" s="1"/>
  <c r="M63" i="4"/>
  <c r="M64" i="4" s="1"/>
  <c r="F46" i="1"/>
  <c r="F53" i="1" s="1"/>
  <c r="L7" i="4"/>
  <c r="L46" i="1"/>
  <c r="L53" i="1" s="1"/>
  <c r="M47" i="1"/>
  <c r="M48" i="1" s="1"/>
  <c r="M54" i="1" s="1"/>
  <c r="P47" i="1"/>
  <c r="P48" i="1" s="1"/>
  <c r="P54" i="1" s="1"/>
  <c r="D6" i="4"/>
  <c r="R6" i="4"/>
  <c r="C6" i="4"/>
  <c r="B22" i="4"/>
  <c r="I6" i="4"/>
  <c r="P7" i="4"/>
  <c r="E6" i="4"/>
  <c r="H6" i="4"/>
  <c r="F6" i="4"/>
  <c r="O6" i="4"/>
  <c r="B6" i="4"/>
  <c r="G6" i="4"/>
  <c r="Q7" i="4"/>
  <c r="U63" i="4"/>
  <c r="U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S56" i="4"/>
  <c r="S75" i="4" s="1"/>
  <c r="O55" i="4"/>
  <c r="O62" i="4"/>
  <c r="F55" i="4"/>
  <c r="F62" i="4"/>
  <c r="M55" i="4"/>
  <c r="M62" i="4"/>
  <c r="J55" i="4"/>
  <c r="J62" i="4"/>
  <c r="P55" i="4"/>
  <c r="P62" i="4"/>
  <c r="G55" i="4"/>
  <c r="G62" i="4"/>
  <c r="H74" i="4"/>
  <c r="H62" i="4"/>
  <c r="U22" i="33"/>
  <c r="U45" i="33"/>
  <c r="U27" i="33"/>
  <c r="U52" i="33" s="1"/>
  <c r="R45" i="33"/>
  <c r="R27" i="33"/>
  <c r="R52" i="33" s="1"/>
  <c r="R22" i="33"/>
  <c r="U56" i="4"/>
  <c r="U75" i="4" s="1"/>
  <c r="M56" i="4"/>
  <c r="M75" i="4" s="1"/>
  <c r="T56" i="4"/>
  <c r="T75" i="4" s="1"/>
  <c r="C74" i="4"/>
  <c r="C62" i="4"/>
  <c r="D55" i="4"/>
  <c r="D62" i="4"/>
  <c r="S27" i="33"/>
  <c r="S52" i="33" s="1"/>
  <c r="S22" i="33"/>
  <c r="S45" i="33"/>
  <c r="A36" i="22"/>
  <c r="H36" i="22" s="1"/>
  <c r="V4" i="33"/>
  <c r="S57" i="4"/>
  <c r="S58" i="4" s="1"/>
  <c r="S76" i="4" s="1"/>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V79" i="4"/>
  <c r="M79" i="4"/>
  <c r="U79" i="4"/>
  <c r="T79" i="4"/>
  <c r="S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C63" i="4" s="1"/>
  <c r="C64" i="4" s="1"/>
  <c r="B57" i="1"/>
  <c r="C46" i="1"/>
  <c r="C53" i="1" s="1"/>
  <c r="B46" i="1"/>
  <c r="B53" i="1" s="1"/>
  <c r="G55" i="1" s="1"/>
  <c r="B47" i="1"/>
  <c r="B48" i="1" s="1"/>
  <c r="B54" i="1" s="1"/>
  <c r="D46" i="1"/>
  <c r="D53" i="1" s="1"/>
  <c r="O47" i="1"/>
  <c r="O48" i="1" s="1"/>
  <c r="O54" i="1" s="1"/>
  <c r="O46" i="1"/>
  <c r="O53" i="1" s="1"/>
  <c r="O55" i="1" s="1"/>
  <c r="D47" i="1"/>
  <c r="D48" i="1" s="1"/>
  <c r="D54" i="1" s="1"/>
  <c r="D8" i="4"/>
  <c r="T4" i="1"/>
  <c r="T4" i="23"/>
  <c r="F74" i="4"/>
  <c r="I74" i="4"/>
  <c r="O74" i="4"/>
  <c r="P74" i="4"/>
  <c r="AD2" i="12"/>
  <c r="E78" i="4"/>
  <c r="C78" i="4"/>
  <c r="K78" i="4"/>
  <c r="P78" i="4"/>
  <c r="B78" i="4"/>
  <c r="F78" i="4"/>
  <c r="Q78" i="4"/>
  <c r="H78" i="4"/>
  <c r="I78" i="4"/>
  <c r="G78" i="4"/>
  <c r="O78" i="4"/>
  <c r="J78" i="4"/>
  <c r="R78" i="4"/>
  <c r="L78" i="4"/>
  <c r="D78" i="4"/>
  <c r="R63" i="4" l="1"/>
  <c r="R64" i="4" s="1"/>
  <c r="L63" i="4"/>
  <c r="L64" i="4" s="1"/>
  <c r="J56" i="4"/>
  <c r="J75" i="4" s="1"/>
  <c r="K63" i="4"/>
  <c r="K64" i="4" s="1"/>
  <c r="H56" i="4"/>
  <c r="H75" i="4" s="1"/>
  <c r="J63" i="4"/>
  <c r="J64" i="4" s="1"/>
  <c r="K56" i="4"/>
  <c r="K75" i="4" s="1"/>
  <c r="G3" i="12" s="1"/>
  <c r="I63" i="4"/>
  <c r="I64" i="4" s="1"/>
  <c r="J79" i="4"/>
  <c r="K79" i="4"/>
  <c r="C55" i="23"/>
  <c r="F55" i="23"/>
  <c r="L79" i="4"/>
  <c r="L57" i="4"/>
  <c r="L58" i="4" s="1"/>
  <c r="L76" i="4" s="1"/>
  <c r="H4" i="12" s="1"/>
  <c r="L56" i="4"/>
  <c r="L75" i="4" s="1"/>
  <c r="H3" i="12" s="1"/>
  <c r="I57" i="4"/>
  <c r="I58" i="4" s="1"/>
  <c r="I76" i="4" s="1"/>
  <c r="V4" i="4"/>
  <c r="V55" i="4" s="1"/>
  <c r="F63" i="4"/>
  <c r="F64" i="4" s="1"/>
  <c r="P55" i="23"/>
  <c r="V55" i="23"/>
  <c r="S55" i="23"/>
  <c r="U55" i="23"/>
  <c r="T55" i="1"/>
  <c r="Q55" i="23"/>
  <c r="V55" i="1"/>
  <c r="R55" i="1"/>
  <c r="P55" i="1"/>
  <c r="R55" i="23"/>
  <c r="T55" i="23"/>
  <c r="U55" i="1"/>
  <c r="Q55" i="1"/>
  <c r="S55" i="1"/>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G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P56" i="4"/>
  <c r="R57" i="4"/>
  <c r="R58" i="4" s="1"/>
  <c r="R76" i="4" s="1"/>
  <c r="Q57" i="4"/>
  <c r="Q58" i="4" s="1"/>
  <c r="Q76" i="4" s="1"/>
  <c r="Q79" i="4"/>
  <c r="P79" i="4"/>
  <c r="R79" i="4"/>
  <c r="R80" i="4" s="1"/>
  <c r="U4" i="4"/>
  <c r="F2" i="27"/>
  <c r="F4" i="27" s="1"/>
  <c r="O2" i="12"/>
  <c r="O4" i="12" s="1"/>
  <c r="U27" i="1"/>
  <c r="U52" i="1" s="1"/>
  <c r="C79" i="4"/>
  <c r="D79" i="4"/>
  <c r="K15" i="28"/>
  <c r="K13" i="28"/>
  <c r="K11" i="28"/>
  <c r="K9" i="28"/>
  <c r="L14" i="28"/>
  <c r="L12" i="28"/>
  <c r="L10" i="28"/>
  <c r="L8" i="28"/>
  <c r="L15" i="28"/>
  <c r="L13" i="28"/>
  <c r="L11" i="28"/>
  <c r="L9" i="28"/>
  <c r="K14" i="28"/>
  <c r="K12" i="28"/>
  <c r="K10" i="28"/>
  <c r="K8" i="28"/>
  <c r="L55" i="23"/>
  <c r="D55" i="23"/>
  <c r="H55" i="23"/>
  <c r="K55" i="23"/>
  <c r="J55" i="23"/>
  <c r="M55" i="23"/>
  <c r="G55" i="23"/>
  <c r="E55" i="23"/>
  <c r="I55" i="23"/>
  <c r="O79" i="4"/>
  <c r="B79" i="4"/>
  <c r="B64" i="23"/>
  <c r="Q59" i="23"/>
  <c r="P59" i="23"/>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O59" i="23"/>
  <c r="C55" i="1"/>
  <c r="H55" i="1"/>
  <c r="F55" i="1"/>
  <c r="I55" i="1"/>
  <c r="L55" i="1"/>
  <c r="J55" i="1"/>
  <c r="D55" i="1"/>
  <c r="K55" i="1"/>
  <c r="E55" i="1"/>
  <c r="O59" i="1"/>
  <c r="M55" i="1"/>
  <c r="P59" i="1"/>
  <c r="Q59" i="1"/>
  <c r="B65" i="1"/>
  <c r="B64" i="1"/>
  <c r="B55" i="1"/>
  <c r="T27" i="23"/>
  <c r="T52" i="23" s="1"/>
  <c r="T45" i="23"/>
  <c r="T22" i="23"/>
  <c r="F3" i="12"/>
  <c r="J3" i="12"/>
  <c r="I3" i="12"/>
  <c r="T27" i="1"/>
  <c r="T52" i="1" s="1"/>
  <c r="T45" i="1"/>
  <c r="T4" i="4"/>
  <c r="T62" i="4" s="1"/>
  <c r="T22" i="1"/>
  <c r="V62" i="4" l="1"/>
  <c r="V74" i="4"/>
  <c r="Z2" i="12" s="1"/>
  <c r="J80" i="4"/>
  <c r="AA2" i="12"/>
  <c r="B80" i="4"/>
  <c r="P75" i="4"/>
  <c r="B5" i="27" s="1"/>
  <c r="O81" i="4"/>
  <c r="AE2" i="12"/>
  <c r="U74" i="4"/>
  <c r="Y2" i="12" s="1"/>
  <c r="U62" i="4"/>
  <c r="B6" i="12"/>
  <c r="B6" i="27"/>
  <c r="U55" i="4"/>
  <c r="F3" i="27"/>
  <c r="V77" i="4"/>
  <c r="U77" i="4"/>
  <c r="O77" i="4"/>
  <c r="S77" i="4"/>
  <c r="Q77" i="4"/>
  <c r="R77" i="4"/>
  <c r="P81" i="4"/>
  <c r="Q81" i="4"/>
  <c r="B86" i="4"/>
  <c r="B87" i="4"/>
  <c r="B75" i="4"/>
  <c r="M61" i="23"/>
  <c r="I61" i="23"/>
  <c r="Q61" i="23"/>
  <c r="P61" i="23"/>
  <c r="K61" i="23"/>
  <c r="J61" i="23"/>
  <c r="L61" i="23"/>
  <c r="U61" i="1"/>
  <c r="S61" i="1"/>
  <c r="T61" i="1"/>
  <c r="V61" i="1"/>
  <c r="O3" i="12"/>
  <c r="R3" i="12"/>
  <c r="S3" i="12"/>
  <c r="N3" i="12"/>
  <c r="M3" i="12"/>
  <c r="L3" i="12"/>
  <c r="AC2" i="12"/>
  <c r="S55" i="4"/>
  <c r="S74" i="4"/>
  <c r="W2" i="12" s="1"/>
  <c r="AG2" i="12"/>
  <c r="R55" i="4"/>
  <c r="R74" i="4"/>
  <c r="P3" i="12"/>
  <c r="Q3" i="12"/>
  <c r="K2" i="12"/>
  <c r="K4" i="12" s="1"/>
  <c r="B4" i="27"/>
  <c r="B4" i="12"/>
  <c r="O61" i="1"/>
  <c r="Q61" i="1"/>
  <c r="P61" i="1"/>
  <c r="R61" i="1"/>
  <c r="AB2" i="12"/>
  <c r="AB4" i="12" s="1"/>
  <c r="AF2" i="12"/>
  <c r="T55" i="4"/>
  <c r="T74" i="4"/>
  <c r="J81" i="4" l="1"/>
  <c r="F4" i="28" s="1"/>
  <c r="K81" i="4"/>
  <c r="F5" i="28" s="1"/>
  <c r="L81" i="4"/>
  <c r="F6" i="28" s="1"/>
  <c r="M81" i="4"/>
  <c r="F7" i="28" s="1"/>
  <c r="B5" i="12"/>
  <c r="P77" i="4"/>
  <c r="AD4" i="12"/>
  <c r="AE4" i="12"/>
  <c r="Z4" i="12"/>
  <c r="W4" i="12"/>
  <c r="AG4" i="12"/>
  <c r="AC4" i="12"/>
  <c r="AH4" i="12"/>
  <c r="AF4" i="12"/>
  <c r="Y4" i="12"/>
  <c r="AA4" i="12"/>
  <c r="I81" i="4"/>
  <c r="F3" i="28" s="1"/>
  <c r="F81" i="4"/>
  <c r="G81" i="4"/>
  <c r="H81" i="4"/>
  <c r="D81" i="4"/>
  <c r="D83" i="4" s="1"/>
  <c r="E81" i="4"/>
  <c r="C81" i="4"/>
  <c r="K77" i="4"/>
  <c r="E5" i="28" s="1"/>
  <c r="J77" i="4"/>
  <c r="E4" i="28" s="1"/>
  <c r="G77" i="4"/>
  <c r="F77" i="4"/>
  <c r="L77" i="4"/>
  <c r="E6" i="28" s="1"/>
  <c r="B77" i="4"/>
  <c r="B2" i="27"/>
  <c r="G6" i="27" s="1"/>
  <c r="M77" i="4"/>
  <c r="E7" i="28" s="1"/>
  <c r="I77" i="4"/>
  <c r="E3" i="28" s="1"/>
  <c r="B2" i="12"/>
  <c r="E6" i="12" s="1"/>
  <c r="H77" i="4"/>
  <c r="D77" i="4"/>
  <c r="C77" i="4"/>
  <c r="E77" i="4"/>
  <c r="AG8" i="12"/>
  <c r="U8" i="12"/>
  <c r="AJ8" i="12"/>
  <c r="AB8" i="12"/>
  <c r="Z8" i="12"/>
  <c r="AC8" i="12"/>
  <c r="V8" i="12"/>
  <c r="X8" i="12"/>
  <c r="AH8" i="12"/>
  <c r="AD8" i="12"/>
  <c r="AI8" i="12"/>
  <c r="W8" i="12"/>
  <c r="Y8" i="12"/>
  <c r="AE8" i="12"/>
  <c r="AA8" i="12"/>
  <c r="AF8" i="12"/>
  <c r="H8" i="27"/>
  <c r="H9" i="27" s="1"/>
  <c r="H10" i="27" s="1"/>
  <c r="J8" i="27"/>
  <c r="J9" i="27" s="1"/>
  <c r="J10" i="27" s="1"/>
  <c r="I8" i="27"/>
  <c r="I9" i="27" s="1"/>
  <c r="I10" i="27" s="1"/>
  <c r="L83" i="4"/>
  <c r="V83" i="4"/>
  <c r="T83" i="4"/>
  <c r="M83" i="4"/>
  <c r="P83" i="4"/>
  <c r="U83" i="4"/>
  <c r="F83" i="4"/>
  <c r="S5" i="12"/>
  <c r="Q83" i="4"/>
  <c r="K83" i="4"/>
  <c r="J83" i="4"/>
  <c r="R83" i="4"/>
  <c r="S83" i="4"/>
  <c r="O83" i="4"/>
  <c r="O61" i="23"/>
  <c r="AG3" i="12"/>
  <c r="AD3" i="12"/>
  <c r="AE3" i="12"/>
  <c r="AC3" i="12"/>
  <c r="W3" i="12"/>
  <c r="Y3" i="12"/>
  <c r="I2" i="27"/>
  <c r="I4" i="27" s="1"/>
  <c r="V2" i="12"/>
  <c r="V4" i="12" s="1"/>
  <c r="J2" i="28"/>
  <c r="K3" i="12"/>
  <c r="F2" i="28"/>
  <c r="J3" i="28"/>
  <c r="Z3" i="12"/>
  <c r="AA3" i="12"/>
  <c r="AH3" i="12"/>
  <c r="I3" i="28"/>
  <c r="I2"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I11" i="28"/>
  <c r="J11" i="28"/>
  <c r="I6" i="28"/>
  <c r="J9" i="28"/>
  <c r="I8" i="28"/>
  <c r="F14" i="28"/>
  <c r="F12" i="28"/>
  <c r="J6" i="28"/>
  <c r="J7" i="28"/>
  <c r="E12" i="28"/>
  <c r="I10" i="28"/>
  <c r="I13" i="28"/>
  <c r="E15" i="28"/>
  <c r="E11" i="28"/>
  <c r="F11" i="28"/>
  <c r="J14" i="28"/>
  <c r="I15" i="28"/>
  <c r="I9" i="28"/>
  <c r="J5" i="28"/>
  <c r="J8" i="28"/>
  <c r="F10" i="28"/>
  <c r="I5" i="28"/>
  <c r="I4" i="28"/>
  <c r="I7" i="28"/>
  <c r="E13" i="28"/>
  <c r="E9" i="28"/>
  <c r="J10" i="28"/>
  <c r="I14" i="28"/>
  <c r="J4" i="28"/>
  <c r="J12" i="28"/>
  <c r="I12" i="28"/>
  <c r="J15" i="28"/>
  <c r="AI2" i="12"/>
  <c r="AI4" i="12" s="1"/>
  <c r="X2" i="12"/>
  <c r="X4" i="12" s="1"/>
  <c r="AA9" i="12" l="1"/>
  <c r="AA10" i="12" s="1"/>
  <c r="V9" i="12"/>
  <c r="V10" i="12" s="1"/>
  <c r="AI9" i="12"/>
  <c r="AI10" i="12" s="1"/>
  <c r="AJ9" i="12"/>
  <c r="AJ10" i="12" s="1"/>
  <c r="AE9" i="12"/>
  <c r="AE10" i="12" s="1"/>
  <c r="AD9" i="12"/>
  <c r="AD10" i="12" s="1"/>
  <c r="AC9" i="12"/>
  <c r="AC10" i="12" s="1"/>
  <c r="U9" i="12"/>
  <c r="U10" i="12" s="1"/>
  <c r="Y9" i="12"/>
  <c r="Y10" i="12" s="1"/>
  <c r="AH9" i="12"/>
  <c r="AH10" i="12" s="1"/>
  <c r="Z9" i="12"/>
  <c r="Z10" i="12" s="1"/>
  <c r="AG9" i="12"/>
  <c r="AG10" i="12" s="1"/>
  <c r="AF9" i="12"/>
  <c r="AF10" i="12" s="1"/>
  <c r="W9" i="12"/>
  <c r="W10" i="12" s="1"/>
  <c r="X9" i="12"/>
  <c r="X10" i="12" s="1"/>
  <c r="AB9" i="12"/>
  <c r="AB10" i="12" s="1"/>
  <c r="P5" i="12"/>
  <c r="R5" i="12"/>
  <c r="Q5" i="12"/>
  <c r="G83" i="4"/>
  <c r="I83" i="4"/>
  <c r="E83" i="4"/>
  <c r="C83" i="4"/>
  <c r="H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K7" i="22" s="1"/>
  <c r="F19" i="22"/>
  <c r="G19" i="22" s="1"/>
  <c r="F23" i="22"/>
  <c r="G23" i="22" s="1"/>
  <c r="N5" i="12"/>
  <c r="M5" i="12"/>
  <c r="I5" i="12"/>
  <c r="F20" i="22"/>
  <c r="I20" i="22" s="1"/>
  <c r="F9" i="22"/>
  <c r="I9" i="22" s="1"/>
  <c r="F12" i="22"/>
  <c r="G12" i="22" s="1"/>
  <c r="F16" i="22"/>
  <c r="G16" i="22" s="1"/>
  <c r="F22" i="22"/>
  <c r="I22" i="22" s="1"/>
  <c r="J5" i="12"/>
  <c r="F15" i="22"/>
  <c r="G15" i="22" s="1"/>
  <c r="L5" i="12"/>
  <c r="F21" i="22"/>
  <c r="G21" i="22" s="1"/>
  <c r="F5" i="12"/>
  <c r="F24" i="22"/>
  <c r="I24" i="22" s="1"/>
  <c r="F10" i="22"/>
  <c r="K10" i="22" s="1"/>
  <c r="F11" i="22"/>
  <c r="G11" i="22" s="1"/>
  <c r="F13" i="22"/>
  <c r="I13" i="22" s="1"/>
  <c r="F14" i="22"/>
  <c r="K14" i="22" s="1"/>
  <c r="M14" i="22" s="1"/>
  <c r="F18" i="22"/>
  <c r="G18" i="22" s="1"/>
  <c r="F8" i="22"/>
  <c r="G8" i="22" s="1"/>
  <c r="F5" i="27"/>
  <c r="F25" i="22"/>
  <c r="I25" i="22" s="1"/>
  <c r="G5" i="12"/>
  <c r="H5" i="12"/>
  <c r="F17" i="22"/>
  <c r="K17" i="22" s="1"/>
  <c r="M17" i="22" s="1"/>
  <c r="K5" i="12"/>
  <c r="G51" i="22"/>
  <c r="J51" i="22" s="1"/>
  <c r="I51" i="22"/>
  <c r="M51" i="22" s="1"/>
  <c r="K51" i="22"/>
  <c r="N51" i="22" s="1"/>
  <c r="G44" i="22"/>
  <c r="J44" i="22" s="1"/>
  <c r="I44" i="22"/>
  <c r="M44" i="22" s="1"/>
  <c r="K44" i="22"/>
  <c r="N44" i="22" s="1"/>
  <c r="I10"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I35" i="22"/>
  <c r="K35" i="22"/>
  <c r="G42" i="22"/>
  <c r="J42" i="22" s="1"/>
  <c r="I42" i="22"/>
  <c r="M42" i="22" s="1"/>
  <c r="K42" i="22"/>
  <c r="N42" i="22" s="1"/>
  <c r="G47" i="22"/>
  <c r="J47" i="22" s="1"/>
  <c r="I47" i="22"/>
  <c r="M47" i="22" s="1"/>
  <c r="K47" i="22"/>
  <c r="N47" i="22" s="1"/>
  <c r="G49" i="22"/>
  <c r="J49" i="22" s="1"/>
  <c r="I49" i="22"/>
  <c r="M49" i="22" s="1"/>
  <c r="K49" i="22"/>
  <c r="N49" i="22" s="1"/>
  <c r="I19" i="22"/>
  <c r="G34" i="22"/>
  <c r="J34" i="22" s="1"/>
  <c r="I34" i="22"/>
  <c r="K34" i="22"/>
  <c r="K12" i="22"/>
  <c r="M12" i="22" s="1"/>
  <c r="G39" i="22"/>
  <c r="J39" i="22" s="1"/>
  <c r="I39" i="22"/>
  <c r="M39" i="22" s="1"/>
  <c r="K39" i="22"/>
  <c r="N39" i="22" s="1"/>
  <c r="G32" i="22"/>
  <c r="J32" i="22" s="1"/>
  <c r="I32" i="22"/>
  <c r="K32" i="22"/>
  <c r="L3" i="28" s="1"/>
  <c r="G45" i="22"/>
  <c r="J45" i="22" s="1"/>
  <c r="I45" i="22"/>
  <c r="M45" i="22" s="1"/>
  <c r="K45" i="22"/>
  <c r="N45" i="22" s="1"/>
  <c r="G36" i="22"/>
  <c r="J36" i="22" s="1"/>
  <c r="I36" i="22"/>
  <c r="K36" i="22"/>
  <c r="G48" i="22"/>
  <c r="J48" i="22" s="1"/>
  <c r="I48" i="22"/>
  <c r="M48" i="22" s="1"/>
  <c r="K48" i="22"/>
  <c r="N48" i="22" s="1"/>
  <c r="G43" i="22"/>
  <c r="J43" i="22" s="1"/>
  <c r="I43" i="22"/>
  <c r="M43" i="22" s="1"/>
  <c r="K43" i="22"/>
  <c r="N43" i="22" s="1"/>
  <c r="K15" i="22" l="1"/>
  <c r="M15" i="22" s="1"/>
  <c r="I7" i="22"/>
  <c r="G3" i="28" s="1"/>
  <c r="I15" i="22"/>
  <c r="G7" i="22"/>
  <c r="I12" i="22"/>
  <c r="G2" i="28" s="1"/>
  <c r="G13" i="22"/>
  <c r="I33" i="22"/>
  <c r="K33" i="22" s="1"/>
  <c r="N33" i="22" s="1"/>
  <c r="I18" i="22"/>
  <c r="K16" i="22"/>
  <c r="M16" i="22" s="1"/>
  <c r="G25" i="22"/>
  <c r="G9" i="22"/>
  <c r="M32" i="22"/>
  <c r="G10" i="22"/>
  <c r="K19" i="22"/>
  <c r="M19" i="22" s="1"/>
  <c r="K26" i="22"/>
  <c r="M26" i="22" s="1"/>
  <c r="K18" i="22"/>
  <c r="M18" i="22" s="1"/>
  <c r="I11" i="22"/>
  <c r="G7" i="28" s="1"/>
  <c r="N35" i="22"/>
  <c r="L6" i="28"/>
  <c r="M35" i="22"/>
  <c r="K6" i="28"/>
  <c r="N34" i="22"/>
  <c r="L5" i="28"/>
  <c r="M36" i="22"/>
  <c r="K7" i="28"/>
  <c r="N36" i="22"/>
  <c r="L7" i="28"/>
  <c r="M34" i="22"/>
  <c r="K5" i="28"/>
  <c r="I14" i="22"/>
  <c r="K25" i="22"/>
  <c r="M25" i="22" s="1"/>
  <c r="G24" i="22"/>
  <c r="G14" i="22"/>
  <c r="K24" i="22"/>
  <c r="M24" i="22" s="1"/>
  <c r="G22" i="22"/>
  <c r="K21" i="22"/>
  <c r="M21" i="22" s="1"/>
  <c r="I17" i="22"/>
  <c r="I26" i="22"/>
  <c r="G17" i="22"/>
  <c r="K13" i="22"/>
  <c r="M13" i="22" s="1"/>
  <c r="K9" i="22"/>
  <c r="M9" i="22" s="1"/>
  <c r="M10" i="22"/>
  <c r="N10" i="22"/>
  <c r="I16" i="22"/>
  <c r="G20" i="22"/>
  <c r="K8" i="22"/>
  <c r="M8" i="22" s="1"/>
  <c r="K23" i="22"/>
  <c r="M23" i="22" s="1"/>
  <c r="I21" i="22"/>
  <c r="K22" i="22"/>
  <c r="M22" i="22" s="1"/>
  <c r="I8" i="22"/>
  <c r="G4" i="28" s="1"/>
  <c r="I23" i="22"/>
  <c r="K20" i="22"/>
  <c r="M20" i="22" s="1"/>
  <c r="K11" i="22"/>
  <c r="M11" i="22" s="1"/>
  <c r="M7" i="22"/>
  <c r="H3" i="28"/>
  <c r="N15" i="22"/>
  <c r="N12" i="22"/>
  <c r="N7" i="22"/>
  <c r="N17" i="22"/>
  <c r="N14" i="22"/>
  <c r="L2" i="28"/>
  <c r="N32" i="22"/>
  <c r="K3" i="28"/>
  <c r="K2" i="28"/>
  <c r="G13" i="28"/>
  <c r="G14" i="28"/>
  <c r="G8" i="28"/>
  <c r="G11" i="28"/>
  <c r="G12" i="28"/>
  <c r="G9" i="28"/>
  <c r="G6" i="28"/>
  <c r="G15" i="28"/>
  <c r="G5" i="28"/>
  <c r="G10" i="28"/>
  <c r="H6" i="28"/>
  <c r="H15" i="28"/>
  <c r="H12" i="28"/>
  <c r="H9" i="28"/>
  <c r="H14" i="28"/>
  <c r="H10" i="28"/>
  <c r="H13" i="28"/>
  <c r="H11" i="28"/>
  <c r="H8" i="28"/>
  <c r="H7" i="28"/>
  <c r="H2" i="28"/>
  <c r="N19" i="22" l="1"/>
  <c r="H5" i="28"/>
  <c r="N16" i="22"/>
  <c r="L4" i="28"/>
  <c r="K4" i="28"/>
  <c r="M33" i="22"/>
  <c r="N18" i="22"/>
  <c r="N26" i="22"/>
  <c r="N24" i="22"/>
  <c r="H4" i="28"/>
  <c r="N25" i="22"/>
  <c r="N13" i="22"/>
  <c r="N20" i="22"/>
  <c r="N21" i="22"/>
  <c r="N8" i="22"/>
  <c r="N11" i="22"/>
  <c r="N9" i="22"/>
  <c r="N23" i="22"/>
  <c r="N2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<sst xmlns="http://schemas.openxmlformats.org/spreadsheetml/2006/main" count="7945" uniqueCount="4429">
  <si>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</si>
  <si>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</si>
  <si>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</si>
  <si>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</si>
  <si>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</si>
  <si>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</si>
  <si>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</si>
  <si>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</si>
  <si>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</si>
  <si>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</si>
  <si>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</si>
  <si>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</si>
  <si>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</si>
  <si>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</si>
  <si>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</si>
  <si>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</si>
  <si>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</si>
  <si>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</si>
  <si>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</si>
  <si>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</si>
  <si>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</si>
  <si>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</si>
  <si>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</si>
  <si>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</si>
  <si>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</si>
  <si>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</si>
  <si>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</si>
  <si>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</si>
  <si>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</si>
  <si>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</si>
  <si>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</si>
  <si>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</si>
  <si>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</si>
  <si>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</si>
  <si>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</si>
  <si>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</si>
  <si>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</si>
  <si>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</si>
  <si>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</si>
  <si>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</si>
  <si>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</si>
  <si>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</si>
  <si>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</si>
  <si>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</si>
  <si>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</si>
  <si>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</si>
  <si>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</si>
  <si>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</si>
  <si>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</si>
  <si>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</si>
  <si>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</si>
  <si>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</si>
  <si>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</si>
  <si>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</si>
  <si>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</si>
  <si>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</si>
  <si>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</si>
  <si>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</si>
  <si>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</si>
  <si>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</si>
  <si>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</si>
  <si>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</si>
  <si>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</si>
  <si>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</si>
  <si>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</si>
  <si>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</si>
  <si>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</si>
  <si>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</si>
  <si>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</si>
  <si>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</si>
  <si>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</si>
  <si>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</si>
  <si>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</si>
  <si>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</si>
  <si>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</si>
  <si>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</si>
  <si>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</si>
  <si>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</si>
  <si>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</si>
  <si>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</si>
  <si>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</si>
  <si>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</si>
  <si>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</si>
  <si>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</si>
  <si>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</si>
  <si>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</si>
  <si>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</si>
  <si>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</si>
  <si>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</si>
  <si>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</si>
  <si>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</si>
  <si>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</si>
  <si>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</si>
  <si>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</si>
  <si>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</si>
  <si>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</si>
  <si>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</si>
  <si>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</si>
  <si>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</si>
  <si>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</si>
  <si>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</si>
  <si>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</si>
  <si>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</si>
  <si>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</si>
  <si>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</si>
  <si>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</si>
  <si>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</si>
  <si>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</si>
  <si>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</si>
  <si>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</si>
  <si>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</si>
  <si>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</si>
  <si>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</si>
  <si>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</si>
  <si>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</si>
  <si>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</si>
  <si>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</si>
  <si>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</si>
  <si>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</si>
  <si>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</si>
  <si>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</si>
  <si>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</si>
  <si>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</si>
  <si>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</si>
  <si>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</si>
  <si>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</si>
  <si>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</si>
  <si>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</si>
  <si>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</si>
  <si>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</si>
  <si>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</si>
  <si>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</si>
  <si>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</si>
  <si>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</si>
  <si>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</si>
  <si>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</si>
  <si>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</si>
  <si>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</si>
  <si>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</si>
  <si>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</si>
  <si>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</si>
  <si>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</si>
  <si>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</si>
  <si>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</si>
  <si>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</si>
  <si>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</si>
  <si>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</si>
  <si>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</si>
  <si>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</si>
  <si>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</si>
  <si>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</si>
  <si>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</si>
  <si>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</si>
  <si>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</si>
  <si>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</si>
  <si>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</si>
  <si>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</si>
  <si>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</si>
  <si>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</si>
  <si>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</si>
  <si>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</si>
  <si>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</si>
  <si>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</si>
  <si>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</si>
  <si>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</si>
  <si>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Tamoxifen-30,2µg/L</t>
  </si>
  <si>
    <t>Tamoxifen-60,4µg/L</t>
  </si>
  <si>
    <t>Tamoxifen-121µg/L</t>
  </si>
  <si>
    <t>Tamoxifen-242µg/L</t>
  </si>
  <si>
    <t>Tamoxifen-483µg/L</t>
  </si>
  <si>
    <t>Tamoxifen</t>
  </si>
  <si>
    <t xml:space="preserve">D:\Images\20210706\plaque 1/@01 Témoins solvant/A1_01.tif </t>
  </si>
  <si>
    <t xml:space="preserve"> 3309.3739 </t>
  </si>
  <si>
    <t xml:space="preserve"> 64.1242 </t>
  </si>
  <si>
    <t xml:space="preserve">D:\Images\20210706\plaque 1/@01 Témoins solvant/A1_02.tif </t>
  </si>
  <si>
    <t xml:space="preserve"> 3806.8615 </t>
  </si>
  <si>
    <t xml:space="preserve"> 63.8977 </t>
  </si>
  <si>
    <t xml:space="preserve">D:\Images\20210706\plaque 1/@01 Témoins solvant/A1_03.tif </t>
  </si>
  <si>
    <t xml:space="preserve"> 2660.477 </t>
  </si>
  <si>
    <t xml:space="preserve"> 64.8862 </t>
  </si>
  <si>
    <t xml:space="preserve">D:\Images\20210706\plaque 1/@01 Témoins solvant/B1_01.tif </t>
  </si>
  <si>
    <t xml:space="preserve"> 6078.0004 </t>
  </si>
  <si>
    <t xml:space="preserve"> 69.0605 </t>
  </si>
  <si>
    <t xml:space="preserve">D:\Images\20210706\plaque 1/@01 Témoins solvant/B1_02.tif </t>
  </si>
  <si>
    <t xml:space="preserve"> 3006.5554 </t>
  </si>
  <si>
    <t xml:space="preserve"> 65.2734 </t>
  </si>
  <si>
    <t xml:space="preserve">D:\Images\20210706\plaque 1/@01 Témoins solvant/B1_03.tif </t>
  </si>
  <si>
    <t xml:space="preserve"> 886.8257 </t>
  </si>
  <si>
    <t xml:space="preserve"> 62.6829 </t>
  </si>
  <si>
    <t xml:space="preserve">D:\Images\20210706\plaque 1/@01 Témoins solvant/C1_01.tif </t>
  </si>
  <si>
    <t xml:space="preserve"> 1925.0606 </t>
  </si>
  <si>
    <t xml:space="preserve"> 64.0562 </t>
  </si>
  <si>
    <t xml:space="preserve">D:\Images\20210706\plaque 1/@01 Témoins solvant/C1_02.tif </t>
  </si>
  <si>
    <t xml:space="preserve"> 2422.5482 </t>
  </si>
  <si>
    <t xml:space="preserve"> 64.3839 </t>
  </si>
  <si>
    <t xml:space="preserve">D:\Images\20210706\plaque 1/@01 Témoins solvant/C1_03.tif </t>
  </si>
  <si>
    <t xml:space="preserve"> 3266.1141 </t>
  </si>
  <si>
    <t xml:space="preserve"> 66.2517 </t>
  </si>
  <si>
    <t xml:space="preserve">D:\Images\20210706\plaque 1/@01 Témoins solvant/D1_01.tif </t>
  </si>
  <si>
    <t xml:space="preserve"> 584.0072 </t>
  </si>
  <si>
    <t xml:space="preserve"> 66.4444 </t>
  </si>
  <si>
    <t xml:space="preserve">D:\Images\20210706\plaque 1/@01 Témoins solvant/D1_02.tif </t>
  </si>
  <si>
    <t xml:space="preserve"> 237.9288 </t>
  </si>
  <si>
    <t xml:space="preserve"> 66.5455 </t>
  </si>
  <si>
    <t xml:space="preserve">D:\Images\20210706\plaque 1/@01 Témoins solvant/D1_03.tif </t>
  </si>
  <si>
    <t xml:space="preserve"> 194.6691 </t>
  </si>
  <si>
    <t xml:space="preserve"> 63.8889 </t>
  </si>
  <si>
    <t xml:space="preserve">D:\Images\20210706\plaque 1/@01 Témoins solvant/E1_01.tif </t>
  </si>
  <si>
    <t xml:space="preserve"> 4477.3882 </t>
  </si>
  <si>
    <t xml:space="preserve"> 66.4686 </t>
  </si>
  <si>
    <t xml:space="preserve">D:\Images\20210706\plaque 1/@01 Témoins solvant/E1_02.tif </t>
  </si>
  <si>
    <t xml:space="preserve"> 6791.7869 </t>
  </si>
  <si>
    <t xml:space="preserve"> 72.5573 </t>
  </si>
  <si>
    <t xml:space="preserve">D:\Images\20210706\plaque 1/@01 Témoins solvant/E1_03.tif </t>
  </si>
  <si>
    <t xml:space="preserve"> 8240.9899 </t>
  </si>
  <si>
    <t xml:space="preserve"> 69.7612 </t>
  </si>
  <si>
    <t xml:space="preserve">D:\Images\20210706\plaque 1/@01 Témoins solvant/F1_01.tif </t>
  </si>
  <si>
    <t xml:space="preserve"> 4066.4202 </t>
  </si>
  <si>
    <t xml:space="preserve"> 63.2553 </t>
  </si>
  <si>
    <t xml:space="preserve">D:\Images\20210706\plaque 1/@01 Témoins solvant/F1_02.tif </t>
  </si>
  <si>
    <t xml:space="preserve"> 4736.9469 </t>
  </si>
  <si>
    <t xml:space="preserve"> 64.3242 </t>
  </si>
  <si>
    <t xml:space="preserve">D:\Images\20210706\plaque 1/@01 Témoins solvant/F1_03.tif </t>
  </si>
  <si>
    <t xml:space="preserve"> 4347.6088 </t>
  </si>
  <si>
    <t xml:space="preserve"> 63.7512 </t>
  </si>
  <si>
    <t xml:space="preserve">D:\Images\20210706\plaque 1/@01 Témoins solvant/G1_01.tif </t>
  </si>
  <si>
    <t xml:space="preserve"> 3093.0749 </t>
  </si>
  <si>
    <t xml:space="preserve"> 66.2727 </t>
  </si>
  <si>
    <t xml:space="preserve">D:\Images\20210706\plaque 1/@01 Témoins solvant/G1_02.tif </t>
  </si>
  <si>
    <t xml:space="preserve"> 800.3061 </t>
  </si>
  <si>
    <t xml:space="preserve"> 63.5676 </t>
  </si>
  <si>
    <t xml:space="preserve">D:\Images\20210706\plaque 1/@01 Témoins solvant/G1_03.tif </t>
  </si>
  <si>
    <t xml:space="preserve"> 4282.7191 </t>
  </si>
  <si>
    <t xml:space="preserve"> 64.9545 </t>
  </si>
  <si>
    <t xml:space="preserve">D:\Images\20210706\plaque 1/@01 Témoins solvant/H1_01.tif </t>
  </si>
  <si>
    <t xml:space="preserve"> 1838.541 </t>
  </si>
  <si>
    <t xml:space="preserve"> 65.5529 </t>
  </si>
  <si>
    <t xml:space="preserve">D:\Images\20210706\plaque 1/@01 Témoins solvant/H1_02.tif </t>
  </si>
  <si>
    <t xml:space="preserve"> 994.9752 </t>
  </si>
  <si>
    <t xml:space="preserve"> 64.4783 </t>
  </si>
  <si>
    <t xml:space="preserve">D:\Images\20210706\plaque 1/@01 Témoins solvant/H1_03.tif </t>
  </si>
  <si>
    <t xml:space="preserve"> 1189.6442 </t>
  </si>
  <si>
    <t xml:space="preserve"> 63.2727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</si>
  <si>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</si>
  <si>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</si>
  <si>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</si>
  <si>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</si>
  <si>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</si>
  <si>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</si>
  <si>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</si>
  <si>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D:\Images\20210706\plaque 1/@01 Témoins solvant/ </t>
  </si>
  <si>
    <t xml:space="preserve"> 65.4047 </t>
  </si>
  <si>
    <t xml:space="preserve"> 2.3104 </t>
  </si>
  <si>
    <t xml:space="preserve"> 202533.333 </t>
  </si>
  <si>
    <t xml:space="preserve"> 147389.427 </t>
  </si>
  <si>
    <t xml:space="preserve">file name </t>
  </si>
  <si>
    <t xml:space="preserve">D:\Images\20210706\plaque 1/@02 EE2 33.8/A2_01.tif </t>
  </si>
  <si>
    <t xml:space="preserve"> 11636.8833 </t>
  </si>
  <si>
    <t xml:space="preserve"> 69.0483 </t>
  </si>
  <si>
    <t xml:space="preserve">D:\Images\20210706\plaque 1/@02 EE2 33.8/A2_02.tif </t>
  </si>
  <si>
    <t xml:space="preserve"> 12220.8905 </t>
  </si>
  <si>
    <t xml:space="preserve"> 68.7186 </t>
  </si>
  <si>
    <t xml:space="preserve">D:\Images\20210706\plaque 1/@02 EE2 33.8/A2_03.tif </t>
  </si>
  <si>
    <t xml:space="preserve"> 9690.1928 </t>
  </si>
  <si>
    <t xml:space="preserve"> 66.7388 </t>
  </si>
  <si>
    <t xml:space="preserve">D:\Images\20210706\plaque 1/@02 EE2 33.8/B2_01.tif </t>
  </si>
  <si>
    <t xml:space="preserve"> 2292.7688 </t>
  </si>
  <si>
    <t xml:space="preserve"> 65.8491 </t>
  </si>
  <si>
    <t xml:space="preserve">D:\Images\20210706\plaque 1/@02 EE2 33.8/B2_02.tif </t>
  </si>
  <si>
    <t xml:space="preserve"> 2054.84 </t>
  </si>
  <si>
    <t xml:space="preserve"> 64.0526 </t>
  </si>
  <si>
    <t xml:space="preserve">D:\Images\20210706\plaque 1/@02 EE2 33.8/B2_03.tif </t>
  </si>
  <si>
    <t xml:space="preserve"> 5710.2922 </t>
  </si>
  <si>
    <t xml:space="preserve"> 66.2689 </t>
  </si>
  <si>
    <t xml:space="preserve">D:\Images\20210706\plaque 1/@02 EE2 33.8/C2_01.tif </t>
  </si>
  <si>
    <t xml:space="preserve"> 4520.648 </t>
  </si>
  <si>
    <t xml:space="preserve"> 68.5311 </t>
  </si>
  <si>
    <t xml:space="preserve">D:\Images\20210706\plaque 1/@02 EE2 33.8/C2_02.tif </t>
  </si>
  <si>
    <t xml:space="preserve"> 4607.1676 </t>
  </si>
  <si>
    <t xml:space="preserve"> 68.3333 </t>
  </si>
  <si>
    <t xml:space="preserve">D:\Images\20210706\plaque 1/@02 EE2 33.8/C2_03.tif </t>
  </si>
  <si>
    <t xml:space="preserve"> 1773.6514 </t>
  </si>
  <si>
    <t xml:space="preserve"> 65.9634 </t>
  </si>
  <si>
    <t xml:space="preserve">D:\Images\20210706\plaque 1/@02 EE2 33.8/D2_01.tif </t>
  </si>
  <si>
    <t xml:space="preserve"> 8868.2568 </t>
  </si>
  <si>
    <t xml:space="preserve"> 67.7 </t>
  </si>
  <si>
    <t xml:space="preserve">D:\Images\20210706\plaque 1/@02 EE2 33.8/D2_02.tif </t>
  </si>
  <si>
    <t xml:space="preserve"> 1816.9111 </t>
  </si>
  <si>
    <t xml:space="preserve"> 63.9643 </t>
  </si>
  <si>
    <t xml:space="preserve">D:\Images\20210706\plaque 1/@02 EE2 33.8/D2_03.tif </t>
  </si>
  <si>
    <t xml:space="preserve"> 2400.9183 </t>
  </si>
  <si>
    <t xml:space="preserve"> 64.3333 </t>
  </si>
  <si>
    <t xml:space="preserve">D:\Images\20210706\plaque 1/@02 EE2 33.8/E2_01.tif </t>
  </si>
  <si>
    <t xml:space="preserve"> 63.2174 </t>
  </si>
  <si>
    <t xml:space="preserve">D:\Images\20210706\plaque 1/@02 EE2 33.8/E2_02.tif </t>
  </si>
  <si>
    <t xml:space="preserve"> 6748.5271 </t>
  </si>
  <si>
    <t xml:space="preserve"> 69.0833 </t>
  </si>
  <si>
    <t xml:space="preserve">D:\Images\20210706\plaque 1/@02 EE2 33.8/E2_03.tif </t>
  </si>
  <si>
    <t xml:space="preserve"> 519.1175 </t>
  </si>
  <si>
    <t xml:space="preserve"> 63.7083 </t>
  </si>
  <si>
    <t xml:space="preserve">D:\Images\20210706\plaque 1/@02 EE2 33.8/F2_01.tif </t>
  </si>
  <si>
    <t xml:space="preserve"> 2487.4379 </t>
  </si>
  <si>
    <t xml:space="preserve"> 66.7043 </t>
  </si>
  <si>
    <t xml:space="preserve">D:\Images\20210706\plaque 1/@02 EE2 33.8/F2_02.tif </t>
  </si>
  <si>
    <t xml:space="preserve"> 4412.4985 </t>
  </si>
  <si>
    <t xml:space="preserve"> 65.549 </t>
  </si>
  <si>
    <t xml:space="preserve">D:\Images\20210706\plaque 1/@02 EE2 33.8/F2_03.tif </t>
  </si>
  <si>
    <t xml:space="preserve"> 2444.1781 </t>
  </si>
  <si>
    <t xml:space="preserve"> 66.9823 </t>
  </si>
  <si>
    <t xml:space="preserve">D:\Images\20210706\plaque 1/@02 EE2 33.8/G2_01.tif </t>
  </si>
  <si>
    <t xml:space="preserve"> 9041.296 </t>
  </si>
  <si>
    <t xml:space="preserve"> 66.0359 </t>
  </si>
  <si>
    <t xml:space="preserve">D:\Images\20210706\plaque 1/@02 EE2 33.8/G2_02.tif </t>
  </si>
  <si>
    <t xml:space="preserve"> 5969.8509 </t>
  </si>
  <si>
    <t xml:space="preserve"> 65.058 </t>
  </si>
  <si>
    <t>D:\Images\20210706\plaque 1/@02 EE2 33.8/G2_03- exclu.tif</t>
  </si>
  <si>
    <t xml:space="preserve">D:\Images\20210706\plaque 1/@02 EE2 33.8/H2_01.tif </t>
  </si>
  <si>
    <t xml:space="preserve"> 4325.9789 </t>
  </si>
  <si>
    <t xml:space="preserve"> 66.285 </t>
  </si>
  <si>
    <t xml:space="preserve">D:\Images\20210706\plaque 1/@02 EE2 33.8/H2_02.tif </t>
  </si>
  <si>
    <t xml:space="preserve"> 4369.2387 </t>
  </si>
  <si>
    <t xml:space="preserve"> 68.1436 </t>
  </si>
  <si>
    <t xml:space="preserve">D:\Images\20210706\plaque 1/@02 EE2 33.8/H2_03.tif </t>
  </si>
  <si>
    <t xml:space="preserve"> 1860.1709 </t>
  </si>
  <si>
    <t xml:space="preserve"> 64.2209 </t>
  </si>
  <si>
    <t xml:space="preserve">D:\Images\20210706\plaque 1/@02 EE2 33.8/ </t>
  </si>
  <si>
    <t xml:space="preserve"> 66.1637 </t>
  </si>
  <si>
    <t xml:space="preserve"> 1.8834 </t>
  </si>
  <si>
    <t xml:space="preserve"> 311185.667 </t>
  </si>
  <si>
    <t xml:space="preserve"> 236734.353 </t>
  </si>
  <si>
    <t xml:space="preserve">D:\Images\20210706\plaque 1/@03 EE2 50/A3_01.tif </t>
  </si>
  <si>
    <t xml:space="preserve"> 62.9512 </t>
  </si>
  <si>
    <t xml:space="preserve">D:\Images\20210706\plaque 1/@03 EE2 50/A3_02.tif </t>
  </si>
  <si>
    <t xml:space="preserve"> 7267.6446 </t>
  </si>
  <si>
    <t xml:space="preserve"> 66.3274 </t>
  </si>
  <si>
    <t xml:space="preserve">D:\Images\20210706\plaque 1/@03 EE2 50/A3_03.tif </t>
  </si>
  <si>
    <t xml:space="preserve"> 1600.6122 </t>
  </si>
  <si>
    <t xml:space="preserve"> 62.9054 </t>
  </si>
  <si>
    <t xml:space="preserve">D:\Images\20210706\plaque 1/@03 EE2 50/B3_01.tif </t>
  </si>
  <si>
    <t xml:space="preserve"> 1665.5019 </t>
  </si>
  <si>
    <t xml:space="preserve"> 63.4545 </t>
  </si>
  <si>
    <t xml:space="preserve">D:\Images\20210706\plaque 1/@03 EE2 50/B3_02.tif </t>
  </si>
  <si>
    <t xml:space="preserve"> 6402.4488 </t>
  </si>
  <si>
    <t xml:space="preserve"> 65.3547 </t>
  </si>
  <si>
    <t xml:space="preserve">D:\Images\20210706\plaque 1/@03 EE2 50/B3_03.tif </t>
  </si>
  <si>
    <t xml:space="preserve"> 5991.4808 </t>
  </si>
  <si>
    <t xml:space="preserve"> 65.7256 </t>
  </si>
  <si>
    <t xml:space="preserve">D:\Images\20210706\plaque 1/@03 EE2 50/C3_01.tif </t>
  </si>
  <si>
    <t xml:space="preserve"> 843.5659 </t>
  </si>
  <si>
    <t xml:space="preserve"> 63.6154 </t>
  </si>
  <si>
    <t xml:space="preserve">D:\Images\20210706\plaque 1/@03 EE2 50/C3_02.tif </t>
  </si>
  <si>
    <t xml:space="preserve"> 1081.4947 </t>
  </si>
  <si>
    <t xml:space="preserve"> 66.4 </t>
  </si>
  <si>
    <t xml:space="preserve">D:\Images\20210706\plaque 1/@03 EE2 50/C3_03.tif </t>
  </si>
  <si>
    <t xml:space="preserve"> 65.875 </t>
  </si>
  <si>
    <t xml:space="preserve">D:\Images\20210706\plaque 1/@03 EE2 50/D3_01.tif </t>
  </si>
  <si>
    <t xml:space="preserve"> 14859.7376 </t>
  </si>
  <si>
    <t xml:space="preserve"> 70.9767 </t>
  </si>
  <si>
    <t xml:space="preserve">D:\Images\20210706\plaque 1/@03 EE2 50/D3_02.tif </t>
  </si>
  <si>
    <t xml:space="preserve"> 15162.5561 </t>
  </si>
  <si>
    <t xml:space="preserve"> 69.6034 </t>
  </si>
  <si>
    <t xml:space="preserve">D:\Images\20210706\plaque 1/@03 EE2 50/D3_03.tif </t>
  </si>
  <si>
    <t xml:space="preserve"> 9409.0042 </t>
  </si>
  <si>
    <t xml:space="preserve"> 65.9011 </t>
  </si>
  <si>
    <t xml:space="preserve">D:\Images\20210706\plaque 1/@03 EE2 50/E3_01.tif </t>
  </si>
  <si>
    <t xml:space="preserve"> 4563.9078 </t>
  </si>
  <si>
    <t xml:space="preserve"> 63.6209 </t>
  </si>
  <si>
    <t xml:space="preserve">D:\Images\20210706\plaque 1/@03 EE2 50/E3_02.tif </t>
  </si>
  <si>
    <t xml:space="preserve"> 5126.285 </t>
  </si>
  <si>
    <t xml:space="preserve"> 63.9072 </t>
  </si>
  <si>
    <t xml:space="preserve">D:\Images\20210706\plaque 1/@03 EE2 50/E3_03.tif </t>
  </si>
  <si>
    <t xml:space="preserve"> 3590.5625 </t>
  </si>
  <si>
    <t xml:space="preserve">D:\Images\20210706\plaque 1/@03 EE2 50/F3_01.tif </t>
  </si>
  <si>
    <t xml:space="preserve"> 1254.5339 </t>
  </si>
  <si>
    <t xml:space="preserve"> 63.1034 </t>
  </si>
  <si>
    <t xml:space="preserve">D:\Images\20210706\plaque 1/@03 EE2 50/F3_02.tif </t>
  </si>
  <si>
    <t xml:space="preserve"> 692.1566 </t>
  </si>
  <si>
    <t xml:space="preserve"> 62.625 </t>
  </si>
  <si>
    <t xml:space="preserve">D:\Images\20210706\plaque 1/@03 EE2 50/F3_03.tif </t>
  </si>
  <si>
    <t xml:space="preserve"> 1514.0926 </t>
  </si>
  <si>
    <t xml:space="preserve"> 63.2286 </t>
  </si>
  <si>
    <t xml:space="preserve">D:\Images\20210706\plaque 1/@03 EE2 50/G3_01.tif </t>
  </si>
  <si>
    <t xml:space="preserve"> 1881.8008 </t>
  </si>
  <si>
    <t xml:space="preserve"> 63.2184 </t>
  </si>
  <si>
    <t xml:space="preserve">D:\Images\20210706\plaque 1/@03 EE2 50/G3_02.tif </t>
  </si>
  <si>
    <t xml:space="preserve"> 2271.1389 </t>
  </si>
  <si>
    <t xml:space="preserve"> 63.619 </t>
  </si>
  <si>
    <t xml:space="preserve">D:\Images\20210706\plaque 1/@03 EE2 50/G3_03.tif </t>
  </si>
  <si>
    <t xml:space="preserve"> 5796.8118 </t>
  </si>
  <si>
    <t xml:space="preserve"> 65.3769 </t>
  </si>
  <si>
    <t xml:space="preserve">D:\Images\20210706\plaque 1/@03 EE2 50/H3_01.tif </t>
  </si>
  <si>
    <t xml:space="preserve"> 6121.2602 </t>
  </si>
  <si>
    <t xml:space="preserve"> 69.1873 </t>
  </si>
  <si>
    <t xml:space="preserve">D:\Images\20210706\plaque 1/@03 EE2 50/H3_02.tif </t>
  </si>
  <si>
    <t xml:space="preserve"> 951.7154 </t>
  </si>
  <si>
    <t xml:space="preserve"> 63.8864 </t>
  </si>
  <si>
    <t xml:space="preserve">D:\Images\20210706\plaque 1/@03 EE2 50/H3_03.tif </t>
  </si>
  <si>
    <t xml:space="preserve"> 4109.68 </t>
  </si>
  <si>
    <t xml:space="preserve"> 68.1263 </t>
  </si>
  <si>
    <t xml:space="preserve">D:\Images\20210706\plaque 1/@03 EE2 50/ </t>
  </si>
  <si>
    <t xml:space="preserve"> 65.1246 </t>
  </si>
  <si>
    <t xml:space="preserve"> 2.3371 </t>
  </si>
  <si>
    <t xml:space="preserve"> 288291.292 </t>
  </si>
  <si>
    <t xml:space="preserve"> 288472.65 </t>
  </si>
  <si>
    <t xml:space="preserve">D:\Images\20210706\plaque 1/@04 EE2 76/A4_01.tif </t>
  </si>
  <si>
    <t xml:space="preserve"> 24506.6706 </t>
  </si>
  <si>
    <t xml:space="preserve"> 65.9665 </t>
  </si>
  <si>
    <t xml:space="preserve">D:\Images\20210706\plaque 1/@04 EE2 76/A4_02.tif </t>
  </si>
  <si>
    <t xml:space="preserve"> 21132.4071 </t>
  </si>
  <si>
    <t xml:space="preserve"> 66.7257 </t>
  </si>
  <si>
    <t xml:space="preserve">D:\Images\20210706\plaque 1/@04 EE2 76/A4_03.tif </t>
  </si>
  <si>
    <t xml:space="preserve"> 23684.7346 </t>
  </si>
  <si>
    <t xml:space="preserve"> 66.695 </t>
  </si>
  <si>
    <t xml:space="preserve">D:\Images\20210706\plaque 1/@04 EE2 76/B4_01.tif </t>
  </si>
  <si>
    <t xml:space="preserve"> 670.5267 </t>
  </si>
  <si>
    <t xml:space="preserve"> 63.3548 </t>
  </si>
  <si>
    <t xml:space="preserve">D:\Images\20210706\plaque 1/@04 EE2 76/B4_02.tif </t>
  </si>
  <si>
    <t xml:space="preserve"> 908.4556 </t>
  </si>
  <si>
    <t xml:space="preserve"> 63.5 </t>
  </si>
  <si>
    <t xml:space="preserve">D:\Images\20210706\plaque 1/@04 EE2 76/B4_03.tif </t>
  </si>
  <si>
    <t xml:space="preserve"> 1989.9503 </t>
  </si>
  <si>
    <t xml:space="preserve"> 64.6413 </t>
  </si>
  <si>
    <t xml:space="preserve">D:\Images\20210706\plaque 1/@04 EE2 76/C4_01.tif </t>
  </si>
  <si>
    <t xml:space="preserve"> 13821.5027 </t>
  </si>
  <si>
    <t xml:space="preserve"> 68.2034 </t>
  </si>
  <si>
    <t xml:space="preserve">D:\Images\20210706\plaque 1/@04 EE2 76/C4_02.tif </t>
  </si>
  <si>
    <t xml:space="preserve"> 6380.8189 </t>
  </si>
  <si>
    <t xml:space="preserve"> 63.9492 </t>
  </si>
  <si>
    <t xml:space="preserve">D:\Images\20210706\plaque 1/@04 EE2 76/C4_03.tif </t>
  </si>
  <si>
    <t xml:space="preserve"> 12112.741 </t>
  </si>
  <si>
    <t xml:space="preserve"> 69.4089 </t>
  </si>
  <si>
    <t xml:space="preserve">D:\Images\20210706\plaque 1/@04 EE2 76/D4_01.tif </t>
  </si>
  <si>
    <t xml:space="preserve"> 4174.5697 </t>
  </si>
  <si>
    <t xml:space="preserve"> 64.7358 </t>
  </si>
  <si>
    <t xml:space="preserve">D:\Images\20210706\plaque 1/@04 EE2 76/D4_02.tif </t>
  </si>
  <si>
    <t xml:space="preserve"> 4715.317 </t>
  </si>
  <si>
    <t xml:space="preserve"> 66.1101 </t>
  </si>
  <si>
    <t xml:space="preserve">D:\Images\20210706\plaque 1/@04 EE2 76/D4_03.tif </t>
  </si>
  <si>
    <t xml:space="preserve"> 66.0798 </t>
  </si>
  <si>
    <t xml:space="preserve">D:\Images\20210706\plaque 1/@04 EE2 76/E4_01.tif </t>
  </si>
  <si>
    <t xml:space="preserve"> 44968.5509 </t>
  </si>
  <si>
    <t xml:space="preserve"> 67.6229 </t>
  </si>
  <si>
    <t xml:space="preserve">D:\Images\20210706\plaque 1/@04 EE2 76/E4_02.tif </t>
  </si>
  <si>
    <t xml:space="preserve"> 50570.6936 </t>
  </si>
  <si>
    <t xml:space="preserve"> 69.6099 </t>
  </si>
  <si>
    <t xml:space="preserve">D:\Images\20210706\plaque 1/@04 EE2 76/E4_03.tif </t>
  </si>
  <si>
    <t xml:space="preserve"> 45617.4478 </t>
  </si>
  <si>
    <t xml:space="preserve"> 69.88 </t>
  </si>
  <si>
    <t xml:space="preserve">D:\Images\20210706\plaque 1/@04 EE2 76/F4_01.tif </t>
  </si>
  <si>
    <t xml:space="preserve"> 8219.36 </t>
  </si>
  <si>
    <t xml:space="preserve"> 67.1974 </t>
  </si>
  <si>
    <t xml:space="preserve">D:\Images\20210706\plaque 1/@04 EE2 76/F4_02.tif </t>
  </si>
  <si>
    <t xml:space="preserve"> 5018.1356 </t>
  </si>
  <si>
    <t xml:space="preserve"> 64.6336 </t>
  </si>
  <si>
    <t xml:space="preserve">D:\Images\20210706\plaque 1/@04 EE2 76/F4_03.tif </t>
  </si>
  <si>
    <t xml:space="preserve"> 4996.5057 </t>
  </si>
  <si>
    <t xml:space="preserve"> 65.2857 </t>
  </si>
  <si>
    <t xml:space="preserve">D:\Images\20210706\plaque 1/@04 EE2 76/G4_01.tif </t>
  </si>
  <si>
    <t xml:space="preserve"> 5147.9149 </t>
  </si>
  <si>
    <t xml:space="preserve"> 64.937 </t>
  </si>
  <si>
    <t xml:space="preserve">D:\Images\20210706\plaque 1/@04 EE2 76/G4_02.tif </t>
  </si>
  <si>
    <t xml:space="preserve"> 3893.381 </t>
  </si>
  <si>
    <t xml:space="preserve"> 63.6278 </t>
  </si>
  <si>
    <t xml:space="preserve">D:\Images\20210706\plaque 1/@04 EE2 76/G4_03.tif </t>
  </si>
  <si>
    <t xml:space="preserve"> 63.2381 </t>
  </si>
  <si>
    <t xml:space="preserve">D:\Images\20210706\plaque 1/@04 EE2 76/H4_01.tif </t>
  </si>
  <si>
    <t xml:space="preserve"> 7873.2816 </t>
  </si>
  <si>
    <t xml:space="preserve"> 68.3901 </t>
  </si>
  <si>
    <t xml:space="preserve">D:\Images\20210706\plaque 1/@04 EE2 76/H4_02.tif </t>
  </si>
  <si>
    <t xml:space="preserve"> 3612.1924 </t>
  </si>
  <si>
    <t xml:space="preserve"> 63.4251 </t>
  </si>
  <si>
    <t xml:space="preserve">D:\Images\20210706\plaque 1/@04 EE2 76/H4_03.tif </t>
  </si>
  <si>
    <t xml:space="preserve"> 8673.5877 </t>
  </si>
  <si>
    <t xml:space="preserve"> 68.6658 </t>
  </si>
  <si>
    <t xml:space="preserve">D:\Images\20210706\plaque 1/@04 EE2 76/ </t>
  </si>
  <si>
    <t xml:space="preserve"> 66.0785 </t>
  </si>
  <si>
    <t xml:space="preserve"> 2.1531 </t>
  </si>
  <si>
    <t xml:space="preserve"> 873063.625 </t>
  </si>
  <si>
    <t xml:space="preserve"> 1022745.41 </t>
  </si>
  <si>
    <t xml:space="preserve">D:\Images\20210706\plaque 1/@05 EE2 114/A5_01.tif </t>
  </si>
  <si>
    <t xml:space="preserve"> 41464.508 </t>
  </si>
  <si>
    <t xml:space="preserve"> 70.8774 </t>
  </si>
  <si>
    <t xml:space="preserve">D:\Images\20210706\plaque 1/@05 EE2 114/A5_02.tif </t>
  </si>
  <si>
    <t xml:space="preserve"> 39647.5969 </t>
  </si>
  <si>
    <t xml:space="preserve"> 71.1669 </t>
  </si>
  <si>
    <t xml:space="preserve">D:\Images\20210706\plaque 1/@05 EE2 114/A5_03.tif </t>
  </si>
  <si>
    <t xml:space="preserve"> 53490.7294 </t>
  </si>
  <si>
    <t xml:space="preserve"> 72.0053 </t>
  </si>
  <si>
    <t xml:space="preserve">D:\Images\20210706\plaque 1/@05 EE2 114/B5_01.tif </t>
  </si>
  <si>
    <t xml:space="preserve"> 11528.7338 </t>
  </si>
  <si>
    <t xml:space="preserve"> 64.3208 </t>
  </si>
  <si>
    <t xml:space="preserve">D:\Images\20210706\plaque 1/@05 EE2 114/B5_02.tif </t>
  </si>
  <si>
    <t xml:space="preserve"> 7029.7158 </t>
  </si>
  <si>
    <t xml:space="preserve"> 64.3015 </t>
  </si>
  <si>
    <t xml:space="preserve">D:\Images\20210706\plaque 1/@05 EE2 114/B5_03.tif </t>
  </si>
  <si>
    <t xml:space="preserve"> 3439.1532 </t>
  </si>
  <si>
    <t xml:space="preserve"> 63.1195 </t>
  </si>
  <si>
    <t xml:space="preserve">D:\Images\20210706\plaque 1/@05 EE2 114/C5_01.tif </t>
  </si>
  <si>
    <t xml:space="preserve"> 15919.6024 </t>
  </si>
  <si>
    <t xml:space="preserve"> 65.7812 </t>
  </si>
  <si>
    <t xml:space="preserve">D:\Images\20210706\plaque 1/@05 EE2 114/C5_02.tif </t>
  </si>
  <si>
    <t xml:space="preserve"> 64.2885 </t>
  </si>
  <si>
    <t xml:space="preserve">D:\Images\20210706\plaque 1/@05 EE2 114/C5_03.tif </t>
  </si>
  <si>
    <t xml:space="preserve"> 11139.3957 </t>
  </si>
  <si>
    <t xml:space="preserve"> 63.8913 </t>
  </si>
  <si>
    <t xml:space="preserve">D:\Images\20210706\plaque 1/@05 EE2 114/D5_01.tif </t>
  </si>
  <si>
    <t xml:space="preserve"> 28270.2723 </t>
  </si>
  <si>
    <t xml:space="preserve"> 66.6588 </t>
  </si>
  <si>
    <t xml:space="preserve">D:\Images\20210706\plaque 1/@05 EE2 114/D5_02.tif </t>
  </si>
  <si>
    <t xml:space="preserve"> 34305.0129 </t>
  </si>
  <si>
    <t xml:space="preserve"> 67.5738 </t>
  </si>
  <si>
    <t xml:space="preserve">D:\Images\20210706\plaque 1/@05 EE2 114/D5_03.tif </t>
  </si>
  <si>
    <t xml:space="preserve"> 33850.7851 </t>
  </si>
  <si>
    <t xml:space="preserve"> 67.308 </t>
  </si>
  <si>
    <t xml:space="preserve">D:\Images\20210706\plaque 1/@05 EE2 114/E5_01.tif </t>
  </si>
  <si>
    <t xml:space="preserve"> 7700.2425 </t>
  </si>
  <si>
    <t xml:space="preserve"> 64.1208 </t>
  </si>
  <si>
    <t xml:space="preserve">D:\Images\20210706\plaque 1/@05 EE2 114/E5_02.tif </t>
  </si>
  <si>
    <t xml:space="preserve"> 6618.7478 </t>
  </si>
  <si>
    <t xml:space="preserve"> 64.8039 </t>
  </si>
  <si>
    <t xml:space="preserve">D:\Images\20210706\plaque 1/@05 EE2 114/E5_03.tif </t>
  </si>
  <si>
    <t xml:space="preserve"> 9755.0825 </t>
  </si>
  <si>
    <t xml:space="preserve"> 66.5876 </t>
  </si>
  <si>
    <t xml:space="preserve">D:\Images\20210706\plaque 1/@05 EE2 114/F5_01.tif </t>
  </si>
  <si>
    <t xml:space="preserve"> 8608.6981 </t>
  </si>
  <si>
    <t xml:space="preserve"> 66.7261 </t>
  </si>
  <si>
    <t xml:space="preserve">D:\Images\20210706\plaque 1/@05 EE2 114/F5_02.tif </t>
  </si>
  <si>
    <t xml:space="preserve"> 8651.9579 </t>
  </si>
  <si>
    <t xml:space="preserve"> 66.6825 </t>
  </si>
  <si>
    <t xml:space="preserve">D:\Images\20210706\plaque 1/@05 EE2 114/F5_03.tif </t>
  </si>
  <si>
    <t xml:space="preserve"> 7743.5023 </t>
  </si>
  <si>
    <t xml:space="preserve"> 65.7486 </t>
  </si>
  <si>
    <t xml:space="preserve">D:\Images\20210706\plaque 1/@05 EE2 114/G5_01.tif </t>
  </si>
  <si>
    <t xml:space="preserve"> 21370.3359 </t>
  </si>
  <si>
    <t xml:space="preserve"> 67.0901 </t>
  </si>
  <si>
    <t xml:space="preserve">D:\Images\20210706\plaque 1/@05 EE2 114/G5_02.tif </t>
  </si>
  <si>
    <t xml:space="preserve"> 15076.0366 </t>
  </si>
  <si>
    <t xml:space="preserve"> 64.6801 </t>
  </si>
  <si>
    <t xml:space="preserve">D:\Images\20210706\plaque 1/@05 EE2 114/G5_03.tif </t>
  </si>
  <si>
    <t xml:space="preserve"> 17887.9229 </t>
  </si>
  <si>
    <t xml:space="preserve"> 66.2769 </t>
  </si>
  <si>
    <t xml:space="preserve">D:\Images\20210706\plaque 1/@05 EE2 114/H5_01.tif </t>
  </si>
  <si>
    <t xml:space="preserve"> 14556.9191 </t>
  </si>
  <si>
    <t xml:space="preserve"> 69.6241 </t>
  </si>
  <si>
    <t xml:space="preserve">D:\Images\20210706\plaque 1/@05 EE2 114/H5_02.tif </t>
  </si>
  <si>
    <t xml:space="preserve"> 11961.3317 </t>
  </si>
  <si>
    <t xml:space="preserve"> 70.2622 </t>
  </si>
  <si>
    <t xml:space="preserve">D:\Images\20210706\plaque 1/@05 EE2 114/H5_03.tif </t>
  </si>
  <si>
    <t xml:space="preserve"> 12523.709 </t>
  </si>
  <si>
    <t xml:space="preserve"> 70.171 </t>
  </si>
  <si>
    <t xml:space="preserve">D:\Images\20210706\plaque 1/@05 EE2 114/ </t>
  </si>
  <si>
    <t xml:space="preserve"> 66.8361 </t>
  </si>
  <si>
    <t xml:space="preserve"> 2.5866 </t>
  </si>
  <si>
    <t xml:space="preserve"> 1233675.5 </t>
  </si>
  <si>
    <t xml:space="preserve"> 949461.111 </t>
  </si>
  <si>
    <t>D:\Images\20210706\plaque 1/@06 EE2 170/A6_01- exclu.tif</t>
  </si>
  <si>
    <t xml:space="preserve">D:\Images\20210706\plaque 1/@06 EE2 170/A6_02.tif </t>
  </si>
  <si>
    <t xml:space="preserve"> 38804.031 </t>
  </si>
  <si>
    <t xml:space="preserve"> 73.3428 </t>
  </si>
  <si>
    <t xml:space="preserve">D:\Images\20210706\plaque 1/@06 EE2 170/A6_03.tif </t>
  </si>
  <si>
    <t xml:space="preserve"> 37398.0878 </t>
  </si>
  <si>
    <t xml:space="preserve"> 72.6374 </t>
  </si>
  <si>
    <t xml:space="preserve">D:\Images\20210706\plaque 1/@06 EE2 170/B6_01.tif </t>
  </si>
  <si>
    <t xml:space="preserve"> 39972.0453 </t>
  </si>
  <si>
    <t xml:space="preserve"> 70.2327 </t>
  </si>
  <si>
    <t xml:space="preserve">D:\Images\20210706\plaque 1/@06 EE2 170/B6_02.tif </t>
  </si>
  <si>
    <t xml:space="preserve"> 36057.0343 </t>
  </si>
  <si>
    <t xml:space="preserve"> 70.3695 </t>
  </si>
  <si>
    <t xml:space="preserve">D:\Images\20210706\plaque 1/@06 EE2 170/B6_03.tif </t>
  </si>
  <si>
    <t xml:space="preserve"> 37657.6465 </t>
  </si>
  <si>
    <t xml:space="preserve"> 69.6898 </t>
  </si>
  <si>
    <t xml:space="preserve">D:\Images\20210706\plaque 1/@06 EE2 170/C6_01.tif </t>
  </si>
  <si>
    <t xml:space="preserve"> 29048.9485 </t>
  </si>
  <si>
    <t xml:space="preserve"> 71.6337 </t>
  </si>
  <si>
    <t xml:space="preserve">D:\Images\20210706\plaque 1/@06 EE2 170/C6_02.tif </t>
  </si>
  <si>
    <t xml:space="preserve"> 33915.6748 </t>
  </si>
  <si>
    <t xml:space="preserve"> 71.5733 </t>
  </si>
  <si>
    <t xml:space="preserve">D:\Images\20210706\plaque 1/@06 EE2 170/C6_03.tif </t>
  </si>
  <si>
    <t xml:space="preserve"> 31363.3472 </t>
  </si>
  <si>
    <t xml:space="preserve"> 71.7752 </t>
  </si>
  <si>
    <t xml:space="preserve">D:\Images\20210706\plaque 1/@06 EE2 170/D6_01.tif </t>
  </si>
  <si>
    <t xml:space="preserve"> 20591.6597 </t>
  </si>
  <si>
    <t xml:space="preserve"> 69.5473 </t>
  </si>
  <si>
    <t xml:space="preserve">D:\Images\20210706\plaque 1/@06 EE2 170/D6_02.tif </t>
  </si>
  <si>
    <t xml:space="preserve"> 20029.2824 </t>
  </si>
  <si>
    <t xml:space="preserve"> 66.7138 </t>
  </si>
  <si>
    <t xml:space="preserve">D:\Images\20210706\plaque 1/@06 EE2 170/D6_03.tif </t>
  </si>
  <si>
    <t xml:space="preserve"> 21024.2576 </t>
  </si>
  <si>
    <t xml:space="preserve"> 67.8724 </t>
  </si>
  <si>
    <t xml:space="preserve">D:\Images\20210706\plaque 1/@06 EE2 170/E6_01.tif </t>
  </si>
  <si>
    <t xml:space="preserve"> 32142.0234 </t>
  </si>
  <si>
    <t xml:space="preserve"> 70.1299 </t>
  </si>
  <si>
    <t xml:space="preserve">D:\Images\20210706\plaque 1/@06 EE2 170/E6_02.tif </t>
  </si>
  <si>
    <t xml:space="preserve"> 32920.6996 </t>
  </si>
  <si>
    <t xml:space="preserve"> 70.3114 </t>
  </si>
  <si>
    <t xml:space="preserve">D:\Images\20210706\plaque 1/@06 EE2 170/E6_03.tif </t>
  </si>
  <si>
    <t xml:space="preserve"> 32206.9131 </t>
  </si>
  <si>
    <t xml:space="preserve"> 69.7361 </t>
  </si>
  <si>
    <t xml:space="preserve">D:\Images\20210706\plaque 1/@06 EE2 170/F6_01.tif </t>
  </si>
  <si>
    <t xml:space="preserve"> 11982.9616 </t>
  </si>
  <si>
    <t xml:space="preserve"> 68.4224 </t>
  </si>
  <si>
    <t xml:space="preserve">D:\Images\20210706\plaque 1/@06 EE2 170/F6_02.tif </t>
  </si>
  <si>
    <t xml:space="preserve"> 10923.0968 </t>
  </si>
  <si>
    <t xml:space="preserve">D:\Images\20210706\plaque 1/@06 EE2 170/F6_03.tif </t>
  </si>
  <si>
    <t xml:space="preserve"> 10750.0576 </t>
  </si>
  <si>
    <t xml:space="preserve"> 67.1429 </t>
  </si>
  <si>
    <t xml:space="preserve">D:\Images\20210706\plaque 1/@06 EE2 170/G6_01.tif </t>
  </si>
  <si>
    <t xml:space="preserve"> 39993.6752 </t>
  </si>
  <si>
    <t xml:space="preserve"> 71.8491 </t>
  </si>
  <si>
    <t xml:space="preserve">D:\Images\20210706\plaque 1/@06 EE2 170/G6_02.tif </t>
  </si>
  <si>
    <t xml:space="preserve"> 34218.4933 </t>
  </si>
  <si>
    <t xml:space="preserve"> 72.9241 </t>
  </si>
  <si>
    <t xml:space="preserve">D:\Images\20210706\plaque 1/@06 EE2 170/G6_03.tif </t>
  </si>
  <si>
    <t xml:space="preserve"> 34413.1624 </t>
  </si>
  <si>
    <t xml:space="preserve"> 70.0258 </t>
  </si>
  <si>
    <t xml:space="preserve">D:\Images\20210706\plaque 1/@06 EE2 170/H6_01.tif </t>
  </si>
  <si>
    <t xml:space="preserve"> 34651.0912 </t>
  </si>
  <si>
    <t xml:space="preserve"> 70.9444 </t>
  </si>
  <si>
    <t xml:space="preserve">D:\Images\20210706\plaque 1/@06 EE2 170/H6_02.tif </t>
  </si>
  <si>
    <t xml:space="preserve"> 35537.9169 </t>
  </si>
  <si>
    <t xml:space="preserve"> 71.6805 </t>
  </si>
  <si>
    <t xml:space="preserve">D:\Images\20210706\plaque 1/@06 EE2 170/H6_03.tif </t>
  </si>
  <si>
    <t xml:space="preserve"> 31817.575 </t>
  </si>
  <si>
    <t xml:space="preserve"> 71.4765 </t>
  </si>
  <si>
    <t xml:space="preserve">D:\Images\20210706\plaque 1/@06 EE2 170/ </t>
  </si>
  <si>
    <t xml:space="preserve"> 70.339 </t>
  </si>
  <si>
    <t xml:space="preserve"> 1.8464 </t>
  </si>
  <si>
    <t xml:space="preserve"> 2101807.42 </t>
  </si>
  <si>
    <t xml:space="preserve"> 669536.977 </t>
  </si>
  <si>
    <t xml:space="preserve">D:\Images\20210706\plaque 1/@07 EE2 488/A7_01.tif </t>
  </si>
  <si>
    <t xml:space="preserve"> 37052.0095 </t>
  </si>
  <si>
    <t xml:space="preserve"> 88.7717 </t>
  </si>
  <si>
    <t xml:space="preserve">D:\Images\20210706\plaque 1/@07 EE2 488/A7_02.tif </t>
  </si>
  <si>
    <t xml:space="preserve"> 36727.5611 </t>
  </si>
  <si>
    <t xml:space="preserve"> 88.8793 </t>
  </si>
  <si>
    <t xml:space="preserve">D:\Images\20210706\plaque 1/@07 EE2 488/A7_03.tif </t>
  </si>
  <si>
    <t xml:space="preserve"> 39366.4082 </t>
  </si>
  <si>
    <t xml:space="preserve"> 87.6286 </t>
  </si>
  <si>
    <t xml:space="preserve">D:\Images\20210706\plaque 1/@07 EE2 488/B7_01.tif </t>
  </si>
  <si>
    <t xml:space="preserve"> 50613.9534 </t>
  </si>
  <si>
    <t xml:space="preserve"> 88.356 </t>
  </si>
  <si>
    <t xml:space="preserve">D:\Images\20210706\plaque 1/@07 EE2 488/B7_02.tif </t>
  </si>
  <si>
    <t xml:space="preserve"> 54182.886 </t>
  </si>
  <si>
    <t xml:space="preserve"> 90.3034 </t>
  </si>
  <si>
    <t xml:space="preserve">D:\Images\20210706\plaque 1/@07 EE2 488/B7_03.tif </t>
  </si>
  <si>
    <t xml:space="preserve"> 48667.2629 </t>
  </si>
  <si>
    <t xml:space="preserve"> 91.6618 </t>
  </si>
  <si>
    <t xml:space="preserve">D:\Images\20210706\plaque 1/@07 EE2 488/C7_01.tif </t>
  </si>
  <si>
    <t xml:space="preserve"> 62099.4275 </t>
  </si>
  <si>
    <t xml:space="preserve"> 91.1536 </t>
  </si>
  <si>
    <t xml:space="preserve">D:\Images\20210706\plaque 1/@07 EE2 488/C7_02.tif </t>
  </si>
  <si>
    <t xml:space="preserve"> 58854.9433 </t>
  </si>
  <si>
    <t xml:space="preserve"> 91.5722 </t>
  </si>
  <si>
    <t xml:space="preserve">D:\Images\20210706\plaque 1/@07 EE2 488/C7_03.tif </t>
  </si>
  <si>
    <t xml:space="preserve"> 60152.737 </t>
  </si>
  <si>
    <t xml:space="preserve"> 91.9087 </t>
  </si>
  <si>
    <t xml:space="preserve">D:\Images\20210706\plaque 1/@07 EE2 488/D7_01.tif </t>
  </si>
  <si>
    <t xml:space="preserve"> 95517.6147 </t>
  </si>
  <si>
    <t xml:space="preserve"> 94.1058 </t>
  </si>
  <si>
    <t xml:space="preserve">D:\Images\20210706\plaque 1/@07 EE2 488/D7_02.tif </t>
  </si>
  <si>
    <t xml:space="preserve"> 90802.2977 </t>
  </si>
  <si>
    <t xml:space="preserve"> 94.8137 </t>
  </si>
  <si>
    <t xml:space="preserve">D:\Images\20210706\plaque 1/@07 EE2 488/D7_03.tif </t>
  </si>
  <si>
    <t xml:space="preserve"> 96945.1877 </t>
  </si>
  <si>
    <t xml:space="preserve"> 93.212 </t>
  </si>
  <si>
    <t xml:space="preserve">D:\Images\20210706\plaque 1/@07 EE2 488/E7_01.tif </t>
  </si>
  <si>
    <t xml:space="preserve"> 48991.7113 </t>
  </si>
  <si>
    <t xml:space="preserve"> 88.3709 </t>
  </si>
  <si>
    <t>D:\Images\20210706\plaque 1/@07 EE2 488/E7_02- exclu.tif</t>
  </si>
  <si>
    <t>D:\Images\20210706\plaque 1/@07 EE2 488/E7_03- exclu.tif</t>
  </si>
  <si>
    <t xml:space="preserve">D:\Images\20210706\plaque 1/@07 EE2 488/F7_01.tif </t>
  </si>
  <si>
    <t xml:space="preserve"> 37549.4971 </t>
  </si>
  <si>
    <t xml:space="preserve"> 97.2281 </t>
  </si>
  <si>
    <t xml:space="preserve">D:\Images\20210706\plaque 1/@07 EE2 488/F7_02.tif </t>
  </si>
  <si>
    <t xml:space="preserve"> 52128.0461 </t>
  </si>
  <si>
    <t xml:space="preserve"> 97.3905 </t>
  </si>
  <si>
    <t xml:space="preserve">D:\Images\20210706\plaque 1/@07 EE2 488/F7_03.tif </t>
  </si>
  <si>
    <t xml:space="preserve"> 48429.3341 </t>
  </si>
  <si>
    <t xml:space="preserve"> 99.1094 </t>
  </si>
  <si>
    <t xml:space="preserve">D:\Images\20210706\plaque 1/@07 EE2 488/G7_01.tif </t>
  </si>
  <si>
    <t xml:space="preserve"> 50008.3164 </t>
  </si>
  <si>
    <t xml:space="preserve"> 78.7881 </t>
  </si>
  <si>
    <t xml:space="preserve">D:\Images\20210706\plaque 1/@07 EE2 488/G7_02.tif </t>
  </si>
  <si>
    <t xml:space="preserve"> 59720.1391 </t>
  </si>
  <si>
    <t xml:space="preserve"> 77.5154 </t>
  </si>
  <si>
    <t xml:space="preserve">D:\Images\20210706\plaque 1/@07 EE2 488/G7_03.tif </t>
  </si>
  <si>
    <t xml:space="preserve"> 61407.2709 </t>
  </si>
  <si>
    <t xml:space="preserve"> 78.572 </t>
  </si>
  <si>
    <t xml:space="preserve">D:\Images\20210706\plaque 1/@07 EE2 488/H7_01.tif </t>
  </si>
  <si>
    <t xml:space="preserve"> 39842.2659 </t>
  </si>
  <si>
    <t xml:space="preserve"> 83.5776 </t>
  </si>
  <si>
    <t xml:space="preserve">D:\Images\20210706\plaque 1/@07 EE2 488/H7_02.tif </t>
  </si>
  <si>
    <t xml:space="preserve"> 40880.5008 </t>
  </si>
  <si>
    <t xml:space="preserve"> 84.5444 </t>
  </si>
  <si>
    <t xml:space="preserve">D:\Images\20210706\plaque 1/@07 EE2 488/H7_03.tif </t>
  </si>
  <si>
    <t xml:space="preserve"> 40729.0916 </t>
  </si>
  <si>
    <t xml:space="preserve"> 83.8656 </t>
  </si>
  <si>
    <t xml:space="preserve">D:\Images\20210706\plaque 1/@07 EE2 488/ </t>
  </si>
  <si>
    <t xml:space="preserve"> 87.7249 </t>
  </si>
  <si>
    <t xml:space="preserve"> 7.9001 </t>
  </si>
  <si>
    <t xml:space="preserve"> 4576494.58 </t>
  </si>
  <si>
    <t xml:space="preserve"> 2087828.84 </t>
  </si>
  <si>
    <t xml:space="preserve">D:\Images\20210706\plaque 1/@08tam 30.2µg_L/A8_01.tif </t>
  </si>
  <si>
    <t xml:space="preserve"> 2963.2956 </t>
  </si>
  <si>
    <t xml:space="preserve"> 64.8029 </t>
  </si>
  <si>
    <t xml:space="preserve">D:\Images\20210706\plaque 1/@08tam 30.2µg_L/A8_02.tif </t>
  </si>
  <si>
    <t xml:space="preserve"> 65.438 </t>
  </si>
  <si>
    <t xml:space="preserve">D:\Images\20210706\plaque 1/@08tam 30.2µg_L/A8_03.tif </t>
  </si>
  <si>
    <t xml:space="preserve"> 66.1401 </t>
  </si>
  <si>
    <t xml:space="preserve">D:\Images\20210706\plaque 1/@08tam 30.2µg_L/B8_01.tif </t>
  </si>
  <si>
    <t xml:space="preserve"> 4953.2459 </t>
  </si>
  <si>
    <t xml:space="preserve"> 71.476 </t>
  </si>
  <si>
    <t xml:space="preserve">D:\Images\20210706\plaque 1/@08tam 30.2µg_L/B8_02.tif </t>
  </si>
  <si>
    <t xml:space="preserve"> 63.6216 </t>
  </si>
  <si>
    <t xml:space="preserve">D:\Images\20210706\plaque 1/@08tam 30.2µg_L/B8_03.tif </t>
  </si>
  <si>
    <t xml:space="preserve"> 64.5 </t>
  </si>
  <si>
    <t xml:space="preserve">D:\Images\20210706\plaque 1/@08tam 30.2µg_L/C8_01.tif </t>
  </si>
  <si>
    <t xml:space="preserve"> 1232.904 </t>
  </si>
  <si>
    <t xml:space="preserve"> 63.2105 </t>
  </si>
  <si>
    <t xml:space="preserve">D:\Images\20210706\plaque 1/@08tam 30.2µg_L/C8_02.tif </t>
  </si>
  <si>
    <t xml:space="preserve"> 735.4164 </t>
  </si>
  <si>
    <t xml:space="preserve"> 64.2059 </t>
  </si>
  <si>
    <t xml:space="preserve">D:\Images\20210706\plaque 1/@08tam 30.2µg_L/C8_03.tif </t>
  </si>
  <si>
    <t xml:space="preserve"> 757.0463 </t>
  </si>
  <si>
    <t xml:space="preserve"> 65.4286 </t>
  </si>
  <si>
    <t xml:space="preserve">D:\Images\20210706\plaque 1/@08tam 30.2µg_L/D8_01.tif </t>
  </si>
  <si>
    <t xml:space="preserve"> 7051.3456 </t>
  </si>
  <si>
    <t xml:space="preserve"> 68.9785 </t>
  </si>
  <si>
    <t xml:space="preserve">D:\Images\20210706\plaque 1/@08tam 30.2µg_L/D8_02.tif </t>
  </si>
  <si>
    <t xml:space="preserve"> 4217.8295 </t>
  </si>
  <si>
    <t xml:space="preserve"> 65.559 </t>
  </si>
  <si>
    <t xml:space="preserve">D:\Images\20210706\plaque 1/@08tam 30.2µg_L/D8_03.tif </t>
  </si>
  <si>
    <t xml:space="preserve"> 4845.0964 </t>
  </si>
  <si>
    <t xml:space="preserve"> 64.3527 </t>
  </si>
  <si>
    <t xml:space="preserve">D:\Images\20210706\plaque 1/@08tam 30.2µg_L/E8_01.tif </t>
  </si>
  <si>
    <t xml:space="preserve"> 7440.6838 </t>
  </si>
  <si>
    <t xml:space="preserve"> 72.2791 </t>
  </si>
  <si>
    <t xml:space="preserve">D:\Images\20210706\plaque 1/@08tam 30.2µg_L/E8_02.tif </t>
  </si>
  <si>
    <t xml:space="preserve"> 71.8463 </t>
  </si>
  <si>
    <t xml:space="preserve">D:\Images\20210706\plaque 1/@08tam 30.2µg_L/E8_03.tif </t>
  </si>
  <si>
    <t xml:space="preserve"> 5645.4025 </t>
  </si>
  <si>
    <t xml:space="preserve"> 68.908 </t>
  </si>
  <si>
    <t xml:space="preserve">D:\Images\20210706\plaque 1/@08tam 30.2µg_L/F8_01.tif </t>
  </si>
  <si>
    <t xml:space="preserve"> 63.2568 </t>
  </si>
  <si>
    <t xml:space="preserve">D:\Images\20210706\plaque 1/@08tam 30.2µg_L/F8_02.tif </t>
  </si>
  <si>
    <t xml:space="preserve"> 1319.4236 </t>
  </si>
  <si>
    <t xml:space="preserve"> 63.1311 </t>
  </si>
  <si>
    <t xml:space="preserve">D:\Images\20210706\plaque 1/@08tam 30.2µg_L/F8_03.tif </t>
  </si>
  <si>
    <t xml:space="preserve"> 64.2759 </t>
  </si>
  <si>
    <t xml:space="preserve">D:\Images\20210706\plaque 1/@08tam 30.2µg_L/G8_01.tif </t>
  </si>
  <si>
    <t xml:space="preserve"> 1384.3133 </t>
  </si>
  <si>
    <t xml:space="preserve"> 63.6562 </t>
  </si>
  <si>
    <t xml:space="preserve">D:\Images\20210706\plaque 1/@08tam 30.2µg_L/G8_02.tif </t>
  </si>
  <si>
    <t xml:space="preserve"> 1730.3916 </t>
  </si>
  <si>
    <t xml:space="preserve"> 66.1 </t>
  </si>
  <si>
    <t xml:space="preserve">D:\Images\20210706\plaque 1/@08tam 30.2µg_L/G8_03.tif </t>
  </si>
  <si>
    <t xml:space="preserve"> 2357.6585 </t>
  </si>
  <si>
    <t xml:space="preserve"> 63.6606 </t>
  </si>
  <si>
    <t xml:space="preserve">D:\Images\20210706\plaque 1/@08tam 30.2µg_L/H8_01.tif </t>
  </si>
  <si>
    <t xml:space="preserve"> 605.637 </t>
  </si>
  <si>
    <t xml:space="preserve"> 66.6786 </t>
  </si>
  <si>
    <t xml:space="preserve">D:\Images\20210706\plaque 1/@08tam 30.2µg_L/H8_02.tif </t>
  </si>
  <si>
    <t xml:space="preserve"> 65.2222 </t>
  </si>
  <si>
    <t xml:space="preserve">D:\Images\20210706\plaque 1/@08tam 30.2µg_L/H8_03.tif </t>
  </si>
  <si>
    <t xml:space="preserve"> 454.2278 </t>
  </si>
  <si>
    <t xml:space="preserve"> 65.0476 </t>
  </si>
  <si>
    <t xml:space="preserve">D:\Images\20210706\plaque 1/@08tam 30.2µg_L/ </t>
  </si>
  <si>
    <t xml:space="preserve"> 65.9073 </t>
  </si>
  <si>
    <t xml:space="preserve"> 2.7686 </t>
  </si>
  <si>
    <t xml:space="preserve"> 212954.5 </t>
  </si>
  <si>
    <t xml:space="preserve"> 182071.224 </t>
  </si>
  <si>
    <t xml:space="preserve">D:\Images\20210706\plaque 1/@09 tam 60.4µg_L/A9_01.tif </t>
  </si>
  <si>
    <t xml:space="preserve"> 821.936 </t>
  </si>
  <si>
    <t xml:space="preserve">D:\Images\20210706\plaque 1/@09 tam 60.4µg_L/A9_02.tif </t>
  </si>
  <si>
    <t xml:space="preserve"> 1146.3844 </t>
  </si>
  <si>
    <t xml:space="preserve"> 63.7736 </t>
  </si>
  <si>
    <t xml:space="preserve">D:\Images\20210706\plaque 1/@09 tam 60.4µg_L/A9_03.tif </t>
  </si>
  <si>
    <t xml:space="preserve"> 63.3077 </t>
  </si>
  <si>
    <t xml:space="preserve">D:\Images\20210706\plaque 1/@09 tam 60.4µg_L/B9_01.tif </t>
  </si>
  <si>
    <t xml:space="preserve"> 11550.3637 </t>
  </si>
  <si>
    <t xml:space="preserve"> 66.6573 </t>
  </si>
  <si>
    <t xml:space="preserve">D:\Images\20210706\plaque 1/@09 tam 60.4µg_L/B9_02.tif </t>
  </si>
  <si>
    <t xml:space="preserve"> 6359.189 </t>
  </si>
  <si>
    <t xml:space="preserve"> 65.6701 </t>
  </si>
  <si>
    <t xml:space="preserve">D:\Images\20210706\plaque 1/@09 tam 60.4µg_L/B9_03.tif </t>
  </si>
  <si>
    <t xml:space="preserve"> 20634.9195 </t>
  </si>
  <si>
    <t xml:space="preserve"> 75.0241 </t>
  </si>
  <si>
    <t xml:space="preserve">D:\Images\20210706\plaque 1/@09 tam 60.4µg_L/C9_01.tif </t>
  </si>
  <si>
    <t xml:space="preserve"> 64.7687 </t>
  </si>
  <si>
    <t xml:space="preserve">D:\Images\20210706\plaque 1/@09 tam 60.4µg_L/C9_02.tif </t>
  </si>
  <si>
    <t xml:space="preserve"> 5407.4737 </t>
  </si>
  <si>
    <t xml:space="preserve"> 63.768 </t>
  </si>
  <si>
    <t xml:space="preserve">D:\Images\20210706\plaque 1/@09 tam 60.4µg_L/C9_03.tif </t>
  </si>
  <si>
    <t xml:space="preserve"> 2379.2884 </t>
  </si>
  <si>
    <t xml:space="preserve"> 63.2909 </t>
  </si>
  <si>
    <t xml:space="preserve">D:\Images\20210706\plaque 1/@09 tam 60.4µg_L/D9_01.tif </t>
  </si>
  <si>
    <t xml:space="preserve"> 2682.1069 </t>
  </si>
  <si>
    <t xml:space="preserve"> 64.4516 </t>
  </si>
  <si>
    <t xml:space="preserve">D:\Images\20210706\plaque 1/@09 tam 60.4µg_L/D9_02.tif </t>
  </si>
  <si>
    <t xml:space="preserve"> 65.3804 </t>
  </si>
  <si>
    <t xml:space="preserve">D:\Images\20210706\plaque 1/@09 tam 60.4µg_L/D9_03.tif </t>
  </si>
  <si>
    <t xml:space="preserve"> 62.62 </t>
  </si>
  <si>
    <t xml:space="preserve">D:\Images\20210706\plaque 1/@09 tam 60.4µg_L/E9_01.tif </t>
  </si>
  <si>
    <t xml:space="preserve"> 3525.6728 </t>
  </si>
  <si>
    <t xml:space="preserve"> 65.1595 </t>
  </si>
  <si>
    <t xml:space="preserve">D:\Images\20210706\plaque 1/@09 tam 60.4µg_L/E9_02.tif </t>
  </si>
  <si>
    <t xml:space="preserve"> 66.3275 </t>
  </si>
  <si>
    <t xml:space="preserve">D:\Images\20210706\plaque 1/@09 tam 60.4µg_L/E9_03.tif </t>
  </si>
  <si>
    <t xml:space="preserve"> 2227.8791 </t>
  </si>
  <si>
    <t xml:space="preserve"> 63.6408 </t>
  </si>
  <si>
    <t xml:space="preserve">D:\Images\20210706\plaque 1/@09 tam 60.4µg_L/F9_01.tif </t>
  </si>
  <si>
    <t xml:space="preserve"> 65.96 </t>
  </si>
  <si>
    <t xml:space="preserve">D:\Images\20210706\plaque 1/@09 tam 60.4µg_L/F9_02.tif </t>
  </si>
  <si>
    <t xml:space="preserve"> 63.0976 </t>
  </si>
  <si>
    <t xml:space="preserve">D:\Images\20210706\plaque 1/@09 tam 60.4µg_L/F9_03.tif </t>
  </si>
  <si>
    <t xml:space="preserve"> 64.5455 </t>
  </si>
  <si>
    <t xml:space="preserve">D:\Images\20210706\plaque 1/@09 tam 60.4µg_L/G9_01.tif </t>
  </si>
  <si>
    <t xml:space="preserve"> 4239.4593 </t>
  </si>
  <si>
    <t xml:space="preserve"> 64.7653 </t>
  </si>
  <si>
    <t xml:space="preserve">D:\Images\20210706\plaque 1/@09 tam 60.4µg_L/G9_02.tif </t>
  </si>
  <si>
    <t xml:space="preserve"> 11896.442 </t>
  </si>
  <si>
    <t xml:space="preserve"> 76.1127 </t>
  </si>
  <si>
    <t xml:space="preserve">D:\Images\20210706\plaque 1/@09 tam 60.4µg_L/G9_03.tif </t>
  </si>
  <si>
    <t xml:space="preserve"> 14729.9582 </t>
  </si>
  <si>
    <t xml:space="preserve"> 71.5286 </t>
  </si>
  <si>
    <t xml:space="preserve">D:\Images\20210706\plaque 1/@09 tam 60.4µg_L/H9_01.tif </t>
  </si>
  <si>
    <t xml:space="preserve"> 6056.3705 </t>
  </si>
  <si>
    <t xml:space="preserve"> 64.3214 </t>
  </si>
  <si>
    <t xml:space="preserve">D:\Images\20210706\plaque 1/@09 tam 60.4µg_L/H9_02.tif </t>
  </si>
  <si>
    <t xml:space="preserve"> 63.7889 </t>
  </si>
  <si>
    <t xml:space="preserve">D:\Images\20210706\plaque 1/@09 tam 60.4µg_L/H9_03.tif </t>
  </si>
  <si>
    <t xml:space="preserve"> 64.33 </t>
  </si>
  <si>
    <t xml:space="preserve">D:\Images\20210706\plaque 1/@09 tam 60.4µg_L/ </t>
  </si>
  <si>
    <t xml:space="preserve"> 65.6996 </t>
  </si>
  <si>
    <t xml:space="preserve"> 3.5145 </t>
  </si>
  <si>
    <t xml:space="preserve"> 342112.75 </t>
  </si>
  <si>
    <t xml:space="preserve"> 372475.153 </t>
  </si>
  <si>
    <t xml:space="preserve">D:\Images\20210706\plaque 1/@10 tam 121µg_L/A10_01.tif </t>
  </si>
  <si>
    <t xml:space="preserve"> 7613.7229 </t>
  </si>
  <si>
    <t xml:space="preserve"> 67.4006 </t>
  </si>
  <si>
    <t xml:space="preserve">D:\Images\20210706\plaque 1/@10 tam 121µg_L/A10_02.tif </t>
  </si>
  <si>
    <t xml:space="preserve"> 4044.7903 </t>
  </si>
  <si>
    <t xml:space="preserve"> 64.0053 </t>
  </si>
  <si>
    <t xml:space="preserve">D:\Images\20210706\plaque 1/@10 tam 121µg_L/A10_03.tif </t>
  </si>
  <si>
    <t xml:space="preserve"> 64.3294 </t>
  </si>
  <si>
    <t xml:space="preserve">D:\Images\20210706\plaque 1/@10 tam 121µg_L/B10_01.tif </t>
  </si>
  <si>
    <t xml:space="preserve"> 973.3453 </t>
  </si>
  <si>
    <t xml:space="preserve"> 63.1333 </t>
  </si>
  <si>
    <t xml:space="preserve">D:\Images\20210706\plaque 1/@10 tam 121µg_L/B10_02.tif </t>
  </si>
  <si>
    <t xml:space="preserve"> 63.5429 </t>
  </si>
  <si>
    <t xml:space="preserve">D:\Images\20210706\plaque 1/@10 tam 121µg_L/B10_03.tif </t>
  </si>
  <si>
    <t xml:space="preserve"> 1427.573 </t>
  </si>
  <si>
    <t xml:space="preserve"> 63.4697 </t>
  </si>
  <si>
    <t xml:space="preserve">D:\Images\20210706\plaque 1/@10 tam 121µg_L/C10_01.tif </t>
  </si>
  <si>
    <t xml:space="preserve"> 63.202 </t>
  </si>
  <si>
    <t xml:space="preserve">D:\Images\20210706\plaque 1/@10 tam 121µg_L/C10_02.tif </t>
  </si>
  <si>
    <t xml:space="preserve"> 63.16 </t>
  </si>
  <si>
    <t xml:space="preserve">D:\Images\20210706\plaque 1/@10 tam 121µg_L/C10_03.tif </t>
  </si>
  <si>
    <t xml:space="preserve"> 64.0547 </t>
  </si>
  <si>
    <t xml:space="preserve">D:\Images\20210706\plaque 1/@10 tam 121µg_L/D10_01.tif </t>
  </si>
  <si>
    <t xml:space="preserve"> 66.0657 </t>
  </si>
  <si>
    <t xml:space="preserve">D:\Images\20210706\plaque 1/@10 tam 121µg_L/D10_02.tif </t>
  </si>
  <si>
    <t xml:space="preserve"> 5580.5128 </t>
  </si>
  <si>
    <t xml:space="preserve"> 67.3101 </t>
  </si>
  <si>
    <t xml:space="preserve">D:\Images\20210706\plaque 1/@10 tam 121µg_L/D10_03.tif </t>
  </si>
  <si>
    <t xml:space="preserve"> 64.0943 </t>
  </si>
  <si>
    <t xml:space="preserve">D:\Images\20210706\plaque 1/@10 tam 121µg_L/E10_01.tif </t>
  </si>
  <si>
    <t xml:space="preserve"> 63.3571 </t>
  </si>
  <si>
    <t xml:space="preserve">D:\Images\20210706\plaque 1/@10 tam 121µg_L/E10_02.tif </t>
  </si>
  <si>
    <t xml:space="preserve"> 66.1503 </t>
  </si>
  <si>
    <t xml:space="preserve">D:\Images\20210706\plaque 1/@10 tam 121µg_L/E10_03.tif </t>
  </si>
  <si>
    <t xml:space="preserve"> 1557.3524 </t>
  </si>
  <si>
    <t xml:space="preserve"> 63.8194 </t>
  </si>
  <si>
    <t xml:space="preserve">D:\Images\20210706\plaque 1/@10 tam 121µg_L/F10_01.tif </t>
  </si>
  <si>
    <t xml:space="preserve"> 432.5979 </t>
  </si>
  <si>
    <t xml:space="preserve"> 64.7 </t>
  </si>
  <si>
    <t xml:space="preserve">D:\Images\20210706\plaque 1/@10 tam 121µg_L/F10_02.tif </t>
  </si>
  <si>
    <t xml:space="preserve"> 63.65 </t>
  </si>
  <si>
    <t xml:space="preserve">D:\Images\20210706\plaque 1/@10 tam 121µg_L/F10_03.tif </t>
  </si>
  <si>
    <t xml:space="preserve"> 497.4876 </t>
  </si>
  <si>
    <t xml:space="preserve"> 64.913 </t>
  </si>
  <si>
    <t xml:space="preserve">D:\Images\20210706\plaque 1/@10 tam 121µg_L/G10_01.tif </t>
  </si>
  <si>
    <t xml:space="preserve"> 1903.4307 </t>
  </si>
  <si>
    <t xml:space="preserve"> 64.2273 </t>
  </si>
  <si>
    <t xml:space="preserve">D:\Images\20210706\plaque 1/@10 tam 121µg_L/G10_02.tif </t>
  </si>
  <si>
    <t xml:space="preserve"> 3244.4842 </t>
  </si>
  <si>
    <t xml:space="preserve"> 66.12 </t>
  </si>
  <si>
    <t xml:space="preserve">D:\Images\20210706\plaque 1/@10 tam 121µg_L/G10_03.tif </t>
  </si>
  <si>
    <t xml:space="preserve"> 2790.2564 </t>
  </si>
  <si>
    <t xml:space="preserve"> 64.8992 </t>
  </si>
  <si>
    <t xml:space="preserve">D:\Images\20210706\plaque 1/@10 tam 121µg_L/H10_01.tif </t>
  </si>
  <si>
    <t xml:space="preserve"> 1687.1318 </t>
  </si>
  <si>
    <t xml:space="preserve">D:\Images\20210706\plaque 1/@10 tam 121µg_L/H10_02.tif </t>
  </si>
  <si>
    <t xml:space="preserve"> 4152.9398 </t>
  </si>
  <si>
    <t xml:space="preserve"> 69.4531 </t>
  </si>
  <si>
    <t xml:space="preserve">D:\Images\20210706\plaque 1/@10 tam 121µg_L/H10_03.tif </t>
  </si>
  <si>
    <t xml:space="preserve"> 1492.4627 </t>
  </si>
  <si>
    <t xml:space="preserve"> 63.7681 </t>
  </si>
  <si>
    <t xml:space="preserve">D:\Images\20210706\plaque 1/@10 tam 121µg_L/ </t>
  </si>
  <si>
    <t xml:space="preserve"> 64.7844 </t>
  </si>
  <si>
    <t xml:space="preserve"> 1.6203 </t>
  </si>
  <si>
    <t xml:space="preserve"> 162388.25 </t>
  </si>
  <si>
    <t xml:space="preserve"> 126504.595 </t>
  </si>
  <si>
    <t>D:\Images\20210706\plaque 1/@11 tam 242µg_L/A11_01- exclu.tif</t>
  </si>
  <si>
    <t>D:\Images\20210706\plaque 1/@11 tam 242µg_L/A11_02- exclu.tif</t>
  </si>
  <si>
    <t>D:\Images\20210706\plaque 1/@11 tam 242µg_L/A11_03- exclu.tif</t>
  </si>
  <si>
    <t>D:\Images\20210706\plaque 1/@11 tam 242µg_L/B11_01- exclu.tif</t>
  </si>
  <si>
    <t xml:space="preserve">D:\Images\20210706\plaque 1/@11 tam 242µg_L/B11_02.tif </t>
  </si>
  <si>
    <t xml:space="preserve"> 63.1176 </t>
  </si>
  <si>
    <t xml:space="preserve">D:\Images\20210706\plaque 1/@11 tam 242µg_L/B11_03.tif </t>
  </si>
  <si>
    <t xml:space="preserve"> 1016.605 </t>
  </si>
  <si>
    <t xml:space="preserve"> 63.4255 </t>
  </si>
  <si>
    <t xml:space="preserve">D:\Images\20210706\plaque 1/@11 tam 242µg_L/C11_01.tif </t>
  </si>
  <si>
    <t xml:space="preserve"> 2098.0998 </t>
  </si>
  <si>
    <t xml:space="preserve"> 63.4021 </t>
  </si>
  <si>
    <t xml:space="preserve">D:\Images\20210706\plaque 1/@11 tam 242µg_L/C11_02.tif </t>
  </si>
  <si>
    <t xml:space="preserve"> 64.3605 </t>
  </si>
  <si>
    <t xml:space="preserve">D:\Images\20210706\plaque 1/@11 tam 242µg_L/C11_03.tif </t>
  </si>
  <si>
    <t xml:space="preserve"> 63.5357 </t>
  </si>
  <si>
    <t xml:space="preserve">D:\Images\20210706\plaque 1/@11 tam 242µg_L/D11_01.tif </t>
  </si>
  <si>
    <t xml:space="preserve"> 63.871 </t>
  </si>
  <si>
    <t xml:space="preserve">D:\Images\20210706\plaque 1/@11 tam 242µg_L/D11_02.tif </t>
  </si>
  <si>
    <t xml:space="preserve"> 3633.8223 </t>
  </si>
  <si>
    <t xml:space="preserve"> 63.9464 </t>
  </si>
  <si>
    <t xml:space="preserve">D:\Images\20210706\plaque 1/@11 tam 242µg_L/D11_03.tif </t>
  </si>
  <si>
    <t xml:space="preserve"> 63.6713 </t>
  </si>
  <si>
    <t xml:space="preserve">D:\Images\20210706\plaque 1/@11 tam 242µg_L/E11_01.tif </t>
  </si>
  <si>
    <t xml:space="preserve"> 7786.7621 </t>
  </si>
  <si>
    <t xml:space="preserve"> 64.275 </t>
  </si>
  <si>
    <t xml:space="preserve">D:\Images\20210706\plaque 1/@11 tam 242µg_L/E11_02.tif </t>
  </si>
  <si>
    <t xml:space="preserve"> 64.6556 </t>
  </si>
  <si>
    <t xml:space="preserve">D:\Images\20210706\plaque 1/@11 tam 242µg_L/E11_03.tif </t>
  </si>
  <si>
    <t xml:space="preserve"> 2336.0286 </t>
  </si>
  <si>
    <t xml:space="preserve"> 62.9907 </t>
  </si>
  <si>
    <t xml:space="preserve">D:\Images\20210706\plaque 1/@11 tam 242µg_L/F11_01.tif </t>
  </si>
  <si>
    <t xml:space="preserve"> 1038.2349 </t>
  </si>
  <si>
    <t xml:space="preserve"> 63.375 </t>
  </si>
  <si>
    <t xml:space="preserve">D:\Images\20210706\plaque 1/@11 tam 242µg_L/F11_02.tif </t>
  </si>
  <si>
    <t xml:space="preserve"> 1405.9432 </t>
  </si>
  <si>
    <t xml:space="preserve"> 63.7231 </t>
  </si>
  <si>
    <t xml:space="preserve">D:\Images\20210706\plaque 1/@11 tam 242µg_L/F11_03.tif </t>
  </si>
  <si>
    <t xml:space="preserve"> 2076.4699 </t>
  </si>
  <si>
    <t xml:space="preserve"> 65.0833 </t>
  </si>
  <si>
    <t xml:space="preserve">D:\Images\20210706\plaque 1/@11 tam 242µg_L/G11_01.tif </t>
  </si>
  <si>
    <t xml:space="preserve"> 6013.1107 </t>
  </si>
  <si>
    <t xml:space="preserve"> 67.9928 </t>
  </si>
  <si>
    <t xml:space="preserve">D:\Images\20210706\plaque 1/@11 tam 242µg_L/G11_02.tif </t>
  </si>
  <si>
    <t xml:space="preserve"> 6856.6766 </t>
  </si>
  <si>
    <t xml:space="preserve"> 71.0568 </t>
  </si>
  <si>
    <t xml:space="preserve">D:\Images\20210706\plaque 1/@11 tam 242µg_L/G11_03.tif </t>
  </si>
  <si>
    <t xml:space="preserve"> 1708.7617 </t>
  </si>
  <si>
    <t xml:space="preserve"> 62.962 </t>
  </si>
  <si>
    <t xml:space="preserve">D:\Images\20210706\plaque 1/@11 tam 242µg_L/H11_01.tif </t>
  </si>
  <si>
    <t xml:space="preserve"> 2530.6977 </t>
  </si>
  <si>
    <t xml:space="preserve"> 63.7436 </t>
  </si>
  <si>
    <t xml:space="preserve">D:\Images\20210706\plaque 1/@11 tam 242µg_L/H11_02.tif </t>
  </si>
  <si>
    <t xml:space="preserve"> 3417.5234 </t>
  </si>
  <si>
    <t xml:space="preserve"> 65.1772 </t>
  </si>
  <si>
    <t xml:space="preserve">D:\Images\20210706\plaque 1/@11 tam 242µg_L/H11_03.tif </t>
  </si>
  <si>
    <t xml:space="preserve"> 4672.0572 </t>
  </si>
  <si>
    <t xml:space="preserve"> 68.1204 </t>
  </si>
  <si>
    <t xml:space="preserve">D:\Images\20210706\plaque 1/@11 tam 242µg_L/ </t>
  </si>
  <si>
    <t xml:space="preserve"> 64.6778 </t>
  </si>
  <si>
    <t xml:space="preserve"> 1.9459 </t>
  </si>
  <si>
    <t xml:space="preserve"> 180794.375 </t>
  </si>
  <si>
    <t xml:space="preserve"> 154773.597 </t>
  </si>
  <si>
    <t xml:space="preserve">D:\Images\20210706\plaque 1/@12 tam 483µg_L/A12_01.tif </t>
  </si>
  <si>
    <t xml:space="preserve"> 63.3211 </t>
  </si>
  <si>
    <t xml:space="preserve">D:\Images\20210706\plaque 1/@12 tam 483µg_L/A12_02.tif </t>
  </si>
  <si>
    <t xml:space="preserve"> 63.578 </t>
  </si>
  <si>
    <t xml:space="preserve">D:\Images\20210706\plaque 1/@12 tam 483µg_L/A12_03.tif </t>
  </si>
  <si>
    <t xml:space="preserve"> 63.6573 </t>
  </si>
  <si>
    <t xml:space="preserve">D:\Images\20210706\plaque 1/@12 tam 483µg_L/B12_01.tif </t>
  </si>
  <si>
    <t xml:space="preserve"> 14102.6913 </t>
  </si>
  <si>
    <t xml:space="preserve"> 64.9248 </t>
  </si>
  <si>
    <t xml:space="preserve">D:\Images\20210706\plaque 1/@12 tam 483µg_L/B12_02.tif </t>
  </si>
  <si>
    <t xml:space="preserve"> 4758.5768 </t>
  </si>
  <si>
    <t xml:space="preserve"> 63.6682 </t>
  </si>
  <si>
    <t xml:space="preserve">D:\Images\20210706\plaque 1/@12 tam 483µg_L/B12_03.tif </t>
  </si>
  <si>
    <t xml:space="preserve"> 7527.2033 </t>
  </si>
  <si>
    <t xml:space="preserve"> 64.1523 </t>
  </si>
  <si>
    <t xml:space="preserve">D:\Images\20210706\plaque 1/@12 tam 483µg_L/C12_01.tif </t>
  </si>
  <si>
    <t xml:space="preserve"> 7137.8652 </t>
  </si>
  <si>
    <t xml:space="preserve"> 65.1606 </t>
  </si>
  <si>
    <t xml:space="preserve">D:\Images\20210706\plaque 1/@12 tam 483µg_L/C12_02.tif </t>
  </si>
  <si>
    <t xml:space="preserve"> 13259.1254 </t>
  </si>
  <si>
    <t xml:space="preserve"> 67.4502 </t>
  </si>
  <si>
    <t xml:space="preserve">D:\Images\20210706\plaque 1/@12 tam 483µg_L/C12_03.tif </t>
  </si>
  <si>
    <t xml:space="preserve"> 9344.1145 </t>
  </si>
  <si>
    <t xml:space="preserve"> 64.206 </t>
  </si>
  <si>
    <t xml:space="preserve">D:\Images\20210706\plaque 1/@12 tam 483µg_L/D12_01.tif </t>
  </si>
  <si>
    <t xml:space="preserve"> 63.4762 </t>
  </si>
  <si>
    <t xml:space="preserve">D:\Images\20210706\plaque 1/@12 tam 483µg_L/D12_02.tif </t>
  </si>
  <si>
    <t xml:space="preserve"> 11701.773 </t>
  </si>
  <si>
    <t xml:space="preserve"> 64.9593 </t>
  </si>
  <si>
    <t xml:space="preserve">D:\Images\20210706\plaque 1/@12 tam 483µg_L/D12_03.tif </t>
  </si>
  <si>
    <t xml:space="preserve"> 8954.7764 </t>
  </si>
  <si>
    <t xml:space="preserve"> 64.7826 </t>
  </si>
  <si>
    <t xml:space="preserve">D:\Images\20210706\plaque 1/@12 tam 483µg_L/E12_01.tif </t>
  </si>
  <si>
    <t xml:space="preserve"> 20288.8412 </t>
  </si>
  <si>
    <t xml:space="preserve"> 64.8582 </t>
  </si>
  <si>
    <t xml:space="preserve">D:\Images\20210706\plaque 1/@12 tam 483µg_L/E12_02.tif </t>
  </si>
  <si>
    <t xml:space="preserve"> 19618.3144 </t>
  </si>
  <si>
    <t xml:space="preserve"> 64.8082 </t>
  </si>
  <si>
    <t xml:space="preserve">D:\Images\20210706\plaque 1/@12 tam 483µg_L/E12_03.tif </t>
  </si>
  <si>
    <t xml:space="preserve"> 21240.5565 </t>
  </si>
  <si>
    <t xml:space="preserve"> 64.6914 </t>
  </si>
  <si>
    <t xml:space="preserve">D:\Images\20210706\plaque 1/@12 tam 483µg_L/F12_01.tif </t>
  </si>
  <si>
    <t xml:space="preserve"> 63.2 </t>
  </si>
  <si>
    <t xml:space="preserve">D:\Images\20210706\plaque 1/@12 tam 483µg_L/F12_02.tif </t>
  </si>
  <si>
    <t xml:space="preserve"> 3568.9326 </t>
  </si>
  <si>
    <t xml:space="preserve"> 63.3273 </t>
  </si>
  <si>
    <t xml:space="preserve">D:\Images\20210706\plaque 1/@12 tam 483µg_L/F12_03.tif </t>
  </si>
  <si>
    <t xml:space="preserve"> 1622.2421 </t>
  </si>
  <si>
    <t xml:space="preserve"> 63.48 </t>
  </si>
  <si>
    <t xml:space="preserve">D:\Images\20210706\plaque 1/@12 tam 483µg_L/G12_01.tif </t>
  </si>
  <si>
    <t xml:space="preserve"> 19055.9372 </t>
  </si>
  <si>
    <t xml:space="preserve"> 65.7707 </t>
  </si>
  <si>
    <t xml:space="preserve">D:\Images\20210706\plaque 1/@12 tam 483µg_L/G12_02.tif </t>
  </si>
  <si>
    <t xml:space="preserve"> 20245.5814 </t>
  </si>
  <si>
    <t xml:space="preserve"> 65.8056 </t>
  </si>
  <si>
    <t>D:\Images\20210706\plaque 1/@12 tam 483µg_L/G12_03- exclu.tif</t>
  </si>
  <si>
    <t xml:space="preserve">D:\Images\20210706\plaque 1/@12 tam 483µg_L/H12_01.tif </t>
  </si>
  <si>
    <t xml:space="preserve"> 3179.5945 </t>
  </si>
  <si>
    <t xml:space="preserve"> 63.7755 </t>
  </si>
  <si>
    <t>D:\Images\20210706\plaque 1/@12 tam 483µg_L/H12_02- exclu.tif</t>
  </si>
  <si>
    <t xml:space="preserve">D:\Images\20210706\plaque 1/@12 tam 483µg_L/H12_03.tif </t>
  </si>
  <si>
    <t xml:space="preserve"> 64.0761 </t>
  </si>
  <si>
    <t xml:space="preserve">D:\Images\20210706\plaque 1/@12 tam 483µg_L/ </t>
  </si>
  <si>
    <t xml:space="preserve"> 64.4188 </t>
  </si>
  <si>
    <t xml:space="preserve"> 1.0056 </t>
  </si>
  <si>
    <t xml:space="preserve"> 593332.333 </t>
  </si>
  <si>
    <t xml:space="preserve"> 469008.446 </t>
  </si>
  <si>
    <t xml:space="preserve">D:\Images\20210706\plaque 2/@01 testo 30/A1_01.tif </t>
  </si>
  <si>
    <t xml:space="preserve"> 34326.6428 </t>
  </si>
  <si>
    <t xml:space="preserve"> 69.6938 </t>
  </si>
  <si>
    <t xml:space="preserve">D:\Images\20210706\plaque 2/@01 testo 30/A1_02.tif </t>
  </si>
  <si>
    <t xml:space="preserve"> 69.22 </t>
  </si>
  <si>
    <t xml:space="preserve">D:\Images\20210706\plaque 2/@01 testo 30/A1_03.tif </t>
  </si>
  <si>
    <t xml:space="preserve"> 70.2821 </t>
  </si>
  <si>
    <t xml:space="preserve">D:\Images\20210706\plaque 2/@01 testo 30/B1_01.tif </t>
  </si>
  <si>
    <t xml:space="preserve"> 30216.9628 </t>
  </si>
  <si>
    <t xml:space="preserve"> 70.4996 </t>
  </si>
  <si>
    <t xml:space="preserve">D:\Images\20210706\plaque 2/@01 testo 30/B1_02.tif </t>
  </si>
  <si>
    <t xml:space="preserve"> 32271.8028 </t>
  </si>
  <si>
    <t xml:space="preserve"> 73.8646 </t>
  </si>
  <si>
    <t xml:space="preserve">D:\Images\20210706\plaque 2/@01 testo 30/B1_03.tif </t>
  </si>
  <si>
    <t xml:space="preserve"> 33721.0057 </t>
  </si>
  <si>
    <t xml:space="preserve"> 70.3919 </t>
  </si>
  <si>
    <t>D:\Images\20210706\plaque 2/@01 testo 30/C1_01- exclu.tif</t>
  </si>
  <si>
    <t xml:space="preserve">D:\Images\20210706\plaque 2/@01 testo 30/C1_02.tif </t>
  </si>
  <si>
    <t xml:space="preserve"> 42740.6718 </t>
  </si>
  <si>
    <t xml:space="preserve"> 71.4256 </t>
  </si>
  <si>
    <t xml:space="preserve">D:\Images\20210706\plaque 2/@01 testo 30/C1_03.tif </t>
  </si>
  <si>
    <t xml:space="preserve"> 48450.964 </t>
  </si>
  <si>
    <t xml:space="preserve"> 70.6469 </t>
  </si>
  <si>
    <t xml:space="preserve">D:\Images\20210706\plaque 2/@01 testo 30/D1_01.tif </t>
  </si>
  <si>
    <t xml:space="preserve"> 68.978 </t>
  </si>
  <si>
    <t xml:space="preserve">D:\Images\20210706\plaque 2/@01 testo 30/D1_02.tif </t>
  </si>
  <si>
    <t xml:space="preserve"> 33418.1872 </t>
  </si>
  <si>
    <t xml:space="preserve"> 67.2835 </t>
  </si>
  <si>
    <t xml:space="preserve">D:\Images\20210706\plaque 2/@01 testo 30/D1_03.tif </t>
  </si>
  <si>
    <t xml:space="preserve"> 31882.4647 </t>
  </si>
  <si>
    <t xml:space="preserve"> 68.7883 </t>
  </si>
  <si>
    <t xml:space="preserve">D:\Images\20210706\plaque 2/@01 testo 30/E1_01.tif </t>
  </si>
  <si>
    <t xml:space="preserve"> 60260.8864 </t>
  </si>
  <si>
    <t xml:space="preserve"> 69.1393 </t>
  </si>
  <si>
    <t xml:space="preserve">D:\Images\20210706\plaque 2/@01 testo 30/E1_02.tif </t>
  </si>
  <si>
    <t xml:space="preserve"> 67139.1929 </t>
  </si>
  <si>
    <t xml:space="preserve"> 70.8924 </t>
  </si>
  <si>
    <t xml:space="preserve">D:\Images\20210706\plaque 2/@01 testo 30/E1_03.tif </t>
  </si>
  <si>
    <t xml:space="preserve"> 59763.3989 </t>
  </si>
  <si>
    <t xml:space="preserve"> 69.2045 </t>
  </si>
  <si>
    <t xml:space="preserve">D:\Images\20210706\plaque 2/@01 testo 30/F1_01.tif </t>
  </si>
  <si>
    <t xml:space="preserve"> 23230.5068 </t>
  </si>
  <si>
    <t xml:space="preserve"> 67.5233 </t>
  </si>
  <si>
    <t xml:space="preserve">D:\Images\20210706\plaque 2/@01 testo 30/F1_02.tif </t>
  </si>
  <si>
    <t xml:space="preserve"> 30757.7102 </t>
  </si>
  <si>
    <t xml:space="preserve"> 68.8586 </t>
  </si>
  <si>
    <t xml:space="preserve">D:\Images\20210706\plaque 2/@01 testo 30/F1_03.tif </t>
  </si>
  <si>
    <t xml:space="preserve"> 25804.4643 </t>
  </si>
  <si>
    <t xml:space="preserve"> 68.4996 </t>
  </si>
  <si>
    <t xml:space="preserve">D:\Images\20210706\plaque 2/@01 testo 30/G1_01.tif </t>
  </si>
  <si>
    <t xml:space="preserve"> 55567.1993 </t>
  </si>
  <si>
    <t xml:space="preserve"> 72.5278 </t>
  </si>
  <si>
    <t xml:space="preserve">D:\Images\20210706\plaque 2/@01 testo 30/G1_02.tif </t>
  </si>
  <si>
    <t xml:space="preserve"> 42286.444 </t>
  </si>
  <si>
    <t xml:space="preserve"> 67.5734 </t>
  </si>
  <si>
    <t xml:space="preserve">D:\Images\20210706\plaque 2/@01 testo 30/G1_03.tif </t>
  </si>
  <si>
    <t xml:space="preserve"> 54593.854 </t>
  </si>
  <si>
    <t xml:space="preserve"> 71.1973 </t>
  </si>
  <si>
    <t xml:space="preserve">D:\Images\20210706\plaque 2/@01 testo 30/H1_01.tif </t>
  </si>
  <si>
    <t xml:space="preserve"> 33656.116 </t>
  </si>
  <si>
    <t xml:space="preserve"> 70.0771 </t>
  </si>
  <si>
    <t xml:space="preserve">D:\Images\20210706\plaque 2/@01 testo 30/H1_02.tif </t>
  </si>
  <si>
    <t xml:space="preserve"> 69.6936 </t>
  </si>
  <si>
    <t xml:space="preserve">D:\Images\20210706\plaque 2/@01 testo 30/H1_03.tif </t>
  </si>
  <si>
    <t xml:space="preserve"> 32228.543 </t>
  </si>
  <si>
    <t xml:space="preserve"> 69.1973 </t>
  </si>
  <si>
    <t xml:space="preserve">D:\Images\20210706\plaque 2/@01 testo 30/ </t>
  </si>
  <si>
    <t xml:space="preserve"> 69.8085 </t>
  </si>
  <si>
    <t xml:space="preserve"> 1.5308 </t>
  </si>
  <si>
    <t xml:space="preserve"> 2765823.58 </t>
  </si>
  <si>
    <t xml:space="preserve"> 845629.445 </t>
  </si>
  <si>
    <t xml:space="preserve">D:\Images\20210706\plaque 2/@02 testo 30/A2_01.tif </t>
  </si>
  <si>
    <t xml:space="preserve"> 11853.1823 </t>
  </si>
  <si>
    <t xml:space="preserve"> 65.2007 </t>
  </si>
  <si>
    <t xml:space="preserve">D:\Images\20210706\plaque 2/@02 testo 30/A2_02.tif </t>
  </si>
  <si>
    <t xml:space="preserve"> 14297.3603 </t>
  </si>
  <si>
    <t xml:space="preserve"> 65.8154 </t>
  </si>
  <si>
    <t xml:space="preserve">D:\Images\20210706\plaque 2/@02 testo 30/A2_03.tif </t>
  </si>
  <si>
    <t xml:space="preserve"> 63.7464 </t>
  </si>
  <si>
    <t xml:space="preserve">D:\Images\20210706\plaque 2/@02 testo 30/B2_01.tif </t>
  </si>
  <si>
    <t xml:space="preserve"> 31579.6462 </t>
  </si>
  <si>
    <t xml:space="preserve"> 69.6253 </t>
  </si>
  <si>
    <t xml:space="preserve">D:\Images\20210706\plaque 2/@02 testo 30/B2_02.tif </t>
  </si>
  <si>
    <t xml:space="preserve"> 27686.2651 </t>
  </si>
  <si>
    <t xml:space="preserve"> 68.5852 </t>
  </si>
  <si>
    <t xml:space="preserve">D:\Images\20210706\plaque 2/@02 testo 30/B2_03.tif </t>
  </si>
  <si>
    <t xml:space="preserve"> 25609.7952 </t>
  </si>
  <si>
    <t xml:space="preserve"> 68.5684 </t>
  </si>
  <si>
    <t xml:space="preserve">D:\Images\20210706\plaque 2/@02 testo 30/C2_01.tif </t>
  </si>
  <si>
    <t xml:space="preserve"> 2746.9966 </t>
  </si>
  <si>
    <t xml:space="preserve"> 64.2441 </t>
  </si>
  <si>
    <t xml:space="preserve">D:\Images\20210706\plaque 2/@02 testo 30/C2_02.tif </t>
  </si>
  <si>
    <t xml:space="preserve"> 4261.0892 </t>
  </si>
  <si>
    <t xml:space="preserve"> 64.6497 </t>
  </si>
  <si>
    <t xml:space="preserve">D:\Images\20210706\plaque 2/@02 testo 30/C2_03.tif </t>
  </si>
  <si>
    <t xml:space="preserve"> 64.9528 </t>
  </si>
  <si>
    <t>D:\Images\20210706\plaque 2/@02 testo 30/D2_01- exclu.tif</t>
  </si>
  <si>
    <t xml:space="preserve">D:\Images\20210706\plaque 2/@02 testo 30/D2_02.tif </t>
  </si>
  <si>
    <t xml:space="preserve"> 28421.6815 </t>
  </si>
  <si>
    <t xml:space="preserve"> 72.1195 </t>
  </si>
  <si>
    <t xml:space="preserve">D:\Images\20210706\plaque 2/@02 testo 30/D2_03.tif </t>
  </si>
  <si>
    <t xml:space="preserve"> 28811.0196 </t>
  </si>
  <si>
    <t xml:space="preserve"> 72.4805 </t>
  </si>
  <si>
    <t xml:space="preserve">D:\Images\20210706\plaque 2/@02 testo 30/E2_01.tif </t>
  </si>
  <si>
    <t xml:space="preserve"> 36554.5219 </t>
  </si>
  <si>
    <t xml:space="preserve"> 67.9047 </t>
  </si>
  <si>
    <t xml:space="preserve">D:\Images\20210706\plaque 2/@02 testo 30/E2_02.tif </t>
  </si>
  <si>
    <t xml:space="preserve"> 28616.3506 </t>
  </si>
  <si>
    <t xml:space="preserve"> 66.8284 </t>
  </si>
  <si>
    <t xml:space="preserve">D:\Images\20210706\plaque 2/@02 testo 30/E2_03.tif </t>
  </si>
  <si>
    <t xml:space="preserve"> 32682.7708 </t>
  </si>
  <si>
    <t xml:space="preserve"> 67.2237 </t>
  </si>
  <si>
    <t xml:space="preserve">D:\Images\20210706\plaque 2/@02 testo 30/F2_01.tif </t>
  </si>
  <si>
    <t xml:space="preserve"> 49727.1278 </t>
  </si>
  <si>
    <t xml:space="preserve"> 77.0231 </t>
  </si>
  <si>
    <t xml:space="preserve">D:\Images\20210706\plaque 2/@02 testo 30/F2_02.tif </t>
  </si>
  <si>
    <t xml:space="preserve"> 57557.1496 </t>
  </si>
  <si>
    <t xml:space="preserve"> 75.0139 </t>
  </si>
  <si>
    <t xml:space="preserve">D:\Images\20210706\plaque 2/@02 testo 30/F2_03.tif </t>
  </si>
  <si>
    <t xml:space="preserve"> 63202.5521 </t>
  </si>
  <si>
    <t xml:space="preserve"> 74.3751 </t>
  </si>
  <si>
    <t xml:space="preserve">D:\Images\20210706\plaque 2/@02 testo 30/G2_01.tif </t>
  </si>
  <si>
    <t xml:space="preserve"> 10122.7907 </t>
  </si>
  <si>
    <t xml:space="preserve"> 70.9594 </t>
  </si>
  <si>
    <t xml:space="preserve">D:\Images\20210706\plaque 2/@02 testo 30/G2_02.tif </t>
  </si>
  <si>
    <t xml:space="preserve"> 8587.0682 </t>
  </si>
  <si>
    <t xml:space="preserve"> 66.461 </t>
  </si>
  <si>
    <t xml:space="preserve">D:\Images\20210706\plaque 2/@02 testo 30/G2_03.tif </t>
  </si>
  <si>
    <t xml:space="preserve"> 11809.9225 </t>
  </si>
  <si>
    <t xml:space="preserve"> 69.5549 </t>
  </si>
  <si>
    <t xml:space="preserve">D:\Images\20210706\plaque 2/@02 testo 30/H2_01.tif </t>
  </si>
  <si>
    <t xml:space="preserve"> 13453.7945 </t>
  </si>
  <si>
    <t xml:space="preserve"> 65.2605 </t>
  </si>
  <si>
    <t xml:space="preserve">D:\Images\20210706\plaque 2/@02 testo 30/H2_02.tif </t>
  </si>
  <si>
    <t xml:space="preserve"> 13042.8265 </t>
  </si>
  <si>
    <t xml:space="preserve"> 64.7164 </t>
  </si>
  <si>
    <t xml:space="preserve">D:\Images\20210706\plaque 2/@02 testo 30/H2_03.tif </t>
  </si>
  <si>
    <t xml:space="preserve"> 15746.5633 </t>
  </si>
  <si>
    <t xml:space="preserve"> 65.6291 </t>
  </si>
  <si>
    <t xml:space="preserve">D:\Images\20210706\plaque 2/@02 testo 30/ </t>
  </si>
  <si>
    <t xml:space="preserve"> 68.442 </t>
  </si>
  <si>
    <t xml:space="preserve"> 3.7598 </t>
  </si>
  <si>
    <t xml:space="preserve"> 1631239.33 </t>
  </si>
  <si>
    <t xml:space="preserve"> 1253423.68 </t>
  </si>
  <si>
    <t xml:space="preserve">D:\Images\20210706\plaque 2/@03Testo + EE2 64/A3_01.tif </t>
  </si>
  <si>
    <t xml:space="preserve"> 21435.2256 </t>
  </si>
  <si>
    <t xml:space="preserve"> 67.5843 </t>
  </si>
  <si>
    <t xml:space="preserve">D:\Images\20210706\plaque 2/@03Testo + EE2 64/A3_02.tif </t>
  </si>
  <si>
    <t xml:space="preserve"> 21781.3039 </t>
  </si>
  <si>
    <t xml:space="preserve"> 66.9633 </t>
  </si>
  <si>
    <t xml:space="preserve">D:\Images\20210706\plaque 2/@03Testo + EE2 64/A3_03.tif </t>
  </si>
  <si>
    <t xml:space="preserve"> 17390.4353 </t>
  </si>
  <si>
    <t xml:space="preserve"> 65.9627 </t>
  </si>
  <si>
    <t xml:space="preserve">D:\Images\20210706\plaque 2/@03Testo + EE2 64/B3_01.tif </t>
  </si>
  <si>
    <t xml:space="preserve"> 45747.2271 </t>
  </si>
  <si>
    <t xml:space="preserve"> 77.2473 </t>
  </si>
  <si>
    <t xml:space="preserve">D:\Images\20210706\plaque 2/@03Testo + EE2 64/B3_02.tif </t>
  </si>
  <si>
    <t xml:space="preserve"> 47369.4692 </t>
  </si>
  <si>
    <t xml:space="preserve"> 76.0936 </t>
  </si>
  <si>
    <t xml:space="preserve">D:\Images\20210706\plaque 2/@03Testo + EE2 64/B3_03.tif </t>
  </si>
  <si>
    <t xml:space="preserve"> 48797.0423 </t>
  </si>
  <si>
    <t xml:space="preserve"> 74.1658 </t>
  </si>
  <si>
    <t xml:space="preserve">D:\Images\20210706\plaque 2/@03Testo + EE2 64/C3_01.tif </t>
  </si>
  <si>
    <t xml:space="preserve"> 78646.2969 </t>
  </si>
  <si>
    <t xml:space="preserve"> 75.154 </t>
  </si>
  <si>
    <t xml:space="preserve">D:\Images\20210706\plaque 2/@03Testo + EE2 64/C3_02.tif </t>
  </si>
  <si>
    <t xml:space="preserve"> 75704.6312 </t>
  </si>
  <si>
    <t xml:space="preserve"> 74.5403 </t>
  </si>
  <si>
    <t xml:space="preserve">D:\Images\20210706\plaque 2/@03Testo + EE2 64/C3_03.tif </t>
  </si>
  <si>
    <t xml:space="preserve"> 74104.019 </t>
  </si>
  <si>
    <t xml:space="preserve"> 75.871 </t>
  </si>
  <si>
    <t xml:space="preserve">D:\Images\20210706\plaque 2/@03Testo + EE2 64/D3_01.tif </t>
  </si>
  <si>
    <t xml:space="preserve"> 59114.502 </t>
  </si>
  <si>
    <t xml:space="preserve"> 74.592 </t>
  </si>
  <si>
    <t xml:space="preserve">D:\Images\20210706\plaque 2/@03Testo + EE2 64/D3_02.tif </t>
  </si>
  <si>
    <t xml:space="preserve"> 56086.3168 </t>
  </si>
  <si>
    <t xml:space="preserve"> 75.5708 </t>
  </si>
  <si>
    <t xml:space="preserve">D:\Images\20210706\plaque 2/@03Testo + EE2 64/D3_03.tif </t>
  </si>
  <si>
    <t xml:space="preserve"> 58119.5269 </t>
  </si>
  <si>
    <t xml:space="preserve"> 75.783 </t>
  </si>
  <si>
    <t xml:space="preserve">D:\Images\20210706\plaque 2/@03Testo + EE2 64/E3_01.tif </t>
  </si>
  <si>
    <t xml:space="preserve"> 50029.9463 </t>
  </si>
  <si>
    <t xml:space="preserve"> 73.8452 </t>
  </si>
  <si>
    <t xml:space="preserve">D:\Images\20210706\plaque 2/@03Testo + EE2 64/E3_02.tif </t>
  </si>
  <si>
    <t xml:space="preserve"> 50484.1741 </t>
  </si>
  <si>
    <t xml:space="preserve"> 74.6487 </t>
  </si>
  <si>
    <t xml:space="preserve">D:\Images\20210706\plaque 2/@03Testo + EE2 64/E3_03.tif </t>
  </si>
  <si>
    <t xml:space="preserve"> 38674.2516 </t>
  </si>
  <si>
    <t xml:space="preserve"> 79.9855 </t>
  </si>
  <si>
    <t>D:\Images\20210706\plaque 2/@03Testo + EE2 64/F3_01- exclu.tif</t>
  </si>
  <si>
    <t xml:space="preserve">D:\Images\20210706\plaque 2/@03Testo + EE2 64/F3_02.tif </t>
  </si>
  <si>
    <t xml:space="preserve"> 49099.8608 </t>
  </si>
  <si>
    <t xml:space="preserve"> 72.1885 </t>
  </si>
  <si>
    <t xml:space="preserve">D:\Images\20210706\plaque 2/@03Testo + EE2 64/F3_03.tif </t>
  </si>
  <si>
    <t xml:space="preserve"> 48018.3661 </t>
  </si>
  <si>
    <t xml:space="preserve"> 71.8486 </t>
  </si>
  <si>
    <t xml:space="preserve">D:\Images\20210706\plaque 2/@03Testo + EE2 64/G3_01.tif </t>
  </si>
  <si>
    <t xml:space="preserve"> 45055.0705 </t>
  </si>
  <si>
    <t xml:space="preserve"> 70.0014 </t>
  </si>
  <si>
    <t xml:space="preserve">D:\Images\20210706\plaque 2/@03Testo + EE2 64/G3_02.tif </t>
  </si>
  <si>
    <t xml:space="preserve"> 47109.9105 </t>
  </si>
  <si>
    <t xml:space="preserve"> 69.0592 </t>
  </si>
  <si>
    <t xml:space="preserve">D:\Images\20210706\plaque 2/@03Testo + EE2 64/G3_03.tif </t>
  </si>
  <si>
    <t xml:space="preserve"> 47153.1703 </t>
  </si>
  <si>
    <t xml:space="preserve"> 70.2321 </t>
  </si>
  <si>
    <t xml:space="preserve">D:\Images\20210706\plaque 2/@03Testo + EE2 64/H3_01.tif </t>
  </si>
  <si>
    <t xml:space="preserve"> 43151.6398 </t>
  </si>
  <si>
    <t xml:space="preserve"> 70.9098 </t>
  </si>
  <si>
    <t xml:space="preserve">D:\Images\20210706\plaque 2/@03Testo + EE2 64/H3_02.tif </t>
  </si>
  <si>
    <t xml:space="preserve"> 43951.9459 </t>
  </si>
  <si>
    <t xml:space="preserve"> 72.9375 </t>
  </si>
  <si>
    <t xml:space="preserve">D:\Images\20210706\plaque 2/@03Testo + EE2 64/H3_03.tif </t>
  </si>
  <si>
    <t xml:space="preserve"> 46287.9745 </t>
  </si>
  <si>
    <t xml:space="preserve"> 73.1692 </t>
  </si>
  <si>
    <t xml:space="preserve">D:\Images\20210706\plaque 2/@03Testo + EE2 64/ </t>
  </si>
  <si>
    <t xml:space="preserve"> 72.7617 </t>
  </si>
  <si>
    <t xml:space="preserve"> 3.5605 </t>
  </si>
  <si>
    <t xml:space="preserve"> 3520281.71 </t>
  </si>
  <si>
    <t xml:space="preserve"> 1193595.69 </t>
  </si>
  <si>
    <t xml:space="preserve">D:\Images\20210706\plaque 2/@04 Testo +FAD/A4_01.tif </t>
  </si>
  <si>
    <t xml:space="preserve"> 6207.7798 </t>
  </si>
  <si>
    <t xml:space="preserve"> 70.7735 </t>
  </si>
  <si>
    <t xml:space="preserve">D:\Images\20210706\plaque 2/@04 Testo +FAD/A4_02.tif </t>
  </si>
  <si>
    <t xml:space="preserve"> 65.4675 </t>
  </si>
  <si>
    <t xml:space="preserve">D:\Images\20210706\plaque 2/@04 Testo +FAD/A4_03.tif </t>
  </si>
  <si>
    <t xml:space="preserve"> 68.7526 </t>
  </si>
  <si>
    <t xml:space="preserve">D:\Images\20210706\plaque 2/@04 Testo +FAD/B4_01.tif </t>
  </si>
  <si>
    <t xml:space="preserve"> 66.987 </t>
  </si>
  <si>
    <t xml:space="preserve">D:\Images\20210706\plaque 2/@04 Testo +FAD/B4_02.tif </t>
  </si>
  <si>
    <t xml:space="preserve"> 64.5077 </t>
  </si>
  <si>
    <t xml:space="preserve">D:\Images\20210706\plaque 2/@04 Testo +FAD/B4_03.tif </t>
  </si>
  <si>
    <t xml:space="preserve"> 65.0233 </t>
  </si>
  <si>
    <t xml:space="preserve">D:\Images\20210706\plaque 2/@04 Testo +FAD/C4_01.tif </t>
  </si>
  <si>
    <t xml:space="preserve"> 2314.3987 </t>
  </si>
  <si>
    <t xml:space="preserve"> 63.7103 </t>
  </si>
  <si>
    <t xml:space="preserve">D:\Images\20210706\plaque 2/@04 Testo +FAD/C4_02.tif </t>
  </si>
  <si>
    <t xml:space="preserve"> 3741.9718 </t>
  </si>
  <si>
    <t xml:space="preserve"> 66.5549 </t>
  </si>
  <si>
    <t xml:space="preserve">D:\Images\20210706\plaque 2/@04 Testo +FAD/C4_03.tif </t>
  </si>
  <si>
    <t xml:space="preserve"> 67.3148 </t>
  </si>
  <si>
    <t xml:space="preserve">D:\Images\20210706\plaque 2/@04 Testo +FAD/D4_01.tif </t>
  </si>
  <si>
    <t xml:space="preserve"> 4650.4273 </t>
  </si>
  <si>
    <t xml:space="preserve"> 64.1953 </t>
  </si>
  <si>
    <t xml:space="preserve">D:\Images\20210706\plaque 2/@04 Testo +FAD/D4_02.tif </t>
  </si>
  <si>
    <t xml:space="preserve"> 68.4223 </t>
  </si>
  <si>
    <t xml:space="preserve">D:\Images\20210706\plaque 2/@04 Testo +FAD/D4_03.tif </t>
  </si>
  <si>
    <t xml:space="preserve"> 8262.6197 </t>
  </si>
  <si>
    <t xml:space="preserve"> 68.3063 </t>
  </si>
  <si>
    <t xml:space="preserve">D:\Images\20210706\plaque 2/@04 Testo +FAD/E4_01.tif </t>
  </si>
  <si>
    <t xml:space="preserve"> 7656.9827 </t>
  </si>
  <si>
    <t xml:space="preserve"> 65.1328 </t>
  </si>
  <si>
    <t xml:space="preserve">D:\Images\20210706\plaque 2/@04 Testo +FAD/E4_02.tif </t>
  </si>
  <si>
    <t xml:space="preserve"> 63.6327 </t>
  </si>
  <si>
    <t xml:space="preserve">D:\Images\20210706\plaque 2/@04 Testo +FAD/E4_03.tif </t>
  </si>
  <si>
    <t xml:space="preserve"> 6943.1962 </t>
  </si>
  <si>
    <t xml:space="preserve"> 65.729 </t>
  </si>
  <si>
    <t xml:space="preserve">D:\Images\20210706\plaque 2/@04 Testo +FAD/F4_01.tif </t>
  </si>
  <si>
    <t xml:space="preserve"> 67.0961 </t>
  </si>
  <si>
    <t xml:space="preserve">D:\Images\20210706\plaque 2/@04 Testo +FAD/F4_02.tif </t>
  </si>
  <si>
    <t xml:space="preserve"> 7224.3848 </t>
  </si>
  <si>
    <t xml:space="preserve"> 68.1078 </t>
  </si>
  <si>
    <t xml:space="preserve">D:\Images\20210706\plaque 2/@04 Testo +FAD/F4_03.tif </t>
  </si>
  <si>
    <t xml:space="preserve"> 6467.3385 </t>
  </si>
  <si>
    <t xml:space="preserve"> 64.8361 </t>
  </si>
  <si>
    <t xml:space="preserve">D:\Images\20210706\plaque 2/@04 Testo +FAD/G4_01.tif </t>
  </si>
  <si>
    <t xml:space="preserve"> 324.4484 </t>
  </si>
  <si>
    <t xml:space="preserve"> 62.6 </t>
  </si>
  <si>
    <t xml:space="preserve">D:\Images\20210706\plaque 2/@04 Testo +FAD/G4_02.tif </t>
  </si>
  <si>
    <t xml:space="preserve"> 281.1886 </t>
  </si>
  <si>
    <t xml:space="preserve">D:\Images\20210706\plaque 2/@04 Testo +FAD/G4_03.tif </t>
  </si>
  <si>
    <t xml:space="preserve"> 302.8185 </t>
  </si>
  <si>
    <t xml:space="preserve"> 64.2857 </t>
  </si>
  <si>
    <t>D:\Images\20210706\plaque 2/@04 Testo +FAD/H4_01- exclu.tif</t>
  </si>
  <si>
    <t>D:\Images\20210706\plaque 2/@04 Testo +FAD/H4_02- exclu.tif</t>
  </si>
  <si>
    <t>D:\Images\20210706\plaque 2/@04 Testo +FAD/H4_03- exclu.tif</t>
  </si>
  <si>
    <t xml:space="preserve">D:\Images\20210706\plaque 2/@04 Testo +FAD/ </t>
  </si>
  <si>
    <t xml:space="preserve"> 65.9545 </t>
  </si>
  <si>
    <t xml:space="preserve"> 2.0579 </t>
  </si>
  <si>
    <t xml:space="preserve"> 268247.583 </t>
  </si>
  <si>
    <t xml:space="preserve"> 168727.917 </t>
  </si>
  <si>
    <t xml:space="preserve">D:\Images\20210706\plaque 2/@05 tam 30.2 + testo/A5_01.tif </t>
  </si>
  <si>
    <t xml:space="preserve"> 13475.4244 </t>
  </si>
  <si>
    <t xml:space="preserve"> 67.3435 </t>
  </si>
  <si>
    <t xml:space="preserve">D:\Images\20210706\plaque 2/@05 tam 30.2 + testo/A5_02.tif </t>
  </si>
  <si>
    <t xml:space="preserve"> 15054.4067 </t>
  </si>
  <si>
    <t xml:space="preserve"> 67.3894 </t>
  </si>
  <si>
    <t xml:space="preserve">D:\Images\20210706\plaque 2/@05 tam 30.2 + testo/A5_03.tif </t>
  </si>
  <si>
    <t xml:space="preserve"> 17001.0972 </t>
  </si>
  <si>
    <t xml:space="preserve"> 67.0827 </t>
  </si>
  <si>
    <t xml:space="preserve">D:\Images\20210706\plaque 2/@05 tam 30.2 + testo/B5_01.tif </t>
  </si>
  <si>
    <t xml:space="preserve"> 28551.4609 </t>
  </si>
  <si>
    <t xml:space="preserve"> 76.0258 </t>
  </si>
  <si>
    <t xml:space="preserve">D:\Images\20210706\plaque 2/@05 tam 30.2 + testo/B5_02.tif </t>
  </si>
  <si>
    <t xml:space="preserve"> 24052.4428 </t>
  </si>
  <si>
    <t xml:space="preserve"> 79.8651 </t>
  </si>
  <si>
    <t xml:space="preserve">D:\Images\20210706\plaque 2/@05 tam 30.2 + testo/B5_03.tif </t>
  </si>
  <si>
    <t xml:space="preserve"> 25198.8272 </t>
  </si>
  <si>
    <t xml:space="preserve"> 77.3923 </t>
  </si>
  <si>
    <t xml:space="preserve">D:\Images\20210706\plaque 2/@05 tam 30.2 + testo/C5_01.tif </t>
  </si>
  <si>
    <t xml:space="preserve"> 12696.7481 </t>
  </si>
  <si>
    <t xml:space="preserve"> 65.569 </t>
  </si>
  <si>
    <t xml:space="preserve">D:\Images\20210706\plaque 2/@05 tam 30.2 + testo/C5_02.tif </t>
  </si>
  <si>
    <t xml:space="preserve"> 14167.581 </t>
  </si>
  <si>
    <t xml:space="preserve"> 66.2214 </t>
  </si>
  <si>
    <t xml:space="preserve">D:\Images\20210706\plaque 2/@05 tam 30.2 + testo/C5_03.tif </t>
  </si>
  <si>
    <t xml:space="preserve"> 13150.9759 </t>
  </si>
  <si>
    <t xml:space="preserve"> 65.0395 </t>
  </si>
  <si>
    <t xml:space="preserve">D:\Images\20210706\plaque 2/@05 tam 30.2 + testo/D5_01.tif </t>
  </si>
  <si>
    <t xml:space="preserve"> 23663.1047 </t>
  </si>
  <si>
    <t xml:space="preserve"> 71.9689 </t>
  </si>
  <si>
    <t xml:space="preserve">D:\Images\20210706\plaque 2/@05 tam 30.2 + testo/D5_02.tif </t>
  </si>
  <si>
    <t xml:space="preserve"> 21218.9266 </t>
  </si>
  <si>
    <t xml:space="preserve"> 72.7166 </t>
  </si>
  <si>
    <t xml:space="preserve">D:\Images\20210706\plaque 2/@05 tam 30.2 + testo/D5_03.tif </t>
  </si>
  <si>
    <t xml:space="preserve"> 18298.8909 </t>
  </si>
  <si>
    <t xml:space="preserve"> 72.9693 </t>
  </si>
  <si>
    <t xml:space="preserve">D:\Images\20210706\plaque 2/@05 tam 30.2 + testo/E5_01.tif </t>
  </si>
  <si>
    <t xml:space="preserve"> 45314.6292 </t>
  </si>
  <si>
    <t xml:space="preserve"> 74.7408 </t>
  </si>
  <si>
    <t xml:space="preserve">D:\Images\20210706\plaque 2/@05 tam 30.2 + testo/E5_02.tif </t>
  </si>
  <si>
    <t xml:space="preserve"> 42805.5615 </t>
  </si>
  <si>
    <t xml:space="preserve"> 72.9298 </t>
  </si>
  <si>
    <t xml:space="preserve">D:\Images\20210706\plaque 2/@05 tam 30.2 + testo/E5_03.tif </t>
  </si>
  <si>
    <t xml:space="preserve"> 41788.9564 </t>
  </si>
  <si>
    <t xml:space="preserve"> 72.5305 </t>
  </si>
  <si>
    <t xml:space="preserve">D:\Images\20210706\plaque 2/@05 tam 30.2 + testo/F5_01.tif </t>
  </si>
  <si>
    <t xml:space="preserve"> 3979.9006 </t>
  </si>
  <si>
    <t xml:space="preserve"> 63.9511 </t>
  </si>
  <si>
    <t xml:space="preserve">D:\Images\20210706\plaque 2/@05 tam 30.2 + testo/F5_02.tif </t>
  </si>
  <si>
    <t xml:space="preserve"> 11615.2534 </t>
  </si>
  <si>
    <t xml:space="preserve"> 64.8119 </t>
  </si>
  <si>
    <t xml:space="preserve">D:\Images\20210706\plaque 2/@05 tam 30.2 + testo/F5_03.tif </t>
  </si>
  <si>
    <t xml:space="preserve"> 9538.7835 </t>
  </si>
  <si>
    <t xml:space="preserve"> 65.1451 </t>
  </si>
  <si>
    <t xml:space="preserve">D:\Images\20210706\plaque 2/@05 tam 30.2 + testo/G5_01.tif </t>
  </si>
  <si>
    <t xml:space="preserve"> 15508.6344 </t>
  </si>
  <si>
    <t xml:space="preserve"> 65.8271 </t>
  </si>
  <si>
    <t xml:space="preserve">D:\Images\20210706\plaque 2/@05 tam 30.2 + testo/G5_02.tif </t>
  </si>
  <si>
    <t xml:space="preserve"> 18536.8197 </t>
  </si>
  <si>
    <t xml:space="preserve"> 66.5764 </t>
  </si>
  <si>
    <t xml:space="preserve">D:\Images\20210706\plaque 2/@05 tam 30.2 + testo/G5_03.tif </t>
  </si>
  <si>
    <t xml:space="preserve"> 20656.5494 </t>
  </si>
  <si>
    <t xml:space="preserve"> 66.3414 </t>
  </si>
  <si>
    <t>D:\Images\20210706\plaque 2/@05 tam 30.2 + testo/H5_01- exclu.tif</t>
  </si>
  <si>
    <t>D:\Images\20210706\plaque 2/@05 tam 30.2 + testo/H5_02- exclu.tif</t>
  </si>
  <si>
    <t>D:\Images\20210706\plaque 2/@05 tam 30.2 + testo/H5_03- exclu.tif</t>
  </si>
  <si>
    <t xml:space="preserve">D:\Images\20210706\plaque 2/@05 tam 30.2 + testo/ </t>
  </si>
  <si>
    <t xml:space="preserve"> 69.0615 </t>
  </si>
  <si>
    <t xml:space="preserve"> 4.7173 </t>
  </si>
  <si>
    <t xml:space="preserve"> 1298513.83 </t>
  </si>
  <si>
    <t xml:space="preserve"> 935418.433 </t>
  </si>
  <si>
    <t xml:space="preserve">D:\Images\20210706\plaque 2/@06  tam 60.4 + testo/A6_01.tif </t>
  </si>
  <si>
    <t xml:space="preserve"> 26972.4786 </t>
  </si>
  <si>
    <t xml:space="preserve"> 67.3609 </t>
  </si>
  <si>
    <t xml:space="preserve">D:\Images\20210706\plaque 2/@06  tam 60.4 + testo/A6_02.tif </t>
  </si>
  <si>
    <t xml:space="preserve"> 21651.5245 </t>
  </si>
  <si>
    <t xml:space="preserve"> 67.8212 </t>
  </si>
  <si>
    <t xml:space="preserve">D:\Images\20210706\plaque 2/@06  tam 60.4 + testo/A6_03.tif </t>
  </si>
  <si>
    <t xml:space="preserve"> 16503.6096 </t>
  </si>
  <si>
    <t xml:space="preserve"> 69.1389 </t>
  </si>
  <si>
    <t xml:space="preserve">D:\Images\20210706\plaque 2/@06  tam 60.4 + testo/B6_01.tif </t>
  </si>
  <si>
    <t xml:space="preserve"> 47629.028 </t>
  </si>
  <si>
    <t xml:space="preserve"> 72.5967 </t>
  </si>
  <si>
    <t xml:space="preserve">D:\Images\20210706\plaque 2/@06  tam 60.4 + testo/B6_02.tif </t>
  </si>
  <si>
    <t xml:space="preserve"> 46309.6044 </t>
  </si>
  <si>
    <t xml:space="preserve"> 71.7865 </t>
  </si>
  <si>
    <t xml:space="preserve">D:\Images\20210706\plaque 2/@06  tam 60.4 + testo/B6_03.tif </t>
  </si>
  <si>
    <t xml:space="preserve"> 38609.3619 </t>
  </si>
  <si>
    <t xml:space="preserve"> 70.758 </t>
  </si>
  <si>
    <t xml:space="preserve">D:\Images\20210706\plaque 2/@06  tam 60.4 + testo/C6_01.tif </t>
  </si>
  <si>
    <t xml:space="preserve"> 40512.7926 </t>
  </si>
  <si>
    <t xml:space="preserve"> 76.1687 </t>
  </si>
  <si>
    <t xml:space="preserve">D:\Images\20210706\plaque 2/@06  tam 60.4 + testo/C6_02.tif </t>
  </si>
  <si>
    <t xml:space="preserve"> 39452.9278 </t>
  </si>
  <si>
    <t xml:space="preserve"> 80.8942 </t>
  </si>
  <si>
    <t xml:space="preserve">D:\Images\20210706\plaque 2/@06  tam 60.4 + testo/C6_03.tif </t>
  </si>
  <si>
    <t xml:space="preserve"> 36338.223 </t>
  </si>
  <si>
    <t xml:space="preserve"> 82.8339 </t>
  </si>
  <si>
    <t xml:space="preserve">D:\Images\20210706\plaque 2/@06  tam 60.4 + testo/D6_01.tif </t>
  </si>
  <si>
    <t xml:space="preserve"> 6662.0075 </t>
  </si>
  <si>
    <t xml:space="preserve"> 65.3604 </t>
  </si>
  <si>
    <t xml:space="preserve">D:\Images\20210706\plaque 2/@06  tam 60.4 + testo/D6_02.tif </t>
  </si>
  <si>
    <t xml:space="preserve"> 10360.7195 </t>
  </si>
  <si>
    <t xml:space="preserve"> 66.3361 </t>
  </si>
  <si>
    <t xml:space="preserve">D:\Images\20210706\plaque 2/@06  tam 60.4 + testo/D6_03.tif </t>
  </si>
  <si>
    <t xml:space="preserve"> 65.25 </t>
  </si>
  <si>
    <t xml:space="preserve">D:\Images\20210706\plaque 2/@06  tam 60.4 + testo/E6_01.tif </t>
  </si>
  <si>
    <t xml:space="preserve"> 33634.4861 </t>
  </si>
  <si>
    <t xml:space="preserve"> 69.0058 </t>
  </si>
  <si>
    <t xml:space="preserve">D:\Images\20210706\plaque 2/@06  tam 60.4 + testo/E6_02.tif </t>
  </si>
  <si>
    <t xml:space="preserve"> 37462.9775 </t>
  </si>
  <si>
    <t xml:space="preserve"> 68.097 </t>
  </si>
  <si>
    <t xml:space="preserve">D:\Images\20210706\plaque 2/@06  tam 60.4 + testo/E6_03.tif </t>
  </si>
  <si>
    <t xml:space="preserve"> 36814.0807 </t>
  </si>
  <si>
    <t xml:space="preserve"> 67.9083 </t>
  </si>
  <si>
    <t xml:space="preserve">D:\Images\20210706\plaque 2/@06  tam 60.4 + testo/F6_01.tif </t>
  </si>
  <si>
    <t xml:space="preserve"> 35408.1375 </t>
  </si>
  <si>
    <t xml:space="preserve"> 67.7666 </t>
  </si>
  <si>
    <t xml:space="preserve">D:\Images\20210706\plaque 2/@06  tam 60.4 + testo/F6_02.tif </t>
  </si>
  <si>
    <t xml:space="preserve"> 34759.2407 </t>
  </si>
  <si>
    <t xml:space="preserve"> 67.3491 </t>
  </si>
  <si>
    <t xml:space="preserve">D:\Images\20210706\plaque 2/@06  tam 60.4 + testo/F6_03.tif </t>
  </si>
  <si>
    <t xml:space="preserve"> 34845.7602 </t>
  </si>
  <si>
    <t xml:space="preserve"> 67.5574 </t>
  </si>
  <si>
    <t xml:space="preserve">D:\Images\20210706\plaque 2/@06  tam 60.4 + testo/G6_01.tif </t>
  </si>
  <si>
    <t xml:space="preserve"> 12566.9688 </t>
  </si>
  <si>
    <t xml:space="preserve"> 67.2444 </t>
  </si>
  <si>
    <t xml:space="preserve">D:\Images\20210706\plaque 2/@06  tam 60.4 + testo/G6_02.tif </t>
  </si>
  <si>
    <t xml:space="preserve"> 10057.901 </t>
  </si>
  <si>
    <t xml:space="preserve"> 66.2473 </t>
  </si>
  <si>
    <t xml:space="preserve">D:\Images\20210706\plaque 2/@06  tam 60.4 + testo/G6_03.tif </t>
  </si>
  <si>
    <t xml:space="preserve"> 12242.5204 </t>
  </si>
  <si>
    <t xml:space="preserve"> 67.5 </t>
  </si>
  <si>
    <t xml:space="preserve">D:\Images\20210706\plaque 2/@06  tam 60.4 + testo/H6_01.tif </t>
  </si>
  <si>
    <t xml:space="preserve"> 28594.7207 </t>
  </si>
  <si>
    <t xml:space="preserve"> 73.9085 </t>
  </si>
  <si>
    <t xml:space="preserve">D:\Images\20210706\plaque 2/@06  tam 60.4 + testo/H6_02.tif </t>
  </si>
  <si>
    <t xml:space="preserve"> 28789.3898 </t>
  </si>
  <si>
    <t xml:space="preserve"> 76.0353 </t>
  </si>
  <si>
    <t xml:space="preserve">D:\Images\20210706\plaque 2/@06  tam 60.4 + testo/H6_03.tif </t>
  </si>
  <si>
    <t xml:space="preserve"> 28378.4218 </t>
  </si>
  <si>
    <t xml:space="preserve"> 76.2203 </t>
  </si>
  <si>
    <t xml:space="preserve">D:\Images\20210706\plaque 2/@06  tam 60.4 + testo/ </t>
  </si>
  <si>
    <t xml:space="preserve"> 70.4644 </t>
  </si>
  <si>
    <t xml:space="preserve"> 4.8545 </t>
  </si>
  <si>
    <t xml:space="preserve"> 2000644.5 </t>
  </si>
  <si>
    <t xml:space="preserve"> 965877.627 </t>
  </si>
  <si>
    <t xml:space="preserve">D:\Images\20210706\plaque 2/@07 tam 121 + testo/A7_01.tif </t>
  </si>
  <si>
    <t xml:space="preserve"> 34867.3901 </t>
  </si>
  <si>
    <t xml:space="preserve"> 71.8282 </t>
  </si>
  <si>
    <t xml:space="preserve">D:\Images\20210706\plaque 2/@07 tam 121 + testo/A7_02.tif </t>
  </si>
  <si>
    <t xml:space="preserve"> 34889.02 </t>
  </si>
  <si>
    <t xml:space="preserve"> 73.0267 </t>
  </si>
  <si>
    <t xml:space="preserve">D:\Images\20210706\plaque 2/@07 tam 121 + testo/A7_03.tif </t>
  </si>
  <si>
    <t xml:space="preserve"> 33158.6285 </t>
  </si>
  <si>
    <t xml:space="preserve"> 71.3457 </t>
  </si>
  <si>
    <t xml:space="preserve">D:\Images\20210706\plaque 2/@07 tam 121 + testo/B7_01.tif </t>
  </si>
  <si>
    <t xml:space="preserve"> 42048.5152 </t>
  </si>
  <si>
    <t xml:space="preserve"> 71.6646 </t>
  </si>
  <si>
    <t xml:space="preserve">D:\Images\20210706\plaque 2/@07 tam 121 + testo/B7_02.tif </t>
  </si>
  <si>
    <t xml:space="preserve"> 39755.7463 </t>
  </si>
  <si>
    <t xml:space="preserve"> 71.1594 </t>
  </si>
  <si>
    <t xml:space="preserve">D:\Images\20210706\plaque 2/@07 tam 121 + testo/B7_03.tif </t>
  </si>
  <si>
    <t xml:space="preserve"> 42783.9316 </t>
  </si>
  <si>
    <t xml:space="preserve"> 72.2548 </t>
  </si>
  <si>
    <t xml:space="preserve">D:\Images\20210706\plaque 2/@07 tam 121 + testo/C7_01.tif </t>
  </si>
  <si>
    <t xml:space="preserve"> 33439.8171 </t>
  </si>
  <si>
    <t xml:space="preserve"> 67.7257 </t>
  </si>
  <si>
    <t xml:space="preserve">D:\Images\20210706\plaque 2/@07 tam 121 + testo/C7_02.tif </t>
  </si>
  <si>
    <t xml:space="preserve"> 32617.8811 </t>
  </si>
  <si>
    <t xml:space="preserve"> 67.191 </t>
  </si>
  <si>
    <t xml:space="preserve">D:\Images\20210706\plaque 2/@07 tam 121 + testo/C7_03.tif </t>
  </si>
  <si>
    <t xml:space="preserve"> 29416.6567 </t>
  </si>
  <si>
    <t xml:space="preserve"> 67.0993 </t>
  </si>
  <si>
    <t xml:space="preserve">D:\Images\20210706\plaque 2/@07 tam 121 + testo/D7_01.tif </t>
  </si>
  <si>
    <t xml:space="preserve"> 60650.2245 </t>
  </si>
  <si>
    <t xml:space="preserve"> 74.9683 </t>
  </si>
  <si>
    <t xml:space="preserve">D:\Images\20210706\plaque 2/@07 tam 121 + testo/D7_02.tif </t>
  </si>
  <si>
    <t xml:space="preserve"> 50981.6616 </t>
  </si>
  <si>
    <t xml:space="preserve"> 75.112 </t>
  </si>
  <si>
    <t xml:space="preserve">D:\Images\20210706\plaque 2/@07 tam 121 + testo/D7_03.tif </t>
  </si>
  <si>
    <t xml:space="preserve"> 59849.9184 </t>
  </si>
  <si>
    <t xml:space="preserve"> 73.3697 </t>
  </si>
  <si>
    <t xml:space="preserve">D:\Images\20210706\plaque 2/@07 tam 121 + testo/E7_01.tif </t>
  </si>
  <si>
    <t xml:space="preserve"> 37030.3796 </t>
  </si>
  <si>
    <t xml:space="preserve"> 71.8335 </t>
  </si>
  <si>
    <t xml:space="preserve">D:\Images\20210706\plaque 2/@07 tam 121 + testo/E7_02.tif </t>
  </si>
  <si>
    <t xml:space="preserve"> 36878.9703 </t>
  </si>
  <si>
    <t xml:space="preserve"> 72.2598 </t>
  </si>
  <si>
    <t xml:space="preserve">D:\Images\20210706\plaque 2/@07 tam 121 + testo/E7_03.tif </t>
  </si>
  <si>
    <t xml:space="preserve"> 33288.4078 </t>
  </si>
  <si>
    <t xml:space="preserve"> 76.1235 </t>
  </si>
  <si>
    <t xml:space="preserve">D:\Images\20210706\plaque 2/@07 tam 121 + testo/F7_01.tif </t>
  </si>
  <si>
    <t xml:space="preserve"> 77.053 </t>
  </si>
  <si>
    <t xml:space="preserve">D:\Images\20210706\plaque 2/@07 tam 121 + testo/F7_02.tif </t>
  </si>
  <si>
    <t xml:space="preserve"> 11117.7658 </t>
  </si>
  <si>
    <t xml:space="preserve"> 79.0389 </t>
  </si>
  <si>
    <t xml:space="preserve">D:\Images\20210706\plaque 2/@07 tam 121 + testo/F7_03.tif </t>
  </si>
  <si>
    <t xml:space="preserve"> 11247.5452 </t>
  </si>
  <si>
    <t xml:space="preserve"> 76.8115 </t>
  </si>
  <si>
    <t xml:space="preserve">D:\Images\20210706\plaque 2/@07 tam 121 + testo/G7_01.tif </t>
  </si>
  <si>
    <t xml:space="preserve"> 65.1429 </t>
  </si>
  <si>
    <t xml:space="preserve">D:\Images\20210706\plaque 2/@07 tam 121 + testo/G7_02.tif </t>
  </si>
  <si>
    <t xml:space="preserve"> 66.1681 </t>
  </si>
  <si>
    <t xml:space="preserve">D:\Images\20210706\plaque 2/@07 tam 121 + testo/G7_03.tif </t>
  </si>
  <si>
    <t xml:space="preserve"> 65.6398 </t>
  </si>
  <si>
    <t xml:space="preserve">D:\Images\20210706\plaque 2/@07 tam 121 + testo/H7_01.tif </t>
  </si>
  <si>
    <t xml:space="preserve"> 29308.5072 </t>
  </si>
  <si>
    <t xml:space="preserve"> 70.1897 </t>
  </si>
  <si>
    <t xml:space="preserve">D:\Images\20210706\plaque 2/@07 tam 121 + testo/H7_02.tif </t>
  </si>
  <si>
    <t xml:space="preserve"> 35083.6891 </t>
  </si>
  <si>
    <t xml:space="preserve"> 69.9581 </t>
  </si>
  <si>
    <t xml:space="preserve">D:\Images\20210706\plaque 2/@07 tam 121 + testo/H7_03.tif </t>
  </si>
  <si>
    <t xml:space="preserve"> 73.1917 </t>
  </si>
  <si>
    <t xml:space="preserve">D:\Images\20210706\plaque 2/@07 tam 121 + testo/ </t>
  </si>
  <si>
    <t xml:space="preserve"> 71.6732 </t>
  </si>
  <si>
    <t xml:space="preserve"> 3.7953 </t>
  </si>
  <si>
    <t xml:space="preserve"> 2224804.96 </t>
  </si>
  <si>
    <t xml:space="preserve"> 1194759.03 </t>
  </si>
  <si>
    <t xml:space="preserve">D:\Images\20210706\plaque 2/@08 tam 242 + testo/A8_01.tif </t>
  </si>
  <si>
    <t xml:space="preserve"> 4801.8366 </t>
  </si>
  <si>
    <t xml:space="preserve"> 63.3468 </t>
  </si>
  <si>
    <t xml:space="preserve">D:\Images\20210706\plaque 2/@08 tam 242 + testo/A8_02.tif </t>
  </si>
  <si>
    <t xml:space="preserve"> 7830.0219 </t>
  </si>
  <si>
    <t xml:space="preserve"> 64.0884 </t>
  </si>
  <si>
    <t>D:\Images\20210706\plaque 2/@08 tam 242 + testo/A8_03- exclu.tif</t>
  </si>
  <si>
    <t xml:space="preserve">D:\Images\20210706\plaque 2/@08 tam 242 + testo/B8_01.tif </t>
  </si>
  <si>
    <t xml:space="preserve"> 62640.1748 </t>
  </si>
  <si>
    <t xml:space="preserve"> 73.4658 </t>
  </si>
  <si>
    <t xml:space="preserve">D:\Images\20210706\plaque 2/@08 tam 242 + testo/B8_02.tif </t>
  </si>
  <si>
    <t xml:space="preserve"> 59201.0216 </t>
  </si>
  <si>
    <t xml:space="preserve"> 72.0241 </t>
  </si>
  <si>
    <t xml:space="preserve">D:\Images\20210706\plaque 2/@08 tam 242 + testo/B8_03.tif </t>
  </si>
  <si>
    <t xml:space="preserve"> 57254.3311 </t>
  </si>
  <si>
    <t xml:space="preserve"> 71.5504 </t>
  </si>
  <si>
    <t xml:space="preserve">D:\Images\20210706\plaque 2/@08 tam 242 + testo/C8_01.tif </t>
  </si>
  <si>
    <t xml:space="preserve"> 54637.1138 </t>
  </si>
  <si>
    <t xml:space="preserve"> 78.2973 </t>
  </si>
  <si>
    <t xml:space="preserve">D:\Images\20210706\plaque 2/@08 tam 242 + testo/C8_02.tif </t>
  </si>
  <si>
    <t xml:space="preserve"> 61277.4915 </t>
  </si>
  <si>
    <t xml:space="preserve"> 76.5821 </t>
  </si>
  <si>
    <t xml:space="preserve">D:\Images\20210706\plaque 2/@08 tam 242 + testo/C8_03.tif </t>
  </si>
  <si>
    <t xml:space="preserve"> 56064.6869 </t>
  </si>
  <si>
    <t xml:space="preserve"> 76.4815 </t>
  </si>
  <si>
    <t xml:space="preserve">D:\Images\20210706\plaque 2/@08 tam 242 + testo/D8_01.tif </t>
  </si>
  <si>
    <t xml:space="preserve"> 54875.0427 </t>
  </si>
  <si>
    <t xml:space="preserve"> 68.9149 </t>
  </si>
  <si>
    <t xml:space="preserve">D:\Images\20210706\plaque 2/@08 tam 242 + testo/D8_02.tif </t>
  </si>
  <si>
    <t xml:space="preserve"> 46980.1311 </t>
  </si>
  <si>
    <t xml:space="preserve"> 67.9936 </t>
  </si>
  <si>
    <t xml:space="preserve">D:\Images\20210706\plaque 2/@08 tam 242 + testo/D8_03.tif </t>
  </si>
  <si>
    <t xml:space="preserve"> 48386.0743 </t>
  </si>
  <si>
    <t xml:space="preserve"> 67.8534 </t>
  </si>
  <si>
    <t xml:space="preserve">D:\Images\20210706\plaque 2/@08 tam 242 + testo/E8_01.tif </t>
  </si>
  <si>
    <t xml:space="preserve"> 18039.3321 </t>
  </si>
  <si>
    <t xml:space="preserve"> 68.3106 </t>
  </si>
  <si>
    <t xml:space="preserve">D:\Images\20210706\plaque 2/@08 tam 242 + testo/E8_02.tif </t>
  </si>
  <si>
    <t xml:space="preserve"> 19185.7165 </t>
  </si>
  <si>
    <t xml:space="preserve"> 67.5039 </t>
  </si>
  <si>
    <t xml:space="preserve">D:\Images\20210706\plaque 2/@08 tam 242 + testo/E8_03.tif </t>
  </si>
  <si>
    <t xml:space="preserve"> 18060.962 </t>
  </si>
  <si>
    <t xml:space="preserve"> 69.2383 </t>
  </si>
  <si>
    <t xml:space="preserve">D:\Images\20210706\plaque 2/@08 tam 242 + testo/F8_01.tif </t>
  </si>
  <si>
    <t xml:space="preserve"> 42221.5543 </t>
  </si>
  <si>
    <t xml:space="preserve"> 70.8386 </t>
  </si>
  <si>
    <t xml:space="preserve">D:\Images\20210706\plaque 2/@08 tam 242 + testo/F8_02.tif </t>
  </si>
  <si>
    <t xml:space="preserve"> 44622.4726 </t>
  </si>
  <si>
    <t xml:space="preserve"> 71.7591 </t>
  </si>
  <si>
    <t>D:\Images\20210706\plaque 2/@08 tam 242 + testo/F8_03- exclu.tif</t>
  </si>
  <si>
    <t xml:space="preserve">D:\Images\20210706\plaque 2/@08 tam 242 + testo/G8_01.tif </t>
  </si>
  <si>
    <t xml:space="preserve"> 33050.479 </t>
  </si>
  <si>
    <t xml:space="preserve"> 68.3331 </t>
  </si>
  <si>
    <t xml:space="preserve">D:\Images\20210706\plaque 2/@08 tam 242 + testo/G8_02.tif </t>
  </si>
  <si>
    <t xml:space="preserve"> 37289.9383 </t>
  </si>
  <si>
    <t xml:space="preserve"> 69.7338 </t>
  </si>
  <si>
    <t xml:space="preserve">D:\Images\20210706\plaque 2/@08 tam 242 + testo/G8_03.tif </t>
  </si>
  <si>
    <t xml:space="preserve"> 37636.0167 </t>
  </si>
  <si>
    <t xml:space="preserve"> 68.9517 </t>
  </si>
  <si>
    <t xml:space="preserve">D:\Images\20210706\plaque 2/@08 tam 242 + testo/H8_01.tif </t>
  </si>
  <si>
    <t xml:space="preserve"> 26453.3611 </t>
  </si>
  <si>
    <t xml:space="preserve"> 73.1725 </t>
  </si>
  <si>
    <t xml:space="preserve">D:\Images\20210706\plaque 2/@08 tam 242 + testo/H8_02.tif </t>
  </si>
  <si>
    <t xml:space="preserve"> 28075.6032 </t>
  </si>
  <si>
    <t xml:space="preserve"> 73.1471 </t>
  </si>
  <si>
    <t xml:space="preserve">D:\Images\20210706\plaque 2/@08 tam 242 + testo/H8_03.tif </t>
  </si>
  <si>
    <t xml:space="preserve"> 71.1333 </t>
  </si>
  <si>
    <t xml:space="preserve">D:\Images\20210706\plaque 2/@08 tam 242 + testo/ </t>
  </si>
  <si>
    <t xml:space="preserve"> 70.5495 </t>
  </si>
  <si>
    <t xml:space="preserve"> 3.9692 </t>
  </si>
  <si>
    <t xml:space="preserve"> 2630215.88 </t>
  </si>
  <si>
    <t xml:space="preserve"> 1374922.42 </t>
  </si>
  <si>
    <t>D:\Images\20210706\plaque 2/@09  tam 483 + testo/A9_01- exclu.tif</t>
  </si>
  <si>
    <t>D:\Images\20210706\plaque 2/@09  tam 483 + testo/A9_02- exclu.tif</t>
  </si>
  <si>
    <t>D:\Images\20210706\plaque 2/@09  tam 483 + testo/A9_03- exclu.tif</t>
  </si>
  <si>
    <t xml:space="preserve">D:\Images\20210706\plaque 2/@09  tam 483 + testo/B9_01.tif </t>
  </si>
  <si>
    <t xml:space="preserve"> 25717.9447 </t>
  </si>
  <si>
    <t xml:space="preserve"> 67.9638 </t>
  </si>
  <si>
    <t xml:space="preserve">D:\Images\20210706\plaque 2/@09  tam 483 + testo/B9_02.tif </t>
  </si>
  <si>
    <t xml:space="preserve"> 22819.5388 </t>
  </si>
  <si>
    <t xml:space="preserve"> 66.4976 </t>
  </si>
  <si>
    <t xml:space="preserve">D:\Images\20210706\plaque 2/@09  tam 483 + testo/B9_03.tif </t>
  </si>
  <si>
    <t xml:space="preserve"> 14773.218 </t>
  </si>
  <si>
    <t xml:space="preserve"> 66.3939 </t>
  </si>
  <si>
    <t xml:space="preserve">D:\Images\20210706\plaque 2/@09  tam 483 + testo/C9_01.tif </t>
  </si>
  <si>
    <t xml:space="preserve"> 66.8159 </t>
  </si>
  <si>
    <t xml:space="preserve">D:\Images\20210706\plaque 2/@09  tam 483 + testo/C9_02.tif </t>
  </si>
  <si>
    <t xml:space="preserve"> 21521.7452 </t>
  </si>
  <si>
    <t xml:space="preserve"> 66.4452 </t>
  </si>
  <si>
    <t xml:space="preserve">D:\Images\20210706\plaque 2/@09  tam 483 + testo/C9_03.tif </t>
  </si>
  <si>
    <t xml:space="preserve"> 23533.3254 </t>
  </si>
  <si>
    <t xml:space="preserve"> 66.4494 </t>
  </si>
  <si>
    <t xml:space="preserve">D:\Images\20210706\plaque 2/@09  tam 483 + testo/D9_01.tif </t>
  </si>
  <si>
    <t xml:space="preserve"> 26020.7632 </t>
  </si>
  <si>
    <t xml:space="preserve"> 68.084 </t>
  </si>
  <si>
    <t xml:space="preserve">D:\Images\20210706\plaque 2/@09  tam 483 + testo/D9_02.tif </t>
  </si>
  <si>
    <t xml:space="preserve"> 20721.4391 </t>
  </si>
  <si>
    <t xml:space="preserve"> 67.0073 </t>
  </si>
  <si>
    <t xml:space="preserve">D:\Images\20210706\plaque 2/@09  tam 483 + testo/D9_03.tif </t>
  </si>
  <si>
    <t xml:space="preserve"> 18363.7805 </t>
  </si>
  <si>
    <t xml:space="preserve"> 67.4582 </t>
  </si>
  <si>
    <t xml:space="preserve">D:\Images\20210706\plaque 2/@09  tam 483 + testo/E9_01.tif </t>
  </si>
  <si>
    <t xml:space="preserve"> 17628.3641 </t>
  </si>
  <si>
    <t xml:space="preserve"> 66.7791 </t>
  </si>
  <si>
    <t xml:space="preserve">D:\Images\20210706\plaque 2/@09  tam 483 + testo/E9_02.tif </t>
  </si>
  <si>
    <t xml:space="preserve"> 22538.3502 </t>
  </si>
  <si>
    <t xml:space="preserve"> 67.7092 </t>
  </si>
  <si>
    <t xml:space="preserve">D:\Images\20210706\plaque 2/@09  tam 483 + testo/E9_03.tif </t>
  </si>
  <si>
    <t xml:space="preserve"> 21716.4142 </t>
  </si>
  <si>
    <t xml:space="preserve"> 66.8297 </t>
  </si>
  <si>
    <t xml:space="preserve">D:\Images\20210706\plaque 2/@09  tam 483 + testo/F9_01.tif </t>
  </si>
  <si>
    <t xml:space="preserve"> 6835.0467 </t>
  </si>
  <si>
    <t xml:space="preserve"> 64.1424 </t>
  </si>
  <si>
    <t xml:space="preserve">D:\Images\20210706\plaque 2/@09  tam 483 + testo/F9_02.tif </t>
  </si>
  <si>
    <t xml:space="preserve"> 2595.5874 </t>
  </si>
  <si>
    <t xml:space="preserve">D:\Images\20210706\plaque 2/@09  tam 483 + testo/F9_03.tif </t>
  </si>
  <si>
    <t xml:space="preserve"> 63.868 </t>
  </si>
  <si>
    <t xml:space="preserve">D:\Images\20210706\plaque 2/@09  tam 483 + testo/G9_01.tif </t>
  </si>
  <si>
    <t xml:space="preserve"> 35256.7282 </t>
  </si>
  <si>
    <t xml:space="preserve"> 68.8546 </t>
  </si>
  <si>
    <t xml:space="preserve">D:\Images\20210706\plaque 2/@09  tam 483 + testo/G9_02.tif </t>
  </si>
  <si>
    <t xml:space="preserve"> 68.4748 </t>
  </si>
  <si>
    <t xml:space="preserve">D:\Images\20210706\plaque 2/@09  tam 483 + testo/G9_03.tif </t>
  </si>
  <si>
    <t xml:space="preserve"> 22603.2399 </t>
  </si>
  <si>
    <t xml:space="preserve"> 67.71 </t>
  </si>
  <si>
    <t xml:space="preserve">D:\Images\20210706\plaque 2/@09  tam 483 + testo/H9_01.tif </t>
  </si>
  <si>
    <t xml:space="preserve"> 29286.8773 </t>
  </si>
  <si>
    <t xml:space="preserve"> 67.7629 </t>
  </si>
  <si>
    <t xml:space="preserve">D:\Images\20210706\plaque 2/@09  tam 483 + testo/H9_02.tif </t>
  </si>
  <si>
    <t xml:space="preserve"> 68.0325 </t>
  </si>
  <si>
    <t xml:space="preserve">D:\Images\20210706\plaque 2/@09  tam 483 + testo/H9_03.tif </t>
  </si>
  <si>
    <t xml:space="preserve"> 67.614 </t>
  </si>
  <si>
    <t xml:space="preserve">D:\Images\20210706\plaque 2/@09  tam 483 + testo/ </t>
  </si>
  <si>
    <t xml:space="preserve"> 67.4049 </t>
  </si>
  <si>
    <t xml:space="preserve"> 2.6834 </t>
  </si>
  <si>
    <t xml:space="preserve"> 1323269.12 </t>
  </si>
  <si>
    <t xml:space="preserve"> 662065.984 </t>
  </si>
  <si>
    <t>Colonne1</t>
  </si>
  <si>
    <t>01 Témoins solvant</t>
  </si>
  <si>
    <t>02 EE2 33.8</t>
  </si>
  <si>
    <t>03 EE2 50</t>
  </si>
  <si>
    <t>04 EE2 76</t>
  </si>
  <si>
    <t>05 EE2 114</t>
  </si>
  <si>
    <t>06 EE2 170</t>
  </si>
  <si>
    <t>07 EE2 488</t>
  </si>
  <si>
    <t>08tam 30.2µg_L</t>
  </si>
  <si>
    <t>09 tam 60.4µg_L</t>
  </si>
  <si>
    <t>10 tam 121µg_L</t>
  </si>
  <si>
    <t>11 tam 242µg_L</t>
  </si>
  <si>
    <t>12 tam 483µg_L</t>
  </si>
  <si>
    <t>01 testo 30</t>
  </si>
  <si>
    <t>02 testo 30</t>
  </si>
  <si>
    <t>03Testo + EE2 64</t>
  </si>
  <si>
    <t>04 Testo +FAD</t>
  </si>
  <si>
    <t>05 tam 30.2 + testo</t>
  </si>
  <si>
    <t>06  tam 60.4 + testo</t>
  </si>
  <si>
    <t>07 tam 121 + testo</t>
  </si>
  <si>
    <t>08 tam 242 + testo</t>
  </si>
  <si>
    <t>09  tam 483 + testo</t>
  </si>
  <si>
    <t>B</t>
  </si>
  <si>
    <t>C</t>
  </si>
  <si>
    <t>D</t>
  </si>
  <si>
    <t>E</t>
  </si>
  <si>
    <t>F</t>
  </si>
  <si>
    <t>G</t>
  </si>
  <si>
    <t>H</t>
  </si>
  <si>
    <t>Tamoxifen-30,2µg/L + Testostérone</t>
  </si>
  <si>
    <t>Tamoxifen-60,4µg/L + Testostérone</t>
  </si>
  <si>
    <t>Tamoxifen-121µg/L + Testostérone</t>
  </si>
  <si>
    <t>Tamoxifen-242µg/L + Testostérone</t>
  </si>
  <si>
    <t>Tamoxifen-483µg/L + Testostérone</t>
  </si>
  <si>
    <t>Krutall Wallis</t>
  </si>
  <si>
    <t>Anova</t>
  </si>
  <si>
    <t xml:space="preserve">D:\Images\20210707\plaque 1/@01 Témoins solvant/A1_01.tif </t>
  </si>
  <si>
    <t xml:space="preserve"> 930.0855 </t>
  </si>
  <si>
    <t xml:space="preserve"> 64.7907 </t>
  </si>
  <si>
    <t xml:space="preserve">D:\Images\20210707\plaque 1/@01 Témoins solvant/A1_02.tif </t>
  </si>
  <si>
    <t xml:space="preserve"> 64.1163 </t>
  </si>
  <si>
    <t xml:space="preserve">D:\Images\20210707\plaque 1/@01 Témoins solvant/A1_03.tif </t>
  </si>
  <si>
    <t xml:space="preserve"> 1168.0143 </t>
  </si>
  <si>
    <t xml:space="preserve"> 65.3148 </t>
  </si>
  <si>
    <t xml:space="preserve">D:\Images\20210707\plaque 1/@01 Témoins solvant/B1_01.tif </t>
  </si>
  <si>
    <t xml:space="preserve"> 67.2121 </t>
  </si>
  <si>
    <t xml:space="preserve">D:\Images\20210707\plaque 1/@01 Témoins solvant/B1_02.tif </t>
  </si>
  <si>
    <t xml:space="preserve"> 63.1014 </t>
  </si>
  <si>
    <t xml:space="preserve">D:\Images\20210707\plaque 1/@01 Témoins solvant/B1_03.tif </t>
  </si>
  <si>
    <t xml:space="preserve"> 63.5568 </t>
  </si>
  <si>
    <t xml:space="preserve">D:\Images\20210707\plaque 1/@01 Témoins solvant/C1_01.tif </t>
  </si>
  <si>
    <t xml:space="preserve"> 389.3381 </t>
  </si>
  <si>
    <t xml:space="preserve"> 63.3889 </t>
  </si>
  <si>
    <t xml:space="preserve">D:\Images\20210707\plaque 1/@01 Témoins solvant/C1_02.tif </t>
  </si>
  <si>
    <t xml:space="preserve"> 65.1875 </t>
  </si>
  <si>
    <t xml:space="preserve">D:\Images\20210707\plaque 1/@01 Témoins solvant/C1_03.tif </t>
  </si>
  <si>
    <t xml:space="preserve"> 64.4444 </t>
  </si>
  <si>
    <t xml:space="preserve">D:\Images\20210707\plaque 1/@01 Témoins solvant/D1_01.tif </t>
  </si>
  <si>
    <t xml:space="preserve"> 68.5 </t>
  </si>
  <si>
    <t xml:space="preserve">D:\Images\20210707\plaque 1/@01 Témoins solvant/D1_02.tif </t>
  </si>
  <si>
    <t xml:space="preserve"> 64.3542 </t>
  </si>
  <si>
    <t xml:space="preserve">D:\Images\20210707\plaque 1/@01 Témoins solvant/D1_03.tif </t>
  </si>
  <si>
    <t xml:space="preserve"> 65.0789 </t>
  </si>
  <si>
    <t xml:space="preserve">D:\Images\20210707\plaque 1/@01 Témoins solvant/E1_01.tif </t>
  </si>
  <si>
    <t xml:space="preserve"> 1968.3204 </t>
  </si>
  <si>
    <t xml:space="preserve"> 65.1209 </t>
  </si>
  <si>
    <t xml:space="preserve">D:\Images\20210707\plaque 1/@01 Témoins solvant/E1_02.tif </t>
  </si>
  <si>
    <t xml:space="preserve"> 2725.3667 </t>
  </si>
  <si>
    <t xml:space="preserve"> 64.7698 </t>
  </si>
  <si>
    <t xml:space="preserve">D:\Images\20210707\plaque 1/@01 Témoins solvant/E1_03.tif </t>
  </si>
  <si>
    <t xml:space="preserve"> 2703.7368 </t>
  </si>
  <si>
    <t xml:space="preserve"> 65.368 </t>
  </si>
  <si>
    <t xml:space="preserve">D:\Images\20210707\plaque 1/@01 Témoins solvant/F1_01.tif </t>
  </si>
  <si>
    <t xml:space="preserve"> 66.9739 </t>
  </si>
  <si>
    <t xml:space="preserve">D:\Images\20210707\plaque 1/@01 Témoins solvant/F1_02.tif </t>
  </si>
  <si>
    <t xml:space="preserve"> 2119.7297 </t>
  </si>
  <si>
    <t xml:space="preserve"> 67.5816 </t>
  </si>
  <si>
    <t xml:space="preserve">D:\Images\20210707\plaque 1/@01 Témoins solvant/F1_03.tif </t>
  </si>
  <si>
    <t xml:space="preserve"> 65.023 </t>
  </si>
  <si>
    <t xml:space="preserve">D:\Images\20210707\plaque 1/@01 Témoins solvant/G1_01.tif </t>
  </si>
  <si>
    <t xml:space="preserve"> 64.7111 </t>
  </si>
  <si>
    <t xml:space="preserve">D:\Images\20210707\plaque 1/@01 Témoins solvant/G1_02.tif </t>
  </si>
  <si>
    <t xml:space="preserve"> 64.8537 </t>
  </si>
  <si>
    <t xml:space="preserve">D:\Images\20210707\plaque 1/@01 Témoins solvant/G1_03.tif </t>
  </si>
  <si>
    <t xml:space="preserve"> 778.6762 </t>
  </si>
  <si>
    <t xml:space="preserve"> 63.5556 </t>
  </si>
  <si>
    <t>D:\Images\20210707\plaque 1/@01 Témoins solvant/H1_01- exclu.tif</t>
  </si>
  <si>
    <t xml:space="preserve">D:\Images\20210707\plaque 1/@01 Témoins solvant/H1_02.tif </t>
  </si>
  <si>
    <t xml:space="preserve">D:\Images\20210707\plaque 1/@01 Témoins solvant/H1_03.tif </t>
  </si>
  <si>
    <t xml:space="preserve"> 65.7857 </t>
  </si>
  <si>
    <t xml:space="preserve">D:\Images\20210707\plaque 1/@01 Témoins solvant/ </t>
  </si>
  <si>
    <t xml:space="preserve"> 65.1181 </t>
  </si>
  <si>
    <t xml:space="preserve"> 1.3987 </t>
  </si>
  <si>
    <t xml:space="preserve"> 97129.125 </t>
  </si>
  <si>
    <t xml:space="preserve"> 70405.1418 </t>
  </si>
  <si>
    <t xml:space="preserve">D:\Images\20210707\plaque 1/@02 EE2 33.8/A2_01.tif </t>
  </si>
  <si>
    <t xml:space="preserve"> 63.9259 </t>
  </si>
  <si>
    <t xml:space="preserve">D:\Images\20210707\plaque 1/@02 EE2 33.8/A2_02.tif </t>
  </si>
  <si>
    <t xml:space="preserve"> 1103.1246 </t>
  </si>
  <si>
    <t xml:space="preserve"> 64.8431 </t>
  </si>
  <si>
    <t xml:space="preserve">D:\Images\20210707\plaque 1/@02 EE2 33.8/A2_03.tif </t>
  </si>
  <si>
    <t xml:space="preserve"> 173.0392 </t>
  </si>
  <si>
    <t xml:space="preserve">D:\Images\20210707\plaque 1/@02 EE2 33.8/B2_01.tif </t>
  </si>
  <si>
    <t xml:space="preserve"> 64.037 </t>
  </si>
  <si>
    <t xml:space="preserve">D:\Images\20210707\plaque 1/@02 EE2 33.8/B2_02.tif </t>
  </si>
  <si>
    <t xml:space="preserve"> 65.297 </t>
  </si>
  <si>
    <t>D:\Images\20210707\plaque 1/@02 EE2 33.8/B2_03- exclu.tif</t>
  </si>
  <si>
    <t xml:space="preserve">D:\Images\20210707\plaque 1/@02 EE2 33.8/C2_01.tif </t>
  </si>
  <si>
    <t xml:space="preserve"> 65.8936 </t>
  </si>
  <si>
    <t xml:space="preserve">D:\Images\20210707\plaque 1/@02 EE2 33.8/C2_02.tif </t>
  </si>
  <si>
    <t xml:space="preserve"> 562.3773 </t>
  </si>
  <si>
    <t xml:space="preserve"> 62.8846 </t>
  </si>
  <si>
    <t xml:space="preserve">D:\Images\20210707\plaque 1/@02 EE2 33.8/C2_03.tif </t>
  </si>
  <si>
    <t xml:space="preserve"> 66.8125 </t>
  </si>
  <si>
    <t xml:space="preserve">D:\Images\20210707\plaque 1/@02 EE2 33.8/D2_01.tif </t>
  </si>
  <si>
    <t xml:space="preserve"> 11096.1359 </t>
  </si>
  <si>
    <t xml:space="preserve"> 67.3606 </t>
  </si>
  <si>
    <t xml:space="preserve">D:\Images\20210707\plaque 1/@02 EE2 33.8/D2_02.tif </t>
  </si>
  <si>
    <t xml:space="preserve"> 63.2446 </t>
  </si>
  <si>
    <t xml:space="preserve">D:\Images\20210707\plaque 1/@02 EE2 33.8/D2_03.tif </t>
  </si>
  <si>
    <t xml:space="preserve"> 63.7368 </t>
  </si>
  <si>
    <t xml:space="preserve">D:\Images\20210707\plaque 1/@02 EE2 33.8/E2_01.tif </t>
  </si>
  <si>
    <t xml:space="preserve"> 62.8462 </t>
  </si>
  <si>
    <t xml:space="preserve">D:\Images\20210707\plaque 1/@02 EE2 33.8/E2_02.tif </t>
  </si>
  <si>
    <t xml:space="preserve"> 627.2669 </t>
  </si>
  <si>
    <t xml:space="preserve"> 63.8621 </t>
  </si>
  <si>
    <t xml:space="preserve">D:\Images\20210707\plaque 1/@02 EE2 33.8/E2_03.tif </t>
  </si>
  <si>
    <t xml:space="preserve"> 63.9545 </t>
  </si>
  <si>
    <t xml:space="preserve">D:\Images\20210707\plaque 1/@02 EE2 33.8/F2_01.tif </t>
  </si>
  <si>
    <t xml:space="preserve"> 63.8667 </t>
  </si>
  <si>
    <t xml:space="preserve">D:\Images\20210707\plaque 1/@02 EE2 33.8/F2_02.tif </t>
  </si>
  <si>
    <t xml:space="preserve"> 64.5714 </t>
  </si>
  <si>
    <t xml:space="preserve">D:\Images\20210707\plaque 1/@02 EE2 33.8/F2_03.tif </t>
  </si>
  <si>
    <t xml:space="preserve"> 70.4615 </t>
  </si>
  <si>
    <t xml:space="preserve">D:\Images\20210707\plaque 1/@02 EE2 33.8/G2_01.tif </t>
  </si>
  <si>
    <t xml:space="preserve">D:\Images\20210707\plaque 1/@02 EE2 33.8/G2_02.tif </t>
  </si>
  <si>
    <t xml:space="preserve"> 64.0506 </t>
  </si>
  <si>
    <t xml:space="preserve">D:\Images\20210707\plaque 1/@02 EE2 33.8/G2_03.tif </t>
  </si>
  <si>
    <t xml:space="preserve"> 65.6957 </t>
  </si>
  <si>
    <t xml:space="preserve">D:\Images\20210707\plaque 1/@02 EE2 33.8/H2_01.tif </t>
  </si>
  <si>
    <t xml:space="preserve"> 62.45 </t>
  </si>
  <si>
    <t xml:space="preserve">D:\Images\20210707\plaque 1/@02 EE2 33.8/H2_02.tif </t>
  </si>
  <si>
    <t xml:space="preserve"> 259.5587 </t>
  </si>
  <si>
    <t xml:space="preserve"> 62.75 </t>
  </si>
  <si>
    <t xml:space="preserve">D:\Images\20210707\plaque 1/@02 EE2 33.8/H2_03.tif </t>
  </si>
  <si>
    <t xml:space="preserve"> 216.2989 </t>
  </si>
  <si>
    <t xml:space="preserve"> 65.7 </t>
  </si>
  <si>
    <t xml:space="preserve">D:\Images\20210707\plaque 1/@02 EE2 33.8/ </t>
  </si>
  <si>
    <t xml:space="preserve"> 64.7051 </t>
  </si>
  <si>
    <t xml:space="preserve"> 1.8188 </t>
  </si>
  <si>
    <t xml:space="preserve"> 95367.0833 </t>
  </si>
  <si>
    <t xml:space="preserve"> 151647.806 </t>
  </si>
  <si>
    <t xml:space="preserve">D:\Images\20210707\plaque 1/@03 EE2 50/A3_01.tif </t>
  </si>
  <si>
    <t xml:space="preserve"> 367.7082 </t>
  </si>
  <si>
    <t xml:space="preserve"> 63.0588 </t>
  </si>
  <si>
    <t xml:space="preserve">D:\Images\20210707\plaque 1/@03 EE2 50/A3_02.tif </t>
  </si>
  <si>
    <t xml:space="preserve"> 1946.6905 </t>
  </si>
  <si>
    <t xml:space="preserve"> 65.8889 </t>
  </si>
  <si>
    <t>D:\Images\20210707\plaque 1/@03 EE2 50/A3_03- exclu.tif</t>
  </si>
  <si>
    <t xml:space="preserve">D:\Images\20210707\plaque 1/@03 EE2 50/B3_01.tif </t>
  </si>
  <si>
    <t xml:space="preserve"> 64.6623 </t>
  </si>
  <si>
    <t xml:space="preserve">D:\Images\20210707\plaque 1/@03 EE2 50/B3_02.tif </t>
  </si>
  <si>
    <t xml:space="preserve"> 66.3871 </t>
  </si>
  <si>
    <t xml:space="preserve">D:\Images\20210707\plaque 1/@03 EE2 50/B3_03.tif </t>
  </si>
  <si>
    <t xml:space="preserve"> 65.2667 </t>
  </si>
  <si>
    <t xml:space="preserve">D:\Images\20210707\plaque 1/@03 EE2 50/C3_01.tif </t>
  </si>
  <si>
    <t xml:space="preserve"> 63.7738 </t>
  </si>
  <si>
    <t xml:space="preserve">D:\Images\20210707\plaque 1/@03 EE2 50/C3_02.tif </t>
  </si>
  <si>
    <t xml:space="preserve"> 62.7215 </t>
  </si>
  <si>
    <t xml:space="preserve">D:\Images\20210707\plaque 1/@03 EE2 50/C3_03.tif </t>
  </si>
  <si>
    <t xml:space="preserve"> 65.4686 </t>
  </si>
  <si>
    <t xml:space="preserve">D:\Images\20210707\plaque 1/@03 EE2 50/D3_01.tif </t>
  </si>
  <si>
    <t xml:space="preserve"> 64.1429 </t>
  </si>
  <si>
    <t xml:space="preserve">D:\Images\20210707\plaque 1/@03 EE2 50/D3_02.tif </t>
  </si>
  <si>
    <t xml:space="preserve"> 1362.6834 </t>
  </si>
  <si>
    <t xml:space="preserve"> 64.873 </t>
  </si>
  <si>
    <t xml:space="preserve">D:\Images\20210707\plaque 1/@03 EE2 50/D3_03.tif </t>
  </si>
  <si>
    <t xml:space="preserve"> 62.3333 </t>
  </si>
  <si>
    <t xml:space="preserve">D:\Images\20210707\plaque 1/@03 EE2 50/E3_01.tif </t>
  </si>
  <si>
    <t xml:space="preserve"> 1059.8648 </t>
  </si>
  <si>
    <t xml:space="preserve"> 64.2245 </t>
  </si>
  <si>
    <t xml:space="preserve">D:\Images\20210707\plaque 1/@03 EE2 50/E3_02.tif </t>
  </si>
  <si>
    <t xml:space="preserve"> 63.1 </t>
  </si>
  <si>
    <t xml:space="preserve">D:\Images\20210707\plaque 1/@03 EE2 50/E3_03.tif </t>
  </si>
  <si>
    <t xml:space="preserve"> 65.2821 </t>
  </si>
  <si>
    <t xml:space="preserve">D:\Images\20210707\plaque 1/@03 EE2 50/F3_01.tif </t>
  </si>
  <si>
    <t xml:space="preserve"> 713.7865 </t>
  </si>
  <si>
    <t xml:space="preserve"> 64.9394 </t>
  </si>
  <si>
    <t xml:space="preserve">D:\Images\20210707\plaque 1/@03 EE2 50/F3_02.tif </t>
  </si>
  <si>
    <t xml:space="preserve"> 62.7931 </t>
  </si>
  <si>
    <t>D:\Images\20210707\plaque 1/@03 EE2 50/F3_03- exclu.tif</t>
  </si>
  <si>
    <t xml:space="preserve">D:\Images\20210707\plaque 1/@03 EE2 50/G3_01.tif </t>
  </si>
  <si>
    <t xml:space="preserve"> 2509.0678 </t>
  </si>
  <si>
    <t xml:space="preserve"> 64.8534 </t>
  </si>
  <si>
    <t xml:space="preserve">D:\Images\20210707\plaque 1/@03 EE2 50/G3_02.tif </t>
  </si>
  <si>
    <t xml:space="preserve"> 80.7237 </t>
  </si>
  <si>
    <t xml:space="preserve">D:\Images\20210707\plaque 1/@03 EE2 50/G3_03.tif </t>
  </si>
  <si>
    <t xml:space="preserve"> 5840.0715 </t>
  </si>
  <si>
    <t xml:space="preserve"> 70.8667 </t>
  </si>
  <si>
    <t xml:space="preserve">D:\Images\20210707\plaque 1/@03 EE2 50/H3_01.tif </t>
  </si>
  <si>
    <t xml:space="preserve"> 108.1495 </t>
  </si>
  <si>
    <t xml:space="preserve">D:\Images\20210707\plaque 1/@03 EE2 50/H3_02.tif </t>
  </si>
  <si>
    <t xml:space="preserve"> 64.4667 </t>
  </si>
  <si>
    <t xml:space="preserve">D:\Images\20210707\plaque 1/@03 EE2 50/H3_03.tif </t>
  </si>
  <si>
    <t xml:space="preserve">D:\Images\20210707\plaque 1/@03 EE2 50/ </t>
  </si>
  <si>
    <t xml:space="preserve"> 65.2892 </t>
  </si>
  <si>
    <t xml:space="preserve"> 3.7279 </t>
  </si>
  <si>
    <t xml:space="preserve"> 128439.125 </t>
  </si>
  <si>
    <t xml:space="preserve"> 191666.703 </t>
  </si>
  <si>
    <t xml:space="preserve">D:\Images\20210707\plaque 1/@04 EE2 76/A4_01.tif </t>
  </si>
  <si>
    <t xml:space="preserve"> 2638.8471 </t>
  </si>
  <si>
    <t xml:space="preserve"> 63.959 </t>
  </si>
  <si>
    <t xml:space="preserve">D:\Images\20210707\plaque 1/@04 EE2 76/A4_02.tif </t>
  </si>
  <si>
    <t xml:space="preserve"> 64.9331 </t>
  </si>
  <si>
    <t xml:space="preserve">D:\Images\20210707\plaque 1/@04 EE2 76/A4_03.tif </t>
  </si>
  <si>
    <t xml:space="preserve"> 63.25 </t>
  </si>
  <si>
    <t>D:\Images\20210707\plaque 1/@04 EE2 76/B4_01- exclu.tif</t>
  </si>
  <si>
    <t xml:space="preserve">D:\Images\20210707\plaque 1/@04 EE2 76/B4_02.tif </t>
  </si>
  <si>
    <t xml:space="preserve"> 3720.3419 </t>
  </si>
  <si>
    <t xml:space="preserve"> 63.5523 </t>
  </si>
  <si>
    <t xml:space="preserve">D:\Images\20210707\plaque 1/@04 EE2 76/B4_03.tif </t>
  </si>
  <si>
    <t xml:space="preserve"> 3114.7048 </t>
  </si>
  <si>
    <t xml:space="preserve"> 62.9375 </t>
  </si>
  <si>
    <t xml:space="preserve">D:\Images\20210707\plaque 1/@04 EE2 76/C4_01.tif </t>
  </si>
  <si>
    <t xml:space="preserve"> 15854.7128 </t>
  </si>
  <si>
    <t xml:space="preserve"> 65.8049 </t>
  </si>
  <si>
    <t xml:space="preserve">D:\Images\20210707\plaque 1/@04 EE2 76/C4_02.tif </t>
  </si>
  <si>
    <t xml:space="preserve"> 11161.0256 </t>
  </si>
  <si>
    <t xml:space="preserve"> 64.3798 </t>
  </si>
  <si>
    <t xml:space="preserve">D:\Images\20210707\plaque 1/@04 EE2 76/C4_03.tif </t>
  </si>
  <si>
    <t xml:space="preserve"> 16676.6488 </t>
  </si>
  <si>
    <t xml:space="preserve"> 65.6783 </t>
  </si>
  <si>
    <t xml:space="preserve">D:\Images\20210707\plaque 1/@04 EE2 76/D4_01.tif </t>
  </si>
  <si>
    <t xml:space="preserve"> 64.4448 </t>
  </si>
  <si>
    <t xml:space="preserve">D:\Images\20210707\plaque 1/@04 EE2 76/D4_02.tif </t>
  </si>
  <si>
    <t xml:space="preserve"> 64.5778 </t>
  </si>
  <si>
    <t xml:space="preserve">D:\Images\20210707\plaque 1/@04 EE2 76/D4_03.tif </t>
  </si>
  <si>
    <t xml:space="preserve"> 6034.7406 </t>
  </si>
  <si>
    <t xml:space="preserve"> 64.2616 </t>
  </si>
  <si>
    <t xml:space="preserve">D:\Images\20210707\plaque 1/@04 EE2 76/E4_01.tif </t>
  </si>
  <si>
    <t xml:space="preserve"> 64.9286 </t>
  </si>
  <si>
    <t xml:space="preserve">D:\Images\20210707\plaque 1/@04 EE2 76/E4_02.tif </t>
  </si>
  <si>
    <t xml:space="preserve"> 14145.9511 </t>
  </si>
  <si>
    <t xml:space="preserve"> 66.3073 </t>
  </si>
  <si>
    <t xml:space="preserve">D:\Images\20210707\plaque 1/@04 EE2 76/E4_03.tif </t>
  </si>
  <si>
    <t xml:space="preserve"> 7851.6518 </t>
  </si>
  <si>
    <t xml:space="preserve"> 64.9862 </t>
  </si>
  <si>
    <t xml:space="preserve">D:\Images\20210707\plaque 1/@04 EE2 76/F4_01.tif </t>
  </si>
  <si>
    <t xml:space="preserve"> 20699.8092 </t>
  </si>
  <si>
    <t xml:space="preserve"> 65.6092 </t>
  </si>
  <si>
    <t xml:space="preserve">D:\Images\20210707\plaque 1/@04 EE2 76/F4_02.tif </t>
  </si>
  <si>
    <t xml:space="preserve"> 25782.8344 </t>
  </si>
  <si>
    <t xml:space="preserve"> 66.3381 </t>
  </si>
  <si>
    <t xml:space="preserve">D:\Images\20210707\plaque 1/@04 EE2 76/F4_03.tif </t>
  </si>
  <si>
    <t xml:space="preserve"> 22473.4605 </t>
  </si>
  <si>
    <t xml:space="preserve"> 65.9913 </t>
  </si>
  <si>
    <t>D:\Images\20210707\plaque 1/@04 EE2 76/G4_01- exclu.tif</t>
  </si>
  <si>
    <t xml:space="preserve">D:\Images\20210707\plaque 1/@04 EE2 76/G4_02.tif </t>
  </si>
  <si>
    <t xml:space="preserve"> 346.0783 </t>
  </si>
  <si>
    <t xml:space="preserve"> 63.5625 </t>
  </si>
  <si>
    <t xml:space="preserve">D:\Images\20210707\plaque 1/@04 EE2 76/G4_03.tif </t>
  </si>
  <si>
    <t xml:space="preserve"> 1449.2029 </t>
  </si>
  <si>
    <t xml:space="preserve"> 66.8507 </t>
  </si>
  <si>
    <t xml:space="preserve">D:\Images\20210707\plaque 1/@04 EE2 76/H4_01.tif </t>
  </si>
  <si>
    <t xml:space="preserve"> 6294.2993 </t>
  </si>
  <si>
    <t xml:space="preserve"> 64.7595 </t>
  </si>
  <si>
    <t xml:space="preserve">D:\Images\20210707\plaque 1/@04 EE2 76/H4_02.tif </t>
  </si>
  <si>
    <t xml:space="preserve"> 4888.3562 </t>
  </si>
  <si>
    <t xml:space="preserve"> 64.6681 </t>
  </si>
  <si>
    <t xml:space="preserve">D:\Images\20210707\plaque 1/@04 EE2 76/H4_03.tif </t>
  </si>
  <si>
    <t xml:space="preserve"> 4131.3099 </t>
  </si>
  <si>
    <t xml:space="preserve"> 63.8272 </t>
  </si>
  <si>
    <t xml:space="preserve">D:\Images\20210707\plaque 1/@04 EE2 76/ </t>
  </si>
  <si>
    <t xml:space="preserve"> 64.9226 </t>
  </si>
  <si>
    <t xml:space="preserve"> 1.2305 </t>
  </si>
  <si>
    <t xml:space="preserve"> 564162.583 </t>
  </si>
  <si>
    <t xml:space="preserve"> 465257.086 </t>
  </si>
  <si>
    <t xml:space="preserve">D:\Images\20210707\plaque 1/@05 EE2 114/A5_01.tif </t>
  </si>
  <si>
    <t xml:space="preserve"> 12458.8193 </t>
  </si>
  <si>
    <t xml:space="preserve"> 67.9028 </t>
  </si>
  <si>
    <t xml:space="preserve">D:\Images\20210707\plaque 1/@05 EE2 114/A5_02.tif </t>
  </si>
  <si>
    <t xml:space="preserve"> 13713.3532 </t>
  </si>
  <si>
    <t xml:space="preserve"> 66.9921 </t>
  </si>
  <si>
    <t xml:space="preserve">D:\Images\20210707\plaque 1/@05 EE2 114/A5_03.tif </t>
  </si>
  <si>
    <t xml:space="preserve"> 13518.6841 </t>
  </si>
  <si>
    <t xml:space="preserve"> 68.7568 </t>
  </si>
  <si>
    <t xml:space="preserve">D:\Images\20210707\plaque 1/@05 EE2 114/B5_01.tif </t>
  </si>
  <si>
    <t xml:space="preserve"> 72.9265 </t>
  </si>
  <si>
    <t xml:space="preserve">D:\Images\20210707\plaque 1/@05 EE2 114/B5_02.tif </t>
  </si>
  <si>
    <t xml:space="preserve"> 34910.6499 </t>
  </si>
  <si>
    <t xml:space="preserve"> 72.3253 </t>
  </si>
  <si>
    <t xml:space="preserve">D:\Images\20210707\plaque 1/@05 EE2 114/B5_03.tif </t>
  </si>
  <si>
    <t xml:space="preserve"> 35819.1055 </t>
  </si>
  <si>
    <t xml:space="preserve"> 74.5725 </t>
  </si>
  <si>
    <t xml:space="preserve">D:\Images\20210707\plaque 1/@05 EE2 114/C5_01.tif </t>
  </si>
  <si>
    <t xml:space="preserve"> 12891.4172 </t>
  </si>
  <si>
    <t xml:space="preserve"> 66.3054 </t>
  </si>
  <si>
    <t xml:space="preserve">D:\Images\20210707\plaque 1/@05 EE2 114/C5_02.tif </t>
  </si>
  <si>
    <t xml:space="preserve"> 14902.9974 </t>
  </si>
  <si>
    <t xml:space="preserve"> 67.971 </t>
  </si>
  <si>
    <t>D:\Images\20210707\plaque 1/@05 EE2 114/C5_03- exclu.tif</t>
  </si>
  <si>
    <t xml:space="preserve">D:\Images\20210707\plaque 1/@05 EE2 114/D5_01.tif </t>
  </si>
  <si>
    <t xml:space="preserve"> 33396.5573 </t>
  </si>
  <si>
    <t xml:space="preserve"> 69.5699 </t>
  </si>
  <si>
    <t xml:space="preserve">D:\Images\20210707\plaque 1/@05 EE2 114/D5_02.tif </t>
  </si>
  <si>
    <t xml:space="preserve"> 27859.3043 </t>
  </si>
  <si>
    <t xml:space="preserve"> 69.3727 </t>
  </si>
  <si>
    <t xml:space="preserve">D:\Images\20210707\plaque 1/@05 EE2 114/D5_03.tif </t>
  </si>
  <si>
    <t xml:space="preserve"> 31384.9771 </t>
  </si>
  <si>
    <t xml:space="preserve"> 68.7264 </t>
  </si>
  <si>
    <t xml:space="preserve">D:\Images\20210707\plaque 1/@05 EE2 114/E5_01.tif </t>
  </si>
  <si>
    <t xml:space="preserve"> 70.6292 </t>
  </si>
  <si>
    <t xml:space="preserve">D:\Images\20210707\plaque 1/@05 EE2 114/E5_02.tif </t>
  </si>
  <si>
    <t xml:space="preserve"> 34672.7211 </t>
  </si>
  <si>
    <t xml:space="preserve"> 70.4959 </t>
  </si>
  <si>
    <t xml:space="preserve">D:\Images\20210707\plaque 1/@05 EE2 114/E5_03.tif </t>
  </si>
  <si>
    <t xml:space="preserve"> 35299.988 </t>
  </si>
  <si>
    <t xml:space="preserve"> 70.2249 </t>
  </si>
  <si>
    <t xml:space="preserve">D:\Images\20210707\plaque 1/@05 EE2 114/F5_01.tif </t>
  </si>
  <si>
    <t xml:space="preserve"> 18082.5919 </t>
  </si>
  <si>
    <t xml:space="preserve"> 66.0299 </t>
  </si>
  <si>
    <t xml:space="preserve">D:\Images\20210707\plaque 1/@05 EE2 114/F5_02.tif </t>
  </si>
  <si>
    <t xml:space="preserve"> 15833.0829 </t>
  </si>
  <si>
    <t xml:space="preserve"> 65.9085 </t>
  </si>
  <si>
    <t xml:space="preserve">D:\Images\20210707\plaque 1/@05 EE2 114/F5_03.tif </t>
  </si>
  <si>
    <t xml:space="preserve"> 19228.9763 </t>
  </si>
  <si>
    <t xml:space="preserve"> 65.901 </t>
  </si>
  <si>
    <t xml:space="preserve">D:\Images\20210707\plaque 1/@05 EE2 114/G5_01.tif </t>
  </si>
  <si>
    <t xml:space="preserve"> 33461.447 </t>
  </si>
  <si>
    <t xml:space="preserve"> 70.5598 </t>
  </si>
  <si>
    <t xml:space="preserve">D:\Images\20210707\plaque 1/@05 EE2 114/G5_02.tif </t>
  </si>
  <si>
    <t xml:space="preserve"> 31839.2049 </t>
  </si>
  <si>
    <t xml:space="preserve"> 70.6026 </t>
  </si>
  <si>
    <t xml:space="preserve">D:\Images\20210707\plaque 1/@05 EE2 114/G5_03.tif </t>
  </si>
  <si>
    <t xml:space="preserve"> 24679.7098 </t>
  </si>
  <si>
    <t xml:space="preserve"> 68.8966 </t>
  </si>
  <si>
    <t xml:space="preserve">D:\Images\20210707\plaque 1/@05 EE2 114/H5_01.tif </t>
  </si>
  <si>
    <t xml:space="preserve"> 11766.6627 </t>
  </si>
  <si>
    <t xml:space="preserve"> 65.9926 </t>
  </si>
  <si>
    <t xml:space="preserve">D:\Images\20210707\plaque 1/@05 EE2 114/H5_02.tif </t>
  </si>
  <si>
    <t xml:space="preserve"> 11290.805 </t>
  </si>
  <si>
    <t xml:space="preserve"> 66.1609 </t>
  </si>
  <si>
    <t xml:space="preserve">D:\Images\20210707\plaque 1/@05 EE2 114/H5_03.tif </t>
  </si>
  <si>
    <t xml:space="preserve"> 66.0888 </t>
  </si>
  <si>
    <t xml:space="preserve">D:\Images\20210707\plaque 1/@05 EE2 114/ </t>
  </si>
  <si>
    <t xml:space="preserve"> 68.734 </t>
  </si>
  <si>
    <t xml:space="preserve"> 2.4691 </t>
  </si>
  <si>
    <t xml:space="preserve"> 1642133.38 </t>
  </si>
  <si>
    <t xml:space="preserve"> 752638.578 </t>
  </si>
  <si>
    <t xml:space="preserve">D:\Images\20210707\plaque 1/@06 EE2 170/A6_01.tif </t>
  </si>
  <si>
    <t xml:space="preserve"> 55761.8684 </t>
  </si>
  <si>
    <t xml:space="preserve"> 73.4465 </t>
  </si>
  <si>
    <t xml:space="preserve">D:\Images\20210707\plaque 1/@06 EE2 170/A6_02.tif </t>
  </si>
  <si>
    <t xml:space="preserve"> 73.2801 </t>
  </si>
  <si>
    <t xml:space="preserve">D:\Images\20210707\plaque 1/@06 EE2 170/A6_03.tif </t>
  </si>
  <si>
    <t xml:space="preserve"> 46742.2023 </t>
  </si>
  <si>
    <t xml:space="preserve"> 72.9459 </t>
  </si>
  <si>
    <t xml:space="preserve">D:\Images\20210707\plaque 1/@06 EE2 170/B6_01.tif </t>
  </si>
  <si>
    <t xml:space="preserve"> 48883.5619 </t>
  </si>
  <si>
    <t xml:space="preserve"> 74.7159 </t>
  </si>
  <si>
    <t xml:space="preserve">D:\Images\20210707\plaque 1/@06 EE2 170/B6_02.tif </t>
  </si>
  <si>
    <t xml:space="preserve"> 44211.5046 </t>
  </si>
  <si>
    <t xml:space="preserve"> 77.0152 </t>
  </si>
  <si>
    <t xml:space="preserve">D:\Images\20210707\plaque 1/@06 EE2 170/B6_03.tif </t>
  </si>
  <si>
    <t xml:space="preserve"> 46223.0848 </t>
  </si>
  <si>
    <t xml:space="preserve"> 76.7164 </t>
  </si>
  <si>
    <t xml:space="preserve">D:\Images\20210707\plaque 1/@06 EE2 170/C6_01.tif </t>
  </si>
  <si>
    <t xml:space="preserve"> 23208.8769 </t>
  </si>
  <si>
    <t xml:space="preserve"> 71.4772 </t>
  </si>
  <si>
    <t xml:space="preserve">D:\Images\20210707\plaque 1/@06 EE2 170/C6_02.tif </t>
  </si>
  <si>
    <t xml:space="preserve"> 20223.9515 </t>
  </si>
  <si>
    <t xml:space="preserve"> 69.2984 </t>
  </si>
  <si>
    <t xml:space="preserve">D:\Images\20210707\plaque 1/@06 EE2 170/C6_03.tif </t>
  </si>
  <si>
    <t xml:space="preserve"> 22300.4214 </t>
  </si>
  <si>
    <t xml:space="preserve"> 73.1348 </t>
  </si>
  <si>
    <t xml:space="preserve">D:\Images\20210707\plaque 1/@06 EE2 170/D6_01.tif </t>
  </si>
  <si>
    <t xml:space="preserve"> 29676.2154 </t>
  </si>
  <si>
    <t xml:space="preserve"> 71.2726 </t>
  </si>
  <si>
    <t xml:space="preserve">D:\Images\20210707\plaque 1/@06 EE2 170/D6_02.tif </t>
  </si>
  <si>
    <t xml:space="preserve"> 73.3926 </t>
  </si>
  <si>
    <t xml:space="preserve">D:\Images\20210707\plaque 1/@06 EE2 170/D6_03.tif </t>
  </si>
  <si>
    <t xml:space="preserve"> 32293.4327 </t>
  </si>
  <si>
    <t xml:space="preserve"> 74.5526 </t>
  </si>
  <si>
    <t xml:space="preserve">D:\Images\20210707\plaque 1/@06 EE2 170/E6_01.tif </t>
  </si>
  <si>
    <t xml:space="preserve"> 50051.5762 </t>
  </si>
  <si>
    <t xml:space="preserve"> 80.1811 </t>
  </si>
  <si>
    <t xml:space="preserve">D:\Images\20210707\plaque 1/@06 EE2 170/E6_02.tif </t>
  </si>
  <si>
    <t xml:space="preserve"> 49229.6402 </t>
  </si>
  <si>
    <t xml:space="preserve"> 78.2891 </t>
  </si>
  <si>
    <t xml:space="preserve">D:\Images\20210707\plaque 1/@06 EE2 170/E6_03.tif </t>
  </si>
  <si>
    <t xml:space="preserve"> 52949.9821 </t>
  </si>
  <si>
    <t xml:space="preserve"> 77.8137 </t>
  </si>
  <si>
    <t xml:space="preserve">D:\Images\20210707\plaque 1/@06 EE2 170/F6_01.tif </t>
  </si>
  <si>
    <t xml:space="preserve"> 52625.5336 </t>
  </si>
  <si>
    <t xml:space="preserve"> 73.1743 </t>
  </si>
  <si>
    <t xml:space="preserve">D:\Images\20210707\plaque 1/@06 EE2 170/F6_02.tif </t>
  </si>
  <si>
    <t xml:space="preserve"> 41875.476 </t>
  </si>
  <si>
    <t xml:space="preserve"> 76.0589 </t>
  </si>
  <si>
    <t xml:space="preserve">D:\Images\20210707\plaque 1/@06 EE2 170/F6_03.tif </t>
  </si>
  <si>
    <t xml:space="preserve"> 45725.5972 </t>
  </si>
  <si>
    <t xml:space="preserve"> 75.4541 </t>
  </si>
  <si>
    <t xml:space="preserve">D:\Images\20210707\plaque 1/@06 EE2 170/G6_01.tif </t>
  </si>
  <si>
    <t xml:space="preserve"> 47737.1774 </t>
  </si>
  <si>
    <t xml:space="preserve"> 72.2682 </t>
  </si>
  <si>
    <t xml:space="preserve">D:\Images\20210707\plaque 1/@06 EE2 170/G6_02.tif </t>
  </si>
  <si>
    <t xml:space="preserve"> 44600.8427 </t>
  </si>
  <si>
    <t xml:space="preserve"> 71.2595 </t>
  </si>
  <si>
    <t xml:space="preserve">D:\Images\20210707\plaque 1/@06 EE2 170/G6_03.tif </t>
  </si>
  <si>
    <t xml:space="preserve"> 46136.5652 </t>
  </si>
  <si>
    <t xml:space="preserve"> 74.3441 </t>
  </si>
  <si>
    <t xml:space="preserve">D:\Images\20210707\plaque 1/@06 EE2 170/H6_01.tif </t>
  </si>
  <si>
    <t xml:space="preserve"> 24896.0087 </t>
  </si>
  <si>
    <t xml:space="preserve"> 83.7628 </t>
  </si>
  <si>
    <t xml:space="preserve">D:\Images\20210707\plaque 1/@06 EE2 170/H6_02.tif </t>
  </si>
  <si>
    <t xml:space="preserve"> 35170.2087 </t>
  </si>
  <si>
    <t xml:space="preserve"> 81.3241 </t>
  </si>
  <si>
    <t xml:space="preserve">D:\Images\20210707\plaque 1/@06 EE2 170/H6_03.tif </t>
  </si>
  <si>
    <t xml:space="preserve"> 30238.5927 </t>
  </si>
  <si>
    <t xml:space="preserve"> 83.4471 </t>
  </si>
  <si>
    <t xml:space="preserve">D:\Images\20210707\plaque 1/@06 EE2 170/ </t>
  </si>
  <si>
    <t xml:space="preserve"> 75.3594 </t>
  </si>
  <si>
    <t xml:space="preserve"> 3.8387 </t>
  </si>
  <si>
    <t xml:space="preserve"> 3084065.12 </t>
  </si>
  <si>
    <t xml:space="preserve"> 840701.287 </t>
  </si>
  <si>
    <t xml:space="preserve">D:\Images\20210707\plaque 1/@07 EE2 488/A7_01.tif </t>
  </si>
  <si>
    <t xml:space="preserve"> 69951.0792 </t>
  </si>
  <si>
    <t xml:space="preserve"> 97.6654 </t>
  </si>
  <si>
    <t xml:space="preserve">D:\Images\20210707\plaque 1/@07 EE2 488/A7_02.tif </t>
  </si>
  <si>
    <t xml:space="preserve"> 66663.3352 </t>
  </si>
  <si>
    <t xml:space="preserve"> 96.77 </t>
  </si>
  <si>
    <t xml:space="preserve">D:\Images\20210707\plaque 1/@07 EE2 488/A7_03.tif </t>
  </si>
  <si>
    <t xml:space="preserve"> 71724.7306 </t>
  </si>
  <si>
    <t xml:space="preserve"> 95.9973 </t>
  </si>
  <si>
    <t xml:space="preserve">D:\Images\20210707\plaque 1/@07 EE2 488/B7_01.tif </t>
  </si>
  <si>
    <t xml:space="preserve"> 54355.9252 </t>
  </si>
  <si>
    <t xml:space="preserve"> 99.9546 </t>
  </si>
  <si>
    <t xml:space="preserve">D:\Images\20210707\plaque 1/@07 EE2 488/B7_02.tif </t>
  </si>
  <si>
    <t xml:space="preserve"> 56237.726 </t>
  </si>
  <si>
    <t xml:space="preserve"> 98.2312 </t>
  </si>
  <si>
    <t xml:space="preserve">D:\Images\20210707\plaque 1/@07 EE2 488/B7_03.tif </t>
  </si>
  <si>
    <t xml:space="preserve"> 55437.4199 </t>
  </si>
  <si>
    <t xml:space="preserve"> 98.3437 </t>
  </si>
  <si>
    <t xml:space="preserve">D:\Images\20210707\plaque 1/@07 EE2 488/C7_01.tif </t>
  </si>
  <si>
    <t xml:space="preserve"> 21608.2647 </t>
  </si>
  <si>
    <t xml:space="preserve"> 87.3904 </t>
  </si>
  <si>
    <t xml:space="preserve">D:\Images\20210707\plaque 1/@07 EE2 488/C7_02.tif </t>
  </si>
  <si>
    <t xml:space="preserve"> 25890.9839 </t>
  </si>
  <si>
    <t xml:space="preserve"> 90.2222 </t>
  </si>
  <si>
    <t xml:space="preserve">D:\Images\20210707\plaque 1/@07 EE2 488/C7_03.tif </t>
  </si>
  <si>
    <t xml:space="preserve"> 28984.0588 </t>
  </si>
  <si>
    <t xml:space="preserve"> 87.6418 </t>
  </si>
  <si>
    <t xml:space="preserve">D:\Images\20210707\plaque 1/@07 EE2 488/D7_01.tif </t>
  </si>
  <si>
    <t xml:space="preserve"> 52430.8646 </t>
  </si>
  <si>
    <t xml:space="preserve"> 93.9257 </t>
  </si>
  <si>
    <t xml:space="preserve">D:\Images\20210707\plaque 1/@07 EE2 488/D7_02.tif </t>
  </si>
  <si>
    <t xml:space="preserve"> 56583.8043 </t>
  </si>
  <si>
    <t xml:space="preserve"> 91.1227 </t>
  </si>
  <si>
    <t xml:space="preserve">D:\Images\20210707\plaque 1/@07 EE2 488/D7_03.tif </t>
  </si>
  <si>
    <t xml:space="preserve"> 56518.9147 </t>
  </si>
  <si>
    <t xml:space="preserve"> 92.6062 </t>
  </si>
  <si>
    <t xml:space="preserve">D:\Images\20210707\plaque 1/@07 EE2 488/E7_01.tif </t>
  </si>
  <si>
    <t xml:space="preserve"> 79900.8308 </t>
  </si>
  <si>
    <t xml:space="preserve"> 85.5742 </t>
  </si>
  <si>
    <t xml:space="preserve">D:\Images\20210707\plaque 1/@07 EE2 488/E7_02.tif </t>
  </si>
  <si>
    <t xml:space="preserve"> 77694.5815 </t>
  </si>
  <si>
    <t xml:space="preserve"> 87.4975 </t>
  </si>
  <si>
    <t xml:space="preserve">D:\Images\20210707\plaque 1/@07 EE2 488/E7_03.tif </t>
  </si>
  <si>
    <t xml:space="preserve"> 67074.3032 </t>
  </si>
  <si>
    <t xml:space="preserve"> 93.3667 </t>
  </si>
  <si>
    <t xml:space="preserve">D:\Images\20210707\plaque 1/@07 EE2 488/F7_01.tif </t>
  </si>
  <si>
    <t xml:space="preserve"> 81350.0337 </t>
  </si>
  <si>
    <t xml:space="preserve"> 90.2553 </t>
  </si>
  <si>
    <t xml:space="preserve">D:\Images\20210707\plaque 1/@07 EE2 488/F7_02.tif </t>
  </si>
  <si>
    <t xml:space="preserve"> 56994.7723 </t>
  </si>
  <si>
    <t xml:space="preserve"> 109.5097 </t>
  </si>
  <si>
    <t xml:space="preserve">D:\Images\20210707\plaque 1/@07 EE2 488/F7_03.tif </t>
  </si>
  <si>
    <t xml:space="preserve"> 54723.6334 </t>
  </si>
  <si>
    <t xml:space="preserve"> 109.1308 </t>
  </si>
  <si>
    <t xml:space="preserve">D:\Images\20210707\plaque 1/@07 EE2 488/G7_01.tif </t>
  </si>
  <si>
    <t xml:space="preserve"> 72395.2573 </t>
  </si>
  <si>
    <t xml:space="preserve"> 95.703 </t>
  </si>
  <si>
    <t xml:space="preserve">D:\Images\20210707\plaque 1/@07 EE2 488/G7_02.tif </t>
  </si>
  <si>
    <t xml:space="preserve"> 80268.539 </t>
  </si>
  <si>
    <t xml:space="preserve"> 93.3077 </t>
  </si>
  <si>
    <t xml:space="preserve">D:\Images\20210707\plaque 1/@07 EE2 488/G7_03.tif </t>
  </si>
  <si>
    <t xml:space="preserve"> 66576.8157 </t>
  </si>
  <si>
    <t xml:space="preserve"> 99.0776 </t>
  </si>
  <si>
    <t xml:space="preserve">D:\Images\20210707\plaque 1/@07 EE2 488/H7_01.tif </t>
  </si>
  <si>
    <t xml:space="preserve"> 88.7516 </t>
  </si>
  <si>
    <t xml:space="preserve">D:\Images\20210707\plaque 1/@07 EE2 488/H7_02.tif </t>
  </si>
  <si>
    <t xml:space="preserve"> 38825.6609 </t>
  </si>
  <si>
    <t xml:space="preserve"> 94.0685 </t>
  </si>
  <si>
    <t xml:space="preserve">D:\Images\20210707\plaque 1/@07 EE2 488/H7_03.tif </t>
  </si>
  <si>
    <t xml:space="preserve"> 43000.2305 </t>
  </si>
  <si>
    <t xml:space="preserve"> 93.413 </t>
  </si>
  <si>
    <t xml:space="preserve">D:\Images\20210707\plaque 1/@07 EE2 488/ </t>
  </si>
  <si>
    <t xml:space="preserve"> 94.5636 </t>
  </si>
  <si>
    <t xml:space="preserve"> 6.0884 </t>
  </si>
  <si>
    <t xml:space="preserve"> 5459214.21 </t>
  </si>
  <si>
    <t xml:space="preserve"> 1609179.34 </t>
  </si>
  <si>
    <t xml:space="preserve">D:\Images\20210707\plaque 1/@08tam 30.2µg_L/A8_01.tif </t>
  </si>
  <si>
    <t xml:space="preserve"> 3352.6337 </t>
  </si>
  <si>
    <t xml:space="preserve"> 66.9226 </t>
  </si>
  <si>
    <t xml:space="preserve">D:\Images\20210707\plaque 1/@08tam 30.2µg_L/A8_02.tif </t>
  </si>
  <si>
    <t xml:space="preserve"> 62.9231 </t>
  </si>
  <si>
    <t xml:space="preserve">D:\Images\20210707\plaque 1/@08tam 30.2µg_L/A8_03.tif </t>
  </si>
  <si>
    <t xml:space="preserve"> 63.7576 </t>
  </si>
  <si>
    <t xml:space="preserve">D:\Images\20210707\plaque 1/@08tam 30.2µg_L/B8_01.tif </t>
  </si>
  <si>
    <t xml:space="preserve"> 63.3636 </t>
  </si>
  <si>
    <t xml:space="preserve">D:\Images\20210707\plaque 1/@08tam 30.2µg_L/B8_02.tif </t>
  </si>
  <si>
    <t xml:space="preserve"> 63.5333 </t>
  </si>
  <si>
    <t xml:space="preserve">D:\Images\20210707\plaque 1/@08tam 30.2µg_L/B8_03.tif </t>
  </si>
  <si>
    <t xml:space="preserve"> 63.2564 </t>
  </si>
  <si>
    <t xml:space="preserve">D:\Images\20210707\plaque 1/@08tam 30.2µg_L/C8_01.tif </t>
  </si>
  <si>
    <t xml:space="preserve"> 1795.2813 </t>
  </si>
  <si>
    <t xml:space="preserve"> 65.2771 </t>
  </si>
  <si>
    <t xml:space="preserve">D:\Images\20210707\plaque 1/@08tam 30.2µg_L/C8_02.tif </t>
  </si>
  <si>
    <t xml:space="preserve"> 65.4444 </t>
  </si>
  <si>
    <t xml:space="preserve">D:\Images\20210707\plaque 1/@08tam 30.2µg_L/C8_03.tif </t>
  </si>
  <si>
    <t xml:space="preserve"> 63.9375 </t>
  </si>
  <si>
    <t xml:space="preserve">D:\Images\20210707\plaque 1/@08tam 30.2µg_L/D8_01.tif </t>
  </si>
  <si>
    <t xml:space="preserve"> 65.1277 </t>
  </si>
  <si>
    <t xml:space="preserve">D:\Images\20210707\plaque 1/@08tam 30.2µg_L/D8_02.tif </t>
  </si>
  <si>
    <t xml:space="preserve"> 64.2195 </t>
  </si>
  <si>
    <t xml:space="preserve">D:\Images\20210707\plaque 1/@08tam 30.2µg_L/D8_03.tif </t>
  </si>
  <si>
    <t xml:space="preserve"> 64.4766 </t>
  </si>
  <si>
    <t xml:space="preserve">D:\Images\20210707\plaque 1/@08tam 30.2µg_L/E8_01.tif </t>
  </si>
  <si>
    <t xml:space="preserve"> 63.55 </t>
  </si>
  <si>
    <t xml:space="preserve">D:\Images\20210707\plaque 1/@08tam 30.2µg_L/E8_02.tif </t>
  </si>
  <si>
    <t xml:space="preserve"> 62.2308 </t>
  </si>
  <si>
    <t xml:space="preserve">D:\Images\20210707\plaque 1/@08tam 30.2µg_L/E8_03.tif </t>
  </si>
  <si>
    <t xml:space="preserve">D:\Images\20210707\plaque 1/@08tam 30.2µg_L/F8_01.tif </t>
  </si>
  <si>
    <t xml:space="preserve"> 66.008 </t>
  </si>
  <si>
    <t xml:space="preserve">D:\Images\20210707\plaque 1/@08tam 30.2µg_L/F8_02.tif </t>
  </si>
  <si>
    <t xml:space="preserve"> 6813.4168 </t>
  </si>
  <si>
    <t xml:space="preserve"> 68.8127 </t>
  </si>
  <si>
    <t xml:space="preserve">D:\Images\20210707\plaque 1/@08tam 30.2µg_L/F8_03.tif </t>
  </si>
  <si>
    <t xml:space="preserve"> 66.663 </t>
  </si>
  <si>
    <t xml:space="preserve">D:\Images\20210707\plaque 1/@08tam 30.2µg_L/G8_01.tif </t>
  </si>
  <si>
    <t xml:space="preserve"> 2573.9575 </t>
  </si>
  <si>
    <t xml:space="preserve"> 66.4118 </t>
  </si>
  <si>
    <t xml:space="preserve">D:\Images\20210707\plaque 1/@08tam 30.2µg_L/G8_02.tif </t>
  </si>
  <si>
    <t xml:space="preserve"> 7483.9435 </t>
  </si>
  <si>
    <t xml:space="preserve"> 68.2948 </t>
  </si>
  <si>
    <t xml:space="preserve">D:\Images\20210707\plaque 1/@08tam 30.2µg_L/G8_03.tif </t>
  </si>
  <si>
    <t xml:space="preserve"> 68.4455 </t>
  </si>
  <si>
    <t xml:space="preserve">D:\Images\20210707\plaque 1/@08tam 30.2µg_L/H8_01.tif </t>
  </si>
  <si>
    <t xml:space="preserve"> 2855.1461 </t>
  </si>
  <si>
    <t xml:space="preserve"> 65.3636 </t>
  </si>
  <si>
    <t xml:space="preserve">D:\Images\20210707\plaque 1/@08tam 30.2µg_L/H8_02.tif </t>
  </si>
  <si>
    <t xml:space="preserve"> 65.1927 </t>
  </si>
  <si>
    <t xml:space="preserve">D:\Images\20210707\plaque 1/@08tam 30.2µg_L/H8_03.tif </t>
  </si>
  <si>
    <t xml:space="preserve"> 65.9483 </t>
  </si>
  <si>
    <t xml:space="preserve">D:\Images\20210707\plaque 1/@08tam 30.2µg_L/ </t>
  </si>
  <si>
    <t xml:space="preserve"> 65.215 </t>
  </si>
  <si>
    <t xml:space="preserve"> 1.7876 </t>
  </si>
  <si>
    <t xml:space="preserve"> 137495.875 </t>
  </si>
  <si>
    <t xml:space="preserve"> 136918.356 </t>
  </si>
  <si>
    <t xml:space="preserve">D:\Images\20210707\plaque 1/@09 tam 60.4µg_L/A9_01.tif </t>
  </si>
  <si>
    <t xml:space="preserve"> 63.5484 </t>
  </si>
  <si>
    <t xml:space="preserve">D:\Images\20210707\plaque 1/@09 tam 60.4µg_L/A9_02.tif </t>
  </si>
  <si>
    <t xml:space="preserve"> 68.8511 </t>
  </si>
  <si>
    <t xml:space="preserve">D:\Images\20210707\plaque 1/@09 tam 60.4µg_L/A9_03.tif </t>
  </si>
  <si>
    <t xml:space="preserve"> 1297.7937 </t>
  </si>
  <si>
    <t xml:space="preserve"> 66.55 </t>
  </si>
  <si>
    <t xml:space="preserve">D:\Images\20210707\plaque 1/@09 tam 60.4µg_L/B9_01.tif </t>
  </si>
  <si>
    <t xml:space="preserve"> 63.2245 </t>
  </si>
  <si>
    <t xml:space="preserve">D:\Images\20210707\plaque 1/@09 tam 60.4µg_L/B9_02.tif </t>
  </si>
  <si>
    <t xml:space="preserve">D:\Images\20210707\plaque 1/@09 tam 60.4µg_L/B9_03.tif </t>
  </si>
  <si>
    <t xml:space="preserve"> 62.7105 </t>
  </si>
  <si>
    <t xml:space="preserve">D:\Images\20210707\plaque 1/@09 tam 60.4µg_L/C9_01.tif </t>
  </si>
  <si>
    <t xml:space="preserve"> 63.04 </t>
  </si>
  <si>
    <t xml:space="preserve">D:\Images\20210707\plaque 1/@09 tam 60.4µg_L/C9_02.tif </t>
  </si>
  <si>
    <t xml:space="preserve"> 2617.2173 </t>
  </si>
  <si>
    <t xml:space="preserve"> 63.1405 </t>
  </si>
  <si>
    <t xml:space="preserve">D:\Images\20210707\plaque 1/@09 tam 60.4µg_L/C9_03.tif </t>
  </si>
  <si>
    <t xml:space="preserve"> 2833.5162 </t>
  </si>
  <si>
    <t xml:space="preserve"> 63.3359 </t>
  </si>
  <si>
    <t xml:space="preserve">D:\Images\20210707\plaque 1/@09 tam 60.4µg_L/D9_01.tif </t>
  </si>
  <si>
    <t xml:space="preserve"> 67.6106 </t>
  </si>
  <si>
    <t xml:space="preserve">D:\Images\20210707\plaque 1/@09 tam 60.4µg_L/D9_02.tif </t>
  </si>
  <si>
    <t xml:space="preserve"> 11009.6164 </t>
  </si>
  <si>
    <t xml:space="preserve"> 72.0904 </t>
  </si>
  <si>
    <t xml:space="preserve">D:\Images\20210707\plaque 1/@09 tam 60.4µg_L/D9_03.tif </t>
  </si>
  <si>
    <t xml:space="preserve"> 10079.5309 </t>
  </si>
  <si>
    <t xml:space="preserve"> 72.1652 </t>
  </si>
  <si>
    <t xml:space="preserve">D:\Images\20210707\plaque 1/@09 tam 60.4µg_L/E9_01.tif </t>
  </si>
  <si>
    <t xml:space="preserve"> 3850.1212 </t>
  </si>
  <si>
    <t xml:space="preserve"> 63.6292 </t>
  </si>
  <si>
    <t xml:space="preserve">D:\Images\20210707\plaque 1/@09 tam 60.4µg_L/E9_02.tif </t>
  </si>
  <si>
    <t xml:space="preserve">D:\Images\20210707\plaque 1/@09 tam 60.4µg_L/E9_03.tif </t>
  </si>
  <si>
    <t xml:space="preserve"> 63.1852 </t>
  </si>
  <si>
    <t xml:space="preserve">D:\Images\20210707\plaque 1/@09 tam 60.4µg_L/F9_01.tif </t>
  </si>
  <si>
    <t xml:space="preserve"> 63.9737 </t>
  </si>
  <si>
    <t xml:space="preserve">D:\Images\20210707\plaque 1/@09 tam 60.4µg_L/F9_02.tif </t>
  </si>
  <si>
    <t xml:space="preserve"> 70.8431 </t>
  </si>
  <si>
    <t xml:space="preserve">D:\Images\20210707\plaque 1/@09 tam 60.4µg_L/F9_03.tif </t>
  </si>
  <si>
    <t xml:space="preserve"> 3655.4522 </t>
  </si>
  <si>
    <t xml:space="preserve"> 66.9408 </t>
  </si>
  <si>
    <t xml:space="preserve">D:\Images\20210707\plaque 1/@09 tam 60.4µg_L/G9_01.tif </t>
  </si>
  <si>
    <t xml:space="preserve"> 63.8462 </t>
  </si>
  <si>
    <t xml:space="preserve">D:\Images\20210707\plaque 1/@09 tam 60.4µg_L/G9_02.tif </t>
  </si>
  <si>
    <t xml:space="preserve"> 63.2609 </t>
  </si>
  <si>
    <t xml:space="preserve">D:\Images\20210707\plaque 1/@09 tam 60.4µg_L/G9_03.tif </t>
  </si>
  <si>
    <t xml:space="preserve"> 66.9259 </t>
  </si>
  <si>
    <t xml:space="preserve">D:\Images\20210707\plaque 1/@09 tam 60.4µg_L/H9_01.tif </t>
  </si>
  <si>
    <t xml:space="preserve"> 63.4138 </t>
  </si>
  <si>
    <t xml:space="preserve">D:\Images\20210707\plaque 1/@09 tam 60.4µg_L/H9_02.tif </t>
  </si>
  <si>
    <t xml:space="preserve"> 65.1486 </t>
  </si>
  <si>
    <t xml:space="preserve">D:\Images\20210707\plaque 1/@09 tam 60.4µg_L/H9_03.tif </t>
  </si>
  <si>
    <t xml:space="preserve"> 1211.2741 </t>
  </si>
  <si>
    <t xml:space="preserve">D:\Images\20210707\plaque 1/@09 tam 60.4µg_L/ </t>
  </si>
  <si>
    <t xml:space="preserve"> 65.3057 </t>
  </si>
  <si>
    <t xml:space="preserve"> 3.0088 </t>
  </si>
  <si>
    <t xml:space="preserve"> 212867.521 </t>
  </si>
  <si>
    <t xml:space="preserve">D:\Images\20210707\plaque 1/@10 tam 121µg_L/A10_01.tif </t>
  </si>
  <si>
    <t xml:space="preserve"> 5558.8829 </t>
  </si>
  <si>
    <t xml:space="preserve"> 67.786 </t>
  </si>
  <si>
    <t xml:space="preserve">D:\Images\20210707\plaque 1/@10 tam 121µg_L/A10_02.tif </t>
  </si>
  <si>
    <t xml:space="preserve">D:\Images\20210707\plaque 1/@10 tam 121µg_L/A10_03.tif </t>
  </si>
  <si>
    <t xml:space="preserve"> 62.4783 </t>
  </si>
  <si>
    <t xml:space="preserve">D:\Images\20210707\plaque 1/@10 tam 121µg_L/B10_01.tif </t>
  </si>
  <si>
    <t xml:space="preserve"> 63.7216 </t>
  </si>
  <si>
    <t xml:space="preserve">D:\Images\20210707\plaque 1/@10 tam 121µg_L/B10_02.tif </t>
  </si>
  <si>
    <t xml:space="preserve"> 63.3415 </t>
  </si>
  <si>
    <t xml:space="preserve">D:\Images\20210707\plaque 1/@10 tam 121µg_L/B10_03.tif </t>
  </si>
  <si>
    <t xml:space="preserve"> 62.5862 </t>
  </si>
  <si>
    <t xml:space="preserve">D:\Images\20210707\plaque 1/@10 tam 121µg_L/C10_01.tif </t>
  </si>
  <si>
    <t xml:space="preserve"> 64.5385 </t>
  </si>
  <si>
    <t xml:space="preserve">D:\Images\20210707\plaque 1/@10 tam 121µg_L/C10_02.tif </t>
  </si>
  <si>
    <t xml:space="preserve"> 4585.5377 </t>
  </si>
  <si>
    <t xml:space="preserve"> 69.4764 </t>
  </si>
  <si>
    <t xml:space="preserve">D:\Images\20210707\plaque 1/@10 tam 121µg_L/C10_03.tif </t>
  </si>
  <si>
    <t xml:space="preserve"> 1535.7225 </t>
  </si>
  <si>
    <t xml:space="preserve"> 64.2817 </t>
  </si>
  <si>
    <t xml:space="preserve">D:\Images\20210707\plaque 1/@10 tam 121µg_L/D10_01.tif </t>
  </si>
  <si>
    <t xml:space="preserve"> 63.8409 </t>
  </si>
  <si>
    <t xml:space="preserve">D:\Images\20210707\plaque 1/@10 tam 121µg_L/D10_02.tif </t>
  </si>
  <si>
    <t xml:space="preserve"> 64.2444 </t>
  </si>
  <si>
    <t xml:space="preserve">D:\Images\20210707\plaque 1/@10 tam 121µg_L/D10_03.tif </t>
  </si>
  <si>
    <t xml:space="preserve"> 66.1765 </t>
  </si>
  <si>
    <t xml:space="preserve">D:\Images\20210707\plaque 1/@10 tam 121µg_L/E10_01.tif </t>
  </si>
  <si>
    <t xml:space="preserve"> 67.5368 </t>
  </si>
  <si>
    <t xml:space="preserve">D:\Images\20210707\plaque 1/@10 tam 121µg_L/E10_02.tif </t>
  </si>
  <si>
    <t xml:space="preserve"> 8111.2105 </t>
  </si>
  <si>
    <t xml:space="preserve"> 68.0187 </t>
  </si>
  <si>
    <t xml:space="preserve">D:\Images\20210707\plaque 1/@10 tam 121µg_L/E10_03.tif </t>
  </si>
  <si>
    <t xml:space="preserve"> 63.4622 </t>
  </si>
  <si>
    <t xml:space="preserve">D:\Images\20210707\plaque 1/@10 tam 121µg_L/F10_01.tif </t>
  </si>
  <si>
    <t xml:space="preserve"> 6445.7086 </t>
  </si>
  <si>
    <t xml:space="preserve"> 64.8557 </t>
  </si>
  <si>
    <t xml:space="preserve">D:\Images\20210707\plaque 1/@10 tam 121µg_L/F10_02.tif </t>
  </si>
  <si>
    <t xml:space="preserve"> 66.0677 </t>
  </si>
  <si>
    <t xml:space="preserve">D:\Images\20210707\plaque 1/@10 tam 121µg_L/F10_03.tif </t>
  </si>
  <si>
    <t xml:space="preserve"> 63.6557 </t>
  </si>
  <si>
    <t xml:space="preserve">D:\Images\20210707\plaque 1/@10 tam 121µg_L/G10_01.tif </t>
  </si>
  <si>
    <t xml:space="preserve"> 65.0674 </t>
  </si>
  <si>
    <t xml:space="preserve">D:\Images\20210707\plaque 1/@10 tam 121µg_L/G10_02.tif </t>
  </si>
  <si>
    <t xml:space="preserve"> 3157.9646 </t>
  </si>
  <si>
    <t xml:space="preserve"> 65.6575 </t>
  </si>
  <si>
    <t xml:space="preserve">D:\Images\20210707\plaque 1/@10 tam 121µg_L/G10_03.tif </t>
  </si>
  <si>
    <t xml:space="preserve"> 1643.872 </t>
  </si>
  <si>
    <t xml:space="preserve"> 63.7895 </t>
  </si>
  <si>
    <t xml:space="preserve">D:\Images\20210707\plaque 1/@10 tam 121µg_L/H10_01.tif </t>
  </si>
  <si>
    <t xml:space="preserve"> 64.2083 </t>
  </si>
  <si>
    <t xml:space="preserve">D:\Images\20210707\plaque 1/@10 tam 121µg_L/H10_02.tif </t>
  </si>
  <si>
    <t xml:space="preserve"> 540.7474 </t>
  </si>
  <si>
    <t xml:space="preserve"> 63.88 </t>
  </si>
  <si>
    <t xml:space="preserve">D:\Images\20210707\plaque 1/@10 tam 121µg_L/H10_03.tif </t>
  </si>
  <si>
    <t xml:space="preserve"> 63.8679 </t>
  </si>
  <si>
    <t xml:space="preserve">D:\Images\20210707\plaque 1/@10 tam 121µg_L/ </t>
  </si>
  <si>
    <t xml:space="preserve"> 64.8298 </t>
  </si>
  <si>
    <t xml:space="preserve"> 1.8212 </t>
  </si>
  <si>
    <t xml:space="preserve"> 178796.292 </t>
  </si>
  <si>
    <t xml:space="preserve"> 160065.957 </t>
  </si>
  <si>
    <t xml:space="preserve">D:\Images\20210707\plaque 1/@11 tam 242µg_L/A11_01.tif </t>
  </si>
  <si>
    <t xml:space="preserve"> 4455.7583 </t>
  </si>
  <si>
    <t xml:space="preserve"> 64.2233 </t>
  </si>
  <si>
    <t xml:space="preserve">D:\Images\20210707\plaque 1/@11 tam 242µg_L/A11_02.tif </t>
  </si>
  <si>
    <t xml:space="preserve"> 5104.6551 </t>
  </si>
  <si>
    <t xml:space="preserve"> 65.0339 </t>
  </si>
  <si>
    <t xml:space="preserve">D:\Images\20210707\plaque 1/@11 tam 242µg_L/A11_03.tif </t>
  </si>
  <si>
    <t xml:space="preserve"> 64.2481 </t>
  </si>
  <si>
    <t xml:space="preserve">D:\Images\20210707\plaque 1/@11 tam 242µg_L/B11_01.tif </t>
  </si>
  <si>
    <t xml:space="preserve"> 1341.0535 </t>
  </si>
  <si>
    <t xml:space="preserve"> 67.0806 </t>
  </si>
  <si>
    <t xml:space="preserve">D:\Images\20210707\plaque 1/@11 tam 242µg_L/B11_02.tif </t>
  </si>
  <si>
    <t xml:space="preserve"> 64.6429 </t>
  </si>
  <si>
    <t xml:space="preserve">D:\Images\20210707\plaque 1/@11 tam 242µg_L/B11_03.tif </t>
  </si>
  <si>
    <t xml:space="preserve">D:\Images\20210707\plaque 1/@11 tam 242µg_L/C11_01.tif </t>
  </si>
  <si>
    <t xml:space="preserve"> 65.0795 </t>
  </si>
  <si>
    <t xml:space="preserve">D:\Images\20210707\plaque 1/@11 tam 242µg_L/C11_02.tif </t>
  </si>
  <si>
    <t xml:space="preserve"> 5537.253 </t>
  </si>
  <si>
    <t xml:space="preserve"> 66.5938 </t>
  </si>
  <si>
    <t xml:space="preserve">D:\Images\20210707\plaque 1/@11 tam 242µg_L/C11_03.tif </t>
  </si>
  <si>
    <t xml:space="preserve"> 65.3358 </t>
  </si>
  <si>
    <t xml:space="preserve">D:\Images\20210707\plaque 1/@11 tam 242µg_L/D11_01.tif </t>
  </si>
  <si>
    <t xml:space="preserve"> 1578.9823 </t>
  </si>
  <si>
    <t xml:space="preserve"> 66.863 </t>
  </si>
  <si>
    <t xml:space="preserve">D:\Images\20210707\plaque 1/@11 tam 242µg_L/D11_02.tif </t>
  </si>
  <si>
    <t xml:space="preserve"> 62.5625 </t>
  </si>
  <si>
    <t xml:space="preserve">D:\Images\20210707\plaque 1/@11 tam 242µg_L/D11_03.tif </t>
  </si>
  <si>
    <t xml:space="preserve"> 61.7407 </t>
  </si>
  <si>
    <t xml:space="preserve">D:\Images\20210707\plaque 1/@11 tam 242µg_L/E11_01.tif </t>
  </si>
  <si>
    <t xml:space="preserve"> 66.0495 </t>
  </si>
  <si>
    <t xml:space="preserve">D:\Images\20210707\plaque 1/@11 tam 242µg_L/E11_02.tif </t>
  </si>
  <si>
    <t xml:space="preserve"> 62.8545 </t>
  </si>
  <si>
    <t xml:space="preserve">D:\Images\20210707\plaque 1/@11 tam 242µg_L/E11_03.tif </t>
  </si>
  <si>
    <t xml:space="preserve"> 4909.9861 </t>
  </si>
  <si>
    <t xml:space="preserve"> 64.5066 </t>
  </si>
  <si>
    <t>D:\Images\20210707\plaque 1/@11 tam 242µg_L/F11_01- exclu.tif</t>
  </si>
  <si>
    <t xml:space="preserve">D:\Images\20210707\plaque 1/@11 tam 242µg_L/F11_02.tif </t>
  </si>
  <si>
    <t xml:space="preserve"> 10144.4206 </t>
  </si>
  <si>
    <t xml:space="preserve"> 69.3966 </t>
  </si>
  <si>
    <t>D:\Images\20210707\plaque 1/@11 tam 242µg_L/F11_03- exclu.tif</t>
  </si>
  <si>
    <t xml:space="preserve">D:\Images\20210707\plaque 1/@11 tam 242µg_L/G11_01.tif </t>
  </si>
  <si>
    <t xml:space="preserve">D:\Images\20210707\plaque 1/@11 tam 242µg_L/G11_02.tif </t>
  </si>
  <si>
    <t xml:space="preserve"> 1124.7545 </t>
  </si>
  <si>
    <t xml:space="preserve"> 63.1538 </t>
  </si>
  <si>
    <t xml:space="preserve">D:\Images\20210707\plaque 1/@11 tam 242µg_L/G11_03.tif </t>
  </si>
  <si>
    <t xml:space="preserve"> 63.9811 </t>
  </si>
  <si>
    <t xml:space="preserve">D:\Images\20210707\plaque 1/@11 tam 242µg_L/H11_01.tif </t>
  </si>
  <si>
    <t xml:space="preserve"> 3136.3347 </t>
  </si>
  <si>
    <t xml:space="preserve"> 68.1241 </t>
  </si>
  <si>
    <t xml:space="preserve">D:\Images\20210707\plaque 1/@11 tam 242µg_L/H11_02.tif </t>
  </si>
  <si>
    <t xml:space="preserve"> 67.913 </t>
  </si>
  <si>
    <t xml:space="preserve">D:\Images\20210707\plaque 1/@11 tam 242µg_L/H11_03.tif </t>
  </si>
  <si>
    <t xml:space="preserve"> 70.2273 </t>
  </si>
  <si>
    <t xml:space="preserve">D:\Images\20210707\plaque 1/@11 tam 242µg_L/ </t>
  </si>
  <si>
    <t xml:space="preserve"> 65.22 </t>
  </si>
  <si>
    <t xml:space="preserve"> 2.1891 </t>
  </si>
  <si>
    <t xml:space="preserve"> 193880.625 </t>
  </si>
  <si>
    <t xml:space="preserve"> 165992.868 </t>
  </si>
  <si>
    <t xml:space="preserve">D:\Images\20210707\plaque 1/@12 tam 483µg_L/A12_01.tif </t>
  </si>
  <si>
    <t xml:space="preserve"> 17476.9549 </t>
  </si>
  <si>
    <t xml:space="preserve"> 67.5198 </t>
  </si>
  <si>
    <t xml:space="preserve">D:\Images\20210707\plaque 1/@12 tam 483µg_L/A12_02.tif </t>
  </si>
  <si>
    <t xml:space="preserve"> 12307.41 </t>
  </si>
  <si>
    <t xml:space="preserve"> 66.7399 </t>
  </si>
  <si>
    <t xml:space="preserve">D:\Images\20210707\plaque 1/@12 tam 483µg_L/A12_03.tif </t>
  </si>
  <si>
    <t xml:space="preserve"> 13064.4564 </t>
  </si>
  <si>
    <t xml:space="preserve"> 65.7732 </t>
  </si>
  <si>
    <t xml:space="preserve">D:\Images\20210707\plaque 1/@12 tam 483µg_L/B12_01.tif </t>
  </si>
  <si>
    <t xml:space="preserve"> 15011.1469 </t>
  </si>
  <si>
    <t xml:space="preserve"> 65.0418 </t>
  </si>
  <si>
    <t xml:space="preserve">D:\Images\20210707\plaque 1/@12 tam 483µg_L/B12_02.tif </t>
  </si>
  <si>
    <t xml:space="preserve"> 14946.2572 </t>
  </si>
  <si>
    <t xml:space="preserve"> 66.932 </t>
  </si>
  <si>
    <t xml:space="preserve">D:\Images\20210707\plaque 1/@12 tam 483µg_L/B12_03.tif </t>
  </si>
  <si>
    <t xml:space="preserve"> 15876.3427 </t>
  </si>
  <si>
    <t xml:space="preserve"> 64.846 </t>
  </si>
  <si>
    <t xml:space="preserve">D:\Images\20210707\plaque 1/@12 tam 483µg_L/C12_01.tif </t>
  </si>
  <si>
    <t xml:space="preserve"> 24960.8984 </t>
  </si>
  <si>
    <t xml:space="preserve"> 65.3284 </t>
  </si>
  <si>
    <t xml:space="preserve">D:\Images\20210707\plaque 1/@12 tam 483µg_L/C12_02.tif </t>
  </si>
  <si>
    <t xml:space="preserve"> 24268.7418 </t>
  </si>
  <si>
    <t xml:space="preserve"> 66.2531 </t>
  </si>
  <si>
    <t xml:space="preserve">D:\Images\20210707\plaque 1/@12 tam 483µg_L/C12_03.tif </t>
  </si>
  <si>
    <t xml:space="preserve"> 24982.5283 </t>
  </si>
  <si>
    <t xml:space="preserve"> 67.4693 </t>
  </si>
  <si>
    <t xml:space="preserve">D:\Images\20210707\plaque 1/@12 tam 483µg_L/D12_01.tif </t>
  </si>
  <si>
    <t xml:space="preserve"> 63.6886 </t>
  </si>
  <si>
    <t xml:space="preserve">D:\Images\20210707\plaque 1/@12 tam 483µg_L/D12_02.tif </t>
  </si>
  <si>
    <t xml:space="preserve"> 62.7778 </t>
  </si>
  <si>
    <t xml:space="preserve">D:\Images\20210707\plaque 1/@12 tam 483µg_L/D12_03.tif </t>
  </si>
  <si>
    <t xml:space="preserve"> 2162.9895 </t>
  </si>
  <si>
    <t xml:space="preserve"> 63.49 </t>
  </si>
  <si>
    <t xml:space="preserve">D:\Images\20210707\plaque 1/@12 tam 483µg_L/E12_01.tif </t>
  </si>
  <si>
    <t xml:space="preserve"> 12004.5915 </t>
  </si>
  <si>
    <t xml:space="preserve"> 65.4937 </t>
  </si>
  <si>
    <t xml:space="preserve">D:\Images\20210707\plaque 1/@12 tam 483µg_L/E12_02.tif </t>
  </si>
  <si>
    <t xml:space="preserve"> 64.0667 </t>
  </si>
  <si>
    <t xml:space="preserve">D:\Images\20210707\plaque 1/@12 tam 483µg_L/E12_03.tif </t>
  </si>
  <si>
    <t xml:space="preserve"> 9257.5949 </t>
  </si>
  <si>
    <t xml:space="preserve"> 65.0187 </t>
  </si>
  <si>
    <t xml:space="preserve">D:\Images\20210707\plaque 1/@12 tam 483µg_L/F12_01.tif </t>
  </si>
  <si>
    <t xml:space="preserve"> 66.05 </t>
  </si>
  <si>
    <t xml:space="preserve">D:\Images\20210707\plaque 1/@12 tam 483µg_L/F12_02.tif </t>
  </si>
  <si>
    <t xml:space="preserve"> 8024.6909 </t>
  </si>
  <si>
    <t xml:space="preserve"> 69.1186 </t>
  </si>
  <si>
    <t xml:space="preserve">D:\Images\20210707\plaque 1/@12 tam 483µg_L/F12_03.tif </t>
  </si>
  <si>
    <t xml:space="preserve"> 64.7257 </t>
  </si>
  <si>
    <t xml:space="preserve">D:\Images\20210707\plaque 1/@12 tam 483µg_L/G12_01.tif </t>
  </si>
  <si>
    <t xml:space="preserve"> 64.9499 </t>
  </si>
  <si>
    <t xml:space="preserve">D:\Images\20210707\plaque 1/@12 tam 483µg_L/G12_02.tif </t>
  </si>
  <si>
    <t xml:space="preserve"> 11680.1431 </t>
  </si>
  <si>
    <t xml:space="preserve"> 66.2037 </t>
  </si>
  <si>
    <t xml:space="preserve">D:\Images\20210707\plaque 1/@12 tam 483µg_L/G12_03.tif </t>
  </si>
  <si>
    <t xml:space="preserve"> 62.7436 </t>
  </si>
  <si>
    <t xml:space="preserve">D:\Images\20210707\plaque 1/@12 tam 483µg_L/H12_01.tif </t>
  </si>
  <si>
    <t xml:space="preserve"> 12156.0008 </t>
  </si>
  <si>
    <t xml:space="preserve"> 73.2456 </t>
  </si>
  <si>
    <t xml:space="preserve">D:\Images\20210707\plaque 1/@12 tam 483µg_L/H12_02.tif </t>
  </si>
  <si>
    <t xml:space="preserve"> 12653.4884 </t>
  </si>
  <si>
    <t xml:space="preserve"> 64.9675 </t>
  </si>
  <si>
    <t xml:space="preserve">D:\Images\20210707\plaque 1/@12 tam 483µg_L/H12_03.tif </t>
  </si>
  <si>
    <t xml:space="preserve"> 63.8926 </t>
  </si>
  <si>
    <t xml:space="preserve">D:\Images\20210707\plaque 1/@12 tam 483µg_L/ </t>
  </si>
  <si>
    <t xml:space="preserve"> 65.6807 </t>
  </si>
  <si>
    <t xml:space="preserve"> 2.2297 </t>
  </si>
  <si>
    <t xml:space="preserve"> 727185.375 </t>
  </si>
  <si>
    <t xml:space="preserve"> 486503.222 </t>
  </si>
  <si>
    <t xml:space="preserve">D:\Images\20210707\plaque 2/@01 testo 30/A1_01.tif </t>
  </si>
  <si>
    <t xml:space="preserve"> 37008.7497 </t>
  </si>
  <si>
    <t xml:space="preserve"> 69.8609 </t>
  </si>
  <si>
    <t xml:space="preserve">D:\Images\20210707\plaque 2/@01 testo 30/A1_02.tif </t>
  </si>
  <si>
    <t xml:space="preserve"> 37268.3084 </t>
  </si>
  <si>
    <t xml:space="preserve"> 69.9617 </t>
  </si>
  <si>
    <t xml:space="preserve">D:\Images\20210707\plaque 2/@01 testo 30/A1_03.tif </t>
  </si>
  <si>
    <t xml:space="preserve"> 36597.7817 </t>
  </si>
  <si>
    <t xml:space="preserve"> 70.0118 </t>
  </si>
  <si>
    <t xml:space="preserve">D:\Images\20210707\plaque 2/@01 testo 30/B1_01.tif </t>
  </si>
  <si>
    <t xml:space="preserve"> 36857.3404 </t>
  </si>
  <si>
    <t xml:space="preserve"> 71.6092 </t>
  </si>
  <si>
    <t xml:space="preserve">D:\Images\20210707\plaque 2/@01 testo 30/B1_02.tif </t>
  </si>
  <si>
    <t xml:space="preserve"> 42351.3337 </t>
  </si>
  <si>
    <t xml:space="preserve"> 73.2421 </t>
  </si>
  <si>
    <t xml:space="preserve">D:\Images\20210707\plaque 2/@01 testo 30/B1_03.tif </t>
  </si>
  <si>
    <t xml:space="preserve"> 70.6726 </t>
  </si>
  <si>
    <t xml:space="preserve">D:\Images\20210707\plaque 2/@01 testo 30/C1_01.tif </t>
  </si>
  <si>
    <t xml:space="preserve"> 22970.9481 </t>
  </si>
  <si>
    <t xml:space="preserve"> 71.1525 </t>
  </si>
  <si>
    <t xml:space="preserve">D:\Images\20210707\plaque 2/@01 testo 30/C1_02.tif </t>
  </si>
  <si>
    <t xml:space="preserve"> 19207.3464 </t>
  </si>
  <si>
    <t xml:space="preserve"> 69.2196 </t>
  </si>
  <si>
    <t xml:space="preserve">D:\Images\20210707\plaque 2/@01 testo 30/C1_03.tif </t>
  </si>
  <si>
    <t xml:space="preserve"> 19942.7628 </t>
  </si>
  <si>
    <t xml:space="preserve"> 69.4436 </t>
  </si>
  <si>
    <t xml:space="preserve">D:\Images\20210707\plaque 2/@01 testo 30/D1_01.tif </t>
  </si>
  <si>
    <t xml:space="preserve"> 38868.9206 </t>
  </si>
  <si>
    <t xml:space="preserve"> 71.7045 </t>
  </si>
  <si>
    <t xml:space="preserve">D:\Images\20210707\plaque 2/@01 testo 30/D1_02.tif </t>
  </si>
  <si>
    <t xml:space="preserve"> 39193.3691 </t>
  </si>
  <si>
    <t xml:space="preserve"> 71.0094 </t>
  </si>
  <si>
    <t xml:space="preserve">D:\Images\20210707\plaque 2/@01 testo 30/D1_03.tif </t>
  </si>
  <si>
    <t xml:space="preserve"> 41702.4368 </t>
  </si>
  <si>
    <t xml:space="preserve"> 70.3268 </t>
  </si>
  <si>
    <t xml:space="preserve">D:\Images\20210707\plaque 2/@01 testo 30/E1_01.tif </t>
  </si>
  <si>
    <t xml:space="preserve"> 57578.7795 </t>
  </si>
  <si>
    <t xml:space="preserve"> 70.2141 </t>
  </si>
  <si>
    <t xml:space="preserve">D:\Images\20210707\plaque 2/@01 testo 30/E1_02.tif </t>
  </si>
  <si>
    <t xml:space="preserve"> 51133.0709 </t>
  </si>
  <si>
    <t xml:space="preserve"> 71.9425 </t>
  </si>
  <si>
    <t xml:space="preserve">D:\Images\20210707\plaque 2/@01 testo 30/E1_03.tif </t>
  </si>
  <si>
    <t xml:space="preserve"> 52712.0532 </t>
  </si>
  <si>
    <t xml:space="preserve"> 72.3192 </t>
  </si>
  <si>
    <t xml:space="preserve">D:\Images\20210707\plaque 2/@01 testo 30/F1_01.tif </t>
  </si>
  <si>
    <t xml:space="preserve"> 31233.5678 </t>
  </si>
  <si>
    <t xml:space="preserve"> 69.3165 </t>
  </si>
  <si>
    <t xml:space="preserve">D:\Images\20210707\plaque 2/@01 testo 30/F1_02.tif </t>
  </si>
  <si>
    <t xml:space="preserve"> 27080.6281 </t>
  </si>
  <si>
    <t xml:space="preserve"> 68.0511 </t>
  </si>
  <si>
    <t xml:space="preserve">D:\Images\20210707\plaque 2/@01 testo 30/F1_03.tif </t>
  </si>
  <si>
    <t xml:space="preserve"> 26821.0693 </t>
  </si>
  <si>
    <t xml:space="preserve"> 72.1879 </t>
  </si>
  <si>
    <t xml:space="preserve">D:\Images\20210707\plaque 2/@01 testo 30/G1_01.tif </t>
  </si>
  <si>
    <t xml:space="preserve"> 14643.4387 </t>
  </si>
  <si>
    <t xml:space="preserve"> 65.3693 </t>
  </si>
  <si>
    <t xml:space="preserve">D:\Images\20210707\plaque 2/@01 testo 30/G1_02.tif </t>
  </si>
  <si>
    <t xml:space="preserve"> 65.3328 </t>
  </si>
  <si>
    <t xml:space="preserve">D:\Images\20210707\plaque 2/@01 testo 30/G1_03.tif </t>
  </si>
  <si>
    <t xml:space="preserve"> 64.5201 </t>
  </si>
  <si>
    <t xml:space="preserve">D:\Images\20210707\plaque 2/@01 testo 30/H1_01.tif </t>
  </si>
  <si>
    <t xml:space="preserve"> 20007.6525 </t>
  </si>
  <si>
    <t xml:space="preserve">D:\Images\20210707\plaque 2/@01 testo 30/H1_02.tif </t>
  </si>
  <si>
    <t xml:space="preserve"> 16763.1683 </t>
  </si>
  <si>
    <t xml:space="preserve"> 71.2052 </t>
  </si>
  <si>
    <t xml:space="preserve">D:\Images\20210707\plaque 2/@01 testo 30/H1_03.tif </t>
  </si>
  <si>
    <t xml:space="preserve"> 14081.0614 </t>
  </si>
  <si>
    <t xml:space="preserve"> 71.3349 </t>
  </si>
  <si>
    <t xml:space="preserve">D:\Images\20210707\plaque 2/@01 testo 30/ </t>
  </si>
  <si>
    <t xml:space="preserve"> 70.064 </t>
  </si>
  <si>
    <t xml:space="preserve"> 2.2538 </t>
  </si>
  <si>
    <t xml:space="preserve"> 2207373.08 </t>
  </si>
  <si>
    <t xml:space="preserve"> 978763.713 </t>
  </si>
  <si>
    <t xml:space="preserve">D:\Images\20210707\plaque 2/@02 testo 30/A2_01.tif </t>
  </si>
  <si>
    <t xml:space="preserve"> 69.594 </t>
  </si>
  <si>
    <t xml:space="preserve">D:\Images\20210707\plaque 2/@02 testo 30/A2_02.tif </t>
  </si>
  <si>
    <t xml:space="preserve"> 68.832 </t>
  </si>
  <si>
    <t xml:space="preserve">D:\Images\20210707\plaque 2/@02 testo 30/A2_03.tif </t>
  </si>
  <si>
    <t xml:space="preserve"> 31428.2369 </t>
  </si>
  <si>
    <t xml:space="preserve"> 68.9738 </t>
  </si>
  <si>
    <t xml:space="preserve">D:\Images\20210707\plaque 2/@02 testo 30/B2_01.tif </t>
  </si>
  <si>
    <t xml:space="preserve"> 13021.1966 </t>
  </si>
  <si>
    <t xml:space="preserve"> 70.8272 </t>
  </si>
  <si>
    <t xml:space="preserve">D:\Images\20210707\plaque 2/@02 testo 30/B2_02.tif </t>
  </si>
  <si>
    <t xml:space="preserve"> 12480.4492 </t>
  </si>
  <si>
    <t xml:space="preserve"> 69.8752 </t>
  </si>
  <si>
    <t xml:space="preserve">D:\Images\20210707\plaque 2/@02 testo 30/B2_03.tif </t>
  </si>
  <si>
    <t xml:space="preserve"> 63.7805 </t>
  </si>
  <si>
    <t xml:space="preserve">D:\Images\20210707\plaque 2/@02 testo 30/C2_01.tif </t>
  </si>
  <si>
    <t xml:space="preserve"> 28183.7527 </t>
  </si>
  <si>
    <t xml:space="preserve"> 69.7314 </t>
  </si>
  <si>
    <t xml:space="preserve">D:\Images\20210707\plaque 2/@02 testo 30/C2_02.tif </t>
  </si>
  <si>
    <t xml:space="preserve"> 30887.4895 </t>
  </si>
  <si>
    <t xml:space="preserve"> 73.8543 </t>
  </si>
  <si>
    <t xml:space="preserve">D:\Images\20210707\plaque 2/@02 testo 30/C2_03.tif </t>
  </si>
  <si>
    <t xml:space="preserve"> 67.1637 </t>
  </si>
  <si>
    <t>D:\Images\20210707\plaque 2/@02 testo 30/D2_01- exclu.tif</t>
  </si>
  <si>
    <t xml:space="preserve">D:\Images\20210707\plaque 2/@02 testo 30/D2_02.tif </t>
  </si>
  <si>
    <t xml:space="preserve"> 41140.0596 </t>
  </si>
  <si>
    <t xml:space="preserve"> 70.5478 </t>
  </si>
  <si>
    <t>D:\Images\20210707\plaque 2/@02 testo 30/D2_03- exclu.tif</t>
  </si>
  <si>
    <t xml:space="preserve">D:\Images\20210707\plaque 2/@02 testo 30/E2_01.tif </t>
  </si>
  <si>
    <t xml:space="preserve"> 64.7729 </t>
  </si>
  <si>
    <t xml:space="preserve">D:\Images\20210707\plaque 2/@02 testo 30/E2_02.tif </t>
  </si>
  <si>
    <t xml:space="preserve"> 16611.7591 </t>
  </si>
  <si>
    <t xml:space="preserve"> 65.1432 </t>
  </si>
  <si>
    <t xml:space="preserve">D:\Images\20210707\plaque 2/@02 testo 30/E2_03.tif </t>
  </si>
  <si>
    <t xml:space="preserve"> 19661.5742 </t>
  </si>
  <si>
    <t xml:space="preserve"> 65.4048 </t>
  </si>
  <si>
    <t xml:space="preserve">D:\Images\20210707\plaque 2/@02 testo 30/F2_01.tif </t>
  </si>
  <si>
    <t xml:space="preserve"> 39063.5897 </t>
  </si>
  <si>
    <t xml:space="preserve"> 70.4452 </t>
  </si>
  <si>
    <t>D:\Images\20210707\plaque 2/@02 testo 30/F2_02- exclu.tif</t>
  </si>
  <si>
    <t xml:space="preserve">D:\Images\20210707\plaque 2/@02 testo 30/F2_03.tif </t>
  </si>
  <si>
    <t xml:space="preserve"> 36446.3724 </t>
  </si>
  <si>
    <t xml:space="preserve"> 69.3478 </t>
  </si>
  <si>
    <t xml:space="preserve">D:\Images\20210707\plaque 2/@02 testo 30/G2_01.tif </t>
  </si>
  <si>
    <t xml:space="preserve"> 72.3259 </t>
  </si>
  <si>
    <t xml:space="preserve">D:\Images\20210707\plaque 2/@02 testo 30/G2_02.tif </t>
  </si>
  <si>
    <t xml:space="preserve"> 47477.6187 </t>
  </si>
  <si>
    <t xml:space="preserve"> 71.3708 </t>
  </si>
  <si>
    <t xml:space="preserve">D:\Images\20210707\plaque 2/@02 testo 30/G2_03.tif </t>
  </si>
  <si>
    <t xml:space="preserve"> 43411.1985 </t>
  </si>
  <si>
    <t xml:space="preserve"> 73.5974 </t>
  </si>
  <si>
    <t xml:space="preserve">D:\Images\20210707\plaque 2/@02 testo 30/H2_01.tif </t>
  </si>
  <si>
    <t xml:space="preserve"> 55913.2776 </t>
  </si>
  <si>
    <t xml:space="preserve"> 74.087 </t>
  </si>
  <si>
    <t xml:space="preserve">D:\Images\20210707\plaque 2/@02 testo 30/H2_02.tif </t>
  </si>
  <si>
    <t xml:space="preserve"> 50657.2132 </t>
  </si>
  <si>
    <t xml:space="preserve"> 79.0051 </t>
  </si>
  <si>
    <t xml:space="preserve">D:\Images\20210707\plaque 2/@02 testo 30/H2_03.tif </t>
  </si>
  <si>
    <t xml:space="preserve"> 49640.6082 </t>
  </si>
  <si>
    <t xml:space="preserve"> 77.1765 </t>
  </si>
  <si>
    <t xml:space="preserve">D:\Images\20210707\plaque 2/@02 testo 30/ </t>
  </si>
  <si>
    <t xml:space="preserve"> 70.3541 </t>
  </si>
  <si>
    <t xml:space="preserve"> 3.6848 </t>
  </si>
  <si>
    <t xml:space="preserve"> 2305560.21 </t>
  </si>
  <si>
    <t xml:space="preserve"> 1116360.02 </t>
  </si>
  <si>
    <t xml:space="preserve">D:\Images\20210707\plaque 2/@03Testo + EE2 64/A3_01.tif </t>
  </si>
  <si>
    <t xml:space="preserve"> 26128.9127 </t>
  </si>
  <si>
    <t xml:space="preserve"> 76.2964 </t>
  </si>
  <si>
    <t xml:space="preserve">D:\Images\20210707\plaque 2/@03Testo + EE2 64/A3_02.tif </t>
  </si>
  <si>
    <t xml:space="preserve"> 24766.2294 </t>
  </si>
  <si>
    <t xml:space="preserve"> 73.9956 </t>
  </si>
  <si>
    <t xml:space="preserve">D:\Images\20210707\plaque 2/@03Testo + EE2 64/A3_03.tif </t>
  </si>
  <si>
    <t xml:space="preserve"> 32315.0626 </t>
  </si>
  <si>
    <t xml:space="preserve"> 72.2805 </t>
  </si>
  <si>
    <t xml:space="preserve">D:\Images\20210707\plaque 2/@03Testo + EE2 64/B3_01.tif </t>
  </si>
  <si>
    <t xml:space="preserve"> 26280.322 </t>
  </si>
  <si>
    <t xml:space="preserve"> 68.786 </t>
  </si>
  <si>
    <t xml:space="preserve">D:\Images\20210707\plaque 2/@03Testo + EE2 64/B3_02.tif </t>
  </si>
  <si>
    <t xml:space="preserve"> 19358.7557 </t>
  </si>
  <si>
    <t xml:space="preserve"> 69.7207 </t>
  </si>
  <si>
    <t xml:space="preserve">D:\Images\20210707\plaque 2/@03Testo + EE2 64/B3_03.tif </t>
  </si>
  <si>
    <t xml:space="preserve"> 24809.4891 </t>
  </si>
  <si>
    <t xml:space="preserve"> 69.5728 </t>
  </si>
  <si>
    <t xml:space="preserve">D:\Images\20210707\plaque 2/@03Testo + EE2 64/C3_01.tif </t>
  </si>
  <si>
    <t xml:space="preserve"> 83.6857 </t>
  </si>
  <si>
    <t xml:space="preserve">D:\Images\20210707\plaque 2/@03Testo + EE2 64/C3_02.tif </t>
  </si>
  <si>
    <t xml:space="preserve"> 46763.8322 </t>
  </si>
  <si>
    <t xml:space="preserve"> 81.5213 </t>
  </si>
  <si>
    <t xml:space="preserve">D:\Images\20210707\plaque 2/@03Testo + EE2 64/C3_03.tif </t>
  </si>
  <si>
    <t xml:space="preserve"> 84.7218 </t>
  </si>
  <si>
    <t xml:space="preserve">D:\Images\20210707\plaque 2/@03Testo + EE2 64/D3_01.tif </t>
  </si>
  <si>
    <t xml:space="preserve"> 54831.7829 </t>
  </si>
  <si>
    <t xml:space="preserve"> 79.544 </t>
  </si>
  <si>
    <t xml:space="preserve">D:\Images\20210707\plaque 2/@03Testo + EE2 64/D3_02.tif </t>
  </si>
  <si>
    <t xml:space="preserve"> 57968.1176 </t>
  </si>
  <si>
    <t xml:space="preserve"> 80.8 </t>
  </si>
  <si>
    <t xml:space="preserve">D:\Images\20210707\plaque 2/@03Testo + EE2 64/D3_03.tif </t>
  </si>
  <si>
    <t xml:space="preserve"> 55502.3096 </t>
  </si>
  <si>
    <t xml:space="preserve"> 80.4864 </t>
  </si>
  <si>
    <t xml:space="preserve">D:\Images\20210707\plaque 2/@03Testo + EE2 64/E3_01.tif </t>
  </si>
  <si>
    <t xml:space="preserve"> 65214.1323 </t>
  </si>
  <si>
    <t xml:space="preserve"> 78.1237 </t>
  </si>
  <si>
    <t xml:space="preserve">D:\Images\20210707\plaque 2/@03Testo + EE2 64/E3_02.tif </t>
  </si>
  <si>
    <t xml:space="preserve"> 56821.7332 </t>
  </si>
  <si>
    <t xml:space="preserve"> 78.3175 </t>
  </si>
  <si>
    <t xml:space="preserve">D:\Images\20210707\plaque 2/@03Testo + EE2 64/E3_03.tif </t>
  </si>
  <si>
    <t xml:space="preserve"> 53079.7614 </t>
  </si>
  <si>
    <t xml:space="preserve"> 76.0232 </t>
  </si>
  <si>
    <t xml:space="preserve">D:\Images\20210707\plaque 2/@03Testo + EE2 64/F3_01.tif </t>
  </si>
  <si>
    <t xml:space="preserve"> 65798.1395 </t>
  </si>
  <si>
    <t xml:space="preserve"> 80.3442 </t>
  </si>
  <si>
    <t xml:space="preserve">D:\Images\20210707\plaque 2/@03Testo + EE2 64/F3_02.tif </t>
  </si>
  <si>
    <t xml:space="preserve"> 65257.3921 </t>
  </si>
  <si>
    <t xml:space="preserve"> 81.2227 </t>
  </si>
  <si>
    <t xml:space="preserve">D:\Images\20210707\plaque 2/@03Testo + EE2 64/F3_03.tif </t>
  </si>
  <si>
    <t xml:space="preserve"> 80.7206 </t>
  </si>
  <si>
    <t xml:space="preserve">D:\Images\20210707\plaque 2/@03Testo + EE2 64/G3_01.tif </t>
  </si>
  <si>
    <t xml:space="preserve"> 77651.3217 </t>
  </si>
  <si>
    <t xml:space="preserve"> 76.8738 </t>
  </si>
  <si>
    <t xml:space="preserve">D:\Images\20210707\plaque 2/@03Testo + EE2 64/G3_02.tif </t>
  </si>
  <si>
    <t xml:space="preserve"> 66144.2178 </t>
  </si>
  <si>
    <t xml:space="preserve"> 75.9019 </t>
  </si>
  <si>
    <t xml:space="preserve">D:\Images\20210707\plaque 2/@03Testo + EE2 64/G3_03.tif </t>
  </si>
  <si>
    <t xml:space="preserve"> 70275.5276 </t>
  </si>
  <si>
    <t xml:space="preserve"> 75.5171 </t>
  </si>
  <si>
    <t xml:space="preserve">D:\Images\20210707\plaque 2/@03Testo + EE2 64/H3_01.tif </t>
  </si>
  <si>
    <t xml:space="preserve"> 42308.0739 </t>
  </si>
  <si>
    <t xml:space="preserve"> 73.8655 </t>
  </si>
  <si>
    <t xml:space="preserve">D:\Images\20210707\plaque 2/@03Testo + EE2 64/H3_02.tif </t>
  </si>
  <si>
    <t xml:space="preserve"> 42567.6326 </t>
  </si>
  <si>
    <t xml:space="preserve"> 75.0833 </t>
  </si>
  <si>
    <t xml:space="preserve">D:\Images\20210707\plaque 2/@03Testo + EE2 64/H3_03.tif </t>
  </si>
  <si>
    <t xml:space="preserve"> 42329.7038 </t>
  </si>
  <si>
    <t xml:space="preserve"> 76.1829 </t>
  </si>
  <si>
    <t xml:space="preserve">D:\Images\20210707\plaque 2/@03Testo + EE2 64/ </t>
  </si>
  <si>
    <t xml:space="preserve"> 77.0662 </t>
  </si>
  <si>
    <t xml:space="preserve"> 4.3215 </t>
  </si>
  <si>
    <t xml:space="preserve"> 3785528.08 </t>
  </si>
  <si>
    <t xml:space="preserve"> 1383458.34 </t>
  </si>
  <si>
    <t xml:space="preserve">D:\Images\20210707\plaque 2/@04 Testo +FAD/A4_01.tif </t>
  </si>
  <si>
    <t xml:space="preserve"> 10555.3886 </t>
  </si>
  <si>
    <t xml:space="preserve"> 66.3053 </t>
  </si>
  <si>
    <t xml:space="preserve">D:\Images\20210707\plaque 2/@04 Testo +FAD/A4_02.tif </t>
  </si>
  <si>
    <t xml:space="preserve"> 64.1497 </t>
  </si>
  <si>
    <t xml:space="preserve">D:\Images\20210707\plaque 2/@04 Testo +FAD/A4_03.tif </t>
  </si>
  <si>
    <t xml:space="preserve"> 5191.1747 </t>
  </si>
  <si>
    <t xml:space="preserve"> 64.175 </t>
  </si>
  <si>
    <t xml:space="preserve">D:\Images\20210707\plaque 2/@04 Testo +FAD/B4_01.tif </t>
  </si>
  <si>
    <t xml:space="preserve"> 63.875 </t>
  </si>
  <si>
    <t xml:space="preserve">D:\Images\20210707\plaque 2/@04 Testo +FAD/B4_02.tif </t>
  </si>
  <si>
    <t xml:space="preserve"> 65.8621 </t>
  </si>
  <si>
    <t xml:space="preserve">D:\Images\20210707\plaque 2/@04 Testo +FAD/B4_03.tif </t>
  </si>
  <si>
    <t xml:space="preserve"> 66.3438 </t>
  </si>
  <si>
    <t xml:space="preserve">D:\Images\20210707\plaque 2/@04 Testo +FAD/C4_01.tif </t>
  </si>
  <si>
    <t xml:space="preserve"> 66.5465 </t>
  </si>
  <si>
    <t xml:space="preserve">D:\Images\20210707\plaque 2/@04 Testo +FAD/C4_02.tif </t>
  </si>
  <si>
    <t xml:space="preserve"> 66.1469 </t>
  </si>
  <si>
    <t xml:space="preserve">D:\Images\20210707\plaque 2/@04 Testo +FAD/C4_03.tif </t>
  </si>
  <si>
    <t xml:space="preserve">D:\Images\20210707\plaque 2/@04 Testo +FAD/D4_01.tif </t>
  </si>
  <si>
    <t xml:space="preserve"> 64.4889 </t>
  </si>
  <si>
    <t xml:space="preserve">D:\Images\20210707\plaque 2/@04 Testo +FAD/D4_02.tif </t>
  </si>
  <si>
    <t xml:space="preserve"> 648.8968 </t>
  </si>
  <si>
    <t xml:space="preserve"> 63.8333 </t>
  </si>
  <si>
    <t xml:space="preserve">D:\Images\20210707\plaque 2/@04 Testo +FAD/D4_03.tif </t>
  </si>
  <si>
    <t xml:space="preserve"> 66.2131 </t>
  </si>
  <si>
    <t xml:space="preserve">D:\Images\20210707\plaque 2/@04 Testo +FAD/E4_01.tif </t>
  </si>
  <si>
    <t xml:space="preserve"> 70.0925 </t>
  </si>
  <si>
    <t xml:space="preserve">D:\Images\20210707\plaque 2/@04 Testo +FAD/E4_02.tif </t>
  </si>
  <si>
    <t xml:space="preserve"> 5904.9612 </t>
  </si>
  <si>
    <t xml:space="preserve"> 67.7656 </t>
  </si>
  <si>
    <t xml:space="preserve">D:\Images\20210707\plaque 2/@04 Testo +FAD/E4_03.tif </t>
  </si>
  <si>
    <t xml:space="preserve"> 63.3333 </t>
  </si>
  <si>
    <t xml:space="preserve">D:\Images\20210707\plaque 2/@04 Testo +FAD/F4_01.tif </t>
  </si>
  <si>
    <t xml:space="preserve"> 62.25 </t>
  </si>
  <si>
    <t xml:space="preserve">D:\Images\20210707\plaque 2/@04 Testo +FAD/F4_02.tif </t>
  </si>
  <si>
    <t xml:space="preserve"> 64.75 </t>
  </si>
  <si>
    <t xml:space="preserve">D:\Images\20210707\plaque 2/@04 Testo +FAD/F4_03.tif </t>
  </si>
  <si>
    <t xml:space="preserve"> 65.8333 </t>
  </si>
  <si>
    <t xml:space="preserve">D:\Images\20210707\plaque 2/@04 Testo +FAD/G4_01.tif </t>
  </si>
  <si>
    <t xml:space="preserve"> 65.8746 </t>
  </si>
  <si>
    <t xml:space="preserve">D:\Images\20210707\plaque 2/@04 Testo +FAD/G4_02.tif </t>
  </si>
  <si>
    <t xml:space="preserve"> 3071.445 </t>
  </si>
  <si>
    <t xml:space="preserve"> 65.7113 </t>
  </si>
  <si>
    <t xml:space="preserve">D:\Images\20210707\plaque 2/@04 Testo +FAD/G4_03.tif </t>
  </si>
  <si>
    <t xml:space="preserve"> 9019.6661 </t>
  </si>
  <si>
    <t xml:space="preserve"> 68.1942 </t>
  </si>
  <si>
    <t xml:space="preserve">D:\Images\20210707\plaque 2/@04 Testo +FAD/H4_01.tif </t>
  </si>
  <si>
    <t xml:space="preserve"> 65.5088 </t>
  </si>
  <si>
    <t xml:space="preserve">D:\Images\20210707\plaque 2/@04 Testo +FAD/H4_02.tif </t>
  </si>
  <si>
    <t xml:space="preserve"> 64.5882 </t>
  </si>
  <si>
    <t xml:space="preserve">D:\Images\20210707\plaque 2/@04 Testo +FAD/H4_03.tif </t>
  </si>
  <si>
    <t xml:space="preserve"> 64.4286 </t>
  </si>
  <si>
    <t xml:space="preserve">D:\Images\20210707\plaque 2/@04 Testo +FAD/ </t>
  </si>
  <si>
    <t xml:space="preserve"> 65.4487 </t>
  </si>
  <si>
    <t xml:space="preserve"> 1.6946 </t>
  </si>
  <si>
    <t xml:space="preserve"> 192612.375 </t>
  </si>
  <si>
    <t xml:space="preserve"> 189617.546 </t>
  </si>
  <si>
    <t xml:space="preserve">D:\Images\20210707\plaque 2/@05 tam 30.2 + testo/A5_01.tif </t>
  </si>
  <si>
    <t xml:space="preserve"> 43887.0562 </t>
  </si>
  <si>
    <t xml:space="preserve"> 73.8206 </t>
  </si>
  <si>
    <t xml:space="preserve">D:\Images\20210707\plaque 2/@05 tam 30.2 + testo/A5_02.tif </t>
  </si>
  <si>
    <t xml:space="preserve"> 44189.8747 </t>
  </si>
  <si>
    <t xml:space="preserve"> 72.0984 </t>
  </si>
  <si>
    <t xml:space="preserve">D:\Images\20210707\plaque 2/@05 tam 30.2 + testo/A5_03.tif </t>
  </si>
  <si>
    <t xml:space="preserve"> 45206.4798 </t>
  </si>
  <si>
    <t xml:space="preserve"> 72.4335 </t>
  </si>
  <si>
    <t xml:space="preserve">D:\Images\20210707\plaque 2/@05 tam 30.2 + testo/B5_01.tif </t>
  </si>
  <si>
    <t xml:space="preserve"> 41313.0987 </t>
  </si>
  <si>
    <t xml:space="preserve"> 72.0031 </t>
  </si>
  <si>
    <t xml:space="preserve">D:\Images\20210707\plaque 2/@05 tam 30.2 + testo/B5_02.tif </t>
  </si>
  <si>
    <t xml:space="preserve"> 36532.892 </t>
  </si>
  <si>
    <t xml:space="preserve"> 72.8881 </t>
  </si>
  <si>
    <t xml:space="preserve">D:\Images\20210707\plaque 2/@05 tam 30.2 + testo/B5_03.tif </t>
  </si>
  <si>
    <t xml:space="preserve"> 40426.2731 </t>
  </si>
  <si>
    <t xml:space="preserve"> 72.901 </t>
  </si>
  <si>
    <t xml:space="preserve">D:\Images\20210707\plaque 2/@05 tam 30.2 + testo/C5_01.tif </t>
  </si>
  <si>
    <t xml:space="preserve"> 12415.5595 </t>
  </si>
  <si>
    <t xml:space="preserve"> 64.7857 </t>
  </si>
  <si>
    <t xml:space="preserve">D:\Images\20210707\plaque 2/@05 tam 30.2 + testo/C5_02.tif </t>
  </si>
  <si>
    <t xml:space="preserve"> 35062.0592 </t>
  </si>
  <si>
    <t xml:space="preserve"> 70.0648 </t>
  </si>
  <si>
    <t>D:\Images\20210707\plaque 2/@05 tam 30.2 + testo/C5_03- exclu.tif</t>
  </si>
  <si>
    <t xml:space="preserve">D:\Images\20210707\plaque 2/@05 tam 30.2 + testo/D5_01.tif </t>
  </si>
  <si>
    <t xml:space="preserve"> 40815.6112 </t>
  </si>
  <si>
    <t xml:space="preserve"> 69.2268 </t>
  </si>
  <si>
    <t xml:space="preserve">D:\Images\20210707\plaque 2/@05 tam 30.2 + testo/D5_02.tif </t>
  </si>
  <si>
    <t xml:space="preserve"> 69.7307 </t>
  </si>
  <si>
    <t xml:space="preserve">D:\Images\20210707\plaque 2/@05 tam 30.2 + testo/D5_03.tif </t>
  </si>
  <si>
    <t xml:space="preserve"> 37722.5362 </t>
  </si>
  <si>
    <t xml:space="preserve"> 71.074 </t>
  </si>
  <si>
    <t xml:space="preserve">D:\Images\20210707\plaque 2/@05 tam 30.2 + testo/E5_01.tif </t>
  </si>
  <si>
    <t xml:space="preserve"> 62.8889 </t>
  </si>
  <si>
    <t xml:space="preserve">D:\Images\20210707\plaque 2/@05 tam 30.2 + testo/E5_02.tif </t>
  </si>
  <si>
    <t xml:space="preserve"> 5688.6623 </t>
  </si>
  <si>
    <t xml:space="preserve"> 65.9924 </t>
  </si>
  <si>
    <t xml:space="preserve">D:\Images\20210707\plaque 2/@05 tam 30.2 + testo/E5_03.tif </t>
  </si>
  <si>
    <t xml:space="preserve"> 63.8208 </t>
  </si>
  <si>
    <t xml:space="preserve">D:\Images\20210707\plaque 2/@05 tam 30.2 + testo/F5_01.tif </t>
  </si>
  <si>
    <t xml:space="preserve"> 38717.5114 </t>
  </si>
  <si>
    <t xml:space="preserve"> 74.2765 </t>
  </si>
  <si>
    <t xml:space="preserve">D:\Images\20210707\plaque 2/@05 tam 30.2 + testo/F5_02.tif </t>
  </si>
  <si>
    <t xml:space="preserve"> 33180.2584 </t>
  </si>
  <si>
    <t xml:space="preserve"> 71.8475 </t>
  </si>
  <si>
    <t xml:space="preserve">D:\Images\20210707\plaque 2/@05 tam 30.2 + testo/F5_03.tif </t>
  </si>
  <si>
    <t xml:space="preserve"> 42026.8853 </t>
  </si>
  <si>
    <t xml:space="preserve"> 71.8739 </t>
  </si>
  <si>
    <t xml:space="preserve">D:\Images\20210707\plaque 2/@05 tam 30.2 + testo/G5_01.tif </t>
  </si>
  <si>
    <t xml:space="preserve"> 46785.4621 </t>
  </si>
  <si>
    <t xml:space="preserve"> 74.1706 </t>
  </si>
  <si>
    <t xml:space="preserve">D:\Images\20210707\plaque 2/@05 tam 30.2 + testo/G5_02.tif </t>
  </si>
  <si>
    <t xml:space="preserve"> 45011.8107 </t>
  </si>
  <si>
    <t xml:space="preserve"> 77.2071 </t>
  </si>
  <si>
    <t xml:space="preserve">D:\Images\20210707\plaque 2/@05 tam 30.2 + testo/G5_03.tif </t>
  </si>
  <si>
    <t xml:space="preserve"> 49381.0494 </t>
  </si>
  <si>
    <t xml:space="preserve"> 75.6224 </t>
  </si>
  <si>
    <t xml:space="preserve">D:\Images\20210707\plaque 2/@05 tam 30.2 + testo/H5_01.tif </t>
  </si>
  <si>
    <t xml:space="preserve"> 67.2358 </t>
  </si>
  <si>
    <t xml:space="preserve">D:\Images\20210707\plaque 2/@05 tam 30.2 + testo/H5_02.tif </t>
  </si>
  <si>
    <t xml:space="preserve"> 67.3005 </t>
  </si>
  <si>
    <t xml:space="preserve">D:\Images\20210707\plaque 2/@05 tam 30.2 + testo/H5_03.tif </t>
  </si>
  <si>
    <t xml:space="preserve"> 67.0927 </t>
  </si>
  <si>
    <t xml:space="preserve">D:\Images\20210707\plaque 2/@05 tam 30.2 + testo/ </t>
  </si>
  <si>
    <t xml:space="preserve"> 70.3381 </t>
  </si>
  <si>
    <t xml:space="preserve"> 3.7956 </t>
  </si>
  <si>
    <t xml:space="preserve"> 2330609.42 </t>
  </si>
  <si>
    <t xml:space="preserve"> 1104057.88 </t>
  </si>
  <si>
    <t xml:space="preserve">D:\Images\20210707\plaque 2/@06  tam 60.4 + testo/A6_01.tif </t>
  </si>
  <si>
    <t xml:space="preserve"> 65.4051 </t>
  </si>
  <si>
    <t xml:space="preserve">D:\Images\20210707\plaque 2/@06  tam 60.4 + testo/A6_02.tif </t>
  </si>
  <si>
    <t xml:space="preserve"> 65.9979 </t>
  </si>
  <si>
    <t xml:space="preserve">D:\Images\20210707\plaque 2/@06  tam 60.4 + testo/A6_03.tif </t>
  </si>
  <si>
    <t xml:space="preserve"> 66.2546 </t>
  </si>
  <si>
    <t xml:space="preserve">D:\Images\20210707\plaque 2/@06  tam 60.4 + testo/B6_01.tif </t>
  </si>
  <si>
    <t xml:space="preserve"> 64.881 </t>
  </si>
  <si>
    <t xml:space="preserve">D:\Images\20210707\plaque 2/@06  tam 60.4 + testo/B6_02.tif </t>
  </si>
  <si>
    <t xml:space="preserve"> 64.2727 </t>
  </si>
  <si>
    <t xml:space="preserve">D:\Images\20210707\plaque 2/@06  tam 60.4 + testo/B6_03.tif </t>
  </si>
  <si>
    <t xml:space="preserve"> 65.4773 </t>
  </si>
  <si>
    <t xml:space="preserve">D:\Images\20210707\plaque 2/@06  tam 60.4 + testo/C6_01.tif </t>
  </si>
  <si>
    <t xml:space="preserve"> 16936.2075 </t>
  </si>
  <si>
    <t xml:space="preserve"> 65.8493 </t>
  </si>
  <si>
    <t xml:space="preserve">D:\Images\20210707\plaque 2/@06  tam 60.4 + testo/C6_02.tif </t>
  </si>
  <si>
    <t xml:space="preserve"> 17174.1363 </t>
  </si>
  <si>
    <t xml:space="preserve"> 65.631 </t>
  </si>
  <si>
    <t xml:space="preserve">D:\Images\20210707\plaque 2/@06  tam 60.4 + testo/C6_03.tif </t>
  </si>
  <si>
    <t xml:space="preserve"> 11377.3246 </t>
  </si>
  <si>
    <t xml:space="preserve"> 64.3916 </t>
  </si>
  <si>
    <t xml:space="preserve">D:\Images\20210707\plaque 2/@06  tam 60.4 + testo/D6_01.tif </t>
  </si>
  <si>
    <t xml:space="preserve"> 33483.0769 </t>
  </si>
  <si>
    <t xml:space="preserve"> 69.6693 </t>
  </si>
  <si>
    <t xml:space="preserve">D:\Images\20210707\plaque 2/@06  tam 60.4 + testo/D6_02.tif </t>
  </si>
  <si>
    <t xml:space="preserve"> 33958.9346 </t>
  </si>
  <si>
    <t xml:space="preserve"> 74.8197 </t>
  </si>
  <si>
    <t xml:space="preserve">D:\Images\20210707\plaque 2/@06  tam 60.4 + testo/D6_03.tif </t>
  </si>
  <si>
    <t xml:space="preserve"> 73.5848 </t>
  </si>
  <si>
    <t xml:space="preserve">D:\Images\20210707\plaque 2/@06  tam 60.4 + testo/E6_01.tif </t>
  </si>
  <si>
    <t xml:space="preserve"> 9517.1536 </t>
  </si>
  <si>
    <t xml:space="preserve"> 66.3159 </t>
  </si>
  <si>
    <t xml:space="preserve">D:\Images\20210707\plaque 2/@06  tam 60.4 + testo/E6_02.tif </t>
  </si>
  <si>
    <t xml:space="preserve"> 10036.2711 </t>
  </si>
  <si>
    <t xml:space="preserve"> 65.0216 </t>
  </si>
  <si>
    <t xml:space="preserve">D:\Images\20210707\plaque 2/@06  tam 60.4 + testo/E6_03.tif </t>
  </si>
  <si>
    <t xml:space="preserve"> 6575.488 </t>
  </si>
  <si>
    <t xml:space="preserve"> 64.8586 </t>
  </si>
  <si>
    <t xml:space="preserve">D:\Images\20210707\plaque 2/@06  tam 60.4 + testo/F6_01.tif </t>
  </si>
  <si>
    <t xml:space="preserve"> 4499.0181 </t>
  </si>
  <si>
    <t xml:space="preserve"> 64.0048 </t>
  </si>
  <si>
    <t xml:space="preserve">D:\Images\20210707\plaque 2/@06  tam 60.4 + testo/F6_02.tif </t>
  </si>
  <si>
    <t xml:space="preserve"> 5364.2139 </t>
  </si>
  <si>
    <t xml:space="preserve"> 65.1089 </t>
  </si>
  <si>
    <t>D:\Images\20210707\plaque 2/@06  tam 60.4 + testo/F6_03- exclu.tif</t>
  </si>
  <si>
    <t>D:\Images\20210707\plaque 2/@06  tam 60.4 + testo/G6_01- exclu.tif</t>
  </si>
  <si>
    <t>D:\Images\20210707\plaque 2/@06  tam 60.4 + testo/G6_02- exclu.tif</t>
  </si>
  <si>
    <t>D:\Images\20210707\plaque 2/@06  tam 60.4 + testo/G6_03- exclu.tif</t>
  </si>
  <si>
    <t xml:space="preserve">D:\Images\20210707\plaque 2/@06  tam 60.4 + testo/H6_01.tif </t>
  </si>
  <si>
    <t xml:space="preserve"> 32120.3935 </t>
  </si>
  <si>
    <t xml:space="preserve"> 70.1899 </t>
  </si>
  <si>
    <t xml:space="preserve">D:\Images\20210707\plaque 2/@06  tam 60.4 + testo/H6_02.tif </t>
  </si>
  <si>
    <t xml:space="preserve"> 31493.1266 </t>
  </si>
  <si>
    <t xml:space="preserve"> 71.5783 </t>
  </si>
  <si>
    <t xml:space="preserve">D:\Images\20210707\plaque 2/@06  tam 60.4 + testo/H6_03.tif </t>
  </si>
  <si>
    <t xml:space="preserve"> 33894.0449 </t>
  </si>
  <si>
    <t xml:space="preserve"> 69.2151 </t>
  </si>
  <si>
    <t xml:space="preserve">D:\Images\20210707\plaque 2/@06  tam 60.4 + testo/ </t>
  </si>
  <si>
    <t xml:space="preserve"> 66.9461 </t>
  </si>
  <si>
    <t xml:space="preserve"> 3.2644 </t>
  </si>
  <si>
    <t xml:space="preserve"> 985628.333 </t>
  </si>
  <si>
    <t xml:space="preserve"> 856978.764 </t>
  </si>
  <si>
    <t xml:space="preserve">D:\Images\20210707\plaque 2/@07 tam 121 + testo/A7_01.tif </t>
  </si>
  <si>
    <t xml:space="preserve"> 30736.0803 </t>
  </si>
  <si>
    <t xml:space="preserve"> 71.8269 </t>
  </si>
  <si>
    <t xml:space="preserve">D:\Images\20210707\plaque 2/@07 tam 121 + testo/A7_02.tif </t>
  </si>
  <si>
    <t xml:space="preserve"> 25696.3148 </t>
  </si>
  <si>
    <t xml:space="preserve"> 72.7079 </t>
  </si>
  <si>
    <t xml:space="preserve">D:\Images\20210707\plaque 2/@07 tam 121 + testo/A7_03.tif </t>
  </si>
  <si>
    <t xml:space="preserve"> 73.0272 </t>
  </si>
  <si>
    <t xml:space="preserve">D:\Images\20210707\plaque 2/@07 tam 121 + testo/B7_01.tif </t>
  </si>
  <si>
    <t xml:space="preserve"> 68.8077 </t>
  </si>
  <si>
    <t xml:space="preserve">D:\Images\20210707\plaque 2/@07 tam 121 + testo/B7_02.tif </t>
  </si>
  <si>
    <t xml:space="preserve"> 35862.3653 </t>
  </si>
  <si>
    <t xml:space="preserve"> 69.3673 </t>
  </si>
  <si>
    <t xml:space="preserve">D:\Images\20210707\plaque 2/@07 tam 121 + testo/B7_03.tif </t>
  </si>
  <si>
    <t xml:space="preserve"> 30325.1123 </t>
  </si>
  <si>
    <t xml:space="preserve"> 68.5335 </t>
  </si>
  <si>
    <t xml:space="preserve">D:\Images\20210707\plaque 2/@07 tam 121 + testo/C7_01.tif </t>
  </si>
  <si>
    <t xml:space="preserve"> 7505.5734 </t>
  </si>
  <si>
    <t xml:space="preserve"> 66.3718 </t>
  </si>
  <si>
    <t xml:space="preserve">D:\Images\20210707\plaque 2/@07 tam 121 + testo/C7_02.tif </t>
  </si>
  <si>
    <t xml:space="preserve"> 8046.3208 </t>
  </si>
  <si>
    <t xml:space="preserve"> 64.6048 </t>
  </si>
  <si>
    <t>D:\Images\20210707\plaque 2/@07 tam 121 + testo/C7_03- exclu.tif</t>
  </si>
  <si>
    <t xml:space="preserve">D:\Images\20210707\plaque 2/@07 tam 121 + testo/D7_01.tif </t>
  </si>
  <si>
    <t xml:space="preserve"> 29762.735 </t>
  </si>
  <si>
    <t xml:space="preserve">D:\Images\20210707\plaque 2/@07 tam 121 + testo/D7_02.tif </t>
  </si>
  <si>
    <t xml:space="preserve"> 24333.6315 </t>
  </si>
  <si>
    <t xml:space="preserve"> 72.2978 </t>
  </si>
  <si>
    <t xml:space="preserve">D:\Images\20210707\plaque 2/@07 tam 121 + testo/D7_03.tif </t>
  </si>
  <si>
    <t xml:space="preserve"> 29330.1371 </t>
  </si>
  <si>
    <t xml:space="preserve"> 72.5037 </t>
  </si>
  <si>
    <t xml:space="preserve">D:\Images\20210707\plaque 2/@07 tam 121 + testo/E7_01.tif </t>
  </si>
  <si>
    <t xml:space="preserve"> 67.0315 </t>
  </si>
  <si>
    <t xml:space="preserve">D:\Images\20210707\plaque 2/@07 tam 121 + testo/E7_02.tif </t>
  </si>
  <si>
    <t xml:space="preserve"> 66.7406 </t>
  </si>
  <si>
    <t xml:space="preserve">D:\Images\20210707\plaque 2/@07 tam 121 + testo/E7_03.tif </t>
  </si>
  <si>
    <t xml:space="preserve"> 66.0563 </t>
  </si>
  <si>
    <t xml:space="preserve">D:\Images\20210707\plaque 2/@07 tam 121 + testo/F7_01.tif </t>
  </si>
  <si>
    <t xml:space="preserve"> 65.5747 </t>
  </si>
  <si>
    <t xml:space="preserve">D:\Images\20210707\plaque 2/@07 tam 121 + testo/F7_02.tif </t>
  </si>
  <si>
    <t xml:space="preserve"> 64.1569 </t>
  </si>
  <si>
    <t xml:space="preserve">D:\Images\20210707\plaque 2/@07 tam 121 + testo/F7_03.tif </t>
  </si>
  <si>
    <t xml:space="preserve"> 64.28 </t>
  </si>
  <si>
    <t xml:space="preserve">D:\Images\20210707\plaque 2/@07 tam 121 + testo/G7_01.tif </t>
  </si>
  <si>
    <t xml:space="preserve"> 41961.9956 </t>
  </si>
  <si>
    <t xml:space="preserve"> 75.1062 </t>
  </si>
  <si>
    <t xml:space="preserve">D:\Images\20210707\plaque 2/@07 tam 121 + testo/G7_02.tif </t>
  </si>
  <si>
    <t xml:space="preserve"> 73.452 </t>
  </si>
  <si>
    <t xml:space="preserve">D:\Images\20210707\plaque 2/@07 tam 121 + testo/G7_03.tif </t>
  </si>
  <si>
    <t xml:space="preserve"> 40988.6503 </t>
  </si>
  <si>
    <t xml:space="preserve"> 75.6475 </t>
  </si>
  <si>
    <t xml:space="preserve">D:\Images\20210707\plaque 2/@07 tam 121 + testo/H7_01.tif </t>
  </si>
  <si>
    <t xml:space="preserve"> 41031.9101 </t>
  </si>
  <si>
    <t xml:space="preserve"> 68.9172 </t>
  </si>
  <si>
    <t xml:space="preserve">D:\Images\20210707\plaque 2/@07 tam 121 + testo/H7_02.tif </t>
  </si>
  <si>
    <t xml:space="preserve"> 45487.6684 </t>
  </si>
  <si>
    <t xml:space="preserve"> 69.0946 </t>
  </si>
  <si>
    <t xml:space="preserve">D:\Images\20210707\plaque 2/@07 tam 121 + testo/H7_03.tif </t>
  </si>
  <si>
    <t xml:space="preserve"> 43865.4263 </t>
  </si>
  <si>
    <t xml:space="preserve"> 68.3141 </t>
  </si>
  <si>
    <t xml:space="preserve">D:\Images\20210707\plaque 2/@07 tam 121 + testo/ </t>
  </si>
  <si>
    <t xml:space="preserve"> 69.2526 </t>
  </si>
  <si>
    <t xml:space="preserve"> 3.561 </t>
  </si>
  <si>
    <t xml:space="preserve"> 1769370.33 </t>
  </si>
  <si>
    <t xml:space="preserve"> 1073576.66 </t>
  </si>
  <si>
    <t xml:space="preserve">D:\Images\20210707\plaque 2/@08 tam 242 + testo/A8_01.tif </t>
  </si>
  <si>
    <t xml:space="preserve"> 23425.1759 </t>
  </si>
  <si>
    <t xml:space="preserve"> 69.2872 </t>
  </si>
  <si>
    <t xml:space="preserve">D:\Images\20210707\plaque 2/@08 tam 242 + testo/A8_02.tif </t>
  </si>
  <si>
    <t xml:space="preserve"> 21565.0049 </t>
  </si>
  <si>
    <t xml:space="preserve"> 67.2688 </t>
  </si>
  <si>
    <t xml:space="preserve">D:\Images\20210707\plaque 2/@08 tam 242 + testo/A8_03.tif </t>
  </si>
  <si>
    <t xml:space="preserve"> 26518.2508 </t>
  </si>
  <si>
    <t xml:space="preserve"> 71.7113 </t>
  </si>
  <si>
    <t xml:space="preserve">D:\Images\20210707\plaque 2/@08 tam 242 + testo/B8_01.tif </t>
  </si>
  <si>
    <t xml:space="preserve"> 13129.346 </t>
  </si>
  <si>
    <t xml:space="preserve"> 64.9127 </t>
  </si>
  <si>
    <t xml:space="preserve">D:\Images\20210707\plaque 2/@08 tam 242 + testo/B8_02.tif </t>
  </si>
  <si>
    <t xml:space="preserve"> 15249.0757 </t>
  </si>
  <si>
    <t xml:space="preserve"> 66.4582 </t>
  </si>
  <si>
    <t xml:space="preserve">D:\Images\20210707\plaque 2/@08 tam 242 + testo/B8_03.tif </t>
  </si>
  <si>
    <t xml:space="preserve"> 15811.453 </t>
  </si>
  <si>
    <t xml:space="preserve"> 66.0889 </t>
  </si>
  <si>
    <t xml:space="preserve">D:\Images\20210707\plaque 2/@08 tam 242 + testo/C8_01.tif </t>
  </si>
  <si>
    <t xml:space="preserve"> 66.9229 </t>
  </si>
  <si>
    <t>D:\Images\20210707\plaque 2/@08 tam 242 + testo/C8_02- exclu.tif</t>
  </si>
  <si>
    <t xml:space="preserve">D:\Images\20210707\plaque 2/@08 tam 242 + testo/C8_03.tif </t>
  </si>
  <si>
    <t xml:space="preserve"> 8738.4774 </t>
  </si>
  <si>
    <t xml:space="preserve"> 66.4604 </t>
  </si>
  <si>
    <t xml:space="preserve">D:\Images\20210707\plaque 2/@08 tam 242 + testo/D8_01.tif </t>
  </si>
  <si>
    <t xml:space="preserve"> 20570.0298 </t>
  </si>
  <si>
    <t xml:space="preserve"> 67.8759 </t>
  </si>
  <si>
    <t xml:space="preserve">D:\Images\20210707\plaque 2/@08 tam 242 + testo/D8_02.tif </t>
  </si>
  <si>
    <t xml:space="preserve"> 20050.9123 </t>
  </si>
  <si>
    <t xml:space="preserve"> 69.1618 </t>
  </si>
  <si>
    <t xml:space="preserve">D:\Images\20210707\plaque 2/@08 tam 242 + testo/D8_03.tif </t>
  </si>
  <si>
    <t xml:space="preserve"> 67.574 </t>
  </si>
  <si>
    <t>D:\Images\20210707\plaque 2/@08 tam 242 + testo/E8_01- exclu.tif</t>
  </si>
  <si>
    <t xml:space="preserve">D:\Images\20210707\plaque 2/@08 tam 242 + testo/E8_02.tif </t>
  </si>
  <si>
    <t xml:space="preserve"> 41680.8069 </t>
  </si>
  <si>
    <t xml:space="preserve"> 72.9512 </t>
  </si>
  <si>
    <t xml:space="preserve">D:\Images\20210707\plaque 2/@08 tam 242 + testo/E8_03.tif </t>
  </si>
  <si>
    <t xml:space="preserve"> 44730.6221 </t>
  </si>
  <si>
    <t xml:space="preserve"> 71.337 </t>
  </si>
  <si>
    <t xml:space="preserve">D:\Images\20210707\plaque 2/@08 tam 242 + testo/F8_01.tif </t>
  </si>
  <si>
    <t xml:space="preserve"> 38284.9135 </t>
  </si>
  <si>
    <t xml:space="preserve"> 72.413 </t>
  </si>
  <si>
    <t xml:space="preserve">D:\Images\20210707\plaque 2/@08 tam 242 + testo/F8_02.tif </t>
  </si>
  <si>
    <t xml:space="preserve"> 74.5283 </t>
  </si>
  <si>
    <t xml:space="preserve">D:\Images\20210707\plaque 2/@08 tam 242 + testo/F8_03.tif </t>
  </si>
  <si>
    <t xml:space="preserve"> 38198.3939 </t>
  </si>
  <si>
    <t xml:space="preserve"> 73.9304 </t>
  </si>
  <si>
    <t xml:space="preserve">D:\Images\20210707\plaque 2/@08 tam 242 + testo/G8_01.tif </t>
  </si>
  <si>
    <t xml:space="preserve"> 13497.0542 </t>
  </si>
  <si>
    <t xml:space="preserve"> 65.4952 </t>
  </si>
  <si>
    <t xml:space="preserve">D:\Images\20210707\plaque 2/@08 tam 242 + testo/G8_02.tif </t>
  </si>
  <si>
    <t xml:space="preserve"> 17455.325 </t>
  </si>
  <si>
    <t xml:space="preserve"> 66.9108 </t>
  </si>
  <si>
    <t>D:\Images\20210707\plaque 2/@08 tam 242 + testo/G8_03- exclu.tif</t>
  </si>
  <si>
    <t xml:space="preserve">D:\Images\20210707\plaque 2/@08 tam 242 + testo/H8_01.tif </t>
  </si>
  <si>
    <t xml:space="preserve"> 53339.3202 </t>
  </si>
  <si>
    <t xml:space="preserve"> 75.6983 </t>
  </si>
  <si>
    <t xml:space="preserve">D:\Images\20210707\plaque 2/@08 tam 242 + testo/H8_02.tif </t>
  </si>
  <si>
    <t xml:space="preserve"> 54939.9324 </t>
  </si>
  <si>
    <t xml:space="preserve"> 77.565 </t>
  </si>
  <si>
    <t xml:space="preserve">D:\Images\20210707\plaque 2/@08 tam 242 + testo/H8_03.tif </t>
  </si>
  <si>
    <t xml:space="preserve"> 43281.4192 </t>
  </si>
  <si>
    <t xml:space="preserve"> 78.049 </t>
  </si>
  <si>
    <t xml:space="preserve">D:\Images\20210707\plaque 2/@08 tam 242 + testo/ </t>
  </si>
  <si>
    <t xml:space="preserve"> 70.0742 </t>
  </si>
  <si>
    <t xml:space="preserve"> 4.6323 </t>
  </si>
  <si>
    <t xml:space="preserve"> 2017084.08 </t>
  </si>
  <si>
    <t xml:space="preserve"> 1337441.85 </t>
  </si>
  <si>
    <t>D:\Images\20210707\plaque 2/@09  tam 483 + testo/A9_01- exclu.tif</t>
  </si>
  <si>
    <t xml:space="preserve">D:\Images\20210707\plaque 2/@09  tam 483 + testo/A9_02.tif </t>
  </si>
  <si>
    <t xml:space="preserve"> 49705.4979 </t>
  </si>
  <si>
    <t xml:space="preserve"> 71.5126 </t>
  </si>
  <si>
    <t xml:space="preserve">D:\Images\20210707\plaque 2/@09  tam 483 + testo/A9_03.tif </t>
  </si>
  <si>
    <t xml:space="preserve"> 46590.793 </t>
  </si>
  <si>
    <t xml:space="preserve"> 70.2149 </t>
  </si>
  <si>
    <t xml:space="preserve">D:\Images\20210707\plaque 2/@09  tam 483 + testo/B9_01.tif </t>
  </si>
  <si>
    <t xml:space="preserve"> 31449.8668 </t>
  </si>
  <si>
    <t xml:space="preserve"> 69.2992 </t>
  </si>
  <si>
    <t xml:space="preserve">D:\Images\20210707\plaque 2/@09  tam 483 + testo/B9_02.tif </t>
  </si>
  <si>
    <t xml:space="preserve"> 30260.2226 </t>
  </si>
  <si>
    <t xml:space="preserve"> 68.5575 </t>
  </si>
  <si>
    <t xml:space="preserve">D:\Images\20210707\plaque 2/@09  tam 483 + testo/B9_03.tif </t>
  </si>
  <si>
    <t xml:space="preserve"> 26691.29 </t>
  </si>
  <si>
    <t xml:space="preserve"> 69.1848 </t>
  </si>
  <si>
    <t xml:space="preserve">D:\Images\20210707\plaque 2/@09  tam 483 + testo/C9_01.tif </t>
  </si>
  <si>
    <t xml:space="preserve"> 40599.3122 </t>
  </si>
  <si>
    <t xml:space="preserve"> 72.3245 </t>
  </si>
  <si>
    <t xml:space="preserve">D:\Images\20210707\plaque 2/@09  tam 483 + testo/C9_02.tif </t>
  </si>
  <si>
    <t xml:space="preserve"> 33612.8563 </t>
  </si>
  <si>
    <t xml:space="preserve"> 72.018 </t>
  </si>
  <si>
    <t>D:\Images\20210707\plaque 2/@09  tam 483 + testo/C9_03- exclu.tif</t>
  </si>
  <si>
    <t xml:space="preserve">D:\Images\20210707\plaque 2/@09  tam 483 + testo/D9_01.tif </t>
  </si>
  <si>
    <t xml:space="preserve"> 29632.9556 </t>
  </si>
  <si>
    <t xml:space="preserve"> 68.7628 </t>
  </si>
  <si>
    <t xml:space="preserve">D:\Images\20210707\plaque 2/@09  tam 483 + testo/D9_02.tif </t>
  </si>
  <si>
    <t xml:space="preserve"> 67.3225 </t>
  </si>
  <si>
    <t xml:space="preserve">D:\Images\20210707\plaque 2/@09  tam 483 + testo/D9_03.tif </t>
  </si>
  <si>
    <t xml:space="preserve"> 29221.9876 </t>
  </si>
  <si>
    <t xml:space="preserve"> 70.1325 </t>
  </si>
  <si>
    <t xml:space="preserve">D:\Images\20210707\plaque 2/@09  tam 483 + testo/E9_01.tif </t>
  </si>
  <si>
    <t xml:space="preserve"> 16027.7519 </t>
  </si>
  <si>
    <t xml:space="preserve"> 69.5466 </t>
  </si>
  <si>
    <t xml:space="preserve">D:\Images\20210707\plaque 2/@09  tam 483 + testo/E9_02.tif </t>
  </si>
  <si>
    <t xml:space="preserve"> 17541.8445 </t>
  </si>
  <si>
    <t xml:space="preserve"> 69.9075 </t>
  </si>
  <si>
    <t xml:space="preserve">D:\Images\20210707\plaque 2/@09  tam 483 + testo/E9_03.tif </t>
  </si>
  <si>
    <t xml:space="preserve"> 17974.4424 </t>
  </si>
  <si>
    <t xml:space="preserve"> 73.929 </t>
  </si>
  <si>
    <t xml:space="preserve">D:\Images\20210707\plaque 2/@09  tam 483 + testo/F9_01.tif </t>
  </si>
  <si>
    <t xml:space="preserve"> 27426.7064 </t>
  </si>
  <si>
    <t xml:space="preserve"> 67.1475 </t>
  </si>
  <si>
    <t xml:space="preserve">D:\Images\20210707\plaque 2/@09  tam 483 + testo/F9_02.tif </t>
  </si>
  <si>
    <t xml:space="preserve"> 31147.0483 </t>
  </si>
  <si>
    <t xml:space="preserve"> 67.1896 </t>
  </si>
  <si>
    <t xml:space="preserve">D:\Images\20210707\plaque 2/@09  tam 483 + testo/F9_03.tif </t>
  </si>
  <si>
    <t xml:space="preserve"> 28400.0516 </t>
  </si>
  <si>
    <t xml:space="preserve"> 67.6078 </t>
  </si>
  <si>
    <t xml:space="preserve">D:\Images\20210707\plaque 2/@09  tam 483 + testo/G9_01.tif </t>
  </si>
  <si>
    <t xml:space="preserve"> 70.2062 </t>
  </si>
  <si>
    <t xml:space="preserve">D:\Images\20210707\plaque 2/@09  tam 483 + testo/G9_02.tif </t>
  </si>
  <si>
    <t xml:space="preserve"> 21348.706 </t>
  </si>
  <si>
    <t xml:space="preserve"> 67.7457 </t>
  </si>
  <si>
    <t>D:\Images\20210707\plaque 2/@09  tam 483 + testo/G9_03- exclu.tif</t>
  </si>
  <si>
    <t xml:space="preserve">D:\Images\20210707\plaque 2/@09  tam 483 + testo/H9_01.tif </t>
  </si>
  <si>
    <t xml:space="preserve"> 42091.7749 </t>
  </si>
  <si>
    <t xml:space="preserve"> 74.5858 </t>
  </si>
  <si>
    <t xml:space="preserve">D:\Images\20210707\plaque 2/@09  tam 483 + testo/H9_02.tif </t>
  </si>
  <si>
    <t xml:space="preserve"> 42935.3408 </t>
  </si>
  <si>
    <t xml:space="preserve"> 72.3829 </t>
  </si>
  <si>
    <t xml:space="preserve">D:\Images\20210707\plaque 2/@09  tam 483 + testo/H9_03.tif </t>
  </si>
  <si>
    <t xml:space="preserve"> 42264.8141 </t>
  </si>
  <si>
    <t xml:space="preserve"> 71.1817 </t>
  </si>
  <si>
    <t xml:space="preserve">D:\Images\20210707\plaque 2/@09  tam 483 + testo/ </t>
  </si>
  <si>
    <t xml:space="preserve"> 69.8437 </t>
  </si>
  <si>
    <t xml:space="preserve"> 2.5697 </t>
  </si>
  <si>
    <t xml:space="preserve"> 2159511.54 </t>
  </si>
  <si>
    <t xml:space="preserve"> 715596.823 </t>
  </si>
  <si>
    <t>Krustall Wallis</t>
  </si>
  <si>
    <t xml:space="preserve">D:\Images\20210713\plaque 1/@01 Témoins solvant/A1_01.tif </t>
  </si>
  <si>
    <t xml:space="preserve"> 14816.4778 </t>
  </si>
  <si>
    <t xml:space="preserve"> 67.6015 </t>
  </si>
  <si>
    <t xml:space="preserve">D:\Images\20210713\plaque 1/@01 Témoins solvant/A1_02.tif </t>
  </si>
  <si>
    <t xml:space="preserve"> 65.4729 </t>
  </si>
  <si>
    <t xml:space="preserve">D:\Images\20210713\plaque 1/@01 Témoins solvant/A1_03.tif </t>
  </si>
  <si>
    <t xml:space="preserve"> 67.5835 </t>
  </si>
  <si>
    <t xml:space="preserve">D:\Images\20210713\plaque 1/@01 Témoins solvant/B1_01.tif </t>
  </si>
  <si>
    <t xml:space="preserve"> 7721.8724 </t>
  </si>
  <si>
    <t xml:space="preserve"> 77.1541 </t>
  </si>
  <si>
    <t xml:space="preserve">D:\Images\20210713\plaque 1/@01 Témoins solvant/B1_02.tif </t>
  </si>
  <si>
    <t xml:space="preserve"> 10274.1999 </t>
  </si>
  <si>
    <t xml:space="preserve"> 82.1579 </t>
  </si>
  <si>
    <t xml:space="preserve">D:\Images\20210713\plaque 1/@01 Témoins solvant/B1_03.tif </t>
  </si>
  <si>
    <t xml:space="preserve"> 10403.9793 </t>
  </si>
  <si>
    <t xml:space="preserve"> 84.6299 </t>
  </si>
  <si>
    <t xml:space="preserve">D:\Images\20210713\plaque 1/@01 Témoins solvant/C1_01.tif </t>
  </si>
  <si>
    <t xml:space="preserve"> 12350.6698 </t>
  </si>
  <si>
    <t xml:space="preserve"> 66.0525 </t>
  </si>
  <si>
    <t xml:space="preserve">D:\Images\20210713\plaque 1/@01 Témoins solvant/C1_02.tif </t>
  </si>
  <si>
    <t xml:space="preserve"> 9928.1216 </t>
  </si>
  <si>
    <t xml:space="preserve"> 66.4553 </t>
  </si>
  <si>
    <t xml:space="preserve">D:\Images\20210713\plaque 1/@01 Témoins solvant/C1_03.tif </t>
  </si>
  <si>
    <t xml:space="preserve"> 7397.424 </t>
  </si>
  <si>
    <t xml:space="preserve"> 65.6023 </t>
  </si>
  <si>
    <t xml:space="preserve">D:\Images\20210713\plaque 1/@01 Témoins solvant/D1_01.tif </t>
  </si>
  <si>
    <t xml:space="preserve"> 3374.2636 </t>
  </si>
  <si>
    <t xml:space="preserve"> 66.0577 </t>
  </si>
  <si>
    <t xml:space="preserve">D:\Images\20210713\plaque 1/@01 Témoins solvant/D1_02.tif </t>
  </si>
  <si>
    <t xml:space="preserve"> 67.303 </t>
  </si>
  <si>
    <t xml:space="preserve">D:\Images\20210713\plaque 1/@01 Témoins solvant/D1_03.tif </t>
  </si>
  <si>
    <t xml:space="preserve"> 67.9686 </t>
  </si>
  <si>
    <t xml:space="preserve">D:\Images\20210713\plaque 1/@01 Témoins solvant/E1_01.tif </t>
  </si>
  <si>
    <t xml:space="preserve"> 90.7255 </t>
  </si>
  <si>
    <t xml:space="preserve">D:\Images\20210713\plaque 1/@01 Témoins solvant/E1_02.tif </t>
  </si>
  <si>
    <t xml:space="preserve"> 86.8206 </t>
  </si>
  <si>
    <t xml:space="preserve">D:\Images\20210713\plaque 1/@01 Témoins solvant/E1_03.tif </t>
  </si>
  <si>
    <t xml:space="preserve"> 69.1891 </t>
  </si>
  <si>
    <t xml:space="preserve">D:\Images\20210713\plaque 1/@01 Témoins solvant/F1_01.tif </t>
  </si>
  <si>
    <t xml:space="preserve"> 8500.5486 </t>
  </si>
  <si>
    <t xml:space="preserve"> 67.0916 </t>
  </si>
  <si>
    <t xml:space="preserve">D:\Images\20210713\plaque 1/@01 Témoins solvant/F1_02.tif </t>
  </si>
  <si>
    <t xml:space="preserve"> 68.0683 </t>
  </si>
  <si>
    <t>D:\Images\20210713\plaque 1/@01 Témoins solvant/F1_03- exclu.tif</t>
  </si>
  <si>
    <t xml:space="preserve">D:\Images\20210713\plaque 1/@01 Témoins solvant/G1_01.tif </t>
  </si>
  <si>
    <t xml:space="preserve"> 69.68 </t>
  </si>
  <si>
    <t xml:space="preserve">D:\Images\20210713\plaque 1/@01 Témoins solvant/G1_02.tif </t>
  </si>
  <si>
    <t xml:space="preserve">D:\Images\20210713\plaque 1/@01 Témoins solvant/G1_03.tif </t>
  </si>
  <si>
    <t xml:space="preserve"> 63.6842 </t>
  </si>
  <si>
    <t xml:space="preserve">D:\Images\20210713\plaque 1/@01 Témoins solvant/H1_01.tif </t>
  </si>
  <si>
    <t xml:space="preserve"> 63.8837 </t>
  </si>
  <si>
    <t xml:space="preserve">D:\Images\20210713\plaque 1/@01 Témoins solvant/H1_02.tif </t>
  </si>
  <si>
    <t xml:space="preserve"> 66.8397 </t>
  </si>
  <si>
    <t xml:space="preserve">D:\Images\20210713\plaque 1/@01 Témoins solvant/H1_03.tif </t>
  </si>
  <si>
    <t xml:space="preserve"> 62.8 </t>
  </si>
  <si>
    <t xml:space="preserve">D:\Images\20210713\plaque 1/@01 Témoins solvant/ </t>
  </si>
  <si>
    <t xml:space="preserve"> 70.1544 </t>
  </si>
  <si>
    <t xml:space="preserve"> 7.8927 </t>
  </si>
  <si>
    <t xml:space="preserve"> 554992.458 </t>
  </si>
  <si>
    <t xml:space="preserve"> 329530.541 </t>
  </si>
  <si>
    <t xml:space="preserve">D:\Images\20210713\plaque 1/@02 EE2 33.8/A2_01.tif </t>
  </si>
  <si>
    <t xml:space="preserve"> 6272.6694 </t>
  </si>
  <si>
    <t xml:space="preserve">D:\Images\20210713\plaque 1/@02 EE2 33.8/A2_02.tif </t>
  </si>
  <si>
    <t xml:space="preserve"> 64.395 </t>
  </si>
  <si>
    <t xml:space="preserve">D:\Images\20210713\plaque 1/@02 EE2 33.8/A2_03.tif </t>
  </si>
  <si>
    <t xml:space="preserve"> 9906.4917 </t>
  </si>
  <si>
    <t xml:space="preserve"> 70.4301 </t>
  </si>
  <si>
    <t xml:space="preserve">D:\Images\20210713\plaque 1/@02 EE2 33.8/B2_01.tif </t>
  </si>
  <si>
    <t xml:space="preserve"> 68.2112 </t>
  </si>
  <si>
    <t xml:space="preserve">D:\Images\20210713\plaque 1/@02 EE2 33.8/B2_02.tif </t>
  </si>
  <si>
    <t xml:space="preserve"> 13410.5347 </t>
  </si>
  <si>
    <t xml:space="preserve"> 67.1984 </t>
  </si>
  <si>
    <t xml:space="preserve">D:\Images\20210713\plaque 1/@02 EE2 33.8/B2_03.tif </t>
  </si>
  <si>
    <t xml:space="preserve"> 64.3136 </t>
  </si>
  <si>
    <t xml:space="preserve">D:\Images\20210713\plaque 1/@02 EE2 33.8/C2_01.tif </t>
  </si>
  <si>
    <t xml:space="preserve"> 7635.3528 </t>
  </si>
  <si>
    <t xml:space="preserve"> 82.1813 </t>
  </si>
  <si>
    <t xml:space="preserve">D:\Images\20210713\plaque 1/@02 EE2 33.8/C2_02.tif </t>
  </si>
  <si>
    <t xml:space="preserve"> 8414.029 </t>
  </si>
  <si>
    <t xml:space="preserve"> 75.2134 </t>
  </si>
  <si>
    <t xml:space="preserve">D:\Images\20210713\plaque 1/@02 EE2 33.8/C2_03.tif </t>
  </si>
  <si>
    <t xml:space="preserve"> 7678.6126 </t>
  </si>
  <si>
    <t xml:space="preserve"> 71.9296 </t>
  </si>
  <si>
    <t xml:space="preserve">D:\Images\20210713\plaque 1/@02 EE2 33.8/D2_01.tif </t>
  </si>
  <si>
    <t xml:space="preserve"> 65.77 </t>
  </si>
  <si>
    <t xml:space="preserve">D:\Images\20210713\plaque 1/@02 EE2 33.8/D2_02.tif </t>
  </si>
  <si>
    <t xml:space="preserve"> 63.4156 </t>
  </si>
  <si>
    <t xml:space="preserve">D:\Images\20210713\plaque 1/@02 EE2 33.8/D2_03.tif </t>
  </si>
  <si>
    <t xml:space="preserve"> 63.1209 </t>
  </si>
  <si>
    <t xml:space="preserve">D:\Images\20210713\plaque 1/@02 EE2 33.8/E2_01.tif </t>
  </si>
  <si>
    <t xml:space="preserve"> 13237.4955 </t>
  </si>
  <si>
    <t xml:space="preserve">D:\Images\20210713\plaque 1/@02 EE2 33.8/E2_02.tif </t>
  </si>
  <si>
    <t xml:space="preserve"> 11485.474 </t>
  </si>
  <si>
    <t xml:space="preserve"> 66.6497 </t>
  </si>
  <si>
    <t xml:space="preserve">D:\Images\20210713\plaque 1/@02 EE2 33.8/E2_03.tif </t>
  </si>
  <si>
    <t xml:space="preserve"> 68.314 </t>
  </si>
  <si>
    <t xml:space="preserve">D:\Images\20210713\plaque 1/@02 EE2 33.8/F2_01.tif </t>
  </si>
  <si>
    <t xml:space="preserve"> 17909.5528 </t>
  </si>
  <si>
    <t xml:space="preserve"> 69.9118 </t>
  </si>
  <si>
    <t xml:space="preserve">D:\Images\20210713\plaque 1/@02 EE2 33.8/F2_02.tif </t>
  </si>
  <si>
    <t xml:space="preserve"> 17649.994 </t>
  </si>
  <si>
    <t xml:space="preserve"> 70.4007 </t>
  </si>
  <si>
    <t xml:space="preserve">D:\Images\20210713\plaque 1/@02 EE2 33.8/F2_03.tif </t>
  </si>
  <si>
    <t xml:space="preserve"> 13215.8656 </t>
  </si>
  <si>
    <t xml:space="preserve"> 65.3601 </t>
  </si>
  <si>
    <t xml:space="preserve">D:\Images\20210713\plaque 1/@02 EE2 33.8/G2_01.tif </t>
  </si>
  <si>
    <t xml:space="preserve"> 3763.6017 </t>
  </si>
  <si>
    <t xml:space="preserve"> 65.3218 </t>
  </si>
  <si>
    <t xml:space="preserve">D:\Images\20210713\plaque 1/@02 EE2 33.8/G2_02.tif </t>
  </si>
  <si>
    <t xml:space="preserve"> 6142.8901 </t>
  </si>
  <si>
    <t xml:space="preserve"> 68.2993 </t>
  </si>
  <si>
    <t xml:space="preserve">D:\Images\20210713\plaque 1/@02 EE2 33.8/G2_03.tif </t>
  </si>
  <si>
    <t xml:space="preserve"> 64.9267 </t>
  </si>
  <si>
    <t>D:\Images\20210713\plaque 1/@02 EE2 33.8/H2_01- exclu.tif</t>
  </si>
  <si>
    <t>D:\Images\20210713\plaque 1/@02 EE2 33.8/H2_02- exclu.tif</t>
  </si>
  <si>
    <t>D:\Images\20210713\plaque 1/@02 EE2 33.8/H2_03- exclu.tif</t>
  </si>
  <si>
    <t xml:space="preserve">D:\Images\20210713\plaque 1/@02 EE2 33.8/ </t>
  </si>
  <si>
    <t xml:space="preserve"> 67.4938 </t>
  </si>
  <si>
    <t xml:space="preserve"> 4.357 </t>
  </si>
  <si>
    <t xml:space="preserve"> 518328.042 </t>
  </si>
  <si>
    <t xml:space="preserve"> 372629.551 </t>
  </si>
  <si>
    <t>D:\Images\20210713\plaque 1/@03 EE2 50/A3_01- exclu.tif</t>
  </si>
  <si>
    <t xml:space="preserve">D:\Images\20210713\plaque 1/@03 EE2 50/A3_02.tif </t>
  </si>
  <si>
    <t xml:space="preserve"> 3395.8935 </t>
  </si>
  <si>
    <t xml:space="preserve"> 63.9809 </t>
  </si>
  <si>
    <t xml:space="preserve">D:\Images\20210713\plaque 1/@03 EE2 50/A3_03.tif </t>
  </si>
  <si>
    <t xml:space="preserve"> 64.2488 </t>
  </si>
  <si>
    <t xml:space="preserve">D:\Images\20210713\plaque 1/@03 EE2 50/B3_01.tif </t>
  </si>
  <si>
    <t xml:space="preserve"> 63.7455 </t>
  </si>
  <si>
    <t xml:space="preserve">D:\Images\20210713\plaque 1/@03 EE2 50/B3_02.tif </t>
  </si>
  <si>
    <t xml:space="preserve"> 65.1318 </t>
  </si>
  <si>
    <t xml:space="preserve">D:\Images\20210713\plaque 1/@03 EE2 50/B3_03.tif </t>
  </si>
  <si>
    <t xml:space="preserve"> 62.6129 </t>
  </si>
  <si>
    <t xml:space="preserve">D:\Images\20210713\plaque 1/@03 EE2 50/C3_01.tif </t>
  </si>
  <si>
    <t xml:space="preserve"> 64.6129 </t>
  </si>
  <si>
    <t xml:space="preserve">D:\Images\20210713\plaque 1/@03 EE2 50/C3_02.tif </t>
  </si>
  <si>
    <t xml:space="preserve"> 62.375 </t>
  </si>
  <si>
    <t xml:space="preserve">D:\Images\20210713\plaque 1/@03 EE2 50/C3_03.tif </t>
  </si>
  <si>
    <t xml:space="preserve"> 64.1321 </t>
  </si>
  <si>
    <t xml:space="preserve">D:\Images\20210713\plaque 1/@03 EE2 50/D3_01.tif </t>
  </si>
  <si>
    <t xml:space="preserve"> 63.0842 </t>
  </si>
  <si>
    <t xml:space="preserve">D:\Images\20210713\plaque 1/@03 EE2 50/D3_02.tif </t>
  </si>
  <si>
    <t xml:space="preserve">D:\Images\20210713\plaque 1/@03 EE2 50/D3_03.tif </t>
  </si>
  <si>
    <t xml:space="preserve"> 1276.1638 </t>
  </si>
  <si>
    <t xml:space="preserve"> 62.8983 </t>
  </si>
  <si>
    <t xml:space="preserve">D:\Images\20210713\plaque 1/@03 EE2 50/E3_01.tif </t>
  </si>
  <si>
    <t xml:space="preserve"> 6315.9292 </t>
  </si>
  <si>
    <t xml:space="preserve"> 64.4795 </t>
  </si>
  <si>
    <t xml:space="preserve">D:\Images\20210713\plaque 1/@03 EE2 50/E3_02.tif </t>
  </si>
  <si>
    <t xml:space="preserve"> 2552.3276 </t>
  </si>
  <si>
    <t xml:space="preserve"> 63.4322 </t>
  </si>
  <si>
    <t xml:space="preserve">D:\Images\20210713\plaque 1/@03 EE2 50/E3_03.tif </t>
  </si>
  <si>
    <t xml:space="preserve"> 64.2314 </t>
  </si>
  <si>
    <t>D:\Images\20210713\plaque 1/@03 EE2 50/F3_01- exclu.tif</t>
  </si>
  <si>
    <t>D:\Images\20210713\plaque 1/@03 EE2 50/F3_02- exclu.tif</t>
  </si>
  <si>
    <t>D:\Images\20210713\plaque 1/@03 EE2 50/F3_03- exclu.tif</t>
  </si>
  <si>
    <t xml:space="preserve">D:\Images\20210713\plaque 1/@03 EE2 50/G3_01.tif </t>
  </si>
  <si>
    <t xml:space="preserve"> 67.4989 </t>
  </si>
  <si>
    <t xml:space="preserve">D:\Images\20210713\plaque 1/@03 EE2 50/G3_02.tif </t>
  </si>
  <si>
    <t xml:space="preserve"> 62.9381 </t>
  </si>
  <si>
    <t xml:space="preserve">D:\Images\20210713\plaque 1/@03 EE2 50/G3_03.tif </t>
  </si>
  <si>
    <t xml:space="preserve"> 69.0235 </t>
  </si>
  <si>
    <t xml:space="preserve">D:\Images\20210713\plaque 1/@03 EE2 50/H3_01.tif </t>
  </si>
  <si>
    <t xml:space="preserve"> 65.5086 </t>
  </si>
  <si>
    <t xml:space="preserve">D:\Images\20210713\plaque 1/@03 EE2 50/H3_02.tif </t>
  </si>
  <si>
    <t xml:space="preserve"> 2141.3596 </t>
  </si>
  <si>
    <t xml:space="preserve"> 62.9798 </t>
  </si>
  <si>
    <t xml:space="preserve">D:\Images\20210713\plaque 1/@03 EE2 50/H3_03.tif </t>
  </si>
  <si>
    <t xml:space="preserve">D:\Images\20210713\plaque 1/@03 EE2 50/ </t>
  </si>
  <si>
    <t xml:space="preserve"> 64.8169 </t>
  </si>
  <si>
    <t xml:space="preserve"> 2.3412 </t>
  </si>
  <si>
    <t xml:space="preserve"> 261450.542 </t>
  </si>
  <si>
    <t xml:space="preserve"> 272333.071 </t>
  </si>
  <si>
    <t xml:space="preserve">D:\Images\20210713\plaque 1/@04 EE2 76/A4_01.tif </t>
  </si>
  <si>
    <t xml:space="preserve"> 64.4859 </t>
  </si>
  <si>
    <t xml:space="preserve">D:\Images\20210713\plaque 1/@04 EE2 76/A4_02.tif </t>
  </si>
  <si>
    <t xml:space="preserve"> 63.9205 </t>
  </si>
  <si>
    <t xml:space="preserve">D:\Images\20210713\plaque 1/@04 EE2 76/A4_03.tif </t>
  </si>
  <si>
    <t xml:space="preserve"> 6229.4097 </t>
  </si>
  <si>
    <t xml:space="preserve"> 63.9306 </t>
  </si>
  <si>
    <t>D:\Images\20210713\plaque 1/@04 EE2 76/B4_01- exclu.tif</t>
  </si>
  <si>
    <t>D:\Images\20210713\plaque 1/@04 EE2 76/B4_02- exclu.tif</t>
  </si>
  <si>
    <t>D:\Images\20210713\plaque 1/@04 EE2 76/B4_03- exclu.tif</t>
  </si>
  <si>
    <t>D:\Images\20210713\plaque 1/@04 EE2 76/C4_01- exclu.tif</t>
  </si>
  <si>
    <t xml:space="preserve">D:\Images\20210713\plaque 1/@04 EE2 76/C4_02.tif </t>
  </si>
  <si>
    <t xml:space="preserve"> 35040.4293 </t>
  </si>
  <si>
    <t xml:space="preserve"> 66.8117 </t>
  </si>
  <si>
    <t>D:\Images\20210713\plaque 1/@04 EE2 76/C4_03- exclu.tif</t>
  </si>
  <si>
    <t xml:space="preserve">D:\Images\20210713\plaque 1/@04 EE2 76/D4_01.tif </t>
  </si>
  <si>
    <t xml:space="preserve"> 19921.133 </t>
  </si>
  <si>
    <t xml:space="preserve"> 66.1433 </t>
  </si>
  <si>
    <t xml:space="preserve">D:\Images\20210713\plaque 1/@04 EE2 76/D4_02.tif </t>
  </si>
  <si>
    <t xml:space="preserve"> 67.0011 </t>
  </si>
  <si>
    <t xml:space="preserve">D:\Images\20210713\plaque 1/@04 EE2 76/D4_03.tif </t>
  </si>
  <si>
    <t xml:space="preserve"> 17217.3961 </t>
  </si>
  <si>
    <t xml:space="preserve"> 67.0201 </t>
  </si>
  <si>
    <t xml:space="preserve">D:\Images\20210713\plaque 1/@04 EE2 76/E4_01.tif </t>
  </si>
  <si>
    <t xml:space="preserve"> 69.0562 </t>
  </si>
  <si>
    <t xml:space="preserve">D:\Images\20210713\plaque 1/@04 EE2 76/E4_02.tif </t>
  </si>
  <si>
    <t xml:space="preserve"> 10230.9402 </t>
  </si>
  <si>
    <t xml:space="preserve"> 65.6871 </t>
  </si>
  <si>
    <t xml:space="preserve">D:\Images\20210713\plaque 1/@04 EE2 76/E4_03.tif </t>
  </si>
  <si>
    <t xml:space="preserve"> 66.7859 </t>
  </si>
  <si>
    <t xml:space="preserve">D:\Images\20210713\plaque 1/@04 EE2 76/F4_01.tif </t>
  </si>
  <si>
    <t xml:space="preserve"> 67.7982 </t>
  </si>
  <si>
    <t xml:space="preserve">D:\Images\20210713\plaque 1/@04 EE2 76/F4_02.tif </t>
  </si>
  <si>
    <t xml:space="preserve"> 12783.2677 </t>
  </si>
  <si>
    <t xml:space="preserve"> 66.3333 </t>
  </si>
  <si>
    <t xml:space="preserve">D:\Images\20210713\plaque 1/@04 EE2 76/F4_03.tif </t>
  </si>
  <si>
    <t xml:space="preserve"> 13605.2037 </t>
  </si>
  <si>
    <t xml:space="preserve"> 70.5517 </t>
  </si>
  <si>
    <t xml:space="preserve">D:\Images\20210713\plaque 1/@04 EE2 76/G4_01.tif </t>
  </si>
  <si>
    <t xml:space="preserve"> 8197.7301 </t>
  </si>
  <si>
    <t xml:space="preserve"> 65.9182 </t>
  </si>
  <si>
    <t xml:space="preserve">D:\Images\20210713\plaque 1/@04 EE2 76/G4_02.tif </t>
  </si>
  <si>
    <t xml:space="preserve"> 7202.7549 </t>
  </si>
  <si>
    <t xml:space="preserve"> 65.036 </t>
  </si>
  <si>
    <t xml:space="preserve">D:\Images\20210713\plaque 1/@04 EE2 76/G4_03.tif </t>
  </si>
  <si>
    <t xml:space="preserve"> 8176.1002 </t>
  </si>
  <si>
    <t xml:space="preserve"> 64.8836 </t>
  </si>
  <si>
    <t xml:space="preserve">D:\Images\20210713\plaque 1/@04 EE2 76/H4_01.tif </t>
  </si>
  <si>
    <t xml:space="preserve"> 7008.0859 </t>
  </si>
  <si>
    <t xml:space="preserve"> 64.6543 </t>
  </si>
  <si>
    <t xml:space="preserve">D:\Images\20210713\plaque 1/@04 EE2 76/H4_02.tif </t>
  </si>
  <si>
    <t xml:space="preserve"> 3049.8151 </t>
  </si>
  <si>
    <t xml:space="preserve"> 63.1135 </t>
  </si>
  <si>
    <t xml:space="preserve">D:\Images\20210713\plaque 1/@04 EE2 76/H4_03.tif </t>
  </si>
  <si>
    <t xml:space="preserve">D:\Images\20210713\plaque 1/@04 EE2 76/ </t>
  </si>
  <si>
    <t xml:space="preserve"> 67.2501 </t>
  </si>
  <si>
    <t xml:space="preserve"> 4.7913 </t>
  </si>
  <si>
    <t xml:space="preserve"> 805194.583 </t>
  </si>
  <si>
    <t xml:space="preserve"> 464586.237 </t>
  </si>
  <si>
    <t xml:space="preserve">D:\Images\20210713\plaque 1/@05 EE2 114/A5_01.tif </t>
  </si>
  <si>
    <t xml:space="preserve"> 68.8832 </t>
  </si>
  <si>
    <t xml:space="preserve">D:\Images\20210713\plaque 1/@05 EE2 114/A5_02.tif </t>
  </si>
  <si>
    <t xml:space="preserve"> 44795.5118 </t>
  </si>
  <si>
    <t xml:space="preserve"> 69.6697 </t>
  </si>
  <si>
    <t xml:space="preserve">D:\Images\20210713\plaque 1/@05 EE2 114/A5_03.tif </t>
  </si>
  <si>
    <t xml:space="preserve"> 44016.8356 </t>
  </si>
  <si>
    <t xml:space="preserve"> 68.9243 </t>
  </si>
  <si>
    <t xml:space="preserve">D:\Images\20210713\plaque 1/@05 EE2 114/B5_01.tif </t>
  </si>
  <si>
    <t xml:space="preserve"> 32055.5038 </t>
  </si>
  <si>
    <t xml:space="preserve"> 67.9865 </t>
  </si>
  <si>
    <t xml:space="preserve">D:\Images\20210713\plaque 1/@05 EE2 114/B5_02.tif </t>
  </si>
  <si>
    <t xml:space="preserve"> 23814.514 </t>
  </si>
  <si>
    <t xml:space="preserve"> 68.3152 </t>
  </si>
  <si>
    <t xml:space="preserve">D:\Images\20210713\plaque 1/@05 EE2 114/B5_03.tif </t>
  </si>
  <si>
    <t xml:space="preserve"> 35710.956 </t>
  </si>
  <si>
    <t xml:space="preserve"> 68.2629 </t>
  </si>
  <si>
    <t xml:space="preserve">D:\Images\20210713\plaque 1/@05 EE2 114/C5_01.tif </t>
  </si>
  <si>
    <t xml:space="preserve"> 68.905 </t>
  </si>
  <si>
    <t xml:space="preserve">D:\Images\20210713\plaque 1/@05 EE2 114/C5_02.tif </t>
  </si>
  <si>
    <t xml:space="preserve"> 44882.0314 </t>
  </si>
  <si>
    <t xml:space="preserve"> 69.2757 </t>
  </si>
  <si>
    <t xml:space="preserve">D:\Images\20210713\plaque 1/@05 EE2 114/C5_03.tif </t>
  </si>
  <si>
    <t xml:space="preserve"> 43086.7501 </t>
  </si>
  <si>
    <t xml:space="preserve"> 68.4096 </t>
  </si>
  <si>
    <t xml:space="preserve">D:\Images\20210713\plaque 1/@05 EE2 114/D5_01.tif </t>
  </si>
  <si>
    <t xml:space="preserve"> 22105.7523 </t>
  </si>
  <si>
    <t xml:space="preserve"> 68.5714 </t>
  </si>
  <si>
    <t xml:space="preserve">D:\Images\20210713\plaque 1/@05 EE2 114/D5_02.tif </t>
  </si>
  <si>
    <t xml:space="preserve"> 38241.6537 </t>
  </si>
  <si>
    <t xml:space="preserve"> 95.573 </t>
  </si>
  <si>
    <t xml:space="preserve">D:\Images\20210713\plaque 1/@05 EE2 114/D5_03.tif </t>
  </si>
  <si>
    <t xml:space="preserve"> 27945.8239 </t>
  </si>
  <si>
    <t xml:space="preserve"> 86.0015 </t>
  </si>
  <si>
    <t>D:\Images\20210713\plaque 1/@05 EE2 114/E5_01- exclu.tif</t>
  </si>
  <si>
    <t>D:\Images\20210713\plaque 1/@05 EE2 114/E5_02- exclu.tif</t>
  </si>
  <si>
    <t xml:space="preserve">D:\Images\20210713\plaque 1/@05 EE2 114/E5_03.tif </t>
  </si>
  <si>
    <t xml:space="preserve"> 34434.7922 </t>
  </si>
  <si>
    <t xml:space="preserve"> 67.7425 </t>
  </si>
  <si>
    <t xml:space="preserve">D:\Images\20210713\plaque 1/@05 EE2 114/F5_01.tif </t>
  </si>
  <si>
    <t xml:space="preserve"> 68.4632 </t>
  </si>
  <si>
    <t xml:space="preserve">D:\Images\20210713\plaque 1/@05 EE2 114/F5_02.tif </t>
  </si>
  <si>
    <t xml:space="preserve"> 69.1479 </t>
  </si>
  <si>
    <t xml:space="preserve">D:\Images\20210713\plaque 1/@05 EE2 114/F5_03.tif </t>
  </si>
  <si>
    <t xml:space="preserve"> 44341.284 </t>
  </si>
  <si>
    <t xml:space="preserve"> 69.5073 </t>
  </si>
  <si>
    <t xml:space="preserve">D:\Images\20210713\plaque 1/@05 EE2 114/G5_01.tif </t>
  </si>
  <si>
    <t xml:space="preserve"> 52993.2418 </t>
  </si>
  <si>
    <t xml:space="preserve"> 72.6482 </t>
  </si>
  <si>
    <t xml:space="preserve">D:\Images\20210713\plaque 1/@05 EE2 114/G5_02.tif </t>
  </si>
  <si>
    <t xml:space="preserve"> 50462.5442 </t>
  </si>
  <si>
    <t xml:space="preserve"> 73.9134 </t>
  </si>
  <si>
    <t xml:space="preserve">D:\Images\20210713\plaque 1/@05 EE2 114/G5_03.tif </t>
  </si>
  <si>
    <t xml:space="preserve"> 54485.7046 </t>
  </si>
  <si>
    <t xml:space="preserve"> 73.0687 </t>
  </si>
  <si>
    <t xml:space="preserve">D:\Images\20210713\plaque 1/@05 EE2 114/H5_01.tif </t>
  </si>
  <si>
    <t xml:space="preserve"> 26042.3931 </t>
  </si>
  <si>
    <t xml:space="preserve"> 65.8821 </t>
  </si>
  <si>
    <t xml:space="preserve">D:\Images\20210713\plaque 1/@05 EE2 114/H5_02.tif </t>
  </si>
  <si>
    <t xml:space="preserve"> 14600.1789 </t>
  </si>
  <si>
    <t xml:space="preserve"> 65.7052 </t>
  </si>
  <si>
    <t xml:space="preserve">D:\Images\20210713\plaque 1/@05 EE2 114/H5_03.tif </t>
  </si>
  <si>
    <t xml:space="preserve"> 21327.0761 </t>
  </si>
  <si>
    <t xml:space="preserve"> 75.8103 </t>
  </si>
  <si>
    <t xml:space="preserve">D:\Images\20210713\plaque 1/@05 EE2 114/ </t>
  </si>
  <si>
    <t xml:space="preserve"> 70.9853 </t>
  </si>
  <si>
    <t xml:space="preserve"> 6.7281 </t>
  </si>
  <si>
    <t xml:space="preserve"> 2469727.5 </t>
  </si>
  <si>
    <t xml:space="preserve"> 1072710.79 </t>
  </si>
  <si>
    <t xml:space="preserve">D:\Images\20210713\plaque 1/@06 EE2 170/A6_01.tif </t>
  </si>
  <si>
    <t xml:space="preserve"> 55480.6797 </t>
  </si>
  <si>
    <t xml:space="preserve"> 72.7505 </t>
  </si>
  <si>
    <t xml:space="preserve">D:\Images\20210713\plaque 1/@06 EE2 170/A6_02.tif </t>
  </si>
  <si>
    <t xml:space="preserve"> 69.6817 </t>
  </si>
  <si>
    <t xml:space="preserve">D:\Images\20210713\plaque 1/@06 EE2 170/A6_03.tif </t>
  </si>
  <si>
    <t xml:space="preserve"> 68.515 </t>
  </si>
  <si>
    <t xml:space="preserve">D:\Images\20210713\plaque 1/@06 EE2 170/B6_01.tif </t>
  </si>
  <si>
    <t xml:space="preserve"> 42437.8533 </t>
  </si>
  <si>
    <t xml:space="preserve"> 74.6193 </t>
  </si>
  <si>
    <t xml:space="preserve">D:\Images\20210713\plaque 1/@06 EE2 170/B6_02.tif </t>
  </si>
  <si>
    <t xml:space="preserve"> 34391.5325 </t>
  </si>
  <si>
    <t xml:space="preserve"> 79.2503 </t>
  </si>
  <si>
    <t xml:space="preserve">D:\Images\20210713\plaque 1/@06 EE2 170/B6_03.tif </t>
  </si>
  <si>
    <t xml:space="preserve"> 76.9348 </t>
  </si>
  <si>
    <t xml:space="preserve">D:\Images\20210713\plaque 1/@06 EE2 170/C6_01.tif </t>
  </si>
  <si>
    <t xml:space="preserve"> 77608.0619 </t>
  </si>
  <si>
    <t xml:space="preserve"> 77.0984 </t>
  </si>
  <si>
    <t xml:space="preserve">D:\Images\20210713\plaque 1/@06 EE2 170/C6_02.tif </t>
  </si>
  <si>
    <t xml:space="preserve"> 72719.7057 </t>
  </si>
  <si>
    <t xml:space="preserve"> 76.3046 </t>
  </si>
  <si>
    <t xml:space="preserve">D:\Images\20210713\plaque 1/@06 EE2 170/C6_03.tif </t>
  </si>
  <si>
    <t xml:space="preserve"> 76245.3786 </t>
  </si>
  <si>
    <t xml:space="preserve"> 77.9121 </t>
  </si>
  <si>
    <t xml:space="preserve">D:\Images\20210713\plaque 1/@06 EE2 170/D6_01.tif </t>
  </si>
  <si>
    <t xml:space="preserve"> 77.84 </t>
  </si>
  <si>
    <t xml:space="preserve">D:\Images\20210713\plaque 1/@06 EE2 170/D6_02.tif </t>
  </si>
  <si>
    <t xml:space="preserve"> 40837.2411 </t>
  </si>
  <si>
    <t xml:space="preserve"> 78.8056 </t>
  </si>
  <si>
    <t xml:space="preserve">D:\Images\20210713\plaque 1/@06 EE2 170/D6_03.tif </t>
  </si>
  <si>
    <t xml:space="preserve"> 39301.5185 </t>
  </si>
  <si>
    <t xml:space="preserve"> 78.426 </t>
  </si>
  <si>
    <t xml:space="preserve">D:\Images\20210713\plaque 1/@06 EE2 170/E6_01.tif </t>
  </si>
  <si>
    <t xml:space="preserve"> 37679.2764 </t>
  </si>
  <si>
    <t xml:space="preserve"> 74.4621 </t>
  </si>
  <si>
    <t xml:space="preserve">D:\Images\20210713\plaque 1/@06 EE2 170/E6_02.tif </t>
  </si>
  <si>
    <t xml:space="preserve"> 77.3832 </t>
  </si>
  <si>
    <t xml:space="preserve">D:\Images\20210713\plaque 1/@06 EE2 170/E6_03.tif </t>
  </si>
  <si>
    <t xml:space="preserve"> 77.13 </t>
  </si>
  <si>
    <t xml:space="preserve">D:\Images\20210713\plaque 1/@06 EE2 170/F6_01.tif </t>
  </si>
  <si>
    <t xml:space="preserve"> 42416.2234 </t>
  </si>
  <si>
    <t xml:space="preserve"> 70.1351 </t>
  </si>
  <si>
    <t xml:space="preserve">D:\Images\20210713\plaque 1/@06 EE2 170/F6_02.tif </t>
  </si>
  <si>
    <t xml:space="preserve"> 37960.4651 </t>
  </si>
  <si>
    <t xml:space="preserve"> 69.2467 </t>
  </si>
  <si>
    <t xml:space="preserve">D:\Images\20210713\plaque 1/@06 EE2 170/F6_03.tif </t>
  </si>
  <si>
    <t xml:space="preserve"> 39950.4154 </t>
  </si>
  <si>
    <t xml:space="preserve"> 69.307 </t>
  </si>
  <si>
    <t xml:space="preserve">D:\Images\20210713\plaque 1/@06 EE2 170/G6_01.tif </t>
  </si>
  <si>
    <t xml:space="preserve"> 61147.7121 </t>
  </si>
  <si>
    <t xml:space="preserve"> 71.2083 </t>
  </si>
  <si>
    <t xml:space="preserve">D:\Images\20210713\plaque 1/@06 EE2 170/G6_02.tif </t>
  </si>
  <si>
    <t xml:space="preserve"> 59893.1782 </t>
  </si>
  <si>
    <t xml:space="preserve"> 72.6457 </t>
  </si>
  <si>
    <t xml:space="preserve">D:\Images\20210713\plaque 1/@06 EE2 170/G6_03.tif </t>
  </si>
  <si>
    <t xml:space="preserve"> 64111.0077 </t>
  </si>
  <si>
    <t xml:space="preserve"> 73.0823 </t>
  </si>
  <si>
    <t xml:space="preserve">D:\Images\20210713\plaque 1/@06 EE2 170/H6_01.tif </t>
  </si>
  <si>
    <t xml:space="preserve"> 55264.3808 </t>
  </si>
  <si>
    <t xml:space="preserve"> 72.3746 </t>
  </si>
  <si>
    <t xml:space="preserve">D:\Images\20210713\plaque 1/@06 EE2 170/H6_02.tif </t>
  </si>
  <si>
    <t xml:space="preserve"> 56259.3559 </t>
  </si>
  <si>
    <t xml:space="preserve"> 73.6755 </t>
  </si>
  <si>
    <t xml:space="preserve">D:\Images\20210713\plaque 1/@06 EE2 170/H6_03.tif </t>
  </si>
  <si>
    <t xml:space="preserve"> 44146.6149 </t>
  </si>
  <si>
    <t xml:space="preserve"> 73.8819 </t>
  </si>
  <si>
    <t xml:space="preserve">D:\Images\20210713\plaque 1/@06 EE2 170/ </t>
  </si>
  <si>
    <t xml:space="preserve"> 74.2779 </t>
  </si>
  <si>
    <t xml:space="preserve"> 3.4064 </t>
  </si>
  <si>
    <t xml:space="preserve"> 3580693.92 </t>
  </si>
  <si>
    <t xml:space="preserve"> 1222944.3 </t>
  </si>
  <si>
    <t xml:space="preserve">D:\Images\20210713\plaque 1/@07 EE2 488/A7_01.tif </t>
  </si>
  <si>
    <t xml:space="preserve"> 57016.4022 </t>
  </si>
  <si>
    <t xml:space="preserve"> 82.2807 </t>
  </si>
  <si>
    <t xml:space="preserve">D:\Images\20210713\plaque 1/@07 EE2 488/A7_02.tif </t>
  </si>
  <si>
    <t xml:space="preserve"> 72827.8552 </t>
  </si>
  <si>
    <t xml:space="preserve"> 83.9189 </t>
  </si>
  <si>
    <t xml:space="preserve">D:\Images\20210713\plaque 1/@07 EE2 488/A7_03.tif </t>
  </si>
  <si>
    <t xml:space="preserve"> 63072.7727 </t>
  </si>
  <si>
    <t xml:space="preserve"> 86.2442 </t>
  </si>
  <si>
    <t xml:space="preserve">D:\Images\20210713\plaque 1/@07 EE2 488/B7_01.tif </t>
  </si>
  <si>
    <t xml:space="preserve"> 42156.6646 </t>
  </si>
  <si>
    <t xml:space="preserve"> 89.6824 </t>
  </si>
  <si>
    <t xml:space="preserve">D:\Images\20210713\plaque 1/@07 EE2 488/B7_02.tif </t>
  </si>
  <si>
    <t xml:space="preserve"> 90.7247 </t>
  </si>
  <si>
    <t xml:space="preserve">D:\Images\20210713\plaque 1/@07 EE2 488/B7_03.tif </t>
  </si>
  <si>
    <t xml:space="preserve"> 39236.6289 </t>
  </si>
  <si>
    <t xml:space="preserve"> 93.2172 </t>
  </si>
  <si>
    <t>D:\Images\20210713\plaque 1/@07 EE2 488/C7_01- exclu.tif</t>
  </si>
  <si>
    <t xml:space="preserve">D:\Images\20210713\plaque 1/@07 EE2 488/C7_02.tif </t>
  </si>
  <si>
    <t xml:space="preserve"> 47174.8002 </t>
  </si>
  <si>
    <t xml:space="preserve"> 91.188 </t>
  </si>
  <si>
    <t xml:space="preserve">D:\Images\20210713\plaque 1/@07 EE2 488/C7_03.tif </t>
  </si>
  <si>
    <t xml:space="preserve"> 50786.9926 </t>
  </si>
  <si>
    <t xml:space="preserve"> 89.9655 </t>
  </si>
  <si>
    <t xml:space="preserve">D:\Images\20210713\plaque 1/@07 EE2 488/D7_01.tif </t>
  </si>
  <si>
    <t xml:space="preserve"> 61753.3492 </t>
  </si>
  <si>
    <t xml:space="preserve"> 85.6392 </t>
  </si>
  <si>
    <t xml:space="preserve">D:\Images\20210713\plaque 1/@07 EE2 488/D7_02.tif </t>
  </si>
  <si>
    <t xml:space="preserve"> 56843.3631 </t>
  </si>
  <si>
    <t xml:space="preserve"> 83.118 </t>
  </si>
  <si>
    <t xml:space="preserve">D:\Images\20210713\plaque 1/@07 EE2 488/D7_03.tif </t>
  </si>
  <si>
    <t xml:space="preserve"> 59395.6907 </t>
  </si>
  <si>
    <t xml:space="preserve"> 85.512 </t>
  </si>
  <si>
    <t xml:space="preserve">D:\Images\20210713\plaque 1/@07 EE2 488/E7_01.tif </t>
  </si>
  <si>
    <t xml:space="preserve"> 61212.6018 </t>
  </si>
  <si>
    <t xml:space="preserve"> 85.3346 </t>
  </si>
  <si>
    <t xml:space="preserve">D:\Images\20210713\plaque 1/@07 EE2 488/E7_02.tif </t>
  </si>
  <si>
    <t xml:space="preserve"> 53296.0604 </t>
  </si>
  <si>
    <t xml:space="preserve"> 86.3661 </t>
  </si>
  <si>
    <t xml:space="preserve">D:\Images\20210713\plaque 1/@07 EE2 488/E7_03.tif </t>
  </si>
  <si>
    <t xml:space="preserve"> 55783.4982 </t>
  </si>
  <si>
    <t xml:space="preserve"> 85.4684 </t>
  </si>
  <si>
    <t xml:space="preserve">D:\Images\20210713\plaque 1/@07 EE2 488/F7_01.tif </t>
  </si>
  <si>
    <t xml:space="preserve"> 69691.5205 </t>
  </si>
  <si>
    <t xml:space="preserve"> 95.5453 </t>
  </si>
  <si>
    <t xml:space="preserve">D:\Images\20210713\plaque 1/@07 EE2 488/F7_02.tif </t>
  </si>
  <si>
    <t xml:space="preserve"> 64067.7479 </t>
  </si>
  <si>
    <t xml:space="preserve"> 97.4976 </t>
  </si>
  <si>
    <t>D:\Images\20210713\plaque 1/@07 EE2 488/F7_03- exclu.tif</t>
  </si>
  <si>
    <t xml:space="preserve">D:\Images\20210713\plaque 1/@07 EE2 488/G7_01.tif </t>
  </si>
  <si>
    <t xml:space="preserve"> 64997.8334 </t>
  </si>
  <si>
    <t xml:space="preserve"> 84.4696 </t>
  </si>
  <si>
    <t xml:space="preserve">D:\Images\20210713\plaque 1/@07 EE2 488/G7_02.tif </t>
  </si>
  <si>
    <t xml:space="preserve"> 60498.8153 </t>
  </si>
  <si>
    <t xml:space="preserve"> 83.5038 </t>
  </si>
  <si>
    <t xml:space="preserve">D:\Images\20210713\plaque 1/@07 EE2 488/G7_03.tif </t>
  </si>
  <si>
    <t xml:space="preserve"> 86.3819 </t>
  </si>
  <si>
    <t xml:space="preserve">D:\Images\20210713\plaque 1/@07 EE2 488/H7_01.tif </t>
  </si>
  <si>
    <t xml:space="preserve"> 60044.5875 </t>
  </si>
  <si>
    <t xml:space="preserve"> 92.1441 </t>
  </si>
  <si>
    <t xml:space="preserve">D:\Images\20210713\plaque 1/@07 EE2 488/H7_02.tif </t>
  </si>
  <si>
    <t xml:space="preserve"> 67485.2712 </t>
  </si>
  <si>
    <t xml:space="preserve"> 92.4978 </t>
  </si>
  <si>
    <t xml:space="preserve">D:\Images\20210713\plaque 1/@07 EE2 488/H7_03.tif </t>
  </si>
  <si>
    <t xml:space="preserve"> 59914.8081 </t>
  </si>
  <si>
    <t xml:space="preserve"> 92.0397 </t>
  </si>
  <si>
    <t xml:space="preserve">D:\Images\20210713\plaque 1/@07 EE2 488/ </t>
  </si>
  <si>
    <t xml:space="preserve"> 88.7122 </t>
  </si>
  <si>
    <t xml:space="preserve"> 4.8403 </t>
  </si>
  <si>
    <t xml:space="preserve"> 4981287.21 </t>
  </si>
  <si>
    <t xml:space="preserve"> 1058141.58 </t>
  </si>
  <si>
    <t xml:space="preserve">D:\Images\20210713\plaque 1/@08tam 30.2µg_L/A8_01.tif </t>
  </si>
  <si>
    <t xml:space="preserve"> 65.9126 </t>
  </si>
  <si>
    <t xml:space="preserve">D:\Images\20210713\plaque 1/@08tam 30.2µg_L/A8_02.tif </t>
  </si>
  <si>
    <t xml:space="preserve"> 65.1224 </t>
  </si>
  <si>
    <t xml:space="preserve">D:\Images\20210713\plaque 1/@08tam 30.2µg_L/A8_03.tif </t>
  </si>
  <si>
    <t xml:space="preserve"> 7116.2353 </t>
  </si>
  <si>
    <t xml:space="preserve"> 65.8723 </t>
  </si>
  <si>
    <t xml:space="preserve">D:\Images\20210713\plaque 1/@08tam 30.2µg_L/B8_01.tif </t>
  </si>
  <si>
    <t xml:space="preserve"> 63.4781 </t>
  </si>
  <si>
    <t xml:space="preserve">D:\Images\20210713\plaque 1/@08tam 30.2µg_L/B8_02.tif </t>
  </si>
  <si>
    <t xml:space="preserve"> 5061.3953 </t>
  </si>
  <si>
    <t xml:space="preserve"> 67.0641 </t>
  </si>
  <si>
    <t xml:space="preserve">D:\Images\20210713\plaque 1/@08tam 30.2µg_L/B8_03.tif </t>
  </si>
  <si>
    <t xml:space="preserve"> 4434.1284 </t>
  </si>
  <si>
    <t xml:space="preserve"> 64.3073 </t>
  </si>
  <si>
    <t xml:space="preserve">D:\Images\20210713\plaque 1/@08tam 30.2µg_L/C8_01.tif </t>
  </si>
  <si>
    <t xml:space="preserve"> 69.312 </t>
  </si>
  <si>
    <t xml:space="preserve">D:\Images\20210713\plaque 1/@08tam 30.2µg_L/C8_02.tif </t>
  </si>
  <si>
    <t xml:space="preserve"> 11334.0648 </t>
  </si>
  <si>
    <t xml:space="preserve"> 69.2004 </t>
  </si>
  <si>
    <t xml:space="preserve">D:\Images\20210713\plaque 1/@08tam 30.2µg_L/C8_03.tif </t>
  </si>
  <si>
    <t xml:space="preserve"> 7959.8012 </t>
  </si>
  <si>
    <t xml:space="preserve"> 67.4457 </t>
  </si>
  <si>
    <t xml:space="preserve">D:\Images\20210713\plaque 1/@08tam 30.2µg_L/D8_01.tif </t>
  </si>
  <si>
    <t xml:space="preserve"> 63.403 </t>
  </si>
  <si>
    <t xml:space="preserve">D:\Images\20210713\plaque 1/@08tam 30.2µg_L/D8_02.tif </t>
  </si>
  <si>
    <t xml:space="preserve"> 66.4895 </t>
  </si>
  <si>
    <t xml:space="preserve">D:\Images\20210713\plaque 1/@08tam 30.2µg_L/D8_03.tif </t>
  </si>
  <si>
    <t xml:space="preserve"> 63.4561 </t>
  </si>
  <si>
    <t xml:space="preserve">D:\Images\20210713\plaque 1/@08tam 30.2µg_L/E8_01.tif </t>
  </si>
  <si>
    <t xml:space="preserve"> 72.8547 </t>
  </si>
  <si>
    <t xml:space="preserve">D:\Images\20210713\plaque 1/@08tam 30.2µg_L/E8_02.tif </t>
  </si>
  <si>
    <t xml:space="preserve"> 8392.3991 </t>
  </si>
  <si>
    <t xml:space="preserve"> 70.768 </t>
  </si>
  <si>
    <t xml:space="preserve">D:\Images\20210713\plaque 1/@08tam 30.2µg_L/E8_03.tif </t>
  </si>
  <si>
    <t xml:space="preserve"> 6986.456 </t>
  </si>
  <si>
    <t xml:space="preserve"> 69.4149 </t>
  </si>
  <si>
    <t xml:space="preserve">D:\Images\20210713\plaque 1/@08tam 30.2µg_L/F8_01.tif </t>
  </si>
  <si>
    <t xml:space="preserve"> 10944.7267 </t>
  </si>
  <si>
    <t xml:space="preserve"> 65.3458 </t>
  </si>
  <si>
    <t xml:space="preserve">D:\Images\20210713\plaque 1/@08tam 30.2µg_L/F8_02.tif </t>
  </si>
  <si>
    <t xml:space="preserve">D:\Images\20210713\plaque 1/@08tam 30.2µg_L/F8_03.tif </t>
  </si>
  <si>
    <t xml:space="preserve"> 62.759 </t>
  </si>
  <si>
    <t xml:space="preserve">D:\Images\20210713\plaque 1/@08tam 30.2µg_L/G8_01.tif </t>
  </si>
  <si>
    <t xml:space="preserve"> 68.0835 </t>
  </si>
  <si>
    <t xml:space="preserve">D:\Images\20210713\plaque 1/@08tam 30.2µg_L/G8_02.tif </t>
  </si>
  <si>
    <t xml:space="preserve"> 65.912 </t>
  </si>
  <si>
    <t xml:space="preserve">D:\Images\20210713\plaque 1/@08tam 30.2µg_L/G8_03.tif </t>
  </si>
  <si>
    <t xml:space="preserve"> 9819.9722 </t>
  </si>
  <si>
    <t xml:space="preserve"> 70.2907 </t>
  </si>
  <si>
    <t xml:space="preserve">D:\Images\20210713\plaque 1/@08tam 30.2µg_L/H8_01.tif </t>
  </si>
  <si>
    <t xml:space="preserve"> 10447.2391 </t>
  </si>
  <si>
    <t xml:space="preserve"> 75.0642 </t>
  </si>
  <si>
    <t xml:space="preserve">D:\Images\20210713\plaque 1/@08tam 30.2µg_L/H8_02.tif </t>
  </si>
  <si>
    <t xml:space="preserve"> 63.5693 </t>
  </si>
  <si>
    <t xml:space="preserve">D:\Images\20210713\plaque 1/@08tam 30.2µg_L/H8_03.tif </t>
  </si>
  <si>
    <t xml:space="preserve"> 64.5492 </t>
  </si>
  <si>
    <t xml:space="preserve">D:\Images\20210713\plaque 1/@08tam 30.2µg_L/ </t>
  </si>
  <si>
    <t xml:space="preserve"> 66.7885 </t>
  </si>
  <si>
    <t xml:space="preserve"> 3.2691 </t>
  </si>
  <si>
    <t xml:space="preserve"> 449422.292 </t>
  </si>
  <si>
    <t xml:space="preserve"> 243824.642 </t>
  </si>
  <si>
    <t xml:space="preserve">D:\Images\20210713\plaque 1/@09 tam 60.4µg_L/A9_01.tif </t>
  </si>
  <si>
    <t xml:space="preserve"> 65.4537 </t>
  </si>
  <si>
    <t xml:space="preserve">D:\Images\20210713\plaque 1/@09 tam 60.4µg_L/A9_02.tif </t>
  </si>
  <si>
    <t xml:space="preserve"> 66.4688 </t>
  </si>
  <si>
    <t xml:space="preserve">D:\Images\20210713\plaque 1/@09 tam 60.4µg_L/A9_03.tif </t>
  </si>
  <si>
    <t xml:space="preserve"> 65.9605 </t>
  </si>
  <si>
    <t xml:space="preserve">D:\Images\20210713\plaque 1/@09 tam 60.4µg_L/B9_01.tif </t>
  </si>
  <si>
    <t xml:space="preserve"> 63.81 </t>
  </si>
  <si>
    <t xml:space="preserve">D:\Images\20210713\plaque 1/@09 tam 60.4µg_L/B9_02.tif </t>
  </si>
  <si>
    <t xml:space="preserve"> 62.8235 </t>
  </si>
  <si>
    <t xml:space="preserve">D:\Images\20210713\plaque 1/@09 tam 60.4µg_L/B9_03.tif </t>
  </si>
  <si>
    <t xml:space="preserve"> 65.05 </t>
  </si>
  <si>
    <t xml:space="preserve">D:\Images\20210713\plaque 1/@09 tam 60.4µg_L/C9_01.tif </t>
  </si>
  <si>
    <t xml:space="preserve"> 4023.1604 </t>
  </si>
  <si>
    <t xml:space="preserve"> 67.7688 </t>
  </si>
  <si>
    <t xml:space="preserve">D:\Images\20210713\plaque 1/@09 tam 60.4µg_L/C9_02.tif </t>
  </si>
  <si>
    <t xml:space="preserve"> 62.7647 </t>
  </si>
  <si>
    <t xml:space="preserve">D:\Images\20210713\plaque 1/@09 tam 60.4µg_L/C9_03.tif </t>
  </si>
  <si>
    <t xml:space="preserve"> 66.3953 </t>
  </si>
  <si>
    <t xml:space="preserve">D:\Images\20210713\plaque 1/@09 tam 60.4µg_L/D9_01.tif </t>
  </si>
  <si>
    <t xml:space="preserve"> 63.7292 </t>
  </si>
  <si>
    <t xml:space="preserve">D:\Images\20210713\plaque 1/@09 tam 60.4µg_L/D9_02.tif </t>
  </si>
  <si>
    <t xml:space="preserve"> 65.1732 </t>
  </si>
  <si>
    <t xml:space="preserve">D:\Images\20210713\plaque 1/@09 tam 60.4µg_L/D9_03.tif </t>
  </si>
  <si>
    <t xml:space="preserve"> 63.4643 </t>
  </si>
  <si>
    <t xml:space="preserve">D:\Images\20210713\plaque 1/@09 tam 60.4µg_L/E9_01.tif </t>
  </si>
  <si>
    <t xml:space="preserve"> 66.8103 </t>
  </si>
  <si>
    <t xml:space="preserve">D:\Images\20210713\plaque 1/@09 tam 60.4µg_L/E9_02.tif </t>
  </si>
  <si>
    <t xml:space="preserve"> 2941.6657 </t>
  </si>
  <si>
    <t xml:space="preserve"> 64.4412 </t>
  </si>
  <si>
    <t xml:space="preserve">D:\Images\20210713\plaque 1/@09 tam 60.4µg_L/E9_03.tif </t>
  </si>
  <si>
    <t xml:space="preserve"> 2184.6194 </t>
  </si>
  <si>
    <t xml:space="preserve"> 65.7228 </t>
  </si>
  <si>
    <t xml:space="preserve">D:\Images\20210713\plaque 1/@09 tam 60.4µg_L/F9_01.tif </t>
  </si>
  <si>
    <t xml:space="preserve"> 65.45 </t>
  </si>
  <si>
    <t xml:space="preserve">D:\Images\20210713\plaque 1/@09 tam 60.4µg_L/F9_02.tif </t>
  </si>
  <si>
    <t xml:space="preserve"> 64.6548 </t>
  </si>
  <si>
    <t xml:space="preserve">D:\Images\20210713\plaque 1/@09 tam 60.4µg_L/F9_03.tif </t>
  </si>
  <si>
    <t xml:space="preserve"> 62.5227 </t>
  </si>
  <si>
    <t xml:space="preserve">D:\Images\20210713\plaque 1/@09 tam 60.4µg_L/G9_01.tif </t>
  </si>
  <si>
    <t xml:space="preserve"> 5948.221 </t>
  </si>
  <si>
    <t xml:space="preserve"> 69.9418 </t>
  </si>
  <si>
    <t xml:space="preserve">D:\Images\20210713\plaque 1/@09 tam 60.4µg_L/G9_02.tif </t>
  </si>
  <si>
    <t xml:space="preserve"> 78.5739 </t>
  </si>
  <si>
    <t xml:space="preserve">D:\Images\20210713\plaque 1/@09 tam 60.4µg_L/G9_03.tif </t>
  </si>
  <si>
    <t xml:space="preserve"> 77.7757 </t>
  </si>
  <si>
    <t xml:space="preserve">D:\Images\20210713\plaque 1/@09 tam 60.4µg_L/H9_01.tif </t>
  </si>
  <si>
    <t xml:space="preserve"> 64.5137 </t>
  </si>
  <si>
    <t xml:space="preserve">D:\Images\20210713\plaque 1/@09 tam 60.4µg_L/H9_02.tif </t>
  </si>
  <si>
    <t xml:space="preserve"> 5039.7654 </t>
  </si>
  <si>
    <t xml:space="preserve"> 67.2403 </t>
  </si>
  <si>
    <t xml:space="preserve">D:\Images\20210713\plaque 1/@09 tam 60.4µg_L/H9_03.tif </t>
  </si>
  <si>
    <t xml:space="preserve"> 66.1429 </t>
  </si>
  <si>
    <t xml:space="preserve">D:\Images\20210713\plaque 1/@09 tam 60.4µg_L/ </t>
  </si>
  <si>
    <t xml:space="preserve"> 66.3605 </t>
  </si>
  <si>
    <t xml:space="preserve"> 4.0252 </t>
  </si>
  <si>
    <t xml:space="preserve"> 299567.708 </t>
  </si>
  <si>
    <t xml:space="preserve"> 262100.703 </t>
  </si>
  <si>
    <t xml:space="preserve">D:\Images\20210713\plaque 1/@10 tam 121µg_L/A10_01.tif </t>
  </si>
  <si>
    <t xml:space="preserve"> 62.8514 </t>
  </si>
  <si>
    <t xml:space="preserve">D:\Images\20210713\plaque 1/@10 tam 121µg_L/A10_02.tif </t>
  </si>
  <si>
    <t xml:space="preserve">D:\Images\20210713\plaque 1/@10 tam 121µg_L/A10_03.tif </t>
  </si>
  <si>
    <t xml:space="preserve"> 63.6667 </t>
  </si>
  <si>
    <t xml:space="preserve">D:\Images\20210713\plaque 1/@10 tam 121µg_L/B10_01.tif </t>
  </si>
  <si>
    <t xml:space="preserve"> 7094.6054 </t>
  </si>
  <si>
    <t xml:space="preserve"> 65.4177 </t>
  </si>
  <si>
    <t xml:space="preserve">D:\Images\20210713\plaque 1/@10 tam 121µg_L/B10_02.tif </t>
  </si>
  <si>
    <t xml:space="preserve"> 64.9378 </t>
  </si>
  <si>
    <t xml:space="preserve">D:\Images\20210713\plaque 1/@10 tam 121µg_L/B10_03.tif </t>
  </si>
  <si>
    <t xml:space="preserve"> 64.9752 </t>
  </si>
  <si>
    <t xml:space="preserve">D:\Images\20210713\plaque 1/@10 tam 121µg_L/C10_01.tif </t>
  </si>
  <si>
    <t xml:space="preserve"> 65.2249 </t>
  </si>
  <si>
    <t xml:space="preserve">D:\Images\20210713\plaque 1/@10 tam 121µg_L/C10_02.tif </t>
  </si>
  <si>
    <t xml:space="preserve">D:\Images\20210713\plaque 1/@10 tam 121µg_L/C10_03.tif </t>
  </si>
  <si>
    <t xml:space="preserve"> 65.7338 </t>
  </si>
  <si>
    <t xml:space="preserve">D:\Images\20210713\plaque 1/@10 tam 121µg_L/D10_01.tif </t>
  </si>
  <si>
    <t xml:space="preserve"> 14686.6985 </t>
  </si>
  <si>
    <t xml:space="preserve"> 66.2062 </t>
  </si>
  <si>
    <t xml:space="preserve">D:\Images\20210713\plaque 1/@10 tam 121µg_L/D10_02.tif </t>
  </si>
  <si>
    <t xml:space="preserve"> 66.4851 </t>
  </si>
  <si>
    <t xml:space="preserve">D:\Images\20210713\plaque 1/@10 tam 121µg_L/D10_03.tif </t>
  </si>
  <si>
    <t xml:space="preserve"> 67.0789 </t>
  </si>
  <si>
    <t xml:space="preserve">D:\Images\20210713\plaque 1/@10 tam 121µg_L/E10_01.tif </t>
  </si>
  <si>
    <t xml:space="preserve"> 63.6555 </t>
  </si>
  <si>
    <t>D:\Images\20210713\plaque 1/@10 tam 121µg_L/E10_02- exclu.tif</t>
  </si>
  <si>
    <t xml:space="preserve">D:\Images\20210713\plaque 1/@10 tam 121µg_L/E10_03.tif </t>
  </si>
  <si>
    <t xml:space="preserve"> 63.0476 </t>
  </si>
  <si>
    <t xml:space="preserve">D:\Images\20210713\plaque 1/@10 tam 121µg_L/F10_01.tif </t>
  </si>
  <si>
    <t xml:space="preserve"> 67.3466 </t>
  </si>
  <si>
    <t xml:space="preserve">D:\Images\20210713\plaque 1/@10 tam 121µg_L/F10_02.tif </t>
  </si>
  <si>
    <t xml:space="preserve"> 69.7598 </t>
  </si>
  <si>
    <t xml:space="preserve">D:\Images\20210713\plaque 1/@10 tam 121µg_L/F10_03.tif </t>
  </si>
  <si>
    <t xml:space="preserve"> 64.8276 </t>
  </si>
  <si>
    <t>D:\Images\20210713\plaque 1/@10 tam 121µg_L/G10_01- exclu.tif</t>
  </si>
  <si>
    <t xml:space="preserve">D:\Images\20210713\plaque 1/@10 tam 121µg_L/G10_02.tif </t>
  </si>
  <si>
    <t xml:space="preserve">D:\Images\20210713\plaque 1/@10 tam 121µg_L/G10_03.tif </t>
  </si>
  <si>
    <t xml:space="preserve"> 64.4082 </t>
  </si>
  <si>
    <t xml:space="preserve">D:\Images\20210713\plaque 1/@10 tam 121µg_L/H10_01.tif </t>
  </si>
  <si>
    <t xml:space="preserve"> 29546.4361 </t>
  </si>
  <si>
    <t xml:space="preserve"> 67.6296 </t>
  </si>
  <si>
    <t xml:space="preserve">D:\Images\20210713\plaque 1/@10 tam 121µg_L/H10_02.tif </t>
  </si>
  <si>
    <t xml:space="preserve"> 23619.8449 </t>
  </si>
  <si>
    <t xml:space="preserve"> 68.1676 </t>
  </si>
  <si>
    <t xml:space="preserve">D:\Images\20210713\plaque 1/@10 tam 121µg_L/H10_03.tif </t>
  </si>
  <si>
    <t xml:space="preserve"> 22257.1616 </t>
  </si>
  <si>
    <t xml:space="preserve"> 67.7026 </t>
  </si>
  <si>
    <t xml:space="preserve">D:\Images\20210713\plaque 1/@10 tam 121µg_L/ </t>
  </si>
  <si>
    <t xml:space="preserve"> 65.3463 </t>
  </si>
  <si>
    <t xml:space="preserve"> 1.8594 </t>
  </si>
  <si>
    <t xml:space="preserve"> 466137.75 </t>
  </si>
  <si>
    <t xml:space="preserve"> 577460.295 </t>
  </si>
  <si>
    <t xml:space="preserve">D:\Images\20210713\plaque 1/@11 tam 242µg_L/A11_01.tif </t>
  </si>
  <si>
    <t xml:space="preserve"> 4001.5305 </t>
  </si>
  <si>
    <t xml:space="preserve"> 65.627 </t>
  </si>
  <si>
    <t xml:space="preserve">D:\Images\20210713\plaque 1/@11 tam 242µg_L/A11_02.tif </t>
  </si>
  <si>
    <t xml:space="preserve"> 63.3818 </t>
  </si>
  <si>
    <t xml:space="preserve">D:\Images\20210713\plaque 1/@11 tam 242µg_L/A11_03.tif </t>
  </si>
  <si>
    <t xml:space="preserve"> 63.0161 </t>
  </si>
  <si>
    <t xml:space="preserve">D:\Images\20210713\plaque 1/@11 tam 242µg_L/B11_01.tif </t>
  </si>
  <si>
    <t xml:space="preserve"> 69.8419 </t>
  </si>
  <si>
    <t xml:space="preserve">D:\Images\20210713\plaque 1/@11 tam 242µg_L/B11_02.tif </t>
  </si>
  <si>
    <t xml:space="preserve"> 66.6 </t>
  </si>
  <si>
    <t xml:space="preserve">D:\Images\20210713\plaque 1/@11 tam 242µg_L/B11_03.tif </t>
  </si>
  <si>
    <t xml:space="preserve"> 67.2918 </t>
  </si>
  <si>
    <t xml:space="preserve">D:\Images\20210713\plaque 1/@11 tam 242µg_L/C11_01.tif </t>
  </si>
  <si>
    <t xml:space="preserve"> 14427.1397 </t>
  </si>
  <si>
    <t xml:space="preserve"> 65.0405 </t>
  </si>
  <si>
    <t xml:space="preserve">D:\Images\20210713\plaque 1/@11 tam 242µg_L/C11_02.tif </t>
  </si>
  <si>
    <t xml:space="preserve"> 20483.5102 </t>
  </si>
  <si>
    <t xml:space="preserve"> 67.8163 </t>
  </si>
  <si>
    <t xml:space="preserve">D:\Images\20210713\plaque 1/@11 tam 242µg_L/C11_03.tif </t>
  </si>
  <si>
    <t xml:space="preserve"> 21175.6668 </t>
  </si>
  <si>
    <t xml:space="preserve"> 67.621 </t>
  </si>
  <si>
    <t>D:\Images\20210713\plaque 1/@11 tam 242µg_L/D11_01- exclu.tif</t>
  </si>
  <si>
    <t>D:\Images\20210713\plaque 1/@11 tam 242µg_L/D11_02- exclu.tif</t>
  </si>
  <si>
    <t>D:\Images\20210713\plaque 1/@11 tam 242µg_L/D11_03- exclu.tif</t>
  </si>
  <si>
    <t xml:space="preserve">D:\Images\20210713\plaque 1/@11 tam 242µg_L/E11_01.tif </t>
  </si>
  <si>
    <t xml:space="preserve"> 8846.6269 </t>
  </si>
  <si>
    <t xml:space="preserve"> 63.9829 </t>
  </si>
  <si>
    <t xml:space="preserve">D:\Images\20210713\plaque 1/@11 tam 242µg_L/E11_02.tif </t>
  </si>
  <si>
    <t xml:space="preserve"> 18385.4104 </t>
  </si>
  <si>
    <t xml:space="preserve"> 65.1365 </t>
  </si>
  <si>
    <t xml:space="preserve">D:\Images\20210713\plaque 1/@11 tam 242µg_L/E11_03.tif </t>
  </si>
  <si>
    <t xml:space="preserve"> 64.7347 </t>
  </si>
  <si>
    <t xml:space="preserve">D:\Images\20210713\plaque 1/@11 tam 242µg_L/F11_01.tif </t>
  </si>
  <si>
    <t xml:space="preserve"> 62.9387 </t>
  </si>
  <si>
    <t>D:\Images\20210713\plaque 1/@11 tam 242µg_L/F11_02- exclu.tif</t>
  </si>
  <si>
    <t xml:space="preserve">D:\Images\20210713\plaque 1/@11 tam 242µg_L/F11_03.tif </t>
  </si>
  <si>
    <t xml:space="preserve"> 63.6677 </t>
  </si>
  <si>
    <t xml:space="preserve">D:\Images\20210713\plaque 1/@11 tam 242µg_L/G11_01.tif </t>
  </si>
  <si>
    <t xml:space="preserve"> 66.5095 </t>
  </si>
  <si>
    <t xml:space="preserve">D:\Images\20210713\plaque 1/@11 tam 242µg_L/G11_02.tif </t>
  </si>
  <si>
    <t xml:space="preserve"> 8803.3671 </t>
  </si>
  <si>
    <t xml:space="preserve"> 64.8157 </t>
  </si>
  <si>
    <t xml:space="preserve">D:\Images\20210713\plaque 1/@11 tam 242µg_L/G11_03.tif </t>
  </si>
  <si>
    <t xml:space="preserve"> 10901.4669 </t>
  </si>
  <si>
    <t xml:space="preserve"> 65.1091 </t>
  </si>
  <si>
    <t xml:space="preserve">D:\Images\20210713\plaque 1/@11 tam 242µg_L/H11_01.tif </t>
  </si>
  <si>
    <t xml:space="preserve"> 12610.2286 </t>
  </si>
  <si>
    <t xml:space="preserve"> 73.8696 </t>
  </si>
  <si>
    <t xml:space="preserve">D:\Images\20210713\plaque 1/@11 tam 242µg_L/H11_02.tif </t>
  </si>
  <si>
    <t xml:space="preserve"> 66.7605 </t>
  </si>
  <si>
    <t xml:space="preserve">D:\Images\20210713\plaque 1/@11 tam 242µg_L/H11_03.tif </t>
  </si>
  <si>
    <t xml:space="preserve"> 9711.8227 </t>
  </si>
  <si>
    <t xml:space="preserve"> 66.559 </t>
  </si>
  <si>
    <t xml:space="preserve">D:\Images\20210713\plaque 1/@11 tam 242µg_L/ </t>
  </si>
  <si>
    <t xml:space="preserve"> 66.2503 </t>
  </si>
  <si>
    <t xml:space="preserve"> 2.8153 </t>
  </si>
  <si>
    <t xml:space="preserve"> 672070.583 </t>
  </si>
  <si>
    <t xml:space="preserve"> 455041.049 </t>
  </si>
  <si>
    <t xml:space="preserve">D:\Images\20210713\plaque 1/@12 tam 483µg_L/A12_01.tif </t>
  </si>
  <si>
    <t xml:space="preserve"> 52928.3522 </t>
  </si>
  <si>
    <t xml:space="preserve"> 81.1631 </t>
  </si>
  <si>
    <t xml:space="preserve">D:\Images\20210713\plaque 1/@12 tam 483µg_L/A12_02.tif </t>
  </si>
  <si>
    <t xml:space="preserve"> 52344.345 </t>
  </si>
  <si>
    <t xml:space="preserve"> 82.0905 </t>
  </si>
  <si>
    <t>D:\Images\20210713\plaque 1/@12 tam 483µg_L/A12_03- exclu.tif</t>
  </si>
  <si>
    <t xml:space="preserve">D:\Images\20210713\plaque 1/@12 tam 483µg_L/B12_01.tif </t>
  </si>
  <si>
    <t xml:space="preserve"> 8132.8404 </t>
  </si>
  <si>
    <t xml:space="preserve"> 68.0771 </t>
  </si>
  <si>
    <t xml:space="preserve">D:\Images\20210713\plaque 1/@12 tam 483µg_L/B12_02.tif </t>
  </si>
  <si>
    <t xml:space="preserve"> 64.515 </t>
  </si>
  <si>
    <t xml:space="preserve">D:\Images\20210713\plaque 1/@12 tam 483µg_L/B12_03.tif </t>
  </si>
  <si>
    <t xml:space="preserve"> 66.5924 </t>
  </si>
  <si>
    <t xml:space="preserve">D:\Images\20210713\plaque 1/@12 tam 483µg_L/C12_01.tif </t>
  </si>
  <si>
    <t xml:space="preserve"> 63.8898 </t>
  </si>
  <si>
    <t xml:space="preserve">D:\Images\20210713\plaque 1/@12 tam 483µg_L/C12_02.tif </t>
  </si>
  <si>
    <t xml:space="preserve"> 63.763 </t>
  </si>
  <si>
    <t xml:space="preserve">D:\Images\20210713\plaque 1/@12 tam 483µg_L/C12_03.tif </t>
  </si>
  <si>
    <t xml:space="preserve"> 3785.2316 </t>
  </si>
  <si>
    <t xml:space="preserve"> 63.4457 </t>
  </si>
  <si>
    <t>D:\Images\20210713\plaque 1/@12 tam 483µg_L/D12_01- exclu.tif</t>
  </si>
  <si>
    <t>D:\Images\20210713\plaque 1/@12 tam 483µg_L/D12_02- exclu.tif</t>
  </si>
  <si>
    <t xml:space="preserve">D:\Images\20210713\plaque 1/@12 tam 483µg_L/D12_03.tif </t>
  </si>
  <si>
    <t xml:space="preserve"> 17758.1435 </t>
  </si>
  <si>
    <t xml:space="preserve"> 67.1401 </t>
  </si>
  <si>
    <t xml:space="preserve">D:\Images\20210713\plaque 1/@12 tam 483µg_L/E12_01.tif </t>
  </si>
  <si>
    <t xml:space="preserve"> 29027.3186 </t>
  </si>
  <si>
    <t xml:space="preserve"> 67.4039 </t>
  </si>
  <si>
    <t xml:space="preserve">D:\Images\20210713\plaque 1/@12 tam 483µg_L/E12_02.tif </t>
  </si>
  <si>
    <t xml:space="preserve"> 26777.8096 </t>
  </si>
  <si>
    <t xml:space="preserve"> 67.1397 </t>
  </si>
  <si>
    <t xml:space="preserve">D:\Images\20210713\plaque 1/@12 tam 483µg_L/E12_03.tif </t>
  </si>
  <si>
    <t xml:space="preserve"> 66.7746 </t>
  </si>
  <si>
    <t xml:space="preserve">D:\Images\20210713\plaque 1/@12 tam 483µg_L/F12_01.tif </t>
  </si>
  <si>
    <t xml:space="preserve"> 15184.186 </t>
  </si>
  <si>
    <t xml:space="preserve"> 75.7165 </t>
  </si>
  <si>
    <t xml:space="preserve">D:\Images\20210713\plaque 1/@12 tam 483µg_L/F12_02.tif </t>
  </si>
  <si>
    <t xml:space="preserve"> 15703.3035 </t>
  </si>
  <si>
    <t xml:space="preserve"> 74.6336 </t>
  </si>
  <si>
    <t xml:space="preserve">D:\Images\20210713\plaque 1/@12 tam 483µg_L/F12_03.tif </t>
  </si>
  <si>
    <t xml:space="preserve"> 18644.9692 </t>
  </si>
  <si>
    <t xml:space="preserve"> 68.8759 </t>
  </si>
  <si>
    <t xml:space="preserve">D:\Images\20210713\plaque 1/@12 tam 483µg_L/G12_01.tif </t>
  </si>
  <si>
    <t xml:space="preserve"> 27989.0836 </t>
  </si>
  <si>
    <t xml:space="preserve"> 65.8184 </t>
  </si>
  <si>
    <t xml:space="preserve">D:\Images\20210713\plaque 1/@12 tam 483µg_L/G12_02.tif </t>
  </si>
  <si>
    <t xml:space="preserve"> 18558.4496 </t>
  </si>
  <si>
    <t xml:space="preserve"> 64.7704 </t>
  </si>
  <si>
    <t xml:space="preserve">D:\Images\20210713\plaque 1/@12 tam 483µg_L/G12_03.tif </t>
  </si>
  <si>
    <t xml:space="preserve"> 63.6922 </t>
  </si>
  <si>
    <t>D:\Images\20210713\plaque 1/@12 tam 483µg_L/H12_01- exclu.tif</t>
  </si>
  <si>
    <t xml:space="preserve">D:\Images\20210713\plaque 1/@12 tam 483µg_L/H12_02.tif </t>
  </si>
  <si>
    <t xml:space="preserve"> 21197.2967 </t>
  </si>
  <si>
    <t xml:space="preserve"> 69.598 </t>
  </si>
  <si>
    <t xml:space="preserve">D:\Images\20210713\plaque 1/@12 tam 483µg_L/H12_03.tif </t>
  </si>
  <si>
    <t xml:space="preserve"> 13540.314 </t>
  </si>
  <si>
    <t xml:space="preserve"> 65.1038 </t>
  </si>
  <si>
    <t xml:space="preserve">D:\Images\20210713\plaque 1/@12 tam 483µg_L/ </t>
  </si>
  <si>
    <t xml:space="preserve"> 70.4411 </t>
  </si>
  <si>
    <t xml:space="preserve"> 8.1331 </t>
  </si>
  <si>
    <t xml:space="preserve"> 1324835.5 </t>
  </si>
  <si>
    <t xml:space="preserve"> 1111012.85 </t>
  </si>
  <si>
    <t xml:space="preserve">D:\Images\20210713\plaque 2/@01 testo 30/A1_01.tif </t>
  </si>
  <si>
    <t xml:space="preserve"> 48818.6722 </t>
  </si>
  <si>
    <t xml:space="preserve"> 74.1843 </t>
  </si>
  <si>
    <t xml:space="preserve">D:\Images\20210713\plaque 2/@01 testo 30/A1_02.tif </t>
  </si>
  <si>
    <t xml:space="preserve"> 70.7158 </t>
  </si>
  <si>
    <t xml:space="preserve">D:\Images\20210713\plaque 2/@01 testo 30/A1_03.tif </t>
  </si>
  <si>
    <t xml:space="preserve"> 71.6198 </t>
  </si>
  <si>
    <t xml:space="preserve">D:\Images\20210713\plaque 2/@01 testo 30/B1_01.tif </t>
  </si>
  <si>
    <t xml:space="preserve"> 58617.0144 </t>
  </si>
  <si>
    <t xml:space="preserve"> 72.0978 </t>
  </si>
  <si>
    <t xml:space="preserve">D:\Images\20210713\plaque 2/@01 testo 30/B1_02.tif </t>
  </si>
  <si>
    <t xml:space="preserve"> 72.2709 </t>
  </si>
  <si>
    <t xml:space="preserve">D:\Images\20210713\plaque 2/@01 testo 30/B1_03.tif </t>
  </si>
  <si>
    <t xml:space="preserve"> 51176.3307 </t>
  </si>
  <si>
    <t xml:space="preserve"> 71.358 </t>
  </si>
  <si>
    <t xml:space="preserve">D:\Images\20210713\plaque 2/@01 testo 30/C1_01.tif </t>
  </si>
  <si>
    <t xml:space="preserve"> 46028.4158 </t>
  </si>
  <si>
    <t xml:space="preserve"> 75.6537 </t>
  </si>
  <si>
    <t xml:space="preserve">D:\Images\20210713\plaque 2/@01 testo 30/C1_02.tif </t>
  </si>
  <si>
    <t xml:space="preserve"> 48753.7825 </t>
  </si>
  <si>
    <t xml:space="preserve"> 75.2529 </t>
  </si>
  <si>
    <t xml:space="preserve">D:\Images\20210713\plaque 2/@01 testo 30/C1_03.tif </t>
  </si>
  <si>
    <t xml:space="preserve"> 70.6777 </t>
  </si>
  <si>
    <t xml:space="preserve">D:\Images\20210713\plaque 2/@01 testo 30/D1_01.tif </t>
  </si>
  <si>
    <t xml:space="preserve"> 23511.6955 </t>
  </si>
  <si>
    <t xml:space="preserve"> 71.5557 </t>
  </si>
  <si>
    <t xml:space="preserve">D:\Images\20210713\plaque 2/@01 testo 30/D1_02.tif </t>
  </si>
  <si>
    <t xml:space="preserve"> 25458.386 </t>
  </si>
  <si>
    <t xml:space="preserve"> 72.1062 </t>
  </si>
  <si>
    <t xml:space="preserve">D:\Images\20210713\plaque 2/@01 testo 30/D1_03.tif </t>
  </si>
  <si>
    <t xml:space="preserve"> 20807.9586 </t>
  </si>
  <si>
    <t xml:space="preserve"> 69.9969 </t>
  </si>
  <si>
    <t>D:\Images\20210713\plaque 2/@01 testo 30/E1_01- exclu.tif</t>
  </si>
  <si>
    <t xml:space="preserve">D:\Images\20210713\plaque 2/@01 testo 30/E1_02.tif </t>
  </si>
  <si>
    <t xml:space="preserve"> 43800.5366 </t>
  </si>
  <si>
    <t xml:space="preserve"> 70.9511 </t>
  </si>
  <si>
    <t xml:space="preserve">D:\Images\20210713\plaque 2/@01 testo 30/E1_03.tif </t>
  </si>
  <si>
    <t xml:space="preserve"> 42524.3728 </t>
  </si>
  <si>
    <t xml:space="preserve"> 69.9873 </t>
  </si>
  <si>
    <t xml:space="preserve">D:\Images\20210713\plaque 2/@01 testo 30/F1_01.tif </t>
  </si>
  <si>
    <t xml:space="preserve"> 68.7306 </t>
  </si>
  <si>
    <t xml:space="preserve">D:\Images\20210713\plaque 2/@01 testo 30/F1_02.tif </t>
  </si>
  <si>
    <t xml:space="preserve"> 20202.3216 </t>
  </si>
  <si>
    <t xml:space="preserve"> 68.1499 </t>
  </si>
  <si>
    <t xml:space="preserve">D:\Images\20210713\plaque 2/@01 testo 30/F1_03.tif </t>
  </si>
  <si>
    <t xml:space="preserve"> 18234.0012 </t>
  </si>
  <si>
    <t xml:space="preserve"> 65.9941 </t>
  </si>
  <si>
    <t xml:space="preserve">D:\Images\20210713\plaque 2/@01 testo 30/G1_01.tif </t>
  </si>
  <si>
    <t xml:space="preserve"> 68.2944 </t>
  </si>
  <si>
    <t xml:space="preserve">D:\Images\20210713\plaque 2/@01 testo 30/G1_02.tif </t>
  </si>
  <si>
    <t xml:space="preserve"> 20851.2184 </t>
  </si>
  <si>
    <t xml:space="preserve"> 70.8413 </t>
  </si>
  <si>
    <t xml:space="preserve">D:\Images\20210713\plaque 2/@01 testo 30/G1_03.tif </t>
  </si>
  <si>
    <t xml:space="preserve"> 63.2135 </t>
  </si>
  <si>
    <t xml:space="preserve">D:\Images\20210713\plaque 2/@01 testo 30/H1_01.tif </t>
  </si>
  <si>
    <t xml:space="preserve"> 46439.3838 </t>
  </si>
  <si>
    <t xml:space="preserve"> 74.6446 </t>
  </si>
  <si>
    <t xml:space="preserve">D:\Images\20210713\plaque 2/@01 testo 30/H1_02.tif </t>
  </si>
  <si>
    <t xml:space="preserve"> 74.6915 </t>
  </si>
  <si>
    <t xml:space="preserve">D:\Images\20210713\plaque 2/@01 testo 30/H1_03.tif </t>
  </si>
  <si>
    <t xml:space="preserve"> 72.5311 </t>
  </si>
  <si>
    <t xml:space="preserve">D:\Images\20210713\plaque 2/@01 testo 30/ </t>
  </si>
  <si>
    <t xml:space="preserve"> 70.9061 </t>
  </si>
  <si>
    <t xml:space="preserve"> 3.058 </t>
  </si>
  <si>
    <t xml:space="preserve"> 2486681.71 </t>
  </si>
  <si>
    <t xml:space="preserve"> 1162145.95 </t>
  </si>
  <si>
    <t xml:space="preserve">D:\Images\20210713\plaque 2/@02 testo 30/A2_01.tif </t>
  </si>
  <si>
    <t xml:space="preserve"> 55394.1601 </t>
  </si>
  <si>
    <t xml:space="preserve"> 72.9321 </t>
  </si>
  <si>
    <t xml:space="preserve">D:\Images\20210713\plaque 2/@02 testo 30/A2_02.tif </t>
  </si>
  <si>
    <t xml:space="preserve"> 63894.7087 </t>
  </si>
  <si>
    <t xml:space="preserve"> 74.0985 </t>
  </si>
  <si>
    <t xml:space="preserve">D:\Images\20210713\plaque 2/@02 testo 30/A2_03.tif </t>
  </si>
  <si>
    <t xml:space="preserve"> 65516.9508 </t>
  </si>
  <si>
    <t xml:space="preserve"> 72.8666 </t>
  </si>
  <si>
    <t xml:space="preserve">D:\Images\20210713\plaque 2/@02 testo 30/B2_01.tif </t>
  </si>
  <si>
    <t xml:space="preserve"> 41075.1699 </t>
  </si>
  <si>
    <t xml:space="preserve"> 72.4987 </t>
  </si>
  <si>
    <t xml:space="preserve">D:\Images\20210713\plaque 2/@02 testo 30/B2_02.tif </t>
  </si>
  <si>
    <t xml:space="preserve"> 73.7968 </t>
  </si>
  <si>
    <t xml:space="preserve">D:\Images\20210713\plaque 2/@02 testo 30/B2_03.tif </t>
  </si>
  <si>
    <t xml:space="preserve"> 38306.5434 </t>
  </si>
  <si>
    <t xml:space="preserve"> 71.52 </t>
  </si>
  <si>
    <t xml:space="preserve">D:\Images\20210713\plaque 2/@02 testo 30/C2_01.tif </t>
  </si>
  <si>
    <t xml:space="preserve"> 55848.3879 </t>
  </si>
  <si>
    <t xml:space="preserve"> 76.95 </t>
  </si>
  <si>
    <t xml:space="preserve">D:\Images\20210713\plaque 2/@02 testo 30/C2_02.tif </t>
  </si>
  <si>
    <t xml:space="preserve"> 58443.9753 </t>
  </si>
  <si>
    <t xml:space="preserve"> 76.7346 </t>
  </si>
  <si>
    <t xml:space="preserve">D:\Images\20210713\plaque 2/@02 testo 30/C2_03.tif </t>
  </si>
  <si>
    <t xml:space="preserve"> 51630.5585 </t>
  </si>
  <si>
    <t xml:space="preserve"> 72.5182 </t>
  </si>
  <si>
    <t xml:space="preserve">D:\Images\20210713\plaque 2/@02 testo 30/D2_01.tif </t>
  </si>
  <si>
    <t xml:space="preserve"> 19164.0866 </t>
  </si>
  <si>
    <t xml:space="preserve"> 69.5248 </t>
  </si>
  <si>
    <t xml:space="preserve">D:\Images\20210713\plaque 2/@02 testo 30/D2_02.tif </t>
  </si>
  <si>
    <t xml:space="preserve"> 13626.8336 </t>
  </si>
  <si>
    <t xml:space="preserve"> 64.8032 </t>
  </si>
  <si>
    <t xml:space="preserve">D:\Images\20210713\plaque 2/@02 testo 30/D2_03.tif </t>
  </si>
  <si>
    <t xml:space="preserve"> 11593.6235 </t>
  </si>
  <si>
    <t xml:space="preserve"> 65.0896 </t>
  </si>
  <si>
    <t xml:space="preserve">D:\Images\20210713\plaque 2/@02 testo 30/E2_01.tif </t>
  </si>
  <si>
    <t xml:space="preserve"> 11745.0328 </t>
  </si>
  <si>
    <t xml:space="preserve"> 71.4991 </t>
  </si>
  <si>
    <t xml:space="preserve">D:\Images\20210713\plaque 2/@02 testo 30/E2_02.tif </t>
  </si>
  <si>
    <t xml:space="preserve"> 74.5494 </t>
  </si>
  <si>
    <t xml:space="preserve">D:\Images\20210713\plaque 2/@02 testo 30/E2_03.tif </t>
  </si>
  <si>
    <t xml:space="preserve"> 70.895 </t>
  </si>
  <si>
    <t xml:space="preserve">D:\Images\20210713\plaque 2/@02 testo 30/F2_01.tif </t>
  </si>
  <si>
    <t xml:space="preserve"> 71.0155 </t>
  </si>
  <si>
    <t xml:space="preserve">D:\Images\20210713\plaque 2/@02 testo 30/F2_02.tif </t>
  </si>
  <si>
    <t xml:space="preserve"> 19964.3927 </t>
  </si>
  <si>
    <t xml:space="preserve"> 78.1939 </t>
  </si>
  <si>
    <t xml:space="preserve">D:\Images\20210713\plaque 2/@02 testo 30/F2_03.tif </t>
  </si>
  <si>
    <t xml:space="preserve"> 17498.5848 </t>
  </si>
  <si>
    <t xml:space="preserve"> 81.1236 </t>
  </si>
  <si>
    <t xml:space="preserve">D:\Images\20210713\plaque 2/@02 testo 30/G2_01.tif </t>
  </si>
  <si>
    <t xml:space="preserve"> 40404.6432 </t>
  </si>
  <si>
    <t xml:space="preserve"> 71.2837 </t>
  </si>
  <si>
    <t xml:space="preserve">D:\Images\20210713\plaque 2/@02 testo 30/G2_02.tif </t>
  </si>
  <si>
    <t xml:space="preserve"> 37873.9455 </t>
  </si>
  <si>
    <t xml:space="preserve"> 71.2039 </t>
  </si>
  <si>
    <t xml:space="preserve">D:\Images\20210713\plaque 2/@02 testo 30/G2_03.tif </t>
  </si>
  <si>
    <t xml:space="preserve"> 38263.2836 </t>
  </si>
  <si>
    <t xml:space="preserve"> 71.6066 </t>
  </si>
  <si>
    <t xml:space="preserve">D:\Images\20210713\plaque 2/@02 testo 30/H2_01.tif </t>
  </si>
  <si>
    <t xml:space="preserve"> 71.7036 </t>
  </si>
  <si>
    <t xml:space="preserve">D:\Images\20210713\plaque 2/@02 testo 30/H2_02.tif </t>
  </si>
  <si>
    <t xml:space="preserve"> 33699.3758 </t>
  </si>
  <si>
    <t xml:space="preserve"> 72.5719 </t>
  </si>
  <si>
    <t xml:space="preserve">D:\Images\20210713\plaque 2/@02 testo 30/H2_03.tif </t>
  </si>
  <si>
    <t xml:space="preserve"> 28335.162 </t>
  </si>
  <si>
    <t xml:space="preserve"> 72.0023 </t>
  </si>
  <si>
    <t xml:space="preserve">D:\Images\20210713\plaque 2/@02 testo 30/ </t>
  </si>
  <si>
    <t xml:space="preserve"> 72.5409 </t>
  </si>
  <si>
    <t xml:space="preserve"> 3.5376 </t>
  </si>
  <si>
    <t xml:space="preserve"> 2461235.96 </t>
  </si>
  <si>
    <t xml:space="preserve"> 1360404.56 </t>
  </si>
  <si>
    <t xml:space="preserve">D:\Images\20210713\plaque 2/@03Testo + EE2 64/A3_01.tif </t>
  </si>
  <si>
    <t xml:space="preserve"> 66360.5167 </t>
  </si>
  <si>
    <t xml:space="preserve"> 81.0671 </t>
  </si>
  <si>
    <t xml:space="preserve">D:\Images\20210713\plaque 2/@03Testo + EE2 64/A3_02.tif </t>
  </si>
  <si>
    <t xml:space="preserve"> 63137.6624 </t>
  </si>
  <si>
    <t xml:space="preserve"> 81.8177 </t>
  </si>
  <si>
    <t xml:space="preserve">D:\Images\20210713\plaque 2/@03Testo + EE2 64/A3_03.tif </t>
  </si>
  <si>
    <t xml:space="preserve"> 61428.9007 </t>
  </si>
  <si>
    <t xml:space="preserve"> 78.1187 </t>
  </si>
  <si>
    <t xml:space="preserve">D:\Images\20210713\plaque 2/@03Testo + EE2 64/B3_01.tif </t>
  </si>
  <si>
    <t xml:space="preserve"> 69020.9938 </t>
  </si>
  <si>
    <t xml:space="preserve"> 79.7656 </t>
  </si>
  <si>
    <t xml:space="preserve">D:\Images\20210713\plaque 2/@03Testo + EE2 64/B3_02.tif </t>
  </si>
  <si>
    <t xml:space="preserve"> 62834.8439 </t>
  </si>
  <si>
    <t xml:space="preserve"> 78.5208 </t>
  </si>
  <si>
    <t xml:space="preserve">D:\Images\20210713\plaque 2/@03Testo + EE2 64/B3_03.tif </t>
  </si>
  <si>
    <t xml:space="preserve"> 65343.9117 </t>
  </si>
  <si>
    <t xml:space="preserve"> 77.0626 </t>
  </si>
  <si>
    <t xml:space="preserve">D:\Images\20210713\plaque 2/@03Testo + EE2 64/C3_01.tif </t>
  </si>
  <si>
    <t xml:space="preserve"> 58097.897 </t>
  </si>
  <si>
    <t xml:space="preserve"> 75.522 </t>
  </si>
  <si>
    <t xml:space="preserve">D:\Images\20210713\plaque 2/@03Testo + EE2 64/C3_02.tif </t>
  </si>
  <si>
    <t xml:space="preserve"> 57362.4806 </t>
  </si>
  <si>
    <t xml:space="preserve"> 74.0569 </t>
  </si>
  <si>
    <t xml:space="preserve">D:\Images\20210713\plaque 2/@03Testo + EE2 64/C3_03.tif </t>
  </si>
  <si>
    <t xml:space="preserve"> 61342.3812 </t>
  </si>
  <si>
    <t xml:space="preserve"> 74.6615 </t>
  </si>
  <si>
    <t xml:space="preserve">D:\Images\20210713\plaque 2/@03Testo + EE2 64/D3_01.tif </t>
  </si>
  <si>
    <t xml:space="preserve"> 47088.2806 </t>
  </si>
  <si>
    <t xml:space="preserve"> 78.9807 </t>
  </si>
  <si>
    <t xml:space="preserve">D:\Images\20210713\plaque 2/@03Testo + EE2 64/D3_02.tif </t>
  </si>
  <si>
    <t xml:space="preserve"> 42675.7821 </t>
  </si>
  <si>
    <t xml:space="preserve"> 73.4151 </t>
  </si>
  <si>
    <t xml:space="preserve">D:\Images\20210713\plaque 2/@03Testo + EE2 64/D3_03.tif </t>
  </si>
  <si>
    <t xml:space="preserve"> 46958.5012 </t>
  </si>
  <si>
    <t xml:space="preserve"> 76.8752 </t>
  </si>
  <si>
    <t xml:space="preserve">D:\Images\20210713\plaque 2/@03Testo + EE2 64/E3_01.tif </t>
  </si>
  <si>
    <t xml:space="preserve"> 26842.6992 </t>
  </si>
  <si>
    <t xml:space="preserve"> 67.5721 </t>
  </si>
  <si>
    <t xml:space="preserve">D:\Images\20210713\plaque 2/@03Testo + EE2 64/E3_02.tif </t>
  </si>
  <si>
    <t xml:space="preserve"> 9214.3351 </t>
  </si>
  <si>
    <t xml:space="preserve"> 64.0704 </t>
  </si>
  <si>
    <t xml:space="preserve">D:\Images\20210713\plaque 2/@03Testo + EE2 64/E3_03.tif </t>
  </si>
  <si>
    <t xml:space="preserve"> 6488.9684 </t>
  </si>
  <si>
    <t xml:space="preserve">D:\Images\20210713\plaque 2/@03Testo + EE2 64/F3_01.tif </t>
  </si>
  <si>
    <t xml:space="preserve"> 79641.272 </t>
  </si>
  <si>
    <t xml:space="preserve"> 81.6871 </t>
  </si>
  <si>
    <t xml:space="preserve">D:\Images\20210713\plaque 2/@03Testo + EE2 64/F3_02.tif </t>
  </si>
  <si>
    <t xml:space="preserve"> 67615.0506 </t>
  </si>
  <si>
    <t xml:space="preserve"> 84.0841 </t>
  </si>
  <si>
    <t xml:space="preserve">D:\Images\20210713\plaque 2/@03Testo + EE2 64/F3_03.tif </t>
  </si>
  <si>
    <t xml:space="preserve"> 70989.3142 </t>
  </si>
  <si>
    <t xml:space="preserve"> 82.3601 </t>
  </si>
  <si>
    <t xml:space="preserve">D:\Images\20210713\plaque 2/@03Testo + EE2 64/G3_01.tif </t>
  </si>
  <si>
    <t xml:space="preserve"> 38760.7712 </t>
  </si>
  <si>
    <t xml:space="preserve"> 81.9626 </t>
  </si>
  <si>
    <t xml:space="preserve">D:\Images\20210713\plaque 2/@03Testo + EE2 64/G3_02.tif </t>
  </si>
  <si>
    <t xml:space="preserve"> 36230.0735 </t>
  </si>
  <si>
    <t xml:space="preserve"> 81.5433 </t>
  </si>
  <si>
    <t xml:space="preserve">D:\Images\20210713\plaque 2/@03Testo + EE2 64/G3_03.tif </t>
  </si>
  <si>
    <t xml:space="preserve"> 81.3567 </t>
  </si>
  <si>
    <t xml:space="preserve">D:\Images\20210713\plaque 2/@03Testo + EE2 64/H3_01.tif </t>
  </si>
  <si>
    <t xml:space="preserve"> 93354.6252 </t>
  </si>
  <si>
    <t xml:space="preserve"> 76.9903 </t>
  </si>
  <si>
    <t xml:space="preserve">D:\Images\20210713\plaque 2/@03Testo + EE2 64/H3_02.tif </t>
  </si>
  <si>
    <t xml:space="preserve"> 87081.9558 </t>
  </si>
  <si>
    <t xml:space="preserve"> 77.2842 </t>
  </si>
  <si>
    <t xml:space="preserve">D:\Images\20210713\plaque 2/@03Testo + EE2 64/H3_03.tif </t>
  </si>
  <si>
    <t xml:space="preserve"> 82604.5676 </t>
  </si>
  <si>
    <t xml:space="preserve"> 78.8714 </t>
  </si>
  <si>
    <t xml:space="preserve">D:\Images\20210713\plaque 2/@03Testo + EE2 64/ </t>
  </si>
  <si>
    <t xml:space="preserve"> 77.1464 </t>
  </si>
  <si>
    <t xml:space="preserve"> 5.4407 </t>
  </si>
  <si>
    <t xml:space="preserve"> 4381601.12 </t>
  </si>
  <si>
    <t xml:space="preserve"> 1796406.39 </t>
  </si>
  <si>
    <t xml:space="preserve">D:\Images\20210713\plaque 2/@04 Testo +FAD/A4_01.tif </t>
  </si>
  <si>
    <t xml:space="preserve"> 8457.2888 </t>
  </si>
  <si>
    <t xml:space="preserve"> 66.9309 </t>
  </si>
  <si>
    <t xml:space="preserve">D:\Images\20210713\plaque 2/@04 Testo +FAD/A4_02.tif </t>
  </si>
  <si>
    <t xml:space="preserve"> 9884.8618 </t>
  </si>
  <si>
    <t xml:space="preserve"> 69.9475 </t>
  </si>
  <si>
    <t xml:space="preserve">D:\Images\20210713\plaque 2/@04 Testo +FAD/A4_03.tif </t>
  </si>
  <si>
    <t xml:space="preserve"> 5861.7014 </t>
  </si>
  <si>
    <t xml:space="preserve"> 64.9852 </t>
  </si>
  <si>
    <t xml:space="preserve">D:\Images\20210713\plaque 2/@04 Testo +FAD/B4_01.tif </t>
  </si>
  <si>
    <t xml:space="preserve"> 8998.0362 </t>
  </si>
  <si>
    <t xml:space="preserve"> 70.3702 </t>
  </si>
  <si>
    <t xml:space="preserve">D:\Images\20210713\plaque 2/@04 Testo +FAD/B4_02.tif </t>
  </si>
  <si>
    <t xml:space="preserve"> 9365.7444 </t>
  </si>
  <si>
    <t xml:space="preserve"> 71.2771 </t>
  </si>
  <si>
    <t xml:space="preserve">D:\Images\20210713\plaque 2/@04 Testo +FAD/B4_03.tif </t>
  </si>
  <si>
    <t xml:space="preserve"> 1752.0215 </t>
  </si>
  <si>
    <t xml:space="preserve"> 62.5556 </t>
  </si>
  <si>
    <t xml:space="preserve">D:\Images\20210713\plaque 2/@04 Testo +FAD/C4_01.tif </t>
  </si>
  <si>
    <t xml:space="preserve"> 63.8065 </t>
  </si>
  <si>
    <t xml:space="preserve">D:\Images\20210713\plaque 2/@04 Testo +FAD/C4_02.tif </t>
  </si>
  <si>
    <t xml:space="preserve">D:\Images\20210713\plaque 2/@04 Testo +FAD/C4_03.tif </t>
  </si>
  <si>
    <t xml:space="preserve"> 63.0909 </t>
  </si>
  <si>
    <t xml:space="preserve">D:\Images\20210713\plaque 2/@04 Testo +FAD/D4_01.tif </t>
  </si>
  <si>
    <t xml:space="preserve"> 65.221 </t>
  </si>
  <si>
    <t xml:space="preserve">D:\Images\20210713\plaque 2/@04 Testo +FAD/D4_02.tif </t>
  </si>
  <si>
    <t xml:space="preserve"> 8154.4703 </t>
  </si>
  <si>
    <t xml:space="preserve"> 64.5172 </t>
  </si>
  <si>
    <t xml:space="preserve">D:\Images\20210713\plaque 2/@04 Testo +FAD/D4_03.tif </t>
  </si>
  <si>
    <t xml:space="preserve"> 4628.7975 </t>
  </si>
  <si>
    <t xml:space="preserve"> 63.6075 </t>
  </si>
  <si>
    <t xml:space="preserve">D:\Images\20210713\plaque 2/@04 Testo +FAD/E4_01.tif </t>
  </si>
  <si>
    <t xml:space="preserve"> 9993.0113 </t>
  </si>
  <si>
    <t xml:space="preserve"> 67.3571 </t>
  </si>
  <si>
    <t xml:space="preserve">D:\Images\20210713\plaque 2/@04 Testo +FAD/E4_02.tif </t>
  </si>
  <si>
    <t xml:space="preserve"> 65.0132 </t>
  </si>
  <si>
    <t xml:space="preserve">D:\Images\20210713\plaque 2/@04 Testo +FAD/E4_03.tif </t>
  </si>
  <si>
    <t xml:space="preserve"> 65.6797 </t>
  </si>
  <si>
    <t xml:space="preserve">D:\Images\20210713\plaque 2/@04 Testo +FAD/F4_01.tif </t>
  </si>
  <si>
    <t xml:space="preserve"> 63.4918 </t>
  </si>
  <si>
    <t xml:space="preserve">D:\Images\20210713\plaque 2/@04 Testo +FAD/F4_02.tif </t>
  </si>
  <si>
    <t xml:space="preserve"> 65.7886 </t>
  </si>
  <si>
    <t xml:space="preserve">D:\Images\20210713\plaque 2/@04 Testo +FAD/F4_03.tif </t>
  </si>
  <si>
    <t xml:space="preserve"> 63.2062 </t>
  </si>
  <si>
    <t xml:space="preserve">D:\Images\20210713\plaque 2/@04 Testo +FAD/G4_01.tif </t>
  </si>
  <si>
    <t xml:space="preserve"> 2465.808 </t>
  </si>
  <si>
    <t xml:space="preserve"> 64.9211 </t>
  </si>
  <si>
    <t xml:space="preserve">D:\Images\20210713\plaque 2/@04 Testo +FAD/G4_02.tif </t>
  </si>
  <si>
    <t xml:space="preserve"> 63.4 </t>
  </si>
  <si>
    <t xml:space="preserve">D:\Images\20210713\plaque 2/@04 Testo +FAD/G4_03.tif </t>
  </si>
  <si>
    <t xml:space="preserve">D:\Images\20210713\plaque 2/@04 Testo +FAD/H4_01.tif </t>
  </si>
  <si>
    <t xml:space="preserve"> 66.0676 </t>
  </si>
  <si>
    <t xml:space="preserve">D:\Images\20210713\plaque 2/@04 Testo +FAD/H4_02.tif </t>
  </si>
  <si>
    <t xml:space="preserve"> 63.8571 </t>
  </si>
  <si>
    <t xml:space="preserve">D:\Images\20210713\plaque 2/@04 Testo +FAD/H4_03.tif </t>
  </si>
  <si>
    <t xml:space="preserve"> 64.3992 </t>
  </si>
  <si>
    <t xml:space="preserve">D:\Images\20210713\plaque 2/@04 Testo +FAD/ </t>
  </si>
  <si>
    <t xml:space="preserve"> 65.1779 </t>
  </si>
  <si>
    <t xml:space="preserve"> 2.4707 </t>
  </si>
  <si>
    <t xml:space="preserve"> 338879.25 </t>
  </si>
  <si>
    <t xml:space="preserve"> 239397.482 </t>
  </si>
  <si>
    <t xml:space="preserve">D:\Images\20210713\plaque 2/@05 tam 30.2 + testo/A5_01.tif </t>
  </si>
  <si>
    <t xml:space="preserve"> 59179.3917 </t>
  </si>
  <si>
    <t xml:space="preserve"> 69.5062 </t>
  </si>
  <si>
    <t xml:space="preserve">D:\Images\20210713\plaque 2/@05 tam 30.2 + testo/A5_02.tif </t>
  </si>
  <si>
    <t xml:space="preserve"> 53663.7686 </t>
  </si>
  <si>
    <t xml:space="preserve"> 70.9944 </t>
  </si>
  <si>
    <t xml:space="preserve">D:\Images\20210713\plaque 2/@05 tam 30.2 + testo/A5_03.tif </t>
  </si>
  <si>
    <t xml:space="preserve"> 56172.8364 </t>
  </si>
  <si>
    <t xml:space="preserve"> 71.2518 </t>
  </si>
  <si>
    <t xml:space="preserve">D:\Images\20210713\plaque 2/@05 tam 30.2 + testo/B5_01.tif </t>
  </si>
  <si>
    <t xml:space="preserve"> 14794.8479 </t>
  </si>
  <si>
    <t xml:space="preserve"> 66.4708 </t>
  </si>
  <si>
    <t xml:space="preserve">D:\Images\20210713\plaque 2/@05 tam 30.2 + testo/B5_02.tif </t>
  </si>
  <si>
    <t xml:space="preserve"> 13972.9119 </t>
  </si>
  <si>
    <t xml:space="preserve"> 65.2693 </t>
  </si>
  <si>
    <t xml:space="preserve">D:\Images\20210713\plaque 2/@05 tam 30.2 + testo/B5_03.tif </t>
  </si>
  <si>
    <t xml:space="preserve"> 64.9745 </t>
  </si>
  <si>
    <t xml:space="preserve">D:\Images\20210713\plaque 2/@05 tam 30.2 + testo/C5_01.tif </t>
  </si>
  <si>
    <t xml:space="preserve"> 68.5929 </t>
  </si>
  <si>
    <t xml:space="preserve">D:\Images\20210713\plaque 2/@05 tam 30.2 + testo/C5_02.tif </t>
  </si>
  <si>
    <t xml:space="preserve"> 25653.055 </t>
  </si>
  <si>
    <t xml:space="preserve"> 67.5363 </t>
  </si>
  <si>
    <t xml:space="preserve">D:\Images\20210713\plaque 2/@05 tam 30.2 + testo/C5_03.tif </t>
  </si>
  <si>
    <t xml:space="preserve"> 65.9991 </t>
  </si>
  <si>
    <t xml:space="preserve">D:\Images\20210713\plaque 2/@05 tam 30.2 + testo/D5_01.tif </t>
  </si>
  <si>
    <t xml:space="preserve"> 22733.0193 </t>
  </si>
  <si>
    <t xml:space="preserve"> 67.1684 </t>
  </si>
  <si>
    <t xml:space="preserve">D:\Images\20210713\plaque 2/@05 tam 30.2 + testo/D5_02.tif </t>
  </si>
  <si>
    <t xml:space="preserve"> 16849.6879 </t>
  </si>
  <si>
    <t xml:space="preserve"> 67.611 </t>
  </si>
  <si>
    <t xml:space="preserve">D:\Images\20210713\plaque 2/@05 tam 30.2 + testo/D5_03.tif </t>
  </si>
  <si>
    <t xml:space="preserve"> 22040.8626 </t>
  </si>
  <si>
    <t xml:space="preserve"> 68.7969 </t>
  </si>
  <si>
    <t xml:space="preserve">D:\Images\20210713\plaque 2/@05 tam 30.2 + testo/E5_01.tif </t>
  </si>
  <si>
    <t xml:space="preserve"> 17671.6239 </t>
  </si>
  <si>
    <t xml:space="preserve"> 66.366 </t>
  </si>
  <si>
    <t xml:space="preserve">D:\Images\20210713\plaque 2/@05 tam 30.2 + testo/E5_02.tif </t>
  </si>
  <si>
    <t xml:space="preserve"> 17368.8054 </t>
  </si>
  <si>
    <t xml:space="preserve"> 65.8692 </t>
  </si>
  <si>
    <t xml:space="preserve">D:\Images\20210713\plaque 2/@05 tam 30.2 + testo/E5_03.tif </t>
  </si>
  <si>
    <t xml:space="preserve"> 15335.5953 </t>
  </si>
  <si>
    <t xml:space="preserve"> 65.8068 </t>
  </si>
  <si>
    <t xml:space="preserve">D:\Images\20210713\plaque 2/@05 tam 30.2 + testo/F5_01.tif </t>
  </si>
  <si>
    <t xml:space="preserve"> 52668.7934 </t>
  </si>
  <si>
    <t xml:space="preserve"> 71.7302 </t>
  </si>
  <si>
    <t xml:space="preserve">D:\Images\20210713\plaque 2/@05 tam 30.2 + testo/F5_02.tif </t>
  </si>
  <si>
    <t xml:space="preserve"> 42178.2945 </t>
  </si>
  <si>
    <t xml:space="preserve"> 71.1605 </t>
  </si>
  <si>
    <t xml:space="preserve">D:\Images\20210713\plaque 2/@05 tam 30.2 + testo/F5_03.tif </t>
  </si>
  <si>
    <t xml:space="preserve"> 47888.5867 </t>
  </si>
  <si>
    <t xml:space="preserve"> 71.3613 </t>
  </si>
  <si>
    <t xml:space="preserve">D:\Images\20210713\plaque 2/@05 tam 30.2 + testo/G5_01.tif </t>
  </si>
  <si>
    <t xml:space="preserve"> 66.848 </t>
  </si>
  <si>
    <t xml:space="preserve">D:\Images\20210713\plaque 2/@05 tam 30.2 + testo/G5_02.tif </t>
  </si>
  <si>
    <t xml:space="preserve"> 14448.7696 </t>
  </si>
  <si>
    <t xml:space="preserve"> 65.1946 </t>
  </si>
  <si>
    <t xml:space="preserve">D:\Images\20210713\plaque 2/@05 tam 30.2 + testo/G5_03.tif </t>
  </si>
  <si>
    <t xml:space="preserve"> 10577.0185 </t>
  </si>
  <si>
    <t xml:space="preserve"> 64.7198 </t>
  </si>
  <si>
    <t xml:space="preserve">D:\Images\20210713\plaque 2/@05 tam 30.2 + testo/H5_01.tif </t>
  </si>
  <si>
    <t xml:space="preserve"> 72.7266 </t>
  </si>
  <si>
    <t xml:space="preserve">D:\Images\20210713\plaque 2/@05 tam 30.2 + testo/H5_02.tif </t>
  </si>
  <si>
    <t xml:space="preserve"> 43757.2768 </t>
  </si>
  <si>
    <t xml:space="preserve"> 71.83 </t>
  </si>
  <si>
    <t xml:space="preserve">D:\Images\20210713\plaque 2/@05 tam 30.2 + testo/H5_03.tif </t>
  </si>
  <si>
    <t xml:space="preserve"> 41853.8461 </t>
  </si>
  <si>
    <t xml:space="preserve"> 73.1886 </t>
  </si>
  <si>
    <t xml:space="preserve">D:\Images\20210713\plaque 2/@05 tam 30.2 + testo/ </t>
  </si>
  <si>
    <t xml:space="preserve"> 68.3739 </t>
  </si>
  <si>
    <t xml:space="preserve"> 2.7549 </t>
  </si>
  <si>
    <t xml:space="preserve"> 2136190.04 </t>
  </si>
  <si>
    <t xml:space="preserve"> 1170845.63 </t>
  </si>
  <si>
    <t xml:space="preserve">D:\Images\20210713\plaque 2/@06  tam 60.4 + testo/A6_01.tif </t>
  </si>
  <si>
    <t xml:space="preserve"> 38739.1413 </t>
  </si>
  <si>
    <t xml:space="preserve"> 72.8677 </t>
  </si>
  <si>
    <t xml:space="preserve">D:\Images\20210713\plaque 2/@06  tam 60.4 + testo/A6_02.tif </t>
  </si>
  <si>
    <t xml:space="preserve"> 42762.3017 </t>
  </si>
  <si>
    <t xml:space="preserve"> 72.5969 </t>
  </si>
  <si>
    <t xml:space="preserve">D:\Images\20210713\plaque 2/@06  tam 60.4 + testo/A6_03.tif </t>
  </si>
  <si>
    <t xml:space="preserve"> 70.3527 </t>
  </si>
  <si>
    <t xml:space="preserve">D:\Images\20210713\plaque 2/@06  tam 60.4 + testo/B6_01.tif </t>
  </si>
  <si>
    <t xml:space="preserve"> 67.7611 </t>
  </si>
  <si>
    <t xml:space="preserve">D:\Images\20210713\plaque 2/@06  tam 60.4 + testo/B6_02.tif </t>
  </si>
  <si>
    <t xml:space="preserve"> 67.9868 </t>
  </si>
  <si>
    <t xml:space="preserve">D:\Images\20210713\plaque 2/@06  tam 60.4 + testo/B6_03.tif </t>
  </si>
  <si>
    <t xml:space="preserve"> 67.4371 </t>
  </si>
  <si>
    <t xml:space="preserve">D:\Images\20210713\plaque 2/@06  tam 60.4 + testo/C6_01.tif </t>
  </si>
  <si>
    <t xml:space="preserve"> 17844.6631 </t>
  </si>
  <si>
    <t xml:space="preserve"> 66.7333 </t>
  </si>
  <si>
    <t xml:space="preserve">D:\Images\20210713\plaque 2/@06  tam 60.4 + testo/C6_02.tif </t>
  </si>
  <si>
    <t xml:space="preserve"> 17714.8837 </t>
  </si>
  <si>
    <t xml:space="preserve"> 66.5543 </t>
  </si>
  <si>
    <t xml:space="preserve">D:\Images\20210713\plaque 2/@06  tam 60.4 + testo/C6_03.tif </t>
  </si>
  <si>
    <t xml:space="preserve"> 66.2108 </t>
  </si>
  <si>
    <t xml:space="preserve">D:\Images\20210713\plaque 2/@06  tam 60.4 + testo/D6_01.tif </t>
  </si>
  <si>
    <t xml:space="preserve"> 68.8538 </t>
  </si>
  <si>
    <t xml:space="preserve">D:\Images\20210713\plaque 2/@06  tam 60.4 + testo/D6_02.tif </t>
  </si>
  <si>
    <t xml:space="preserve"> 45985.156 </t>
  </si>
  <si>
    <t xml:space="preserve"> 70.1867 </t>
  </si>
  <si>
    <t xml:space="preserve">D:\Images\20210713\plaque 2/@06  tam 60.4 + testo/D6_03.tif </t>
  </si>
  <si>
    <t xml:space="preserve"> 70.8252 </t>
  </si>
  <si>
    <t xml:space="preserve">D:\Images\20210713\plaque 2/@06  tam 60.4 + testo/E6_01.tif </t>
  </si>
  <si>
    <t xml:space="preserve"> 30130.4432 </t>
  </si>
  <si>
    <t xml:space="preserve"> 67.9763 </t>
  </si>
  <si>
    <t xml:space="preserve">D:\Images\20210713\plaque 2/@06  tam 60.4 + testo/E6_02.tif </t>
  </si>
  <si>
    <t xml:space="preserve"> 66.7826 </t>
  </si>
  <si>
    <t xml:space="preserve">D:\Images\20210713\plaque 2/@06  tam 60.4 + testo/E6_03.tif </t>
  </si>
  <si>
    <t xml:space="preserve"> 24658.0799 </t>
  </si>
  <si>
    <t xml:space="preserve"> 66.7096 </t>
  </si>
  <si>
    <t xml:space="preserve">D:\Images\20210713\plaque 2/@06  tam 60.4 + testo/F6_01.tif </t>
  </si>
  <si>
    <t xml:space="preserve"> 22754.6491 </t>
  </si>
  <si>
    <t xml:space="preserve"> 65.6625 </t>
  </si>
  <si>
    <t xml:space="preserve">D:\Images\20210713\plaque 2/@06  tam 60.4 + testo/F6_02.tif </t>
  </si>
  <si>
    <t xml:space="preserve"> 66.1012 </t>
  </si>
  <si>
    <t xml:space="preserve">D:\Images\20210713\plaque 2/@06  tam 60.4 + testo/F6_03.tif </t>
  </si>
  <si>
    <t xml:space="preserve"> 23381.9161 </t>
  </si>
  <si>
    <t xml:space="preserve"> 65.7456 </t>
  </si>
  <si>
    <t xml:space="preserve">D:\Images\20210713\plaque 2/@06  tam 60.4 + testo/G6_01.tif </t>
  </si>
  <si>
    <t xml:space="preserve"> 68.3703 </t>
  </si>
  <si>
    <t xml:space="preserve">D:\Images\20210713\plaque 2/@06  tam 60.4 + testo/G6_02.tif </t>
  </si>
  <si>
    <t xml:space="preserve"> 23554.9553 </t>
  </si>
  <si>
    <t xml:space="preserve"> 67.6951 </t>
  </si>
  <si>
    <t xml:space="preserve">D:\Images\20210713\plaque 2/@06  tam 60.4 + testo/G6_03.tif </t>
  </si>
  <si>
    <t xml:space="preserve"> 24290.3717 </t>
  </si>
  <si>
    <t xml:space="preserve"> 67.5245 </t>
  </si>
  <si>
    <t xml:space="preserve">D:\Images\20210713\plaque 2/@06  tam 60.4 + testo/H6_01.tif </t>
  </si>
  <si>
    <t xml:space="preserve"> 34153.6036 </t>
  </si>
  <si>
    <t xml:space="preserve"> 68.7308 </t>
  </si>
  <si>
    <t xml:space="preserve">D:\Images\20210713\plaque 2/@06  tam 60.4 + testo/H6_02.tif </t>
  </si>
  <si>
    <t xml:space="preserve"> 71.736 </t>
  </si>
  <si>
    <t>D:\Images\20210713\plaque 2/@06  tam 60.4 + testo/H6_03- exclu.tif</t>
  </si>
  <si>
    <t xml:space="preserve">D:\Images\20210713\plaque 2/@06  tam 60.4 + testo/ </t>
  </si>
  <si>
    <t xml:space="preserve"> 68.4225 </t>
  </si>
  <si>
    <t xml:space="preserve"> 2.1528 </t>
  </si>
  <si>
    <t xml:space="preserve"> 2051207.96 </t>
  </si>
  <si>
    <t xml:space="preserve"> 647922.311 </t>
  </si>
  <si>
    <t xml:space="preserve">D:\Images\20210713\plaque 2/@07 tam 121 + testo/A7_01.tif </t>
  </si>
  <si>
    <t xml:space="preserve"> 29784.3649 </t>
  </si>
  <si>
    <t xml:space="preserve"> 70.0102 </t>
  </si>
  <si>
    <t xml:space="preserve">D:\Images\20210713\plaque 2/@07 tam 121 + testo/A7_02.tif </t>
  </si>
  <si>
    <t xml:space="preserve"> 68.3302 </t>
  </si>
  <si>
    <t xml:space="preserve">D:\Images\20210713\plaque 2/@07 tam 121 + testo/A7_03.tif </t>
  </si>
  <si>
    <t xml:space="preserve"> 25739.5746 </t>
  </si>
  <si>
    <t xml:space="preserve"> 67.8723 </t>
  </si>
  <si>
    <t xml:space="preserve">D:\Images\20210713\plaque 2/@07 tam 121 + testo/B7_01.tif </t>
  </si>
  <si>
    <t xml:space="preserve"> 23273.7666 </t>
  </si>
  <si>
    <t xml:space="preserve"> 70.3151 </t>
  </si>
  <si>
    <t xml:space="preserve">D:\Images\20210713\plaque 2/@07 tam 121 + testo/B7_02.tif </t>
  </si>
  <si>
    <t xml:space="preserve"> 27924.194 </t>
  </si>
  <si>
    <t xml:space="preserve"> 72.2231 </t>
  </si>
  <si>
    <t xml:space="preserve">D:\Images\20210713\plaque 2/@07 tam 121 + testo/B7_03.tif </t>
  </si>
  <si>
    <t xml:space="preserve"> 70.7333 </t>
  </si>
  <si>
    <t xml:space="preserve">D:\Images\20210713\plaque 2/@07 tam 121 + testo/C7_01.tif </t>
  </si>
  <si>
    <t xml:space="preserve"> 11939.7018 </t>
  </si>
  <si>
    <t xml:space="preserve"> 65.7627 </t>
  </si>
  <si>
    <t xml:space="preserve">D:\Images\20210713\plaque 2/@07 tam 121 + testo/C7_02.tif </t>
  </si>
  <si>
    <t xml:space="preserve"> 11420.5844 </t>
  </si>
  <si>
    <t xml:space="preserve"> 66.3428 </t>
  </si>
  <si>
    <t xml:space="preserve">D:\Images\20210713\plaque 2/@07 tam 121 + testo/C7_03.tif </t>
  </si>
  <si>
    <t xml:space="preserve"> 66.7701 </t>
  </si>
  <si>
    <t>D:\Images\20210713\plaque 2/@07 tam 121 + testo/D7_01- exclu.tif</t>
  </si>
  <si>
    <t xml:space="preserve">D:\Images\20210713\plaque 2/@07 tam 121 + testo/D7_02.tif </t>
  </si>
  <si>
    <t xml:space="preserve"> 12545.3389 </t>
  </si>
  <si>
    <t xml:space="preserve"> 64.8259 </t>
  </si>
  <si>
    <t xml:space="preserve">D:\Images\20210713\plaque 2/@07 tam 121 + testo/D7_03.tif </t>
  </si>
  <si>
    <t xml:space="preserve"> 10014.6412 </t>
  </si>
  <si>
    <t xml:space="preserve"> 64.8704 </t>
  </si>
  <si>
    <t xml:space="preserve">D:\Images\20210713\plaque 2/@07 tam 121 + testo/E7_01.tif </t>
  </si>
  <si>
    <t xml:space="preserve"> 52690.4233 </t>
  </si>
  <si>
    <t xml:space="preserve"> 74.8892 </t>
  </si>
  <si>
    <t xml:space="preserve">D:\Images\20210713\plaque 2/@07 tam 121 + testo/E7_02.tif </t>
  </si>
  <si>
    <t xml:space="preserve"> 56345.8755 </t>
  </si>
  <si>
    <t xml:space="preserve"> 74.2315 </t>
  </si>
  <si>
    <t xml:space="preserve">D:\Images\20210713\plaque 2/@07 tam 121 + testo/E7_03.tif </t>
  </si>
  <si>
    <t xml:space="preserve"> 76.0009 </t>
  </si>
  <si>
    <t xml:space="preserve">D:\Images\20210713\plaque 2/@07 tam 121 + testo/F7_01.tif </t>
  </si>
  <si>
    <t xml:space="preserve"> 12826.5275 </t>
  </si>
  <si>
    <t xml:space="preserve"> 72.1737 </t>
  </si>
  <si>
    <t xml:space="preserve">D:\Images\20210713\plaque 2/@07 tam 121 + testo/F7_02.tif </t>
  </si>
  <si>
    <t xml:space="preserve"> 14838.1077 </t>
  </si>
  <si>
    <t xml:space="preserve"> 72.7012 </t>
  </si>
  <si>
    <t xml:space="preserve">D:\Images\20210713\plaque 2/@07 tam 121 + testo/F7_03.tif </t>
  </si>
  <si>
    <t xml:space="preserve"> 9495.5237 </t>
  </si>
  <si>
    <t xml:space="preserve"> 77.9636 </t>
  </si>
  <si>
    <t xml:space="preserve">D:\Images\20210713\plaque 2/@07 tam 121 + testo/G7_01.tif </t>
  </si>
  <si>
    <t xml:space="preserve"> 69.6791 </t>
  </si>
  <si>
    <t xml:space="preserve">D:\Images\20210713\plaque 2/@07 tam 121 + testo/G7_02.tif </t>
  </si>
  <si>
    <t xml:space="preserve"> 70.7676 </t>
  </si>
  <si>
    <t xml:space="preserve">D:\Images\20210713\plaque 2/@07 tam 121 + testo/G7_03.tif </t>
  </si>
  <si>
    <t xml:space="preserve"> 31082.1586 </t>
  </si>
  <si>
    <t xml:space="preserve"> 69.0932 </t>
  </si>
  <si>
    <t xml:space="preserve">D:\Images\20210713\plaque 2/@07 tam 121 + testo/H7_01.tif </t>
  </si>
  <si>
    <t xml:space="preserve"> 5320.9541 </t>
  </si>
  <si>
    <t xml:space="preserve"> 64.0447 </t>
  </si>
  <si>
    <t xml:space="preserve">D:\Images\20210713\plaque 2/@07 tam 121 + testo/H7_02.tif </t>
  </si>
  <si>
    <t xml:space="preserve"> 62.8958 </t>
  </si>
  <si>
    <t xml:space="preserve">D:\Images\20210713\plaque 2/@07 tam 121 + testo/H7_03.tif </t>
  </si>
  <si>
    <t xml:space="preserve"> 63.4879 </t>
  </si>
  <si>
    <t xml:space="preserve">D:\Images\20210713\plaque 2/@07 tam 121 + testo/ </t>
  </si>
  <si>
    <t xml:space="preserve"> 69.2346 </t>
  </si>
  <si>
    <t xml:space="preserve"> 4.1481 </t>
  </si>
  <si>
    <t xml:space="preserve"> 1557247.83 </t>
  </si>
  <si>
    <t xml:space="preserve"> 1127249.68 </t>
  </si>
  <si>
    <t xml:space="preserve">D:\Images\20210713\plaque 2/@08 tam 242 + testo/A8_01.tif </t>
  </si>
  <si>
    <t xml:space="preserve"> 40231.604 </t>
  </si>
  <si>
    <t xml:space="preserve"> 71.664 </t>
  </si>
  <si>
    <t xml:space="preserve">D:\Images\20210713\plaque 2/@08 tam 242 + testo/A8_02.tif </t>
  </si>
  <si>
    <t xml:space="preserve"> 47802.0671 </t>
  </si>
  <si>
    <t xml:space="preserve"> 71.0357 </t>
  </si>
  <si>
    <t xml:space="preserve">D:\Images\20210713\plaque 2/@08 tam 242 + testo/A8_03.tif </t>
  </si>
  <si>
    <t xml:space="preserve"> 27296.927 </t>
  </si>
  <si>
    <t xml:space="preserve"> 66.5959 </t>
  </si>
  <si>
    <t xml:space="preserve">D:\Images\20210713\plaque 2/@08 tam 242 + testo/B8_01.tif </t>
  </si>
  <si>
    <t xml:space="preserve"> 76.5616 </t>
  </si>
  <si>
    <t xml:space="preserve">D:\Images\20210713\plaque 2/@08 tam 242 + testo/B8_02.tif </t>
  </si>
  <si>
    <t xml:space="preserve"> 42243.1842 </t>
  </si>
  <si>
    <t xml:space="preserve"> 78.2197 </t>
  </si>
  <si>
    <t xml:space="preserve">D:\Images\20210713\plaque 2/@08 tam 242 + testo/B8_03.tif </t>
  </si>
  <si>
    <t xml:space="preserve"> 37917.2053 </t>
  </si>
  <si>
    <t xml:space="preserve"> 75.5163 </t>
  </si>
  <si>
    <t xml:space="preserve">D:\Images\20210713\plaque 2/@08 tam 242 + testo/C8_01.tif </t>
  </si>
  <si>
    <t xml:space="preserve"> 68.2911 </t>
  </si>
  <si>
    <t xml:space="preserve">D:\Images\20210713\plaque 2/@08 tam 242 + testo/C8_02.tif </t>
  </si>
  <si>
    <t xml:space="preserve"> 69.6021 </t>
  </si>
  <si>
    <t xml:space="preserve">D:\Images\20210713\plaque 2/@08 tam 242 + testo/C8_03.tif </t>
  </si>
  <si>
    <t xml:space="preserve"> 69.0969 </t>
  </si>
  <si>
    <t xml:space="preserve">D:\Images\20210713\plaque 2/@08 tam 242 + testo/D8_01.tif </t>
  </si>
  <si>
    <t xml:space="preserve"> 31017.2689 </t>
  </si>
  <si>
    <t xml:space="preserve"> 71.3682 </t>
  </si>
  <si>
    <t xml:space="preserve">D:\Images\20210713\plaque 2/@08 tam 242 + testo/D8_02.tif </t>
  </si>
  <si>
    <t xml:space="preserve"> 72.1589 </t>
  </si>
  <si>
    <t xml:space="preserve">D:\Images\20210713\plaque 2/@08 tam 242 + testo/D8_03.tif </t>
  </si>
  <si>
    <t xml:space="preserve"> 31795.9451 </t>
  </si>
  <si>
    <t xml:space="preserve"> 69.4898 </t>
  </si>
  <si>
    <t xml:space="preserve">D:\Images\20210713\plaque 2/@08 tam 242 + testo/E8_01.tif </t>
  </si>
  <si>
    <t xml:space="preserve"> 47780.4372 </t>
  </si>
  <si>
    <t xml:space="preserve"> 72.6867 </t>
  </si>
  <si>
    <t xml:space="preserve">D:\Images\20210713\plaque 2/@08 tam 242 + testo/E8_02.tif </t>
  </si>
  <si>
    <t xml:space="preserve"> 48126.5155 </t>
  </si>
  <si>
    <t xml:space="preserve"> 72.5061 </t>
  </si>
  <si>
    <t xml:space="preserve">D:\Images\20210713\plaque 2/@08 tam 242 + testo/E8_03.tif </t>
  </si>
  <si>
    <t xml:space="preserve"> 53577.249 </t>
  </si>
  <si>
    <t xml:space="preserve"> 72.2749 </t>
  </si>
  <si>
    <t xml:space="preserve">D:\Images\20210713\plaque 2/@08 tam 242 + testo/F8_01.tif </t>
  </si>
  <si>
    <t xml:space="preserve"> 37419.7177 </t>
  </si>
  <si>
    <t xml:space="preserve"> 71.8931 </t>
  </si>
  <si>
    <t xml:space="preserve">D:\Images\20210713\plaque 2/@08 tam 242 + testo/F8_02.tif </t>
  </si>
  <si>
    <t xml:space="preserve"> 34715.9809 </t>
  </si>
  <si>
    <t xml:space="preserve"> 71.6424 </t>
  </si>
  <si>
    <t xml:space="preserve">D:\Images\20210713\plaque 2/@08 tam 242 + testo/F8_03.tif </t>
  </si>
  <si>
    <t xml:space="preserve"> 36835.7106 </t>
  </si>
  <si>
    <t xml:space="preserve"> 73.9231 </t>
  </si>
  <si>
    <t xml:space="preserve">D:\Images\20210713\plaque 2/@08 tam 242 + testo/G8_01.tif </t>
  </si>
  <si>
    <t xml:space="preserve"> 40383.0133 </t>
  </si>
  <si>
    <t xml:space="preserve"> 72.0675 </t>
  </si>
  <si>
    <t xml:space="preserve">D:\Images\20210713\plaque 2/@08 tam 242 + testo/G8_02.tif </t>
  </si>
  <si>
    <t xml:space="preserve"> 38933.8103 </t>
  </si>
  <si>
    <t xml:space="preserve"> 73.3828 </t>
  </si>
  <si>
    <t xml:space="preserve">D:\Images\20210713\plaque 2/@08 tam 242 + testo/G8_03.tif </t>
  </si>
  <si>
    <t xml:space="preserve"> 73.1172 </t>
  </si>
  <si>
    <t xml:space="preserve">D:\Images\20210713\plaque 2/@08 tam 242 + testo/H8_01.tif </t>
  </si>
  <si>
    <t xml:space="preserve"> 70.1013 </t>
  </si>
  <si>
    <t xml:space="preserve">D:\Images\20210713\plaque 2/@08 tam 242 + testo/H8_02.tif </t>
  </si>
  <si>
    <t xml:space="preserve"> 32163.6533 </t>
  </si>
  <si>
    <t xml:space="preserve"> 70.3349 </t>
  </si>
  <si>
    <t xml:space="preserve">D:\Images\20210713\plaque 2/@08 tam 242 + testo/H8_03.tif </t>
  </si>
  <si>
    <t xml:space="preserve"> 26994.1085 </t>
  </si>
  <si>
    <t xml:space="preserve"> 70.1386 </t>
  </si>
  <si>
    <t xml:space="preserve">D:\Images\20210713\plaque 2/@08 tam 242 + testo/ </t>
  </si>
  <si>
    <t xml:space="preserve"> 71.8195 </t>
  </si>
  <si>
    <t xml:space="preserve"> 2.5845 </t>
  </si>
  <si>
    <t xml:space="preserve"> 2731342.92 </t>
  </si>
  <si>
    <t xml:space="preserve"> 555868.156 </t>
  </si>
  <si>
    <t xml:space="preserve">D:\Images\20210713\plaque 2/@09  tam 483 + testo/A9_01.tif </t>
  </si>
  <si>
    <t xml:space="preserve"> 11355.6947 </t>
  </si>
  <si>
    <t xml:space="preserve"> 67.92 </t>
  </si>
  <si>
    <t xml:space="preserve">D:\Images\20210713\plaque 2/@09  tam 483 + testo/A9_02.tif </t>
  </si>
  <si>
    <t xml:space="preserve"> 10966.3566 </t>
  </si>
  <si>
    <t xml:space="preserve"> 68.0454 </t>
  </si>
  <si>
    <t xml:space="preserve">D:\Images\20210713\plaque 2/@09  tam 483 + testo/A9_03.tif </t>
  </si>
  <si>
    <t xml:space="preserve"> 13107.7161 </t>
  </si>
  <si>
    <t xml:space="preserve"> 67.7244 </t>
  </si>
  <si>
    <t xml:space="preserve">D:\Images\20210713\plaque 2/@09  tam 483 + testo/B9_01.tif </t>
  </si>
  <si>
    <t xml:space="preserve"> 67.7051 </t>
  </si>
  <si>
    <t xml:space="preserve">D:\Images\20210713\plaque 2/@09  tam 483 + testo/B9_02.tif </t>
  </si>
  <si>
    <t xml:space="preserve"> 26907.5889 </t>
  </si>
  <si>
    <t xml:space="preserve"> 66.1174 </t>
  </si>
  <si>
    <t xml:space="preserve">D:\Images\20210713\plaque 2/@09  tam 483 + testo/B9_03.tif </t>
  </si>
  <si>
    <t xml:space="preserve"> 70.1097 </t>
  </si>
  <si>
    <t xml:space="preserve">D:\Images\20210713\plaque 2/@09  tam 483 + testo/C9_01.tif </t>
  </si>
  <si>
    <t xml:space="preserve"> 36013.7746 </t>
  </si>
  <si>
    <t xml:space="preserve"> 68.6366 </t>
  </si>
  <si>
    <t xml:space="preserve">D:\Images\20210713\plaque 2/@09  tam 483 + testo/C9_02.tif </t>
  </si>
  <si>
    <t xml:space="preserve"> 38068.6145 </t>
  </si>
  <si>
    <t xml:space="preserve"> 70.3023 </t>
  </si>
  <si>
    <t xml:space="preserve">D:\Images\20210713\plaque 2/@09  tam 483 + testo/C9_03.tif </t>
  </si>
  <si>
    <t xml:space="preserve"> 33310.0377 </t>
  </si>
  <si>
    <t xml:space="preserve"> 68.7494 </t>
  </si>
  <si>
    <t xml:space="preserve">D:\Images\20210713\plaque 2/@09  tam 483 + testo/D9_01.tif </t>
  </si>
  <si>
    <t xml:space="preserve"> 66.4346 </t>
  </si>
  <si>
    <t>D:\Images\20210713\plaque 2/@09  tam 483 + testo/D9_02- exclu.tif</t>
  </si>
  <si>
    <t xml:space="preserve">D:\Images\20210713\plaque 2/@09  tam 483 + testo/D9_03.tif </t>
  </si>
  <si>
    <t xml:space="preserve"> 7181.125 </t>
  </si>
  <si>
    <t xml:space="preserve"> 63.9669 </t>
  </si>
  <si>
    <t xml:space="preserve">D:\Images\20210713\plaque 2/@09  tam 483 + testo/E9_01.tif </t>
  </si>
  <si>
    <t xml:space="preserve"> 24636.45 </t>
  </si>
  <si>
    <t xml:space="preserve"> 69.4934 </t>
  </si>
  <si>
    <t xml:space="preserve">D:\Images\20210713\plaque 2/@09  tam 483 + testo/E9_02.tif </t>
  </si>
  <si>
    <t xml:space="preserve"> 28854.2794 </t>
  </si>
  <si>
    <t xml:space="preserve"> 69.2976 </t>
  </si>
  <si>
    <t xml:space="preserve">D:\Images\20210713\plaque 2/@09  tam 483 + testo/E9_03.tif </t>
  </si>
  <si>
    <t xml:space="preserve"> 68.0191 </t>
  </si>
  <si>
    <t xml:space="preserve">D:\Images\20210713\plaque 2/@09  tam 483 + testo/F9_01.tif </t>
  </si>
  <si>
    <t xml:space="preserve"> 45768.857 </t>
  </si>
  <si>
    <t xml:space="preserve"> 72.0652 </t>
  </si>
  <si>
    <t xml:space="preserve">D:\Images\20210713\plaque 2/@09  tam 483 + testo/F9_02.tif </t>
  </si>
  <si>
    <t xml:space="preserve"> 72.1411 </t>
  </si>
  <si>
    <t xml:space="preserve">D:\Images\20210713\plaque 2/@09  tam 483 + testo/F9_03.tif </t>
  </si>
  <si>
    <t xml:space="preserve"> 45639.0777 </t>
  </si>
  <si>
    <t xml:space="preserve"> 72.1133 </t>
  </si>
  <si>
    <t xml:space="preserve">D:\Images\20210713\plaque 2/@09  tam 483 + testo/G9_01.tif </t>
  </si>
  <si>
    <t xml:space="preserve"> 38522.8423 </t>
  </si>
  <si>
    <t xml:space="preserve"> 69.6738 </t>
  </si>
  <si>
    <t xml:space="preserve">D:\Images\20210713\plaque 2/@09  tam 483 + testo/G9_02.tif </t>
  </si>
  <si>
    <t xml:space="preserve"> 43173.2697 </t>
  </si>
  <si>
    <t xml:space="preserve"> 73.8267 </t>
  </si>
  <si>
    <t xml:space="preserve">D:\Images\20210713\plaque 2/@09  tam 483 + testo/G9_03.tif </t>
  </si>
  <si>
    <t xml:space="preserve"> 43973.5758 </t>
  </si>
  <si>
    <t xml:space="preserve"> 73.6842 </t>
  </si>
  <si>
    <t xml:space="preserve">D:\Images\20210713\plaque 2/@09  tam 483 + testo/H9_01.tif </t>
  </si>
  <si>
    <t xml:space="preserve"> 70.4542 </t>
  </si>
  <si>
    <t xml:space="preserve">D:\Images\20210713\plaque 2/@09  tam 483 + testo/H9_02.tif </t>
  </si>
  <si>
    <t xml:space="preserve"> 27383.4466 </t>
  </si>
  <si>
    <t xml:space="preserve"> 68.0466 </t>
  </si>
  <si>
    <t xml:space="preserve">D:\Images\20210713\plaque 2/@09  tam 483 + testo/H9_03.tif </t>
  </si>
  <si>
    <t xml:space="preserve"> 26301.9519 </t>
  </si>
  <si>
    <t xml:space="preserve"> 68.9786 </t>
  </si>
  <si>
    <t xml:space="preserve">D:\Images\20210713\plaque 2/@09  tam 483 + testo/ </t>
  </si>
  <si>
    <t xml:space="preserve"> 69.0219 </t>
  </si>
  <si>
    <t xml:space="preserve"> 2.6657 </t>
  </si>
  <si>
    <t xml:space="preserve"> 1979594.96 </t>
  </si>
  <si>
    <t xml:space="preserve"> 1001849.72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</si>
</sst>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4">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3" fillId="0" borderId="22" xfId="0" applyNumberFormat="1" applyFont="1" applyFill="1" applyBorder="1" applyAlignment="1">
      <alignment horizontal="center" vertical="center"/>
    </xf>
    <xf numFmtId="0" fontId="3" fillId="14" borderId="46" xfId="0" applyNumberFormat="1" applyFont="1" applyFill="1" applyBorder="1" applyAlignment="1">
      <alignment horizontal="center" vertical="center"/>
    </xf>
    <xf numFmtId="0" fontId="0" fillId="0" borderId="0" xfId="0" applyNumberFormat="1" applyFont="1"/>
    <xf numFmtId="0" fontId="14" fillId="0" borderId="0" xfId="0" applyFont="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01-9F9E-4275-A343-CFF3A6D63C99}"/>
              </c:ext>
            </c:extLst>
          </c:dPt>
          <c:dPt>
            <c:idx val="1"/>
            <c:invertIfNegative val="0"/>
            <c:bubble3D val="0"/>
            <c:spPr>
              <a:solidFill>
                <a:srgbClr val="FF0000"/>
              </a:solidFill>
            </c:spPr>
            <c:extLst>
              <c:ext xmlns:c16="http://schemas.microsoft.com/office/drawing/2014/chart" uri="{C3380CC4-5D6E-409C-BE32-E72D297353CC}">
                <c16:uniqueId val="{00000002-9F9E-4275-A343-CFF3A6D63C99}"/>
              </c:ext>
            </c:extLst>
          </c:dPt>
          <c:dPt>
            <c:idx val="2"/>
            <c:invertIfNegative val="0"/>
            <c:bubble3D val="0"/>
            <c:spPr>
              <a:solidFill>
                <a:srgbClr val="FF0000"/>
              </a:solidFill>
            </c:spPr>
            <c:extLst>
              <c:ext xmlns:c16="http://schemas.microsoft.com/office/drawing/2014/chart" uri="{C3380CC4-5D6E-409C-BE32-E72D297353CC}">
                <c16:uniqueId val="{00000003-9F9E-4275-A343-CFF3A6D63C99}"/>
              </c:ext>
            </c:extLst>
          </c:dPt>
          <c:dPt>
            <c:idx val="3"/>
            <c:invertIfNegative val="0"/>
            <c:bubble3D val="0"/>
            <c:spPr>
              <a:solidFill>
                <a:srgbClr val="FF0000"/>
              </a:solidFill>
            </c:spPr>
            <c:extLst>
              <c:ext xmlns:c16="http://schemas.microsoft.com/office/drawing/2014/chart" uri="{C3380CC4-5D6E-409C-BE32-E72D297353CC}">
                <c16:uniqueId val="{00000004-9F9E-4275-A343-CFF3A6D63C99}"/>
              </c:ext>
            </c:extLst>
          </c:dPt>
          <c:dPt>
            <c:idx val="4"/>
            <c:invertIfNegative val="0"/>
            <c:bubble3D val="0"/>
            <c:spPr>
              <a:solidFill>
                <a:srgbClr val="FF0000"/>
              </a:solidFill>
            </c:spPr>
            <c:extLst>
              <c:ext xmlns:c16="http://schemas.microsoft.com/office/drawing/2014/chart" uri="{C3380CC4-5D6E-409C-BE32-E72D297353CC}">
                <c16:uniqueId val="{00000005-9F9E-4275-A343-CFF3A6D63C99}"/>
              </c:ext>
            </c:extLst>
          </c:dPt>
          <c:dPt>
            <c:idx val="5"/>
            <c:invertIfNegative val="0"/>
            <c:bubble3D val="0"/>
            <c:spPr>
              <a:solidFill>
                <a:srgbClr val="FF0000"/>
              </a:solidFill>
            </c:spPr>
            <c:extLst>
              <c:ext xmlns:c16="http://schemas.microsoft.com/office/drawing/2014/chart" uri="{C3380CC4-5D6E-409C-BE32-E72D297353CC}">
                <c16:uniqueId val="{00000006-9F9E-4275-A343-CFF3A6D63C99}"/>
              </c:ext>
            </c:extLst>
          </c:dPt>
          <c:dPt>
            <c:idx val="6"/>
            <c:invertIfNegative val="0"/>
            <c:bubble3D val="0"/>
            <c:spPr>
              <a:solidFill>
                <a:srgbClr val="FF0000"/>
              </a:solidFill>
            </c:spPr>
            <c:extLst>
              <c:ext xmlns:c16="http://schemas.microsoft.com/office/drawing/2014/chart" uri="{C3380CC4-5D6E-409C-BE32-E72D297353CC}">
                <c16:uniqueId val="{00000007-9F9E-4275-A343-CFF3A6D63C99}"/>
              </c:ext>
            </c:extLst>
          </c:dPt>
          <c:dPt>
            <c:idx val="7"/>
            <c:invertIfNegative val="0"/>
            <c:bubble3D val="0"/>
            <c:spPr>
              <a:solidFill>
                <a:schemeClr val="bg1">
                  <a:lumMod val="65000"/>
                </a:schemeClr>
              </a:solidFill>
            </c:spPr>
            <c:extLst>
              <c:ext xmlns:c16="http://schemas.microsoft.com/office/drawing/2014/chart" uri="{C3380CC4-5D6E-409C-BE32-E72D297353CC}">
                <c16:uniqueId val="{00000008-9F9E-4275-A343-CFF3A6D63C99}"/>
              </c:ext>
            </c:extLst>
          </c:dPt>
          <c:dPt>
            <c:idx val="8"/>
            <c:invertIfNegative val="0"/>
            <c:bubble3D val="0"/>
            <c:spPr>
              <a:solidFill>
                <a:schemeClr val="bg1">
                  <a:lumMod val="65000"/>
                </a:schemeClr>
              </a:solidFill>
            </c:spPr>
            <c:extLst>
              <c:ext xmlns:c16="http://schemas.microsoft.com/office/drawing/2014/chart" uri="{C3380CC4-5D6E-409C-BE32-E72D297353CC}">
                <c16:uniqueId val="{00000009-9F9E-4275-A343-CFF3A6D63C99}"/>
              </c:ext>
            </c:extLst>
          </c:dPt>
          <c:dPt>
            <c:idx val="9"/>
            <c:invertIfNegative val="0"/>
            <c:bubble3D val="0"/>
            <c:spPr>
              <a:solidFill>
                <a:schemeClr val="bg1">
                  <a:lumMod val="65000"/>
                </a:schemeClr>
              </a:solidFill>
            </c:spPr>
            <c:extLst>
              <c:ext xmlns:c16="http://schemas.microsoft.com/office/drawing/2014/chart" uri="{C3380CC4-5D6E-409C-BE32-E72D297353CC}">
                <c16:uniqueId val="{0000000A-9F9E-4275-A343-CFF3A6D63C99}"/>
              </c:ext>
            </c:extLst>
          </c:dPt>
          <c:dPt>
            <c:idx val="10"/>
            <c:invertIfNegative val="0"/>
            <c:bubble3D val="0"/>
            <c:spPr>
              <a:solidFill>
                <a:schemeClr val="bg1">
                  <a:lumMod val="65000"/>
                </a:schemeClr>
              </a:solidFill>
            </c:spPr>
            <c:extLst>
              <c:ext xmlns:c16="http://schemas.microsoft.com/office/drawing/2014/chart" uri="{C3380CC4-5D6E-409C-BE32-E72D297353CC}">
                <c16:uniqueId val="{0000000B-9F9E-4275-A343-CFF3A6D63C99}"/>
              </c:ext>
            </c:extLst>
          </c:dPt>
          <c:dPt>
            <c:idx val="11"/>
            <c:invertIfNegative val="0"/>
            <c:bubble3D val="0"/>
            <c:spPr>
              <a:solidFill>
                <a:schemeClr val="bg1">
                  <a:lumMod val="65000"/>
                </a:schemeClr>
              </a:solidFill>
            </c:spPr>
            <c:extLst>
              <c:ext xmlns:c16="http://schemas.microsoft.com/office/drawing/2014/chart" uri="{C3380CC4-5D6E-409C-BE32-E72D297353CC}">
                <c16:uniqueId val="{0000000C-9F9E-4275-A343-CFF3A6D63C99}"/>
              </c:ext>
            </c:extLst>
          </c:dPt>
          <c:dPt>
            <c:idx val="14"/>
            <c:invertIfNegative val="0"/>
            <c:bubble3D val="0"/>
            <c:spPr>
              <a:solidFill>
                <a:srgbClr val="92D050"/>
              </a:solidFill>
            </c:spPr>
            <c:extLst>
              <c:ext xmlns:c16="http://schemas.microsoft.com/office/drawing/2014/chart" uri="{C3380CC4-5D6E-409C-BE32-E72D297353CC}">
                <c16:uniqueId val="{0000000D-9F9E-4275-A343-CFF3A6D63C99}"/>
              </c:ext>
            </c:extLst>
          </c:dPt>
          <c:dPt>
            <c:idx val="15"/>
            <c:invertIfNegative val="0"/>
            <c:bubble3D val="0"/>
            <c:spPr>
              <a:solidFill>
                <a:srgbClr val="92D050"/>
              </a:solidFill>
            </c:spPr>
            <c:extLst>
              <c:ext xmlns:c16="http://schemas.microsoft.com/office/drawing/2014/chart" uri="{C3380CC4-5D6E-409C-BE32-E72D297353CC}">
                <c16:uniqueId val="{0000000E-9F9E-4275-A343-CFF3A6D63C99}"/>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0F-9F9E-4275-A343-CFF3A6D63C99}"/>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10-9F9E-4275-A343-CFF3A6D63C99}"/>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11-9F9E-4275-A343-CFF3A6D63C99}"/>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12-9F9E-4275-A343-CFF3A6D63C99}"/>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13-9F9E-4275-A343-CFF3A6D63C99}"/>
              </c:ext>
            </c:extLst>
          </c:dPt>
          <c:dLbls>
            <c:dLbl>
              <c:idx val="0"/>
              <c:tx>
                <c:rich>
                  <a:bodyPr/>
                  <a:lstStyle/>
                  <a:p>
                    <a:fld id="{CEDA8047-AC48-4BA5-BF0B-0AD68C3381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F9E-4275-A343-CFF3A6D63C99}"/>
                </c:ext>
              </c:extLst>
            </c:dLbl>
            <c:dLbl>
              <c:idx val="1"/>
              <c:tx>
                <c:rich>
                  <a:bodyPr/>
                  <a:lstStyle/>
                  <a:p>
                    <a:fld id="{282A5576-D83C-4DB1-8316-0B6A84F73E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F9E-4275-A343-CFF3A6D63C99}"/>
                </c:ext>
              </c:extLst>
            </c:dLbl>
            <c:dLbl>
              <c:idx val="2"/>
              <c:tx>
                <c:rich>
                  <a:bodyPr/>
                  <a:lstStyle/>
                  <a:p>
                    <a:fld id="{36A9F6F3-D01D-4157-B855-ACCA443A5E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F9E-4275-A343-CFF3A6D63C99}"/>
                </c:ext>
              </c:extLst>
            </c:dLbl>
            <c:dLbl>
              <c:idx val="3"/>
              <c:tx>
                <c:rich>
                  <a:bodyPr/>
                  <a:lstStyle/>
                  <a:p>
                    <a:fld id="{B2B76E71-338D-4870-A303-2154AFFD8D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F9E-4275-A343-CFF3A6D63C99}"/>
                </c:ext>
              </c:extLst>
            </c:dLbl>
            <c:dLbl>
              <c:idx val="4"/>
              <c:tx>
                <c:rich>
                  <a:bodyPr/>
                  <a:lstStyle/>
                  <a:p>
                    <a:fld id="{DDE3D54D-21A3-447A-93AB-27C8B40855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F9E-4275-A343-CFF3A6D63C99}"/>
                </c:ext>
              </c:extLst>
            </c:dLbl>
            <c:dLbl>
              <c:idx val="5"/>
              <c:tx>
                <c:rich>
                  <a:bodyPr/>
                  <a:lstStyle/>
                  <a:p>
                    <a:fld id="{A226360E-6C5A-4825-B271-BF6DC6E1E0C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F9E-4275-A343-CFF3A6D63C99}"/>
                </c:ext>
              </c:extLst>
            </c:dLbl>
            <c:dLbl>
              <c:idx val="6"/>
              <c:tx>
                <c:rich>
                  <a:bodyPr/>
                  <a:lstStyle/>
                  <a:p>
                    <a:fld id="{0117937B-4EF2-49FC-BC41-72B7FF8F0F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F9E-4275-A343-CFF3A6D63C99}"/>
                </c:ext>
              </c:extLst>
            </c:dLbl>
            <c:dLbl>
              <c:idx val="7"/>
              <c:tx>
                <c:rich>
                  <a:bodyPr/>
                  <a:lstStyle/>
                  <a:p>
                    <a:fld id="{B8358FC3-B44B-4D25-914C-44AF323FA3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F9E-4275-A343-CFF3A6D63C99}"/>
                </c:ext>
              </c:extLst>
            </c:dLbl>
            <c:dLbl>
              <c:idx val="8"/>
              <c:tx>
                <c:rich>
                  <a:bodyPr/>
                  <a:lstStyle/>
                  <a:p>
                    <a:fld id="{E63F47A7-5E98-4CCC-B739-0A04CA2882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F9E-4275-A343-CFF3A6D63C99}"/>
                </c:ext>
              </c:extLst>
            </c:dLbl>
            <c:dLbl>
              <c:idx val="9"/>
              <c:tx>
                <c:rich>
                  <a:bodyPr/>
                  <a:lstStyle/>
                  <a:p>
                    <a:fld id="{55E5C791-FC01-407C-B921-CC212A2956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F9E-4275-A343-CFF3A6D63C99}"/>
                </c:ext>
              </c:extLst>
            </c:dLbl>
            <c:dLbl>
              <c:idx val="10"/>
              <c:tx>
                <c:rich>
                  <a:bodyPr/>
                  <a:lstStyle/>
                  <a:p>
                    <a:fld id="{B5AA4E1C-67FD-4E8A-9B99-FC66D308A1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F9E-4275-A343-CFF3A6D63C99}"/>
                </c:ext>
              </c:extLst>
            </c:dLbl>
            <c:dLbl>
              <c:idx val="11"/>
              <c:tx>
                <c:rich>
                  <a:bodyPr/>
                  <a:lstStyle/>
                  <a:p>
                    <a:fld id="{F5A0E5AE-9DF7-4E37-AF42-8EAC12AAF4C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F9E-4275-A343-CFF3A6D63C99}"/>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9F9E-4275-A343-CFF3A6D63C99}"/>
                </c:ext>
              </c:extLst>
            </c:dLbl>
            <c:dLbl>
              <c:idx val="13"/>
              <c:tx>
                <c:rich>
                  <a:bodyPr/>
                  <a:lstStyle/>
                  <a:p>
                    <a:fld id="{B412F43E-EC59-4288-9336-35B6EFD8EC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9F9E-4275-A343-CFF3A6D63C99}"/>
                </c:ext>
              </c:extLst>
            </c:dLbl>
            <c:dLbl>
              <c:idx val="14"/>
              <c:tx>
                <c:rich>
                  <a:bodyPr/>
                  <a:lstStyle/>
                  <a:p>
                    <a:fld id="{F9B6773E-CFD5-44C3-B661-9DCF76F302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F9E-4275-A343-CFF3A6D63C99}"/>
                </c:ext>
              </c:extLst>
            </c:dLbl>
            <c:dLbl>
              <c:idx val="15"/>
              <c:tx>
                <c:rich>
                  <a:bodyPr/>
                  <a:lstStyle/>
                  <a:p>
                    <a:fld id="{A45CEABB-5320-43C2-8B6B-D364462D490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F9E-4275-A343-CFF3A6D63C99}"/>
                </c:ext>
              </c:extLst>
            </c:dLbl>
            <c:dLbl>
              <c:idx val="16"/>
              <c:tx>
                <c:rich>
                  <a:bodyPr/>
                  <a:lstStyle/>
                  <a:p>
                    <a:fld id="{E21BAE2C-8327-4F8D-A1B7-9E07C9D6CCD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F9E-4275-A343-CFF3A6D63C99}"/>
                </c:ext>
              </c:extLst>
            </c:dLbl>
            <c:dLbl>
              <c:idx val="17"/>
              <c:tx>
                <c:rich>
                  <a:bodyPr/>
                  <a:lstStyle/>
                  <a:p>
                    <a:fld id="{30334F75-96C6-4AD6-A4A6-0EFA322DB84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F9E-4275-A343-CFF3A6D63C99}"/>
                </c:ext>
              </c:extLst>
            </c:dLbl>
            <c:dLbl>
              <c:idx val="18"/>
              <c:tx>
                <c:rich>
                  <a:bodyPr/>
                  <a:lstStyle/>
                  <a:p>
                    <a:fld id="{31679836-0BA5-4B98-9614-22A850C010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F9E-4275-A343-CFF3A6D63C99}"/>
                </c:ext>
              </c:extLst>
            </c:dLbl>
            <c:dLbl>
              <c:idx val="19"/>
              <c:tx>
                <c:rich>
                  <a:bodyPr/>
                  <a:lstStyle/>
                  <a:p>
                    <a:fld id="{2E9476B1-CABE-4E91-AE6D-9B8740BDC2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F9E-4275-A343-CFF3A6D63C99}"/>
                </c:ext>
              </c:extLst>
            </c:dLbl>
            <c:dLbl>
              <c:idx val="20"/>
              <c:tx>
                <c:rich>
                  <a:bodyPr/>
                  <a:lstStyle/>
                  <a:p>
                    <a:fld id="{D1950E79-5EB8-405A-992E-CEA01CBB70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9F9E-4275-A343-CFF3A6D63C99}"/>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'R1'!$B$54:$V$54</c:f>
                <c:numCache>
                  <c:formatCode>General</c:formatCode>
                  <c:ptCount val="21"/>
                  <c:pt idx="0">
                    <c:v>2.069927379219396E-2</c:v>
                  </c:pt>
                  <c:pt idx="1">
                    <c:v>3.1836175195399871E-2</c:v>
                  </c:pt>
                  <c:pt idx="2">
                    <c:v>4.2625421162926579E-2</c:v>
                  </c:pt>
                  <c:pt idx="3">
                    <c:v>0.16897438883837712</c:v>
                  </c:pt>
                  <c:pt idx="4">
                    <c:v>0.15406284906343018</c:v>
                  </c:pt>
                  <c:pt idx="5">
                    <c:v>0.11194982712350507</c:v>
                  </c:pt>
                  <c:pt idx="6">
                    <c:v>0.28033273960894672</c:v>
                  </c:pt>
                  <c:pt idx="7">
                    <c:v>2.7576540932505125E-2</c:v>
                  </c:pt>
                  <c:pt idx="8">
                    <c:v>5.0567668802593516E-2</c:v>
                  </c:pt>
                  <c:pt idx="9">
                    <c:v>1.4186011902138956E-2</c:v>
                  </c:pt>
                  <c:pt idx="10">
                    <c:v>2.0684111422130769E-2</c:v>
                  </c:pt>
                  <c:pt idx="11">
                    <c:v>7.5293035318327095E-2</c:v>
                  </c:pt>
                  <c:pt idx="13">
                    <c:v>0.13726360322436124</c:v>
                  </c:pt>
                  <c:pt idx="14">
                    <c:v>0.19438537752369658</c:v>
                  </c:pt>
                  <c:pt idx="15">
                    <c:v>2.824335215532503E-2</c:v>
                  </c:pt>
                  <c:pt idx="16">
                    <c:v>0.15084483251440048</c:v>
                  </c:pt>
                  <c:pt idx="17">
                    <c:v>0.15861670466476449</c:v>
                  </c:pt>
                  <c:pt idx="18">
                    <c:v>0.19745232114109909</c:v>
                  </c:pt>
                  <c:pt idx="19">
                    <c:v>0.22876759544356445</c:v>
                  </c:pt>
                  <c:pt idx="20">
                    <c:v>9.7587517862045087E-2</c:v>
                  </c:pt>
                </c:numCache>
              </c:numRef>
            </c:plus>
            <c:minus>
              <c:numRef>
                <c:f>'R1'!$N$48:$V$48</c:f>
                <c:numCache>
                  <c:formatCode>General</c:formatCode>
                  <c:ptCount val="9"/>
                  <c:pt idx="0">
                    <c:v>0</c:v>
                  </c:pt>
                  <c:pt idx="1">
                    <c:v>0.13726360322436124</c:v>
                  </c:pt>
                  <c:pt idx="2">
                    <c:v>0.19438537752369658</c:v>
                  </c:pt>
                  <c:pt idx="3">
                    <c:v>2.824335215532503E-2</c:v>
                  </c:pt>
                  <c:pt idx="4">
                    <c:v>0.15084483251440048</c:v>
                  </c:pt>
                  <c:pt idx="5">
                    <c:v>0.15861670466476449</c:v>
                  </c:pt>
                  <c:pt idx="6">
                    <c:v>0.19745232114109909</c:v>
                  </c:pt>
                  <c:pt idx="7">
                    <c:v>0.22876759544356445</c:v>
                  </c:pt>
                  <c:pt idx="8">
                    <c:v>9.7587517862045087E-2</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Tamoxifen-30,2µg/L</c:v>
                </c:pt>
                <c:pt idx="8">
                  <c:v>Tamoxifen-60,4µg/L</c:v>
                </c:pt>
                <c:pt idx="9">
                  <c:v>Tamoxifen-121µg/L</c:v>
                </c:pt>
                <c:pt idx="10">
                  <c:v>Tamoxifen-242µg/L</c:v>
                </c:pt>
                <c:pt idx="11">
                  <c:v>Tamoxifen-483µg/L</c:v>
                </c:pt>
                <c:pt idx="13">
                  <c:v>Testo -30µg/L</c:v>
                </c:pt>
                <c:pt idx="14">
                  <c:v>Testo 30µg/L + EE2 -64ng/L</c:v>
                </c:pt>
                <c:pt idx="15">
                  <c:v>Testo 30µg/L + FAD-10µg/L</c:v>
                </c:pt>
                <c:pt idx="16">
                  <c:v>Tamoxifen-30.2µg/L + Testostérone</c:v>
                </c:pt>
                <c:pt idx="17">
                  <c:v>Tamoxifen-60.4µg/L + Testostérone</c:v>
                </c:pt>
                <c:pt idx="18">
                  <c:v>Tamoxifen-121µg/L + Testostérone</c:v>
                </c:pt>
                <c:pt idx="19">
                  <c:v>Tamoxifen-242µg/L + Testostérone</c:v>
                </c:pt>
                <c:pt idx="20">
                  <c:v>Tamoxifen-483µg/L + Testostérone</c:v>
                </c:pt>
              </c:strCache>
            </c:strRef>
          </c:cat>
          <c:val>
            <c:numRef>
              <c:f>'R1'!$B$53:$V$53</c:f>
              <c:numCache>
                <c:formatCode>0.0000</c:formatCode>
                <c:ptCount val="21"/>
                <c:pt idx="0">
                  <c:v>9.127741086839368E-2</c:v>
                </c:pt>
                <c:pt idx="1">
                  <c:v>0.14885287989897406</c:v>
                </c:pt>
                <c:pt idx="2">
                  <c:v>0.12992667550644299</c:v>
                </c:pt>
                <c:pt idx="3">
                  <c:v>0.39347097044128138</c:v>
                </c:pt>
                <c:pt idx="4">
                  <c:v>0.55599097510749351</c:v>
                </c:pt>
                <c:pt idx="5">
                  <c:v>0.96547339638709961</c:v>
                </c:pt>
                <c:pt idx="6">
                  <c:v>2.1999489353136843</c:v>
                </c:pt>
                <c:pt idx="7">
                  <c:v>9.597400621843323E-2</c:v>
                </c:pt>
                <c:pt idx="8">
                  <c:v>0.15418284749045122</c:v>
                </c:pt>
                <c:pt idx="9">
                  <c:v>7.3184886514727279E-2</c:v>
                </c:pt>
                <c:pt idx="10">
                  <c:v>9.27374052020912E-2</c:v>
                </c:pt>
                <c:pt idx="11">
                  <c:v>0.27261450879402077</c:v>
                </c:pt>
                <c:pt idx="13">
                  <c:v>1</c:v>
                </c:pt>
                <c:pt idx="14">
                  <c:v>1.6047871948653902</c:v>
                </c:pt>
                <c:pt idx="15">
                  <c:v>0.12377890356139458</c:v>
                </c:pt>
                <c:pt idx="16">
                  <c:v>0.66754669549780188</c:v>
                </c:pt>
                <c:pt idx="17">
                  <c:v>0.90164738328551053</c:v>
                </c:pt>
                <c:pt idx="18">
                  <c:v>1.0026716735541368</c:v>
                </c:pt>
                <c:pt idx="19">
                  <c:v>1.1951047850189334</c:v>
                </c:pt>
                <c:pt idx="20">
                  <c:v>0.65658881356547305</c:v>
                </c:pt>
              </c:numCache>
            </c:numRef>
          </c:val>
          <c:extLst>
            <c:ext xmlns:c15="http://schemas.microsoft.com/office/drawing/2012/chart" uri="{02D57815-91ED-43cb-92C2-25804820EDAC}">
              <c15:datalabelsRange>
                <c15:f>'R1'!$B$61:$V$61</c15:f>
                <c15:dlblRangeCache>
                  <c:ptCount val="21"/>
                  <c:pt idx="1">
                    <c:v>NS</c:v>
                  </c:pt>
                  <c:pt idx="2">
                    <c:v>NS</c:v>
                  </c:pt>
                  <c:pt idx="3">
                    <c:v>NS</c:v>
                  </c:pt>
                  <c:pt idx="4">
                    <c:v>*</c:v>
                  </c:pt>
                  <c:pt idx="5">
                    <c:v>**</c:v>
                  </c:pt>
                  <c:pt idx="6">
                    <c:v>***</c:v>
                  </c:pt>
                  <c:pt idx="7">
                    <c:v>NS</c:v>
                  </c:pt>
                  <c:pt idx="8">
                    <c:v>NS</c:v>
                  </c:pt>
                  <c:pt idx="9">
                    <c:v>NS</c:v>
                  </c:pt>
                  <c:pt idx="10">
                    <c:v>NS</c:v>
                  </c:pt>
                  <c:pt idx="11">
                    <c:v>*</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00-4E48-433F-93CE-959A7E8575BB}"/>
            </c:ext>
          </c:extLst>
        </c:ser>
        <c:dLbls>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1EB4-49E6-A530-2F7C437E3B30}"/>
              </c:ext>
            </c:extLst>
          </c:dPt>
          <c:dPt>
            <c:idx val="1"/>
            <c:invertIfNegative val="0"/>
            <c:bubble3D val="0"/>
            <c:spPr>
              <a:solidFill>
                <a:srgbClr val="FF0000"/>
              </a:solidFill>
            </c:spPr>
            <c:extLst>
              <c:ext xmlns:c16="http://schemas.microsoft.com/office/drawing/2014/chart" uri="{C3380CC4-5D6E-409C-BE32-E72D297353CC}">
                <c16:uniqueId val="{00000018-1EB4-49E6-A530-2F7C437E3B30}"/>
              </c:ext>
            </c:extLst>
          </c:dPt>
          <c:dPt>
            <c:idx val="2"/>
            <c:invertIfNegative val="0"/>
            <c:bubble3D val="0"/>
            <c:spPr>
              <a:solidFill>
                <a:srgbClr val="FF0000"/>
              </a:solidFill>
            </c:spPr>
            <c:extLst>
              <c:ext xmlns:c16="http://schemas.microsoft.com/office/drawing/2014/chart" uri="{C3380CC4-5D6E-409C-BE32-E72D297353CC}">
                <c16:uniqueId val="{00000019-1EB4-49E6-A530-2F7C437E3B30}"/>
              </c:ext>
            </c:extLst>
          </c:dPt>
          <c:dPt>
            <c:idx val="3"/>
            <c:invertIfNegative val="0"/>
            <c:bubble3D val="0"/>
            <c:spPr>
              <a:solidFill>
                <a:srgbClr val="FF0000"/>
              </a:solidFill>
            </c:spPr>
            <c:extLst>
              <c:ext xmlns:c16="http://schemas.microsoft.com/office/drawing/2014/chart" uri="{C3380CC4-5D6E-409C-BE32-E72D297353CC}">
                <c16:uniqueId val="{0000001A-1EB4-49E6-A530-2F7C437E3B30}"/>
              </c:ext>
            </c:extLst>
          </c:dPt>
          <c:dPt>
            <c:idx val="4"/>
            <c:invertIfNegative val="0"/>
            <c:bubble3D val="0"/>
            <c:spPr>
              <a:solidFill>
                <a:srgbClr val="FF0000"/>
              </a:solidFill>
            </c:spPr>
            <c:extLst>
              <c:ext xmlns:c16="http://schemas.microsoft.com/office/drawing/2014/chart" uri="{C3380CC4-5D6E-409C-BE32-E72D297353CC}">
                <c16:uniqueId val="{0000001B-1EB4-49E6-A530-2F7C437E3B30}"/>
              </c:ext>
            </c:extLst>
          </c:dPt>
          <c:dPt>
            <c:idx val="5"/>
            <c:invertIfNegative val="0"/>
            <c:bubble3D val="0"/>
            <c:spPr>
              <a:solidFill>
                <a:srgbClr val="FF0000"/>
              </a:solidFill>
            </c:spPr>
            <c:extLst>
              <c:ext xmlns:c16="http://schemas.microsoft.com/office/drawing/2014/chart" uri="{C3380CC4-5D6E-409C-BE32-E72D297353CC}">
                <c16:uniqueId val="{0000001C-1EB4-49E6-A530-2F7C437E3B30}"/>
              </c:ext>
            </c:extLst>
          </c:dPt>
          <c:dPt>
            <c:idx val="6"/>
            <c:invertIfNegative val="0"/>
            <c:bubble3D val="0"/>
            <c:spPr>
              <a:solidFill>
                <a:srgbClr val="FF0000"/>
              </a:solidFill>
            </c:spPr>
            <c:extLst>
              <c:ext xmlns:c16="http://schemas.microsoft.com/office/drawing/2014/chart" uri="{C3380CC4-5D6E-409C-BE32-E72D297353CC}">
                <c16:uniqueId val="{0000001D-1EB4-49E6-A530-2F7C437E3B30}"/>
              </c:ext>
            </c:extLst>
          </c:dPt>
          <c:dPt>
            <c:idx val="7"/>
            <c:invertIfNegative val="0"/>
            <c:bubble3D val="0"/>
            <c:spPr>
              <a:solidFill>
                <a:schemeClr val="bg1">
                  <a:lumMod val="65000"/>
                </a:schemeClr>
              </a:solidFill>
            </c:spPr>
            <c:extLst>
              <c:ext xmlns:c16="http://schemas.microsoft.com/office/drawing/2014/chart" uri="{C3380CC4-5D6E-409C-BE32-E72D297353CC}">
                <c16:uniqueId val="{0000001E-1EB4-49E6-A530-2F7C437E3B30}"/>
              </c:ext>
            </c:extLst>
          </c:dPt>
          <c:dPt>
            <c:idx val="8"/>
            <c:invertIfNegative val="0"/>
            <c:bubble3D val="0"/>
            <c:spPr>
              <a:solidFill>
                <a:schemeClr val="bg1">
                  <a:lumMod val="65000"/>
                </a:schemeClr>
              </a:solidFill>
            </c:spPr>
            <c:extLst>
              <c:ext xmlns:c16="http://schemas.microsoft.com/office/drawing/2014/chart" uri="{C3380CC4-5D6E-409C-BE32-E72D297353CC}">
                <c16:uniqueId val="{0000001F-1EB4-49E6-A530-2F7C437E3B30}"/>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1EB4-49E6-A530-2F7C437E3B30}"/>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1EB4-49E6-A530-2F7C437E3B30}"/>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1EB4-49E6-A530-2F7C437E3B30}"/>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1EB4-49E6-A530-2F7C437E3B30}"/>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1EB4-49E6-A530-2F7C437E3B30}"/>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1EB4-49E6-A530-2F7C437E3B30}"/>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1EB4-49E6-A530-2F7C437E3B30}"/>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58DE01BA-A5FE-42EF-82C4-708F23E0A3A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1EB4-49E6-A530-2F7C437E3B30}"/>
                </c:ext>
              </c:extLst>
            </c:dLbl>
            <c:dLbl>
              <c:idx val="1"/>
              <c:tx>
                <c:rich>
                  <a:bodyPr/>
                  <a:lstStyle/>
                  <a:p>
                    <a:fld id="{7848458B-99E8-4443-ACB6-5544C392BB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1EB4-49E6-A530-2F7C437E3B30}"/>
                </c:ext>
              </c:extLst>
            </c:dLbl>
            <c:dLbl>
              <c:idx val="2"/>
              <c:tx>
                <c:rich>
                  <a:bodyPr/>
                  <a:lstStyle/>
                  <a:p>
                    <a:fld id="{654C52BE-6C75-4200-92F6-49E3BBC431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EB4-49E6-A530-2F7C437E3B30}"/>
                </c:ext>
              </c:extLst>
            </c:dLbl>
            <c:dLbl>
              <c:idx val="3"/>
              <c:tx>
                <c:rich>
                  <a:bodyPr/>
                  <a:lstStyle/>
                  <a:p>
                    <a:fld id="{95AD6229-2EC5-4EA2-AF6A-DC08198394B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1EB4-49E6-A530-2F7C437E3B30}"/>
                </c:ext>
              </c:extLst>
            </c:dLbl>
            <c:dLbl>
              <c:idx val="4"/>
              <c:tx>
                <c:rich>
                  <a:bodyPr/>
                  <a:lstStyle/>
                  <a:p>
                    <a:fld id="{81D9E8C5-0523-44DF-A87F-8D5DCF317BD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EB4-49E6-A530-2F7C437E3B30}"/>
                </c:ext>
              </c:extLst>
            </c:dLbl>
            <c:dLbl>
              <c:idx val="5"/>
              <c:tx>
                <c:rich>
                  <a:bodyPr/>
                  <a:lstStyle/>
                  <a:p>
                    <a:fld id="{BDDA1006-77F9-4AC1-ACF4-8BFA357949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1EB4-49E6-A530-2F7C437E3B30}"/>
                </c:ext>
              </c:extLst>
            </c:dLbl>
            <c:dLbl>
              <c:idx val="6"/>
              <c:tx>
                <c:rich>
                  <a:bodyPr/>
                  <a:lstStyle/>
                  <a:p>
                    <a:fld id="{B591437F-23B3-41DD-8EC5-A373A847F83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EB4-49E6-A530-2F7C437E3B30}"/>
                </c:ext>
              </c:extLst>
            </c:dLbl>
            <c:dLbl>
              <c:idx val="7"/>
              <c:tx>
                <c:rich>
                  <a:bodyPr/>
                  <a:lstStyle/>
                  <a:p>
                    <a:fld id="{45333EAE-D1D5-4D08-A304-7FD6E5EFF91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1EB4-49E6-A530-2F7C437E3B30}"/>
                </c:ext>
              </c:extLst>
            </c:dLbl>
            <c:dLbl>
              <c:idx val="8"/>
              <c:tx>
                <c:rich>
                  <a:bodyPr/>
                  <a:lstStyle/>
                  <a:p>
                    <a:fld id="{2716F949-49FB-4BC9-943F-B655624A13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1EB4-49E6-A530-2F7C437E3B30}"/>
                </c:ext>
              </c:extLst>
            </c:dLbl>
            <c:dLbl>
              <c:idx val="9"/>
              <c:tx>
                <c:rich>
                  <a:bodyPr/>
                  <a:lstStyle/>
                  <a:p>
                    <a:fld id="{76E791E3-A371-4F3E-B3EA-578939C617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657C2A17-4C3B-4B17-A8A4-C395EED2F7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1EB4-49E6-A530-2F7C437E3B30}"/>
                </c:ext>
              </c:extLst>
            </c:dLbl>
            <c:dLbl>
              <c:idx val="11"/>
              <c:tx>
                <c:rich>
                  <a:bodyPr/>
                  <a:lstStyle/>
                  <a:p>
                    <a:fld id="{3632467D-456A-492A-95AC-120AC1C594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1EB4-49E6-A530-2F7C437E3B30}"/>
                </c:ext>
              </c:extLst>
            </c:dLbl>
            <c:dLbl>
              <c:idx val="13"/>
              <c:tx>
                <c:rich>
                  <a:bodyPr/>
                  <a:lstStyle/>
                  <a:p>
                    <a:fld id="{71B8F49A-195C-46F9-B03C-93885C54E7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BF584BE0-CCC2-4DF3-B65A-BB47A167A1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1EB4-49E6-A530-2F7C437E3B30}"/>
                </c:ext>
              </c:extLst>
            </c:dLbl>
            <c:dLbl>
              <c:idx val="15"/>
              <c:tx>
                <c:rich>
                  <a:bodyPr/>
                  <a:lstStyle/>
                  <a:p>
                    <a:fld id="{350E3575-971B-4132-BC10-DC462000CEF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9036B79D-9C12-4F3F-A697-E23A939D10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1EB4-49E6-A530-2F7C437E3B30}"/>
                </c:ext>
              </c:extLst>
            </c:dLbl>
            <c:dLbl>
              <c:idx val="17"/>
              <c:tx>
                <c:rich>
                  <a:bodyPr/>
                  <a:lstStyle/>
                  <a:p>
                    <a:fld id="{157B6B28-EB1E-4A0F-9560-649E672E92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1EB4-49E6-A530-2F7C437E3B30}"/>
                </c:ext>
              </c:extLst>
            </c:dLbl>
            <c:dLbl>
              <c:idx val="18"/>
              <c:tx>
                <c:rich>
                  <a:bodyPr/>
                  <a:lstStyle/>
                  <a:p>
                    <a:fld id="{788B9BC3-D2A5-47F9-AA19-54C64D5185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1EB4-49E6-A530-2F7C437E3B30}"/>
                </c:ext>
              </c:extLst>
            </c:dLbl>
            <c:dLbl>
              <c:idx val="19"/>
              <c:tx>
                <c:rich>
                  <a:bodyPr/>
                  <a:lstStyle/>
                  <a:p>
                    <a:fld id="{CF65F63F-A807-4E10-9CFE-7970EADD99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1EB4-49E6-A530-2F7C437E3B30}"/>
                </c:ext>
              </c:extLst>
            </c:dLbl>
            <c:dLbl>
              <c:idx val="20"/>
              <c:tx>
                <c:rich>
                  <a:bodyPr/>
                  <a:lstStyle/>
                  <a:p>
                    <a:fld id="{4B0298E1-28CD-44C6-93F2-13DB0F739B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1EB4-49E6-A530-2F7C437E3B30}"/>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'R2'!$B$54:$V$54</c:f>
                <c:numCache>
                  <c:formatCode>General</c:formatCode>
                  <c:ptCount val="21"/>
                  <c:pt idx="0">
                    <c:v>8.9086878562372237E-3</c:v>
                  </c:pt>
                  <c:pt idx="1">
                    <c:v>1.7526094361123949E-2</c:v>
                  </c:pt>
                  <c:pt idx="2">
                    <c:v>2.4183363356650032E-2</c:v>
                  </c:pt>
                  <c:pt idx="3">
                    <c:v>7.4262616077459195E-2</c:v>
                  </c:pt>
                  <c:pt idx="4">
                    <c:v>0.11824332667708809</c:v>
                  </c:pt>
                  <c:pt idx="5">
                    <c:v>0.13127137447795437</c:v>
                  </c:pt>
                  <c:pt idx="6">
                    <c:v>0.25540604646778015</c:v>
                  </c:pt>
                  <c:pt idx="7">
                    <c:v>1.7241576467857466E-2</c:v>
                  </c:pt>
                  <c:pt idx="8">
                    <c:v>2.9912185076536348E-2</c:v>
                  </c:pt>
                  <c:pt idx="9">
                    <c:v>1.8621921850380564E-2</c:v>
                  </c:pt>
                  <c:pt idx="10">
                    <c:v>3.2236849391896291E-2</c:v>
                  </c:pt>
                  <c:pt idx="11">
                    <c:v>7.3290373822004387E-2</c:v>
                  </c:pt>
                  <c:pt idx="13">
                    <c:v>0.11367184746487383</c:v>
                  </c:pt>
                  <c:pt idx="14">
                    <c:v>0.22002060849777449</c:v>
                  </c:pt>
                  <c:pt idx="15">
                    <c:v>2.4813350120560029E-2</c:v>
                  </c:pt>
                  <c:pt idx="16">
                    <c:v>0.17394232911524246</c:v>
                  </c:pt>
                  <c:pt idx="17">
                    <c:v>0.15242899355655259</c:v>
                  </c:pt>
                  <c:pt idx="18">
                    <c:v>0.17122841433284394</c:v>
                  </c:pt>
                  <c:pt idx="19">
                    <c:v>0.17514684501999517</c:v>
                  </c:pt>
                  <c:pt idx="20">
                    <c:v>0.11587786855523489</c:v>
                  </c:pt>
                </c:numCache>
              </c:numRef>
            </c:plus>
            <c:minus>
              <c:numRef>
                <c:f>'R1'!$N$48:$V$48</c:f>
                <c:numCache>
                  <c:formatCode>General</c:formatCode>
                  <c:ptCount val="9"/>
                  <c:pt idx="0">
                    <c:v>0</c:v>
                  </c:pt>
                  <c:pt idx="1">
                    <c:v>0.13726360322436124</c:v>
                  </c:pt>
                  <c:pt idx="2">
                    <c:v>0.19438537752369658</c:v>
                  </c:pt>
                  <c:pt idx="3">
                    <c:v>2.824335215532503E-2</c:v>
                  </c:pt>
                  <c:pt idx="4">
                    <c:v>0.15084483251440048</c:v>
                  </c:pt>
                  <c:pt idx="5">
                    <c:v>0.15861670466476449</c:v>
                  </c:pt>
                  <c:pt idx="6">
                    <c:v>0.19745232114109909</c:v>
                  </c:pt>
                  <c:pt idx="7">
                    <c:v>0.22876759544356445</c:v>
                  </c:pt>
                  <c:pt idx="8">
                    <c:v>9.7587517862045087E-2</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Tamoxifen-30,2µg/L</c:v>
                </c:pt>
                <c:pt idx="8">
                  <c:v>Tamoxifen-60,4µg/L</c:v>
                </c:pt>
                <c:pt idx="9">
                  <c:v>Tamoxifen-121µg/L</c:v>
                </c:pt>
                <c:pt idx="10">
                  <c:v>Tamoxifen-242µg/L</c:v>
                </c:pt>
                <c:pt idx="11">
                  <c:v>Tamoxifen-483µg/L</c:v>
                </c:pt>
                <c:pt idx="13">
                  <c:v>Testo -30µg/L</c:v>
                </c:pt>
                <c:pt idx="14">
                  <c:v>Testo 30µg/L + EE2 -64ng/L</c:v>
                </c:pt>
                <c:pt idx="15">
                  <c:v>Testo 30µg/L + FAD-10µg/L</c:v>
                </c:pt>
                <c:pt idx="16">
                  <c:v>Tamoxifen-30.2µg/L + Testostérone</c:v>
                </c:pt>
                <c:pt idx="17">
                  <c:v>Tamoxifen-60.4µg/L + Testostérone</c:v>
                </c:pt>
                <c:pt idx="18">
                  <c:v>Tamoxifen-121µg/L + Testostérone</c:v>
                </c:pt>
                <c:pt idx="19">
                  <c:v>Tamoxifen-242µg/L + Testostérone</c:v>
                </c:pt>
                <c:pt idx="20">
                  <c:v>Tamoxifen-483µg/L + Testostérone</c:v>
                </c:pt>
              </c:strCache>
            </c:strRef>
          </c:cat>
          <c:val>
            <c:numRef>
              <c:f>'R2'!$B$53:$V$53</c:f>
              <c:numCache>
                <c:formatCode>0.0000</c:formatCode>
                <c:ptCount val="21"/>
                <c:pt idx="0">
                  <c:v>4.2673418931984168E-2</c:v>
                </c:pt>
                <c:pt idx="1">
                  <c:v>4.2529547054850445E-2</c:v>
                </c:pt>
                <c:pt idx="2">
                  <c:v>5.7665005159781103E-2</c:v>
                </c:pt>
                <c:pt idx="3">
                  <c:v>0.24269020535062102</c:v>
                </c:pt>
                <c:pt idx="4">
                  <c:v>0.72149844486524284</c:v>
                </c:pt>
                <c:pt idx="5">
                  <c:v>1.3484071832445543</c:v>
                </c:pt>
                <c:pt idx="6">
                  <c:v>2.3868638809588694</c:v>
                </c:pt>
                <c:pt idx="7">
                  <c:v>6.0115600028548474E-2</c:v>
                </c:pt>
                <c:pt idx="8">
                  <c:v>7.7303985486456422E-2</c:v>
                </c:pt>
                <c:pt idx="9">
                  <c:v>7.8172864141713552E-2</c:v>
                </c:pt>
                <c:pt idx="10">
                  <c:v>0.10974382831205527</c:v>
                </c:pt>
                <c:pt idx="11">
                  <c:v>0.31793815741825004</c:v>
                </c:pt>
                <c:pt idx="13">
                  <c:v>0.99999999999999989</c:v>
                </c:pt>
                <c:pt idx="14">
                  <c:v>1.6550990504588183</c:v>
                </c:pt>
                <c:pt idx="15">
                  <c:v>8.4213497285273387E-2</c:v>
                </c:pt>
                <c:pt idx="16">
                  <c:v>1.0123751265317633</c:v>
                </c:pt>
                <c:pt idx="17">
                  <c:v>0.46077995277071376</c:v>
                </c:pt>
                <c:pt idx="18">
                  <c:v>0.77574676848119761</c:v>
                </c:pt>
                <c:pt idx="19">
                  <c:v>0.86632209891024392</c:v>
                </c:pt>
                <c:pt idx="20">
                  <c:v>0.97853472126868701</c:v>
                </c:pt>
              </c:numCache>
            </c:numRef>
          </c:val>
          <c:extLst>
            <c:ext xmlns:c15="http://schemas.microsoft.com/office/drawing/2012/chart" uri="{02D57815-91ED-43cb-92C2-25804820EDAC}">
              <c15:datalabelsRange>
                <c15:f>'R2'!$B$61:$V$61</c15:f>
                <c15:dlblRangeCache>
                  <c:ptCount val="21"/>
                  <c:pt idx="1">
                    <c:v>NS</c:v>
                  </c:pt>
                  <c:pt idx="2">
                    <c:v>NS</c:v>
                  </c:pt>
                  <c:pt idx="3">
                    <c:v>NS</c:v>
                  </c:pt>
                  <c:pt idx="4">
                    <c:v>*</c:v>
                  </c:pt>
                  <c:pt idx="5">
                    <c:v>**</c:v>
                  </c:pt>
                  <c:pt idx="6">
                    <c:v>***</c:v>
                  </c:pt>
                  <c:pt idx="7">
                    <c:v>NS</c:v>
                  </c:pt>
                  <c:pt idx="8">
                    <c:v>NS</c:v>
                  </c:pt>
                  <c:pt idx="9">
                    <c:v>NS</c:v>
                  </c:pt>
                  <c:pt idx="10">
                    <c:v>NS</c:v>
                  </c:pt>
                  <c:pt idx="11">
                    <c:v>***</c:v>
                  </c:pt>
                  <c:pt idx="13">
                    <c:v>***</c:v>
                  </c:pt>
                  <c:pt idx="14">
                    <c:v>*</c:v>
                  </c:pt>
                  <c:pt idx="15">
                    <c:v>***</c:v>
                  </c:pt>
                  <c:pt idx="16">
                    <c:v>NS</c:v>
                  </c:pt>
                  <c:pt idx="17">
                    <c:v>*</c:v>
                  </c:pt>
                  <c:pt idx="18">
                    <c:v>NS</c:v>
                  </c:pt>
                  <c:pt idx="19">
                    <c:v>NS</c:v>
                  </c:pt>
                  <c:pt idx="20">
                    <c:v>NS</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B45A-4C55-AB27-8405D33EFD67}"/>
              </c:ext>
            </c:extLst>
          </c:dPt>
          <c:dPt>
            <c:idx val="1"/>
            <c:invertIfNegative val="0"/>
            <c:bubble3D val="0"/>
            <c:spPr>
              <a:solidFill>
                <a:srgbClr val="FF0000"/>
              </a:solidFill>
            </c:spPr>
            <c:extLst>
              <c:ext xmlns:c16="http://schemas.microsoft.com/office/drawing/2014/chart" uri="{C3380CC4-5D6E-409C-BE32-E72D297353CC}">
                <c16:uniqueId val="{00000018-B45A-4C55-AB27-8405D33EFD67}"/>
              </c:ext>
            </c:extLst>
          </c:dPt>
          <c:dPt>
            <c:idx val="2"/>
            <c:invertIfNegative val="0"/>
            <c:bubble3D val="0"/>
            <c:spPr>
              <a:solidFill>
                <a:srgbClr val="FF0000"/>
              </a:solidFill>
            </c:spPr>
            <c:extLst>
              <c:ext xmlns:c16="http://schemas.microsoft.com/office/drawing/2014/chart" uri="{C3380CC4-5D6E-409C-BE32-E72D297353CC}">
                <c16:uniqueId val="{00000019-B45A-4C55-AB27-8405D33EFD67}"/>
              </c:ext>
            </c:extLst>
          </c:dPt>
          <c:dPt>
            <c:idx val="3"/>
            <c:invertIfNegative val="0"/>
            <c:bubble3D val="0"/>
            <c:spPr>
              <a:solidFill>
                <a:srgbClr val="FF0000"/>
              </a:solidFill>
            </c:spPr>
            <c:extLst>
              <c:ext xmlns:c16="http://schemas.microsoft.com/office/drawing/2014/chart" uri="{C3380CC4-5D6E-409C-BE32-E72D297353CC}">
                <c16:uniqueId val="{0000001A-B45A-4C55-AB27-8405D33EFD67}"/>
              </c:ext>
            </c:extLst>
          </c:dPt>
          <c:dPt>
            <c:idx val="4"/>
            <c:invertIfNegative val="0"/>
            <c:bubble3D val="0"/>
            <c:spPr>
              <a:solidFill>
                <a:srgbClr val="FF0000"/>
              </a:solidFill>
            </c:spPr>
            <c:extLst>
              <c:ext xmlns:c16="http://schemas.microsoft.com/office/drawing/2014/chart" uri="{C3380CC4-5D6E-409C-BE32-E72D297353CC}">
                <c16:uniqueId val="{0000001B-B45A-4C55-AB27-8405D33EFD67}"/>
              </c:ext>
            </c:extLst>
          </c:dPt>
          <c:dPt>
            <c:idx val="5"/>
            <c:invertIfNegative val="0"/>
            <c:bubble3D val="0"/>
            <c:spPr>
              <a:solidFill>
                <a:srgbClr val="FF0000"/>
              </a:solidFill>
            </c:spPr>
            <c:extLst>
              <c:ext xmlns:c16="http://schemas.microsoft.com/office/drawing/2014/chart" uri="{C3380CC4-5D6E-409C-BE32-E72D297353CC}">
                <c16:uniqueId val="{0000001C-B45A-4C55-AB27-8405D33EFD67}"/>
              </c:ext>
            </c:extLst>
          </c:dPt>
          <c:dPt>
            <c:idx val="6"/>
            <c:invertIfNegative val="0"/>
            <c:bubble3D val="0"/>
            <c:spPr>
              <a:solidFill>
                <a:srgbClr val="FF0000"/>
              </a:solidFill>
            </c:spPr>
            <c:extLst>
              <c:ext xmlns:c16="http://schemas.microsoft.com/office/drawing/2014/chart" uri="{C3380CC4-5D6E-409C-BE32-E72D297353CC}">
                <c16:uniqueId val="{0000001D-B45A-4C55-AB27-8405D33EFD67}"/>
              </c:ext>
            </c:extLst>
          </c:dPt>
          <c:dPt>
            <c:idx val="7"/>
            <c:invertIfNegative val="0"/>
            <c:bubble3D val="0"/>
            <c:spPr>
              <a:solidFill>
                <a:schemeClr val="bg1">
                  <a:lumMod val="65000"/>
                </a:schemeClr>
              </a:solidFill>
            </c:spPr>
            <c:extLst>
              <c:ext xmlns:c16="http://schemas.microsoft.com/office/drawing/2014/chart" uri="{C3380CC4-5D6E-409C-BE32-E72D297353CC}">
                <c16:uniqueId val="{0000001E-B45A-4C55-AB27-8405D33EFD67}"/>
              </c:ext>
            </c:extLst>
          </c:dPt>
          <c:dPt>
            <c:idx val="8"/>
            <c:invertIfNegative val="0"/>
            <c:bubble3D val="0"/>
            <c:spPr>
              <a:solidFill>
                <a:schemeClr val="bg1">
                  <a:lumMod val="65000"/>
                </a:schemeClr>
              </a:solidFill>
            </c:spPr>
            <c:extLst>
              <c:ext xmlns:c16="http://schemas.microsoft.com/office/drawing/2014/chart" uri="{C3380CC4-5D6E-409C-BE32-E72D297353CC}">
                <c16:uniqueId val="{0000001F-B45A-4C55-AB27-8405D33EFD67}"/>
              </c:ext>
            </c:extLst>
          </c:dPt>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bg1">
                  <a:lumMod val="65000"/>
                </a:schemeClr>
              </a:solidFill>
            </c:spPr>
            <c:extLst>
              <c:ext xmlns:c16="http://schemas.microsoft.com/office/drawing/2014/chart" uri="{C3380CC4-5D6E-409C-BE32-E72D297353CC}">
                <c16:uniqueId val="{00000020-B45A-4C55-AB27-8405D33EFD67}"/>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00B050"/>
              </a:solidFill>
            </c:spPr>
            <c:extLst>
              <c:ext xmlns:c16="http://schemas.microsoft.com/office/drawing/2014/chart" uri="{C3380CC4-5D6E-409C-BE32-E72D297353CC}">
                <c16:uniqueId val="{00000005-EED2-4ACE-91AA-7F8713196E92}"/>
              </c:ext>
            </c:extLst>
          </c:dPt>
          <c:dPt>
            <c:idx val="14"/>
            <c:invertIfNegative val="0"/>
            <c:bubble3D val="0"/>
            <c:spPr>
              <a:solidFill>
                <a:srgbClr val="92D050"/>
              </a:solidFill>
            </c:spPr>
            <c:extLst>
              <c:ext xmlns:c16="http://schemas.microsoft.com/office/drawing/2014/chart" uri="{C3380CC4-5D6E-409C-BE32-E72D297353CC}">
                <c16:uniqueId val="{00000021-B45A-4C55-AB27-8405D33EFD67}"/>
              </c:ext>
            </c:extLst>
          </c:dPt>
          <c:dPt>
            <c:idx val="15"/>
            <c:invertIfNegative val="0"/>
            <c:bubble3D val="0"/>
            <c:spPr>
              <a:solidFill>
                <a:srgbClr val="92D050"/>
              </a:solidFill>
            </c:spPr>
            <c:extLst>
              <c:ext xmlns:c16="http://schemas.microsoft.com/office/drawing/2014/chart" uri="{C3380CC4-5D6E-409C-BE32-E72D297353CC}">
                <c16:uniqueId val="{00000007-EED2-4ACE-91AA-7F8713196E92}"/>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22-B45A-4C55-AB27-8405D33EFD67}"/>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3-B45A-4C55-AB27-8405D33EFD67}"/>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4-B45A-4C55-AB27-8405D33EFD67}"/>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B45A-4C55-AB27-8405D33EFD67}"/>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6-B45A-4C55-AB27-8405D33EFD67}"/>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74D685AB-3090-4F97-A088-C7431211705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B45A-4C55-AB27-8405D33EFD67}"/>
                </c:ext>
              </c:extLst>
            </c:dLbl>
            <c:dLbl>
              <c:idx val="1"/>
              <c:tx>
                <c:rich>
                  <a:bodyPr/>
                  <a:lstStyle/>
                  <a:p>
                    <a:fld id="{4717DF09-ADFC-4F75-A9EA-596FD5B4D4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B45A-4C55-AB27-8405D33EFD67}"/>
                </c:ext>
              </c:extLst>
            </c:dLbl>
            <c:dLbl>
              <c:idx val="2"/>
              <c:tx>
                <c:rich>
                  <a:bodyPr/>
                  <a:lstStyle/>
                  <a:p>
                    <a:fld id="{88E93AC5-FFD9-451F-B762-29CFE36CBA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B45A-4C55-AB27-8405D33EFD67}"/>
                </c:ext>
              </c:extLst>
            </c:dLbl>
            <c:dLbl>
              <c:idx val="3"/>
              <c:tx>
                <c:rich>
                  <a:bodyPr/>
                  <a:lstStyle/>
                  <a:p>
                    <a:fld id="{1D429EF1-DD8F-43CA-8659-511AA93168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B45A-4C55-AB27-8405D33EFD67}"/>
                </c:ext>
              </c:extLst>
            </c:dLbl>
            <c:dLbl>
              <c:idx val="4"/>
              <c:tx>
                <c:rich>
                  <a:bodyPr/>
                  <a:lstStyle/>
                  <a:p>
                    <a:fld id="{D750AE46-5EF1-46FE-8BA6-EA799D4302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B45A-4C55-AB27-8405D33EFD67}"/>
                </c:ext>
              </c:extLst>
            </c:dLbl>
            <c:dLbl>
              <c:idx val="5"/>
              <c:tx>
                <c:rich>
                  <a:bodyPr/>
                  <a:lstStyle/>
                  <a:p>
                    <a:fld id="{482EE9B5-C737-476D-946C-33DC8910EA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B45A-4C55-AB27-8405D33EFD67}"/>
                </c:ext>
              </c:extLst>
            </c:dLbl>
            <c:dLbl>
              <c:idx val="6"/>
              <c:tx>
                <c:rich>
                  <a:bodyPr/>
                  <a:lstStyle/>
                  <a:p>
                    <a:fld id="{067F2F33-6EF6-42DF-940D-42CCA95191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B45A-4C55-AB27-8405D33EFD67}"/>
                </c:ext>
              </c:extLst>
            </c:dLbl>
            <c:dLbl>
              <c:idx val="7"/>
              <c:tx>
                <c:rich>
                  <a:bodyPr/>
                  <a:lstStyle/>
                  <a:p>
                    <a:fld id="{19CC00AF-64B8-402E-B9BA-7EA62FDFDE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B45A-4C55-AB27-8405D33EFD67}"/>
                </c:ext>
              </c:extLst>
            </c:dLbl>
            <c:dLbl>
              <c:idx val="8"/>
              <c:tx>
                <c:rich>
                  <a:bodyPr/>
                  <a:lstStyle/>
                  <a:p>
                    <a:fld id="{29C97D54-9764-44BA-B1E1-8C064EC23A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B45A-4C55-AB27-8405D33EFD67}"/>
                </c:ext>
              </c:extLst>
            </c:dLbl>
            <c:dLbl>
              <c:idx val="9"/>
              <c:tx>
                <c:rich>
                  <a:bodyPr/>
                  <a:lstStyle/>
                  <a:p>
                    <a:fld id="{6BC1F048-9250-4D56-83C1-5300417994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ED2-4ACE-91AA-7F8713196E92}"/>
                </c:ext>
              </c:extLst>
            </c:dLbl>
            <c:dLbl>
              <c:idx val="10"/>
              <c:tx>
                <c:rich>
                  <a:bodyPr/>
                  <a:lstStyle/>
                  <a:p>
                    <a:fld id="{29902BAF-0A6B-4E41-9FF4-6E16643C85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B45A-4C55-AB27-8405D33EFD67}"/>
                </c:ext>
              </c:extLst>
            </c:dLbl>
            <c:dLbl>
              <c:idx val="11"/>
              <c:tx>
                <c:rich>
                  <a:bodyPr/>
                  <a:lstStyle/>
                  <a:p>
                    <a:fld id="{38D1D007-DB63-4D36-92C1-D225C677E0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ED2-4ACE-91AA-7F8713196E92}"/>
                </c:ext>
              </c:extLst>
            </c:dLbl>
            <c:dLbl>
              <c:idx val="12"/>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B45A-4C55-AB27-8405D33EFD67}"/>
                </c:ext>
              </c:extLst>
            </c:dLbl>
            <c:dLbl>
              <c:idx val="13"/>
              <c:tx>
                <c:rich>
                  <a:bodyPr/>
                  <a:lstStyle/>
                  <a:p>
                    <a:fld id="{EADD6821-08AD-43D9-B3E6-5AB167ECD2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ED2-4ACE-91AA-7F8713196E92}"/>
                </c:ext>
              </c:extLst>
            </c:dLbl>
            <c:dLbl>
              <c:idx val="14"/>
              <c:tx>
                <c:rich>
                  <a:bodyPr/>
                  <a:lstStyle/>
                  <a:p>
                    <a:fld id="{23A19B54-8D0B-4525-A76C-261AD69644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B45A-4C55-AB27-8405D33EFD67}"/>
                </c:ext>
              </c:extLst>
            </c:dLbl>
            <c:dLbl>
              <c:idx val="15"/>
              <c:tx>
                <c:rich>
                  <a:bodyPr/>
                  <a:lstStyle/>
                  <a:p>
                    <a:fld id="{8E0A3CEF-234E-4E16-8454-F4A05BC792E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ED2-4ACE-91AA-7F8713196E92}"/>
                </c:ext>
              </c:extLst>
            </c:dLbl>
            <c:dLbl>
              <c:idx val="16"/>
              <c:tx>
                <c:rich>
                  <a:bodyPr/>
                  <a:lstStyle/>
                  <a:p>
                    <a:fld id="{E13131A9-F938-4B45-A79A-4B3E88F2E2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B45A-4C55-AB27-8405D33EFD67}"/>
                </c:ext>
              </c:extLst>
            </c:dLbl>
            <c:dLbl>
              <c:idx val="17"/>
              <c:tx>
                <c:rich>
                  <a:bodyPr/>
                  <a:lstStyle/>
                  <a:p>
                    <a:fld id="{A93037D8-60B6-46BD-9757-176A7C3A2D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B45A-4C55-AB27-8405D33EFD67}"/>
                </c:ext>
              </c:extLst>
            </c:dLbl>
            <c:dLbl>
              <c:idx val="18"/>
              <c:tx>
                <c:rich>
                  <a:bodyPr/>
                  <a:lstStyle/>
                  <a:p>
                    <a:fld id="{6D323A9D-049A-4EEF-8416-489880D7334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B45A-4C55-AB27-8405D33EFD67}"/>
                </c:ext>
              </c:extLst>
            </c:dLbl>
            <c:dLbl>
              <c:idx val="19"/>
              <c:tx>
                <c:rich>
                  <a:bodyPr/>
                  <a:lstStyle/>
                  <a:p>
                    <a:fld id="{75075494-09E1-4244-9A6C-17109612F81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B45A-4C55-AB27-8405D33EFD67}"/>
                </c:ext>
              </c:extLst>
            </c:dLbl>
            <c:dLbl>
              <c:idx val="20"/>
              <c:tx>
                <c:rich>
                  <a:bodyPr/>
                  <a:lstStyle/>
                  <a:p>
                    <a:fld id="{DB96384A-9AEE-4AAB-9706-EE63C25531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B45A-4C55-AB27-8405D33EFD67}"/>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'R3'!$B$54:$V$54</c:f>
                <c:numCache>
                  <c:formatCode>General</c:formatCode>
                  <c:ptCount val="21"/>
                  <c:pt idx="0">
                    <c:v>4.056615106813994E-2</c:v>
                  </c:pt>
                  <c:pt idx="1">
                    <c:v>4.9405812219068077E-2</c:v>
                  </c:pt>
                  <c:pt idx="2">
                    <c:v>1.9687060202218727E-2</c:v>
                  </c:pt>
                  <c:pt idx="3">
                    <c:v>0.10326670014623389</c:v>
                  </c:pt>
                  <c:pt idx="4">
                    <c:v>0.10224529670913919</c:v>
                  </c:pt>
                  <c:pt idx="5">
                    <c:v>0.15402896784123629</c:v>
                  </c:pt>
                  <c:pt idx="6">
                    <c:v>0.1174323886403006</c:v>
                  </c:pt>
                  <c:pt idx="7">
                    <c:v>2.6389421230259086E-2</c:v>
                  </c:pt>
                  <c:pt idx="8">
                    <c:v>3.427904196728105E-2</c:v>
                  </c:pt>
                  <c:pt idx="9">
                    <c:v>8.1877164662203503E-2</c:v>
                  </c:pt>
                  <c:pt idx="10">
                    <c:v>5.5495055910247504E-2</c:v>
                  </c:pt>
                  <c:pt idx="11">
                    <c:v>0.17516403503982977</c:v>
                  </c:pt>
                  <c:pt idx="13">
                    <c:v>0.11828622671074432</c:v>
                  </c:pt>
                  <c:pt idx="14">
                    <c:v>0.25795685847018213</c:v>
                  </c:pt>
                  <c:pt idx="15">
                    <c:v>2.9146967955464832E-2</c:v>
                  </c:pt>
                  <c:pt idx="16">
                    <c:v>0.16551464745941941</c:v>
                  </c:pt>
                  <c:pt idx="17">
                    <c:v>8.811257824300528E-2</c:v>
                  </c:pt>
                  <c:pt idx="18">
                    <c:v>0.1623672121132633</c:v>
                  </c:pt>
                  <c:pt idx="19">
                    <c:v>7.0508464259883302E-2</c:v>
                  </c:pt>
                  <c:pt idx="20">
                    <c:v>0.13567343497931117</c:v>
                  </c:pt>
                </c:numCache>
              </c:numRef>
            </c:plus>
            <c:minus>
              <c:numRef>
                <c:f>'R1'!$N$48:$V$48</c:f>
                <c:numCache>
                  <c:formatCode>General</c:formatCode>
                  <c:ptCount val="9"/>
                  <c:pt idx="0">
                    <c:v>0</c:v>
                  </c:pt>
                  <c:pt idx="1">
                    <c:v>0.13726360322436124</c:v>
                  </c:pt>
                  <c:pt idx="2">
                    <c:v>0.19438537752369658</c:v>
                  </c:pt>
                  <c:pt idx="3">
                    <c:v>2.824335215532503E-2</c:v>
                  </c:pt>
                  <c:pt idx="4">
                    <c:v>0.15084483251440048</c:v>
                  </c:pt>
                  <c:pt idx="5">
                    <c:v>0.15861670466476449</c:v>
                  </c:pt>
                  <c:pt idx="6">
                    <c:v>0.19745232114109909</c:v>
                  </c:pt>
                  <c:pt idx="7">
                    <c:v>0.22876759544356445</c:v>
                  </c:pt>
                  <c:pt idx="8">
                    <c:v>9.7587517862045087E-2</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Tamoxifen-30,2µg/L</c:v>
                </c:pt>
                <c:pt idx="8">
                  <c:v>Tamoxifen-60,4µg/L</c:v>
                </c:pt>
                <c:pt idx="9">
                  <c:v>Tamoxifen-121µg/L</c:v>
                </c:pt>
                <c:pt idx="10">
                  <c:v>Tamoxifen-242µg/L</c:v>
                </c:pt>
                <c:pt idx="11">
                  <c:v>Tamoxifen-483µg/L</c:v>
                </c:pt>
                <c:pt idx="13">
                  <c:v>Testo -30µg/L</c:v>
                </c:pt>
                <c:pt idx="14">
                  <c:v>Testo 30µg/L + EE2 -64ng/L</c:v>
                </c:pt>
                <c:pt idx="15">
                  <c:v>Testo 30µg/L + FAD-10µg/L</c:v>
                </c:pt>
                <c:pt idx="16">
                  <c:v>Tamoxifen-30.2µg/L + Testostérone</c:v>
                </c:pt>
                <c:pt idx="17">
                  <c:v>Tamoxifen-60.4µg/L + Testostérone</c:v>
                </c:pt>
                <c:pt idx="18">
                  <c:v>Tamoxifen-121µg/L + Testostérone</c:v>
                </c:pt>
                <c:pt idx="19">
                  <c:v>Tamoxifen-242µg/L + Testostérone</c:v>
                </c:pt>
                <c:pt idx="20">
                  <c:v>Tamoxifen-483µg/L + Testostérone</c:v>
                </c:pt>
              </c:strCache>
            </c:strRef>
          </c:cat>
          <c:val>
            <c:numRef>
              <c:f>'R3'!$B$53:$V$53</c:f>
              <c:numCache>
                <c:formatCode>0.0000</c:formatCode>
                <c:ptCount val="21"/>
                <c:pt idx="0">
                  <c:v>0.22402572160771944</c:v>
                </c:pt>
                <c:pt idx="1">
                  <c:v>0.23278583283133039</c:v>
                </c:pt>
                <c:pt idx="2">
                  <c:v>7.0904179965014691E-2</c:v>
                </c:pt>
                <c:pt idx="3">
                  <c:v>0.38055499477764748</c:v>
                </c:pt>
                <c:pt idx="4">
                  <c:v>1.0479704297728354</c:v>
                </c:pt>
                <c:pt idx="5">
                  <c:v>1.412949117440069</c:v>
                </c:pt>
                <c:pt idx="6">
                  <c:v>2.0197973979958044</c:v>
                </c:pt>
                <c:pt idx="7">
                  <c:v>0.17734295227318761</c:v>
                </c:pt>
                <c:pt idx="8">
                  <c:v>0.11821002826657709</c:v>
                </c:pt>
                <c:pt idx="9">
                  <c:v>0.18554085071973886</c:v>
                </c:pt>
                <c:pt idx="10">
                  <c:v>0.25124909308032234</c:v>
                </c:pt>
                <c:pt idx="11">
                  <c:v>0.58008136381632969</c:v>
                </c:pt>
                <c:pt idx="13">
                  <c:v>0.99999999999999967</c:v>
                </c:pt>
                <c:pt idx="14">
                  <c:v>1.7289887342022403</c:v>
                </c:pt>
                <c:pt idx="15">
                  <c:v>0.13372244273031691</c:v>
                </c:pt>
                <c:pt idx="16">
                  <c:v>0.84294494427688949</c:v>
                </c:pt>
                <c:pt idx="17">
                  <c:v>0.81072544123721668</c:v>
                </c:pt>
                <c:pt idx="18">
                  <c:v>0.61834859523852936</c:v>
                </c:pt>
                <c:pt idx="19">
                  <c:v>1.0777934817514354</c:v>
                </c:pt>
                <c:pt idx="20">
                  <c:v>0.79053897385269045</c:v>
                </c:pt>
              </c:numCache>
            </c:numRef>
          </c:val>
          <c:extLst>
            <c:ext xmlns:c15="http://schemas.microsoft.com/office/drawing/2012/chart" uri="{02D57815-91ED-43cb-92C2-25804820EDAC}">
              <c15:datalabelsRange>
                <c15:f>'R3'!$B$61:$V$61</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FF0000"/>
              </a:solidFill>
            </c:spPr>
            <c:extLst>
              <c:ext xmlns:c16="http://schemas.microsoft.com/office/drawing/2014/chart" uri="{C3380CC4-5D6E-409C-BE32-E72D297353CC}">
                <c16:uniqueId val="{00000001-033C-4530-84A9-991A3866ABD4}"/>
              </c:ext>
            </c:extLst>
          </c:dPt>
          <c:dPt>
            <c:idx val="2"/>
            <c:invertIfNegative val="0"/>
            <c:bubble3D val="0"/>
            <c:spPr>
              <a:solidFill>
                <a:srgbClr val="FF0000"/>
              </a:solidFill>
            </c:spPr>
            <c:extLst>
              <c:ext xmlns:c16="http://schemas.microsoft.com/office/drawing/2014/chart" uri="{C3380CC4-5D6E-409C-BE32-E72D297353CC}">
                <c16:uniqueId val="{00000003-033C-4530-84A9-991A3866ABD4}"/>
              </c:ext>
            </c:extLst>
          </c:dPt>
          <c:dPt>
            <c:idx val="3"/>
            <c:invertIfNegative val="0"/>
            <c:bubble3D val="0"/>
            <c:spPr>
              <a:solidFill>
                <a:srgbClr val="FF0000"/>
              </a:solidFill>
            </c:spPr>
            <c:extLst>
              <c:ext xmlns:c16="http://schemas.microsoft.com/office/drawing/2014/chart" uri="{C3380CC4-5D6E-409C-BE32-E72D297353CC}">
                <c16:uniqueId val="{00000005-033C-4530-84A9-991A3866ABD4}"/>
              </c:ext>
            </c:extLst>
          </c:dPt>
          <c:dPt>
            <c:idx val="4"/>
            <c:invertIfNegative val="0"/>
            <c:bubble3D val="0"/>
            <c:spPr>
              <a:solidFill>
                <a:srgbClr val="FF0000"/>
              </a:solidFill>
            </c:spPr>
            <c:extLst>
              <c:ext xmlns:c16="http://schemas.microsoft.com/office/drawing/2014/chart" uri="{C3380CC4-5D6E-409C-BE32-E72D297353CC}">
                <c16:uniqueId val="{00000007-033C-4530-84A9-991A3866ABD4}"/>
              </c:ext>
            </c:extLst>
          </c:dPt>
          <c:dPt>
            <c:idx val="5"/>
            <c:invertIfNegative val="0"/>
            <c:bubble3D val="0"/>
            <c:spPr>
              <a:solidFill>
                <a:srgbClr val="FF0000"/>
              </a:solidFill>
            </c:spPr>
            <c:extLst>
              <c:ext xmlns:c16="http://schemas.microsoft.com/office/drawing/2014/chart" uri="{C3380CC4-5D6E-409C-BE32-E72D297353CC}">
                <c16:uniqueId val="{00000009-033C-4530-84A9-991A3866ABD4}"/>
              </c:ext>
            </c:extLst>
          </c:dPt>
          <c:dPt>
            <c:idx val="6"/>
            <c:invertIfNegative val="0"/>
            <c:bubble3D val="0"/>
            <c:spPr>
              <a:solidFill>
                <a:srgbClr val="FF0000"/>
              </a:solidFill>
            </c:spPr>
            <c:extLst>
              <c:ext xmlns:c16="http://schemas.microsoft.com/office/drawing/2014/chart" uri="{C3380CC4-5D6E-409C-BE32-E72D297353CC}">
                <c16:uniqueId val="{0000000B-033C-4530-84A9-991A3866ABD4}"/>
              </c:ext>
            </c:extLst>
          </c:dPt>
          <c:dPt>
            <c:idx val="7"/>
            <c:invertIfNegative val="0"/>
            <c:bubble3D val="0"/>
            <c:spPr>
              <a:solidFill>
                <a:schemeClr val="bg1">
                  <a:lumMod val="65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bg1">
                  <a:lumMod val="65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spPr>
              <a:solidFill>
                <a:srgbClr val="92D050"/>
              </a:solidFill>
            </c:spPr>
            <c:extLst>
              <c:ext xmlns:c16="http://schemas.microsoft.com/office/drawing/2014/chart" uri="{C3380CC4-5D6E-409C-BE32-E72D297353CC}">
                <c16:uniqueId val="{0000001B-033C-4530-84A9-991A3866ABD4}"/>
              </c:ext>
            </c:extLst>
          </c:dPt>
          <c:dPt>
            <c:idx val="15"/>
            <c:invertIfNegative val="0"/>
            <c:bubble3D val="0"/>
            <c:spPr>
              <a:solidFill>
                <a:srgbClr val="92D050"/>
              </a:solidFill>
            </c:spPr>
            <c:extLst>
              <c:ext xmlns:c16="http://schemas.microsoft.com/office/drawing/2014/chart" uri="{C3380CC4-5D6E-409C-BE32-E72D297353CC}">
                <c16:uniqueId val="{0000001D-033C-4530-84A9-991A3866ABD4}"/>
              </c:ext>
            </c:extLst>
          </c:dPt>
          <c:dPt>
            <c:idx val="16"/>
            <c:invertIfNegative val="0"/>
            <c:bubble3D val="0"/>
            <c:spPr>
              <a:solidFill>
                <a:schemeClr val="accent3">
                  <a:lumMod val="40000"/>
                  <a:lumOff val="60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accent3">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accent3">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accent3">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accent3">
                  <a:lumMod val="40000"/>
                  <a:lumOff val="60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49173C8E-5A46-4AE7-BEFA-0EBBBF6F13D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B3720AEE-EE35-4EA1-BBF0-7576294FDDF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95482CF9-9480-4C10-B078-5EB07E43E6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0F6059C9-A8A0-4DEF-B965-B9C28A9FC2B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341ED31E-FD44-4C80-B651-BE78ED229B7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91B9994F-5646-4E8E-BFEA-866243A45E4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DA11F80D-3D05-457F-BADD-DE43EA9F1E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3FB9788D-E890-4E63-AF9F-9A6D72F63B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47451860-02AB-494F-8910-40BA65ABB48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E02BBEAC-2722-48F2-95E3-23DABD9561E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5A964596-60FD-43B0-9928-A44B0547B05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65939CEB-0DAC-4A75-B3B5-F2AFF50FC0C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6C31FA36-FEAB-4865-9B5F-DC4175C405F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00027312-39F2-43AD-B6A1-719FC262638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CEB764B0-98D6-4385-AC55-A3213C96581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D1C45F87-0C7B-4AB2-A922-D9F7129ABD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DF582C6A-2A23-499A-BCB0-070456E3032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2B29BCEB-F53F-424C-9639-5946F35750F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0DF88E03-748C-442A-A350-18C9888980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E64CD40E-A5D3-42D5-9BA2-5EB5064D39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'pooled normalised values'!$B$76:$V$76</c:f>
                <c:numCache>
                  <c:formatCode>General</c:formatCode>
                  <c:ptCount val="21"/>
                  <c:pt idx="0">
                    <c:v>2.1769022703123208E-2</c:v>
                  </c:pt>
                  <c:pt idx="1">
                    <c:v>2.4879970444448306E-2</c:v>
                  </c:pt>
                  <c:pt idx="2">
                    <c:v>1.8555323140337747E-2</c:v>
                  </c:pt>
                  <c:pt idx="3">
                    <c:v>6.9804946911601731E-2</c:v>
                  </c:pt>
                  <c:pt idx="4">
                    <c:v>8.1874486804872706E-2</c:v>
                  </c:pt>
                  <c:pt idx="5">
                    <c:v>8.4393990258542953E-2</c:v>
                  </c:pt>
                  <c:pt idx="6">
                    <c:v>0.13025281665436084</c:v>
                  </c:pt>
                  <c:pt idx="7">
                    <c:v>1.6808944068997394E-2</c:v>
                  </c:pt>
                  <c:pt idx="8">
                    <c:v>2.2633629097956069E-2</c:v>
                  </c:pt>
                  <c:pt idx="9">
                    <c:v>2.9197503049839334E-2</c:v>
                  </c:pt>
                  <c:pt idx="10">
                    <c:v>2.6036125914291781E-2</c:v>
                  </c:pt>
                  <c:pt idx="11">
                    <c:v>7.09320728555278E-2</c:v>
                  </c:pt>
                  <c:pt idx="13">
                    <c:v>6.9767255248141674E-2</c:v>
                  </c:pt>
                  <c:pt idx="14">
                    <c:v>0.12493250650029736</c:v>
                  </c:pt>
                  <c:pt idx="15">
                    <c:v>1.5806981315780958E-2</c:v>
                  </c:pt>
                  <c:pt idx="16">
                    <c:v>9.5640432252973556E-2</c:v>
                  </c:pt>
                  <c:pt idx="17">
                    <c:v>8.4511517232738198E-2</c:v>
                  </c:pt>
                  <c:pt idx="18">
                    <c:v>0.10337392933149185</c:v>
                  </c:pt>
                  <c:pt idx="19">
                    <c:v>9.8643262193129591E-2</c:v>
                  </c:pt>
                  <c:pt idx="20">
                    <c:v>7.136627028243607E-2</c:v>
                  </c:pt>
                </c:numCache>
              </c:numRef>
            </c:plus>
            <c:minus>
              <c:numRef>
                <c:f>'pooled normalised values'!$B$76:$V$76</c:f>
                <c:numCache>
                  <c:formatCode>General</c:formatCode>
                  <c:ptCount val="21"/>
                  <c:pt idx="0">
                    <c:v>2.1769022703123208E-2</c:v>
                  </c:pt>
                  <c:pt idx="1">
                    <c:v>2.4879970444448306E-2</c:v>
                  </c:pt>
                  <c:pt idx="2">
                    <c:v>1.8555323140337747E-2</c:v>
                  </c:pt>
                  <c:pt idx="3">
                    <c:v>6.9804946911601731E-2</c:v>
                  </c:pt>
                  <c:pt idx="4">
                    <c:v>8.1874486804872706E-2</c:v>
                  </c:pt>
                  <c:pt idx="5">
                    <c:v>8.4393990258542953E-2</c:v>
                  </c:pt>
                  <c:pt idx="6">
                    <c:v>0.13025281665436084</c:v>
                  </c:pt>
                  <c:pt idx="7">
                    <c:v>1.6808944068997394E-2</c:v>
                  </c:pt>
                  <c:pt idx="8">
                    <c:v>2.2633629097956069E-2</c:v>
                  </c:pt>
                  <c:pt idx="9">
                    <c:v>2.9197503049839334E-2</c:v>
                  </c:pt>
                  <c:pt idx="10">
                    <c:v>2.6036125914291781E-2</c:v>
                  </c:pt>
                  <c:pt idx="11">
                    <c:v>7.09320728555278E-2</c:v>
                  </c:pt>
                  <c:pt idx="13">
                    <c:v>6.9767255248141674E-2</c:v>
                  </c:pt>
                  <c:pt idx="14">
                    <c:v>0.12493250650029736</c:v>
                  </c:pt>
                  <c:pt idx="15">
                    <c:v>1.5806981315780958E-2</c:v>
                  </c:pt>
                  <c:pt idx="16">
                    <c:v>9.5640432252973556E-2</c:v>
                  </c:pt>
                  <c:pt idx="17">
                    <c:v>8.4511517232738198E-2</c:v>
                  </c:pt>
                  <c:pt idx="18">
                    <c:v>0.10337392933149185</c:v>
                  </c:pt>
                  <c:pt idx="19">
                    <c:v>9.8643262193129591E-2</c:v>
                  </c:pt>
                  <c:pt idx="20">
                    <c:v>7.136627028243607E-2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Tamoxifen-30,2µg/L</c:v>
                </c:pt>
                <c:pt idx="8">
                  <c:v>Tamoxifen-60,4µg/L</c:v>
                </c:pt>
                <c:pt idx="9">
                  <c:v>Tamoxifen-121µg/L</c:v>
                </c:pt>
                <c:pt idx="10">
                  <c:v>Tamoxifen-242µg/L</c:v>
                </c:pt>
                <c:pt idx="11">
                  <c:v>Tamoxifen-483µg/L</c:v>
                </c:pt>
                <c:pt idx="13">
                  <c:v>Testo -30µg/L</c:v>
                </c:pt>
                <c:pt idx="14">
                  <c:v>Testo 30µg/L + EE2 -64ng/L</c:v>
                </c:pt>
                <c:pt idx="15">
                  <c:v>Testo 30µg/L + FAD-10µg/L</c:v>
                </c:pt>
                <c:pt idx="16">
                  <c:v>Tamoxifen-30.2µg/L + Testostérone</c:v>
                </c:pt>
                <c:pt idx="17">
                  <c:v>Tamoxifen-60.4µg/L + Testostérone</c:v>
                </c:pt>
                <c:pt idx="18">
                  <c:v>Tamoxifen-121µg/L + Testostérone</c:v>
                </c:pt>
                <c:pt idx="19">
                  <c:v>Tamoxifen-242µg/L + Testostérone</c:v>
                </c:pt>
                <c:pt idx="20">
                  <c:v>Tamoxifen-483µg/L + Testostérone</c:v>
                </c:pt>
              </c:strCache>
            </c:strRef>
          </c:cat>
          <c:val>
            <c:numRef>
              <c:f>'pooled normalised values'!$B$75:$V$75</c:f>
              <c:numCache>
                <c:formatCode>0.0000</c:formatCode>
                <c:ptCount val="21"/>
                <c:pt idx="0">
                  <c:v>0.11932551713603246</c:v>
                </c:pt>
                <c:pt idx="1">
                  <c:v>0.13741566284564821</c:v>
                </c:pt>
                <c:pt idx="2">
                  <c:v>8.6828813264560697E-2</c:v>
                </c:pt>
                <c:pt idx="3">
                  <c:v>0.33709453781646742</c:v>
                </c:pt>
                <c:pt idx="4">
                  <c:v>0.77515328324852384</c:v>
                </c:pt>
                <c:pt idx="5">
                  <c:v>1.2422765656905745</c:v>
                </c:pt>
                <c:pt idx="6">
                  <c:v>2.2022034047561192</c:v>
                </c:pt>
                <c:pt idx="7">
                  <c:v>0.11114418617338977</c:v>
                </c:pt>
                <c:pt idx="8">
                  <c:v>0.11656562041449491</c:v>
                </c:pt>
                <c:pt idx="9">
                  <c:v>0.11229953379205988</c:v>
                </c:pt>
                <c:pt idx="10">
                  <c:v>0.14935709611242443</c:v>
                </c:pt>
                <c:pt idx="11">
                  <c:v>0.39021134334286672</c:v>
                </c:pt>
                <c:pt idx="13">
                  <c:v>1.0000000000000002</c:v>
                </c:pt>
                <c:pt idx="14">
                  <c:v>1.6629583265088164</c:v>
                </c:pt>
                <c:pt idx="15">
                  <c:v>0.1134756454371515</c:v>
                </c:pt>
                <c:pt idx="16">
                  <c:v>0.84849510586755794</c:v>
                </c:pt>
                <c:pt idx="17">
                  <c:v>0.73584531589464408</c:v>
                </c:pt>
                <c:pt idx="18">
                  <c:v>0.79892234575795473</c:v>
                </c:pt>
                <c:pt idx="19">
                  <c:v>1.0464067885602042</c:v>
                </c:pt>
                <c:pt idx="20">
                  <c:v>0.8151613589534491</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B25AAEE1-442E-4BDC-B05D-0CDCA0AC71B8}"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Tamoxifen-30.2µg/L : 0%</c:v>
                  </c:pt>
                  <c:pt idx="1">
                    <c:v>Tamoxifen-60.4µg/L : 0%</c:v>
                  </c:pt>
                  <c:pt idx="2">
                    <c:v>Tamoxifen-121µg/L : 0%</c:v>
                  </c:pt>
                  <c:pt idx="3">
                    <c:v>Tamoxifen-242µg/L : 0%</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9B717317-CD97-46D0-80C1-2BA6CF210211}"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Tamoxifen-30.2µg/L : 0%</c:v>
                  </c:pt>
                  <c:pt idx="1">
                    <c:v>Tamoxifen-60.4µg/L : 0%</c:v>
                  </c:pt>
                  <c:pt idx="2">
                    <c:v>Tamoxifen-121µg/L : 0%</c:v>
                  </c:pt>
                  <c:pt idx="3">
                    <c:v>Tamoxifen-242µg/L : 0%</c:v>
                  </c:pt>
                  <c:pt idx="4">
                    <c:v>Tamoxifen-483µg/L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Tamoxifen-30.2µg/L : 0%</c:v>
                  </c:pt>
                  <c:pt idx="1">
                    <c:v>Tamoxifen-60.4µg/L : 0%</c:v>
                  </c:pt>
                  <c:pt idx="2">
                    <c:v>Tamoxifen-121µg/L : 0%</c:v>
                  </c:pt>
                  <c:pt idx="3">
                    <c:v>Tamoxifen-242µg/L : 0%</c:v>
                  </c:pt>
                  <c:pt idx="4">
                    <c:v>#NUM!</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Tamoxifen-30.2µg/L : 0%</c:v>
                  </c:pt>
                  <c:pt idx="1">
                    <c:v>Tamoxifen-60.4µg/L : 0%</c:v>
                  </c:pt>
                  <c:pt idx="2">
                    <c:v>Tamoxifen-121µg/L : 0%</c:v>
                  </c:pt>
                  <c:pt idx="3">
                    <c:v>Tamoxifen-242µg/L : 0%</c:v>
                  </c:pt>
                  <c:pt idx="4">
                    <c:v>Tamoxifen-483µg/L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B0CF98DD-36F3-42F9-8C42-3D29475217A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A9541D6A-361A-4A65-A6C9-7456B51A708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F9CC7F47-A413-412F-BD59-13E774D3F1C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CB967E15-917D-4353-9CB6-D644299582B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A0676C9B-64DE-4160-9F14-E0FFE3DBD9D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099E0D30-5EA3-46C8-BF0F-D102078A49A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28B80838-1101-494D-B2DA-4BAC81435A4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6FDF7E62-1DB1-4FA9-ACD1-FEA728011A2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34325739-CB7D-4095-9DB1-42CEC0CFB45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33859D10-FAF0-42D0-A9ED-3169B2CF14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9375F0C2-6CBA-4970-82DE-C0E5218B019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7AEB4715-82F2-4929-A92D-28C89A258A2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F839A8D6-54A2-47B6-86FA-60BFE29D0B7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CA6E7355-ACD7-403A-A790-7B32B42F83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2.2633629097956069E-2</c:v>
                  </c:pt>
                  <c:pt idx="2">
                    <c:v>2.9197503049839334E-2</c:v>
                  </c:pt>
                  <c:pt idx="3">
                    <c:v>2.6036125914291781E-2</c:v>
                  </c:pt>
                  <c:pt idx="4">
                    <c:v>7.09320728555278E-2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2.2633629097956069E-2</c:v>
                  </c:pt>
                  <c:pt idx="2">
                    <c:v>2.9197503049839334E-2</c:v>
                  </c:pt>
                  <c:pt idx="3">
                    <c:v>2.6036125914291781E-2</c:v>
                  </c:pt>
                  <c:pt idx="4">
                    <c:v>7.09320728555278E-2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0.11656562041449491</c:v>
                </c:pt>
                <c:pt idx="2">
                  <c:v>0.11229953379205988</c:v>
                </c:pt>
                <c:pt idx="3">
                  <c:v>0.14935709611242443</c:v>
                </c:pt>
                <c:pt idx="4">
                  <c:v>0.39021134334286672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0.11932551713603246</c:v>
                </c:pt>
                <c:pt idx="1">
                  <c:v>0.11932551713603246</c:v>
                </c:pt>
                <c:pt idx="2">
                  <c:v>0.11932551713603246</c:v>
                </c:pt>
                <c:pt idx="3">
                  <c:v>0.11932551713603246</c:v>
                </c:pt>
                <c:pt idx="4">
                  <c:v>0.11932551713603246</c:v>
                </c:pt>
                <c:pt idx="5">
                  <c:v>0.11932551713603246</c:v>
                </c:pt>
                <c:pt idx="6">
                  <c:v>0.11932551713603246</c:v>
                </c:pt>
                <c:pt idx="7">
                  <c:v>0.11932551713603246</c:v>
                </c:pt>
                <c:pt idx="8">
                  <c:v>0.11932551713603246</c:v>
                </c:pt>
                <c:pt idx="9">
                  <c:v>0.11932551713603246</c:v>
                </c:pt>
                <c:pt idx="10">
                  <c:v>0.11932551713603246</c:v>
                </c:pt>
                <c:pt idx="11">
                  <c:v>0.11932551713603246</c:v>
                </c:pt>
                <c:pt idx="12">
                  <c:v>0.11932551713603246</c:v>
                </c:pt>
                <c:pt idx="13">
                  <c:v>0.11932551713603246</c:v>
                </c:pt>
                <c:pt idx="14">
                  <c:v>0.11932551713603246</c:v>
                </c:pt>
                <c:pt idx="15">
                  <c:v>0.11932551713603246</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0.1134756454371515</c:v>
                </c:pt>
                <c:pt idx="1">
                  <c:v>0.1134756454371515</c:v>
                </c:pt>
                <c:pt idx="2">
                  <c:v>0.1134756454371515</c:v>
                </c:pt>
                <c:pt idx="3">
                  <c:v>0.1134756454371515</c:v>
                </c:pt>
                <c:pt idx="4">
                  <c:v>0.1134756454371515</c:v>
                </c:pt>
                <c:pt idx="5">
                  <c:v>0.1134756454371515</c:v>
                </c:pt>
                <c:pt idx="6">
                  <c:v>0.1134756454371515</c:v>
                </c:pt>
                <c:pt idx="7">
                  <c:v>0.1134756454371515</c:v>
                </c:pt>
                <c:pt idx="8">
                  <c:v>0.1134756454371515</c:v>
                </c:pt>
                <c:pt idx="9">
                  <c:v>0.1134756454371515</c:v>
                </c:pt>
                <c:pt idx="10">
                  <c:v>0.1134756454371515</c:v>
                </c:pt>
                <c:pt idx="11">
                  <c:v>0.1134756454371515</c:v>
                </c:pt>
                <c:pt idx="12">
                  <c:v>0.1134756454371515</c:v>
                </c:pt>
                <c:pt idx="13">
                  <c:v>0.1134756454371515</c:v>
                </c:pt>
                <c:pt idx="14">
                  <c:v>0.1134756454371515</c:v>
                </c:pt>
                <c:pt idx="15">
                  <c:v>0.1134756454371515</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1.5494826810716649</c:v>
                </c:pt>
                <c:pt idx="1">
                  <c:v>1.5494826810716649</c:v>
                </c:pt>
                <c:pt idx="2">
                  <c:v>1.5494826810716649</c:v>
                </c:pt>
                <c:pt idx="3">
                  <c:v>1.5494826810716649</c:v>
                </c:pt>
                <c:pt idx="4">
                  <c:v>1.5494826810716649</c:v>
                </c:pt>
                <c:pt idx="5">
                  <c:v>1.5494826810716649</c:v>
                </c:pt>
                <c:pt idx="6">
                  <c:v>1.5494826810716649</c:v>
                </c:pt>
                <c:pt idx="7">
                  <c:v>1.5494826810716649</c:v>
                </c:pt>
                <c:pt idx="8">
                  <c:v>1.5494826810716649</c:v>
                </c:pt>
                <c:pt idx="9">
                  <c:v>1.5494826810716649</c:v>
                </c:pt>
                <c:pt idx="10">
                  <c:v>1.5494826810716649</c:v>
                </c:pt>
                <c:pt idx="11">
                  <c:v>1.5494826810716649</c:v>
                </c:pt>
                <c:pt idx="12">
                  <c:v>1.5494826810716649</c:v>
                </c:pt>
                <c:pt idx="13">
                  <c:v>1.5494826810716649</c:v>
                </c:pt>
                <c:pt idx="14">
                  <c:v>1.5494826810716649</c:v>
                </c:pt>
                <c:pt idx="15">
                  <c:v>1.5494826810716649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0.95051731892833513</c:v>
                </c:pt>
                <c:pt idx="1">
                  <c:v>0.95051731892833513</c:v>
                </c:pt>
                <c:pt idx="2">
                  <c:v>0.95051731892833513</c:v>
                </c:pt>
                <c:pt idx="3">
                  <c:v>0.95051731892833513</c:v>
                </c:pt>
                <c:pt idx="4">
                  <c:v>0.95051731892833513</c:v>
                </c:pt>
                <c:pt idx="5">
                  <c:v>0.95051731892833513</c:v>
                </c:pt>
                <c:pt idx="6">
                  <c:v>0.95051731892833513</c:v>
                </c:pt>
                <c:pt idx="7">
                  <c:v>0.95051731892833513</c:v>
                </c:pt>
                <c:pt idx="8">
                  <c:v>0.95051731892833513</c:v>
                </c:pt>
                <c:pt idx="9">
                  <c:v>0.95051731892833513</c:v>
                </c:pt>
                <c:pt idx="10">
                  <c:v>0.95051731892833513</c:v>
                </c:pt>
                <c:pt idx="11">
                  <c:v>0.95051731892833513</c:v>
                </c:pt>
                <c:pt idx="12">
                  <c:v>0.95051731892833513</c:v>
                </c:pt>
                <c:pt idx="13">
                  <c:v>0.95051731892833513</c:v>
                </c:pt>
                <c:pt idx="14">
                  <c:v>0.95051731892833513</c:v>
                </c:pt>
                <c:pt idx="15">
                  <c:v>0.95051731892833513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2CA8B729-2CA0-4067-B5D5-AFA6BB299E7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250FF418-51DE-4750-A0A5-7941BED4364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429D6101-0FF7-4C00-9F1C-75D59DE6D01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27B2914E-473D-496C-A0DA-B2A90A0E024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FE08651B-65A7-4652-AEB6-470FE40B6B8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5576DB86-33AD-4F74-9A7B-ADEF06B6A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E3149313-F9BD-40CA-B5C4-C5D6DF79017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DA71B46A-5A92-474E-8B95-1518D40C51E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04D128CC-14B5-40F9-8A2D-1C8C285BF9E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249A9835-A210-4EC9-B1FB-FC80F57467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4AA470FA-8204-43AA-A9A3-E85F4CEE298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A97E9607-8FAA-433B-B108-ED3C2DC14E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2C10B300-43D3-4555-B84E-8564CCC1E0F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C6C87917-7C4B-4B1C-A747-3B8612E39B6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9.5640432252973556E-2</c:v>
                  </c:pt>
                  <c:pt idx="2">
                    <c:v>8.4511517232738198E-2</c:v>
                  </c:pt>
                  <c:pt idx="3">
                    <c:v>0.10337392933149185</c:v>
                  </c:pt>
                  <c:pt idx="4">
                    <c:v>9.8643262193129591E-2</c:v>
                  </c:pt>
                  <c:pt idx="5">
                    <c:v>7.136627028243607E-2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9.5640432252973556E-2</c:v>
                  </c:pt>
                  <c:pt idx="2">
                    <c:v>8.4511517232738198E-2</c:v>
                  </c:pt>
                  <c:pt idx="3">
                    <c:v>0.10337392933149185</c:v>
                  </c:pt>
                  <c:pt idx="4">
                    <c:v>9.8643262193129591E-2</c:v>
                  </c:pt>
                  <c:pt idx="5">
                    <c:v>7.136627028243607E-2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0.84849510586755794</c:v>
                </c:pt>
                <c:pt idx="2">
                  <c:v>0.73584531589464408</c:v>
                </c:pt>
                <c:pt idx="3">
                  <c:v>0.79892234575795473</c:v>
                </c:pt>
                <c:pt idx="4">
                  <c:v>1.0464067885602042</c:v>
                </c:pt>
                <c:pt idx="5">
                  <c:v>0.8151613589534491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E1868E14-B6E8-4C2A-9767-8CB53D9C2C7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1309571E-3980-418D-9DF0-BC724695104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A0838B3A-3B91-4EC3-9FD8-140DCB23676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75BB35FD-B8FF-4470-AF2B-E30C1719BF2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F51F0DDD-112A-4906-9B32-99A2E773D66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7EBABF5F-B436-4A09-B685-5E4C050FECF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99E939A5-AA0D-4505-B505-78BD45BE6B7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E7DCBA92-4145-4BD9-AFB3-8B560A7367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23008C3A-BB11-4ABC-A382-5EAC2F3235A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584E619B-E7E7-4273-A160-6944D762941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F4772466-9EEB-449B-99DE-CE3C113A478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0238A8CF-58CA-49E0-ABEC-DE30F8426B9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775AF1D9-558E-4758-9CD0-83075BEE86C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87F08578-0DF3-45FF-85FD-694BFAB5BC9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2.2633629097956069E-2</c:v>
                  </c:pt>
                  <c:pt idx="2">
                    <c:v>2.9197503049839334E-2</c:v>
                  </c:pt>
                  <c:pt idx="3">
                    <c:v>2.6036125914291781E-2</c:v>
                  </c:pt>
                  <c:pt idx="4">
                    <c:v>7.09320728555278E-2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2.2633629097956069E-2</c:v>
                  </c:pt>
                  <c:pt idx="2">
                    <c:v>2.9197503049839334E-2</c:v>
                  </c:pt>
                  <c:pt idx="3">
                    <c:v>2.6036125914291781E-2</c:v>
                  </c:pt>
                  <c:pt idx="4">
                    <c:v>7.09320728555278E-2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Tamoxifen-60,4µg/L</c:v>
                </c:pt>
                <c:pt idx="2">
                  <c:v>Tamoxifen-121µg/L</c:v>
                </c:pt>
                <c:pt idx="3">
                  <c:v>Tamoxifen-242µg/L</c:v>
                </c:pt>
                <c:pt idx="4">
                  <c:v>Tamoxifen-483µg/L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0.11656562041449491</c:v>
                </c:pt>
                <c:pt idx="2">
                  <c:v>0.11229953379205988</c:v>
                </c:pt>
                <c:pt idx="3">
                  <c:v>0.14935709611242443</c:v>
                </c:pt>
                <c:pt idx="4">
                  <c:v>0.39021134334286672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0.11932551713603246</c:v>
                </c:pt>
                <c:pt idx="1">
                  <c:v>0.11932551713603246</c:v>
                </c:pt>
                <c:pt idx="2">
                  <c:v>0.11932551713603246</c:v>
                </c:pt>
                <c:pt idx="3">
                  <c:v>0.11932551713603246</c:v>
                </c:pt>
                <c:pt idx="4">
                  <c:v>0.11932551713603246</c:v>
                </c:pt>
                <c:pt idx="5">
                  <c:v>0.11932551713603246</c:v>
                </c:pt>
                <c:pt idx="6">
                  <c:v>0.11932551713603246</c:v>
                </c:pt>
                <c:pt idx="7">
                  <c:v>0.11932551713603246</c:v>
                </c:pt>
                <c:pt idx="8">
                  <c:v>0.11932551713603246</c:v>
                </c:pt>
                <c:pt idx="9">
                  <c:v>0.11932551713603246</c:v>
                </c:pt>
                <c:pt idx="10">
                  <c:v>0.11932551713603246</c:v>
                </c:pt>
                <c:pt idx="11">
                  <c:v>0.11932551713603246</c:v>
                </c:pt>
                <c:pt idx="12">
                  <c:v>0.11932551713603246</c:v>
                </c:pt>
                <c:pt idx="13">
                  <c:v>0.11932551713603246</c:v>
                </c:pt>
                <c:pt idx="14">
                  <c:v>0.11932551713603246</c:v>
                </c:pt>
                <c:pt idx="15">
                  <c:v>0.11932551713603246</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0.1134756454371515</c:v>
                </c:pt>
                <c:pt idx="1">
                  <c:v>0.1134756454371515</c:v>
                </c:pt>
                <c:pt idx="2">
                  <c:v>0.1134756454371515</c:v>
                </c:pt>
                <c:pt idx="3">
                  <c:v>0.1134756454371515</c:v>
                </c:pt>
                <c:pt idx="4">
                  <c:v>0.1134756454371515</c:v>
                </c:pt>
                <c:pt idx="5">
                  <c:v>0.1134756454371515</c:v>
                </c:pt>
                <c:pt idx="6">
                  <c:v>0.1134756454371515</c:v>
                </c:pt>
                <c:pt idx="7">
                  <c:v>0.1134756454371515</c:v>
                </c:pt>
                <c:pt idx="8">
                  <c:v>0.1134756454371515</c:v>
                </c:pt>
                <c:pt idx="9">
                  <c:v>0.1134756454371515</c:v>
                </c:pt>
                <c:pt idx="10">
                  <c:v>0.1134756454371515</c:v>
                </c:pt>
                <c:pt idx="11">
                  <c:v>0.1134756454371515</c:v>
                </c:pt>
                <c:pt idx="12">
                  <c:v>0.1134756454371515</c:v>
                </c:pt>
                <c:pt idx="13">
                  <c:v>0.1134756454371515</c:v>
                </c:pt>
                <c:pt idx="14">
                  <c:v>0.1134756454371515</c:v>
                </c:pt>
                <c:pt idx="15">
                  <c:v>0.1134756454371515</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1.5494826810716649</c:v>
                </c:pt>
                <c:pt idx="1">
                  <c:v>1.5494826810716649</c:v>
                </c:pt>
                <c:pt idx="2">
                  <c:v>1.5494826810716649</c:v>
                </c:pt>
                <c:pt idx="3">
                  <c:v>1.5494826810716649</c:v>
                </c:pt>
                <c:pt idx="4">
                  <c:v>1.5494826810716649</c:v>
                </c:pt>
                <c:pt idx="5">
                  <c:v>1.5494826810716649</c:v>
                </c:pt>
                <c:pt idx="6">
                  <c:v>1.5494826810716649</c:v>
                </c:pt>
                <c:pt idx="7">
                  <c:v>1.5494826810716649</c:v>
                </c:pt>
                <c:pt idx="8">
                  <c:v>1.5494826810716649</c:v>
                </c:pt>
                <c:pt idx="9">
                  <c:v>1.5494826810716649</c:v>
                </c:pt>
                <c:pt idx="10">
                  <c:v>1.5494826810716649</c:v>
                </c:pt>
                <c:pt idx="11">
                  <c:v>1.5494826810716649</c:v>
                </c:pt>
                <c:pt idx="12">
                  <c:v>1.5494826810716649</c:v>
                </c:pt>
                <c:pt idx="13">
                  <c:v>1.5494826810716649</c:v>
                </c:pt>
                <c:pt idx="14">
                  <c:v>1.5494826810716649</c:v>
                </c:pt>
                <c:pt idx="15">
                  <c:v>1.5494826810716649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0.95051731892833513</c:v>
                </c:pt>
                <c:pt idx="1">
                  <c:v>0.95051731892833513</c:v>
                </c:pt>
                <c:pt idx="2">
                  <c:v>0.95051731892833513</c:v>
                </c:pt>
                <c:pt idx="3">
                  <c:v>0.95051731892833513</c:v>
                </c:pt>
                <c:pt idx="4">
                  <c:v>0.95051731892833513</c:v>
                </c:pt>
                <c:pt idx="5">
                  <c:v>0.95051731892833513</c:v>
                </c:pt>
                <c:pt idx="6">
                  <c:v>0.95051731892833513</c:v>
                </c:pt>
                <c:pt idx="7">
                  <c:v>0.95051731892833513</c:v>
                </c:pt>
                <c:pt idx="8">
                  <c:v>0.95051731892833513</c:v>
                </c:pt>
                <c:pt idx="9">
                  <c:v>0.95051731892833513</c:v>
                </c:pt>
                <c:pt idx="10">
                  <c:v>0.95051731892833513</c:v>
                </c:pt>
                <c:pt idx="11">
                  <c:v>0.95051731892833513</c:v>
                </c:pt>
                <c:pt idx="12">
                  <c:v>0.95051731892833513</c:v>
                </c:pt>
                <c:pt idx="13">
                  <c:v>0.95051731892833513</c:v>
                </c:pt>
                <c:pt idx="14">
                  <c:v>0.95051731892833513</c:v>
                </c:pt>
                <c:pt idx="15">
                  <c:v>0.95051731892833513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DD4B3861-F588-41F6-A1F5-9EAC4067C4F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A76DB51A-FB69-4A08-BAF2-3D3897C9B16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001CEF3C-0B35-46B3-BF1E-F89920C60FC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4F1CCE6D-77E6-4A63-9694-A1F6AC0A71C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24D85C48-4BE0-44B0-ABED-17E9B4AB4E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256D71EC-89FB-43BD-BF07-41E6E012492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9655FBD6-3B78-4AA8-B1CE-F72B140E6FB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24C8D0AC-381B-4F05-BEEF-8C3F940627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7CF098E6-19F5-40C8-9F94-655565A5013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672692C2-CFC8-4467-BC6A-8B882153339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5E1CBE71-E014-49F8-979D-8B3C5B607B5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907499AA-56B7-4704-867C-FD365ECF8FD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5AF23031-80C4-4B7D-87E8-EBFF915748D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20AAACAF-EE86-43A6-826A-06221B4846B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9.5640432252973556E-2</c:v>
                  </c:pt>
                  <c:pt idx="2">
                    <c:v>8.4511517232738198E-2</c:v>
                  </c:pt>
                  <c:pt idx="3">
                    <c:v>0.10337392933149185</c:v>
                  </c:pt>
                  <c:pt idx="4">
                    <c:v>9.8643262193129591E-2</c:v>
                  </c:pt>
                  <c:pt idx="5">
                    <c:v>7.136627028243607E-2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9.5640432252973556E-2</c:v>
                  </c:pt>
                  <c:pt idx="2">
                    <c:v>8.4511517232738198E-2</c:v>
                  </c:pt>
                  <c:pt idx="3">
                    <c:v>0.10337392933149185</c:v>
                  </c:pt>
                  <c:pt idx="4">
                    <c:v>9.8643262193129591E-2</c:v>
                  </c:pt>
                  <c:pt idx="5">
                    <c:v>7.136627028243607E-2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0.84849510586755794</c:v>
                </c:pt>
                <c:pt idx="2">
                  <c:v>0.73584531589464408</c:v>
                </c:pt>
                <c:pt idx="3">
                  <c:v>0.79892234575795473</c:v>
                </c:pt>
                <c:pt idx="4">
                  <c:v>1.0464067885602042</c:v>
                </c:pt>
                <c:pt idx="5">
                  <c:v>0.8151613589534491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Tamoxifen-30.2µg/L + Testostérone</c:v>
                </c:pt>
                <c:pt idx="2">
                  <c:v>Tamoxifen-60.4µg/L + Testostérone</c:v>
                </c:pt>
                <c:pt idx="3">
                  <c:v>Tamoxifen-121µg/L + Testostérone</c:v>
                </c:pt>
                <c:pt idx="4">
                  <c:v>Tamoxifen-242µg/L + Testostérone</c:v>
                </c:pt>
                <c:pt idx="5">
                  <c:v>Tamoxifen-483µg/L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Tamoxifen-60,4µg/L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Tamoxifen-60,4µg/L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Tamoxifen-60,4µg/L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4B99D875-A68A-4CCF-B14B-61A3CC1A1F2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A6639FA7-635A-466D-905D-43CE1BC850AB}" type="CELLRANGE">
                      <a:rPr lang="fr-F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2.2633629097956069E-2</c:v>
                  </c:pt>
                </c:numCache>
              </c:numRef>
            </c:plus>
            <c:minus>
              <c:numRef>
                <c:f>'Graph format rapport CHG 1éch'!$E$4:$G$4</c:f>
                <c:numCache>
                  <c:formatCode>General</c:formatCode>
                  <c:ptCount val="3"/>
                  <c:pt idx="1">
                    <c:v>2.2633629097956069E-2</c:v>
                  </c:pt>
                </c:numCache>
              </c:numRef>
            </c:minus>
          </c:errBars>
          <c:cat>
            <c:strRef>
              <c:f>'Graph format rapport CHG 1éch'!$E$2:$G$2</c:f>
              <c:strCache>
                <c:ptCount val="2"/>
                <c:pt idx="1">
                  <c:v>Tamoxifen-60,4µg/L</c:v>
                </c:pt>
              </c:strCache>
            </c:strRef>
          </c:cat>
          <c:val>
            <c:numRef>
              <c:f>'Graph format rapport CHG 1éch'!$E$3:$G$3</c:f>
              <c:numCache>
                <c:formatCode>General</c:formatCode>
                <c:ptCount val="3"/>
                <c:pt idx="1">
                  <c:v>0.11656562041449491</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0.11932551713603246</c:v>
                </c:pt>
                <c:pt idx="1">
                  <c:v>0.11932551713603246</c:v>
                </c:pt>
                <c:pt idx="2">
                  <c:v>0.11932551713603246</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Tamoxifen-30.2µg/L + Testostérone</c:v>
                </c:pt>
              </c:strCache>
            </c:strRef>
          </c:cat>
          <c:val>
            <c:numRef>
              <c:f>'Graph format rapport CHG 1éch'!$H$8:$J$8</c:f>
              <c:numCache>
                <c:formatCode>General</c:formatCode>
                <c:ptCount val="3"/>
                <c:pt idx="0">
                  <c:v>0.1134756454371515</c:v>
                </c:pt>
                <c:pt idx="1">
                  <c:v>0.1134756454371515</c:v>
                </c:pt>
                <c:pt idx="2">
                  <c:v>0.1134756454371515</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Tamoxifen-30.2µg/L + Testostérone</c:v>
                </c:pt>
              </c:strCache>
            </c:strRef>
          </c:cat>
          <c:val>
            <c:numRef>
              <c:f>'Graph format rapport CHG 1éch'!$H$9:$J$9</c:f>
              <c:numCache>
                <c:formatCode>General</c:formatCode>
                <c:ptCount val="3"/>
                <c:pt idx="0">
                  <c:v>1.5494826810716649</c:v>
                </c:pt>
                <c:pt idx="1">
                  <c:v>1.5494826810716649</c:v>
                </c:pt>
                <c:pt idx="2">
                  <c:v>1.5494826810716649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Tamoxifen-30.2µg/L + Testostérone</c:v>
                </c:pt>
              </c:strCache>
            </c:strRef>
          </c:cat>
          <c:val>
            <c:numRef>
              <c:f>'Graph format rapport CHG 1éch'!$H$10:$J$10</c:f>
              <c:numCache>
                <c:formatCode>General</c:formatCode>
                <c:ptCount val="3"/>
                <c:pt idx="0">
                  <c:v>0.95051731892833513</c:v>
                </c:pt>
                <c:pt idx="1">
                  <c:v>0.95051731892833513</c:v>
                </c:pt>
                <c:pt idx="2">
                  <c:v>0.95051731892833513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15BB7080-0CA9-427F-A79C-E94AD36AA2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068EA5B8-A502-4A51-880F-B4CB704D2E53}" type="CELLRANGE">
                      <a:rPr lang="fr-F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9.5640432252973556E-2</c:v>
                  </c:pt>
                </c:numCache>
              </c:numRef>
            </c:plus>
            <c:minus>
              <c:numRef>
                <c:f>'Graph format rapport CHG 1éch'!$H$4:$J$4</c:f>
                <c:numCache>
                  <c:formatCode>General</c:formatCode>
                  <c:ptCount val="3"/>
                  <c:pt idx="1">
                    <c:v>9.5640432252973556E-2</c:v>
                  </c:pt>
                </c:numCache>
              </c:numRef>
            </c:minus>
          </c:errBars>
          <c:cat>
            <c:strRef>
              <c:f>'Graph format rapport CHG 1éch'!$H$2:$J$2</c:f>
              <c:strCache>
                <c:ptCount val="2"/>
                <c:pt idx="1">
                  <c:v>Tamoxifen-30.2µg/L + Testostérone</c:v>
                </c:pt>
              </c:strCache>
            </c:strRef>
          </c:cat>
          <c:val>
            <c:numRef>
              <c:f>'Graph format rapport CHG 1éch'!$H$3:$J$3</c:f>
              <c:numCache>
                <c:formatCode>General</c:formatCode>
                <c:ptCount val="3"/>
                <c:pt idx="1">
                  <c:v>0.84849510586755794</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Tamoxifen-30.2µg/L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Tamoxifen-60,4µg/L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Tamoxifen-60,4µg/L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Tamoxifen-60,4µg/L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118DAC87-A2D3-47F3-B709-C8B5F20326D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453841C3-A7FB-4ED9-A60B-254F01A815F1}" type="CELLRANGE">
                      <a:rPr lang="fr-F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2.2633629097956069E-2</c:v>
                  </c:pt>
                </c:numCache>
              </c:numRef>
            </c:plus>
            <c:minus>
              <c:numRef>
                <c:f>'Graph format rapport CHG 1éch'!$E$4:$G$4</c:f>
                <c:numCache>
                  <c:formatCode>General</c:formatCode>
                  <c:ptCount val="3"/>
                  <c:pt idx="1">
                    <c:v>2.2633629097956069E-2</c:v>
                  </c:pt>
                </c:numCache>
              </c:numRef>
            </c:minus>
          </c:errBars>
          <c:cat>
            <c:strRef>
              <c:f>'Graph format rapport CHG 1éch'!$E$2:$G$2</c:f>
              <c:strCache>
                <c:ptCount val="2"/>
                <c:pt idx="1">
                  <c:v>Tamoxifen-60,4µg/L</c:v>
                </c:pt>
              </c:strCache>
            </c:strRef>
          </c:cat>
          <c:val>
            <c:numRef>
              <c:f>'Graph format rapport CHG 1éch'!$E$3:$G$3</c:f>
              <c:numCache>
                <c:formatCode>General</c:formatCode>
                <c:ptCount val="3"/>
                <c:pt idx="1">
                  <c:v>0.11656562041449491</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0.11932551713603246</c:v>
                </c:pt>
                <c:pt idx="1">
                  <c:v>0.11932551713603246</c:v>
                </c:pt>
                <c:pt idx="2">
                  <c:v>0.11932551713603246</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Tamoxifen-30.2µg/L + Testostérone</c:v>
                </c:pt>
              </c:strCache>
            </c:strRef>
          </c:cat>
          <c:val>
            <c:numRef>
              <c:f>'Graph format rapport CHG 1éch'!$H$8:$J$8</c:f>
              <c:numCache>
                <c:formatCode>General</c:formatCode>
                <c:ptCount val="3"/>
                <c:pt idx="0">
                  <c:v>0.1134756454371515</c:v>
                </c:pt>
                <c:pt idx="1">
                  <c:v>0.1134756454371515</c:v>
                </c:pt>
                <c:pt idx="2">
                  <c:v>0.1134756454371515</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Tamoxifen-30.2µg/L + Testostérone</c:v>
                </c:pt>
              </c:strCache>
            </c:strRef>
          </c:cat>
          <c:val>
            <c:numRef>
              <c:f>'Graph format rapport CHG 1éch'!$H$9:$J$9</c:f>
              <c:numCache>
                <c:formatCode>General</c:formatCode>
                <c:ptCount val="3"/>
                <c:pt idx="0">
                  <c:v>1.5494826810716649</c:v>
                </c:pt>
                <c:pt idx="1">
                  <c:v>1.5494826810716649</c:v>
                </c:pt>
                <c:pt idx="2">
                  <c:v>1.5494826810716649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Tamoxifen-30.2µg/L + Testostérone</c:v>
                </c:pt>
              </c:strCache>
            </c:strRef>
          </c:cat>
          <c:val>
            <c:numRef>
              <c:f>'Graph format rapport CHG 1éch'!$H$10:$J$10</c:f>
              <c:numCache>
                <c:formatCode>General</c:formatCode>
                <c:ptCount val="3"/>
                <c:pt idx="0">
                  <c:v>0.95051731892833513</c:v>
                </c:pt>
                <c:pt idx="1">
                  <c:v>0.95051731892833513</c:v>
                </c:pt>
                <c:pt idx="2">
                  <c:v>0.95051731892833513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2D9FCE1A-4A5B-49F8-80A6-FC9D52C1728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DC9A1A49-FC89-4483-BA9F-8F279A03497E}" type="CELLRANGE">
                      <a:rPr lang="fr-F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9.5640432252973556E-2</c:v>
                  </c:pt>
                </c:numCache>
              </c:numRef>
            </c:plus>
            <c:minus>
              <c:numRef>
                <c:f>'Graph format rapport CHG 1éch'!$H$4:$J$4</c:f>
                <c:numCache>
                  <c:formatCode>General</c:formatCode>
                  <c:ptCount val="3"/>
                  <c:pt idx="1">
                    <c:v>9.5640432252973556E-2</c:v>
                  </c:pt>
                </c:numCache>
              </c:numRef>
            </c:minus>
          </c:errBars>
          <c:cat>
            <c:strRef>
              <c:f>'Graph format rapport CHG 1éch'!$H$2:$J$2</c:f>
              <c:strCache>
                <c:ptCount val="2"/>
                <c:pt idx="1">
                  <c:v>Tamoxifen-30.2µg/L + Testostérone</c:v>
                </c:pt>
              </c:strCache>
            </c:strRef>
          </c:cat>
          <c:val>
            <c:numRef>
              <c:f>'Graph format rapport CHG 1éch'!$H$3:$J$3</c:f>
              <c:numCache>
                <c:formatCode>General</c:formatCode>
                <c:ptCount val="3"/>
                <c:pt idx="1">
                  <c:v>0.84849510586755794</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Tamoxifen-30.2µg/L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5" workbookViewId="0"/>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workbookViewId="0"/>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workbookViewId="0"/>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84"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4804" cy="6046304"/>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6875" cy="6048375"/>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4470" cy="6051742"/>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6875" cy="6057900"/>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938176" y="9913925"/>
          <a:ext cx="8119122" cy="1056562"/>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101652" y="3792683"/>
          <a:ext cx="8119122" cy="1048398"/>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956001" y="9913925"/>
          <a:ext cx="8119122" cy="1056562"/>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119477" y="3792683"/>
          <a:ext cx="8119122" cy="1048398"/>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390.49502534722" createdVersion="5" refreshedVersion="7" minRefreshableVersion="3" recordCount="1556" xr:uid="{00000000-000A-0000-FFFF-FFFF0C000000}">
  <cacheSource type="worksheet">
    <worksheetSource name="Tableau4"/>
  </cacheSource>
  <cacheFields count="10">
    <cacheField name="Nom groupe" numFmtId="0">
      <sharedItems containsBlank="1" count="23">
        <s v="01 Témoins solvant"/>
        <s v=""/>
        <s v="02 EE2 33.8"/>
        <s v="03 EE2 50"/>
        <s v="04 EE2 76"/>
        <s v="05 EE2 114"/>
        <s v="06 EE2 170"/>
        <s v="07 EE2 488"/>
        <s v="08tam 30.2µg_L"/>
        <s v="09 tam 60.4µg_L"/>
        <s v="10 tam 121µg_L"/>
        <s v="11 tam 242µg_L"/>
        <s v="12 tam 483µg_L"/>
        <s v="01 testo 30"/>
        <s v="02 testo 30"/>
        <s v="03Testo + EE2 64"/>
        <s v="04 Testo +FAD"/>
        <s v="05 tam 30.2 + testo"/>
        <s v="06  tam 60.4 + testo"/>
        <s v="07 tam 121 + testo"/>
        <s v="08 tam 242 + testo"/>
        <s v="09  tam 483 + testo"/>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7"/>
    </cacheField>
    <cacheField name=" " numFmtId="0">
      <sharedItems containsBlank="1" count="24">
        <s v=" "/>
        <m/>
        <s v=" SD mean fluo "/>
        <s v=" 2.3104 "/>
        <s v=" 1.8834 "/>
        <s v=" 2.3371 "/>
        <s v=" 2.1531 "/>
        <s v=" 2.5866 "/>
        <s v=" 1.8464 "/>
        <s v=" 7.9001 "/>
        <s v=" 2.7686 "/>
        <s v=" 3.5145 "/>
        <s v=" 1.6203 "/>
        <s v=" 1.9459 "/>
        <s v=" 1.0056 "/>
        <s v=" 1.5308 "/>
        <s v=" 3.7598 "/>
        <s v=" 3.5605 "/>
        <s v=" 2.0579 "/>
        <s v=" 4.7173 "/>
        <s v=" 4.8545 "/>
        <s v=" 3.7953 "/>
        <s v=" 3.9692 "/>
        <s v=" 2.6834 "/>
      </sharedItems>
    </cacheField>
    <cacheField name=" total fluorescence" numFmtId="0">
      <sharedItems containsBlank="1" containsMixedTypes="1" containsNumber="1" containsInteger="1" minValue="12437" maxValue="9036451"/>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390.495025578704" createdVersion="5" refreshedVersion="7" minRefreshableVersion="3" recordCount="1530" xr:uid="{00000000-000A-0000-FFFF-FFFF10000000}">
  <cacheSource type="worksheet">
    <worksheetSource name="Tableau46"/>
  </cacheSource>
  <cacheFields count="10">
    <cacheField name="Nom groupe" numFmtId="0">
      <sharedItems count="22">
        <s v="01 Témoins solvant"/>
        <s v=""/>
        <s v="02 EE2 33.8"/>
        <s v="03 EE2 50"/>
        <s v="04 EE2 76"/>
        <s v="05 EE2 114"/>
        <s v="06 EE2 170"/>
        <s v="07 EE2 488"/>
        <s v="08tam 30.2µg_L"/>
        <s v="09 tam 60.4µg_L"/>
        <s v="10 tam 121µg_L"/>
        <s v="11 tam 242µg_L"/>
        <s v="12 tam 483µg_L"/>
        <s v="01 testo 30"/>
        <s v="02 testo 30"/>
        <s v="03Testo + EE2 64"/>
        <s v="04 Testo +FAD"/>
        <s v="05 tam 30.2 + testo"/>
        <s v="06  tam 60.4 + testo"/>
        <s v="07 tam 121 + testo"/>
        <s v="08 tam 242 + testo"/>
        <s v="09  tam 483 + testo"/>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6"/>
    </cacheField>
    <cacheField name=" " numFmtId="0">
      <sharedItems containsBlank="1" count="24">
        <s v=" "/>
        <m/>
        <s v=" SD mean fluo "/>
        <s v=" 1.3987 "/>
        <s v=" 1.8188 "/>
        <s v=" 3.7279 "/>
        <s v=" 1.2305 "/>
        <s v=" 2.4691 "/>
        <s v=" 3.8387 "/>
        <s v=" 6.0884 "/>
        <s v=" 1.7876 "/>
        <s v=" 3.0088 "/>
        <s v=" 1.8212 "/>
        <s v=" 2.1891 "/>
        <s v=" 2.2297 "/>
        <s v=" 2.2538 "/>
        <s v=" 3.6848 "/>
        <s v=" 4.3215 "/>
        <s v=" 1.6946 "/>
        <s v=" 3.7956 "/>
        <s v=" 3.2644 "/>
        <s v=" 3.561 "/>
        <s v=" 4.6323 "/>
        <s v=" 2.5697 "/>
      </sharedItems>
    </cacheField>
    <cacheField name=" total fluorescence" numFmtId="0">
      <sharedItems containsBlank="1" containsMixedTypes="1" containsNumber="1" containsInteger="1" minValue="7138" maxValue="7489675"/>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390.495025694443" createdVersion="5" refreshedVersion="7" minRefreshableVersion="3" recordCount="1710" xr:uid="{00000000-000A-0000-FFFF-FFFF14000000}">
  <cacheSource type="worksheet">
    <worksheetSource name="Tableau467"/>
  </cacheSource>
  <cacheFields count="10">
    <cacheField name="Nom groupe" numFmtId="0">
      <sharedItems count="22">
        <s v="01 Témoins solvant"/>
        <s v=""/>
        <s v="02 EE2 33.8"/>
        <s v="03 EE2 50"/>
        <s v="04 EE2 76"/>
        <s v="05 EE2 114"/>
        <s v="06 EE2 170"/>
        <s v="07 EE2 488"/>
        <s v="08tam 30.2µg_L"/>
        <s v="09 tam 60.4µg_L"/>
        <s v="10 tam 121µg_L"/>
        <s v="11 tam 242µg_L"/>
        <s v="12 tam 483µg_L"/>
        <s v="01 testo 30"/>
        <s v="02 testo 30"/>
        <s v="03Testo + EE2 64"/>
        <s v="04 Testo +FAD"/>
        <s v="05 tam 30.2 + testo"/>
        <s v="06  tam 60.4 + testo"/>
        <s v="07 tam 121 + testo"/>
        <s v="08 tam 242 + testo"/>
        <s v="09  tam 483 + testo"/>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2" maxValue="63"/>
    </cacheField>
    <cacheField name=" " numFmtId="0">
      <sharedItems containsBlank="1" count="24">
        <s v=" "/>
        <m/>
        <s v=" SD mean fluo "/>
        <s v=" 7.8927 "/>
        <s v=" 4.357 "/>
        <s v=" 2.3412 "/>
        <s v=" 4.7913 "/>
        <s v=" 6.7281 "/>
        <s v=" 3.4064 "/>
        <s v=" 4.8403 "/>
        <s v=" 3.2691 "/>
        <s v=" 4.0252 "/>
        <s v=" 1.8594 "/>
        <s v=" 2.8153 "/>
        <s v=" 8.1331 "/>
        <s v=" 3.058 "/>
        <s v=" 3.5376 "/>
        <s v=" 5.4407 "/>
        <s v=" 2.4707 "/>
        <s v=" 2.7549 "/>
        <s v=" 2.1528 "/>
        <s v=" 4.1481 "/>
        <s v=" 2.5845 "/>
        <s v=" 2.6657 "/>
      </sharedItems>
    </cacheField>
    <cacheField name=" total fluorescence" numFmtId="0">
      <sharedItems containsBlank="1" containsMixedTypes="1" containsNumber="1" containsInteger="1" minValue="12221" maxValue="7187398"/>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390.495026041666" createdVersion="6" refreshedVersion="7" minRefreshableVersion="3" recordCount="52" xr:uid="{8DEF666A-6C7D-4C16-AD6D-82242760D5D9}">
  <cacheSource type="worksheet">
    <worksheetSource name="liste_groupe"/>
  </cacheSource>
  <cacheFields count="6">
    <cacheField name="Nom sur le graphique" numFmtId="0">
      <sharedItems count="24">
        <s v="Témoin solvant"/>
        <s v="EE2-22,5ng/L"/>
        <s v="EE2-33,8ng/L"/>
        <s v="EE2-50,6ng/L"/>
        <s v="EE2-76ng/L"/>
        <s v="EE2-114ng/L"/>
        <s v="EE2-170,9ng/L"/>
        <s v="EE2-488ng/L"/>
        <s v="Tamoxifen-30,2µg/L"/>
        <s v="Tamoxifen-60,4µg/L"/>
        <s v="Tamoxifen-121µg/L"/>
        <s v="Tamoxifen-242µg/L"/>
        <s v="Tamoxifen-483µg/L"/>
        <s v=" "/>
        <s v="Testo -30µg/L"/>
        <s v="Testo 30µg/L + EE2 -64ng/L"/>
        <s v="Testo 30µg/L + FAD-10µg/L"/>
        <s v="Tamoxifen-30,2µg/L + Testostérone"/>
        <s v="Tamoxifen-60,4µg/L + Testostérone"/>
        <s v="Tamoxifen-121µg/L + Testostérone"/>
        <s v="Tamoxifen-242µg/L + Testostérone"/>
        <s v="Tamoxifen-483µg/L + Testostérone"/>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D:\Images\20210706\plaque 1/@01 Témoins solvant/A1_01.tif "/>
    <s v=" 3309.3739 "/>
    <s v=" 64.1242 "/>
    <x v="0"/>
    <n v="212211"/>
    <m/>
    <m/>
    <m/>
  </r>
  <r>
    <x v="0"/>
    <x v="0"/>
    <s v="D:\Images\20210706\plaque 1/@01 Témoins solvant/A1_02.tif "/>
    <s v=" 3806.8615 "/>
    <s v=" 63.8977 "/>
    <x v="0"/>
    <n v="243250"/>
    <m/>
    <m/>
    <m/>
  </r>
  <r>
    <x v="0"/>
    <x v="0"/>
    <s v="D:\Images\20210706\plaque 1/@01 Témoins solvant/A1_03.tif "/>
    <s v=" 2660.477 "/>
    <s v=" 64.8862 "/>
    <x v="0"/>
    <n v="172628"/>
    <m/>
    <m/>
    <m/>
  </r>
  <r>
    <x v="0"/>
    <x v="1"/>
    <s v="D:\Images\20210706\plaque 1/@01 Témoins solvant/B1_01.tif "/>
    <s v=" 6078.0004 "/>
    <s v=" 69.0605 "/>
    <x v="0"/>
    <n v="419750"/>
    <m/>
    <m/>
    <m/>
  </r>
  <r>
    <x v="0"/>
    <x v="1"/>
    <s v="D:\Images\20210706\plaque 1/@01 Témoins solvant/B1_02.tif "/>
    <s v=" 3006.5554 "/>
    <s v=" 65.2734 "/>
    <x v="0"/>
    <n v="196248"/>
    <m/>
    <m/>
    <m/>
  </r>
  <r>
    <x v="0"/>
    <x v="1"/>
    <s v="D:\Images\20210706\plaque 1/@01 Témoins solvant/B1_03.tif "/>
    <s v=" 886.8257 "/>
    <s v=" 62.6829 "/>
    <x v="0"/>
    <n v="55589"/>
    <m/>
    <m/>
    <m/>
  </r>
  <r>
    <x v="0"/>
    <x v="2"/>
    <s v="D:\Images\20210706\plaque 1/@01 Témoins solvant/C1_01.tif "/>
    <s v=" 1925.0606 "/>
    <s v=" 64.0562 "/>
    <x v="0"/>
    <n v="123312"/>
    <m/>
    <m/>
    <m/>
  </r>
  <r>
    <x v="0"/>
    <x v="2"/>
    <s v="D:\Images\20210706\plaque 1/@01 Témoins solvant/C1_02.tif "/>
    <s v=" 2422.5482 "/>
    <s v=" 64.3839 "/>
    <x v="0"/>
    <n v="155973"/>
    <m/>
    <m/>
    <m/>
  </r>
  <r>
    <x v="0"/>
    <x v="2"/>
    <s v="D:\Images\20210706\plaque 1/@01 Témoins solvant/C1_03.tif "/>
    <s v=" 3266.1141 "/>
    <s v=" 66.2517 "/>
    <x v="0"/>
    <n v="216385"/>
    <m/>
    <m/>
    <m/>
  </r>
  <r>
    <x v="0"/>
    <x v="3"/>
    <s v="D:\Images\20210706\plaque 1/@01 Témoins solvant/D1_01.tif "/>
    <s v=" 584.0072 "/>
    <s v=" 66.4444 "/>
    <x v="0"/>
    <n v="38804"/>
    <m/>
    <m/>
    <m/>
  </r>
  <r>
    <x v="0"/>
    <x v="3"/>
    <s v="D:\Images\20210706\plaque 1/@01 Témoins solvant/D1_02.tif "/>
    <s v=" 237.9288 "/>
    <s v=" 66.5455 "/>
    <x v="0"/>
    <n v="15833"/>
    <m/>
    <m/>
    <m/>
  </r>
  <r>
    <x v="0"/>
    <x v="3"/>
    <s v="D:\Images\20210706\plaque 1/@01 Témoins solvant/D1_03.tif "/>
    <s v=" 194.6691 "/>
    <s v=" 63.8889 "/>
    <x v="0"/>
    <n v="12437"/>
    <m/>
    <m/>
    <m/>
  </r>
  <r>
    <x v="0"/>
    <x v="4"/>
    <s v="D:\Images\20210706\plaque 1/@01 Témoins solvant/E1_01.tif "/>
    <s v=" 4477.3882 "/>
    <s v=" 66.4686 "/>
    <x v="0"/>
    <n v="297606"/>
    <m/>
    <m/>
    <m/>
  </r>
  <r>
    <x v="0"/>
    <x v="4"/>
    <s v="D:\Images\20210706\plaque 1/@01 Témoins solvant/E1_02.tif "/>
    <s v=" 6791.7869 "/>
    <s v=" 72.5573 "/>
    <x v="0"/>
    <n v="492794"/>
    <m/>
    <m/>
    <m/>
  </r>
  <r>
    <x v="0"/>
    <x v="4"/>
    <s v="D:\Images\20210706\plaque 1/@01 Témoins solvant/E1_03.tif "/>
    <s v=" 8240.9899 "/>
    <s v=" 69.7612 "/>
    <x v="0"/>
    <n v="574901"/>
    <m/>
    <m/>
    <m/>
  </r>
  <r>
    <x v="0"/>
    <x v="5"/>
    <s v="D:\Images\20210706\plaque 1/@01 Témoins solvant/F1_01.tif "/>
    <s v=" 4066.4202 "/>
    <s v=" 63.2553 "/>
    <x v="0"/>
    <n v="257223"/>
    <m/>
    <m/>
    <m/>
  </r>
  <r>
    <x v="0"/>
    <x v="5"/>
    <s v="D:\Images\20210706\plaque 1/@01 Témoins solvant/F1_02.tif "/>
    <s v=" 4736.9469 "/>
    <s v=" 64.3242 "/>
    <x v="0"/>
    <n v="304700"/>
    <m/>
    <m/>
    <m/>
  </r>
  <r>
    <x v="0"/>
    <x v="5"/>
    <s v="D:\Images\20210706\plaque 1/@01 Témoins solvant/F1_03.tif "/>
    <s v=" 4347.6088 "/>
    <s v=" 63.7512 "/>
    <x v="0"/>
    <n v="277165"/>
    <m/>
    <m/>
    <m/>
  </r>
  <r>
    <x v="0"/>
    <x v="6"/>
    <s v="D:\Images\20210706\plaque 1/@01 Témoins solvant/G1_01.tif "/>
    <s v=" 3093.0749 "/>
    <s v=" 66.2727 "/>
    <x v="0"/>
    <n v="204987"/>
    <m/>
    <m/>
    <m/>
  </r>
  <r>
    <x v="0"/>
    <x v="6"/>
    <s v="D:\Images\20210706\plaque 1/@01 Témoins solvant/G1_02.tif "/>
    <s v=" 800.3061 "/>
    <s v=" 63.5676 "/>
    <x v="0"/>
    <n v="50874"/>
    <m/>
    <m/>
    <m/>
  </r>
  <r>
    <x v="0"/>
    <x v="6"/>
    <s v="D:\Images\20210706\plaque 1/@01 Témoins solvant/G1_03.tif "/>
    <s v=" 4282.7191 "/>
    <s v=" 64.9545 "/>
    <x v="0"/>
    <n v="278182"/>
    <m/>
    <m/>
    <m/>
  </r>
  <r>
    <x v="0"/>
    <x v="7"/>
    <s v="D:\Images\20210706\plaque 1/@01 Témoins solvant/H1_01.tif "/>
    <s v=" 1838.541 "/>
    <s v=" 65.5529 "/>
    <x v="0"/>
    <n v="120522"/>
    <m/>
    <m/>
    <m/>
  </r>
  <r>
    <x v="0"/>
    <x v="7"/>
    <s v="D:\Images\20210706\plaque 1/@01 Témoins solvant/H1_02.tif "/>
    <s v=" 994.9752 "/>
    <s v=" 64.4783 "/>
    <x v="0"/>
    <n v="64154"/>
    <m/>
    <m/>
    <m/>
  </r>
  <r>
    <x v="0"/>
    <x v="7"/>
    <s v="D:\Images\20210706\plaque 1/@01 Témoins solvant/H1_03.tif "/>
    <s v=" 1189.6442 "/>
    <s v=" 63.2727 "/>
    <x v="0"/>
    <n v="75272"/>
    <m/>
    <m/>
    <m/>
  </r>
  <r>
    <x v="1"/>
    <x v="8"/>
    <s v=" "/>
    <m/>
    <m/>
    <x v="1"/>
    <m/>
    <m/>
    <m/>
    <m/>
  </r>
  <r>
    <x v="1"/>
    <x v="8"/>
    <s v="group "/>
    <s v=" "/>
    <s v=" mean of mean fluo "/>
    <x v="2"/>
    <s v=" mean of total fluo "/>
    <s v=" SD total fluo "/>
    <s v=" n fluorescent "/>
    <s v=" n total"/>
  </r>
  <r>
    <x v="0"/>
    <x v="9"/>
    <s v="D:\Images\20210706\plaque 1/@01 Témoins solvant/ "/>
    <s v=" "/>
    <s v=" 65.4047 "/>
    <x v="3"/>
    <s v=" 202533.333 "/>
    <s v=" 147389.42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D:\Images\20210706\plaque 1/@02 EE2 33.8/A2_01.tif "/>
    <s v=" 11636.8833 "/>
    <s v=" 69.0483 "/>
    <x v="0"/>
    <n v="803507"/>
    <m/>
    <m/>
    <m/>
  </r>
  <r>
    <x v="2"/>
    <x v="0"/>
    <s v="D:\Images\20210706\plaque 1/@02 EE2 33.8/A2_02.tif "/>
    <s v=" 12220.8905 "/>
    <s v=" 68.7186 "/>
    <x v="0"/>
    <n v="839802"/>
    <m/>
    <m/>
    <m/>
  </r>
  <r>
    <x v="2"/>
    <x v="0"/>
    <s v="D:\Images\20210706\plaque 1/@02 EE2 33.8/A2_03.tif "/>
    <s v=" 9690.1928 "/>
    <s v=" 66.7388 "/>
    <x v="0"/>
    <n v="646712"/>
    <m/>
    <m/>
    <m/>
  </r>
  <r>
    <x v="2"/>
    <x v="1"/>
    <s v="D:\Images\20210706\plaque 1/@02 EE2 33.8/B2_01.tif "/>
    <s v=" 2292.7688 "/>
    <s v=" 65.8491 "/>
    <x v="0"/>
    <n v="150977"/>
    <m/>
    <m/>
    <m/>
  </r>
  <r>
    <x v="2"/>
    <x v="1"/>
    <s v="D:\Images\20210706\plaque 1/@02 EE2 33.8/B2_02.tif "/>
    <s v=" 2054.84 "/>
    <s v=" 64.0526 "/>
    <x v="0"/>
    <n v="131618"/>
    <m/>
    <m/>
    <m/>
  </r>
  <r>
    <x v="2"/>
    <x v="1"/>
    <s v="D:\Images\20210706\plaque 1/@02 EE2 33.8/B2_03.tif "/>
    <s v=" 5710.2922 "/>
    <s v=" 66.2689 "/>
    <x v="0"/>
    <n v="378415"/>
    <m/>
    <m/>
    <m/>
  </r>
  <r>
    <x v="2"/>
    <x v="2"/>
    <s v="D:\Images\20210706\plaque 1/@02 EE2 33.8/C2_01.tif "/>
    <s v=" 4520.648 "/>
    <s v=" 68.5311 "/>
    <x v="0"/>
    <n v="309805"/>
    <m/>
    <m/>
    <m/>
  </r>
  <r>
    <x v="2"/>
    <x v="2"/>
    <s v="D:\Images\20210706\plaque 1/@02 EE2 33.8/C2_02.tif "/>
    <s v=" 4607.1676 "/>
    <s v=" 68.3333 "/>
    <x v="0"/>
    <n v="314823"/>
    <m/>
    <m/>
    <m/>
  </r>
  <r>
    <x v="2"/>
    <x v="2"/>
    <s v="D:\Images\20210706\plaque 1/@02 EE2 33.8/C2_03.tif "/>
    <s v=" 1773.6514 "/>
    <s v=" 65.9634 "/>
    <x v="0"/>
    <n v="116996"/>
    <m/>
    <m/>
    <m/>
  </r>
  <r>
    <x v="2"/>
    <x v="3"/>
    <s v="D:\Images\20210706\plaque 1/@02 EE2 33.8/D2_01.tif "/>
    <s v=" 8868.2568 "/>
    <s v=" 67.7 "/>
    <x v="0"/>
    <n v="600381"/>
    <m/>
    <m/>
    <m/>
  </r>
  <r>
    <x v="2"/>
    <x v="3"/>
    <s v="D:\Images\20210706\plaque 1/@02 EE2 33.8/D2_02.tif "/>
    <s v=" 1816.9111 "/>
    <s v=" 63.9643 "/>
    <x v="0"/>
    <n v="116217"/>
    <m/>
    <m/>
    <m/>
  </r>
  <r>
    <x v="2"/>
    <x v="3"/>
    <s v="D:\Images\20210706\plaque 1/@02 EE2 33.8/D2_03.tif "/>
    <s v=" 2400.9183 "/>
    <s v=" 64.3333 "/>
    <x v="0"/>
    <n v="154459"/>
    <m/>
    <m/>
    <m/>
  </r>
  <r>
    <x v="2"/>
    <x v="4"/>
    <s v="D:\Images\20210706\plaque 1/@02 EE2 33.8/E2_01.tif "/>
    <s v=" 994.9752 "/>
    <s v=" 63.2174 "/>
    <x v="0"/>
    <n v="62900"/>
    <m/>
    <m/>
    <m/>
  </r>
  <r>
    <x v="2"/>
    <x v="4"/>
    <s v="D:\Images\20210706\plaque 1/@02 EE2 33.8/E2_02.tif "/>
    <s v=" 6748.5271 "/>
    <s v=" 69.0833 "/>
    <x v="0"/>
    <n v="466211"/>
    <m/>
    <m/>
    <m/>
  </r>
  <r>
    <x v="2"/>
    <x v="4"/>
    <s v="D:\Images\20210706\plaque 1/@02 EE2 33.8/E2_03.tif "/>
    <s v=" 519.1175 "/>
    <s v=" 63.7083 "/>
    <x v="0"/>
    <n v="33072"/>
    <m/>
    <m/>
    <m/>
  </r>
  <r>
    <x v="2"/>
    <x v="5"/>
    <s v="D:\Images\20210706\plaque 1/@02 EE2 33.8/F2_01.tif "/>
    <s v=" 2487.4379 "/>
    <s v=" 66.7043 "/>
    <x v="0"/>
    <n v="165923"/>
    <m/>
    <m/>
    <m/>
  </r>
  <r>
    <x v="2"/>
    <x v="5"/>
    <s v="D:\Images\20210706\plaque 1/@02 EE2 33.8/F2_02.tif "/>
    <s v=" 4412.4985 "/>
    <s v=" 65.549 "/>
    <x v="0"/>
    <n v="289235"/>
    <m/>
    <m/>
    <m/>
  </r>
  <r>
    <x v="2"/>
    <x v="5"/>
    <s v="D:\Images\20210706\plaque 1/@02 EE2 33.8/F2_03.tif "/>
    <s v=" 2444.1781 "/>
    <s v=" 66.9823 "/>
    <x v="0"/>
    <n v="163717"/>
    <m/>
    <m/>
    <m/>
  </r>
  <r>
    <x v="2"/>
    <x v="6"/>
    <s v="D:\Images\20210706\plaque 1/@02 EE2 33.8/G2_01.tif "/>
    <s v=" 9041.296 "/>
    <s v=" 66.0359 "/>
    <x v="0"/>
    <n v="597050"/>
    <m/>
    <m/>
    <m/>
  </r>
  <r>
    <x v="2"/>
    <x v="6"/>
    <s v="D:\Images\20210706\plaque 1/@02 EE2 33.8/G2_02.tif "/>
    <s v=" 5969.8509 "/>
    <s v=" 65.058 "/>
    <x v="0"/>
    <n v="388386"/>
    <m/>
    <m/>
    <m/>
  </r>
  <r>
    <x v="2"/>
    <x v="6"/>
    <s v="D:\Images\20210706\plaque 1/@02 EE2 33.8/G2_03- exclu.tif"/>
    <m/>
    <m/>
    <x v="1"/>
    <m/>
    <m/>
    <m/>
    <m/>
  </r>
  <r>
    <x v="2"/>
    <x v="7"/>
    <s v="D:\Images\20210706\plaque 1/@02 EE2 33.8/H2_01.tif "/>
    <s v=" 4325.9789 "/>
    <s v=" 66.285 "/>
    <x v="0"/>
    <n v="286748"/>
    <m/>
    <m/>
    <m/>
  </r>
  <r>
    <x v="2"/>
    <x v="7"/>
    <s v="D:\Images\20210706\plaque 1/@02 EE2 33.8/H2_02.tif "/>
    <s v=" 4369.2387 "/>
    <s v=" 68.1436 "/>
    <x v="0"/>
    <n v="297735"/>
    <m/>
    <m/>
    <m/>
  </r>
  <r>
    <x v="2"/>
    <x v="7"/>
    <s v="D:\Images\20210706\plaque 1/@02 EE2 33.8/H2_03.tif "/>
    <s v=" 1860.1709 "/>
    <s v=" 64.2209 "/>
    <x v="0"/>
    <n v="119462"/>
    <m/>
    <m/>
    <m/>
  </r>
  <r>
    <x v="1"/>
    <x v="8"/>
    <s v=" "/>
    <m/>
    <m/>
    <x v="1"/>
    <m/>
    <m/>
    <m/>
    <m/>
  </r>
  <r>
    <x v="1"/>
    <x v="8"/>
    <s v="group "/>
    <s v=" "/>
    <s v=" mean of mean fluo "/>
    <x v="2"/>
    <s v=" mean of total fluo "/>
    <s v=" SD total fluo "/>
    <s v=" n fluorescent "/>
    <s v=" n total"/>
  </r>
  <r>
    <x v="2"/>
    <x v="9"/>
    <s v="D:\Images\20210706\plaque 1/@02 EE2 33.8/ "/>
    <s v=" "/>
    <s v=" 66.1637 "/>
    <x v="4"/>
    <s v=" 311185.667 "/>
    <s v=" 236734.35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D:\Images\20210706\plaque 1/@03 EE2 50/A3_01.tif "/>
    <s v=" 886.8257 "/>
    <s v=" 62.9512 "/>
    <x v="0"/>
    <n v="55827"/>
    <m/>
    <m/>
    <m/>
  </r>
  <r>
    <x v="3"/>
    <x v="0"/>
    <s v="D:\Images\20210706\plaque 1/@03 EE2 50/A3_02.tif "/>
    <s v=" 7267.6446 "/>
    <s v=" 66.3274 "/>
    <x v="0"/>
    <n v="482044"/>
    <m/>
    <m/>
    <m/>
  </r>
  <r>
    <x v="3"/>
    <x v="0"/>
    <s v="D:\Images\20210706\plaque 1/@03 EE2 50/A3_03.tif "/>
    <s v=" 1600.6122 "/>
    <s v=" 62.9054 "/>
    <x v="0"/>
    <n v="100687"/>
    <m/>
    <m/>
    <m/>
  </r>
  <r>
    <x v="3"/>
    <x v="1"/>
    <s v="D:\Images\20210706\plaque 1/@03 EE2 50/B3_01.tif "/>
    <s v=" 1665.5019 "/>
    <s v=" 63.4545 "/>
    <x v="0"/>
    <n v="105684"/>
    <m/>
    <m/>
    <m/>
  </r>
  <r>
    <x v="3"/>
    <x v="1"/>
    <s v="D:\Images\20210706\plaque 1/@03 EE2 50/B3_02.tif "/>
    <s v=" 6402.4488 "/>
    <s v=" 65.3547 "/>
    <x v="0"/>
    <n v="418430"/>
    <m/>
    <m/>
    <m/>
  </r>
  <r>
    <x v="3"/>
    <x v="1"/>
    <s v="D:\Images\20210706\plaque 1/@03 EE2 50/B3_03.tif "/>
    <s v=" 5991.4808 "/>
    <s v=" 65.7256 "/>
    <x v="0"/>
    <n v="393794"/>
    <m/>
    <m/>
    <m/>
  </r>
  <r>
    <x v="3"/>
    <x v="2"/>
    <s v="D:\Images\20210706\plaque 1/@03 EE2 50/C3_01.tif "/>
    <s v=" 843.5659 "/>
    <s v=" 63.6154 "/>
    <x v="0"/>
    <n v="53664"/>
    <m/>
    <m/>
    <m/>
  </r>
  <r>
    <x v="3"/>
    <x v="2"/>
    <s v="D:\Images\20210706\plaque 1/@03 EE2 50/C3_02.tif "/>
    <s v=" 1081.4947 "/>
    <s v=" 66.4 "/>
    <x v="0"/>
    <n v="71811"/>
    <m/>
    <m/>
    <m/>
  </r>
  <r>
    <x v="3"/>
    <x v="2"/>
    <s v="D:\Images\20210706\plaque 1/@03 EE2 50/C3_03.tif "/>
    <s v=" 519.1175 "/>
    <s v=" 65.875 "/>
    <x v="0"/>
    <n v="34197"/>
    <m/>
    <m/>
    <m/>
  </r>
  <r>
    <x v="3"/>
    <x v="3"/>
    <s v="D:\Images\20210706\plaque 1/@03 EE2 50/D3_01.tif "/>
    <s v=" 14859.7376 "/>
    <s v=" 70.9767 "/>
    <x v="0"/>
    <n v="1054695"/>
    <m/>
    <m/>
    <m/>
  </r>
  <r>
    <x v="3"/>
    <x v="3"/>
    <s v="D:\Images\20210706\plaque 1/@03 EE2 50/D3_02.tif "/>
    <s v=" 15162.5561 "/>
    <s v=" 69.6034 "/>
    <x v="0"/>
    <n v="1055366"/>
    <m/>
    <m/>
    <m/>
  </r>
  <r>
    <x v="3"/>
    <x v="3"/>
    <s v="D:\Images\20210706\plaque 1/@03 EE2 50/D3_03.tif "/>
    <s v=" 9409.0042 "/>
    <s v=" 65.9011 "/>
    <x v="0"/>
    <n v="620064"/>
    <m/>
    <m/>
    <m/>
  </r>
  <r>
    <x v="3"/>
    <x v="4"/>
    <s v="D:\Images\20210706\plaque 1/@03 EE2 50/E3_01.tif "/>
    <s v=" 4563.9078 "/>
    <s v=" 63.6209 "/>
    <x v="0"/>
    <n v="290360"/>
    <m/>
    <m/>
    <m/>
  </r>
  <r>
    <x v="3"/>
    <x v="4"/>
    <s v="D:\Images\20210706\plaque 1/@03 EE2 50/E3_02.tif "/>
    <s v=" 5126.285 "/>
    <s v=" 63.9072 "/>
    <x v="0"/>
    <n v="327606"/>
    <m/>
    <m/>
    <m/>
  </r>
  <r>
    <x v="3"/>
    <x v="4"/>
    <s v="D:\Images\20210706\plaque 1/@03 EE2 50/E3_03.tif "/>
    <s v=" 3590.5625 "/>
    <n v="64"/>
    <x v="0"/>
    <n v="229796"/>
    <m/>
    <m/>
    <m/>
  </r>
  <r>
    <x v="3"/>
    <x v="5"/>
    <s v="D:\Images\20210706\plaque 1/@03 EE2 50/F3_01.tif "/>
    <s v=" 1254.5339 "/>
    <s v=" 63.1034 "/>
    <x v="0"/>
    <n v="79165"/>
    <m/>
    <m/>
    <m/>
  </r>
  <r>
    <x v="3"/>
    <x v="5"/>
    <s v="D:\Images\20210706\plaque 1/@03 EE2 50/F3_02.tif "/>
    <s v=" 692.1566 "/>
    <s v=" 62.625 "/>
    <x v="0"/>
    <n v="43346"/>
    <m/>
    <m/>
    <m/>
  </r>
  <r>
    <x v="3"/>
    <x v="5"/>
    <s v="D:\Images\20210706\plaque 1/@03 EE2 50/F3_03.tif "/>
    <s v=" 1514.0926 "/>
    <s v=" 63.2286 "/>
    <x v="0"/>
    <n v="95734"/>
    <m/>
    <m/>
    <m/>
  </r>
  <r>
    <x v="3"/>
    <x v="6"/>
    <s v="D:\Images\20210706\plaque 1/@03 EE2 50/G3_01.tif "/>
    <s v=" 1881.8008 "/>
    <s v=" 63.2184 "/>
    <x v="0"/>
    <n v="118964"/>
    <m/>
    <m/>
    <m/>
  </r>
  <r>
    <x v="3"/>
    <x v="6"/>
    <s v="D:\Images\20210706\plaque 1/@03 EE2 50/G3_02.tif "/>
    <s v=" 2271.1389 "/>
    <s v=" 63.619 "/>
    <x v="0"/>
    <n v="144488"/>
    <m/>
    <m/>
    <m/>
  </r>
  <r>
    <x v="3"/>
    <x v="6"/>
    <s v="D:\Images\20210706\plaque 1/@03 EE2 50/G3_03.tif "/>
    <s v=" 5796.8118 "/>
    <s v=" 65.3769 "/>
    <x v="0"/>
    <n v="378977"/>
    <m/>
    <m/>
    <m/>
  </r>
  <r>
    <x v="3"/>
    <x v="7"/>
    <s v="D:\Images\20210706\plaque 1/@03 EE2 50/H3_01.tif "/>
    <s v=" 6121.2602 "/>
    <s v=" 69.1873 "/>
    <x v="0"/>
    <n v="423513"/>
    <m/>
    <m/>
    <m/>
  </r>
  <r>
    <x v="3"/>
    <x v="7"/>
    <s v="D:\Images\20210706\plaque 1/@03 EE2 50/H3_02.tif "/>
    <s v=" 951.7154 "/>
    <s v=" 63.8864 "/>
    <x v="0"/>
    <n v="60802"/>
    <m/>
    <m/>
    <m/>
  </r>
  <r>
    <x v="3"/>
    <x v="7"/>
    <s v="D:\Images\20210706\plaque 1/@03 EE2 50/H3_03.tif "/>
    <s v=" 4109.68 "/>
    <s v=" 68.1263 "/>
    <x v="0"/>
    <n v="279977"/>
    <m/>
    <m/>
    <m/>
  </r>
  <r>
    <x v="1"/>
    <x v="8"/>
    <s v=" "/>
    <m/>
    <m/>
    <x v="1"/>
    <m/>
    <m/>
    <m/>
    <m/>
  </r>
  <r>
    <x v="1"/>
    <x v="8"/>
    <s v="group "/>
    <s v=" "/>
    <s v=" mean of mean fluo "/>
    <x v="2"/>
    <s v=" mean of total fluo "/>
    <s v=" SD total fluo "/>
    <s v=" n fluorescent "/>
    <s v=" n total"/>
  </r>
  <r>
    <x v="3"/>
    <x v="9"/>
    <s v="D:\Images\20210706\plaque 1/@03 EE2 50/ "/>
    <s v=" "/>
    <s v=" 65.1246 "/>
    <x v="5"/>
    <s v=" 288291.292 "/>
    <s v=" 288472.6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D:\Images\20210706\plaque 1/@04 EE2 76/A4_01.tif "/>
    <s v=" 24506.6706 "/>
    <s v=" 65.9665 "/>
    <x v="0"/>
    <n v="1616618"/>
    <m/>
    <m/>
    <m/>
  </r>
  <r>
    <x v="4"/>
    <x v="0"/>
    <s v="D:\Images\20210706\plaque 1/@04 EE2 76/A4_02.tif "/>
    <s v=" 21132.4071 "/>
    <s v=" 66.7257 "/>
    <x v="0"/>
    <n v="1410074"/>
    <m/>
    <m/>
    <m/>
  </r>
  <r>
    <x v="4"/>
    <x v="0"/>
    <s v="D:\Images\20210706\plaque 1/@04 EE2 76/A4_03.tif "/>
    <s v=" 23684.7346 "/>
    <s v=" 66.695 "/>
    <x v="0"/>
    <n v="1579653"/>
    <m/>
    <m/>
    <m/>
  </r>
  <r>
    <x v="4"/>
    <x v="1"/>
    <s v="D:\Images\20210706\plaque 1/@04 EE2 76/B4_01.tif "/>
    <s v=" 670.5267 "/>
    <s v=" 63.3548 "/>
    <x v="0"/>
    <n v="42481"/>
    <m/>
    <m/>
    <m/>
  </r>
  <r>
    <x v="4"/>
    <x v="1"/>
    <s v="D:\Images\20210706\plaque 1/@04 EE2 76/B4_02.tif "/>
    <s v=" 908.4556 "/>
    <s v=" 63.5 "/>
    <x v="0"/>
    <n v="57687"/>
    <m/>
    <m/>
    <m/>
  </r>
  <r>
    <x v="4"/>
    <x v="1"/>
    <s v="D:\Images\20210706\plaque 1/@04 EE2 76/B4_03.tif "/>
    <s v=" 1989.9503 "/>
    <s v=" 64.6413 "/>
    <x v="0"/>
    <n v="128633"/>
    <m/>
    <m/>
    <m/>
  </r>
  <r>
    <x v="4"/>
    <x v="2"/>
    <s v="D:\Images\20210706\plaque 1/@04 EE2 76/C4_01.tif "/>
    <s v=" 13821.5027 "/>
    <s v=" 68.2034 "/>
    <x v="0"/>
    <n v="942674"/>
    <m/>
    <m/>
    <m/>
  </r>
  <r>
    <x v="4"/>
    <x v="2"/>
    <s v="D:\Images\20210706\plaque 1/@04 EE2 76/C4_02.tif "/>
    <s v=" 6380.8189 "/>
    <s v=" 63.9492 "/>
    <x v="0"/>
    <n v="408048"/>
    <m/>
    <m/>
    <m/>
  </r>
  <r>
    <x v="4"/>
    <x v="2"/>
    <s v="D:\Images\20210706\plaque 1/@04 EE2 76/C4_03.tif "/>
    <s v=" 12112.741 "/>
    <s v=" 69.4089 "/>
    <x v="0"/>
    <n v="840732"/>
    <m/>
    <m/>
    <m/>
  </r>
  <r>
    <x v="4"/>
    <x v="3"/>
    <s v="D:\Images\20210706\plaque 1/@04 EE2 76/D4_01.tif "/>
    <s v=" 4174.5697 "/>
    <s v=" 64.7358 "/>
    <x v="0"/>
    <n v="270244"/>
    <m/>
    <m/>
    <m/>
  </r>
  <r>
    <x v="4"/>
    <x v="3"/>
    <s v="D:\Images\20210706\plaque 1/@04 EE2 76/D4_02.tif "/>
    <s v=" 4715.317 "/>
    <s v=" 66.1101 "/>
    <x v="0"/>
    <n v="311730"/>
    <m/>
    <m/>
    <m/>
  </r>
  <r>
    <x v="4"/>
    <x v="3"/>
    <s v="D:\Images\20210706\plaque 1/@04 EE2 76/D4_03.tif "/>
    <s v=" 4607.1676 "/>
    <s v=" 66.0798 "/>
    <x v="0"/>
    <n v="304441"/>
    <m/>
    <m/>
    <m/>
  </r>
  <r>
    <x v="4"/>
    <x v="4"/>
    <s v="D:\Images\20210706\plaque 1/@04 EE2 76/E4_01.tif "/>
    <s v=" 44968.5509 "/>
    <s v=" 67.6229 "/>
    <x v="0"/>
    <n v="3040904"/>
    <m/>
    <m/>
    <m/>
  </r>
  <r>
    <x v="4"/>
    <x v="4"/>
    <s v="D:\Images\20210706\plaque 1/@04 EE2 76/E4_02.tif "/>
    <s v=" 50570.6936 "/>
    <s v=" 69.6099 "/>
    <x v="0"/>
    <n v="3520222"/>
    <m/>
    <m/>
    <m/>
  </r>
  <r>
    <x v="4"/>
    <x v="4"/>
    <s v="D:\Images\20210706\plaque 1/@04 EE2 76/E4_03.tif "/>
    <s v=" 45617.4478 "/>
    <s v=" 69.88 "/>
    <x v="0"/>
    <n v="3187749"/>
    <m/>
    <m/>
    <m/>
  </r>
  <r>
    <x v="4"/>
    <x v="5"/>
    <s v="D:\Images\20210706\plaque 1/@04 EE2 76/F4_01.tif "/>
    <s v=" 8219.36 "/>
    <s v=" 67.1974 "/>
    <x v="0"/>
    <n v="552319"/>
    <m/>
    <m/>
    <m/>
  </r>
  <r>
    <x v="4"/>
    <x v="5"/>
    <s v="D:\Images\20210706\plaque 1/@04 EE2 76/F4_02.tif "/>
    <s v=" 5018.1356 "/>
    <s v=" 64.6336 "/>
    <x v="0"/>
    <n v="324340"/>
    <m/>
    <m/>
    <m/>
  </r>
  <r>
    <x v="4"/>
    <x v="5"/>
    <s v="D:\Images\20210706\plaque 1/@04 EE2 76/F4_03.tif "/>
    <s v=" 4996.5057 "/>
    <s v=" 65.2857 "/>
    <x v="0"/>
    <n v="326200"/>
    <m/>
    <m/>
    <m/>
  </r>
  <r>
    <x v="4"/>
    <x v="6"/>
    <s v="D:\Images\20210706\plaque 1/@04 EE2 76/G4_01.tif "/>
    <s v=" 5147.9149 "/>
    <s v=" 64.937 "/>
    <x v="0"/>
    <n v="334290"/>
    <m/>
    <m/>
    <m/>
  </r>
  <r>
    <x v="4"/>
    <x v="6"/>
    <s v="D:\Images\20210706\plaque 1/@04 EE2 76/G4_02.tif "/>
    <s v=" 3893.381 "/>
    <s v=" 63.6278 "/>
    <x v="0"/>
    <n v="247727"/>
    <m/>
    <m/>
    <m/>
  </r>
  <r>
    <x v="4"/>
    <x v="6"/>
    <s v="D:\Images\20210706\plaque 1/@04 EE2 76/G4_03.tif "/>
    <s v=" 2271.1389 "/>
    <s v=" 63.2381 "/>
    <x v="0"/>
    <n v="143623"/>
    <m/>
    <m/>
    <m/>
  </r>
  <r>
    <x v="4"/>
    <x v="7"/>
    <s v="D:\Images\20210706\plaque 1/@04 EE2 76/H4_01.tif "/>
    <s v=" 7873.2816 "/>
    <s v=" 68.3901 "/>
    <x v="0"/>
    <n v="538455"/>
    <m/>
    <m/>
    <m/>
  </r>
  <r>
    <x v="4"/>
    <x v="7"/>
    <s v="D:\Images\20210706\plaque 1/@04 EE2 76/H4_02.tif "/>
    <s v=" 3612.1924 "/>
    <s v=" 63.4251 "/>
    <x v="0"/>
    <n v="229104"/>
    <m/>
    <m/>
    <m/>
  </r>
  <r>
    <x v="4"/>
    <x v="7"/>
    <s v="D:\Images\20210706\plaque 1/@04 EE2 76/H4_03.tif "/>
    <s v=" 8673.5877 "/>
    <s v=" 68.6658 "/>
    <x v="0"/>
    <n v="595579"/>
    <m/>
    <m/>
    <m/>
  </r>
  <r>
    <x v="1"/>
    <x v="8"/>
    <s v=" "/>
    <m/>
    <m/>
    <x v="1"/>
    <m/>
    <m/>
    <m/>
    <m/>
  </r>
  <r>
    <x v="1"/>
    <x v="8"/>
    <s v="group "/>
    <s v=" "/>
    <s v=" mean of mean fluo "/>
    <x v="2"/>
    <s v=" mean of total fluo "/>
    <s v=" SD total fluo "/>
    <s v=" n fluorescent "/>
    <s v=" n total"/>
  </r>
  <r>
    <x v="4"/>
    <x v="9"/>
    <s v="D:\Images\20210706\plaque 1/@04 EE2 76/ "/>
    <s v=" "/>
    <s v=" 66.0785 "/>
    <x v="6"/>
    <s v=" 873063.625 "/>
    <s v=" 1022745.4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D:\Images\20210706\plaque 1/@05 EE2 114/A5_01.tif "/>
    <s v=" 41464.508 "/>
    <s v=" 70.8774 "/>
    <x v="0"/>
    <n v="2938897"/>
    <m/>
    <m/>
    <m/>
  </r>
  <r>
    <x v="5"/>
    <x v="0"/>
    <s v="D:\Images\20210706\plaque 1/@05 EE2 114/A5_02.tif "/>
    <s v=" 39647.5969 "/>
    <s v=" 71.1669 "/>
    <x v="0"/>
    <n v="2821598"/>
    <m/>
    <m/>
    <m/>
  </r>
  <r>
    <x v="5"/>
    <x v="0"/>
    <s v="D:\Images\20210706\plaque 1/@05 EE2 114/A5_03.tif "/>
    <s v=" 53490.7294 "/>
    <s v=" 72.0053 "/>
    <x v="0"/>
    <n v="3851614"/>
    <m/>
    <m/>
    <m/>
  </r>
  <r>
    <x v="5"/>
    <x v="1"/>
    <s v="D:\Images\20210706\plaque 1/@05 EE2 114/B5_01.tif "/>
    <s v=" 11528.7338 "/>
    <s v=" 64.3208 "/>
    <x v="0"/>
    <n v="741538"/>
    <m/>
    <m/>
    <m/>
  </r>
  <r>
    <x v="5"/>
    <x v="1"/>
    <s v="D:\Images\20210706\plaque 1/@05 EE2 114/B5_02.tif "/>
    <s v=" 7029.7158 "/>
    <s v=" 64.3015 "/>
    <x v="0"/>
    <n v="452022"/>
    <m/>
    <m/>
    <m/>
  </r>
  <r>
    <x v="5"/>
    <x v="1"/>
    <s v="D:\Images\20210706\plaque 1/@05 EE2 114/B5_03.tif "/>
    <s v=" 3439.1532 "/>
    <s v=" 63.1195 "/>
    <x v="0"/>
    <n v="217078"/>
    <m/>
    <m/>
    <m/>
  </r>
  <r>
    <x v="5"/>
    <x v="2"/>
    <s v="D:\Images\20210706\plaque 1/@05 EE2 114/C5_01.tif "/>
    <s v=" 15919.6024 "/>
    <s v=" 65.7812 "/>
    <x v="0"/>
    <n v="1047211"/>
    <m/>
    <m/>
    <m/>
  </r>
  <r>
    <x v="5"/>
    <x v="2"/>
    <s v="D:\Images\20210706\plaque 1/@05 EE2 114/C5_02.tif "/>
    <s v=" 12220.8905 "/>
    <s v=" 64.2885 "/>
    <x v="0"/>
    <n v="785663"/>
    <m/>
    <m/>
    <m/>
  </r>
  <r>
    <x v="5"/>
    <x v="2"/>
    <s v="D:\Images\20210706\plaque 1/@05 EE2 114/C5_03.tif "/>
    <s v=" 11139.3957 "/>
    <s v=" 63.8913 "/>
    <x v="0"/>
    <n v="711710"/>
    <m/>
    <m/>
    <m/>
  </r>
  <r>
    <x v="5"/>
    <x v="3"/>
    <s v="D:\Images\20210706\plaque 1/@05 EE2 114/D5_01.tif "/>
    <s v=" 28270.2723 "/>
    <s v=" 66.6588 "/>
    <x v="0"/>
    <n v="1884461"/>
    <m/>
    <m/>
    <m/>
  </r>
  <r>
    <x v="5"/>
    <x v="3"/>
    <s v="D:\Images\20210706\plaque 1/@05 EE2 114/D5_02.tif "/>
    <s v=" 34305.0129 "/>
    <s v=" 67.5738 "/>
    <x v="0"/>
    <n v="2318119"/>
    <m/>
    <m/>
    <m/>
  </r>
  <r>
    <x v="5"/>
    <x v="3"/>
    <s v="D:\Images\20210706\plaque 1/@05 EE2 114/D5_03.tif "/>
    <s v=" 33850.7851 "/>
    <s v=" 67.308 "/>
    <x v="0"/>
    <n v="2278428"/>
    <m/>
    <m/>
    <m/>
  </r>
  <r>
    <x v="5"/>
    <x v="4"/>
    <s v="D:\Images\20210706\plaque 1/@05 EE2 114/E5_01.tif "/>
    <s v=" 7700.2425 "/>
    <s v=" 64.1208 "/>
    <x v="0"/>
    <n v="493746"/>
    <m/>
    <m/>
    <m/>
  </r>
  <r>
    <x v="5"/>
    <x v="4"/>
    <s v="D:\Images\20210706\plaque 1/@05 EE2 114/E5_02.tif "/>
    <s v=" 6618.7478 "/>
    <s v=" 64.8039 "/>
    <x v="0"/>
    <n v="428921"/>
    <m/>
    <m/>
    <m/>
  </r>
  <r>
    <x v="5"/>
    <x v="4"/>
    <s v="D:\Images\20210706\plaque 1/@05 EE2 114/E5_03.tif "/>
    <s v=" 9755.0825 "/>
    <s v=" 66.5876 "/>
    <x v="0"/>
    <n v="649567"/>
    <m/>
    <m/>
    <m/>
  </r>
  <r>
    <x v="5"/>
    <x v="5"/>
    <s v="D:\Images\20210706\plaque 1/@05 EE2 114/F5_01.tif "/>
    <s v=" 8608.6981 "/>
    <s v=" 66.7261 "/>
    <x v="0"/>
    <n v="574425"/>
    <m/>
    <m/>
    <m/>
  </r>
  <r>
    <x v="5"/>
    <x v="5"/>
    <s v="D:\Images\20210706\plaque 1/@05 EE2 114/F5_02.tif "/>
    <s v=" 8651.9579 "/>
    <s v=" 66.6825 "/>
    <x v="0"/>
    <n v="576934"/>
    <m/>
    <m/>
    <m/>
  </r>
  <r>
    <x v="5"/>
    <x v="5"/>
    <s v="D:\Images\20210706\plaque 1/@05 EE2 114/F5_03.tif "/>
    <s v=" 7743.5023 "/>
    <s v=" 65.7486 "/>
    <x v="0"/>
    <n v="509124"/>
    <m/>
    <m/>
    <m/>
  </r>
  <r>
    <x v="5"/>
    <x v="6"/>
    <s v="D:\Images\20210706\plaque 1/@05 EE2 114/G5_01.tif "/>
    <s v=" 21370.3359 "/>
    <s v=" 67.0901 "/>
    <x v="0"/>
    <n v="1433738"/>
    <m/>
    <m/>
    <m/>
  </r>
  <r>
    <x v="5"/>
    <x v="6"/>
    <s v="D:\Images\20210706\plaque 1/@05 EE2 114/G5_02.tif "/>
    <s v=" 15076.0366 "/>
    <s v=" 64.6801 "/>
    <x v="0"/>
    <n v="975119"/>
    <m/>
    <m/>
    <m/>
  </r>
  <r>
    <x v="5"/>
    <x v="6"/>
    <s v="D:\Images\20210706\plaque 1/@05 EE2 114/G5_03.tif "/>
    <s v=" 17887.9229 "/>
    <s v=" 66.2769 "/>
    <x v="0"/>
    <n v="1185556"/>
    <m/>
    <m/>
    <m/>
  </r>
  <r>
    <x v="5"/>
    <x v="7"/>
    <s v="D:\Images\20210706\plaque 1/@05 EE2 114/H5_01.tif "/>
    <s v=" 14556.9191 "/>
    <s v=" 69.6241 "/>
    <x v="0"/>
    <n v="1013512"/>
    <m/>
    <m/>
    <m/>
  </r>
  <r>
    <x v="5"/>
    <x v="7"/>
    <s v="D:\Images\20210706\plaque 1/@05 EE2 114/H5_02.tif "/>
    <s v=" 11961.3317 "/>
    <s v=" 70.2622 "/>
    <x v="0"/>
    <n v="840430"/>
    <m/>
    <m/>
    <m/>
  </r>
  <r>
    <x v="5"/>
    <x v="7"/>
    <s v="D:\Images\20210706\plaque 1/@05 EE2 114/H5_03.tif "/>
    <s v=" 12523.709 "/>
    <s v=" 70.171 "/>
    <x v="0"/>
    <n v="878801"/>
    <m/>
    <m/>
    <m/>
  </r>
  <r>
    <x v="1"/>
    <x v="8"/>
    <s v=" "/>
    <m/>
    <m/>
    <x v="1"/>
    <m/>
    <m/>
    <m/>
    <m/>
  </r>
  <r>
    <x v="1"/>
    <x v="8"/>
    <s v="group "/>
    <s v=" "/>
    <s v=" mean of mean fluo "/>
    <x v="2"/>
    <s v=" mean of total fluo "/>
    <s v=" SD total fluo "/>
    <s v=" n fluorescent "/>
    <s v=" n total"/>
  </r>
  <r>
    <x v="5"/>
    <x v="9"/>
    <s v="D:\Images\20210706\plaque 1/@05 EE2 114/ "/>
    <s v=" "/>
    <s v=" 66.8361 "/>
    <x v="7"/>
    <s v=" 1233675.5 "/>
    <s v=" 949461.11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D:\Images\20210706\plaque 1/@06 EE2 170/A6_01- exclu.tif"/>
    <m/>
    <m/>
    <x v="1"/>
    <m/>
    <m/>
    <m/>
    <m/>
  </r>
  <r>
    <x v="6"/>
    <x v="0"/>
    <s v="D:\Images\20210706\plaque 1/@06 EE2 170/A6_02.tif "/>
    <s v=" 38804.031 "/>
    <s v=" 73.3428 "/>
    <x v="0"/>
    <n v="2845997"/>
    <m/>
    <m/>
    <m/>
  </r>
  <r>
    <x v="6"/>
    <x v="0"/>
    <s v="D:\Images\20210706\plaque 1/@06 EE2 170/A6_03.tif "/>
    <s v=" 37398.0878 "/>
    <s v=" 72.6374 "/>
    <x v="0"/>
    <n v="2716498"/>
    <m/>
    <m/>
    <m/>
  </r>
  <r>
    <x v="6"/>
    <x v="1"/>
    <s v="D:\Images\20210706\plaque 1/@06 EE2 170/B6_01.tif "/>
    <s v=" 39972.0453 "/>
    <s v=" 70.2327 "/>
    <x v="0"/>
    <n v="2807344"/>
    <m/>
    <m/>
    <m/>
  </r>
  <r>
    <x v="6"/>
    <x v="1"/>
    <s v="D:\Images\20210706\plaque 1/@06 EE2 170/B6_02.tif "/>
    <s v=" 36057.0343 "/>
    <s v=" 70.3695 "/>
    <x v="0"/>
    <n v="2537316"/>
    <m/>
    <m/>
    <m/>
  </r>
  <r>
    <x v="6"/>
    <x v="1"/>
    <s v="D:\Images\20210706\plaque 1/@06 EE2 170/B6_03.tif "/>
    <s v=" 37657.6465 "/>
    <s v=" 69.6898 "/>
    <x v="0"/>
    <n v="2624355"/>
    <m/>
    <m/>
    <m/>
  </r>
  <r>
    <x v="6"/>
    <x v="2"/>
    <s v="D:\Images\20210706\plaque 1/@06 EE2 170/C6_01.tif "/>
    <s v=" 29048.9485 "/>
    <s v=" 71.6337 "/>
    <x v="0"/>
    <n v="2080882"/>
    <m/>
    <m/>
    <m/>
  </r>
  <r>
    <x v="6"/>
    <x v="2"/>
    <s v="D:\Images\20210706\plaque 1/@06 EE2 170/C6_02.tif "/>
    <s v=" 33915.6748 "/>
    <s v=" 71.5733 "/>
    <x v="0"/>
    <n v="2427458"/>
    <m/>
    <m/>
    <m/>
  </r>
  <r>
    <x v="6"/>
    <x v="2"/>
    <s v="D:\Images\20210706\plaque 1/@06 EE2 170/C6_03.tif "/>
    <s v=" 31363.3472 "/>
    <s v=" 71.7752 "/>
    <x v="0"/>
    <n v="2251110"/>
    <m/>
    <m/>
    <m/>
  </r>
  <r>
    <x v="6"/>
    <x v="3"/>
    <s v="D:\Images\20210706\plaque 1/@06 EE2 170/D6_01.tif "/>
    <s v=" 20591.6597 "/>
    <s v=" 69.5473 "/>
    <x v="0"/>
    <n v="1432094"/>
    <m/>
    <m/>
    <m/>
  </r>
  <r>
    <x v="6"/>
    <x v="3"/>
    <s v="D:\Images\20210706\plaque 1/@06 EE2 170/D6_02.tif "/>
    <s v=" 20029.2824 "/>
    <s v=" 66.7138 "/>
    <x v="0"/>
    <n v="1336230"/>
    <m/>
    <m/>
    <m/>
  </r>
  <r>
    <x v="6"/>
    <x v="3"/>
    <s v="D:\Images\20210706\plaque 1/@06 EE2 170/D6_03.tif "/>
    <s v=" 21024.2576 "/>
    <s v=" 67.8724 "/>
    <x v="0"/>
    <n v="1426967"/>
    <m/>
    <m/>
    <m/>
  </r>
  <r>
    <x v="6"/>
    <x v="4"/>
    <s v="D:\Images\20210706\plaque 1/@06 EE2 170/E6_01.tif "/>
    <s v=" 32142.0234 "/>
    <s v=" 70.1299 "/>
    <x v="0"/>
    <n v="2254116"/>
    <m/>
    <m/>
    <m/>
  </r>
  <r>
    <x v="6"/>
    <x v="4"/>
    <s v="D:\Images\20210706\plaque 1/@06 EE2 170/E6_02.tif "/>
    <s v=" 32920.6996 "/>
    <s v=" 70.3114 "/>
    <x v="0"/>
    <n v="2314702"/>
    <m/>
    <m/>
    <m/>
  </r>
  <r>
    <x v="6"/>
    <x v="4"/>
    <s v="D:\Images\20210706\plaque 1/@06 EE2 170/E6_03.tif "/>
    <s v=" 32206.9131 "/>
    <s v=" 69.7361 "/>
    <x v="0"/>
    <n v="2245983"/>
    <m/>
    <m/>
    <m/>
  </r>
  <r>
    <x v="6"/>
    <x v="5"/>
    <s v="D:\Images\20210706\plaque 1/@06 EE2 170/F6_01.tif "/>
    <s v=" 11982.9616 "/>
    <s v=" 68.4224 "/>
    <x v="0"/>
    <n v="819903"/>
    <m/>
    <m/>
    <m/>
  </r>
  <r>
    <x v="6"/>
    <x v="5"/>
    <s v="D:\Images\20210706\plaque 1/@06 EE2 170/F6_02.tif "/>
    <s v=" 10923.0968 "/>
    <n v="67"/>
    <x v="0"/>
    <n v="731847"/>
    <m/>
    <m/>
    <m/>
  </r>
  <r>
    <x v="6"/>
    <x v="5"/>
    <s v="D:\Images\20210706\plaque 1/@06 EE2 170/F6_03.tif "/>
    <s v=" 10750.0576 "/>
    <s v=" 67.1429 "/>
    <x v="0"/>
    <n v="721790"/>
    <m/>
    <m/>
    <m/>
  </r>
  <r>
    <x v="6"/>
    <x v="6"/>
    <s v="D:\Images\20210706\plaque 1/@06 EE2 170/G6_01.tif "/>
    <s v=" 39993.6752 "/>
    <s v=" 71.8491 "/>
    <x v="0"/>
    <n v="2873510"/>
    <m/>
    <m/>
    <m/>
  </r>
  <r>
    <x v="6"/>
    <x v="6"/>
    <s v="D:\Images\20210706\plaque 1/@06 EE2 170/G6_02.tif "/>
    <s v=" 34218.4933 "/>
    <s v=" 72.9241 "/>
    <x v="0"/>
    <n v="2495354"/>
    <m/>
    <m/>
    <m/>
  </r>
  <r>
    <x v="6"/>
    <x v="6"/>
    <s v="D:\Images\20210706\plaque 1/@06 EE2 170/G6_03.tif "/>
    <s v=" 34413.1624 "/>
    <s v=" 70.0258 "/>
    <x v="0"/>
    <n v="2409808"/>
    <m/>
    <m/>
    <m/>
  </r>
  <r>
    <x v="6"/>
    <x v="7"/>
    <s v="D:\Images\20210706\plaque 1/@06 EE2 170/H6_01.tif "/>
    <s v=" 34651.0912 "/>
    <s v=" 70.9444 "/>
    <x v="0"/>
    <n v="2458302"/>
    <m/>
    <m/>
    <m/>
  </r>
  <r>
    <x v="6"/>
    <x v="7"/>
    <s v="D:\Images\20210706\plaque 1/@06 EE2 170/H6_02.tif "/>
    <s v=" 35537.9169 "/>
    <s v=" 71.6805 "/>
    <x v="0"/>
    <n v="2547374"/>
    <m/>
    <m/>
    <m/>
  </r>
  <r>
    <x v="6"/>
    <x v="7"/>
    <s v="D:\Images\20210706\plaque 1/@06 EE2 170/H6_03.tif "/>
    <s v=" 31817.575 "/>
    <s v=" 71.4765 "/>
    <x v="0"/>
    <n v="2274210"/>
    <m/>
    <m/>
    <m/>
  </r>
  <r>
    <x v="1"/>
    <x v="8"/>
    <s v=" "/>
    <m/>
    <m/>
    <x v="1"/>
    <m/>
    <m/>
    <m/>
    <m/>
  </r>
  <r>
    <x v="1"/>
    <x v="8"/>
    <s v="group "/>
    <s v=" "/>
    <s v=" mean of mean fluo "/>
    <x v="2"/>
    <s v=" mean of total fluo "/>
    <s v=" SD total fluo "/>
    <s v=" n fluorescent "/>
    <s v=" n total"/>
  </r>
  <r>
    <x v="6"/>
    <x v="9"/>
    <s v="D:\Images\20210706\plaque 1/@06 EE2 170/ "/>
    <s v=" "/>
    <s v=" 70.339 "/>
    <x v="8"/>
    <s v=" 2101807.42 "/>
    <s v=" 669536.97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D:\Images\20210706\plaque 1/@07 EE2 488/A7_01.tif "/>
    <s v=" 37052.0095 "/>
    <s v=" 88.7717 "/>
    <x v="0"/>
    <n v="3289172"/>
    <m/>
    <m/>
    <m/>
  </r>
  <r>
    <x v="7"/>
    <x v="0"/>
    <s v="D:\Images\20210706\plaque 1/@07 EE2 488/A7_02.tif "/>
    <s v=" 36727.5611 "/>
    <s v=" 88.8793 "/>
    <x v="0"/>
    <n v="3264319"/>
    <m/>
    <m/>
    <m/>
  </r>
  <r>
    <x v="7"/>
    <x v="0"/>
    <s v="D:\Images\20210706\plaque 1/@07 EE2 488/A7_03.tif "/>
    <s v=" 39366.4082 "/>
    <s v=" 87.6286 "/>
    <x v="0"/>
    <n v="3449622"/>
    <m/>
    <m/>
    <m/>
  </r>
  <r>
    <x v="7"/>
    <x v="1"/>
    <s v="D:\Images\20210706\plaque 1/@07 EE2 488/B7_01.tif "/>
    <s v=" 50613.9534 "/>
    <s v=" 88.356 "/>
    <x v="0"/>
    <n v="4472046"/>
    <m/>
    <m/>
    <m/>
  </r>
  <r>
    <x v="7"/>
    <x v="1"/>
    <s v="D:\Images\20210706\plaque 1/@07 EE2 488/B7_02.tif "/>
    <s v=" 54182.886 "/>
    <s v=" 90.3034 "/>
    <x v="0"/>
    <n v="4892898"/>
    <m/>
    <m/>
    <m/>
  </r>
  <r>
    <x v="7"/>
    <x v="1"/>
    <s v="D:\Images\20210706\plaque 1/@07 EE2 488/B7_03.tif "/>
    <s v=" 48667.2629 "/>
    <s v=" 91.6618 "/>
    <x v="0"/>
    <n v="4460928"/>
    <m/>
    <m/>
    <m/>
  </r>
  <r>
    <x v="7"/>
    <x v="2"/>
    <s v="D:\Images\20210706\plaque 1/@07 EE2 488/C7_01.tif "/>
    <s v=" 62099.4275 "/>
    <s v=" 91.1536 "/>
    <x v="0"/>
    <n v="5660587"/>
    <m/>
    <m/>
    <m/>
  </r>
  <r>
    <x v="7"/>
    <x v="2"/>
    <s v="D:\Images\20210706\plaque 1/@07 EE2 488/C7_02.tif "/>
    <s v=" 58854.9433 "/>
    <s v=" 91.5722 "/>
    <x v="0"/>
    <n v="5389478"/>
    <m/>
    <m/>
    <m/>
  </r>
  <r>
    <x v="7"/>
    <x v="2"/>
    <s v="D:\Images\20210706\plaque 1/@07 EE2 488/C7_03.tif "/>
    <s v=" 60152.737 "/>
    <s v=" 91.9087 "/>
    <x v="0"/>
    <n v="5528558"/>
    <m/>
    <m/>
    <m/>
  </r>
  <r>
    <x v="7"/>
    <x v="3"/>
    <s v="D:\Images\20210706\plaque 1/@07 EE2 488/D7_01.tif "/>
    <s v=" 95517.6147 "/>
    <s v=" 94.1058 "/>
    <x v="0"/>
    <n v="8988757"/>
    <m/>
    <m/>
    <m/>
  </r>
  <r>
    <x v="7"/>
    <x v="3"/>
    <s v="D:\Images\20210706\plaque 1/@07 EE2 488/D7_02.tif "/>
    <s v=" 90802.2977 "/>
    <s v=" 94.8137 "/>
    <x v="0"/>
    <n v="8609304"/>
    <m/>
    <m/>
    <m/>
  </r>
  <r>
    <x v="7"/>
    <x v="3"/>
    <s v="D:\Images\20210706\plaque 1/@07 EE2 488/D7_03.tif "/>
    <s v=" 96945.1877 "/>
    <s v=" 93.212 "/>
    <x v="0"/>
    <n v="9036451"/>
    <m/>
    <m/>
    <m/>
  </r>
  <r>
    <x v="7"/>
    <x v="4"/>
    <s v="D:\Images\20210706\plaque 1/@07 EE2 488/E7_01.tif "/>
    <s v=" 48991.7113 "/>
    <s v=" 88.3709 "/>
    <x v="0"/>
    <n v="4329440"/>
    <m/>
    <m/>
    <m/>
  </r>
  <r>
    <x v="7"/>
    <x v="4"/>
    <s v="D:\Images\20210706\plaque 1/@07 EE2 488/E7_02- exclu.tif"/>
    <m/>
    <m/>
    <x v="1"/>
    <m/>
    <m/>
    <m/>
    <m/>
  </r>
  <r>
    <x v="7"/>
    <x v="4"/>
    <s v="D:\Images\20210706\plaque 1/@07 EE2 488/E7_03- exclu.tif"/>
    <m/>
    <m/>
    <x v="1"/>
    <m/>
    <m/>
    <m/>
    <m/>
  </r>
  <r>
    <x v="7"/>
    <x v="5"/>
    <s v="D:\Images\20210706\plaque 1/@07 EE2 488/F7_01.tif "/>
    <s v=" 37549.4971 "/>
    <s v=" 97.2281 "/>
    <x v="0"/>
    <n v="3650867"/>
    <m/>
    <m/>
    <m/>
  </r>
  <r>
    <x v="7"/>
    <x v="5"/>
    <s v="D:\Images\20210706\plaque 1/@07 EE2 488/F7_02.tif "/>
    <s v=" 52128.0461 "/>
    <s v=" 97.3905 "/>
    <x v="0"/>
    <n v="5076774"/>
    <m/>
    <m/>
    <m/>
  </r>
  <r>
    <x v="7"/>
    <x v="5"/>
    <s v="D:\Images\20210706\plaque 1/@07 EE2 488/F7_03.tif "/>
    <s v=" 48429.3341 "/>
    <s v=" 99.1094 "/>
    <x v="0"/>
    <n v="4799803"/>
    <m/>
    <m/>
    <m/>
  </r>
  <r>
    <x v="7"/>
    <x v="6"/>
    <s v="D:\Images\20210706\plaque 1/@07 EE2 488/G7_01.tif "/>
    <s v=" 50008.3164 "/>
    <s v=" 78.7881 "/>
    <x v="0"/>
    <n v="3940058"/>
    <m/>
    <m/>
    <m/>
  </r>
  <r>
    <x v="7"/>
    <x v="6"/>
    <s v="D:\Images\20210706\plaque 1/@07 EE2 488/G7_02.tif "/>
    <s v=" 59720.1391 "/>
    <s v=" 77.5154 "/>
    <x v="0"/>
    <n v="4629230"/>
    <m/>
    <m/>
    <m/>
  </r>
  <r>
    <x v="7"/>
    <x v="6"/>
    <s v="D:\Images\20210706\plaque 1/@07 EE2 488/G7_03.tif "/>
    <s v=" 61407.2709 "/>
    <s v=" 78.572 "/>
    <x v="0"/>
    <n v="4824894"/>
    <m/>
    <m/>
    <m/>
  </r>
  <r>
    <x v="7"/>
    <x v="7"/>
    <s v="D:\Images\20210706\plaque 1/@07 EE2 488/H7_01.tif "/>
    <s v=" 39842.2659 "/>
    <s v=" 83.5776 "/>
    <x v="0"/>
    <n v="3329922"/>
    <m/>
    <m/>
    <m/>
  </r>
  <r>
    <x v="7"/>
    <x v="7"/>
    <s v="D:\Images\20210706\plaque 1/@07 EE2 488/H7_02.tif "/>
    <s v=" 40880.5008 "/>
    <s v=" 84.5444 "/>
    <x v="0"/>
    <n v="3456219"/>
    <m/>
    <m/>
    <m/>
  </r>
  <r>
    <x v="7"/>
    <x v="7"/>
    <s v="D:\Images\20210706\plaque 1/@07 EE2 488/H7_03.tif "/>
    <s v=" 40729.0916 "/>
    <s v=" 83.8656 "/>
    <x v="0"/>
    <n v="3415771"/>
    <m/>
    <m/>
    <m/>
  </r>
  <r>
    <x v="1"/>
    <x v="8"/>
    <s v=" "/>
    <m/>
    <m/>
    <x v="1"/>
    <m/>
    <m/>
    <m/>
    <m/>
  </r>
  <r>
    <x v="1"/>
    <x v="8"/>
    <s v="group "/>
    <s v=" "/>
    <s v=" mean of mean fluo "/>
    <x v="2"/>
    <s v=" mean of total fluo "/>
    <s v=" SD total fluo "/>
    <s v=" n fluorescent "/>
    <s v=" n total"/>
  </r>
  <r>
    <x v="7"/>
    <x v="9"/>
    <s v="D:\Images\20210706\plaque 1/@07 EE2 488/ "/>
    <s v=" "/>
    <s v=" 87.7249 "/>
    <x v="9"/>
    <s v=" 4576494.58 "/>
    <s v=" 2087828.8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D:\Images\20210706\plaque 1/@08tam 30.2µg_L/A8_01.tif "/>
    <s v=" 2963.2956 "/>
    <s v=" 64.8029 "/>
    <x v="0"/>
    <n v="192030"/>
    <m/>
    <m/>
    <m/>
  </r>
  <r>
    <x v="8"/>
    <x v="0"/>
    <s v="D:\Images\20210706\plaque 1/@08tam 30.2µg_L/A8_02.tif "/>
    <s v=" 5234.4345 "/>
    <s v=" 65.438 "/>
    <x v="0"/>
    <n v="342531"/>
    <m/>
    <m/>
    <m/>
  </r>
  <r>
    <x v="8"/>
    <x v="0"/>
    <s v="D:\Images\20210706\plaque 1/@08tam 30.2µg_L/A8_03.tif "/>
    <s v=" 6791.7869 "/>
    <s v=" 66.1401 "/>
    <x v="0"/>
    <n v="449210"/>
    <m/>
    <m/>
    <m/>
  </r>
  <r>
    <x v="8"/>
    <x v="1"/>
    <s v="D:\Images\20210706\plaque 1/@08tam 30.2µg_L/B8_01.tif "/>
    <s v=" 4953.2459 "/>
    <s v=" 71.476 "/>
    <x v="0"/>
    <n v="354038"/>
    <m/>
    <m/>
    <m/>
  </r>
  <r>
    <x v="8"/>
    <x v="1"/>
    <s v="D:\Images\20210706\plaque 1/@08tam 30.2µg_L/B8_02.tif "/>
    <s v=" 1600.6122 "/>
    <s v=" 63.6216 "/>
    <x v="0"/>
    <n v="101834"/>
    <m/>
    <m/>
    <m/>
  </r>
  <r>
    <x v="8"/>
    <x v="1"/>
    <s v="D:\Images\20210706\plaque 1/@08tam 30.2µg_L/B8_03.tif "/>
    <s v=" 1816.9111 "/>
    <s v=" 64.5 "/>
    <x v="0"/>
    <n v="117191"/>
    <m/>
    <m/>
    <m/>
  </r>
  <r>
    <x v="8"/>
    <x v="2"/>
    <s v="D:\Images\20210706\plaque 1/@08tam 30.2µg_L/C8_01.tif "/>
    <s v=" 1232.904 "/>
    <s v=" 63.2105 "/>
    <x v="0"/>
    <n v="77933"/>
    <m/>
    <m/>
    <m/>
  </r>
  <r>
    <x v="8"/>
    <x v="2"/>
    <s v="D:\Images\20210706\plaque 1/@08tam 30.2µg_L/C8_02.tif "/>
    <s v=" 735.4164 "/>
    <s v=" 64.2059 "/>
    <x v="0"/>
    <n v="47218"/>
    <m/>
    <m/>
    <m/>
  </r>
  <r>
    <x v="8"/>
    <x v="2"/>
    <s v="D:\Images\20210706\plaque 1/@08tam 30.2µg_L/C8_03.tif "/>
    <s v=" 757.0463 "/>
    <s v=" 65.4286 "/>
    <x v="0"/>
    <n v="49532"/>
    <m/>
    <m/>
    <m/>
  </r>
  <r>
    <x v="8"/>
    <x v="3"/>
    <s v="D:\Images\20210706\plaque 1/@08tam 30.2µg_L/D8_01.tif "/>
    <s v=" 7051.3456 "/>
    <s v=" 68.9785 "/>
    <x v="0"/>
    <n v="486391"/>
    <m/>
    <m/>
    <m/>
  </r>
  <r>
    <x v="8"/>
    <x v="3"/>
    <s v="D:\Images\20210706\plaque 1/@08tam 30.2µg_L/D8_02.tif "/>
    <s v=" 4217.8295 "/>
    <s v=" 65.559 "/>
    <x v="0"/>
    <n v="276517"/>
    <m/>
    <m/>
    <m/>
  </r>
  <r>
    <x v="8"/>
    <x v="3"/>
    <s v="D:\Images\20210706\plaque 1/@08tam 30.2µg_L/D8_03.tif "/>
    <s v=" 4845.0964 "/>
    <s v=" 64.3527 "/>
    <x v="0"/>
    <n v="311795"/>
    <m/>
    <m/>
    <m/>
  </r>
  <r>
    <x v="8"/>
    <x v="4"/>
    <s v="D:\Images\20210706\plaque 1/@08tam 30.2µg_L/E8_01.tif "/>
    <s v=" 7440.6838 "/>
    <s v=" 72.2791 "/>
    <x v="0"/>
    <n v="537806"/>
    <m/>
    <m/>
    <m/>
  </r>
  <r>
    <x v="8"/>
    <x v="4"/>
    <s v="D:\Images\20210706\plaque 1/@08tam 30.2µg_L/E8_02.tif "/>
    <s v=" 8868.2568 "/>
    <s v=" 71.8463 "/>
    <x v="0"/>
    <n v="637152"/>
    <m/>
    <m/>
    <m/>
  </r>
  <r>
    <x v="8"/>
    <x v="4"/>
    <s v="D:\Images\20210706\plaque 1/@08tam 30.2µg_L/E8_03.tif "/>
    <s v=" 5645.4025 "/>
    <s v=" 68.908 "/>
    <x v="0"/>
    <n v="389014"/>
    <m/>
    <m/>
    <m/>
  </r>
  <r>
    <x v="8"/>
    <x v="5"/>
    <s v="D:\Images\20210706\plaque 1/@08tam 30.2µg_L/F8_01.tif "/>
    <s v=" 1600.6122 "/>
    <s v=" 63.2568 "/>
    <x v="0"/>
    <n v="101250"/>
    <m/>
    <m/>
    <m/>
  </r>
  <r>
    <x v="8"/>
    <x v="5"/>
    <s v="D:\Images\20210706\plaque 1/@08tam 30.2µg_L/F8_02.tif "/>
    <s v=" 1319.4236 "/>
    <s v=" 63.1311 "/>
    <x v="0"/>
    <n v="83297"/>
    <m/>
    <m/>
    <m/>
  </r>
  <r>
    <x v="8"/>
    <x v="5"/>
    <s v="D:\Images\20210706\plaque 1/@08tam 30.2µg_L/F8_03.tif "/>
    <s v=" 1881.8008 "/>
    <s v=" 64.2759 "/>
    <x v="0"/>
    <n v="120954"/>
    <m/>
    <m/>
    <m/>
  </r>
  <r>
    <x v="8"/>
    <x v="6"/>
    <s v="D:\Images\20210706\plaque 1/@08tam 30.2µg_L/G8_01.tif "/>
    <s v=" 1384.3133 "/>
    <s v=" 63.6562 "/>
    <x v="0"/>
    <n v="88120"/>
    <m/>
    <m/>
    <m/>
  </r>
  <r>
    <x v="8"/>
    <x v="6"/>
    <s v="D:\Images\20210706\plaque 1/@08tam 30.2µg_L/G8_02.tif "/>
    <s v=" 1730.3916 "/>
    <s v=" 66.1 "/>
    <x v="0"/>
    <n v="114379"/>
    <m/>
    <m/>
    <m/>
  </r>
  <r>
    <x v="8"/>
    <x v="6"/>
    <s v="D:\Images\20210706\plaque 1/@08tam 30.2µg_L/G8_03.tif "/>
    <s v=" 2357.6585 "/>
    <s v=" 63.6606 "/>
    <x v="0"/>
    <n v="150090"/>
    <m/>
    <m/>
    <m/>
  </r>
  <r>
    <x v="8"/>
    <x v="7"/>
    <s v="D:\Images\20210706\plaque 1/@08tam 30.2µg_L/H8_01.tif "/>
    <s v=" 605.637 "/>
    <s v=" 66.6786 "/>
    <x v="0"/>
    <n v="40383"/>
    <m/>
    <m/>
    <m/>
  </r>
  <r>
    <x v="8"/>
    <x v="7"/>
    <s v="D:\Images\20210706\plaque 1/@08tam 30.2µg_L/H8_02.tif "/>
    <s v=" 194.6691 "/>
    <s v=" 65.2222 "/>
    <x v="0"/>
    <n v="12697"/>
    <m/>
    <m/>
    <m/>
  </r>
  <r>
    <x v="8"/>
    <x v="7"/>
    <s v="D:\Images\20210706\plaque 1/@08tam 30.2µg_L/H8_03.tif "/>
    <s v=" 454.2278 "/>
    <s v=" 65.0476 "/>
    <x v="0"/>
    <n v="29546"/>
    <m/>
    <m/>
    <m/>
  </r>
  <r>
    <x v="1"/>
    <x v="8"/>
    <s v=" "/>
    <m/>
    <m/>
    <x v="1"/>
    <m/>
    <m/>
    <m/>
    <m/>
  </r>
  <r>
    <x v="1"/>
    <x v="8"/>
    <s v="group "/>
    <s v=" "/>
    <s v=" mean of mean fluo "/>
    <x v="2"/>
    <s v=" mean of total fluo "/>
    <s v=" SD total fluo "/>
    <s v=" n fluorescent "/>
    <s v=" n total"/>
  </r>
  <r>
    <x v="8"/>
    <x v="9"/>
    <s v="D:\Images\20210706\plaque 1/@08tam 30.2µg_L/ "/>
    <s v=" "/>
    <s v=" 65.9073 "/>
    <x v="10"/>
    <s v=" 212954.5 "/>
    <s v=" 182071.22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D:\Images\20210706\plaque 1/@09 tam 60.4µg_L/A9_01.tif "/>
    <s v=" 821.936 "/>
    <s v=" 64.5 "/>
    <x v="0"/>
    <n v="53015"/>
    <m/>
    <m/>
    <m/>
  </r>
  <r>
    <x v="9"/>
    <x v="0"/>
    <s v="D:\Images\20210706\plaque 1/@09 tam 60.4µg_L/A9_02.tif "/>
    <s v=" 1146.3844 "/>
    <s v=" 63.7736 "/>
    <x v="0"/>
    <n v="73109"/>
    <m/>
    <m/>
    <m/>
  </r>
  <r>
    <x v="9"/>
    <x v="0"/>
    <s v="D:\Images\20210706\plaque 1/@09 tam 60.4µg_L/A9_03.tif "/>
    <s v=" 843.5659 "/>
    <s v=" 63.3077 "/>
    <x v="0"/>
    <n v="53404"/>
    <m/>
    <m/>
    <m/>
  </r>
  <r>
    <x v="9"/>
    <x v="1"/>
    <s v="D:\Images\20210706\plaque 1/@09 tam 60.4µg_L/B9_01.tif "/>
    <s v=" 11550.3637 "/>
    <s v=" 66.6573 "/>
    <x v="0"/>
    <n v="769916"/>
    <m/>
    <m/>
    <m/>
  </r>
  <r>
    <x v="9"/>
    <x v="1"/>
    <s v="D:\Images\20210706\plaque 1/@09 tam 60.4µg_L/B9_02.tif "/>
    <s v=" 6359.189 "/>
    <s v=" 65.6701 "/>
    <x v="0"/>
    <n v="417608"/>
    <m/>
    <m/>
    <m/>
  </r>
  <r>
    <x v="9"/>
    <x v="1"/>
    <s v="D:\Images\20210706\plaque 1/@09 tam 60.4µg_L/B9_03.tif "/>
    <s v=" 20634.9195 "/>
    <s v=" 75.0241 "/>
    <x v="0"/>
    <n v="1548116"/>
    <m/>
    <m/>
    <m/>
  </r>
  <r>
    <x v="9"/>
    <x v="2"/>
    <s v="D:\Images\20210706\plaque 1/@09 tam 60.4µg_L/C9_01.tif "/>
    <s v=" 5796.8118 "/>
    <s v=" 64.7687 "/>
    <x v="0"/>
    <n v="375452"/>
    <m/>
    <m/>
    <m/>
  </r>
  <r>
    <x v="9"/>
    <x v="2"/>
    <s v="D:\Images\20210706\plaque 1/@09 tam 60.4µg_L/C9_02.tif "/>
    <s v=" 5407.4737 "/>
    <s v=" 63.768 "/>
    <x v="0"/>
    <n v="344824"/>
    <m/>
    <m/>
    <m/>
  </r>
  <r>
    <x v="9"/>
    <x v="2"/>
    <s v="D:\Images\20210706\plaque 1/@09 tam 60.4µg_L/C9_03.tif "/>
    <s v=" 2379.2884 "/>
    <s v=" 63.2909 "/>
    <x v="0"/>
    <n v="150587"/>
    <m/>
    <m/>
    <m/>
  </r>
  <r>
    <x v="9"/>
    <x v="3"/>
    <s v="D:\Images\20210706\plaque 1/@09 tam 60.4µg_L/D9_01.tif "/>
    <s v=" 2682.1069 "/>
    <s v=" 64.4516 "/>
    <x v="0"/>
    <n v="172866"/>
    <m/>
    <m/>
    <m/>
  </r>
  <r>
    <x v="9"/>
    <x v="3"/>
    <s v="D:\Images\20210706\plaque 1/@09 tam 60.4µg_L/D9_02.tif "/>
    <s v=" 1989.9503 "/>
    <s v=" 65.3804 "/>
    <x v="0"/>
    <n v="130104"/>
    <m/>
    <m/>
    <m/>
  </r>
  <r>
    <x v="9"/>
    <x v="3"/>
    <s v="D:\Images\20210706\plaque 1/@09 tam 60.4µg_L/D9_03.tif "/>
    <s v=" 1081.4947 "/>
    <s v=" 62.62 "/>
    <x v="0"/>
    <n v="67723"/>
    <m/>
    <m/>
    <m/>
  </r>
  <r>
    <x v="9"/>
    <x v="4"/>
    <s v="D:\Images\20210706\plaque 1/@09 tam 60.4µg_L/E9_01.tif "/>
    <s v=" 3525.6728 "/>
    <s v=" 65.1595 "/>
    <x v="0"/>
    <n v="229731"/>
    <m/>
    <m/>
    <m/>
  </r>
  <r>
    <x v="9"/>
    <x v="4"/>
    <s v="D:\Images\20210706\plaque 1/@09 tam 60.4µg_L/E9_02.tif "/>
    <s v=" 4953.2459 "/>
    <s v=" 66.3275 "/>
    <x v="0"/>
    <n v="328536"/>
    <m/>
    <m/>
    <m/>
  </r>
  <r>
    <x v="9"/>
    <x v="4"/>
    <s v="D:\Images\20210706\plaque 1/@09 tam 60.4µg_L/E9_03.tif "/>
    <s v=" 2227.8791 "/>
    <s v=" 63.6408 "/>
    <x v="0"/>
    <n v="141784"/>
    <m/>
    <m/>
    <m/>
  </r>
  <r>
    <x v="9"/>
    <x v="5"/>
    <s v="D:\Images\20210706\plaque 1/@09 tam 60.4µg_L/F9_01.tif "/>
    <s v=" 1081.4947 "/>
    <s v=" 65.96 "/>
    <x v="0"/>
    <n v="71335"/>
    <m/>
    <m/>
    <m/>
  </r>
  <r>
    <x v="9"/>
    <x v="5"/>
    <s v="D:\Images\20210706\plaque 1/@09 tam 60.4µg_L/F9_02.tif "/>
    <s v=" 886.8257 "/>
    <s v=" 63.0976 "/>
    <x v="0"/>
    <n v="55957"/>
    <m/>
    <m/>
    <m/>
  </r>
  <r>
    <x v="9"/>
    <x v="5"/>
    <s v="D:\Images\20210706\plaque 1/@09 tam 60.4µg_L/F9_03.tif "/>
    <s v=" 1189.6442 "/>
    <s v=" 64.5455 "/>
    <x v="0"/>
    <n v="76786"/>
    <m/>
    <m/>
    <m/>
  </r>
  <r>
    <x v="9"/>
    <x v="6"/>
    <s v="D:\Images\20210706\plaque 1/@09 tam 60.4µg_L/G9_01.tif "/>
    <s v=" 4239.4593 "/>
    <s v=" 64.7653 "/>
    <x v="0"/>
    <n v="274570"/>
    <m/>
    <m/>
    <m/>
  </r>
  <r>
    <x v="9"/>
    <x v="6"/>
    <s v="D:\Images\20210706\plaque 1/@09 tam 60.4µg_L/G9_02.tif "/>
    <s v=" 11896.442 "/>
    <s v=" 76.1127 "/>
    <x v="0"/>
    <n v="905471"/>
    <m/>
    <m/>
    <m/>
  </r>
  <r>
    <x v="9"/>
    <x v="6"/>
    <s v="D:\Images\20210706\plaque 1/@09 tam 60.4µg_L/G9_03.tif "/>
    <s v=" 14729.9582 "/>
    <s v=" 71.5286 "/>
    <x v="0"/>
    <n v="1053614"/>
    <m/>
    <m/>
    <m/>
  </r>
  <r>
    <x v="9"/>
    <x v="7"/>
    <s v="D:\Images\20210706\plaque 1/@09 tam 60.4µg_L/H9_01.tif "/>
    <s v=" 6056.3705 "/>
    <s v=" 64.3214 "/>
    <x v="0"/>
    <n v="389554"/>
    <m/>
    <m/>
    <m/>
  </r>
  <r>
    <x v="9"/>
    <x v="7"/>
    <s v="D:\Images\20210706\plaque 1/@09 tam 60.4µg_L/H9_02.tif "/>
    <s v=" 3893.381 "/>
    <s v=" 63.7889 "/>
    <x v="0"/>
    <n v="248354"/>
    <m/>
    <m/>
    <m/>
  </r>
  <r>
    <x v="9"/>
    <x v="7"/>
    <s v="D:\Images\20210706\plaque 1/@09 tam 60.4µg_L/H9_03.tif "/>
    <s v=" 4325.9789 "/>
    <s v=" 64.33 "/>
    <x v="0"/>
    <n v="278290"/>
    <m/>
    <m/>
    <m/>
  </r>
  <r>
    <x v="1"/>
    <x v="8"/>
    <s v=" "/>
    <m/>
    <m/>
    <x v="1"/>
    <m/>
    <m/>
    <m/>
    <m/>
  </r>
  <r>
    <x v="1"/>
    <x v="8"/>
    <s v="group "/>
    <s v=" "/>
    <s v=" mean of mean fluo "/>
    <x v="2"/>
    <s v=" mean of total fluo "/>
    <s v=" SD total fluo "/>
    <s v=" n fluorescent "/>
    <s v=" n total"/>
  </r>
  <r>
    <x v="9"/>
    <x v="9"/>
    <s v="D:\Images\20210706\plaque 1/@09 tam 60.4µg_L/ "/>
    <s v=" "/>
    <s v=" 65.6996 "/>
    <x v="11"/>
    <s v=" 342112.75 "/>
    <s v=" 372475.15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D:\Images\20210706\plaque 1/@10 tam 121µg_L/A10_01.tif "/>
    <s v=" 7613.7229 "/>
    <s v=" 67.4006 "/>
    <x v="0"/>
    <n v="513169"/>
    <m/>
    <m/>
    <m/>
  </r>
  <r>
    <x v="10"/>
    <x v="0"/>
    <s v="D:\Images\20210706\plaque 1/@10 tam 121µg_L/A10_02.tif "/>
    <s v=" 4044.7903 "/>
    <s v=" 64.0053 "/>
    <x v="0"/>
    <n v="258888"/>
    <m/>
    <m/>
    <m/>
  </r>
  <r>
    <x v="10"/>
    <x v="0"/>
    <s v="D:\Images\20210706\plaque 1/@10 tam 121µg_L/A10_03.tif "/>
    <s v=" 1838.541 "/>
    <s v=" 64.3294 "/>
    <x v="0"/>
    <n v="118272"/>
    <m/>
    <m/>
    <m/>
  </r>
  <r>
    <x v="10"/>
    <x v="1"/>
    <s v="D:\Images\20210706\plaque 1/@10 tam 121µg_L/B10_01.tif "/>
    <s v=" 973.3453 "/>
    <s v=" 63.1333 "/>
    <x v="0"/>
    <n v="61451"/>
    <m/>
    <m/>
    <m/>
  </r>
  <r>
    <x v="10"/>
    <x v="1"/>
    <s v="D:\Images\20210706\plaque 1/@10 tam 121µg_L/B10_02.tif "/>
    <s v=" 757.0463 "/>
    <s v=" 63.5429 "/>
    <x v="0"/>
    <n v="48105"/>
    <m/>
    <m/>
    <m/>
  </r>
  <r>
    <x v="10"/>
    <x v="1"/>
    <s v="D:\Images\20210706\plaque 1/@10 tam 121µg_L/B10_03.tif "/>
    <s v=" 1427.573 "/>
    <s v=" 63.4697 "/>
    <x v="0"/>
    <n v="90608"/>
    <m/>
    <m/>
    <m/>
  </r>
  <r>
    <x v="10"/>
    <x v="2"/>
    <s v="D:\Images\20210706\plaque 1/@10 tam 121µg_L/C10_01.tif "/>
    <s v=" 4282.7191 "/>
    <s v=" 63.202 "/>
    <x v="0"/>
    <n v="270677"/>
    <m/>
    <m/>
    <m/>
  </r>
  <r>
    <x v="10"/>
    <x v="2"/>
    <s v="D:\Images\20210706\plaque 1/@10 tam 121µg_L/C10_02.tif "/>
    <s v=" 1081.4947 "/>
    <s v=" 63.16 "/>
    <x v="0"/>
    <n v="68307"/>
    <m/>
    <m/>
    <m/>
  </r>
  <r>
    <x v="10"/>
    <x v="2"/>
    <s v="D:\Images\20210706\plaque 1/@10 tam 121µg_L/C10_03.tif "/>
    <s v=" 4347.6088 "/>
    <s v=" 64.0547 "/>
    <x v="0"/>
    <n v="278485"/>
    <m/>
    <m/>
    <m/>
  </r>
  <r>
    <x v="10"/>
    <x v="3"/>
    <s v="D:\Images\20210706\plaque 1/@10 tam 121µg_L/D10_01.tif "/>
    <s v=" 4282.7191 "/>
    <s v=" 66.0657 "/>
    <x v="0"/>
    <n v="282941"/>
    <m/>
    <m/>
    <m/>
  </r>
  <r>
    <x v="10"/>
    <x v="3"/>
    <s v="D:\Images\20210706\plaque 1/@10 tam 121µg_L/D10_02.tif "/>
    <s v=" 5580.5128 "/>
    <s v=" 67.3101 "/>
    <x v="0"/>
    <n v="375625"/>
    <m/>
    <m/>
    <m/>
  </r>
  <r>
    <x v="10"/>
    <x v="3"/>
    <s v="D:\Images\20210706\plaque 1/@10 tam 121µg_L/D10_03.tif "/>
    <s v=" 1146.3844 "/>
    <s v=" 64.0943 "/>
    <x v="0"/>
    <n v="73477"/>
    <m/>
    <m/>
    <m/>
  </r>
  <r>
    <x v="10"/>
    <x v="4"/>
    <s v="D:\Images\20210706\plaque 1/@10 tam 121µg_L/E10_01.tif "/>
    <s v=" 605.637 "/>
    <s v=" 63.3571 "/>
    <x v="0"/>
    <n v="38371"/>
    <m/>
    <m/>
    <m/>
  </r>
  <r>
    <x v="10"/>
    <x v="4"/>
    <s v="D:\Images\20210706\plaque 1/@10 tam 121µg_L/E10_02.tif "/>
    <s v=" 3309.3739 "/>
    <s v=" 66.1503 "/>
    <x v="0"/>
    <n v="218916"/>
    <m/>
    <m/>
    <m/>
  </r>
  <r>
    <x v="10"/>
    <x v="4"/>
    <s v="D:\Images\20210706\plaque 1/@10 tam 121µg_L/E10_03.tif "/>
    <s v=" 1557.3524 "/>
    <s v=" 63.8194 "/>
    <x v="0"/>
    <n v="99389"/>
    <m/>
    <m/>
    <m/>
  </r>
  <r>
    <x v="10"/>
    <x v="5"/>
    <s v="D:\Images\20210706\plaque 1/@10 tam 121µg_L/F10_01.tif "/>
    <s v=" 432.5979 "/>
    <s v=" 64.7 "/>
    <x v="0"/>
    <n v="27989"/>
    <m/>
    <m/>
    <m/>
  </r>
  <r>
    <x v="10"/>
    <x v="5"/>
    <s v="D:\Images\20210706\plaque 1/@10 tam 121µg_L/F10_02.tif "/>
    <s v=" 432.5979 "/>
    <s v=" 63.65 "/>
    <x v="0"/>
    <n v="27535"/>
    <m/>
    <m/>
    <m/>
  </r>
  <r>
    <x v="10"/>
    <x v="5"/>
    <s v="D:\Images\20210706\plaque 1/@10 tam 121µg_L/F10_03.tif "/>
    <s v=" 497.4876 "/>
    <s v=" 64.913 "/>
    <x v="0"/>
    <n v="32293"/>
    <m/>
    <m/>
    <m/>
  </r>
  <r>
    <x v="10"/>
    <x v="6"/>
    <s v="D:\Images\20210706\plaque 1/@10 tam 121µg_L/G10_01.tif "/>
    <s v=" 1903.4307 "/>
    <s v=" 64.2273 "/>
    <x v="0"/>
    <n v="122252"/>
    <m/>
    <m/>
    <m/>
  </r>
  <r>
    <x v="10"/>
    <x v="6"/>
    <s v="D:\Images\20210706\plaque 1/@10 tam 121µg_L/G10_02.tif "/>
    <s v=" 3244.4842 "/>
    <s v=" 66.12 "/>
    <x v="0"/>
    <n v="214525"/>
    <m/>
    <m/>
    <m/>
  </r>
  <r>
    <x v="10"/>
    <x v="6"/>
    <s v="D:\Images\20210706\plaque 1/@10 tam 121µg_L/G10_03.tif "/>
    <s v=" 2790.2564 "/>
    <s v=" 64.8992 "/>
    <x v="0"/>
    <n v="181085"/>
    <m/>
    <m/>
    <m/>
  </r>
  <r>
    <x v="10"/>
    <x v="7"/>
    <s v="D:\Images\20210706\plaque 1/@10 tam 121µg_L/H10_01.tif "/>
    <s v=" 1687.1318 "/>
    <n v="66"/>
    <x v="0"/>
    <n v="111351"/>
    <m/>
    <m/>
    <m/>
  </r>
  <r>
    <x v="10"/>
    <x v="7"/>
    <s v="D:\Images\20210706\plaque 1/@10 tam 121µg_L/H10_02.tif "/>
    <s v=" 4152.9398 "/>
    <s v=" 69.4531 "/>
    <x v="0"/>
    <n v="288435"/>
    <m/>
    <m/>
    <m/>
  </r>
  <r>
    <x v="10"/>
    <x v="7"/>
    <s v="D:\Images\20210706\plaque 1/@10 tam 121µg_L/H10_03.tif "/>
    <s v=" 1492.4627 "/>
    <s v=" 63.7681 "/>
    <x v="0"/>
    <n v="95172"/>
    <m/>
    <m/>
    <m/>
  </r>
  <r>
    <x v="1"/>
    <x v="8"/>
    <s v=" "/>
    <m/>
    <m/>
    <x v="1"/>
    <m/>
    <m/>
    <m/>
    <m/>
  </r>
  <r>
    <x v="1"/>
    <x v="8"/>
    <s v="group "/>
    <s v=" "/>
    <s v=" mean of mean fluo "/>
    <x v="2"/>
    <s v=" mean of total fluo "/>
    <s v=" SD total fluo "/>
    <s v=" n fluorescent "/>
    <s v=" n total"/>
  </r>
  <r>
    <x v="10"/>
    <x v="9"/>
    <s v="D:\Images\20210706\plaque 1/@10 tam 121µg_L/ "/>
    <s v=" "/>
    <s v=" 64.7844 "/>
    <x v="12"/>
    <s v=" 162388.25 "/>
    <s v=" 126504.5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D:\Images\20210706\plaque 1/@11 tam 242µg_L/A11_01- exclu.tif"/>
    <m/>
    <m/>
    <x v="1"/>
    <m/>
    <m/>
    <m/>
    <m/>
  </r>
  <r>
    <x v="11"/>
    <x v="0"/>
    <s v="D:\Images\20210706\plaque 1/@11 tam 242µg_L/A11_02- exclu.tif"/>
    <m/>
    <m/>
    <x v="1"/>
    <m/>
    <m/>
    <m/>
    <m/>
  </r>
  <r>
    <x v="11"/>
    <x v="0"/>
    <s v="D:\Images\20210706\plaque 1/@11 tam 242µg_L/A11_03- exclu.tif"/>
    <m/>
    <m/>
    <x v="1"/>
    <m/>
    <m/>
    <m/>
    <m/>
  </r>
  <r>
    <x v="11"/>
    <x v="1"/>
    <s v="D:\Images\20210706\plaque 1/@11 tam 242µg_L/B11_01- exclu.tif"/>
    <m/>
    <m/>
    <x v="1"/>
    <m/>
    <m/>
    <m/>
    <m/>
  </r>
  <r>
    <x v="11"/>
    <x v="1"/>
    <s v="D:\Images\20210706\plaque 1/@11 tam 242µg_L/B11_02.tif "/>
    <s v=" 735.4164 "/>
    <s v=" 63.1176 "/>
    <x v="0"/>
    <n v="46418"/>
    <m/>
    <m/>
    <m/>
  </r>
  <r>
    <x v="11"/>
    <x v="1"/>
    <s v="D:\Images\20210706\plaque 1/@11 tam 242µg_L/B11_03.tif "/>
    <s v=" 1016.605 "/>
    <s v=" 63.4255 "/>
    <x v="0"/>
    <n v="64479"/>
    <m/>
    <m/>
    <m/>
  </r>
  <r>
    <x v="11"/>
    <x v="2"/>
    <s v="D:\Images\20210706\plaque 1/@11 tam 242µg_L/C11_01.tif "/>
    <s v=" 2098.0998 "/>
    <s v=" 63.4021 "/>
    <x v="0"/>
    <n v="133024"/>
    <m/>
    <m/>
    <m/>
  </r>
  <r>
    <x v="11"/>
    <x v="2"/>
    <s v="D:\Images\20210706\plaque 1/@11 tam 242µg_L/C11_02.tif "/>
    <s v=" 1860.1709 "/>
    <s v=" 64.3605 "/>
    <x v="0"/>
    <n v="119721"/>
    <m/>
    <m/>
    <m/>
  </r>
  <r>
    <x v="11"/>
    <x v="2"/>
    <s v="D:\Images\20210706\plaque 1/@11 tam 242µg_L/C11_03.tif "/>
    <s v=" 2422.5482 "/>
    <s v=" 63.5357 "/>
    <x v="0"/>
    <n v="153918"/>
    <m/>
    <m/>
    <m/>
  </r>
  <r>
    <x v="11"/>
    <x v="3"/>
    <s v="D:\Images\20210706\plaque 1/@11 tam 242µg_L/D11_01.tif "/>
    <s v=" 2682.1069 "/>
    <s v=" 63.871 "/>
    <x v="0"/>
    <n v="171309"/>
    <m/>
    <m/>
    <m/>
  </r>
  <r>
    <x v="11"/>
    <x v="3"/>
    <s v="D:\Images\20210706\plaque 1/@11 tam 242µg_L/D11_02.tif "/>
    <s v=" 3633.8223 "/>
    <s v=" 63.9464 "/>
    <x v="0"/>
    <n v="232370"/>
    <m/>
    <m/>
    <m/>
  </r>
  <r>
    <x v="11"/>
    <x v="3"/>
    <s v="D:\Images\20210706\plaque 1/@11 tam 242µg_L/D11_03.tif "/>
    <s v=" 3093.0749 "/>
    <s v=" 63.6713 "/>
    <x v="0"/>
    <n v="196940"/>
    <m/>
    <m/>
    <m/>
  </r>
  <r>
    <x v="11"/>
    <x v="4"/>
    <s v="D:\Images\20210706\plaque 1/@11 tam 242µg_L/E11_01.tif "/>
    <s v=" 7786.7621 "/>
    <s v=" 64.275 "/>
    <x v="0"/>
    <n v="500494"/>
    <m/>
    <m/>
    <m/>
  </r>
  <r>
    <x v="11"/>
    <x v="4"/>
    <s v="D:\Images\20210706\plaque 1/@11 tam 242µg_L/E11_02.tif "/>
    <s v=" 7786.7621 "/>
    <s v=" 64.6556 "/>
    <x v="0"/>
    <n v="503457"/>
    <m/>
    <m/>
    <m/>
  </r>
  <r>
    <x v="11"/>
    <x v="4"/>
    <s v="D:\Images\20210706\plaque 1/@11 tam 242µg_L/E11_03.tif "/>
    <s v=" 2336.0286 "/>
    <s v=" 62.9907 "/>
    <x v="0"/>
    <n v="147148"/>
    <m/>
    <m/>
    <m/>
  </r>
  <r>
    <x v="11"/>
    <x v="5"/>
    <s v="D:\Images\20210706\plaque 1/@11 tam 242µg_L/F11_01.tif "/>
    <s v=" 1038.2349 "/>
    <s v=" 63.375 "/>
    <x v="0"/>
    <n v="65798"/>
    <m/>
    <m/>
    <m/>
  </r>
  <r>
    <x v="11"/>
    <x v="5"/>
    <s v="D:\Images\20210706\plaque 1/@11 tam 242µg_L/F11_02.tif "/>
    <s v=" 1405.9432 "/>
    <s v=" 63.7231 "/>
    <x v="0"/>
    <n v="89591"/>
    <m/>
    <m/>
    <m/>
  </r>
  <r>
    <x v="11"/>
    <x v="5"/>
    <s v="D:\Images\20210706\plaque 1/@11 tam 242µg_L/F11_03.tif "/>
    <s v=" 2076.4699 "/>
    <s v=" 65.0833 "/>
    <x v="0"/>
    <n v="135144"/>
    <m/>
    <m/>
    <m/>
  </r>
  <r>
    <x v="11"/>
    <x v="6"/>
    <s v="D:\Images\20210706\plaque 1/@11 tam 242µg_L/G11_01.tif "/>
    <s v=" 6013.1107 "/>
    <s v=" 67.9928 "/>
    <x v="0"/>
    <n v="408848"/>
    <m/>
    <m/>
    <m/>
  </r>
  <r>
    <x v="11"/>
    <x v="6"/>
    <s v="D:\Images\20210706\plaque 1/@11 tam 242µg_L/G11_02.tif "/>
    <s v=" 6856.6766 "/>
    <s v=" 71.0568 "/>
    <x v="0"/>
    <n v="487213"/>
    <m/>
    <m/>
    <m/>
  </r>
  <r>
    <x v="11"/>
    <x v="6"/>
    <s v="D:\Images\20210706\plaque 1/@11 tam 242µg_L/G11_03.tif "/>
    <s v=" 1708.7617 "/>
    <s v=" 62.962 "/>
    <x v="0"/>
    <n v="107587"/>
    <m/>
    <m/>
    <m/>
  </r>
  <r>
    <x v="11"/>
    <x v="7"/>
    <s v="D:\Images\20210706\plaque 1/@11 tam 242µg_L/H11_01.tif "/>
    <s v=" 2530.6977 "/>
    <s v=" 63.7436 "/>
    <x v="0"/>
    <n v="161316"/>
    <m/>
    <m/>
    <m/>
  </r>
  <r>
    <x v="11"/>
    <x v="7"/>
    <s v="D:\Images\20210706\plaque 1/@11 tam 242µg_L/H11_02.tif "/>
    <s v=" 3417.5234 "/>
    <s v=" 65.1772 "/>
    <x v="0"/>
    <n v="222745"/>
    <m/>
    <m/>
    <m/>
  </r>
  <r>
    <x v="11"/>
    <x v="7"/>
    <s v="D:\Images\20210706\plaque 1/@11 tam 242µg_L/H11_03.tif "/>
    <s v=" 4672.0572 "/>
    <s v=" 68.1204 "/>
    <x v="0"/>
    <n v="318262"/>
    <m/>
    <m/>
    <m/>
  </r>
  <r>
    <x v="1"/>
    <x v="8"/>
    <s v=" "/>
    <m/>
    <m/>
    <x v="1"/>
    <m/>
    <m/>
    <m/>
    <m/>
  </r>
  <r>
    <x v="1"/>
    <x v="8"/>
    <s v="group "/>
    <s v=" "/>
    <s v=" mean of mean fluo "/>
    <x v="2"/>
    <s v=" mean of total fluo "/>
    <s v=" SD total fluo "/>
    <s v=" n fluorescent "/>
    <s v=" n total"/>
  </r>
  <r>
    <x v="11"/>
    <x v="9"/>
    <s v="D:\Images\20210706\plaque 1/@11 tam 242µg_L/ "/>
    <s v=" "/>
    <s v=" 64.6778 "/>
    <x v="13"/>
    <s v=" 180794.375 "/>
    <s v=" 154773.59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D:\Images\20210706\plaque 1/@12 tam 483µg_L/A12_01.tif "/>
    <s v=" 4109.68 "/>
    <s v=" 63.3211 "/>
    <x v="0"/>
    <n v="260229"/>
    <m/>
    <m/>
    <m/>
  </r>
  <r>
    <x v="12"/>
    <x v="0"/>
    <s v="D:\Images\20210706\plaque 1/@12 tam 483µg_L/A12_02.tif "/>
    <s v=" 2357.6585 "/>
    <s v=" 63.578 "/>
    <x v="0"/>
    <n v="149895"/>
    <m/>
    <m/>
    <m/>
  </r>
  <r>
    <x v="12"/>
    <x v="0"/>
    <s v="D:\Images\20210706\plaque 1/@12 tam 483µg_L/A12_03.tif "/>
    <s v=" 3093.0749 "/>
    <s v=" 63.6573 "/>
    <x v="0"/>
    <n v="196897"/>
    <m/>
    <m/>
    <m/>
  </r>
  <r>
    <x v="12"/>
    <x v="1"/>
    <s v="D:\Images\20210706\plaque 1/@12 tam 483µg_L/B12_01.tif "/>
    <s v=" 14102.6913 "/>
    <s v=" 64.9248 "/>
    <x v="0"/>
    <n v="915615"/>
    <m/>
    <m/>
    <m/>
  </r>
  <r>
    <x v="12"/>
    <x v="1"/>
    <s v="D:\Images\20210706\plaque 1/@12 tam 483µg_L/B12_02.tif "/>
    <s v=" 4758.5768 "/>
    <s v=" 63.6682 "/>
    <x v="0"/>
    <n v="302970"/>
    <m/>
    <m/>
    <m/>
  </r>
  <r>
    <x v="12"/>
    <x v="1"/>
    <s v="D:\Images\20210706\plaque 1/@12 tam 483µg_L/B12_03.tif "/>
    <s v=" 7527.2033 "/>
    <s v=" 64.1523 "/>
    <x v="0"/>
    <n v="482887"/>
    <m/>
    <m/>
    <m/>
  </r>
  <r>
    <x v="12"/>
    <x v="2"/>
    <s v="D:\Images\20210706\plaque 1/@12 tam 483µg_L/C12_01.tif "/>
    <s v=" 7137.8652 "/>
    <s v=" 65.1606 "/>
    <x v="0"/>
    <n v="465108"/>
    <m/>
    <m/>
    <m/>
  </r>
  <r>
    <x v="12"/>
    <x v="2"/>
    <s v="D:\Images\20210706\plaque 1/@12 tam 483µg_L/C12_02.tif "/>
    <s v=" 13259.1254 "/>
    <s v=" 67.4502 "/>
    <x v="0"/>
    <n v="894331"/>
    <m/>
    <m/>
    <m/>
  </r>
  <r>
    <x v="12"/>
    <x v="2"/>
    <s v="D:\Images\20210706\plaque 1/@12 tam 483µg_L/C12_03.tif "/>
    <s v=" 9344.1145 "/>
    <s v=" 64.206 "/>
    <x v="0"/>
    <n v="599948"/>
    <m/>
    <m/>
    <m/>
  </r>
  <r>
    <x v="12"/>
    <x v="3"/>
    <s v="D:\Images\20210706\plaque 1/@12 tam 483µg_L/D12_01.tif "/>
    <s v=" 1816.9111 "/>
    <s v=" 63.4762 "/>
    <x v="0"/>
    <n v="115331"/>
    <m/>
    <m/>
    <m/>
  </r>
  <r>
    <x v="12"/>
    <x v="3"/>
    <s v="D:\Images\20210706\plaque 1/@12 tam 483µg_L/D12_02.tif "/>
    <s v=" 11701.773 "/>
    <s v=" 64.9593 "/>
    <x v="0"/>
    <n v="760139"/>
    <m/>
    <m/>
    <m/>
  </r>
  <r>
    <x v="12"/>
    <x v="3"/>
    <s v="D:\Images\20210706\plaque 1/@12 tam 483µg_L/D12_03.tif "/>
    <s v=" 8954.7764 "/>
    <s v=" 64.7826 "/>
    <x v="0"/>
    <n v="580114"/>
    <m/>
    <m/>
    <m/>
  </r>
  <r>
    <x v="12"/>
    <x v="4"/>
    <s v="D:\Images\20210706\plaque 1/@12 tam 483µg_L/E12_01.tif "/>
    <s v=" 20288.8412 "/>
    <s v=" 64.8582 "/>
    <x v="0"/>
    <n v="1315898"/>
    <m/>
    <m/>
    <m/>
  </r>
  <r>
    <x v="12"/>
    <x v="4"/>
    <s v="D:\Images\20210706\plaque 1/@12 tam 483µg_L/E12_02.tif "/>
    <s v=" 19618.3144 "/>
    <s v=" 64.8082 "/>
    <x v="0"/>
    <n v="1271427"/>
    <m/>
    <m/>
    <m/>
  </r>
  <r>
    <x v="12"/>
    <x v="4"/>
    <s v="D:\Images\20210706\plaque 1/@12 tam 483µg_L/E12_03.tif "/>
    <s v=" 21240.5565 "/>
    <s v=" 64.6914 "/>
    <x v="0"/>
    <n v="1374082"/>
    <m/>
    <m/>
    <m/>
  </r>
  <r>
    <x v="12"/>
    <x v="5"/>
    <s v="D:\Images\20210706\plaque 1/@12 tam 483µg_L/F12_01.tif "/>
    <s v=" 2054.84 "/>
    <s v=" 63.2 "/>
    <x v="0"/>
    <n v="129866"/>
    <m/>
    <m/>
    <m/>
  </r>
  <r>
    <x v="12"/>
    <x v="5"/>
    <s v="D:\Images\20210706\plaque 1/@12 tam 483µg_L/F12_02.tif "/>
    <s v=" 3568.9326 "/>
    <s v=" 63.3273 "/>
    <x v="0"/>
    <n v="226011"/>
    <m/>
    <m/>
    <m/>
  </r>
  <r>
    <x v="12"/>
    <x v="5"/>
    <s v="D:\Images\20210706\plaque 1/@12 tam 483µg_L/F12_03.tif "/>
    <s v=" 1622.2421 "/>
    <s v=" 63.48 "/>
    <x v="0"/>
    <n v="102980"/>
    <m/>
    <m/>
    <m/>
  </r>
  <r>
    <x v="12"/>
    <x v="6"/>
    <s v="D:\Images\20210706\plaque 1/@12 tam 483µg_L/G12_01.tif "/>
    <s v=" 19055.9372 "/>
    <s v=" 65.7707 "/>
    <x v="0"/>
    <n v="1253323"/>
    <m/>
    <m/>
    <m/>
  </r>
  <r>
    <x v="12"/>
    <x v="6"/>
    <s v="D:\Images\20210706\plaque 1/@12 tam 483µg_L/G12_02.tif "/>
    <s v=" 20245.5814 "/>
    <s v=" 65.8056 "/>
    <x v="0"/>
    <n v="1332272"/>
    <m/>
    <m/>
    <m/>
  </r>
  <r>
    <x v="12"/>
    <x v="6"/>
    <s v="D:\Images\20210706\plaque 1/@12 tam 483µg_L/G12_03- exclu.tif"/>
    <m/>
    <m/>
    <x v="1"/>
    <m/>
    <m/>
    <m/>
    <m/>
  </r>
  <r>
    <x v="12"/>
    <x v="7"/>
    <s v="D:\Images\20210706\plaque 1/@12 tam 483µg_L/H12_01.tif "/>
    <s v=" 3179.5945 "/>
    <s v=" 63.7755 "/>
    <x v="0"/>
    <n v="202780"/>
    <m/>
    <m/>
    <m/>
  </r>
  <r>
    <x v="12"/>
    <x v="7"/>
    <s v="D:\Images\20210706\plaque 1/@12 tam 483µg_L/H12_02- exclu.tif"/>
    <m/>
    <m/>
    <x v="1"/>
    <m/>
    <m/>
    <m/>
    <m/>
  </r>
  <r>
    <x v="12"/>
    <x v="7"/>
    <s v="D:\Images\20210706\plaque 1/@12 tam 483µg_L/H12_03.tif "/>
    <s v=" 1989.9503 "/>
    <s v=" 64.0761 "/>
    <x v="0"/>
    <n v="127508"/>
    <m/>
    <m/>
    <m/>
  </r>
  <r>
    <x v="1"/>
    <x v="8"/>
    <s v=" "/>
    <m/>
    <m/>
    <x v="1"/>
    <m/>
    <m/>
    <m/>
    <m/>
  </r>
  <r>
    <x v="1"/>
    <x v="8"/>
    <s v="group "/>
    <s v=" "/>
    <s v=" mean of mean fluo "/>
    <x v="2"/>
    <s v=" mean of total fluo "/>
    <s v=" SD total fluo "/>
    <s v=" n fluorescent "/>
    <s v=" n total"/>
  </r>
  <r>
    <x v="12"/>
    <x v="9"/>
    <s v="D:\Images\20210706\plaque 1/@12 tam 483µg_L/ "/>
    <s v=" "/>
    <s v=" 64.4188 "/>
    <x v="14"/>
    <s v=" 593332.333 "/>
    <s v=" 469008.44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D:\Images\20210706\plaque 2/@01 testo 30/A1_01.tif "/>
    <s v=" 34326.6428 "/>
    <s v=" 69.6938 "/>
    <x v="0"/>
    <n v="2392353"/>
    <m/>
    <m/>
    <m/>
  </r>
  <r>
    <x v="13"/>
    <x v="0"/>
    <s v="D:\Images\20210706\plaque 2/@01 testo 30/A1_02.tif "/>
    <s v=" 34413.1624 "/>
    <s v=" 69.22 "/>
    <x v="0"/>
    <n v="2382079"/>
    <m/>
    <m/>
    <m/>
  </r>
  <r>
    <x v="13"/>
    <x v="0"/>
    <s v="D:\Images\20210706\plaque 2/@01 testo 30/A1_03.tif "/>
    <s v=" 36727.5611 "/>
    <s v=" 70.2821 "/>
    <x v="0"/>
    <n v="2581290"/>
    <m/>
    <m/>
    <m/>
  </r>
  <r>
    <x v="13"/>
    <x v="1"/>
    <s v="D:\Images\20210706\plaque 2/@01 testo 30/B1_01.tif "/>
    <s v=" 30216.9628 "/>
    <s v=" 70.4996 "/>
    <x v="0"/>
    <n v="2130285"/>
    <m/>
    <m/>
    <m/>
  </r>
  <r>
    <x v="13"/>
    <x v="1"/>
    <s v="D:\Images\20210706\plaque 2/@01 testo 30/B1_02.tif "/>
    <s v=" 32271.8028 "/>
    <s v=" 73.8646 "/>
    <x v="0"/>
    <n v="2383744"/>
    <m/>
    <m/>
    <m/>
  </r>
  <r>
    <x v="13"/>
    <x v="1"/>
    <s v="D:\Images\20210706\plaque 2/@01 testo 30/B1_03.tif "/>
    <s v=" 33721.0057 "/>
    <s v=" 70.3919 "/>
    <x v="0"/>
    <n v="2373686"/>
    <m/>
    <m/>
    <m/>
  </r>
  <r>
    <x v="13"/>
    <x v="2"/>
    <s v="D:\Images\20210706\plaque 2/@01 testo 30/C1_01- exclu.tif"/>
    <m/>
    <m/>
    <x v="1"/>
    <m/>
    <m/>
    <m/>
    <m/>
  </r>
  <r>
    <x v="13"/>
    <x v="2"/>
    <s v="D:\Images\20210706\plaque 2/@01 testo 30/C1_02.tif "/>
    <s v=" 42740.6718 "/>
    <s v=" 71.4256 "/>
    <x v="0"/>
    <n v="3052778"/>
    <m/>
    <m/>
    <m/>
  </r>
  <r>
    <x v="13"/>
    <x v="2"/>
    <s v="D:\Images\20210706\plaque 2/@01 testo 30/C1_03.tif "/>
    <s v=" 48450.964 "/>
    <s v=" 70.6469 "/>
    <x v="0"/>
    <n v="3422909"/>
    <m/>
    <m/>
    <m/>
  </r>
  <r>
    <x v="13"/>
    <x v="3"/>
    <s v="D:\Images\20210706\plaque 2/@01 testo 30/D1_01.tif "/>
    <s v=" 37398.0878 "/>
    <s v=" 68.978 "/>
    <x v="0"/>
    <n v="2579646"/>
    <m/>
    <m/>
    <m/>
  </r>
  <r>
    <x v="13"/>
    <x v="3"/>
    <s v="D:\Images\20210706\plaque 2/@01 testo 30/D1_02.tif "/>
    <s v=" 33418.1872 "/>
    <s v=" 67.2835 "/>
    <x v="0"/>
    <n v="2248492"/>
    <m/>
    <m/>
    <m/>
  </r>
  <r>
    <x v="13"/>
    <x v="3"/>
    <s v="D:\Images\20210706\plaque 2/@01 testo 30/D1_03.tif "/>
    <s v=" 31882.4647 "/>
    <s v=" 68.7883 "/>
    <x v="0"/>
    <n v="2193142"/>
    <m/>
    <m/>
    <m/>
  </r>
  <r>
    <x v="13"/>
    <x v="4"/>
    <s v="D:\Images\20210706\plaque 2/@01 testo 30/E1_01.tif "/>
    <s v=" 60260.8864 "/>
    <s v=" 69.1393 "/>
    <x v="0"/>
    <n v="4166394"/>
    <m/>
    <m/>
    <m/>
  </r>
  <r>
    <x v="13"/>
    <x v="4"/>
    <s v="D:\Images\20210706\plaque 2/@01 testo 30/E1_02.tif "/>
    <s v=" 67139.1929 "/>
    <s v=" 70.8924 "/>
    <x v="0"/>
    <n v="4759658"/>
    <m/>
    <m/>
    <m/>
  </r>
  <r>
    <x v="13"/>
    <x v="4"/>
    <s v="D:\Images\20210706\plaque 2/@01 testo 30/E1_03.tif "/>
    <s v=" 59763.3989 "/>
    <s v=" 69.2045 "/>
    <x v="0"/>
    <n v="4135895"/>
    <m/>
    <m/>
    <m/>
  </r>
  <r>
    <x v="13"/>
    <x v="5"/>
    <s v="D:\Images\20210706\plaque 2/@01 testo 30/F1_01.tif "/>
    <s v=" 23230.5068 "/>
    <s v=" 67.5233 "/>
    <x v="0"/>
    <n v="1568600"/>
    <m/>
    <m/>
    <m/>
  </r>
  <r>
    <x v="13"/>
    <x v="5"/>
    <s v="D:\Images\20210706\plaque 2/@01 testo 30/F1_02.tif "/>
    <s v=" 30757.7102 "/>
    <s v=" 68.8586 "/>
    <x v="0"/>
    <n v="2117934"/>
    <m/>
    <m/>
    <m/>
  </r>
  <r>
    <x v="13"/>
    <x v="5"/>
    <s v="D:\Images\20210706\plaque 2/@01 testo 30/F1_03.tif "/>
    <s v=" 25804.4643 "/>
    <s v=" 68.4996 "/>
    <x v="0"/>
    <n v="1767595"/>
    <m/>
    <m/>
    <m/>
  </r>
  <r>
    <x v="13"/>
    <x v="6"/>
    <s v="D:\Images\20210706\plaque 2/@01 testo 30/G1_01.tif "/>
    <s v=" 55567.1993 "/>
    <s v=" 72.5278 "/>
    <x v="0"/>
    <n v="4030168"/>
    <m/>
    <m/>
    <m/>
  </r>
  <r>
    <x v="13"/>
    <x v="6"/>
    <s v="D:\Images\20210706\plaque 2/@01 testo 30/G1_02.tif "/>
    <s v=" 42286.444 "/>
    <s v=" 67.5734 "/>
    <x v="0"/>
    <n v="2857439"/>
    <m/>
    <m/>
    <m/>
  </r>
  <r>
    <x v="13"/>
    <x v="6"/>
    <s v="D:\Images\20210706\plaque 2/@01 testo 30/G1_03.tif "/>
    <s v=" 54593.854 "/>
    <s v=" 71.1973 "/>
    <x v="0"/>
    <n v="3886935"/>
    <m/>
    <m/>
    <m/>
  </r>
  <r>
    <x v="13"/>
    <x v="7"/>
    <s v="D:\Images\20210706\plaque 2/@01 testo 30/H1_01.tif "/>
    <s v=" 33656.116 "/>
    <s v=" 70.0771 "/>
    <x v="0"/>
    <n v="2358524"/>
    <m/>
    <m/>
    <m/>
  </r>
  <r>
    <x v="13"/>
    <x v="7"/>
    <s v="D:\Images\20210706\plaque 2/@01 testo 30/H1_02.tif "/>
    <s v=" 34305.0129 "/>
    <s v=" 69.6936 "/>
    <x v="0"/>
    <n v="2390839"/>
    <m/>
    <m/>
    <m/>
  </r>
  <r>
    <x v="13"/>
    <x v="7"/>
    <s v="D:\Images\20210706\plaque 2/@01 testo 30/H1_03.tif "/>
    <s v=" 32228.543 "/>
    <s v=" 69.1973 "/>
    <x v="0"/>
    <n v="2230129"/>
    <m/>
    <m/>
    <m/>
  </r>
  <r>
    <x v="1"/>
    <x v="8"/>
    <s v=" "/>
    <m/>
    <m/>
    <x v="1"/>
    <m/>
    <m/>
    <m/>
    <m/>
  </r>
  <r>
    <x v="1"/>
    <x v="8"/>
    <s v="group "/>
    <s v=" "/>
    <s v=" mean of mean fluo "/>
    <x v="2"/>
    <s v=" mean of total fluo "/>
    <s v=" SD total fluo "/>
    <s v=" n fluorescent "/>
    <s v=" n total"/>
  </r>
  <r>
    <x v="13"/>
    <x v="9"/>
    <s v="D:\Images\20210706\plaque 2/@01 testo 30/ "/>
    <s v=" "/>
    <s v=" 69.8085 "/>
    <x v="15"/>
    <s v=" 2765823.58 "/>
    <s v=" 845629.44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D:\Images\20210706\plaque 2/@02 testo 30/A2_01.tif "/>
    <s v=" 11853.1823 "/>
    <s v=" 65.2007 "/>
    <x v="0"/>
    <n v="772836"/>
    <m/>
    <m/>
    <m/>
  </r>
  <r>
    <x v="14"/>
    <x v="0"/>
    <s v="D:\Images\20210706\plaque 2/@02 testo 30/A2_02.tif "/>
    <s v=" 14297.3603 "/>
    <s v=" 65.8154 "/>
    <x v="0"/>
    <n v="940987"/>
    <m/>
    <m/>
    <m/>
  </r>
  <r>
    <x v="14"/>
    <x v="0"/>
    <s v="D:\Images\20210706\plaque 2/@02 testo 30/A2_03.tif "/>
    <s v=" 9041.296 "/>
    <s v=" 63.7464 "/>
    <x v="0"/>
    <n v="576350"/>
    <m/>
    <m/>
    <m/>
  </r>
  <r>
    <x v="14"/>
    <x v="1"/>
    <s v="D:\Images\20210706\plaque 2/@02 testo 30/B2_01.tif "/>
    <s v=" 31579.6462 "/>
    <s v=" 69.6253 "/>
    <x v="0"/>
    <n v="2198744"/>
    <m/>
    <m/>
    <m/>
  </r>
  <r>
    <x v="14"/>
    <x v="1"/>
    <s v="D:\Images\20210706\plaque 2/@02 testo 30/B2_02.tif "/>
    <s v=" 27686.2651 "/>
    <s v=" 68.5852 "/>
    <x v="0"/>
    <n v="1898867"/>
    <m/>
    <m/>
    <m/>
  </r>
  <r>
    <x v="14"/>
    <x v="1"/>
    <s v="D:\Images\20210706\plaque 2/@02 testo 30/B2_03.tif "/>
    <s v=" 25609.7952 "/>
    <s v=" 68.5684 "/>
    <x v="0"/>
    <n v="1756023"/>
    <m/>
    <m/>
    <m/>
  </r>
  <r>
    <x v="14"/>
    <x v="2"/>
    <s v="D:\Images\20210706\plaque 2/@02 testo 30/C2_01.tif "/>
    <s v=" 2746.9966 "/>
    <s v=" 64.2441 "/>
    <x v="0"/>
    <n v="176478"/>
    <m/>
    <m/>
    <m/>
  </r>
  <r>
    <x v="14"/>
    <x v="2"/>
    <s v="D:\Images\20210706\plaque 2/@02 testo 30/C2_02.tif "/>
    <s v=" 4261.0892 "/>
    <s v=" 64.6497 "/>
    <x v="0"/>
    <n v="275478"/>
    <m/>
    <m/>
    <m/>
  </r>
  <r>
    <x v="14"/>
    <x v="2"/>
    <s v="D:\Images\20210706\plaque 2/@02 testo 30/C2_03.tif "/>
    <s v=" 2292.7688 "/>
    <s v=" 64.9528 "/>
    <x v="0"/>
    <n v="148922"/>
    <m/>
    <m/>
    <m/>
  </r>
  <r>
    <x v="14"/>
    <x v="3"/>
    <s v="D:\Images\20210706\plaque 2/@02 testo 30/D2_01- exclu.tif"/>
    <m/>
    <m/>
    <x v="1"/>
    <m/>
    <m/>
    <m/>
    <m/>
  </r>
  <r>
    <x v="14"/>
    <x v="3"/>
    <s v="D:\Images\20210706\plaque 2/@02 testo 30/D2_02.tif "/>
    <s v=" 28421.6815 "/>
    <s v=" 72.1195 "/>
    <x v="0"/>
    <n v="2049757"/>
    <m/>
    <m/>
    <m/>
  </r>
  <r>
    <x v="14"/>
    <x v="3"/>
    <s v="D:\Images\20210706\plaque 2/@02 testo 30/D2_03.tif "/>
    <s v=" 28811.0196 "/>
    <s v=" 72.4805 "/>
    <x v="0"/>
    <n v="2088237"/>
    <m/>
    <m/>
    <m/>
  </r>
  <r>
    <x v="14"/>
    <x v="4"/>
    <s v="D:\Images\20210706\plaque 2/@02 testo 30/E2_01.tif "/>
    <s v=" 36554.5219 "/>
    <s v=" 67.9047 "/>
    <x v="0"/>
    <n v="2482225"/>
    <m/>
    <m/>
    <m/>
  </r>
  <r>
    <x v="14"/>
    <x v="4"/>
    <s v="D:\Images\20210706\plaque 2/@02 testo 30/E2_02.tif "/>
    <s v=" 28616.3506 "/>
    <s v=" 66.8284 "/>
    <x v="0"/>
    <n v="1912386"/>
    <m/>
    <m/>
    <m/>
  </r>
  <r>
    <x v="14"/>
    <x v="4"/>
    <s v="D:\Images\20210706\plaque 2/@02 testo 30/E2_03.tif "/>
    <s v=" 32682.7708 "/>
    <s v=" 67.2237 "/>
    <x v="0"/>
    <n v="2197057"/>
    <m/>
    <m/>
    <m/>
  </r>
  <r>
    <x v="14"/>
    <x v="5"/>
    <s v="D:\Images\20210706\plaque 2/@02 testo 30/F2_01.tif "/>
    <s v=" 49727.1278 "/>
    <s v=" 77.0231 "/>
    <x v="0"/>
    <n v="3830135"/>
    <m/>
    <m/>
    <m/>
  </r>
  <r>
    <x v="14"/>
    <x v="5"/>
    <s v="D:\Images\20210706\plaque 2/@02 testo 30/F2_02.tif "/>
    <s v=" 57557.1496 "/>
    <s v=" 75.0139 "/>
    <x v="0"/>
    <n v="4317587"/>
    <m/>
    <m/>
    <m/>
  </r>
  <r>
    <x v="14"/>
    <x v="5"/>
    <s v="D:\Images\20210706\plaque 2/@02 testo 30/F2_03.tif "/>
    <s v=" 63202.5521 "/>
    <s v=" 74.3751 "/>
    <x v="0"/>
    <n v="4700695"/>
    <m/>
    <m/>
    <m/>
  </r>
  <r>
    <x v="14"/>
    <x v="6"/>
    <s v="D:\Images\20210706\plaque 2/@02 testo 30/G2_01.tif "/>
    <s v=" 10122.7907 "/>
    <s v=" 70.9594 "/>
    <x v="0"/>
    <n v="718307"/>
    <m/>
    <m/>
    <m/>
  </r>
  <r>
    <x v="14"/>
    <x v="6"/>
    <s v="D:\Images\20210706\plaque 2/@02 testo 30/G2_02.tif "/>
    <s v=" 8587.0682 "/>
    <s v=" 66.461 "/>
    <x v="0"/>
    <n v="570705"/>
    <m/>
    <m/>
    <m/>
  </r>
  <r>
    <x v="14"/>
    <x v="6"/>
    <s v="D:\Images\20210706\plaque 2/@02 testo 30/G2_03.tif "/>
    <s v=" 11809.9225 "/>
    <s v=" 69.5549 "/>
    <x v="0"/>
    <n v="821439"/>
    <m/>
    <m/>
    <m/>
  </r>
  <r>
    <x v="14"/>
    <x v="7"/>
    <s v="D:\Images\20210706\plaque 2/@02 testo 30/H2_01.tif "/>
    <s v=" 13453.7945 "/>
    <s v=" 65.2605 "/>
    <x v="0"/>
    <n v="878001"/>
    <m/>
    <m/>
    <m/>
  </r>
  <r>
    <x v="14"/>
    <x v="7"/>
    <s v="D:\Images\20210706\plaque 2/@02 testo 30/H2_02.tif "/>
    <s v=" 13042.8265 "/>
    <s v=" 64.7164 "/>
    <x v="0"/>
    <n v="844085"/>
    <m/>
    <m/>
    <m/>
  </r>
  <r>
    <x v="14"/>
    <x v="7"/>
    <s v="D:\Images\20210706\plaque 2/@02 testo 30/H2_03.tif "/>
    <s v=" 15746.5633 "/>
    <s v=" 65.6291 "/>
    <x v="0"/>
    <n v="1033433"/>
    <m/>
    <m/>
    <m/>
  </r>
  <r>
    <x v="1"/>
    <x v="8"/>
    <s v=" "/>
    <m/>
    <m/>
    <x v="1"/>
    <m/>
    <m/>
    <m/>
    <m/>
  </r>
  <r>
    <x v="1"/>
    <x v="8"/>
    <s v="group "/>
    <s v=" "/>
    <s v=" mean of mean fluo "/>
    <x v="2"/>
    <s v=" mean of total fluo "/>
    <s v=" SD total fluo "/>
    <s v=" n fluorescent "/>
    <s v=" n total"/>
  </r>
  <r>
    <x v="14"/>
    <x v="9"/>
    <s v="D:\Images\20210706\plaque 2/@02 testo 30/ "/>
    <s v=" "/>
    <s v=" 68.442 "/>
    <x v="16"/>
    <s v=" 1631239.33 "/>
    <s v=" 1253423.6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D:\Images\20210706\plaque 2/@03Testo + EE2 64/A3_01.tif "/>
    <s v=" 21435.2256 "/>
    <s v=" 67.5843 "/>
    <x v="0"/>
    <n v="1448684"/>
    <m/>
    <m/>
    <m/>
  </r>
  <r>
    <x v="15"/>
    <x v="0"/>
    <s v="D:\Images\20210706\plaque 2/@03Testo + EE2 64/A3_02.tif "/>
    <s v=" 21781.3039 "/>
    <s v=" 66.9633 "/>
    <x v="0"/>
    <n v="1458547"/>
    <m/>
    <m/>
    <m/>
  </r>
  <r>
    <x v="15"/>
    <x v="0"/>
    <s v="D:\Images\20210706\plaque 2/@03Testo + EE2 64/A3_03.tif "/>
    <s v=" 17390.4353 "/>
    <s v=" 65.9627 "/>
    <x v="0"/>
    <n v="1147120"/>
    <m/>
    <m/>
    <m/>
  </r>
  <r>
    <x v="15"/>
    <x v="1"/>
    <s v="D:\Images\20210706\plaque 2/@03Testo + EE2 64/B3_01.tif "/>
    <s v=" 45747.2271 "/>
    <s v=" 77.2473 "/>
    <x v="0"/>
    <n v="3533849"/>
    <m/>
    <m/>
    <m/>
  </r>
  <r>
    <x v="15"/>
    <x v="1"/>
    <s v="D:\Images\20210706\plaque 2/@03Testo + EE2 64/B3_02.tif "/>
    <s v=" 47369.4692 "/>
    <s v=" 76.0936 "/>
    <x v="0"/>
    <n v="3604514"/>
    <m/>
    <m/>
    <m/>
  </r>
  <r>
    <x v="15"/>
    <x v="1"/>
    <s v="D:\Images\20210706\plaque 2/@03Testo + EE2 64/B3_03.tif "/>
    <s v=" 48797.0423 "/>
    <s v=" 74.1658 "/>
    <x v="0"/>
    <n v="3619071"/>
    <m/>
    <m/>
    <m/>
  </r>
  <r>
    <x v="15"/>
    <x v="2"/>
    <s v="D:\Images\20210706\plaque 2/@03Testo + EE2 64/C3_01.tif "/>
    <s v=" 78646.2969 "/>
    <s v=" 75.154 "/>
    <x v="0"/>
    <n v="5910585"/>
    <m/>
    <m/>
    <m/>
  </r>
  <r>
    <x v="15"/>
    <x v="2"/>
    <s v="D:\Images\20210706\plaque 2/@03Testo + EE2 64/C3_02.tif "/>
    <s v=" 75704.6312 "/>
    <s v=" 74.5403 "/>
    <x v="0"/>
    <n v="5643045"/>
    <m/>
    <m/>
    <m/>
  </r>
  <r>
    <x v="15"/>
    <x v="2"/>
    <s v="D:\Images\20210706\plaque 2/@03Testo + EE2 64/C3_03.tif "/>
    <s v=" 74104.019 "/>
    <s v=" 75.871 "/>
    <x v="0"/>
    <n v="5622345"/>
    <m/>
    <m/>
    <m/>
  </r>
  <r>
    <x v="15"/>
    <x v="3"/>
    <s v="D:\Images\20210706\plaque 2/@03Testo + EE2 64/D3_01.tif "/>
    <s v=" 59114.502 "/>
    <s v=" 74.592 "/>
    <x v="0"/>
    <n v="4409470"/>
    <m/>
    <m/>
    <m/>
  </r>
  <r>
    <x v="15"/>
    <x v="3"/>
    <s v="D:\Images\20210706\plaque 2/@03Testo + EE2 64/D3_02.tif "/>
    <s v=" 56086.3168 "/>
    <s v=" 75.5708 "/>
    <x v="0"/>
    <n v="4238486"/>
    <m/>
    <m/>
    <m/>
  </r>
  <r>
    <x v="15"/>
    <x v="3"/>
    <s v="D:\Images\20210706\plaque 2/@03Testo + EE2 64/D3_03.tif "/>
    <s v=" 58119.5269 "/>
    <s v=" 75.783 "/>
    <x v="0"/>
    <n v="4404474"/>
    <m/>
    <m/>
    <m/>
  </r>
  <r>
    <x v="15"/>
    <x v="4"/>
    <s v="D:\Images\20210706\plaque 2/@03Testo + EE2 64/E3_01.tif "/>
    <s v=" 50029.9463 "/>
    <s v=" 73.8452 "/>
    <x v="0"/>
    <n v="3694473"/>
    <m/>
    <m/>
    <m/>
  </r>
  <r>
    <x v="15"/>
    <x v="4"/>
    <s v="D:\Images\20210706\plaque 2/@03Testo + EE2 64/E3_02.tif "/>
    <s v=" 50484.1741 "/>
    <s v=" 74.6487 "/>
    <x v="0"/>
    <n v="3768577"/>
    <m/>
    <m/>
    <m/>
  </r>
  <r>
    <x v="15"/>
    <x v="4"/>
    <s v="D:\Images\20210706\plaque 2/@03Testo + EE2 64/E3_03.tif "/>
    <s v=" 38674.2516 "/>
    <s v=" 79.9855 "/>
    <x v="0"/>
    <n v="3093378"/>
    <m/>
    <m/>
    <m/>
  </r>
  <r>
    <x v="15"/>
    <x v="5"/>
    <s v="D:\Images\20210706\plaque 2/@03Testo + EE2 64/F3_01- exclu.tif"/>
    <m/>
    <m/>
    <x v="1"/>
    <m/>
    <m/>
    <m/>
    <m/>
  </r>
  <r>
    <x v="15"/>
    <x v="5"/>
    <s v="D:\Images\20210706\plaque 2/@03Testo + EE2 64/F3_02.tif "/>
    <s v=" 49099.8608 "/>
    <s v=" 72.1885 "/>
    <x v="0"/>
    <n v="3544448"/>
    <m/>
    <m/>
    <m/>
  </r>
  <r>
    <x v="15"/>
    <x v="5"/>
    <s v="D:\Images\20210706\plaque 2/@03Testo + EE2 64/F3_03.tif "/>
    <s v=" 48018.3661 "/>
    <s v=" 71.8486 "/>
    <x v="0"/>
    <n v="3450055"/>
    <m/>
    <m/>
    <m/>
  </r>
  <r>
    <x v="15"/>
    <x v="6"/>
    <s v="D:\Images\20210706\plaque 2/@03Testo + EE2 64/G3_01.tif "/>
    <s v=" 45055.0705 "/>
    <s v=" 70.0014 "/>
    <x v="0"/>
    <n v="3153920"/>
    <m/>
    <m/>
    <m/>
  </r>
  <r>
    <x v="15"/>
    <x v="6"/>
    <s v="D:\Images\20210706\plaque 2/@03Testo + EE2 64/G3_02.tif "/>
    <s v=" 47109.9105 "/>
    <s v=" 69.0592 "/>
    <x v="0"/>
    <n v="3253374"/>
    <m/>
    <m/>
    <m/>
  </r>
  <r>
    <x v="15"/>
    <x v="6"/>
    <s v="D:\Images\20210706\plaque 2/@03Testo + EE2 64/G3_03.tif "/>
    <s v=" 47153.1703 "/>
    <s v=" 70.2321 "/>
    <x v="0"/>
    <n v="3311667"/>
    <m/>
    <m/>
    <m/>
  </r>
  <r>
    <x v="15"/>
    <x v="7"/>
    <s v="D:\Images\20210706\plaque 2/@03Testo + EE2 64/H3_01.tif "/>
    <s v=" 43151.6398 "/>
    <s v=" 70.9098 "/>
    <x v="0"/>
    <n v="3059873"/>
    <m/>
    <m/>
    <m/>
  </r>
  <r>
    <x v="15"/>
    <x v="7"/>
    <s v="D:\Images\20210706\plaque 2/@03Testo + EE2 64/H3_02.tif "/>
    <s v=" 43951.9459 "/>
    <s v=" 72.9375 "/>
    <x v="0"/>
    <n v="3205745"/>
    <m/>
    <m/>
    <m/>
  </r>
  <r>
    <x v="15"/>
    <x v="7"/>
    <s v="D:\Images\20210706\plaque 2/@03Testo + EE2 64/H3_03.tif "/>
    <s v=" 46287.9745 "/>
    <s v=" 73.1692 "/>
    <x v="0"/>
    <n v="3386852"/>
    <m/>
    <m/>
    <m/>
  </r>
  <r>
    <x v="1"/>
    <x v="8"/>
    <s v=" "/>
    <m/>
    <m/>
    <x v="1"/>
    <m/>
    <m/>
    <m/>
    <m/>
  </r>
  <r>
    <x v="1"/>
    <x v="8"/>
    <s v="group "/>
    <s v=" "/>
    <s v=" mean of mean fluo "/>
    <x v="2"/>
    <s v=" mean of total fluo "/>
    <s v=" SD total fluo "/>
    <s v=" n fluorescent "/>
    <s v=" n total"/>
  </r>
  <r>
    <x v="15"/>
    <x v="9"/>
    <s v="D:\Images\20210706\plaque 2/@03Testo + EE2 64/ "/>
    <s v=" "/>
    <s v=" 72.7617 "/>
    <x v="17"/>
    <s v=" 3520281.71 "/>
    <s v=" 1193595.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D:\Images\20210706\plaque 2/@04 Testo +FAD/A4_01.tif "/>
    <s v=" 6207.7798 "/>
    <s v=" 70.7735 "/>
    <x v="0"/>
    <n v="439346"/>
    <m/>
    <m/>
    <m/>
  </r>
  <r>
    <x v="16"/>
    <x v="0"/>
    <s v="D:\Images\20210706\plaque 2/@04 Testo +FAD/A4_02.tif "/>
    <s v=" 1665.5019 "/>
    <s v=" 65.4675 "/>
    <x v="0"/>
    <n v="109036"/>
    <m/>
    <m/>
    <m/>
  </r>
  <r>
    <x v="16"/>
    <x v="0"/>
    <s v="D:\Images\20210706\plaque 2/@04 Testo +FAD/A4_03.tif "/>
    <s v=" 4109.68 "/>
    <s v=" 68.7526 "/>
    <x v="0"/>
    <n v="282551"/>
    <m/>
    <m/>
    <m/>
  </r>
  <r>
    <x v="16"/>
    <x v="1"/>
    <s v="D:\Images\20210706\plaque 2/@04 Testo +FAD/B4_01.tif "/>
    <s v=" 1665.5019 "/>
    <s v=" 66.987 "/>
    <x v="0"/>
    <n v="111567"/>
    <m/>
    <m/>
    <m/>
  </r>
  <r>
    <x v="16"/>
    <x v="1"/>
    <s v="D:\Images\20210706\plaque 2/@04 Testo +FAD/B4_02.tif "/>
    <s v=" 1405.9432 "/>
    <s v=" 64.5077 "/>
    <x v="0"/>
    <n v="90694"/>
    <m/>
    <m/>
    <m/>
  </r>
  <r>
    <x v="16"/>
    <x v="1"/>
    <s v="D:\Images\20210706\plaque 2/@04 Testo +FAD/B4_03.tif "/>
    <s v=" 1860.1709 "/>
    <s v=" 65.0233 "/>
    <x v="0"/>
    <n v="120954"/>
    <m/>
    <m/>
    <m/>
  </r>
  <r>
    <x v="16"/>
    <x v="2"/>
    <s v="D:\Images\20210706\plaque 2/@04 Testo +FAD/C4_01.tif "/>
    <s v=" 2314.3987 "/>
    <s v=" 63.7103 "/>
    <x v="0"/>
    <n v="147451"/>
    <m/>
    <m/>
    <m/>
  </r>
  <r>
    <x v="16"/>
    <x v="2"/>
    <s v="D:\Images\20210706\plaque 2/@04 Testo +FAD/C4_02.tif "/>
    <s v=" 3741.9718 "/>
    <s v=" 66.5549 "/>
    <x v="0"/>
    <n v="249047"/>
    <m/>
    <m/>
    <m/>
  </r>
  <r>
    <x v="16"/>
    <x v="2"/>
    <s v="D:\Images\20210706\plaque 2/@04 Testo +FAD/C4_03.tif "/>
    <s v=" 4672.0572 "/>
    <s v=" 67.3148 "/>
    <x v="0"/>
    <n v="314499"/>
    <m/>
    <m/>
    <m/>
  </r>
  <r>
    <x v="16"/>
    <x v="3"/>
    <s v="D:\Images\20210706\plaque 2/@04 Testo +FAD/D4_01.tif "/>
    <s v=" 4650.4273 "/>
    <s v=" 64.1953 "/>
    <x v="0"/>
    <n v="298536"/>
    <m/>
    <m/>
    <m/>
  </r>
  <r>
    <x v="16"/>
    <x v="3"/>
    <s v="D:\Images\20210706\plaque 2/@04 Testo +FAD/D4_02.tif "/>
    <s v=" 6402.4488 "/>
    <s v=" 68.4223 "/>
    <x v="0"/>
    <n v="438070"/>
    <m/>
    <m/>
    <m/>
  </r>
  <r>
    <x v="16"/>
    <x v="3"/>
    <s v="D:\Images\20210706\plaque 2/@04 Testo +FAD/D4_03.tif "/>
    <s v=" 8262.6197 "/>
    <s v=" 68.3063 "/>
    <x v="0"/>
    <n v="564389"/>
    <m/>
    <m/>
    <m/>
  </r>
  <r>
    <x v="16"/>
    <x v="4"/>
    <s v="D:\Images\20210706\plaque 2/@04 Testo +FAD/E4_01.tif "/>
    <s v=" 7656.9827 "/>
    <s v=" 65.1328 "/>
    <x v="0"/>
    <n v="498720"/>
    <m/>
    <m/>
    <m/>
  </r>
  <r>
    <x v="16"/>
    <x v="4"/>
    <s v="D:\Images\20210706\plaque 2/@04 Testo +FAD/E4_02.tif "/>
    <s v=" 4239.4593 "/>
    <s v=" 63.6327 "/>
    <x v="0"/>
    <n v="269768"/>
    <m/>
    <m/>
    <m/>
  </r>
  <r>
    <x v="16"/>
    <x v="4"/>
    <s v="D:\Images\20210706\plaque 2/@04 Testo +FAD/E4_03.tif "/>
    <s v=" 6943.1962 "/>
    <s v=" 65.729 "/>
    <x v="0"/>
    <n v="456369"/>
    <m/>
    <m/>
    <m/>
  </r>
  <r>
    <x v="16"/>
    <x v="5"/>
    <s v="D:\Images\20210706\plaque 2/@04 Testo +FAD/F4_01.tif "/>
    <s v=" 6078.0004 "/>
    <s v=" 67.0961 "/>
    <x v="0"/>
    <n v="407810"/>
    <m/>
    <m/>
    <m/>
  </r>
  <r>
    <x v="16"/>
    <x v="5"/>
    <s v="D:\Images\20210706\plaque 2/@04 Testo +FAD/F4_02.tif "/>
    <s v=" 7224.3848 "/>
    <s v=" 68.1078 "/>
    <x v="0"/>
    <n v="492037"/>
    <m/>
    <m/>
    <m/>
  </r>
  <r>
    <x v="16"/>
    <x v="5"/>
    <s v="D:\Images\20210706\plaque 2/@04 Testo +FAD/F4_03.tif "/>
    <s v=" 6467.3385 "/>
    <s v=" 64.8361 "/>
    <x v="0"/>
    <n v="419317"/>
    <m/>
    <m/>
    <m/>
  </r>
  <r>
    <x v="16"/>
    <x v="6"/>
    <s v="D:\Images\20210706\plaque 2/@04 Testo +FAD/G4_01.tif "/>
    <s v=" 324.4484 "/>
    <s v=" 62.6 "/>
    <x v="0"/>
    <n v="20310"/>
    <m/>
    <m/>
    <m/>
  </r>
  <r>
    <x v="16"/>
    <x v="6"/>
    <s v="D:\Images\20210706\plaque 2/@04 Testo +FAD/G4_02.tif "/>
    <s v=" 281.1886 "/>
    <n v="63"/>
    <x v="0"/>
    <n v="17715"/>
    <m/>
    <m/>
    <m/>
  </r>
  <r>
    <x v="16"/>
    <x v="6"/>
    <s v="D:\Images\20210706\plaque 2/@04 Testo +FAD/G4_03.tif "/>
    <s v=" 302.8185 "/>
    <s v=" 64.2857 "/>
    <x v="0"/>
    <n v="19467"/>
    <m/>
    <m/>
    <m/>
  </r>
  <r>
    <x v="16"/>
    <x v="7"/>
    <s v="D:\Images\20210706\plaque 2/@04 Testo +FAD/H4_01- exclu.tif"/>
    <m/>
    <m/>
    <x v="1"/>
    <m/>
    <m/>
    <m/>
    <m/>
  </r>
  <r>
    <x v="16"/>
    <x v="7"/>
    <s v="D:\Images\20210706\plaque 2/@04 Testo +FAD/H4_02- exclu.tif"/>
    <m/>
    <m/>
    <x v="1"/>
    <m/>
    <m/>
    <m/>
    <m/>
  </r>
  <r>
    <x v="16"/>
    <x v="7"/>
    <s v="D:\Images\20210706\plaque 2/@04 Testo +FAD/H4_03- exclu.tif"/>
    <m/>
    <m/>
    <x v="1"/>
    <m/>
    <m/>
    <m/>
    <m/>
  </r>
  <r>
    <x v="1"/>
    <x v="8"/>
    <s v=" "/>
    <m/>
    <m/>
    <x v="1"/>
    <m/>
    <m/>
    <m/>
    <m/>
  </r>
  <r>
    <x v="1"/>
    <x v="8"/>
    <s v="group "/>
    <s v=" "/>
    <s v=" mean of mean fluo "/>
    <x v="2"/>
    <s v=" mean of total fluo "/>
    <s v=" SD total fluo "/>
    <s v=" n fluorescent "/>
    <s v=" n total"/>
  </r>
  <r>
    <x v="16"/>
    <x v="9"/>
    <s v="D:\Images\20210706\plaque 2/@04 Testo +FAD/ "/>
    <s v=" "/>
    <s v=" 65.9545 "/>
    <x v="18"/>
    <s v=" 268247.583 "/>
    <s v=" 168727.91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D:\Images\20210706\plaque 2/@05 tam 30.2 + testo/A5_01.tif "/>
    <s v=" 13475.4244 "/>
    <s v=" 67.3435 "/>
    <x v="0"/>
    <n v="907482"/>
    <m/>
    <m/>
    <m/>
  </r>
  <r>
    <x v="17"/>
    <x v="0"/>
    <s v="D:\Images\20210706\plaque 2/@05 tam 30.2 + testo/A5_02.tif "/>
    <s v=" 15054.4067 "/>
    <s v=" 67.3894 "/>
    <x v="0"/>
    <n v="1014507"/>
    <m/>
    <m/>
    <m/>
  </r>
  <r>
    <x v="17"/>
    <x v="0"/>
    <s v="D:\Images\20210706\plaque 2/@05 tam 30.2 + testo/A5_03.tif "/>
    <s v=" 17001.0972 "/>
    <s v=" 67.0827 "/>
    <x v="0"/>
    <n v="1140479"/>
    <m/>
    <m/>
    <m/>
  </r>
  <r>
    <x v="17"/>
    <x v="1"/>
    <s v="D:\Images\20210706\plaque 2/@05 tam 30.2 + testo/B5_01.tif "/>
    <s v=" 28551.4609 "/>
    <s v=" 76.0258 "/>
    <x v="0"/>
    <n v="2170646"/>
    <m/>
    <m/>
    <m/>
  </r>
  <r>
    <x v="17"/>
    <x v="1"/>
    <s v="D:\Images\20210706\plaque 2/@05 tam 30.2 + testo/B5_02.tif "/>
    <s v=" 24052.4428 "/>
    <s v=" 79.8651 "/>
    <x v="0"/>
    <n v="1920951"/>
    <m/>
    <m/>
    <m/>
  </r>
  <r>
    <x v="17"/>
    <x v="1"/>
    <s v="D:\Images\20210706\plaque 2/@05 tam 30.2 + testo/B5_03.tif "/>
    <s v=" 25198.8272 "/>
    <s v=" 77.3923 "/>
    <x v="0"/>
    <n v="1950195"/>
    <m/>
    <m/>
    <m/>
  </r>
  <r>
    <x v="17"/>
    <x v="2"/>
    <s v="D:\Images\20210706\plaque 2/@05 tam 30.2 + testo/C5_01.tif "/>
    <s v=" 12696.7481 "/>
    <s v=" 65.569 "/>
    <x v="0"/>
    <n v="832513"/>
    <m/>
    <m/>
    <m/>
  </r>
  <r>
    <x v="17"/>
    <x v="2"/>
    <s v="D:\Images\20210706\plaque 2/@05 tam 30.2 + testo/C5_02.tif "/>
    <s v=" 14167.581 "/>
    <s v=" 66.2214 "/>
    <x v="0"/>
    <n v="938197"/>
    <m/>
    <m/>
    <m/>
  </r>
  <r>
    <x v="17"/>
    <x v="2"/>
    <s v="D:\Images\20210706\plaque 2/@05 tam 30.2 + testo/C5_03.tif "/>
    <s v=" 13150.9759 "/>
    <s v=" 65.0395 "/>
    <x v="0"/>
    <n v="855333"/>
    <m/>
    <m/>
    <m/>
  </r>
  <r>
    <x v="17"/>
    <x v="3"/>
    <s v="D:\Images\20210706\plaque 2/@05 tam 30.2 + testo/D5_01.tif "/>
    <s v=" 23663.1047 "/>
    <s v=" 71.9689 "/>
    <x v="0"/>
    <n v="1703008"/>
    <m/>
    <m/>
    <m/>
  </r>
  <r>
    <x v="17"/>
    <x v="3"/>
    <s v="D:\Images\20210706\plaque 2/@05 tam 30.2 + testo/D5_02.tif "/>
    <s v=" 21218.9266 "/>
    <s v=" 72.7166 "/>
    <x v="0"/>
    <n v="1542969"/>
    <m/>
    <m/>
    <m/>
  </r>
  <r>
    <x v="17"/>
    <x v="3"/>
    <s v="D:\Images\20210706\plaque 2/@05 tam 30.2 + testo/D5_03.tif "/>
    <s v=" 18298.8909 "/>
    <s v=" 72.9693 "/>
    <x v="0"/>
    <n v="1335257"/>
    <m/>
    <m/>
    <m/>
  </r>
  <r>
    <x v="17"/>
    <x v="4"/>
    <s v="D:\Images\20210706\plaque 2/@05 tam 30.2 + testo/E5_01.tif "/>
    <s v=" 45314.6292 "/>
    <s v=" 74.7408 "/>
    <x v="0"/>
    <n v="3386852"/>
    <m/>
    <m/>
    <m/>
  </r>
  <r>
    <x v="17"/>
    <x v="4"/>
    <s v="D:\Images\20210706\plaque 2/@05 tam 30.2 + testo/E5_02.tif "/>
    <s v=" 42805.5615 "/>
    <s v=" 72.9298 "/>
    <x v="0"/>
    <n v="3121799"/>
    <m/>
    <m/>
    <m/>
  </r>
  <r>
    <x v="17"/>
    <x v="4"/>
    <s v="D:\Images\20210706\plaque 2/@05 tam 30.2 + testo/E5_03.tif "/>
    <s v=" 41788.9564 "/>
    <s v=" 72.5305 "/>
    <x v="0"/>
    <n v="3030976"/>
    <m/>
    <m/>
    <m/>
  </r>
  <r>
    <x v="17"/>
    <x v="5"/>
    <s v="D:\Images\20210706\plaque 2/@05 tam 30.2 + testo/F5_01.tif "/>
    <s v=" 3979.9006 "/>
    <s v=" 63.9511 "/>
    <x v="0"/>
    <n v="254519"/>
    <m/>
    <m/>
    <m/>
  </r>
  <r>
    <x v="17"/>
    <x v="5"/>
    <s v="D:\Images\20210706\plaque 2/@05 tam 30.2 + testo/F5_02.tif "/>
    <s v=" 11615.2534 "/>
    <s v=" 64.8119 "/>
    <x v="0"/>
    <n v="752807"/>
    <m/>
    <m/>
    <m/>
  </r>
  <r>
    <x v="17"/>
    <x v="5"/>
    <s v="D:\Images\20210706\plaque 2/@05 tam 30.2 + testo/F5_03.tif "/>
    <s v=" 9538.7835 "/>
    <s v=" 65.1451 "/>
    <x v="0"/>
    <n v="621405"/>
    <m/>
    <m/>
    <m/>
  </r>
  <r>
    <x v="17"/>
    <x v="6"/>
    <s v="D:\Images\20210706\plaque 2/@05 tam 30.2 + testo/G5_01.tif "/>
    <s v=" 15508.6344 "/>
    <s v=" 65.8271 "/>
    <x v="0"/>
    <n v="1020888"/>
    <m/>
    <m/>
    <m/>
  </r>
  <r>
    <x v="17"/>
    <x v="6"/>
    <s v="D:\Images\20210706\plaque 2/@05 tam 30.2 + testo/G5_02.tif "/>
    <s v=" 18536.8197 "/>
    <s v=" 66.5764 "/>
    <x v="0"/>
    <n v="1234115"/>
    <m/>
    <m/>
    <m/>
  </r>
  <r>
    <x v="17"/>
    <x v="6"/>
    <s v="D:\Images\20210706\plaque 2/@05 tam 30.2 + testo/G5_03.tif "/>
    <s v=" 20656.5494 "/>
    <s v=" 66.3414 "/>
    <x v="0"/>
    <n v="1370384"/>
    <m/>
    <m/>
    <m/>
  </r>
  <r>
    <x v="17"/>
    <x v="7"/>
    <s v="D:\Images\20210706\plaque 2/@05 tam 30.2 + testo/H5_01- exclu.tif"/>
    <m/>
    <m/>
    <x v="1"/>
    <m/>
    <m/>
    <m/>
    <m/>
  </r>
  <r>
    <x v="17"/>
    <x v="7"/>
    <s v="D:\Images\20210706\plaque 2/@05 tam 30.2 + testo/H5_02- exclu.tif"/>
    <m/>
    <m/>
    <x v="1"/>
    <m/>
    <m/>
    <m/>
    <m/>
  </r>
  <r>
    <x v="17"/>
    <x v="7"/>
    <s v="D:\Images\20210706\plaque 2/@05 tam 30.2 + testo/H5_03- exclu.tif"/>
    <m/>
    <m/>
    <x v="1"/>
    <m/>
    <m/>
    <m/>
    <m/>
  </r>
  <r>
    <x v="1"/>
    <x v="8"/>
    <s v=" "/>
    <m/>
    <m/>
    <x v="1"/>
    <m/>
    <m/>
    <m/>
    <m/>
  </r>
  <r>
    <x v="1"/>
    <x v="8"/>
    <s v="group "/>
    <s v=" "/>
    <s v=" mean of mean fluo "/>
    <x v="2"/>
    <s v=" mean of total fluo "/>
    <s v=" SD total fluo "/>
    <s v=" n fluorescent "/>
    <s v=" n total"/>
  </r>
  <r>
    <x v="17"/>
    <x v="9"/>
    <s v="D:\Images\20210706\plaque 2/@05 tam 30.2 + testo/ "/>
    <s v=" "/>
    <s v=" 69.0615 "/>
    <x v="19"/>
    <s v=" 1298513.83 "/>
    <s v=" 935418.43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D:\Images\20210706\plaque 2/@06  tam 60.4 + testo/A6_01.tif "/>
    <s v=" 26972.4786 "/>
    <s v=" 67.3609 "/>
    <x v="0"/>
    <n v="1816890"/>
    <m/>
    <m/>
    <m/>
  </r>
  <r>
    <x v="18"/>
    <x v="0"/>
    <s v="D:\Images\20210706\plaque 2/@06  tam 60.4 + testo/A6_02.tif "/>
    <s v=" 21651.5245 "/>
    <s v=" 67.8212 "/>
    <x v="0"/>
    <n v="1468432"/>
    <m/>
    <m/>
    <m/>
  </r>
  <r>
    <x v="18"/>
    <x v="0"/>
    <s v="D:\Images\20210706\plaque 2/@06  tam 60.4 + testo/A6_03.tif "/>
    <s v=" 16503.6096 "/>
    <s v=" 69.1389 "/>
    <x v="0"/>
    <n v="1141042"/>
    <m/>
    <m/>
    <m/>
  </r>
  <r>
    <x v="18"/>
    <x v="1"/>
    <s v="D:\Images\20210706\plaque 2/@06  tam 60.4 + testo/B6_01.tif "/>
    <s v=" 47629.028 "/>
    <s v=" 72.5967 "/>
    <x v="0"/>
    <n v="3457712"/>
    <m/>
    <m/>
    <m/>
  </r>
  <r>
    <x v="18"/>
    <x v="1"/>
    <s v="D:\Images\20210706\plaque 2/@06  tam 60.4 + testo/B6_02.tif "/>
    <s v=" 46309.6044 "/>
    <s v=" 71.7865 "/>
    <x v="0"/>
    <n v="3324407"/>
    <m/>
    <m/>
    <m/>
  </r>
  <r>
    <x v="18"/>
    <x v="1"/>
    <s v="D:\Images\20210706\plaque 2/@06  tam 60.4 + testo/B6_03.tif "/>
    <s v=" 38609.3619 "/>
    <s v=" 70.758 "/>
    <x v="0"/>
    <n v="2731921"/>
    <m/>
    <m/>
    <m/>
  </r>
  <r>
    <x v="18"/>
    <x v="2"/>
    <s v="D:\Images\20210706\plaque 2/@06  tam 60.4 + testo/C6_01.tif "/>
    <s v=" 40512.7926 "/>
    <s v=" 76.1687 "/>
    <x v="0"/>
    <n v="3085807"/>
    <m/>
    <m/>
    <m/>
  </r>
  <r>
    <x v="18"/>
    <x v="2"/>
    <s v="D:\Images\20210706\plaque 2/@06  tam 60.4 + testo/C6_02.tif "/>
    <s v=" 39452.9278 "/>
    <s v=" 80.8942 "/>
    <x v="0"/>
    <n v="3191513"/>
    <m/>
    <m/>
    <m/>
  </r>
  <r>
    <x v="18"/>
    <x v="2"/>
    <s v="D:\Images\20210706\plaque 2/@06  tam 60.4 + testo/C6_03.tif "/>
    <s v=" 36338.223 "/>
    <s v=" 82.8339 "/>
    <x v="0"/>
    <n v="3010038"/>
    <m/>
    <m/>
    <m/>
  </r>
  <r>
    <x v="18"/>
    <x v="3"/>
    <s v="D:\Images\20210706\plaque 2/@06  tam 60.4 + testo/D6_01.tif "/>
    <s v=" 6662.0075 "/>
    <s v=" 65.3604 "/>
    <x v="0"/>
    <n v="435431"/>
    <m/>
    <m/>
    <m/>
  </r>
  <r>
    <x v="18"/>
    <x v="3"/>
    <s v="D:\Images\20210706\plaque 2/@06  tam 60.4 + testo/D6_02.tif "/>
    <s v=" 10360.7195 "/>
    <s v=" 66.3361 "/>
    <x v="0"/>
    <n v="687290"/>
    <m/>
    <m/>
    <m/>
  </r>
  <r>
    <x v="18"/>
    <x v="3"/>
    <s v="D:\Images\20210706\plaque 2/@06  tam 60.4 + testo/D6_03.tif "/>
    <s v=" 6056.3705 "/>
    <s v=" 65.25 "/>
    <x v="0"/>
    <n v="395178"/>
    <m/>
    <m/>
    <m/>
  </r>
  <r>
    <x v="18"/>
    <x v="4"/>
    <s v="D:\Images\20210706\plaque 2/@06  tam 60.4 + testo/E6_01.tif "/>
    <s v=" 33634.4861 "/>
    <s v=" 69.0058 "/>
    <x v="0"/>
    <n v="2320974"/>
    <m/>
    <m/>
    <m/>
  </r>
  <r>
    <x v="18"/>
    <x v="4"/>
    <s v="D:\Images\20210706\plaque 2/@06  tam 60.4 + testo/E6_02.tif "/>
    <s v=" 37462.9775 "/>
    <s v=" 68.097 "/>
    <x v="0"/>
    <n v="2551116"/>
    <m/>
    <m/>
    <m/>
  </r>
  <r>
    <x v="18"/>
    <x v="4"/>
    <s v="D:\Images\20210706\plaque 2/@06  tam 60.4 + testo/E6_03.tif "/>
    <s v=" 36814.0807 "/>
    <s v=" 67.9083 "/>
    <x v="0"/>
    <n v="2499983"/>
    <m/>
    <m/>
    <m/>
  </r>
  <r>
    <x v="18"/>
    <x v="5"/>
    <s v="D:\Images\20210706\plaque 2/@06  tam 60.4 + testo/F6_01.tif "/>
    <s v=" 35408.1375 "/>
    <s v=" 67.7666 "/>
    <x v="0"/>
    <n v="2399491"/>
    <m/>
    <m/>
    <m/>
  </r>
  <r>
    <x v="18"/>
    <x v="5"/>
    <s v="D:\Images\20210706\plaque 2/@06  tam 60.4 + testo/F6_02.tif "/>
    <s v=" 34759.2407 "/>
    <s v=" 67.3491 "/>
    <x v="0"/>
    <n v="2341003"/>
    <m/>
    <m/>
    <m/>
  </r>
  <r>
    <x v="18"/>
    <x v="5"/>
    <s v="D:\Images\20210706\plaque 2/@06  tam 60.4 + testo/F6_03.tif "/>
    <s v=" 34845.7602 "/>
    <s v=" 67.5574 "/>
    <x v="0"/>
    <n v="2354090"/>
    <m/>
    <m/>
    <m/>
  </r>
  <r>
    <x v="18"/>
    <x v="6"/>
    <s v="D:\Images\20210706\plaque 2/@06  tam 60.4 + testo/G6_01.tif "/>
    <s v=" 12566.9688 "/>
    <s v=" 67.2444 "/>
    <x v="0"/>
    <n v="845058"/>
    <m/>
    <m/>
    <m/>
  </r>
  <r>
    <x v="18"/>
    <x v="6"/>
    <s v="D:\Images\20210706\plaque 2/@06  tam 60.4 + testo/G6_02.tif "/>
    <s v=" 10057.901 "/>
    <s v=" 66.2473 "/>
    <x v="0"/>
    <n v="666309"/>
    <m/>
    <m/>
    <m/>
  </r>
  <r>
    <x v="18"/>
    <x v="6"/>
    <s v="D:\Images\20210706\plaque 2/@06  tam 60.4 + testo/G6_03.tif "/>
    <s v=" 12242.5204 "/>
    <s v=" 67.5 "/>
    <x v="0"/>
    <n v="826370"/>
    <m/>
    <m/>
    <m/>
  </r>
  <r>
    <x v="18"/>
    <x v="7"/>
    <s v="D:\Images\20210706\plaque 2/@06  tam 60.4 + testo/H6_01.tif "/>
    <s v=" 28594.7207 "/>
    <s v=" 73.9085 "/>
    <x v="0"/>
    <n v="2113392"/>
    <m/>
    <m/>
    <m/>
  </r>
  <r>
    <x v="18"/>
    <x v="7"/>
    <s v="D:\Images\20210706\plaque 2/@06  tam 60.4 + testo/H6_02.tif "/>
    <s v=" 28789.3898 "/>
    <s v=" 76.0353 "/>
    <x v="0"/>
    <n v="2189010"/>
    <m/>
    <m/>
    <m/>
  </r>
  <r>
    <x v="18"/>
    <x v="7"/>
    <s v="D:\Images\20210706\plaque 2/@06  tam 60.4 + testo/H6_03.tif "/>
    <s v=" 28378.4218 "/>
    <s v=" 76.2203 "/>
    <x v="0"/>
    <n v="2163011"/>
    <m/>
    <m/>
    <m/>
  </r>
  <r>
    <x v="1"/>
    <x v="8"/>
    <s v=" "/>
    <m/>
    <m/>
    <x v="1"/>
    <m/>
    <m/>
    <m/>
    <m/>
  </r>
  <r>
    <x v="1"/>
    <x v="8"/>
    <s v="group "/>
    <s v=" "/>
    <s v=" mean of mean fluo "/>
    <x v="2"/>
    <s v=" mean of total fluo "/>
    <s v=" SD total fluo "/>
    <s v=" n fluorescent "/>
    <s v=" n total"/>
  </r>
  <r>
    <x v="18"/>
    <x v="9"/>
    <s v="D:\Images\20210706\plaque 2/@06  tam 60.4 + testo/ "/>
    <s v=" "/>
    <s v=" 70.4644 "/>
    <x v="20"/>
    <s v=" 2000644.5 "/>
    <s v=" 965877.62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D:\Images\20210706\plaque 2/@07 tam 121 + testo/A7_01.tif "/>
    <s v=" 34867.3901 "/>
    <s v=" 71.8282 "/>
    <x v="0"/>
    <n v="2504461"/>
    <m/>
    <m/>
    <m/>
  </r>
  <r>
    <x v="19"/>
    <x v="0"/>
    <s v="D:\Images\20210706\plaque 2/@07 tam 121 + testo/A7_02.tif "/>
    <s v=" 34889.02 "/>
    <s v=" 73.0267 "/>
    <x v="0"/>
    <n v="2547829"/>
    <m/>
    <m/>
    <m/>
  </r>
  <r>
    <x v="19"/>
    <x v="0"/>
    <s v="D:\Images\20210706\plaque 2/@07 tam 121 + testo/A7_03.tif "/>
    <s v=" 33158.6285 "/>
    <s v=" 71.3457 "/>
    <x v="0"/>
    <n v="2365726"/>
    <m/>
    <m/>
    <m/>
  </r>
  <r>
    <x v="19"/>
    <x v="1"/>
    <s v="D:\Images\20210706\plaque 2/@07 tam 121 + testo/B7_01.tif "/>
    <s v=" 42048.5152 "/>
    <s v=" 71.6646 "/>
    <x v="0"/>
    <n v="3013390"/>
    <m/>
    <m/>
    <m/>
  </r>
  <r>
    <x v="19"/>
    <x v="1"/>
    <s v="D:\Images\20210706\plaque 2/@07 tam 121 + testo/B7_02.tif "/>
    <s v=" 39755.7463 "/>
    <s v=" 71.1594 "/>
    <x v="0"/>
    <n v="2828996"/>
    <m/>
    <m/>
    <m/>
  </r>
  <r>
    <x v="19"/>
    <x v="1"/>
    <s v="D:\Images\20210706\plaque 2/@07 tam 121 + testo/B7_03.tif "/>
    <s v=" 42783.9316 "/>
    <s v=" 72.2548 "/>
    <x v="0"/>
    <n v="3091345"/>
    <m/>
    <m/>
    <m/>
  </r>
  <r>
    <x v="19"/>
    <x v="2"/>
    <s v="D:\Images\20210706\plaque 2/@07 tam 121 + testo/C7_01.tif "/>
    <s v=" 33439.8171 "/>
    <s v=" 67.7257 "/>
    <x v="0"/>
    <n v="2264736"/>
    <m/>
    <m/>
    <m/>
  </r>
  <r>
    <x v="19"/>
    <x v="2"/>
    <s v="D:\Images\20210706\plaque 2/@07 tam 121 + testo/C7_02.tif "/>
    <s v=" 32617.8811 "/>
    <s v=" 67.191 "/>
    <x v="0"/>
    <n v="2191627"/>
    <m/>
    <m/>
    <m/>
  </r>
  <r>
    <x v="19"/>
    <x v="2"/>
    <s v="D:\Images\20210706\plaque 2/@07 tam 121 + testo/C7_03.tif "/>
    <s v=" 29416.6567 "/>
    <s v=" 67.0993 "/>
    <x v="0"/>
    <n v="1973836"/>
    <m/>
    <m/>
    <m/>
  </r>
  <r>
    <x v="19"/>
    <x v="3"/>
    <s v="D:\Images\20210706\plaque 2/@07 tam 121 + testo/D7_01.tif "/>
    <s v=" 60650.2245 "/>
    <s v=" 74.9683 "/>
    <x v="0"/>
    <n v="4546842"/>
    <m/>
    <m/>
    <m/>
  </r>
  <r>
    <x v="19"/>
    <x v="3"/>
    <s v="D:\Images\20210706\plaque 2/@07 tam 121 + testo/D7_02.tif "/>
    <s v=" 50981.6616 "/>
    <s v=" 75.112 "/>
    <x v="0"/>
    <n v="3829335"/>
    <m/>
    <m/>
    <m/>
  </r>
  <r>
    <x v="19"/>
    <x v="3"/>
    <s v="D:\Images\20210706\plaque 2/@07 tam 121 + testo/D7_03.tif "/>
    <s v=" 59849.9184 "/>
    <s v=" 73.3697 "/>
    <x v="0"/>
    <n v="4391171"/>
    <m/>
    <m/>
    <m/>
  </r>
  <r>
    <x v="19"/>
    <x v="4"/>
    <s v="D:\Images\20210706\plaque 2/@07 tam 121 + testo/E7_01.tif "/>
    <s v=" 37030.3796 "/>
    <s v=" 71.8335 "/>
    <x v="0"/>
    <n v="2660023"/>
    <m/>
    <m/>
    <m/>
  </r>
  <r>
    <x v="19"/>
    <x v="4"/>
    <s v="D:\Images\20210706\plaque 2/@07 tam 121 + testo/E7_02.tif "/>
    <s v=" 36878.9703 "/>
    <s v=" 72.2598 "/>
    <x v="0"/>
    <n v="2664868"/>
    <m/>
    <m/>
    <m/>
  </r>
  <r>
    <x v="19"/>
    <x v="4"/>
    <s v="D:\Images\20210706\plaque 2/@07 tam 121 + testo/E7_03.tif "/>
    <s v=" 33288.4078 "/>
    <s v=" 76.1235 "/>
    <x v="0"/>
    <n v="2534029"/>
    <m/>
    <m/>
    <m/>
  </r>
  <r>
    <x v="19"/>
    <x v="5"/>
    <s v="D:\Images\20210706\plaque 2/@07 tam 121 + testo/F7_01.tif "/>
    <s v=" 6121.2602 "/>
    <s v=" 77.053 "/>
    <x v="0"/>
    <n v="471661"/>
    <m/>
    <m/>
    <m/>
  </r>
  <r>
    <x v="19"/>
    <x v="5"/>
    <s v="D:\Images\20210706\plaque 2/@07 tam 121 + testo/F7_02.tif "/>
    <s v=" 11117.7658 "/>
    <s v=" 79.0389 "/>
    <x v="0"/>
    <n v="878736"/>
    <m/>
    <m/>
    <m/>
  </r>
  <r>
    <x v="19"/>
    <x v="5"/>
    <s v="D:\Images\20210706\plaque 2/@07 tam 121 + testo/F7_03.tif "/>
    <s v=" 11247.5452 "/>
    <s v=" 76.8115 "/>
    <x v="0"/>
    <n v="863941"/>
    <m/>
    <m/>
    <m/>
  </r>
  <r>
    <x v="19"/>
    <x v="6"/>
    <s v="D:\Images\20210706\plaque 2/@07 tam 121 + testo/G7_01.tif "/>
    <s v=" 4996.5057 "/>
    <s v=" 65.1429 "/>
    <x v="0"/>
    <n v="325487"/>
    <m/>
    <m/>
    <m/>
  </r>
  <r>
    <x v="19"/>
    <x v="6"/>
    <s v="D:\Images\20210706\plaque 2/@07 tam 121 + testo/G7_02.tif "/>
    <s v=" 5147.9149 "/>
    <s v=" 66.1681 "/>
    <x v="0"/>
    <n v="340628"/>
    <m/>
    <m/>
    <m/>
  </r>
  <r>
    <x v="19"/>
    <x v="6"/>
    <s v="D:\Images\20210706\plaque 2/@07 tam 121 + testo/G7_03.tif "/>
    <s v=" 4563.9078 "/>
    <s v=" 65.6398 "/>
    <x v="0"/>
    <n v="299574"/>
    <m/>
    <m/>
    <m/>
  </r>
  <r>
    <x v="19"/>
    <x v="7"/>
    <s v="D:\Images\20210706\plaque 2/@07 tam 121 + testo/H7_01.tif "/>
    <s v=" 29308.5072 "/>
    <s v=" 70.1897 "/>
    <x v="0"/>
    <n v="2057154"/>
    <m/>
    <m/>
    <m/>
  </r>
  <r>
    <x v="19"/>
    <x v="7"/>
    <s v="D:\Images\20210706\plaque 2/@07 tam 121 + testo/H7_02.tif "/>
    <s v=" 35083.6891 "/>
    <s v=" 69.9581 "/>
    <x v="0"/>
    <n v="2454387"/>
    <m/>
    <m/>
    <m/>
  </r>
  <r>
    <x v="19"/>
    <x v="7"/>
    <s v="D:\Images\20210706\plaque 2/@07 tam 121 + testo/H7_03.tif "/>
    <s v=" 31363.3472 "/>
    <s v=" 73.1917 "/>
    <x v="0"/>
    <n v="2295537"/>
    <m/>
    <m/>
    <m/>
  </r>
  <r>
    <x v="1"/>
    <x v="8"/>
    <s v=" "/>
    <m/>
    <m/>
    <x v="1"/>
    <m/>
    <m/>
    <m/>
    <m/>
  </r>
  <r>
    <x v="1"/>
    <x v="8"/>
    <s v="group "/>
    <s v=" "/>
    <s v=" mean of mean fluo "/>
    <x v="2"/>
    <s v=" mean of total fluo "/>
    <s v=" SD total fluo "/>
    <s v=" n fluorescent "/>
    <s v=" n total"/>
  </r>
  <r>
    <x v="19"/>
    <x v="9"/>
    <s v="D:\Images\20210706\plaque 2/@07 tam 121 + testo/ "/>
    <s v=" "/>
    <s v=" 71.6732 "/>
    <x v="21"/>
    <s v=" 2224804.96 "/>
    <s v=" 1194759.0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D:\Images\20210706\plaque 2/@08 tam 242 + testo/A8_01.tif "/>
    <s v=" 4801.8366 "/>
    <s v=" 63.3468 "/>
    <x v="0"/>
    <n v="304181"/>
    <m/>
    <m/>
    <m/>
  </r>
  <r>
    <x v="20"/>
    <x v="0"/>
    <s v="D:\Images\20210706\plaque 2/@08 tam 242 + testo/A8_02.tif "/>
    <s v=" 7830.0219 "/>
    <s v=" 64.0884 "/>
    <x v="0"/>
    <n v="501814"/>
    <m/>
    <m/>
    <m/>
  </r>
  <r>
    <x v="20"/>
    <x v="0"/>
    <s v="D:\Images\20210706\plaque 2/@08 tam 242 + testo/A8_03- exclu.tif"/>
    <m/>
    <m/>
    <x v="1"/>
    <m/>
    <m/>
    <m/>
    <m/>
  </r>
  <r>
    <x v="20"/>
    <x v="1"/>
    <s v="D:\Images\20210706\plaque 2/@08 tam 242 + testo/B8_01.tif "/>
    <s v=" 62640.1748 "/>
    <s v=" 73.4658 "/>
    <x v="0"/>
    <n v="4601911"/>
    <m/>
    <m/>
    <m/>
  </r>
  <r>
    <x v="20"/>
    <x v="1"/>
    <s v="D:\Images\20210706\plaque 2/@08 tam 242 + testo/B8_02.tif "/>
    <s v=" 59201.0216 "/>
    <s v=" 72.0241 "/>
    <x v="0"/>
    <n v="4263901"/>
    <m/>
    <m/>
    <m/>
  </r>
  <r>
    <x v="20"/>
    <x v="1"/>
    <s v="D:\Images\20210706\plaque 2/@08 tam 242 + testo/B8_03.tif "/>
    <s v=" 57254.3311 "/>
    <s v=" 71.5504 "/>
    <x v="0"/>
    <n v="4096572"/>
    <m/>
    <m/>
    <m/>
  </r>
  <r>
    <x v="20"/>
    <x v="2"/>
    <s v="D:\Images\20210706\plaque 2/@08 tam 242 + testo/C8_01.tif "/>
    <s v=" 54637.1138 "/>
    <s v=" 78.2973 "/>
    <x v="0"/>
    <n v="4277939"/>
    <m/>
    <m/>
    <m/>
  </r>
  <r>
    <x v="20"/>
    <x v="2"/>
    <s v="D:\Images\20210706\plaque 2/@08 tam 242 + testo/C8_02.tif "/>
    <s v=" 61277.4915 "/>
    <s v=" 76.5821 "/>
    <x v="0"/>
    <n v="4692757"/>
    <m/>
    <m/>
    <m/>
  </r>
  <r>
    <x v="20"/>
    <x v="2"/>
    <s v="D:\Images\20210706\plaque 2/@08 tam 242 + testo/C8_03.tif "/>
    <s v=" 56064.6869 "/>
    <s v=" 76.4815 "/>
    <x v="0"/>
    <n v="4287910"/>
    <m/>
    <m/>
    <m/>
  </r>
  <r>
    <x v="20"/>
    <x v="3"/>
    <s v="D:\Images\20210706\plaque 2/@08 tam 242 + testo/D8_01.tif "/>
    <s v=" 54875.0427 "/>
    <s v=" 68.9149 "/>
    <x v="0"/>
    <n v="3781706"/>
    <m/>
    <m/>
    <m/>
  </r>
  <r>
    <x v="20"/>
    <x v="3"/>
    <s v="D:\Images\20210706\plaque 2/@08 tam 242 + testo/D8_02.tif "/>
    <s v=" 46980.1311 "/>
    <s v=" 67.9936 "/>
    <x v="0"/>
    <n v="3194346"/>
    <m/>
    <m/>
    <m/>
  </r>
  <r>
    <x v="20"/>
    <x v="3"/>
    <s v="D:\Images\20210706\plaque 2/@08 tam 242 + testo/D8_03.tif "/>
    <s v=" 48386.0743 "/>
    <s v=" 67.8534 "/>
    <x v="0"/>
    <n v="3283158"/>
    <m/>
    <m/>
    <m/>
  </r>
  <r>
    <x v="20"/>
    <x v="4"/>
    <s v="D:\Images\20210706\plaque 2/@08 tam 242 + testo/E8_01.tif "/>
    <s v=" 18039.3321 "/>
    <s v=" 68.3106 "/>
    <x v="0"/>
    <n v="1232277"/>
    <m/>
    <m/>
    <m/>
  </r>
  <r>
    <x v="20"/>
    <x v="4"/>
    <s v="D:\Images\20210706\plaque 2/@08 tam 242 + testo/E8_02.tif "/>
    <s v=" 19185.7165 "/>
    <s v=" 67.5039 "/>
    <x v="0"/>
    <n v="1295112"/>
    <m/>
    <m/>
    <m/>
  </r>
  <r>
    <x v="20"/>
    <x v="4"/>
    <s v="D:\Images\20210706\plaque 2/@08 tam 242 + testo/E8_03.tif "/>
    <s v=" 18060.962 "/>
    <s v=" 69.2383 "/>
    <x v="0"/>
    <n v="1250511"/>
    <m/>
    <m/>
    <m/>
  </r>
  <r>
    <x v="20"/>
    <x v="5"/>
    <s v="D:\Images\20210706\plaque 2/@08 tam 242 + testo/F8_01.tif "/>
    <s v=" 42221.5543 "/>
    <s v=" 70.8386 "/>
    <x v="0"/>
    <n v="2990917"/>
    <m/>
    <m/>
    <m/>
  </r>
  <r>
    <x v="20"/>
    <x v="5"/>
    <s v="D:\Images\20210706\plaque 2/@08 tam 242 + testo/F8_02.tif "/>
    <s v=" 44622.4726 "/>
    <s v=" 71.7591 "/>
    <x v="0"/>
    <n v="3202068"/>
    <m/>
    <m/>
    <m/>
  </r>
  <r>
    <x v="20"/>
    <x v="5"/>
    <s v="D:\Images\20210706\plaque 2/@08 tam 242 + testo/F8_03- exclu.tif"/>
    <m/>
    <m/>
    <x v="1"/>
    <m/>
    <m/>
    <m/>
    <m/>
  </r>
  <r>
    <x v="20"/>
    <x v="6"/>
    <s v="D:\Images\20210706\plaque 2/@08 tam 242 + testo/G8_01.tif "/>
    <s v=" 33050.479 "/>
    <s v=" 68.3331 "/>
    <x v="0"/>
    <n v="2258442"/>
    <m/>
    <m/>
    <m/>
  </r>
  <r>
    <x v="20"/>
    <x v="6"/>
    <s v="D:\Images\20210706\plaque 2/@08 tam 242 + testo/G8_02.tif "/>
    <s v=" 37289.9383 "/>
    <s v=" 69.7338 "/>
    <x v="0"/>
    <n v="2600368"/>
    <m/>
    <m/>
    <m/>
  </r>
  <r>
    <x v="20"/>
    <x v="6"/>
    <s v="D:\Images\20210706\plaque 2/@08 tam 242 + testo/G8_03.tif "/>
    <s v=" 37636.0167 "/>
    <s v=" 68.9517 "/>
    <x v="0"/>
    <n v="2595068"/>
    <m/>
    <m/>
    <m/>
  </r>
  <r>
    <x v="20"/>
    <x v="7"/>
    <s v="D:\Images\20210706\plaque 2/@08 tam 242 + testo/H8_01.tif "/>
    <s v=" 26453.3611 "/>
    <s v=" 73.1725 "/>
    <x v="0"/>
    <n v="1935659"/>
    <m/>
    <m/>
    <m/>
  </r>
  <r>
    <x v="20"/>
    <x v="7"/>
    <s v="D:\Images\20210706\plaque 2/@08 tam 242 + testo/H8_02.tif "/>
    <s v=" 28075.6032 "/>
    <s v=" 73.1471 "/>
    <x v="0"/>
    <n v="2053650"/>
    <m/>
    <m/>
    <m/>
  </r>
  <r>
    <x v="20"/>
    <x v="7"/>
    <s v="D:\Images\20210706\plaque 2/@08 tam 242 + testo/H8_03.tif "/>
    <s v=" 20288.8412 "/>
    <s v=" 71.1333 "/>
    <x v="0"/>
    <n v="1443211"/>
    <m/>
    <m/>
    <m/>
  </r>
  <r>
    <x v="1"/>
    <x v="8"/>
    <s v=" "/>
    <m/>
    <m/>
    <x v="1"/>
    <m/>
    <m/>
    <m/>
    <m/>
  </r>
  <r>
    <x v="1"/>
    <x v="8"/>
    <s v="group "/>
    <s v=" "/>
    <s v=" mean of mean fluo "/>
    <x v="2"/>
    <s v=" mean of total fluo "/>
    <s v=" SD total fluo "/>
    <s v=" n fluorescent "/>
    <s v=" n total"/>
  </r>
  <r>
    <x v="20"/>
    <x v="9"/>
    <s v="D:\Images\20210706\plaque 2/@08 tam 242 + testo/ "/>
    <s v=" "/>
    <s v=" 70.5495 "/>
    <x v="22"/>
    <s v=" 2630215.88 "/>
    <s v=" 1374922.4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D:\Images\20210706\plaque 2/@09  tam 483 + testo/A9_01- exclu.tif"/>
    <m/>
    <m/>
    <x v="1"/>
    <m/>
    <m/>
    <m/>
    <m/>
  </r>
  <r>
    <x v="21"/>
    <x v="0"/>
    <s v="D:\Images\20210706\plaque 2/@09  tam 483 + testo/A9_02- exclu.tif"/>
    <m/>
    <m/>
    <x v="1"/>
    <m/>
    <m/>
    <m/>
    <m/>
  </r>
  <r>
    <x v="21"/>
    <x v="0"/>
    <s v="D:\Images\20210706\plaque 2/@09  tam 483 + testo/A9_03- exclu.tif"/>
    <m/>
    <m/>
    <x v="1"/>
    <m/>
    <m/>
    <m/>
    <m/>
  </r>
  <r>
    <x v="21"/>
    <x v="1"/>
    <s v="D:\Images\20210706\plaque 2/@09  tam 483 + testo/B9_01.tif "/>
    <s v=" 25717.9447 "/>
    <s v=" 67.9638 "/>
    <x v="0"/>
    <n v="1747890"/>
    <m/>
    <m/>
    <m/>
  </r>
  <r>
    <x v="21"/>
    <x v="1"/>
    <s v="D:\Images\20210706\plaque 2/@09  tam 483 + testo/B9_02.tif "/>
    <s v=" 22819.5388 "/>
    <s v=" 66.4976 "/>
    <x v="0"/>
    <n v="1517445"/>
    <m/>
    <m/>
    <m/>
  </r>
  <r>
    <x v="21"/>
    <x v="1"/>
    <s v="D:\Images\20210706\plaque 2/@09  tam 483 + testo/B9_03.tif "/>
    <s v=" 14773.218 "/>
    <s v=" 66.3939 "/>
    <x v="0"/>
    <n v="980851"/>
    <m/>
    <m/>
    <m/>
  </r>
  <r>
    <x v="21"/>
    <x v="2"/>
    <s v="D:\Images\20210706\plaque 2/@09  tam 483 + testo/C9_01.tif "/>
    <s v=" 25609.7952 "/>
    <s v=" 66.8159 "/>
    <x v="0"/>
    <n v="1711141"/>
    <m/>
    <m/>
    <m/>
  </r>
  <r>
    <x v="21"/>
    <x v="2"/>
    <s v="D:\Images\20210706\plaque 2/@09  tam 483 + testo/C9_02.tif "/>
    <s v=" 21521.7452 "/>
    <s v=" 66.4452 "/>
    <x v="0"/>
    <n v="1430017"/>
    <m/>
    <m/>
    <m/>
  </r>
  <r>
    <x v="21"/>
    <x v="2"/>
    <s v="D:\Images\20210706\plaque 2/@09  tam 483 + testo/C9_03.tif "/>
    <s v=" 23533.3254 "/>
    <s v=" 66.4494 "/>
    <x v="0"/>
    <n v="1563776"/>
    <m/>
    <m/>
    <m/>
  </r>
  <r>
    <x v="21"/>
    <x v="3"/>
    <s v="D:\Images\20210706\plaque 2/@09  tam 483 + testo/D9_01.tif "/>
    <s v=" 26020.7632 "/>
    <s v=" 68.084 "/>
    <x v="0"/>
    <n v="1771597"/>
    <m/>
    <m/>
    <m/>
  </r>
  <r>
    <x v="21"/>
    <x v="3"/>
    <s v="D:\Images\20210706\plaque 2/@09  tam 483 + testo/D9_02.tif "/>
    <s v=" 20721.4391 "/>
    <s v=" 67.0073 "/>
    <x v="0"/>
    <n v="1388488"/>
    <m/>
    <m/>
    <m/>
  </r>
  <r>
    <x v="21"/>
    <x v="3"/>
    <s v="D:\Images\20210706\plaque 2/@09  tam 483 + testo/D9_03.tif "/>
    <s v=" 18363.7805 "/>
    <s v=" 67.4582 "/>
    <x v="0"/>
    <n v="1238787"/>
    <m/>
    <m/>
    <m/>
  </r>
  <r>
    <x v="21"/>
    <x v="4"/>
    <s v="D:\Images\20210706\plaque 2/@09  tam 483 + testo/E9_01.tif "/>
    <s v=" 17628.3641 "/>
    <s v=" 66.7791 "/>
    <x v="0"/>
    <n v="1177207"/>
    <m/>
    <m/>
    <m/>
  </r>
  <r>
    <x v="21"/>
    <x v="4"/>
    <s v="D:\Images\20210706\plaque 2/@09  tam 483 + testo/E9_02.tif "/>
    <s v=" 22538.3502 "/>
    <s v=" 67.7092 "/>
    <x v="0"/>
    <n v="1526054"/>
    <m/>
    <m/>
    <m/>
  </r>
  <r>
    <x v="21"/>
    <x v="4"/>
    <s v="D:\Images\20210706\plaque 2/@09  tam 483 + testo/E9_03.tif "/>
    <s v=" 21716.4142 "/>
    <s v=" 66.8297 "/>
    <x v="0"/>
    <n v="1451301"/>
    <m/>
    <m/>
    <m/>
  </r>
  <r>
    <x v="21"/>
    <x v="5"/>
    <s v="D:\Images\20210706\plaque 2/@09  tam 483 + testo/F9_01.tif "/>
    <s v=" 6835.0467 "/>
    <s v=" 64.1424 "/>
    <x v="0"/>
    <n v="438416"/>
    <m/>
    <m/>
    <m/>
  </r>
  <r>
    <x v="21"/>
    <x v="5"/>
    <s v="D:\Images\20210706\plaque 2/@09  tam 483 + testo/F9_02.tif "/>
    <s v=" 2595.5874 "/>
    <s v=" 63.5 "/>
    <x v="0"/>
    <n v="164820"/>
    <m/>
    <m/>
    <m/>
  </r>
  <r>
    <x v="21"/>
    <x v="5"/>
    <s v="D:\Images\20210706\plaque 2/@09  tam 483 + testo/F9_03.tif "/>
    <s v=" 5407.4737 "/>
    <s v=" 63.868 "/>
    <x v="0"/>
    <n v="345365"/>
    <m/>
    <m/>
    <m/>
  </r>
  <r>
    <x v="21"/>
    <x v="6"/>
    <s v="D:\Images\20210706\plaque 2/@09  tam 483 + testo/G9_01.tif "/>
    <s v=" 35256.7282 "/>
    <s v=" 68.8546 "/>
    <x v="0"/>
    <n v="2427588"/>
    <m/>
    <m/>
    <m/>
  </r>
  <r>
    <x v="21"/>
    <x v="6"/>
    <s v="D:\Images\20210706\plaque 2/@09  tam 483 + testo/G9_02.tif "/>
    <s v=" 28378.4218 "/>
    <s v=" 68.4748 "/>
    <x v="0"/>
    <n v="1943208"/>
    <m/>
    <m/>
    <m/>
  </r>
  <r>
    <x v="21"/>
    <x v="6"/>
    <s v="D:\Images\20210706\plaque 2/@09  tam 483 + testo/G9_03.tif "/>
    <s v=" 22603.2399 "/>
    <s v=" 67.71 "/>
    <x v="0"/>
    <n v="1530466"/>
    <m/>
    <m/>
    <m/>
  </r>
  <r>
    <x v="21"/>
    <x v="7"/>
    <s v="D:\Images\20210706\plaque 2/@09  tam 483 + testo/H9_01.tif "/>
    <s v=" 29286.8773 "/>
    <s v=" 67.7629 "/>
    <x v="0"/>
    <n v="1984564"/>
    <m/>
    <m/>
    <m/>
  </r>
  <r>
    <x v="21"/>
    <x v="7"/>
    <s v="D:\Images\20210706\plaque 2/@09  tam 483 + testo/H9_02.tif "/>
    <s v=" 34651.0912 "/>
    <s v=" 68.0325 "/>
    <x v="0"/>
    <n v="2357399"/>
    <m/>
    <m/>
    <m/>
  </r>
  <r>
    <x v="21"/>
    <x v="7"/>
    <s v="D:\Images\20210706\plaque 2/@09  tam 483 + testo/H9_03.tif "/>
    <s v=" 28075.6032 "/>
    <s v=" 67.614 "/>
    <x v="0"/>
    <n v="1898304"/>
    <m/>
    <m/>
    <m/>
  </r>
  <r>
    <x v="1"/>
    <x v="8"/>
    <s v=" "/>
    <m/>
    <m/>
    <x v="1"/>
    <m/>
    <m/>
    <m/>
    <m/>
  </r>
  <r>
    <x v="1"/>
    <x v="8"/>
    <s v="group "/>
    <s v=" "/>
    <s v=" mean of mean fluo "/>
    <x v="2"/>
    <s v=" mean of total fluo "/>
    <s v=" SD total fluo "/>
    <s v=" n fluorescent "/>
    <s v=" n total"/>
  </r>
  <r>
    <x v="21"/>
    <x v="9"/>
    <s v="D:\Images\20210706\plaque 2/@09  tam 483 + testo/ "/>
    <s v=" "/>
    <s v=" 67.4049 "/>
    <x v="23"/>
    <s v=" 1323269.12 "/>
    <s v=" 662065.984 "/>
    <n v="24"/>
    <n v="24"/>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D:\Images\20210707\plaque 1/@01 Témoins solvant/A1_01.tif "/>
    <s v=" 930.0855 "/>
    <s v=" 64.7907 "/>
    <x v="0"/>
    <n v="60261"/>
    <m/>
    <m/>
    <m/>
  </r>
  <r>
    <x v="0"/>
    <x v="0"/>
    <s v="D:\Images\20210707\plaque 1/@01 Témoins solvant/A1_02.tif "/>
    <s v=" 930.0855 "/>
    <s v=" 64.1163 "/>
    <x v="0"/>
    <n v="59634"/>
    <m/>
    <m/>
    <m/>
  </r>
  <r>
    <x v="0"/>
    <x v="0"/>
    <s v="D:\Images\20210707\plaque 1/@01 Témoins solvant/A1_03.tif "/>
    <s v=" 1168.0143 "/>
    <s v=" 65.3148 "/>
    <x v="0"/>
    <n v="76289"/>
    <m/>
    <m/>
    <m/>
  </r>
  <r>
    <x v="0"/>
    <x v="1"/>
    <s v="D:\Images\20210707\plaque 1/@01 Témoins solvant/B1_01.tif "/>
    <s v=" 4996.5057 "/>
    <s v=" 67.2121 "/>
    <x v="0"/>
    <n v="335826"/>
    <m/>
    <m/>
    <m/>
  </r>
  <r>
    <x v="0"/>
    <x v="1"/>
    <s v="D:\Images\20210707\plaque 1/@01 Témoins solvant/B1_02.tif "/>
    <s v=" 1492.4627 "/>
    <s v=" 63.1014 "/>
    <x v="0"/>
    <n v="94177"/>
    <m/>
    <m/>
    <m/>
  </r>
  <r>
    <x v="0"/>
    <x v="1"/>
    <s v="D:\Images\20210707\plaque 1/@01 Témoins solvant/B1_03.tif "/>
    <s v=" 1903.4307 "/>
    <s v=" 63.5568 "/>
    <x v="0"/>
    <n v="120976"/>
    <m/>
    <m/>
    <m/>
  </r>
  <r>
    <x v="0"/>
    <x v="2"/>
    <s v="D:\Images\20210707\plaque 1/@01 Témoins solvant/C1_01.tif "/>
    <s v=" 389.3381 "/>
    <s v=" 63.3889 "/>
    <x v="0"/>
    <n v="24680"/>
    <m/>
    <m/>
    <m/>
  </r>
  <r>
    <x v="0"/>
    <x v="2"/>
    <s v="D:\Images\20210707\plaque 1/@01 Témoins solvant/C1_02.tif "/>
    <s v=" 1038.2349 "/>
    <s v=" 65.1875 "/>
    <x v="0"/>
    <n v="67680"/>
    <m/>
    <m/>
    <m/>
  </r>
  <r>
    <x v="0"/>
    <x v="2"/>
    <s v="D:\Images\20210707\plaque 1/@01 Témoins solvant/C1_03.tif "/>
    <s v=" 973.3453 "/>
    <s v=" 64.4444 "/>
    <x v="0"/>
    <n v="62727"/>
    <m/>
    <m/>
    <m/>
  </r>
  <r>
    <x v="0"/>
    <x v="3"/>
    <s v="D:\Images\20210707\plaque 1/@01 Témoins solvant/D1_01.tif "/>
    <s v=" 1254.5339 "/>
    <s v=" 68.5 "/>
    <x v="0"/>
    <n v="85936"/>
    <m/>
    <m/>
    <m/>
  </r>
  <r>
    <x v="0"/>
    <x v="3"/>
    <s v="D:\Images\20210707\plaque 1/@01 Témoins solvant/D1_02.tif "/>
    <s v=" 2076.4699 "/>
    <s v=" 64.3542 "/>
    <x v="0"/>
    <n v="133629"/>
    <m/>
    <m/>
    <m/>
  </r>
  <r>
    <x v="0"/>
    <x v="3"/>
    <s v="D:\Images\20210707\plaque 1/@01 Témoins solvant/D1_03.tif "/>
    <s v=" 821.936 "/>
    <s v=" 65.0789 "/>
    <x v="0"/>
    <n v="53491"/>
    <m/>
    <m/>
    <m/>
  </r>
  <r>
    <x v="0"/>
    <x v="4"/>
    <s v="D:\Images\20210707\plaque 1/@01 Témoins solvant/E1_01.tif "/>
    <s v=" 1968.3204 "/>
    <s v=" 65.1209 "/>
    <x v="0"/>
    <n v="128179"/>
    <m/>
    <m/>
    <m/>
  </r>
  <r>
    <x v="0"/>
    <x v="4"/>
    <s v="D:\Images\20210707\plaque 1/@01 Témoins solvant/E1_02.tif "/>
    <s v=" 2725.3667 "/>
    <s v=" 64.7698 "/>
    <x v="0"/>
    <n v="176522"/>
    <m/>
    <m/>
    <m/>
  </r>
  <r>
    <x v="0"/>
    <x v="4"/>
    <s v="D:\Images\20210707\plaque 1/@01 Témoins solvant/E1_03.tif "/>
    <s v=" 2703.7368 "/>
    <s v=" 65.368 "/>
    <x v="0"/>
    <n v="176738"/>
    <m/>
    <m/>
    <m/>
  </r>
  <r>
    <x v="0"/>
    <x v="5"/>
    <s v="D:\Images\20210707\plaque 1/@01 Témoins solvant/F1_01.tif "/>
    <s v=" 2487.4379 "/>
    <s v=" 66.9739 "/>
    <x v="0"/>
    <n v="166593"/>
    <m/>
    <m/>
    <m/>
  </r>
  <r>
    <x v="0"/>
    <x v="5"/>
    <s v="D:\Images\20210707\plaque 1/@01 Témoins solvant/F1_02.tif "/>
    <s v=" 2119.7297 "/>
    <s v=" 67.5816 "/>
    <x v="0"/>
    <n v="143255"/>
    <m/>
    <m/>
    <m/>
  </r>
  <r>
    <x v="0"/>
    <x v="5"/>
    <s v="D:\Images\20210707\plaque 1/@01 Témoins solvant/F1_03.tif "/>
    <s v=" 1881.8008 "/>
    <s v=" 65.023 "/>
    <x v="0"/>
    <n v="122360"/>
    <m/>
    <m/>
    <m/>
  </r>
  <r>
    <x v="0"/>
    <x v="6"/>
    <s v="D:\Images\20210707\plaque 1/@01 Témoins solvant/G1_01.tif "/>
    <s v=" 973.3453 "/>
    <s v=" 64.7111 "/>
    <x v="0"/>
    <n v="62986"/>
    <m/>
    <m/>
    <m/>
  </r>
  <r>
    <x v="0"/>
    <x v="6"/>
    <s v="D:\Images\20210707\plaque 1/@01 Témoins solvant/G1_02.tif "/>
    <s v=" 886.8257 "/>
    <s v=" 64.8537 "/>
    <x v="0"/>
    <n v="57514"/>
    <m/>
    <m/>
    <m/>
  </r>
  <r>
    <x v="0"/>
    <x v="6"/>
    <s v="D:\Images\20210707\plaque 1/@01 Témoins solvant/G1_03.tif "/>
    <s v=" 778.6762 "/>
    <s v=" 63.5556 "/>
    <x v="0"/>
    <n v="49489"/>
    <m/>
    <m/>
    <m/>
  </r>
  <r>
    <x v="0"/>
    <x v="7"/>
    <s v="D:\Images\20210707\plaque 1/@01 Témoins solvant/H1_01- exclu.tif"/>
    <m/>
    <m/>
    <x v="1"/>
    <m/>
    <m/>
    <m/>
    <m/>
  </r>
  <r>
    <x v="0"/>
    <x v="7"/>
    <s v="D:\Images\20210707\plaque 1/@01 Témoins solvant/H1_02.tif "/>
    <s v=" 237.9288 "/>
    <s v=" 66.5455 "/>
    <x v="0"/>
    <n v="15833"/>
    <m/>
    <m/>
    <m/>
  </r>
  <r>
    <x v="0"/>
    <x v="7"/>
    <s v="D:\Images\20210707\plaque 1/@01 Témoins solvant/H1_03.tif "/>
    <s v=" 605.637 "/>
    <s v=" 65.7857 "/>
    <x v="0"/>
    <n v="39842"/>
    <m/>
    <m/>
    <m/>
  </r>
  <r>
    <x v="1"/>
    <x v="8"/>
    <s v=" "/>
    <m/>
    <m/>
    <x v="1"/>
    <m/>
    <m/>
    <m/>
    <m/>
  </r>
  <r>
    <x v="1"/>
    <x v="8"/>
    <s v="group "/>
    <s v=" "/>
    <s v=" mean of mean fluo "/>
    <x v="2"/>
    <s v=" mean of total fluo "/>
    <s v=" SD total fluo "/>
    <s v=" n fluorescent "/>
    <s v=" n total"/>
  </r>
  <r>
    <x v="0"/>
    <x v="9"/>
    <s v="D:\Images\20210707\plaque 1/@01 Témoins solvant/ "/>
    <s v=" "/>
    <s v=" 65.1181 "/>
    <x v="3"/>
    <s v=" 97129.125 "/>
    <s v=" 70405.141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D:\Images\20210707\plaque 1/@02 EE2 33.8/A2_01.tif "/>
    <s v=" 584.0072 "/>
    <s v=" 63.9259 "/>
    <x v="0"/>
    <n v="37333"/>
    <m/>
    <m/>
    <m/>
  </r>
  <r>
    <x v="2"/>
    <x v="0"/>
    <s v="D:\Images\20210707\plaque 1/@02 EE2 33.8/A2_02.tif "/>
    <s v=" 1103.1246 "/>
    <s v=" 64.8431 "/>
    <x v="0"/>
    <n v="71530"/>
    <m/>
    <m/>
    <m/>
  </r>
  <r>
    <x v="2"/>
    <x v="0"/>
    <s v="D:\Images\20210707\plaque 1/@02 EE2 33.8/A2_03.tif "/>
    <s v=" 173.0392 "/>
    <s v=" 65.875 "/>
    <x v="0"/>
    <n v="11399"/>
    <m/>
    <m/>
    <m/>
  </r>
  <r>
    <x v="2"/>
    <x v="1"/>
    <s v="D:\Images\20210707\plaque 1/@02 EE2 33.8/B2_01.tif "/>
    <s v=" 1168.0143 "/>
    <s v=" 64.037 "/>
    <x v="0"/>
    <n v="74796"/>
    <m/>
    <m/>
    <m/>
  </r>
  <r>
    <x v="2"/>
    <x v="1"/>
    <s v="D:\Images\20210707\plaque 1/@02 EE2 33.8/B2_02.tif "/>
    <s v=" 3568.9326 "/>
    <s v=" 65.297 "/>
    <x v="0"/>
    <n v="233040"/>
    <m/>
    <m/>
    <m/>
  </r>
  <r>
    <x v="2"/>
    <x v="1"/>
    <s v="D:\Images\20210707\plaque 1/@02 EE2 33.8/B2_03- exclu.tif"/>
    <m/>
    <m/>
    <x v="1"/>
    <m/>
    <m/>
    <m/>
    <m/>
  </r>
  <r>
    <x v="2"/>
    <x v="2"/>
    <s v="D:\Images\20210707\plaque 1/@02 EE2 33.8/C2_01.tif "/>
    <s v=" 1016.605 "/>
    <s v=" 65.8936 "/>
    <x v="0"/>
    <n v="66988"/>
    <m/>
    <m/>
    <m/>
  </r>
  <r>
    <x v="2"/>
    <x v="2"/>
    <s v="D:\Images\20210707\plaque 1/@02 EE2 33.8/C2_02.tif "/>
    <s v=" 562.3773 "/>
    <s v=" 62.8846 "/>
    <x v="0"/>
    <n v="35365"/>
    <m/>
    <m/>
    <m/>
  </r>
  <r>
    <x v="2"/>
    <x v="2"/>
    <s v="D:\Images\20210707\plaque 1/@02 EE2 33.8/C2_03.tif "/>
    <s v=" 692.1566 "/>
    <s v=" 66.8125 "/>
    <x v="0"/>
    <n v="46245"/>
    <m/>
    <m/>
    <m/>
  </r>
  <r>
    <x v="2"/>
    <x v="3"/>
    <s v="D:\Images\20210707\plaque 1/@02 EE2 33.8/D2_01.tif "/>
    <s v=" 11096.1359 "/>
    <s v=" 67.3606 "/>
    <x v="0"/>
    <n v="747443"/>
    <m/>
    <m/>
    <m/>
  </r>
  <r>
    <x v="2"/>
    <x v="3"/>
    <s v="D:\Images\20210707\plaque 1/@02 EE2 33.8/D2_02.tif "/>
    <s v=" 3979.9006 "/>
    <s v=" 63.2446 "/>
    <x v="0"/>
    <n v="251707"/>
    <m/>
    <m/>
    <m/>
  </r>
  <r>
    <x v="2"/>
    <x v="3"/>
    <s v="D:\Images\20210707\plaque 1/@02 EE2 33.8/D2_03.tif "/>
    <s v=" 1232.904 "/>
    <s v=" 63.7368 "/>
    <x v="0"/>
    <n v="78581"/>
    <m/>
    <m/>
    <m/>
  </r>
  <r>
    <x v="2"/>
    <x v="4"/>
    <s v="D:\Images\20210707\plaque 1/@02 EE2 33.8/E2_01.tif "/>
    <s v=" 843.5659 "/>
    <s v=" 62.8462 "/>
    <x v="0"/>
    <n v="53015"/>
    <m/>
    <m/>
    <m/>
  </r>
  <r>
    <x v="2"/>
    <x v="4"/>
    <s v="D:\Images\20210707\plaque 1/@02 EE2 33.8/E2_02.tif "/>
    <s v=" 627.2669 "/>
    <s v=" 63.8621 "/>
    <x v="0"/>
    <n v="40059"/>
    <m/>
    <m/>
    <m/>
  </r>
  <r>
    <x v="2"/>
    <x v="4"/>
    <s v="D:\Images\20210707\plaque 1/@02 EE2 33.8/E2_03.tif "/>
    <s v=" 1427.573 "/>
    <s v=" 63.9545 "/>
    <x v="0"/>
    <n v="91300"/>
    <m/>
    <m/>
    <m/>
  </r>
  <r>
    <x v="2"/>
    <x v="5"/>
    <s v="D:\Images\20210707\plaque 1/@02 EE2 33.8/F2_01.tif "/>
    <s v=" 324.4484 "/>
    <s v=" 63.8667 "/>
    <x v="0"/>
    <n v="20721"/>
    <m/>
    <m/>
    <m/>
  </r>
  <r>
    <x v="2"/>
    <x v="5"/>
    <s v="D:\Images\20210707\plaque 1/@02 EE2 33.8/F2_02.tif "/>
    <s v=" 454.2278 "/>
    <s v=" 64.5714 "/>
    <x v="0"/>
    <n v="29330"/>
    <m/>
    <m/>
    <m/>
  </r>
  <r>
    <x v="2"/>
    <x v="5"/>
    <s v="D:\Images\20210707\plaque 1/@02 EE2 33.8/F2_03.tif "/>
    <s v=" 843.5659 "/>
    <s v=" 70.4615 "/>
    <x v="0"/>
    <n v="59439"/>
    <m/>
    <m/>
    <m/>
  </r>
  <r>
    <x v="2"/>
    <x v="6"/>
    <s v="D:\Images\20210707\plaque 1/@02 EE2 33.8/G2_01.tif "/>
    <s v=" 519.1175 "/>
    <n v="63"/>
    <x v="0"/>
    <n v="32704"/>
    <m/>
    <m/>
    <m/>
  </r>
  <r>
    <x v="2"/>
    <x v="6"/>
    <s v="D:\Images\20210707\plaque 1/@02 EE2 33.8/G2_02.tif "/>
    <s v=" 1708.7617 "/>
    <s v=" 64.0506 "/>
    <x v="0"/>
    <n v="109447"/>
    <m/>
    <m/>
    <m/>
  </r>
  <r>
    <x v="2"/>
    <x v="6"/>
    <s v="D:\Images\20210707\plaque 1/@02 EE2 33.8/G2_03.tif "/>
    <s v=" 497.4876 "/>
    <s v=" 65.6957 "/>
    <x v="0"/>
    <n v="32683"/>
    <m/>
    <m/>
    <m/>
  </r>
  <r>
    <x v="2"/>
    <x v="7"/>
    <s v="D:\Images\20210707\plaque 1/@02 EE2 33.8/H2_01.tif "/>
    <s v=" 432.5979 "/>
    <s v=" 62.45 "/>
    <x v="0"/>
    <n v="27016"/>
    <m/>
    <m/>
    <m/>
  </r>
  <r>
    <x v="2"/>
    <x v="7"/>
    <s v="D:\Images\20210707\plaque 1/@02 EE2 33.8/H2_02.tif "/>
    <s v=" 259.5587 "/>
    <s v=" 62.75 "/>
    <x v="0"/>
    <n v="16287"/>
    <m/>
    <m/>
    <m/>
  </r>
  <r>
    <x v="2"/>
    <x v="7"/>
    <s v="D:\Images\20210707\plaque 1/@02 EE2 33.8/H2_03.tif "/>
    <s v=" 216.2989 "/>
    <s v=" 65.7 "/>
    <x v="0"/>
    <n v="14211"/>
    <m/>
    <m/>
    <m/>
  </r>
  <r>
    <x v="1"/>
    <x v="8"/>
    <s v=" "/>
    <m/>
    <m/>
    <x v="1"/>
    <m/>
    <m/>
    <m/>
    <m/>
  </r>
  <r>
    <x v="1"/>
    <x v="8"/>
    <s v="group "/>
    <s v=" "/>
    <s v=" mean of mean fluo "/>
    <x v="2"/>
    <s v=" mean of total fluo "/>
    <s v=" SD total fluo "/>
    <s v=" n fluorescent "/>
    <s v=" n total"/>
  </r>
  <r>
    <x v="2"/>
    <x v="9"/>
    <s v="D:\Images\20210707\plaque 1/@02 EE2 33.8/ "/>
    <s v=" "/>
    <s v=" 64.7051 "/>
    <x v="4"/>
    <s v=" 95367.0833 "/>
    <s v=" 151647.80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D:\Images\20210707\plaque 1/@03 EE2 50/A3_01.tif "/>
    <s v=" 367.7082 "/>
    <s v=" 63.0588 "/>
    <x v="0"/>
    <n v="23187"/>
    <m/>
    <m/>
    <m/>
  </r>
  <r>
    <x v="3"/>
    <x v="0"/>
    <s v="D:\Images\20210707\plaque 1/@03 EE2 50/A3_02.tif "/>
    <s v=" 1946.6905 "/>
    <s v=" 65.8889 "/>
    <x v="0"/>
    <n v="128265"/>
    <m/>
    <m/>
    <m/>
  </r>
  <r>
    <x v="3"/>
    <x v="0"/>
    <s v="D:\Images\20210707\plaque 1/@03 EE2 50/A3_03- exclu.tif"/>
    <m/>
    <m/>
    <x v="1"/>
    <m/>
    <m/>
    <m/>
    <m/>
  </r>
  <r>
    <x v="3"/>
    <x v="1"/>
    <s v="D:\Images\20210707\plaque 1/@03 EE2 50/B3_01.tif "/>
    <s v=" 3266.1141 "/>
    <s v=" 64.6623 "/>
    <x v="0"/>
    <n v="211194"/>
    <m/>
    <m/>
    <m/>
  </r>
  <r>
    <x v="3"/>
    <x v="1"/>
    <s v="D:\Images\20210707\plaque 1/@03 EE2 50/B3_02.tif "/>
    <s v=" 2682.1069 "/>
    <s v=" 66.3871 "/>
    <x v="0"/>
    <n v="178057"/>
    <m/>
    <m/>
    <m/>
  </r>
  <r>
    <x v="3"/>
    <x v="1"/>
    <s v="D:\Images\20210707\plaque 1/@03 EE2 50/B3_03.tif "/>
    <s v=" 1622.2421 "/>
    <s v=" 65.2667 "/>
    <x v="0"/>
    <n v="105878"/>
    <m/>
    <m/>
    <m/>
  </r>
  <r>
    <x v="3"/>
    <x v="2"/>
    <s v="D:\Images\20210707\plaque 1/@03 EE2 50/C3_01.tif "/>
    <s v=" 1816.9111 "/>
    <s v=" 63.7738 "/>
    <x v="0"/>
    <n v="115871"/>
    <m/>
    <m/>
    <m/>
  </r>
  <r>
    <x v="3"/>
    <x v="2"/>
    <s v="D:\Images\20210707\plaque 1/@03 EE2 50/C3_02.tif "/>
    <s v=" 1708.7617 "/>
    <s v=" 62.7215 "/>
    <x v="0"/>
    <n v="107176"/>
    <m/>
    <m/>
    <m/>
  </r>
  <r>
    <x v="3"/>
    <x v="2"/>
    <s v="D:\Images\20210707\plaque 1/@03 EE2 50/C3_03.tif "/>
    <s v=" 4477.3882 "/>
    <s v=" 65.4686 "/>
    <x v="0"/>
    <n v="293128"/>
    <m/>
    <m/>
    <m/>
  </r>
  <r>
    <x v="3"/>
    <x v="3"/>
    <s v="D:\Images\20210707\plaque 1/@03 EE2 50/D3_01.tif "/>
    <s v=" 302.8185 "/>
    <s v=" 64.1429 "/>
    <x v="0"/>
    <n v="19424"/>
    <m/>
    <m/>
    <m/>
  </r>
  <r>
    <x v="3"/>
    <x v="3"/>
    <s v="D:\Images\20210707\plaque 1/@03 EE2 50/D3_02.tif "/>
    <s v=" 1362.6834 "/>
    <s v=" 64.873 "/>
    <x v="0"/>
    <n v="88401"/>
    <m/>
    <m/>
    <m/>
  </r>
  <r>
    <x v="3"/>
    <x v="3"/>
    <s v="D:\Images\20210707\plaque 1/@03 EE2 50/D3_03.tif "/>
    <s v=" 389.3381 "/>
    <s v=" 62.3333 "/>
    <x v="0"/>
    <n v="24269"/>
    <m/>
    <m/>
    <m/>
  </r>
  <r>
    <x v="3"/>
    <x v="4"/>
    <s v="D:\Images\20210707\plaque 1/@03 EE2 50/E3_01.tif "/>
    <s v=" 1059.8648 "/>
    <s v=" 64.2245 "/>
    <x v="0"/>
    <n v="68069"/>
    <m/>
    <m/>
    <m/>
  </r>
  <r>
    <x v="3"/>
    <x v="4"/>
    <s v="D:\Images\20210707\plaque 1/@03 EE2 50/E3_02.tif "/>
    <s v=" 432.5979 "/>
    <s v=" 63.1 "/>
    <x v="0"/>
    <n v="27297"/>
    <m/>
    <m/>
    <m/>
  </r>
  <r>
    <x v="3"/>
    <x v="4"/>
    <s v="D:\Images\20210707\plaque 1/@03 EE2 50/E3_03.tif "/>
    <s v=" 843.5659 "/>
    <s v=" 65.2821 "/>
    <x v="0"/>
    <n v="55070"/>
    <m/>
    <m/>
    <m/>
  </r>
  <r>
    <x v="3"/>
    <x v="5"/>
    <s v="D:\Images\20210707\plaque 1/@03 EE2 50/F3_01.tif "/>
    <s v=" 713.7865 "/>
    <s v=" 64.9394 "/>
    <x v="0"/>
    <n v="46353"/>
    <m/>
    <m/>
    <m/>
  </r>
  <r>
    <x v="3"/>
    <x v="5"/>
    <s v="D:\Images\20210707\plaque 1/@03 EE2 50/F3_02.tif "/>
    <s v=" 627.2669 "/>
    <s v=" 62.7931 "/>
    <x v="0"/>
    <n v="39388"/>
    <m/>
    <m/>
    <m/>
  </r>
  <r>
    <x v="3"/>
    <x v="5"/>
    <s v="D:\Images\20210707\plaque 1/@03 EE2 50/F3_03- exclu.tif"/>
    <m/>
    <m/>
    <x v="1"/>
    <m/>
    <m/>
    <m/>
    <m/>
  </r>
  <r>
    <x v="3"/>
    <x v="6"/>
    <s v="D:\Images\20210707\plaque 1/@03 EE2 50/G3_01.tif "/>
    <s v=" 2509.0678 "/>
    <s v=" 64.8534 "/>
    <x v="0"/>
    <n v="162722"/>
    <m/>
    <m/>
    <m/>
  </r>
  <r>
    <x v="3"/>
    <x v="6"/>
    <s v="D:\Images\20210707\plaque 1/@03 EE2 50/G3_02.tif "/>
    <s v=" 11117.7658 "/>
    <s v=" 80.7237 "/>
    <x v="0"/>
    <n v="897468"/>
    <m/>
    <m/>
    <m/>
  </r>
  <r>
    <x v="3"/>
    <x v="6"/>
    <s v="D:\Images\20210707\plaque 1/@03 EE2 50/G3_03.tif "/>
    <s v=" 5840.0715 "/>
    <s v=" 70.8667 "/>
    <x v="0"/>
    <n v="413866"/>
    <m/>
    <m/>
    <m/>
  </r>
  <r>
    <x v="3"/>
    <x v="7"/>
    <s v="D:\Images\20210707\plaque 1/@03 EE2 50/H3_01.tif "/>
    <s v=" 108.1495 "/>
    <n v="66"/>
    <x v="0"/>
    <n v="7138"/>
    <m/>
    <m/>
    <m/>
  </r>
  <r>
    <x v="3"/>
    <x v="7"/>
    <s v="D:\Images\20210707\plaque 1/@03 EE2 50/H3_02.tif "/>
    <s v=" 324.4484 "/>
    <s v=" 64.4667 "/>
    <x v="0"/>
    <n v="20916"/>
    <m/>
    <m/>
    <m/>
  </r>
  <r>
    <x v="3"/>
    <x v="7"/>
    <s v="D:\Images\20210707\plaque 1/@03 EE2 50/H3_03.tif "/>
    <s v=" 216.2989 "/>
    <s v=" 63.1 "/>
    <x v="0"/>
    <n v="13648"/>
    <m/>
    <m/>
    <m/>
  </r>
  <r>
    <x v="1"/>
    <x v="8"/>
    <s v=" "/>
    <m/>
    <m/>
    <x v="1"/>
    <m/>
    <m/>
    <m/>
    <m/>
  </r>
  <r>
    <x v="1"/>
    <x v="8"/>
    <s v="group "/>
    <s v=" "/>
    <s v=" mean of mean fluo "/>
    <x v="2"/>
    <s v=" mean of total fluo "/>
    <s v=" SD total fluo "/>
    <s v=" n fluorescent "/>
    <s v=" n total"/>
  </r>
  <r>
    <x v="3"/>
    <x v="9"/>
    <s v="D:\Images\20210707\plaque 1/@03 EE2 50/ "/>
    <s v=" "/>
    <s v=" 65.2892 "/>
    <x v="5"/>
    <s v=" 128439.125 "/>
    <s v=" 191666.70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D:\Images\20210707\plaque 1/@04 EE2 76/A4_01.tif "/>
    <s v=" 2638.8471 "/>
    <s v=" 63.959 "/>
    <x v="0"/>
    <n v="168778"/>
    <m/>
    <m/>
    <m/>
  </r>
  <r>
    <x v="4"/>
    <x v="0"/>
    <s v="D:\Images\20210707\plaque 1/@04 EE2 76/A4_02.tif "/>
    <s v=" 6791.7869 "/>
    <s v=" 64.9331 "/>
    <x v="0"/>
    <n v="441012"/>
    <m/>
    <m/>
    <m/>
  </r>
  <r>
    <x v="4"/>
    <x v="0"/>
    <s v="D:\Images\20210707\plaque 1/@04 EE2 76/A4_03.tif "/>
    <s v=" 3633.8223 "/>
    <s v=" 63.25 "/>
    <x v="0"/>
    <n v="229839"/>
    <m/>
    <m/>
    <m/>
  </r>
  <r>
    <x v="4"/>
    <x v="1"/>
    <s v="D:\Images\20210707\plaque 1/@04 EE2 76/B4_01- exclu.tif"/>
    <m/>
    <m/>
    <x v="1"/>
    <m/>
    <m/>
    <m/>
    <m/>
  </r>
  <r>
    <x v="4"/>
    <x v="1"/>
    <s v="D:\Images\20210707\plaque 1/@04 EE2 76/B4_02.tif "/>
    <s v=" 3720.3419 "/>
    <s v=" 63.5523 "/>
    <x v="0"/>
    <n v="236436"/>
    <m/>
    <m/>
    <m/>
  </r>
  <r>
    <x v="4"/>
    <x v="1"/>
    <s v="D:\Images\20210707\plaque 1/@04 EE2 76/B4_03.tif "/>
    <s v=" 3114.7048 "/>
    <s v=" 62.9375 "/>
    <x v="0"/>
    <n v="196032"/>
    <m/>
    <m/>
    <m/>
  </r>
  <r>
    <x v="4"/>
    <x v="2"/>
    <s v="D:\Images\20210707\plaque 1/@04 EE2 76/C4_01.tif "/>
    <s v=" 15854.7128 "/>
    <s v=" 65.8049 "/>
    <x v="0"/>
    <n v="1043318"/>
    <m/>
    <m/>
    <m/>
  </r>
  <r>
    <x v="4"/>
    <x v="2"/>
    <s v="D:\Images\20210707\plaque 1/@04 EE2 76/C4_02.tif "/>
    <s v=" 11161.0256 "/>
    <s v=" 64.3798 "/>
    <x v="0"/>
    <n v="718545"/>
    <m/>
    <m/>
    <m/>
  </r>
  <r>
    <x v="4"/>
    <x v="2"/>
    <s v="D:\Images\20210707\plaque 1/@04 EE2 76/C4_03.tif "/>
    <s v=" 16676.6488 "/>
    <s v=" 65.6783 "/>
    <x v="0"/>
    <n v="1095295"/>
    <m/>
    <m/>
    <m/>
  </r>
  <r>
    <x v="4"/>
    <x v="3"/>
    <s v="D:\Images\20210707\plaque 1/@04 EE2 76/D4_01.tif "/>
    <s v=" 6467.3385 "/>
    <s v=" 64.4448 "/>
    <x v="0"/>
    <n v="416786"/>
    <m/>
    <m/>
    <m/>
  </r>
  <r>
    <x v="4"/>
    <x v="3"/>
    <s v="D:\Images\20210707\plaque 1/@04 EE2 76/D4_02.tif "/>
    <s v=" 5840.0715 "/>
    <s v=" 64.5778 "/>
    <x v="0"/>
    <n v="377139"/>
    <m/>
    <m/>
    <m/>
  </r>
  <r>
    <x v="4"/>
    <x v="3"/>
    <s v="D:\Images\20210707\plaque 1/@04 EE2 76/D4_03.tif "/>
    <s v=" 6034.7406 "/>
    <s v=" 64.2616 "/>
    <x v="0"/>
    <n v="387802"/>
    <m/>
    <m/>
    <m/>
  </r>
  <r>
    <x v="4"/>
    <x v="4"/>
    <s v="D:\Images\20210707\plaque 1/@04 EE2 76/E4_01.tif "/>
    <s v=" 9690.1928 "/>
    <s v=" 64.9286 "/>
    <x v="0"/>
    <n v="629170"/>
    <m/>
    <m/>
    <m/>
  </r>
  <r>
    <x v="4"/>
    <x v="4"/>
    <s v="D:\Images\20210707\plaque 1/@04 EE2 76/E4_02.tif "/>
    <s v=" 14145.9511 "/>
    <s v=" 66.3073 "/>
    <x v="0"/>
    <n v="937980"/>
    <m/>
    <m/>
    <m/>
  </r>
  <r>
    <x v="4"/>
    <x v="4"/>
    <s v="D:\Images\20210707\plaque 1/@04 EE2 76/E4_03.tif "/>
    <s v=" 7851.6518 "/>
    <s v=" 64.9862 "/>
    <x v="0"/>
    <n v="510249"/>
    <m/>
    <m/>
    <m/>
  </r>
  <r>
    <x v="4"/>
    <x v="5"/>
    <s v="D:\Images\20210707\plaque 1/@04 EE2 76/F4_01.tif "/>
    <s v=" 20699.8092 "/>
    <s v=" 65.6092 "/>
    <x v="0"/>
    <n v="1358098"/>
    <m/>
    <m/>
    <m/>
  </r>
  <r>
    <x v="4"/>
    <x v="5"/>
    <s v="D:\Images\20210707\plaque 1/@04 EE2 76/F4_02.tif "/>
    <s v=" 25782.8344 "/>
    <s v=" 66.3381 "/>
    <x v="0"/>
    <n v="1710384"/>
    <m/>
    <m/>
    <m/>
  </r>
  <r>
    <x v="4"/>
    <x v="5"/>
    <s v="D:\Images\20210707\plaque 1/@04 EE2 76/F4_03.tif "/>
    <s v=" 22473.4605 "/>
    <s v=" 65.9913 "/>
    <x v="0"/>
    <n v="1483054"/>
    <m/>
    <m/>
    <m/>
  </r>
  <r>
    <x v="4"/>
    <x v="6"/>
    <s v="D:\Images\20210707\plaque 1/@04 EE2 76/G4_01- exclu.tif"/>
    <m/>
    <m/>
    <x v="1"/>
    <m/>
    <m/>
    <m/>
    <m/>
  </r>
  <r>
    <x v="4"/>
    <x v="6"/>
    <s v="D:\Images\20210707\plaque 1/@04 EE2 76/G4_02.tif "/>
    <s v=" 346.0783 "/>
    <s v=" 63.5625 "/>
    <x v="0"/>
    <n v="21998"/>
    <m/>
    <m/>
    <m/>
  </r>
  <r>
    <x v="4"/>
    <x v="6"/>
    <s v="D:\Images\20210707\plaque 1/@04 EE2 76/G4_03.tif "/>
    <s v=" 1449.2029 "/>
    <s v=" 66.8507 "/>
    <x v="0"/>
    <n v="96880"/>
    <m/>
    <m/>
    <m/>
  </r>
  <r>
    <x v="4"/>
    <x v="7"/>
    <s v="D:\Images\20210707\plaque 1/@04 EE2 76/H4_01.tif "/>
    <s v=" 6294.2993 "/>
    <s v=" 64.7595 "/>
    <x v="0"/>
    <n v="407615"/>
    <m/>
    <m/>
    <m/>
  </r>
  <r>
    <x v="4"/>
    <x v="7"/>
    <s v="D:\Images\20210707\plaque 1/@04 EE2 76/H4_02.tif "/>
    <s v=" 4888.3562 "/>
    <s v=" 64.6681 "/>
    <x v="0"/>
    <n v="316121"/>
    <m/>
    <m/>
    <m/>
  </r>
  <r>
    <x v="4"/>
    <x v="7"/>
    <s v="D:\Images\20210707\plaque 1/@04 EE2 76/H4_03.tif "/>
    <s v=" 4131.3099 "/>
    <s v=" 63.8272 "/>
    <x v="0"/>
    <n v="263690"/>
    <m/>
    <m/>
    <m/>
  </r>
  <r>
    <x v="1"/>
    <x v="8"/>
    <s v=" "/>
    <m/>
    <m/>
    <x v="1"/>
    <m/>
    <m/>
    <m/>
    <m/>
  </r>
  <r>
    <x v="1"/>
    <x v="8"/>
    <s v="group "/>
    <s v=" "/>
    <s v=" mean of mean fluo "/>
    <x v="2"/>
    <s v=" mean of total fluo "/>
    <s v=" SD total fluo "/>
    <s v=" n fluorescent "/>
    <s v=" n total"/>
  </r>
  <r>
    <x v="4"/>
    <x v="9"/>
    <s v="D:\Images\20210707\plaque 1/@04 EE2 76/ "/>
    <s v=" "/>
    <s v=" 64.9226 "/>
    <x v="6"/>
    <s v=" 564162.583 "/>
    <s v=" 465257.08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D:\Images\20210707\plaque 1/@05 EE2 114/A5_01.tif "/>
    <s v=" 12458.8193 "/>
    <s v=" 67.9028 "/>
    <x v="0"/>
    <n v="845988"/>
    <m/>
    <m/>
    <m/>
  </r>
  <r>
    <x v="5"/>
    <x v="0"/>
    <s v="D:\Images\20210707\plaque 1/@05 EE2 114/A5_02.tif "/>
    <s v=" 13713.3532 "/>
    <s v=" 66.9921 "/>
    <x v="0"/>
    <n v="918687"/>
    <m/>
    <m/>
    <m/>
  </r>
  <r>
    <x v="5"/>
    <x v="0"/>
    <s v="D:\Images\20210707\plaque 1/@05 EE2 114/A5_03.tif "/>
    <s v=" 13518.6841 "/>
    <s v=" 68.7568 "/>
    <x v="0"/>
    <n v="929501"/>
    <m/>
    <m/>
    <m/>
  </r>
  <r>
    <x v="5"/>
    <x v="1"/>
    <s v="D:\Images\20210707\plaque 1/@05 EE2 114/B5_01.tif "/>
    <s v=" 37398.0878 "/>
    <s v=" 72.9265 "/>
    <x v="0"/>
    <n v="2727313"/>
    <m/>
    <m/>
    <m/>
  </r>
  <r>
    <x v="5"/>
    <x v="1"/>
    <s v="D:\Images\20210707\plaque 1/@05 EE2 114/B5_02.tif "/>
    <s v=" 34910.6499 "/>
    <s v=" 72.3253 "/>
    <x v="0"/>
    <n v="2524922"/>
    <m/>
    <m/>
    <m/>
  </r>
  <r>
    <x v="5"/>
    <x v="1"/>
    <s v="D:\Images\20210707\plaque 1/@05 EE2 114/B5_03.tif "/>
    <s v=" 35819.1055 "/>
    <s v=" 74.5725 "/>
    <x v="0"/>
    <n v="2671119"/>
    <m/>
    <m/>
    <m/>
  </r>
  <r>
    <x v="5"/>
    <x v="2"/>
    <s v="D:\Images\20210707\plaque 1/@05 EE2 114/C5_01.tif "/>
    <s v=" 12891.4172 "/>
    <s v=" 66.3054 "/>
    <x v="0"/>
    <n v="854770"/>
    <m/>
    <m/>
    <m/>
  </r>
  <r>
    <x v="5"/>
    <x v="2"/>
    <s v="D:\Images\20210707\plaque 1/@05 EE2 114/C5_02.tif "/>
    <s v=" 14902.9974 "/>
    <s v=" 67.971 "/>
    <x v="0"/>
    <n v="1012971"/>
    <m/>
    <m/>
    <m/>
  </r>
  <r>
    <x v="5"/>
    <x v="2"/>
    <s v="D:\Images\20210707\plaque 1/@05 EE2 114/C5_03- exclu.tif"/>
    <m/>
    <m/>
    <x v="1"/>
    <m/>
    <m/>
    <m/>
    <m/>
  </r>
  <r>
    <x v="5"/>
    <x v="3"/>
    <s v="D:\Images\20210707\plaque 1/@05 EE2 114/D5_01.tif "/>
    <s v=" 33396.5573 "/>
    <s v=" 69.5699 "/>
    <x v="0"/>
    <n v="2323397"/>
    <m/>
    <m/>
    <m/>
  </r>
  <r>
    <x v="5"/>
    <x v="3"/>
    <s v="D:\Images\20210707\plaque 1/@05 EE2 114/D5_02.tif "/>
    <s v=" 27859.3043 "/>
    <s v=" 69.3727 "/>
    <x v="0"/>
    <n v="1932674"/>
    <m/>
    <m/>
    <m/>
  </r>
  <r>
    <x v="5"/>
    <x v="3"/>
    <s v="D:\Images\20210707\plaque 1/@05 EE2 114/D5_03.tif "/>
    <s v=" 31384.9771 "/>
    <s v=" 68.7264 "/>
    <x v="0"/>
    <n v="2156976"/>
    <m/>
    <m/>
    <m/>
  </r>
  <r>
    <x v="5"/>
    <x v="4"/>
    <s v="D:\Images\20210707\plaque 1/@05 EE2 114/E5_01.tif "/>
    <s v=" 35819.1055 "/>
    <s v=" 70.6292 "/>
    <x v="0"/>
    <n v="2529876"/>
    <m/>
    <m/>
    <m/>
  </r>
  <r>
    <x v="5"/>
    <x v="4"/>
    <s v="D:\Images\20210707\plaque 1/@05 EE2 114/E5_02.tif "/>
    <s v=" 34672.7211 "/>
    <s v=" 70.4959 "/>
    <x v="0"/>
    <n v="2444286"/>
    <m/>
    <m/>
    <m/>
  </r>
  <r>
    <x v="5"/>
    <x v="4"/>
    <s v="D:\Images\20210707\plaque 1/@05 EE2 114/E5_03.tif "/>
    <s v=" 35299.988 "/>
    <s v=" 70.2249 "/>
    <x v="0"/>
    <n v="2478937"/>
    <m/>
    <m/>
    <m/>
  </r>
  <r>
    <x v="5"/>
    <x v="5"/>
    <s v="D:\Images\20210707\plaque 1/@05 EE2 114/F5_01.tif "/>
    <s v=" 18082.5919 "/>
    <s v=" 66.0299 "/>
    <x v="0"/>
    <n v="1193992"/>
    <m/>
    <m/>
    <m/>
  </r>
  <r>
    <x v="5"/>
    <x v="5"/>
    <s v="D:\Images\20210707\plaque 1/@05 EE2 114/F5_02.tif "/>
    <s v=" 15833.0829 "/>
    <s v=" 65.9085 "/>
    <x v="0"/>
    <n v="1043534"/>
    <m/>
    <m/>
    <m/>
  </r>
  <r>
    <x v="5"/>
    <x v="5"/>
    <s v="D:\Images\20210707\plaque 1/@05 EE2 114/F5_03.tif "/>
    <s v=" 19228.9763 "/>
    <s v=" 65.901 "/>
    <x v="0"/>
    <n v="1267209"/>
    <m/>
    <m/>
    <m/>
  </r>
  <r>
    <x v="5"/>
    <x v="6"/>
    <s v="D:\Images\20210707\plaque 1/@05 EE2 114/G5_01.tif "/>
    <s v=" 33461.447 "/>
    <s v=" 70.5598 "/>
    <x v="0"/>
    <n v="2361033"/>
    <m/>
    <m/>
    <m/>
  </r>
  <r>
    <x v="5"/>
    <x v="6"/>
    <s v="D:\Images\20210707\plaque 1/@05 EE2 114/G5_02.tif "/>
    <s v=" 31839.2049 "/>
    <s v=" 70.6026 "/>
    <x v="0"/>
    <n v="2247930"/>
    <m/>
    <m/>
    <m/>
  </r>
  <r>
    <x v="5"/>
    <x v="6"/>
    <s v="D:\Images\20210707\plaque 1/@05 EE2 114/G5_03.tif "/>
    <s v=" 24679.7098 "/>
    <s v=" 68.8966 "/>
    <x v="0"/>
    <n v="1700348"/>
    <m/>
    <m/>
    <m/>
  </r>
  <r>
    <x v="5"/>
    <x v="7"/>
    <s v="D:\Images\20210707\plaque 1/@05 EE2 114/H5_01.tif "/>
    <s v=" 11766.6627 "/>
    <s v=" 65.9926 "/>
    <x v="0"/>
    <n v="776513"/>
    <m/>
    <m/>
    <m/>
  </r>
  <r>
    <x v="5"/>
    <x v="7"/>
    <s v="D:\Images\20210707\plaque 1/@05 EE2 114/H5_02.tif "/>
    <s v=" 11290.805 "/>
    <s v=" 66.1609 "/>
    <x v="0"/>
    <n v="747010"/>
    <m/>
    <m/>
    <m/>
  </r>
  <r>
    <x v="5"/>
    <x v="7"/>
    <s v="D:\Images\20210707\plaque 1/@05 EE2 114/H5_03.tif "/>
    <s v=" 14859.7376 "/>
    <s v=" 66.0888 "/>
    <x v="0"/>
    <n v="982062"/>
    <m/>
    <m/>
    <m/>
  </r>
  <r>
    <x v="1"/>
    <x v="8"/>
    <s v=" "/>
    <m/>
    <m/>
    <x v="1"/>
    <m/>
    <m/>
    <m/>
    <m/>
  </r>
  <r>
    <x v="1"/>
    <x v="8"/>
    <s v="group "/>
    <s v=" "/>
    <s v=" mean of mean fluo "/>
    <x v="2"/>
    <s v=" mean of total fluo "/>
    <s v=" SD total fluo "/>
    <s v=" n fluorescent "/>
    <s v=" n total"/>
  </r>
  <r>
    <x v="5"/>
    <x v="9"/>
    <s v="D:\Images\20210707\plaque 1/@05 EE2 114/ "/>
    <s v=" "/>
    <s v=" 68.734 "/>
    <x v="7"/>
    <s v=" 1642133.38 "/>
    <s v=" 752638.57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D:\Images\20210707\plaque 1/@06 EE2 170/A6_01.tif "/>
    <s v=" 55761.8684 "/>
    <s v=" 73.4465 "/>
    <x v="0"/>
    <n v="4095512"/>
    <m/>
    <m/>
    <m/>
  </r>
  <r>
    <x v="6"/>
    <x v="0"/>
    <s v="D:\Images\20210707\plaque 1/@06 EE2 170/A6_02.tif "/>
    <s v=" 55761.8684 "/>
    <s v=" 73.2801 "/>
    <x v="0"/>
    <n v="4086233"/>
    <m/>
    <m/>
    <m/>
  </r>
  <r>
    <x v="6"/>
    <x v="0"/>
    <s v="D:\Images\20210707\plaque 1/@06 EE2 170/A6_03.tif "/>
    <s v=" 46742.2023 "/>
    <s v=" 72.9459 "/>
    <x v="0"/>
    <n v="3409650"/>
    <m/>
    <m/>
    <m/>
  </r>
  <r>
    <x v="6"/>
    <x v="1"/>
    <s v="D:\Images\20210707\plaque 1/@06 EE2 170/B6_01.tif "/>
    <s v=" 48883.5619 "/>
    <s v=" 74.7159 "/>
    <x v="0"/>
    <n v="3652381"/>
    <m/>
    <m/>
    <m/>
  </r>
  <r>
    <x v="6"/>
    <x v="1"/>
    <s v="D:\Images\20210707\plaque 1/@06 EE2 170/B6_02.tif "/>
    <s v=" 44211.5046 "/>
    <s v=" 77.0152 "/>
    <x v="0"/>
    <n v="3404956"/>
    <m/>
    <m/>
    <m/>
  </r>
  <r>
    <x v="6"/>
    <x v="1"/>
    <s v="D:\Images\20210707\plaque 1/@06 EE2 170/B6_03.tif "/>
    <s v=" 46223.0848 "/>
    <s v=" 76.7164 "/>
    <x v="0"/>
    <n v="3546070"/>
    <m/>
    <m/>
    <m/>
  </r>
  <r>
    <x v="6"/>
    <x v="2"/>
    <s v="D:\Images\20210707\plaque 1/@06 EE2 170/C6_01.tif "/>
    <s v=" 23208.8769 "/>
    <s v=" 71.4772 "/>
    <x v="0"/>
    <n v="1658905"/>
    <m/>
    <m/>
    <m/>
  </r>
  <r>
    <x v="6"/>
    <x v="2"/>
    <s v="D:\Images\20210707\plaque 1/@06 EE2 170/C6_02.tif "/>
    <s v=" 20223.9515 "/>
    <s v=" 69.2984 "/>
    <x v="0"/>
    <n v="1401487"/>
    <m/>
    <m/>
    <m/>
  </r>
  <r>
    <x v="6"/>
    <x v="2"/>
    <s v="D:\Images\20210707\plaque 1/@06 EE2 170/C6_03.tif "/>
    <s v=" 22300.4214 "/>
    <s v=" 73.1348 "/>
    <x v="0"/>
    <n v="1630937"/>
    <m/>
    <m/>
    <m/>
  </r>
  <r>
    <x v="6"/>
    <x v="3"/>
    <s v="D:\Images\20210707\plaque 1/@06 EE2 170/D6_01.tif "/>
    <s v=" 29676.2154 "/>
    <s v=" 71.2726 "/>
    <x v="0"/>
    <n v="2115101"/>
    <m/>
    <m/>
    <m/>
  </r>
  <r>
    <x v="6"/>
    <x v="3"/>
    <s v="D:\Images\20210707\plaque 1/@06 EE2 170/D6_02.tif "/>
    <s v=" 35537.9169 "/>
    <s v=" 73.3926 "/>
    <x v="0"/>
    <n v="2608219"/>
    <m/>
    <m/>
    <m/>
  </r>
  <r>
    <x v="6"/>
    <x v="3"/>
    <s v="D:\Images\20210707\plaque 1/@06 EE2 170/D6_03.tif "/>
    <s v=" 32293.4327 "/>
    <s v=" 74.5526 "/>
    <x v="0"/>
    <n v="2407559"/>
    <m/>
    <m/>
    <m/>
  </r>
  <r>
    <x v="6"/>
    <x v="4"/>
    <s v="D:\Images\20210707\plaque 1/@06 EE2 170/E6_01.tif "/>
    <s v=" 50051.5762 "/>
    <s v=" 80.1811 "/>
    <x v="0"/>
    <n v="4013189"/>
    <m/>
    <m/>
    <m/>
  </r>
  <r>
    <x v="6"/>
    <x v="4"/>
    <s v="D:\Images\20210707\plaque 1/@06 EE2 170/E6_02.tif "/>
    <s v=" 49229.6402 "/>
    <s v=" 78.2891 "/>
    <x v="0"/>
    <n v="3854144"/>
    <m/>
    <m/>
    <m/>
  </r>
  <r>
    <x v="6"/>
    <x v="4"/>
    <s v="D:\Images\20210707\plaque 1/@06 EE2 170/E6_03.tif "/>
    <s v=" 52949.9821 "/>
    <s v=" 77.8137 "/>
    <x v="0"/>
    <n v="4120235"/>
    <m/>
    <m/>
    <m/>
  </r>
  <r>
    <x v="6"/>
    <x v="5"/>
    <s v="D:\Images\20210707\plaque 1/@06 EE2 170/F6_01.tif "/>
    <s v=" 52625.5336 "/>
    <s v=" 73.1743 "/>
    <x v="0"/>
    <n v="3850835"/>
    <m/>
    <m/>
    <m/>
  </r>
  <r>
    <x v="6"/>
    <x v="5"/>
    <s v="D:\Images\20210707\plaque 1/@06 EE2 170/F6_02.tif "/>
    <s v=" 41875.476 "/>
    <s v=" 76.0589 "/>
    <x v="0"/>
    <n v="3185002"/>
    <m/>
    <m/>
    <m/>
  </r>
  <r>
    <x v="6"/>
    <x v="5"/>
    <s v="D:\Images\20210707\plaque 1/@06 EE2 170/F6_03.tif "/>
    <s v=" 45725.5972 "/>
    <s v=" 75.4541 "/>
    <x v="0"/>
    <n v="3450184"/>
    <m/>
    <m/>
    <m/>
  </r>
  <r>
    <x v="6"/>
    <x v="6"/>
    <s v="D:\Images\20210707\plaque 1/@06 EE2 170/G6_01.tif "/>
    <s v=" 47737.1774 "/>
    <s v=" 72.2682 "/>
    <x v="0"/>
    <n v="3449882"/>
    <m/>
    <m/>
    <m/>
  </r>
  <r>
    <x v="6"/>
    <x v="6"/>
    <s v="D:\Images\20210707\plaque 1/@06 EE2 170/G6_02.tif "/>
    <s v=" 44600.8427 "/>
    <s v=" 71.2595 "/>
    <x v="0"/>
    <n v="3178232"/>
    <m/>
    <m/>
    <m/>
  </r>
  <r>
    <x v="6"/>
    <x v="6"/>
    <s v="D:\Images\20210707\plaque 1/@06 EE2 170/G6_03.tif "/>
    <s v=" 46136.5652 "/>
    <s v=" 74.3441 "/>
    <x v="0"/>
    <n v="3429982"/>
    <m/>
    <m/>
    <m/>
  </r>
  <r>
    <x v="6"/>
    <x v="7"/>
    <s v="D:\Images\20210707\plaque 1/@06 EE2 170/H6_01.tif "/>
    <s v=" 24896.0087 "/>
    <s v=" 83.7628 "/>
    <x v="0"/>
    <n v="2085360"/>
    <m/>
    <m/>
    <m/>
  </r>
  <r>
    <x v="6"/>
    <x v="7"/>
    <s v="D:\Images\20210707\plaque 1/@06 EE2 170/H6_02.tif "/>
    <s v=" 35170.2087 "/>
    <s v=" 81.3241 "/>
    <x v="0"/>
    <n v="2860186"/>
    <m/>
    <m/>
    <m/>
  </r>
  <r>
    <x v="6"/>
    <x v="7"/>
    <s v="D:\Images\20210707\plaque 1/@06 EE2 170/H6_03.tif "/>
    <s v=" 30238.5927 "/>
    <s v=" 83.4471 "/>
    <x v="0"/>
    <n v="2523322"/>
    <m/>
    <m/>
    <m/>
  </r>
  <r>
    <x v="1"/>
    <x v="8"/>
    <s v=" "/>
    <m/>
    <m/>
    <x v="1"/>
    <m/>
    <m/>
    <m/>
    <m/>
  </r>
  <r>
    <x v="1"/>
    <x v="8"/>
    <s v="group "/>
    <s v=" "/>
    <s v=" mean of mean fluo "/>
    <x v="2"/>
    <s v=" mean of total fluo "/>
    <s v=" SD total fluo "/>
    <s v=" n fluorescent "/>
    <s v=" n total"/>
  </r>
  <r>
    <x v="6"/>
    <x v="9"/>
    <s v="D:\Images\20210707\plaque 1/@06 EE2 170/ "/>
    <s v=" "/>
    <s v=" 75.3594 "/>
    <x v="8"/>
    <s v=" 3084065.12 "/>
    <s v=" 840701.28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D:\Images\20210707\plaque 1/@07 EE2 488/A7_01.tif "/>
    <s v=" 69951.0792 "/>
    <s v=" 97.6654 "/>
    <x v="0"/>
    <n v="6831802"/>
    <m/>
    <m/>
    <m/>
  </r>
  <r>
    <x v="7"/>
    <x v="0"/>
    <s v="D:\Images\20210707\plaque 1/@07 EE2 488/A7_02.tif "/>
    <s v=" 66663.3352 "/>
    <s v=" 96.77 "/>
    <x v="0"/>
    <n v="6451008"/>
    <m/>
    <m/>
    <m/>
  </r>
  <r>
    <x v="7"/>
    <x v="0"/>
    <s v="D:\Images\20210707\plaque 1/@07 EE2 488/A7_03.tif "/>
    <s v=" 71724.7306 "/>
    <s v=" 95.9973 "/>
    <x v="0"/>
    <n v="6885379"/>
    <m/>
    <m/>
    <m/>
  </r>
  <r>
    <x v="7"/>
    <x v="1"/>
    <s v="D:\Images\20210707\plaque 1/@07 EE2 488/B7_01.tif "/>
    <s v=" 54355.9252 "/>
    <s v=" 99.9546 "/>
    <x v="0"/>
    <n v="5433127"/>
    <m/>
    <m/>
    <m/>
  </r>
  <r>
    <x v="7"/>
    <x v="1"/>
    <s v="D:\Images\20210707\plaque 1/@07 EE2 488/B7_02.tif "/>
    <s v=" 56237.726 "/>
    <s v=" 98.2312 "/>
    <x v="0"/>
    <n v="5524297"/>
    <m/>
    <m/>
    <m/>
  </r>
  <r>
    <x v="7"/>
    <x v="1"/>
    <s v="D:\Images\20210707\plaque 1/@07 EE2 488/B7_03.tif "/>
    <s v=" 55437.4199 "/>
    <s v=" 98.3437 "/>
    <x v="0"/>
    <n v="5451923"/>
    <m/>
    <m/>
    <m/>
  </r>
  <r>
    <x v="7"/>
    <x v="2"/>
    <s v="D:\Images\20210707\plaque 1/@07 EE2 488/C7_01.tif "/>
    <s v=" 21608.2647 "/>
    <s v=" 87.3904 "/>
    <x v="0"/>
    <n v="1888355"/>
    <m/>
    <m/>
    <m/>
  </r>
  <r>
    <x v="7"/>
    <x v="2"/>
    <s v="D:\Images\20210707\plaque 1/@07 EE2 488/C7_02.tif "/>
    <s v=" 25890.9839 "/>
    <s v=" 90.2222 "/>
    <x v="0"/>
    <n v="2335942"/>
    <m/>
    <m/>
    <m/>
  </r>
  <r>
    <x v="7"/>
    <x v="2"/>
    <s v="D:\Images\20210707\plaque 1/@07 EE2 488/C7_03.tif "/>
    <s v=" 28984.0588 "/>
    <s v=" 87.6418 "/>
    <x v="0"/>
    <n v="2540215"/>
    <m/>
    <m/>
    <m/>
  </r>
  <r>
    <x v="7"/>
    <x v="3"/>
    <s v="D:\Images\20210707\plaque 1/@07 EE2 488/D7_01.tif "/>
    <s v=" 52430.8646 "/>
    <s v=" 93.9257 "/>
    <x v="0"/>
    <n v="4924608"/>
    <m/>
    <m/>
    <m/>
  </r>
  <r>
    <x v="7"/>
    <x v="3"/>
    <s v="D:\Images\20210707\plaque 1/@07 EE2 488/D7_02.tif "/>
    <s v=" 56583.8043 "/>
    <s v=" 91.1227 "/>
    <x v="0"/>
    <n v="5156069"/>
    <m/>
    <m/>
    <m/>
  </r>
  <r>
    <x v="7"/>
    <x v="3"/>
    <s v="D:\Images\20210707\plaque 1/@07 EE2 488/D7_03.tif "/>
    <s v=" 56518.9147 "/>
    <s v=" 92.6062 "/>
    <x v="0"/>
    <n v="5234002"/>
    <m/>
    <m/>
    <m/>
  </r>
  <r>
    <x v="7"/>
    <x v="4"/>
    <s v="D:\Images\20210707\plaque 1/@07 EE2 488/E7_01.tif "/>
    <s v=" 79900.8308 "/>
    <s v=" 85.5742 "/>
    <x v="0"/>
    <n v="6837448"/>
    <m/>
    <m/>
    <m/>
  </r>
  <r>
    <x v="7"/>
    <x v="4"/>
    <s v="D:\Images\20210707\plaque 1/@07 EE2 488/E7_02.tif "/>
    <s v=" 77694.5815 "/>
    <s v=" 87.4975 "/>
    <x v="0"/>
    <n v="6798081"/>
    <m/>
    <m/>
    <m/>
  </r>
  <r>
    <x v="7"/>
    <x v="4"/>
    <s v="D:\Images\20210707\plaque 1/@07 EE2 488/E7_03.tif "/>
    <s v=" 67074.3032 "/>
    <s v=" 93.3667 "/>
    <x v="0"/>
    <n v="6262503"/>
    <m/>
    <m/>
    <m/>
  </r>
  <r>
    <x v="7"/>
    <x v="5"/>
    <s v="D:\Images\20210707\plaque 1/@07 EE2 488/F7_01.tif "/>
    <s v=" 81350.0337 "/>
    <s v=" 90.2553 "/>
    <x v="0"/>
    <n v="7342268"/>
    <m/>
    <m/>
    <m/>
  </r>
  <r>
    <x v="7"/>
    <x v="5"/>
    <s v="D:\Images\20210707\plaque 1/@07 EE2 488/F7_02.tif "/>
    <s v=" 56994.7723 "/>
    <s v=" 109.5097 "/>
    <x v="0"/>
    <n v="6241479"/>
    <m/>
    <m/>
    <m/>
  </r>
  <r>
    <x v="7"/>
    <x v="5"/>
    <s v="D:\Images\20210707\plaque 1/@07 EE2 488/F7_03.tif "/>
    <s v=" 54723.6334 "/>
    <s v=" 109.1308 "/>
    <x v="0"/>
    <n v="5972036"/>
    <m/>
    <m/>
    <m/>
  </r>
  <r>
    <x v="7"/>
    <x v="6"/>
    <s v="D:\Images\20210707\plaque 1/@07 EE2 488/G7_01.tif "/>
    <s v=" 72395.2573 "/>
    <s v=" 95.703 "/>
    <x v="0"/>
    <n v="6928445"/>
    <m/>
    <m/>
    <m/>
  </r>
  <r>
    <x v="7"/>
    <x v="6"/>
    <s v="D:\Images\20210707\plaque 1/@07 EE2 488/G7_02.tif "/>
    <s v=" 80268.539 "/>
    <s v=" 93.3077 "/>
    <x v="0"/>
    <n v="7489675"/>
    <m/>
    <m/>
    <m/>
  </r>
  <r>
    <x v="7"/>
    <x v="6"/>
    <s v="D:\Images\20210707\plaque 1/@07 EE2 488/G7_03.tif "/>
    <s v=" 66576.8157 "/>
    <s v=" 99.0776 "/>
    <x v="0"/>
    <n v="6596274"/>
    <m/>
    <m/>
    <m/>
  </r>
  <r>
    <x v="7"/>
    <x v="7"/>
    <s v="D:\Images\20210707\plaque 1/@07 EE2 488/H7_01.tif "/>
    <s v=" 47629.028 "/>
    <s v=" 88.7516 "/>
    <x v="0"/>
    <n v="4227152"/>
    <m/>
    <m/>
    <m/>
  </r>
  <r>
    <x v="7"/>
    <x v="7"/>
    <s v="D:\Images\20210707\plaque 1/@07 EE2 488/H7_02.tif "/>
    <s v=" 38825.6609 "/>
    <s v=" 94.0685 "/>
    <x v="0"/>
    <n v="3652273"/>
    <m/>
    <m/>
    <m/>
  </r>
  <r>
    <x v="7"/>
    <x v="7"/>
    <s v="D:\Images\20210707\plaque 1/@07 EE2 488/H7_03.tif "/>
    <s v=" 43000.2305 "/>
    <s v=" 93.413 "/>
    <x v="0"/>
    <n v="4016780"/>
    <m/>
    <m/>
    <m/>
  </r>
  <r>
    <x v="1"/>
    <x v="8"/>
    <s v=" "/>
    <m/>
    <m/>
    <x v="1"/>
    <m/>
    <m/>
    <m/>
    <m/>
  </r>
  <r>
    <x v="1"/>
    <x v="8"/>
    <s v="group "/>
    <s v=" "/>
    <s v=" mean of mean fluo "/>
    <x v="2"/>
    <s v=" mean of total fluo "/>
    <s v=" SD total fluo "/>
    <s v=" n fluorescent "/>
    <s v=" n total"/>
  </r>
  <r>
    <x v="7"/>
    <x v="9"/>
    <s v="D:\Images\20210707\plaque 1/@07 EE2 488/ "/>
    <s v=" "/>
    <s v=" 94.5636 "/>
    <x v="9"/>
    <s v=" 5459214.21 "/>
    <s v=" 1609179.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D:\Images\20210707\plaque 1/@08tam 30.2µg_L/A8_01.tif "/>
    <s v=" 3352.6337 "/>
    <s v=" 66.9226 "/>
    <x v="0"/>
    <n v="224367"/>
    <m/>
    <m/>
    <m/>
  </r>
  <r>
    <x v="8"/>
    <x v="0"/>
    <s v="D:\Images\20210707\plaque 1/@08tam 30.2µg_L/A8_02.tif "/>
    <s v=" 843.5659 "/>
    <s v=" 62.9231 "/>
    <x v="0"/>
    <n v="53080"/>
    <m/>
    <m/>
    <m/>
  </r>
  <r>
    <x v="8"/>
    <x v="0"/>
    <s v="D:\Images\20210707\plaque 1/@08tam 30.2µg_L/A8_03.tif "/>
    <s v=" 713.7865 "/>
    <s v=" 63.7576 "/>
    <x v="0"/>
    <n v="45509"/>
    <m/>
    <m/>
    <m/>
  </r>
  <r>
    <x v="8"/>
    <x v="1"/>
    <s v="D:\Images\20210707\plaque 1/@08tam 30.2µg_L/B8_01.tif "/>
    <s v=" 951.7154 "/>
    <s v=" 63.3636 "/>
    <x v="0"/>
    <n v="60304"/>
    <m/>
    <m/>
    <m/>
  </r>
  <r>
    <x v="8"/>
    <x v="1"/>
    <s v="D:\Images\20210707\plaque 1/@08tam 30.2µg_L/B8_02.tif "/>
    <s v=" 324.4484 "/>
    <s v=" 63.5333 "/>
    <x v="0"/>
    <n v="20613"/>
    <m/>
    <m/>
    <m/>
  </r>
  <r>
    <x v="8"/>
    <x v="1"/>
    <s v="D:\Images\20210707\plaque 1/@08tam 30.2µg_L/B8_03.tif "/>
    <s v=" 843.5659 "/>
    <s v=" 63.2564 "/>
    <x v="0"/>
    <n v="53361"/>
    <m/>
    <m/>
    <m/>
  </r>
  <r>
    <x v="8"/>
    <x v="2"/>
    <s v="D:\Images\20210707\plaque 1/@08tam 30.2µg_L/C8_01.tif "/>
    <s v=" 1795.2813 "/>
    <s v=" 65.2771 "/>
    <x v="0"/>
    <n v="117191"/>
    <m/>
    <m/>
    <m/>
  </r>
  <r>
    <x v="8"/>
    <x v="2"/>
    <s v="D:\Images\20210707\plaque 1/@08tam 30.2µg_L/C8_02.tif "/>
    <s v=" 194.6691 "/>
    <s v=" 65.4444 "/>
    <x v="0"/>
    <n v="12740"/>
    <m/>
    <m/>
    <m/>
  </r>
  <r>
    <x v="8"/>
    <x v="2"/>
    <s v="D:\Images\20210707\plaque 1/@08tam 30.2µg_L/C8_03.tif "/>
    <s v=" 346.0783 "/>
    <s v=" 63.9375 "/>
    <x v="0"/>
    <n v="22127"/>
    <m/>
    <m/>
    <m/>
  </r>
  <r>
    <x v="8"/>
    <x v="3"/>
    <s v="D:\Images\20210707\plaque 1/@08tam 30.2µg_L/D8_01.tif "/>
    <s v=" 1016.605 "/>
    <s v=" 65.1277 "/>
    <x v="0"/>
    <n v="66209"/>
    <m/>
    <m/>
    <m/>
  </r>
  <r>
    <x v="8"/>
    <x v="3"/>
    <s v="D:\Images\20210707\plaque 1/@08tam 30.2µg_L/D8_02.tif "/>
    <s v=" 1773.6514 "/>
    <s v=" 64.2195 "/>
    <x v="0"/>
    <n v="113903"/>
    <m/>
    <m/>
    <m/>
  </r>
  <r>
    <x v="8"/>
    <x v="3"/>
    <s v="D:\Images\20210707\plaque 1/@08tam 30.2µg_L/D8_03.tif "/>
    <s v=" 2314.3987 "/>
    <s v=" 64.4766 "/>
    <x v="0"/>
    <n v="149225"/>
    <m/>
    <m/>
    <m/>
  </r>
  <r>
    <x v="8"/>
    <x v="4"/>
    <s v="D:\Images\20210707\plaque 1/@08tam 30.2µg_L/E8_01.tif "/>
    <s v=" 432.5979 "/>
    <s v=" 63.55 "/>
    <x v="0"/>
    <n v="27492"/>
    <m/>
    <m/>
    <m/>
  </r>
  <r>
    <x v="8"/>
    <x v="4"/>
    <s v="D:\Images\20210707\plaque 1/@08tam 30.2µg_L/E8_02.tif "/>
    <s v=" 281.1886 "/>
    <s v=" 62.2308 "/>
    <x v="0"/>
    <n v="17499"/>
    <m/>
    <m/>
    <m/>
  </r>
  <r>
    <x v="8"/>
    <x v="4"/>
    <s v="D:\Images\20210707\plaque 1/@08tam 30.2µg_L/E8_03.tif "/>
    <s v=" 108.1495 "/>
    <n v="66"/>
    <x v="0"/>
    <n v="7138"/>
    <m/>
    <m/>
    <m/>
  </r>
  <r>
    <x v="8"/>
    <x v="5"/>
    <s v="D:\Images\20210707\plaque 1/@08tam 30.2µg_L/F8_01.tif "/>
    <s v=" 5407.4737 "/>
    <s v=" 66.008 "/>
    <x v="0"/>
    <n v="356937"/>
    <m/>
    <m/>
    <m/>
  </r>
  <r>
    <x v="8"/>
    <x v="5"/>
    <s v="D:\Images\20210707\plaque 1/@08tam 30.2µg_L/F8_02.tif "/>
    <s v=" 6813.4168 "/>
    <s v=" 68.8127 "/>
    <x v="0"/>
    <n v="468850"/>
    <m/>
    <m/>
    <m/>
  </r>
  <r>
    <x v="8"/>
    <x v="5"/>
    <s v="D:\Images\20210707\plaque 1/@08tam 30.2µg_L/F8_03.tif "/>
    <s v=" 1989.9503 "/>
    <s v=" 66.663 "/>
    <x v="0"/>
    <n v="132656"/>
    <m/>
    <m/>
    <m/>
  </r>
  <r>
    <x v="8"/>
    <x v="6"/>
    <s v="D:\Images\20210707\plaque 1/@08tam 30.2µg_L/G8_01.tif "/>
    <s v=" 2573.9575 "/>
    <s v=" 66.4118 "/>
    <x v="0"/>
    <n v="170941"/>
    <m/>
    <m/>
    <m/>
  </r>
  <r>
    <x v="8"/>
    <x v="6"/>
    <s v="D:\Images\20210707\plaque 1/@08tam 30.2µg_L/G8_02.tif "/>
    <s v=" 7483.9435 "/>
    <s v=" 68.2948 "/>
    <x v="0"/>
    <n v="511114"/>
    <m/>
    <m/>
    <m/>
  </r>
  <r>
    <x v="8"/>
    <x v="6"/>
    <s v="D:\Images\20210707\plaque 1/@08tam 30.2µg_L/G8_03.tif "/>
    <s v=" 2379.2884 "/>
    <s v=" 68.4455 "/>
    <x v="0"/>
    <n v="162851"/>
    <m/>
    <m/>
    <m/>
  </r>
  <r>
    <x v="8"/>
    <x v="7"/>
    <s v="D:\Images\20210707\plaque 1/@08tam 30.2µg_L/H8_01.tif "/>
    <s v=" 2855.1461 "/>
    <s v=" 65.3636 "/>
    <x v="0"/>
    <n v="186623"/>
    <m/>
    <m/>
    <m/>
  </r>
  <r>
    <x v="8"/>
    <x v="7"/>
    <s v="D:\Images\20210707\plaque 1/@08tam 30.2µg_L/H8_02.tif "/>
    <s v=" 2357.6585 "/>
    <s v=" 65.1927 "/>
    <x v="0"/>
    <n v="153702"/>
    <m/>
    <m/>
    <m/>
  </r>
  <r>
    <x v="8"/>
    <x v="7"/>
    <s v="D:\Images\20210707\plaque 1/@08tam 30.2µg_L/H8_03.tif "/>
    <s v=" 2509.0678 "/>
    <s v=" 65.9483 "/>
    <x v="0"/>
    <n v="165469"/>
    <m/>
    <m/>
    <m/>
  </r>
  <r>
    <x v="1"/>
    <x v="8"/>
    <s v=" "/>
    <m/>
    <m/>
    <x v="1"/>
    <m/>
    <m/>
    <m/>
    <m/>
  </r>
  <r>
    <x v="1"/>
    <x v="8"/>
    <s v="group "/>
    <s v=" "/>
    <s v=" mean of mean fluo "/>
    <x v="2"/>
    <s v=" mean of total fluo "/>
    <s v=" SD total fluo "/>
    <s v=" n fluorescent "/>
    <s v=" n total"/>
  </r>
  <r>
    <x v="8"/>
    <x v="9"/>
    <s v="D:\Images\20210707\plaque 1/@08tam 30.2µg_L/ "/>
    <s v=" "/>
    <s v=" 65.215 "/>
    <x v="10"/>
    <s v=" 137495.875 "/>
    <s v=" 136918.35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D:\Images\20210707\plaque 1/@09 tam 60.4µg_L/A9_01.tif "/>
    <s v=" 670.5267 "/>
    <s v=" 63.5484 "/>
    <x v="0"/>
    <n v="42611"/>
    <m/>
    <m/>
    <m/>
  </r>
  <r>
    <x v="9"/>
    <x v="0"/>
    <s v="D:\Images\20210707\plaque 1/@09 tam 60.4µg_L/A9_02.tif "/>
    <s v=" 1016.605 "/>
    <s v=" 68.8511 "/>
    <x v="0"/>
    <n v="69994"/>
    <m/>
    <m/>
    <m/>
  </r>
  <r>
    <x v="9"/>
    <x v="0"/>
    <s v="D:\Images\20210707\plaque 1/@09 tam 60.4µg_L/A9_03.tif "/>
    <s v=" 1297.7937 "/>
    <s v=" 66.55 "/>
    <x v="0"/>
    <n v="86368"/>
    <m/>
    <m/>
    <m/>
  </r>
  <r>
    <x v="9"/>
    <x v="1"/>
    <s v="D:\Images\20210707\plaque 1/@09 tam 60.4µg_L/B9_01.tif "/>
    <s v=" 1059.8648 "/>
    <s v=" 63.2245 "/>
    <x v="0"/>
    <n v="67009"/>
    <m/>
    <m/>
    <m/>
  </r>
  <r>
    <x v="9"/>
    <x v="1"/>
    <s v="D:\Images\20210707\plaque 1/@09 tam 60.4µg_L/B9_02.tif "/>
    <s v=" 1016.605 "/>
    <s v=" 63.2553 "/>
    <x v="0"/>
    <n v="64306"/>
    <m/>
    <m/>
    <m/>
  </r>
  <r>
    <x v="9"/>
    <x v="1"/>
    <s v="D:\Images\20210707\plaque 1/@09 tam 60.4µg_L/B9_03.tif "/>
    <s v=" 821.936 "/>
    <s v=" 62.7105 "/>
    <x v="0"/>
    <n v="51544"/>
    <m/>
    <m/>
    <m/>
  </r>
  <r>
    <x v="9"/>
    <x v="2"/>
    <s v="D:\Images\20210707\plaque 1/@09 tam 60.4µg_L/C9_01.tif "/>
    <s v=" 3244.4842 "/>
    <s v=" 63.04 "/>
    <x v="0"/>
    <n v="204532"/>
    <m/>
    <m/>
    <m/>
  </r>
  <r>
    <x v="9"/>
    <x v="2"/>
    <s v="D:\Images\20210707\plaque 1/@09 tam 60.4µg_L/C9_02.tif "/>
    <s v=" 2617.2173 "/>
    <s v=" 63.1405 "/>
    <x v="0"/>
    <n v="165252"/>
    <m/>
    <m/>
    <m/>
  </r>
  <r>
    <x v="9"/>
    <x v="2"/>
    <s v="D:\Images\20210707\plaque 1/@09 tam 60.4µg_L/C9_03.tif "/>
    <s v=" 2833.5162 "/>
    <s v=" 63.3359 "/>
    <x v="0"/>
    <n v="179463"/>
    <m/>
    <m/>
    <m/>
  </r>
  <r>
    <x v="9"/>
    <x v="3"/>
    <s v="D:\Images\20210707\plaque 1/@09 tam 60.4µg_L/D9_01.tif "/>
    <s v=" 4888.3562 "/>
    <s v=" 67.6106 "/>
    <x v="0"/>
    <n v="330505"/>
    <m/>
    <m/>
    <m/>
  </r>
  <r>
    <x v="9"/>
    <x v="3"/>
    <s v="D:\Images\20210707\plaque 1/@09 tam 60.4µg_L/D9_02.tif "/>
    <s v=" 11009.6164 "/>
    <s v=" 72.0904 "/>
    <x v="0"/>
    <n v="793687"/>
    <m/>
    <m/>
    <m/>
  </r>
  <r>
    <x v="9"/>
    <x v="3"/>
    <s v="D:\Images\20210707\plaque 1/@09 tam 60.4µg_L/D9_03.tif "/>
    <s v=" 10079.5309 "/>
    <s v=" 72.1652 "/>
    <x v="0"/>
    <n v="727392"/>
    <m/>
    <m/>
    <m/>
  </r>
  <r>
    <x v="9"/>
    <x v="4"/>
    <s v="D:\Images\20210707\plaque 1/@09 tam 60.4µg_L/E9_01.tif "/>
    <s v=" 3850.1212 "/>
    <s v=" 63.6292 "/>
    <x v="0"/>
    <n v="244980"/>
    <m/>
    <m/>
    <m/>
  </r>
  <r>
    <x v="9"/>
    <x v="4"/>
    <s v="D:\Images\20210707\plaque 1/@09 tam 60.4µg_L/E9_02.tif "/>
    <s v=" 886.8257 "/>
    <s v=" 62.6829 "/>
    <x v="0"/>
    <n v="55589"/>
    <m/>
    <m/>
    <m/>
  </r>
  <r>
    <x v="9"/>
    <x v="4"/>
    <s v="D:\Images\20210707\plaque 1/@09 tam 60.4µg_L/E9_03.tif "/>
    <s v=" 584.0072 "/>
    <s v=" 63.1852 "/>
    <x v="0"/>
    <n v="36901"/>
    <m/>
    <m/>
    <m/>
  </r>
  <r>
    <x v="9"/>
    <x v="5"/>
    <s v="D:\Images\20210707\plaque 1/@09 tam 60.4µg_L/F9_01.tif "/>
    <s v=" 821.936 "/>
    <s v=" 63.9737 "/>
    <x v="0"/>
    <n v="52582"/>
    <m/>
    <m/>
    <m/>
  </r>
  <r>
    <x v="9"/>
    <x v="5"/>
    <s v="D:\Images\20210707\plaque 1/@09 tam 60.4µg_L/F9_02.tif "/>
    <s v=" 7029.7158 "/>
    <s v=" 70.8431 "/>
    <x v="0"/>
    <n v="498007"/>
    <m/>
    <m/>
    <m/>
  </r>
  <r>
    <x v="9"/>
    <x v="5"/>
    <s v="D:\Images\20210707\plaque 1/@09 tam 60.4µg_L/F9_03.tif "/>
    <s v=" 3655.4522 "/>
    <s v=" 66.9408 "/>
    <x v="0"/>
    <n v="244699"/>
    <m/>
    <m/>
    <m/>
  </r>
  <r>
    <x v="9"/>
    <x v="6"/>
    <s v="D:\Images\20210707\plaque 1/@09 tam 60.4µg_L/G9_01.tif "/>
    <s v=" 562.3773 "/>
    <s v=" 63.8462 "/>
    <x v="0"/>
    <n v="35906"/>
    <m/>
    <m/>
    <m/>
  </r>
  <r>
    <x v="9"/>
    <x v="6"/>
    <s v="D:\Images\20210707\plaque 1/@09 tam 60.4µg_L/G9_02.tif "/>
    <s v=" 497.4876 "/>
    <s v=" 63.2609 "/>
    <x v="0"/>
    <n v="31471"/>
    <m/>
    <m/>
    <m/>
  </r>
  <r>
    <x v="9"/>
    <x v="6"/>
    <s v="D:\Images\20210707\plaque 1/@09 tam 60.4µg_L/G9_03.tif "/>
    <s v=" 584.0072 "/>
    <s v=" 66.9259 "/>
    <x v="0"/>
    <n v="39085"/>
    <m/>
    <m/>
    <m/>
  </r>
  <r>
    <x v="9"/>
    <x v="7"/>
    <s v="D:\Images\20210707\plaque 1/@09 tam 60.4µg_L/H9_01.tif "/>
    <s v=" 627.2669 "/>
    <s v=" 63.4138 "/>
    <x v="0"/>
    <n v="39777"/>
    <m/>
    <m/>
    <m/>
  </r>
  <r>
    <x v="9"/>
    <x v="7"/>
    <s v="D:\Images\20210707\plaque 1/@09 tam 60.4µg_L/H9_02.tif "/>
    <s v=" 1600.6122 "/>
    <s v=" 65.1486 "/>
    <x v="0"/>
    <n v="104278"/>
    <m/>
    <m/>
    <m/>
  </r>
  <r>
    <x v="9"/>
    <x v="7"/>
    <s v="D:\Images\20210707\plaque 1/@09 tam 60.4µg_L/H9_03.tif "/>
    <s v=" 1211.2741 "/>
    <s v=" 63.9643 "/>
    <x v="0"/>
    <n v="77478"/>
    <m/>
    <m/>
    <m/>
  </r>
  <r>
    <x v="1"/>
    <x v="8"/>
    <s v=" "/>
    <m/>
    <m/>
    <x v="1"/>
    <m/>
    <m/>
    <m/>
    <m/>
  </r>
  <r>
    <x v="1"/>
    <x v="8"/>
    <s v="group "/>
    <s v=" "/>
    <s v=" mean of mean fluo "/>
    <x v="2"/>
    <s v=" mean of total fluo "/>
    <s v=" SD total fluo "/>
    <s v=" n fluorescent "/>
    <s v=" n total"/>
  </r>
  <r>
    <x v="9"/>
    <x v="9"/>
    <s v="D:\Images\20210707\plaque 1/@09 tam 60.4µg_L/ "/>
    <s v=" "/>
    <s v=" 65.3057 "/>
    <x v="11"/>
    <n v="176809"/>
    <s v=" 212867.52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D:\Images\20210707\plaque 1/@10 tam 121µg_L/A10_01.tif "/>
    <s v=" 5558.8829 "/>
    <s v=" 67.786 "/>
    <x v="0"/>
    <n v="376814"/>
    <m/>
    <m/>
    <m/>
  </r>
  <r>
    <x v="10"/>
    <x v="0"/>
    <s v="D:\Images\20210707\plaque 1/@10 tam 121µg_L/A10_02.tif "/>
    <s v=" 346.0783 "/>
    <s v=" 63.375 "/>
    <x v="0"/>
    <n v="21933"/>
    <m/>
    <m/>
    <m/>
  </r>
  <r>
    <x v="10"/>
    <x v="0"/>
    <s v="D:\Images\20210707\plaque 1/@10 tam 121µg_L/A10_03.tif "/>
    <s v=" 497.4876 "/>
    <s v=" 62.4783 "/>
    <x v="0"/>
    <n v="31082"/>
    <m/>
    <m/>
    <m/>
  </r>
  <r>
    <x v="10"/>
    <x v="1"/>
    <s v="D:\Images\20210707\plaque 1/@10 tam 121µg_L/B10_01.tif "/>
    <s v=" 2098.0998 "/>
    <s v=" 63.7216 "/>
    <x v="0"/>
    <n v="133694"/>
    <m/>
    <m/>
    <m/>
  </r>
  <r>
    <x v="10"/>
    <x v="1"/>
    <s v="D:\Images\20210707\plaque 1/@10 tam 121µg_L/B10_02.tif "/>
    <s v=" 1773.6514 "/>
    <s v=" 63.3415 "/>
    <x v="0"/>
    <n v="112346"/>
    <m/>
    <m/>
    <m/>
  </r>
  <r>
    <x v="10"/>
    <x v="1"/>
    <s v="D:\Images\20210707\plaque 1/@10 tam 121µg_L/B10_03.tif "/>
    <s v=" 627.2669 "/>
    <s v=" 62.5862 "/>
    <x v="0"/>
    <n v="39258"/>
    <m/>
    <m/>
    <m/>
  </r>
  <r>
    <x v="10"/>
    <x v="2"/>
    <s v="D:\Images\20210707\plaque 1/@10 tam 121µg_L/C10_01.tif "/>
    <s v=" 2530.6977 "/>
    <s v=" 64.5385 "/>
    <x v="0"/>
    <n v="163327"/>
    <m/>
    <m/>
    <m/>
  </r>
  <r>
    <x v="10"/>
    <x v="2"/>
    <s v="D:\Images\20210707\plaque 1/@10 tam 121µg_L/C10_02.tif "/>
    <s v=" 4585.5377 "/>
    <s v=" 69.4764 "/>
    <x v="0"/>
    <n v="318587"/>
    <m/>
    <m/>
    <m/>
  </r>
  <r>
    <x v="10"/>
    <x v="2"/>
    <s v="D:\Images\20210707\plaque 1/@10 tam 121µg_L/C10_03.tif "/>
    <s v=" 1535.7225 "/>
    <s v=" 64.2817 "/>
    <x v="0"/>
    <n v="98719"/>
    <m/>
    <m/>
    <m/>
  </r>
  <r>
    <x v="10"/>
    <x v="3"/>
    <s v="D:\Images\20210707\plaque 1/@10 tam 121µg_L/D10_01.tif "/>
    <s v=" 951.7154 "/>
    <s v=" 63.8409 "/>
    <x v="0"/>
    <n v="60758"/>
    <m/>
    <m/>
    <m/>
  </r>
  <r>
    <x v="10"/>
    <x v="3"/>
    <s v="D:\Images\20210707\plaque 1/@10 tam 121µg_L/D10_02.tif "/>
    <s v=" 973.3453 "/>
    <s v=" 64.2444 "/>
    <x v="0"/>
    <n v="62532"/>
    <m/>
    <m/>
    <m/>
  </r>
  <r>
    <x v="10"/>
    <x v="3"/>
    <s v="D:\Images\20210707\plaque 1/@10 tam 121µg_L/D10_03.tif "/>
    <s v=" 1838.541 "/>
    <s v=" 66.1765 "/>
    <x v="0"/>
    <n v="121668"/>
    <m/>
    <m/>
    <m/>
  </r>
  <r>
    <x v="10"/>
    <x v="4"/>
    <s v="D:\Images\20210707\plaque 1/@10 tam 121µg_L/E10_01.tif "/>
    <s v=" 8219.36 "/>
    <s v=" 67.5368 "/>
    <x v="0"/>
    <n v="555110"/>
    <m/>
    <m/>
    <m/>
  </r>
  <r>
    <x v="10"/>
    <x v="4"/>
    <s v="D:\Images\20210707\plaque 1/@10 tam 121µg_L/E10_02.tif "/>
    <s v=" 8111.2105 "/>
    <s v=" 68.0187 "/>
    <x v="0"/>
    <n v="551714"/>
    <m/>
    <m/>
    <m/>
  </r>
  <r>
    <x v="10"/>
    <x v="4"/>
    <s v="D:\Images\20210707\plaque 1/@10 tam 121µg_L/E10_03.tif "/>
    <s v=" 2573.9575 "/>
    <s v=" 63.4622 "/>
    <x v="0"/>
    <n v="163349"/>
    <m/>
    <m/>
    <m/>
  </r>
  <r>
    <x v="10"/>
    <x v="5"/>
    <s v="D:\Images\20210707\plaque 1/@10 tam 121µg_L/F10_01.tif "/>
    <s v=" 6445.7086 "/>
    <s v=" 64.8557 "/>
    <x v="0"/>
    <n v="418041"/>
    <m/>
    <m/>
    <m/>
  </r>
  <r>
    <x v="10"/>
    <x v="5"/>
    <s v="D:\Images\20210707\plaque 1/@10 tam 121µg_L/F10_02.tif "/>
    <s v=" 4152.9398 "/>
    <s v=" 66.0677 "/>
    <x v="0"/>
    <n v="274375"/>
    <m/>
    <m/>
    <m/>
  </r>
  <r>
    <x v="10"/>
    <x v="5"/>
    <s v="D:\Images\20210707\plaque 1/@10 tam 121µg_L/F10_03.tif "/>
    <s v=" 1319.4236 "/>
    <s v=" 63.6557 "/>
    <x v="0"/>
    <n v="83989"/>
    <m/>
    <m/>
    <m/>
  </r>
  <r>
    <x v="10"/>
    <x v="6"/>
    <s v="D:\Images\20210707\plaque 1/@10 tam 121µg_L/G10_01.tif "/>
    <s v=" 3850.1212 "/>
    <s v=" 65.0674 "/>
    <x v="0"/>
    <n v="250517"/>
    <m/>
    <m/>
    <m/>
  </r>
  <r>
    <x v="10"/>
    <x v="6"/>
    <s v="D:\Images\20210707\plaque 1/@10 tam 121µg_L/G10_02.tif "/>
    <s v=" 3157.9646 "/>
    <s v=" 65.6575 "/>
    <x v="0"/>
    <n v="207344"/>
    <m/>
    <m/>
    <m/>
  </r>
  <r>
    <x v="10"/>
    <x v="6"/>
    <s v="D:\Images\20210707\plaque 1/@10 tam 121µg_L/G10_03.tif "/>
    <s v=" 1643.872 "/>
    <s v=" 63.7895 "/>
    <x v="0"/>
    <n v="104862"/>
    <m/>
    <m/>
    <m/>
  </r>
  <r>
    <x v="10"/>
    <x v="7"/>
    <s v="D:\Images\20210707\plaque 1/@10 tam 121µg_L/H10_01.tif "/>
    <s v=" 519.1175 "/>
    <s v=" 64.2083 "/>
    <x v="0"/>
    <n v="33332"/>
    <m/>
    <m/>
    <m/>
  </r>
  <r>
    <x v="10"/>
    <x v="7"/>
    <s v="D:\Images\20210707\plaque 1/@10 tam 121µg_L/H10_02.tif "/>
    <s v=" 540.7474 "/>
    <s v=" 63.88 "/>
    <x v="0"/>
    <n v="34543"/>
    <m/>
    <m/>
    <m/>
  </r>
  <r>
    <x v="10"/>
    <x v="7"/>
    <s v="D:\Images\20210707\plaque 1/@10 tam 121µg_L/H10_03.tif "/>
    <s v=" 1146.3844 "/>
    <s v=" 63.8679 "/>
    <x v="0"/>
    <n v="73217"/>
    <m/>
    <m/>
    <m/>
  </r>
  <r>
    <x v="1"/>
    <x v="8"/>
    <s v=" "/>
    <m/>
    <m/>
    <x v="1"/>
    <m/>
    <m/>
    <m/>
    <m/>
  </r>
  <r>
    <x v="1"/>
    <x v="8"/>
    <s v="group "/>
    <s v=" "/>
    <s v=" mean of mean fluo "/>
    <x v="2"/>
    <s v=" mean of total fluo "/>
    <s v=" SD total fluo "/>
    <s v=" n fluorescent "/>
    <s v=" n total"/>
  </r>
  <r>
    <x v="10"/>
    <x v="9"/>
    <s v="D:\Images\20210707\plaque 1/@10 tam 121µg_L/ "/>
    <s v=" "/>
    <s v=" 64.8298 "/>
    <x v="12"/>
    <s v=" 178796.292 "/>
    <s v=" 160065.95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D:\Images\20210707\plaque 1/@11 tam 242µg_L/A11_01.tif "/>
    <s v=" 4455.7583 "/>
    <s v=" 64.2233 "/>
    <x v="0"/>
    <n v="286164"/>
    <m/>
    <m/>
    <m/>
  </r>
  <r>
    <x v="11"/>
    <x v="0"/>
    <s v="D:\Images\20210707\plaque 1/@11 tam 242µg_L/A11_02.tif "/>
    <s v=" 5104.6551 "/>
    <s v=" 65.0339 "/>
    <x v="0"/>
    <n v="331976"/>
    <m/>
    <m/>
    <m/>
  </r>
  <r>
    <x v="11"/>
    <x v="0"/>
    <s v="D:\Images\20210707\plaque 1/@11 tam 242µg_L/A11_03.tif "/>
    <s v=" 5840.0715 "/>
    <s v=" 64.2481 "/>
    <x v="0"/>
    <n v="375214"/>
    <m/>
    <m/>
    <m/>
  </r>
  <r>
    <x v="11"/>
    <x v="1"/>
    <s v="D:\Images\20210707\plaque 1/@11 tam 242µg_L/B11_01.tif "/>
    <s v=" 1341.0535 "/>
    <s v=" 67.0806 "/>
    <x v="0"/>
    <n v="89959"/>
    <m/>
    <m/>
    <m/>
  </r>
  <r>
    <x v="11"/>
    <x v="1"/>
    <s v="D:\Images\20210707\plaque 1/@11 tam 242µg_L/B11_02.tif "/>
    <s v=" 1211.2741 "/>
    <s v=" 64.6429 "/>
    <x v="0"/>
    <n v="78300"/>
    <m/>
    <m/>
    <m/>
  </r>
  <r>
    <x v="11"/>
    <x v="1"/>
    <s v="D:\Images\20210707\plaque 1/@11 tam 242µg_L/B11_03.tif "/>
    <s v=" 1989.9503 "/>
    <s v=" 65.3804 "/>
    <x v="0"/>
    <n v="130104"/>
    <m/>
    <m/>
    <m/>
  </r>
  <r>
    <x v="11"/>
    <x v="2"/>
    <s v="D:\Images\20210707\plaque 1/@11 tam 242µg_L/C11_01.tif "/>
    <s v=" 3266.1141 "/>
    <s v=" 65.0795 "/>
    <x v="0"/>
    <n v="212557"/>
    <m/>
    <m/>
    <m/>
  </r>
  <r>
    <x v="11"/>
    <x v="2"/>
    <s v="D:\Images\20210707\plaque 1/@11 tam 242µg_L/C11_02.tif "/>
    <s v=" 5537.253 "/>
    <s v=" 66.5938 "/>
    <x v="0"/>
    <n v="368746"/>
    <m/>
    <m/>
    <m/>
  </r>
  <r>
    <x v="11"/>
    <x v="2"/>
    <s v="D:\Images\20210707\plaque 1/@11 tam 242µg_L/C11_03.tif "/>
    <s v=" 2963.2956 "/>
    <s v=" 65.3358 "/>
    <x v="0"/>
    <n v="193609"/>
    <m/>
    <m/>
    <m/>
  </r>
  <r>
    <x v="11"/>
    <x v="3"/>
    <s v="D:\Images\20210707\plaque 1/@11 tam 242µg_L/D11_01.tif "/>
    <s v=" 1578.9823 "/>
    <s v=" 66.863 "/>
    <x v="0"/>
    <n v="105576"/>
    <m/>
    <m/>
    <m/>
  </r>
  <r>
    <x v="11"/>
    <x v="3"/>
    <s v="D:\Images\20210707\plaque 1/@11 tam 242µg_L/D11_02.tif "/>
    <s v=" 346.0783 "/>
    <s v=" 62.5625 "/>
    <x v="0"/>
    <n v="21652"/>
    <m/>
    <m/>
    <m/>
  </r>
  <r>
    <x v="11"/>
    <x v="3"/>
    <s v="D:\Images\20210707\plaque 1/@11 tam 242µg_L/D11_03.tif "/>
    <s v=" 584.0072 "/>
    <s v=" 61.7407 "/>
    <x v="0"/>
    <n v="36057"/>
    <m/>
    <m/>
    <m/>
  </r>
  <r>
    <x v="11"/>
    <x v="4"/>
    <s v="D:\Images\20210707\plaque 1/@11 tam 242µg_L/E11_01.tif "/>
    <s v=" 6121.2602 "/>
    <s v=" 66.0495 "/>
    <x v="0"/>
    <n v="404306"/>
    <m/>
    <m/>
    <m/>
  </r>
  <r>
    <x v="11"/>
    <x v="4"/>
    <s v="D:\Images\20210707\plaque 1/@11 tam 242µg_L/E11_02.tif "/>
    <s v=" 1189.6442 "/>
    <s v=" 62.8545 "/>
    <x v="0"/>
    <n v="74775"/>
    <m/>
    <m/>
    <m/>
  </r>
  <r>
    <x v="11"/>
    <x v="4"/>
    <s v="D:\Images\20210707\plaque 1/@11 tam 242µg_L/E11_03.tif "/>
    <s v=" 4909.9861 "/>
    <s v=" 64.5066 "/>
    <x v="0"/>
    <n v="316727"/>
    <m/>
    <m/>
    <m/>
  </r>
  <r>
    <x v="11"/>
    <x v="5"/>
    <s v="D:\Images\20210707\plaque 1/@11 tam 242µg_L/F11_01- exclu.tif"/>
    <m/>
    <m/>
    <x v="1"/>
    <m/>
    <m/>
    <m/>
    <m/>
  </r>
  <r>
    <x v="11"/>
    <x v="5"/>
    <s v="D:\Images\20210707\plaque 1/@11 tam 242µg_L/F11_02.tif "/>
    <s v=" 10144.4206 "/>
    <s v=" 69.3966 "/>
    <x v="0"/>
    <n v="703988"/>
    <m/>
    <m/>
    <m/>
  </r>
  <r>
    <x v="11"/>
    <x v="5"/>
    <s v="D:\Images\20210707\plaque 1/@11 tam 242µg_L/F11_03- exclu.tif"/>
    <m/>
    <m/>
    <x v="1"/>
    <m/>
    <m/>
    <m/>
    <m/>
  </r>
  <r>
    <x v="11"/>
    <x v="6"/>
    <s v="D:\Images\20210707\plaque 1/@11 tam 242µg_L/G11_01.tif "/>
    <s v=" 1427.573 "/>
    <s v=" 63.5 "/>
    <x v="0"/>
    <n v="90651"/>
    <m/>
    <m/>
    <m/>
  </r>
  <r>
    <x v="11"/>
    <x v="6"/>
    <s v="D:\Images\20210707\plaque 1/@11 tam 242µg_L/G11_02.tif "/>
    <s v=" 1124.7545 "/>
    <s v=" 63.1538 "/>
    <x v="0"/>
    <n v="71033"/>
    <m/>
    <m/>
    <m/>
  </r>
  <r>
    <x v="11"/>
    <x v="6"/>
    <s v="D:\Images\20210707\plaque 1/@11 tam 242µg_L/G11_03.tif "/>
    <s v=" 1146.3844 "/>
    <s v=" 63.9811 "/>
    <x v="0"/>
    <n v="73347"/>
    <m/>
    <m/>
    <m/>
  </r>
  <r>
    <x v="11"/>
    <x v="7"/>
    <s v="D:\Images\20210707\plaque 1/@11 tam 242µg_L/H11_01.tif "/>
    <s v=" 3136.3347 "/>
    <s v=" 68.1241 "/>
    <x v="0"/>
    <n v="213660"/>
    <m/>
    <m/>
    <m/>
  </r>
  <r>
    <x v="11"/>
    <x v="7"/>
    <s v="D:\Images\20210707\plaque 1/@11 tam 242µg_L/H11_02.tif "/>
    <s v=" 4477.3882 "/>
    <s v=" 67.913 "/>
    <x v="0"/>
    <n v="304073"/>
    <m/>
    <m/>
    <m/>
  </r>
  <r>
    <x v="11"/>
    <x v="7"/>
    <s v="D:\Images\20210707\plaque 1/@11 tam 242µg_L/H11_03.tif "/>
    <s v=" 1903.4307 "/>
    <s v=" 70.2273 "/>
    <x v="0"/>
    <n v="133673"/>
    <m/>
    <m/>
    <m/>
  </r>
  <r>
    <x v="1"/>
    <x v="8"/>
    <s v=" "/>
    <m/>
    <m/>
    <x v="1"/>
    <m/>
    <m/>
    <m/>
    <m/>
  </r>
  <r>
    <x v="1"/>
    <x v="8"/>
    <s v="group "/>
    <s v=" "/>
    <s v=" mean of mean fluo "/>
    <x v="2"/>
    <s v=" mean of total fluo "/>
    <s v=" SD total fluo "/>
    <s v=" n fluorescent "/>
    <s v=" n total"/>
  </r>
  <r>
    <x v="11"/>
    <x v="9"/>
    <s v="D:\Images\20210707\plaque 1/@11 tam 242µg_L/ "/>
    <s v=" "/>
    <s v=" 65.22 "/>
    <x v="13"/>
    <s v=" 193880.625 "/>
    <s v=" 165992.86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D:\Images\20210707\plaque 1/@12 tam 483µg_L/A12_01.tif "/>
    <s v=" 17476.9549 "/>
    <s v=" 67.5198 "/>
    <x v="0"/>
    <n v="1180041"/>
    <m/>
    <m/>
    <m/>
  </r>
  <r>
    <x v="12"/>
    <x v="0"/>
    <s v="D:\Images\20210707\plaque 1/@12 tam 483µg_L/A12_02.tif "/>
    <s v=" 12307.41 "/>
    <s v=" 66.7399 "/>
    <x v="0"/>
    <n v="821395"/>
    <m/>
    <m/>
    <m/>
  </r>
  <r>
    <x v="12"/>
    <x v="0"/>
    <s v="D:\Images\20210707\plaque 1/@12 tam 483µg_L/A12_03.tif "/>
    <s v=" 13064.4564 "/>
    <s v=" 65.7732 "/>
    <x v="0"/>
    <n v="859291"/>
    <m/>
    <m/>
    <m/>
  </r>
  <r>
    <x v="12"/>
    <x v="1"/>
    <s v="D:\Images\20210707\plaque 1/@12 tam 483µg_L/B12_01.tif "/>
    <s v=" 15011.1469 "/>
    <s v=" 65.0418 "/>
    <x v="0"/>
    <n v="976352"/>
    <m/>
    <m/>
    <m/>
  </r>
  <r>
    <x v="12"/>
    <x v="1"/>
    <s v="D:\Images\20210707\plaque 1/@12 tam 483µg_L/B12_02.tif "/>
    <s v=" 14946.2572 "/>
    <s v=" 66.932 "/>
    <x v="0"/>
    <n v="1000383"/>
    <m/>
    <m/>
    <m/>
  </r>
  <r>
    <x v="12"/>
    <x v="1"/>
    <s v="D:\Images\20210707\plaque 1/@12 tam 483µg_L/B12_03.tif "/>
    <s v=" 15876.3427 "/>
    <s v=" 64.846 "/>
    <x v="0"/>
    <n v="1029518"/>
    <m/>
    <m/>
    <m/>
  </r>
  <r>
    <x v="12"/>
    <x v="2"/>
    <s v="D:\Images\20210707\plaque 1/@12 tam 483µg_L/C12_01.tif "/>
    <s v=" 24960.8984 "/>
    <s v=" 65.3284 "/>
    <x v="0"/>
    <n v="1630656"/>
    <m/>
    <m/>
    <m/>
  </r>
  <r>
    <x v="12"/>
    <x v="2"/>
    <s v="D:\Images\20210707\plaque 1/@12 tam 483µg_L/C12_02.tif "/>
    <s v=" 24268.7418 "/>
    <s v=" 66.2531 "/>
    <x v="0"/>
    <n v="1607880"/>
    <m/>
    <m/>
    <m/>
  </r>
  <r>
    <x v="12"/>
    <x v="2"/>
    <s v="D:\Images\20210707\plaque 1/@12 tam 483µg_L/C12_03.tif "/>
    <s v=" 24982.5283 "/>
    <s v=" 67.4693 "/>
    <x v="0"/>
    <n v="1685553"/>
    <m/>
    <m/>
    <m/>
  </r>
  <r>
    <x v="12"/>
    <x v="3"/>
    <s v="D:\Images\20210707\plaque 1/@12 tam 483µg_L/D12_01.tif "/>
    <s v=" 3612.1924 "/>
    <s v=" 63.6886 "/>
    <x v="0"/>
    <n v="230056"/>
    <m/>
    <m/>
    <m/>
  </r>
  <r>
    <x v="12"/>
    <x v="3"/>
    <s v="D:\Images\20210707\plaque 1/@12 tam 483µg_L/D12_02.tif "/>
    <s v=" 1362.6834 "/>
    <s v=" 62.7778 "/>
    <x v="0"/>
    <n v="85546"/>
    <m/>
    <m/>
    <m/>
  </r>
  <r>
    <x v="12"/>
    <x v="3"/>
    <s v="D:\Images\20210707\plaque 1/@12 tam 483µg_L/D12_03.tif "/>
    <s v=" 2162.9895 "/>
    <s v=" 63.49 "/>
    <x v="0"/>
    <n v="137328"/>
    <m/>
    <m/>
    <m/>
  </r>
  <r>
    <x v="12"/>
    <x v="4"/>
    <s v="D:\Images\20210707\plaque 1/@12 tam 483µg_L/E12_01.tif "/>
    <s v=" 12004.5915 "/>
    <s v=" 65.4937 "/>
    <x v="0"/>
    <n v="786225"/>
    <m/>
    <m/>
    <m/>
  </r>
  <r>
    <x v="12"/>
    <x v="4"/>
    <s v="D:\Images\20210707\plaque 1/@12 tam 483µg_L/E12_02.tif "/>
    <s v=" 2271.1389 "/>
    <s v=" 64.0667 "/>
    <x v="0"/>
    <n v="145504"/>
    <m/>
    <m/>
    <m/>
  </r>
  <r>
    <x v="12"/>
    <x v="4"/>
    <s v="D:\Images\20210707\plaque 1/@12 tam 483µg_L/E12_03.tif "/>
    <s v=" 9257.5949 "/>
    <s v=" 65.0187 "/>
    <x v="0"/>
    <n v="601917"/>
    <m/>
    <m/>
    <m/>
  </r>
  <r>
    <x v="12"/>
    <x v="5"/>
    <s v="D:\Images\20210707\plaque 1/@12 tam 483µg_L/F12_01.tif "/>
    <s v=" 2162.9895 "/>
    <s v=" 66.05 "/>
    <x v="0"/>
    <n v="142865"/>
    <m/>
    <m/>
    <m/>
  </r>
  <r>
    <x v="12"/>
    <x v="5"/>
    <s v="D:\Images\20210707\plaque 1/@12 tam 483µg_L/F12_02.tif "/>
    <s v=" 8024.6909 "/>
    <s v=" 69.1186 "/>
    <x v="0"/>
    <n v="554655"/>
    <m/>
    <m/>
    <m/>
  </r>
  <r>
    <x v="12"/>
    <x v="5"/>
    <s v="D:\Images\20210707\plaque 1/@12 tam 483µg_L/F12_03.tif "/>
    <s v=" 2444.1781 "/>
    <s v=" 64.7257 "/>
    <x v="0"/>
    <n v="158201"/>
    <m/>
    <m/>
    <m/>
  </r>
  <r>
    <x v="12"/>
    <x v="6"/>
    <s v="D:\Images\20210707\plaque 1/@12 tam 483µg_L/G12_01.tif "/>
    <s v=" 10360.7195 "/>
    <s v=" 64.9499 "/>
    <x v="0"/>
    <n v="672928"/>
    <m/>
    <m/>
    <m/>
  </r>
  <r>
    <x v="12"/>
    <x v="6"/>
    <s v="D:\Images\20210707\plaque 1/@12 tam 483µg_L/G12_02.tif "/>
    <s v=" 11680.1431 "/>
    <s v=" 66.2037 "/>
    <x v="0"/>
    <n v="773269"/>
    <m/>
    <m/>
    <m/>
  </r>
  <r>
    <x v="12"/>
    <x v="6"/>
    <s v="D:\Images\20210707\plaque 1/@12 tam 483µg_L/G12_03.tif "/>
    <s v=" 2530.6977 "/>
    <s v=" 62.7436 "/>
    <x v="0"/>
    <n v="158785"/>
    <m/>
    <m/>
    <m/>
  </r>
  <r>
    <x v="12"/>
    <x v="7"/>
    <s v="D:\Images\20210707\plaque 1/@12 tam 483µg_L/H12_01.tif "/>
    <s v=" 12156.0008 "/>
    <s v=" 73.2456 "/>
    <x v="0"/>
    <n v="890373"/>
    <m/>
    <m/>
    <m/>
  </r>
  <r>
    <x v="12"/>
    <x v="7"/>
    <s v="D:\Images\20210707\plaque 1/@12 tam 483µg_L/H12_02.tif "/>
    <s v=" 12653.4884 "/>
    <s v=" 64.9675 "/>
    <x v="0"/>
    <n v="822066"/>
    <m/>
    <m/>
    <m/>
  </r>
  <r>
    <x v="12"/>
    <x v="7"/>
    <s v="D:\Images\20210707\plaque 1/@12 tam 483µg_L/H12_03.tif "/>
    <s v=" 7851.6518 "/>
    <s v=" 63.8926 "/>
    <x v="0"/>
    <n v="501662"/>
    <m/>
    <m/>
    <m/>
  </r>
  <r>
    <x v="1"/>
    <x v="8"/>
    <s v=" "/>
    <m/>
    <m/>
    <x v="1"/>
    <m/>
    <m/>
    <m/>
    <m/>
  </r>
  <r>
    <x v="1"/>
    <x v="8"/>
    <s v="group "/>
    <s v=" "/>
    <s v=" mean of mean fluo "/>
    <x v="2"/>
    <s v=" mean of total fluo "/>
    <s v=" SD total fluo "/>
    <s v=" n fluorescent "/>
    <s v=" n total"/>
  </r>
  <r>
    <x v="12"/>
    <x v="9"/>
    <s v="D:\Images\20210707\plaque 1/@12 tam 483µg_L/ "/>
    <s v=" "/>
    <s v=" 65.6807 "/>
    <x v="14"/>
    <s v=" 727185.375 "/>
    <s v=" 486503.22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D:\Images\20210707\plaque 2/@01 testo 30/A1_01.tif "/>
    <s v=" 37008.7497 "/>
    <s v=" 69.8609 "/>
    <x v="0"/>
    <n v="2585465"/>
    <m/>
    <m/>
    <m/>
  </r>
  <r>
    <x v="13"/>
    <x v="0"/>
    <s v="D:\Images\20210707\plaque 2/@01 testo 30/A1_02.tif "/>
    <s v=" 37268.3084 "/>
    <s v=" 69.9617 "/>
    <x v="0"/>
    <n v="2607354"/>
    <m/>
    <m/>
    <m/>
  </r>
  <r>
    <x v="13"/>
    <x v="0"/>
    <s v="D:\Images\20210707\plaque 2/@01 testo 30/A1_03.tif "/>
    <s v=" 36597.7817 "/>
    <s v=" 70.0118 "/>
    <x v="0"/>
    <n v="2562277"/>
    <m/>
    <m/>
    <m/>
  </r>
  <r>
    <x v="13"/>
    <x v="1"/>
    <s v="D:\Images\20210707\plaque 2/@01 testo 30/B1_01.tif "/>
    <s v=" 36857.3404 "/>
    <s v=" 71.6092 "/>
    <x v="0"/>
    <n v="2639323"/>
    <m/>
    <m/>
    <m/>
  </r>
  <r>
    <x v="13"/>
    <x v="1"/>
    <s v="D:\Images\20210707\plaque 2/@01 testo 30/B1_02.tif "/>
    <s v=" 42351.3337 "/>
    <s v=" 73.2421 "/>
    <x v="0"/>
    <n v="3101900"/>
    <m/>
    <m/>
    <m/>
  </r>
  <r>
    <x v="13"/>
    <x v="1"/>
    <s v="D:\Images\20210707\plaque 2/@01 testo 30/B1_03.tif "/>
    <s v=" 42286.444 "/>
    <s v=" 70.6726 "/>
    <x v="0"/>
    <n v="2988494"/>
    <m/>
    <m/>
    <m/>
  </r>
  <r>
    <x v="13"/>
    <x v="2"/>
    <s v="D:\Images\20210707\plaque 2/@01 testo 30/C1_01.tif "/>
    <s v=" 22970.9481 "/>
    <s v=" 71.1525 "/>
    <x v="0"/>
    <n v="1634441"/>
    <m/>
    <m/>
    <m/>
  </r>
  <r>
    <x v="13"/>
    <x v="2"/>
    <s v="D:\Images\20210707\plaque 2/@01 testo 30/C1_02.tif "/>
    <s v=" 19207.3464 "/>
    <s v=" 69.2196 "/>
    <x v="0"/>
    <n v="1329525"/>
    <m/>
    <m/>
    <m/>
  </r>
  <r>
    <x v="13"/>
    <x v="2"/>
    <s v="D:\Images\20210707\plaque 2/@01 testo 30/C1_03.tif "/>
    <s v=" 19942.7628 "/>
    <s v=" 69.4436 "/>
    <x v="0"/>
    <n v="1384897"/>
    <m/>
    <m/>
    <m/>
  </r>
  <r>
    <x v="13"/>
    <x v="3"/>
    <s v="D:\Images\20210707\plaque 2/@01 testo 30/D1_01.tif "/>
    <s v=" 38868.9206 "/>
    <s v=" 71.7045 "/>
    <x v="0"/>
    <n v="2787077"/>
    <m/>
    <m/>
    <m/>
  </r>
  <r>
    <x v="13"/>
    <x v="3"/>
    <s v="D:\Images\20210707\plaque 2/@01 testo 30/D1_02.tif "/>
    <s v=" 39193.3691 "/>
    <s v=" 71.0094 "/>
    <x v="0"/>
    <n v="2783097"/>
    <m/>
    <m/>
    <m/>
  </r>
  <r>
    <x v="13"/>
    <x v="3"/>
    <s v="D:\Images\20210707\plaque 2/@01 testo 30/D1_03.tif "/>
    <s v=" 41702.4368 "/>
    <s v=" 70.3268 "/>
    <x v="0"/>
    <n v="2932797"/>
    <m/>
    <m/>
    <m/>
  </r>
  <r>
    <x v="13"/>
    <x v="4"/>
    <s v="D:\Images\20210707\plaque 2/@01 testo 30/E1_01.tif "/>
    <s v=" 57578.7795 "/>
    <s v=" 70.2141 "/>
    <x v="0"/>
    <n v="4042844"/>
    <m/>
    <m/>
    <m/>
  </r>
  <r>
    <x v="13"/>
    <x v="4"/>
    <s v="D:\Images\20210707\plaque 2/@01 testo 30/E1_02.tif "/>
    <s v=" 51133.0709 "/>
    <s v=" 71.9425 "/>
    <x v="0"/>
    <n v="3678639"/>
    <m/>
    <m/>
    <m/>
  </r>
  <r>
    <x v="13"/>
    <x v="4"/>
    <s v="D:\Images\20210707\plaque 2/@01 testo 30/E1_03.tif "/>
    <s v=" 52712.0532 "/>
    <s v=" 72.3192 "/>
    <x v="0"/>
    <n v="3812096"/>
    <m/>
    <m/>
    <m/>
  </r>
  <r>
    <x v="13"/>
    <x v="5"/>
    <s v="D:\Images\20210707\plaque 2/@01 testo 30/F1_01.tif "/>
    <s v=" 31233.5678 "/>
    <s v=" 69.3165 "/>
    <x v="0"/>
    <n v="2165001"/>
    <m/>
    <m/>
    <m/>
  </r>
  <r>
    <x v="13"/>
    <x v="5"/>
    <s v="D:\Images\20210707\plaque 2/@01 testo 30/F1_02.tif "/>
    <s v=" 27080.6281 "/>
    <s v=" 68.0511 "/>
    <x v="0"/>
    <n v="1842867"/>
    <m/>
    <m/>
    <m/>
  </r>
  <r>
    <x v="13"/>
    <x v="5"/>
    <s v="D:\Images\20210707\plaque 2/@01 testo 30/F1_03.tif "/>
    <s v=" 26821.0693 "/>
    <s v=" 72.1879 "/>
    <x v="0"/>
    <n v="1936157"/>
    <m/>
    <m/>
    <m/>
  </r>
  <r>
    <x v="13"/>
    <x v="6"/>
    <s v="D:\Images\20210707\plaque 2/@01 testo 30/G1_01.tif "/>
    <s v=" 14643.4387 "/>
    <s v=" 65.3693 "/>
    <x v="0"/>
    <n v="957231"/>
    <m/>
    <m/>
    <m/>
  </r>
  <r>
    <x v="13"/>
    <x v="6"/>
    <s v="D:\Images\20210707\plaque 2/@01 testo 30/G1_02.tif "/>
    <s v=" 14556.9191 "/>
    <s v=" 65.3328 "/>
    <x v="0"/>
    <n v="951045"/>
    <m/>
    <m/>
    <m/>
  </r>
  <r>
    <x v="13"/>
    <x v="6"/>
    <s v="D:\Images\20210707\plaque 2/@01 testo 30/G1_03.tif "/>
    <s v=" 9690.1928 "/>
    <s v=" 64.5201 "/>
    <x v="0"/>
    <n v="625212"/>
    <m/>
    <m/>
    <m/>
  </r>
  <r>
    <x v="13"/>
    <x v="7"/>
    <s v="D:\Images\20210707\plaque 2/@01 testo 30/H1_01.tif "/>
    <s v=" 20007.6525 "/>
    <s v=" 71.5286 "/>
    <x v="0"/>
    <n v="1431120"/>
    <m/>
    <m/>
    <m/>
  </r>
  <r>
    <x v="13"/>
    <x v="7"/>
    <s v="D:\Images\20210707\plaque 2/@01 testo 30/H1_02.tif "/>
    <s v=" 16763.1683 "/>
    <s v=" 71.2052 "/>
    <x v="0"/>
    <n v="1193624"/>
    <m/>
    <m/>
    <m/>
  </r>
  <r>
    <x v="13"/>
    <x v="7"/>
    <s v="D:\Images\20210707\plaque 2/@01 testo 30/H1_03.tif "/>
    <s v=" 14081.0614 "/>
    <s v=" 71.3349 "/>
    <x v="0"/>
    <n v="1004471"/>
    <m/>
    <m/>
    <m/>
  </r>
  <r>
    <x v="1"/>
    <x v="8"/>
    <s v=" "/>
    <m/>
    <m/>
    <x v="1"/>
    <m/>
    <m/>
    <m/>
    <m/>
  </r>
  <r>
    <x v="1"/>
    <x v="8"/>
    <s v="group "/>
    <s v=" "/>
    <s v=" mean of mean fluo "/>
    <x v="2"/>
    <s v=" mean of total fluo "/>
    <s v=" SD total fluo "/>
    <s v=" n fluorescent "/>
    <s v=" n total"/>
  </r>
  <r>
    <x v="13"/>
    <x v="9"/>
    <s v="D:\Images\20210707\plaque 2/@01 testo 30/ "/>
    <s v=" "/>
    <s v=" 70.064 "/>
    <x v="15"/>
    <s v=" 2207373.08 "/>
    <s v=" 978763.71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D:\Images\20210707\plaque 2/@02 testo 30/A2_01.tif "/>
    <s v=" 34413.1624 "/>
    <s v=" 69.594 "/>
    <x v="0"/>
    <n v="2394948"/>
    <m/>
    <m/>
    <m/>
  </r>
  <r>
    <x v="14"/>
    <x v="0"/>
    <s v="D:\Images\20210707\plaque 2/@02 testo 30/A2_02.tif "/>
    <s v=" 35408.1375 "/>
    <s v=" 68.832 "/>
    <x v="0"/>
    <n v="2437213"/>
    <m/>
    <m/>
    <m/>
  </r>
  <r>
    <x v="14"/>
    <x v="0"/>
    <s v="D:\Images\20210707\plaque 2/@02 testo 30/A2_03.tif "/>
    <s v=" 31428.2369 "/>
    <s v=" 68.9738 "/>
    <x v="0"/>
    <n v="2167726"/>
    <m/>
    <m/>
    <m/>
  </r>
  <r>
    <x v="14"/>
    <x v="1"/>
    <s v="D:\Images\20210707\plaque 2/@02 testo 30/B2_01.tif "/>
    <s v=" 13021.1966 "/>
    <s v=" 70.8272 "/>
    <x v="0"/>
    <n v="922255"/>
    <m/>
    <m/>
    <m/>
  </r>
  <r>
    <x v="14"/>
    <x v="1"/>
    <s v="D:\Images\20210707\plaque 2/@02 testo 30/B2_02.tif "/>
    <s v=" 12480.4492 "/>
    <s v=" 69.8752 "/>
    <x v="0"/>
    <n v="872074"/>
    <m/>
    <m/>
    <m/>
  </r>
  <r>
    <x v="14"/>
    <x v="1"/>
    <s v="D:\Images\20210707\plaque 2/@02 testo 30/B2_03.tif "/>
    <s v=" 3547.3027 "/>
    <s v=" 63.7805 "/>
    <x v="0"/>
    <n v="226249"/>
    <m/>
    <m/>
    <m/>
  </r>
  <r>
    <x v="14"/>
    <x v="2"/>
    <s v="D:\Images\20210707\plaque 2/@02 testo 30/C2_01.tif "/>
    <s v=" 28183.7527 "/>
    <s v=" 69.7314 "/>
    <x v="0"/>
    <n v="1965292"/>
    <m/>
    <m/>
    <m/>
  </r>
  <r>
    <x v="14"/>
    <x v="2"/>
    <s v="D:\Images\20210707\plaque 2/@02 testo 30/C2_02.tif "/>
    <s v=" 30887.4895 "/>
    <s v=" 73.8543 "/>
    <x v="0"/>
    <n v="2281175"/>
    <m/>
    <m/>
    <m/>
  </r>
  <r>
    <x v="14"/>
    <x v="2"/>
    <s v="D:\Images\20210707\plaque 2/@02 testo 30/C2_03.tif "/>
    <s v=" 18363.7805 "/>
    <s v=" 67.1637 "/>
    <x v="0"/>
    <n v="1233380"/>
    <m/>
    <m/>
    <m/>
  </r>
  <r>
    <x v="14"/>
    <x v="3"/>
    <s v="D:\Images\20210707\plaque 2/@02 testo 30/D2_01- exclu.tif"/>
    <m/>
    <m/>
    <x v="1"/>
    <m/>
    <m/>
    <m/>
    <m/>
  </r>
  <r>
    <x v="14"/>
    <x v="3"/>
    <s v="D:\Images\20210707\plaque 2/@02 testo 30/D2_02.tif "/>
    <s v=" 41140.0596 "/>
    <s v=" 70.5478 "/>
    <x v="0"/>
    <n v="2902343"/>
    <m/>
    <m/>
    <m/>
  </r>
  <r>
    <x v="14"/>
    <x v="3"/>
    <s v="D:\Images\20210707\plaque 2/@02 testo 30/D2_03- exclu.tif"/>
    <m/>
    <m/>
    <x v="1"/>
    <m/>
    <m/>
    <m/>
    <m/>
  </r>
  <r>
    <x v="14"/>
    <x v="4"/>
    <s v="D:\Images\20210707\plaque 2/@02 testo 30/E2_01.tif "/>
    <s v=" 14859.7376 "/>
    <s v=" 64.7729 "/>
    <x v="0"/>
    <n v="962509"/>
    <m/>
    <m/>
    <m/>
  </r>
  <r>
    <x v="14"/>
    <x v="4"/>
    <s v="D:\Images\20210707\plaque 2/@02 testo 30/E2_02.tif "/>
    <s v=" 16611.7591 "/>
    <s v=" 65.1432 "/>
    <x v="0"/>
    <n v="1082144"/>
    <m/>
    <m/>
    <m/>
  </r>
  <r>
    <x v="14"/>
    <x v="4"/>
    <s v="D:\Images\20210707\plaque 2/@02 testo 30/E2_03.tif "/>
    <s v=" 19661.5742 "/>
    <s v=" 65.4048 "/>
    <x v="0"/>
    <n v="1285962"/>
    <m/>
    <m/>
    <m/>
  </r>
  <r>
    <x v="14"/>
    <x v="5"/>
    <s v="D:\Images\20210707\plaque 2/@02 testo 30/F2_01.tif "/>
    <s v=" 39063.5897 "/>
    <s v=" 70.4452 "/>
    <x v="0"/>
    <n v="2751842"/>
    <m/>
    <m/>
    <m/>
  </r>
  <r>
    <x v="14"/>
    <x v="5"/>
    <s v="D:\Images\20210707\plaque 2/@02 testo 30/F2_02- exclu.tif"/>
    <m/>
    <m/>
    <x v="1"/>
    <m/>
    <m/>
    <m/>
    <m/>
  </r>
  <r>
    <x v="14"/>
    <x v="5"/>
    <s v="D:\Images\20210707\plaque 2/@02 testo 30/F2_03.tif "/>
    <s v=" 36446.3724 "/>
    <s v=" 69.3478 "/>
    <x v="0"/>
    <n v="2527475"/>
    <m/>
    <m/>
    <m/>
  </r>
  <r>
    <x v="14"/>
    <x v="6"/>
    <s v="D:\Images\20210707\plaque 2/@02 testo 30/G2_01.tif "/>
    <s v=" 52430.8646 "/>
    <s v=" 72.3259 "/>
    <x v="0"/>
    <n v="3792110"/>
    <m/>
    <m/>
    <m/>
  </r>
  <r>
    <x v="14"/>
    <x v="6"/>
    <s v="D:\Images\20210707\plaque 2/@02 testo 30/G2_02.tif "/>
    <s v=" 47477.6187 "/>
    <s v=" 71.3708 "/>
    <x v="0"/>
    <n v="3388518"/>
    <m/>
    <m/>
    <m/>
  </r>
  <r>
    <x v="14"/>
    <x v="6"/>
    <s v="D:\Images\20210707\plaque 2/@02 testo 30/G2_03.tif "/>
    <s v=" 43411.1985 "/>
    <s v=" 73.5974 "/>
    <x v="0"/>
    <n v="3194952"/>
    <m/>
    <m/>
    <m/>
  </r>
  <r>
    <x v="14"/>
    <x v="7"/>
    <s v="D:\Images\20210707\plaque 2/@02 testo 30/H2_01.tif "/>
    <s v=" 55913.2776 "/>
    <s v=" 74.087 "/>
    <x v="0"/>
    <n v="4142449"/>
    <m/>
    <m/>
    <m/>
  </r>
  <r>
    <x v="14"/>
    <x v="7"/>
    <s v="D:\Images\20210707\plaque 2/@02 testo 30/H2_02.tif "/>
    <s v=" 50657.2132 "/>
    <s v=" 79.0051 "/>
    <x v="0"/>
    <n v="4002179"/>
    <m/>
    <m/>
    <m/>
  </r>
  <r>
    <x v="14"/>
    <x v="7"/>
    <s v="D:\Images\20210707\plaque 2/@02 testo 30/H2_03.tif "/>
    <s v=" 49640.6082 "/>
    <s v=" 77.1765 "/>
    <x v="0"/>
    <n v="3831087"/>
    <m/>
    <m/>
    <m/>
  </r>
  <r>
    <x v="1"/>
    <x v="8"/>
    <s v=" "/>
    <m/>
    <m/>
    <x v="1"/>
    <m/>
    <m/>
    <m/>
    <m/>
  </r>
  <r>
    <x v="1"/>
    <x v="8"/>
    <s v="group "/>
    <s v=" "/>
    <s v=" mean of mean fluo "/>
    <x v="2"/>
    <s v=" mean of total fluo "/>
    <s v=" SD total fluo "/>
    <s v=" n fluorescent "/>
    <s v=" n total"/>
  </r>
  <r>
    <x v="14"/>
    <x v="9"/>
    <s v="D:\Images\20210707\plaque 2/@02 testo 30/ "/>
    <s v=" "/>
    <s v=" 70.3541 "/>
    <x v="16"/>
    <s v=" 2305560.21 "/>
    <s v=" 1116360.0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D:\Images\20210707\plaque 2/@03Testo + EE2 64/A3_01.tif "/>
    <s v=" 26128.9127 "/>
    <s v=" 76.2964 "/>
    <x v="0"/>
    <n v="1993541"/>
    <m/>
    <m/>
    <m/>
  </r>
  <r>
    <x v="15"/>
    <x v="0"/>
    <s v="D:\Images\20210707\plaque 2/@03Testo + EE2 64/A3_02.tif "/>
    <s v=" 24766.2294 "/>
    <s v=" 73.9956 "/>
    <x v="0"/>
    <n v="1832593"/>
    <m/>
    <m/>
    <m/>
  </r>
  <r>
    <x v="15"/>
    <x v="0"/>
    <s v="D:\Images\20210707\plaque 2/@03Testo + EE2 64/A3_03.tif "/>
    <s v=" 32315.0626 "/>
    <s v=" 72.2805 "/>
    <x v="0"/>
    <n v="2335747"/>
    <m/>
    <m/>
    <m/>
  </r>
  <r>
    <x v="15"/>
    <x v="1"/>
    <s v="D:\Images\20210707\plaque 2/@03Testo + EE2 64/B3_01.tif "/>
    <s v=" 26280.322 "/>
    <s v=" 68.786 "/>
    <x v="0"/>
    <n v="1807718"/>
    <m/>
    <m/>
    <m/>
  </r>
  <r>
    <x v="15"/>
    <x v="1"/>
    <s v="D:\Images\20210707\plaque 2/@03Testo + EE2 64/B3_02.tif "/>
    <s v=" 19358.7557 "/>
    <s v=" 69.7207 "/>
    <x v="0"/>
    <n v="1349705"/>
    <m/>
    <m/>
    <m/>
  </r>
  <r>
    <x v="15"/>
    <x v="1"/>
    <s v="D:\Images\20210707\plaque 2/@03Testo + EE2 64/B3_03.tif "/>
    <s v=" 24809.4891 "/>
    <s v=" 69.5728 "/>
    <x v="0"/>
    <n v="1726066"/>
    <m/>
    <m/>
    <m/>
  </r>
  <r>
    <x v="15"/>
    <x v="2"/>
    <s v="D:\Images\20210707\plaque 2/@03Testo + EE2 64/C3_01.tif "/>
    <s v=" 44600.8427 "/>
    <s v=" 83.6857 "/>
    <x v="0"/>
    <n v="3732455"/>
    <m/>
    <m/>
    <m/>
  </r>
  <r>
    <x v="15"/>
    <x v="2"/>
    <s v="D:\Images\20210707\plaque 2/@03Testo + EE2 64/C3_02.tif "/>
    <s v=" 46763.8322 "/>
    <s v=" 81.5213 "/>
    <x v="0"/>
    <n v="3812247"/>
    <m/>
    <m/>
    <m/>
  </r>
  <r>
    <x v="15"/>
    <x v="2"/>
    <s v="D:\Images\20210707\plaque 2/@03Testo + EE2 64/C3_03.tif "/>
    <s v=" 39647.5969 "/>
    <s v=" 84.7218 "/>
    <x v="0"/>
    <n v="3359014"/>
    <m/>
    <m/>
    <m/>
  </r>
  <r>
    <x v="15"/>
    <x v="3"/>
    <s v="D:\Images\20210707\plaque 2/@03Testo + EE2 64/D3_01.tif "/>
    <s v=" 54831.7829 "/>
    <s v=" 79.544 "/>
    <x v="0"/>
    <n v="4361538"/>
    <m/>
    <m/>
    <m/>
  </r>
  <r>
    <x v="15"/>
    <x v="3"/>
    <s v="D:\Images\20210707\plaque 2/@03Testo + EE2 64/D3_02.tif "/>
    <s v=" 57968.1176 "/>
    <s v=" 80.8 "/>
    <x v="0"/>
    <n v="4683824"/>
    <m/>
    <m/>
    <m/>
  </r>
  <r>
    <x v="15"/>
    <x v="3"/>
    <s v="D:\Images\20210707\plaque 2/@03Testo + EE2 64/D3_03.tif "/>
    <s v=" 55502.3096 "/>
    <s v=" 80.4864 "/>
    <x v="0"/>
    <n v="4467179"/>
    <m/>
    <m/>
    <m/>
  </r>
  <r>
    <x v="15"/>
    <x v="4"/>
    <s v="D:\Images\20210707\plaque 2/@03Testo + EE2 64/E3_01.tif "/>
    <s v=" 65214.1323 "/>
    <s v=" 78.1237 "/>
    <x v="0"/>
    <n v="5094770"/>
    <m/>
    <m/>
    <m/>
  </r>
  <r>
    <x v="15"/>
    <x v="4"/>
    <s v="D:\Images\20210707\plaque 2/@03Testo + EE2 64/E3_02.tif "/>
    <s v=" 56821.7332 "/>
    <s v=" 78.3175 "/>
    <x v="0"/>
    <n v="4450135"/>
    <m/>
    <m/>
    <m/>
  </r>
  <r>
    <x v="15"/>
    <x v="4"/>
    <s v="D:\Images\20210707\plaque 2/@03Testo + EE2 64/E3_03.tif "/>
    <s v=" 53079.7614 "/>
    <s v=" 76.0232 "/>
    <x v="0"/>
    <n v="4035295"/>
    <m/>
    <m/>
    <m/>
  </r>
  <r>
    <x v="15"/>
    <x v="5"/>
    <s v="D:\Images\20210707\plaque 2/@03Testo + EE2 64/F3_01.tif "/>
    <s v=" 65798.1395 "/>
    <s v=" 80.3442 "/>
    <x v="0"/>
    <n v="5286498"/>
    <m/>
    <m/>
    <m/>
  </r>
  <r>
    <x v="15"/>
    <x v="5"/>
    <s v="D:\Images\20210707\plaque 2/@03Testo + EE2 64/F3_02.tif "/>
    <s v=" 65257.3921 "/>
    <s v=" 81.2227 "/>
    <x v="0"/>
    <n v="5300384"/>
    <m/>
    <m/>
    <m/>
  </r>
  <r>
    <x v="15"/>
    <x v="5"/>
    <s v="D:\Images\20210707\plaque 2/@03Testo + EE2 64/F3_03.tif "/>
    <s v=" 66663.3352 "/>
    <s v=" 80.7206 "/>
    <x v="0"/>
    <n v="5381107"/>
    <m/>
    <m/>
    <m/>
  </r>
  <r>
    <x v="15"/>
    <x v="6"/>
    <s v="D:\Images\20210707\plaque 2/@03Testo + EE2 64/G3_01.tif "/>
    <s v=" 77651.3217 "/>
    <s v=" 76.8738 "/>
    <x v="0"/>
    <n v="5969353"/>
    <m/>
    <m/>
    <m/>
  </r>
  <r>
    <x v="15"/>
    <x v="6"/>
    <s v="D:\Images\20210707\plaque 2/@03Testo + EE2 64/G3_02.tif "/>
    <s v=" 66144.2178 "/>
    <s v=" 75.9019 "/>
    <x v="0"/>
    <n v="5020472"/>
    <m/>
    <m/>
    <m/>
  </r>
  <r>
    <x v="15"/>
    <x v="6"/>
    <s v="D:\Images\20210707\plaque 2/@03Testo + EE2 64/G3_03.tif "/>
    <s v=" 70275.5276 "/>
    <s v=" 75.5171 "/>
    <x v="0"/>
    <n v="5307003"/>
    <m/>
    <m/>
    <m/>
  </r>
  <r>
    <x v="15"/>
    <x v="7"/>
    <s v="D:\Images\20210707\plaque 2/@03Testo + EE2 64/H3_01.tif "/>
    <s v=" 42308.0739 "/>
    <s v=" 73.8655 "/>
    <x v="0"/>
    <n v="3125109"/>
    <m/>
    <m/>
    <m/>
  </r>
  <r>
    <x v="15"/>
    <x v="7"/>
    <s v="D:\Images\20210707\plaque 2/@03Testo + EE2 64/H3_02.tif "/>
    <s v=" 42567.6326 "/>
    <s v=" 75.0833 "/>
    <x v="0"/>
    <n v="3196120"/>
    <m/>
    <m/>
    <m/>
  </r>
  <r>
    <x v="15"/>
    <x v="7"/>
    <s v="D:\Images\20210707\plaque 2/@03Testo + EE2 64/H3_03.tif "/>
    <s v=" 42329.7038 "/>
    <s v=" 76.1829 "/>
    <x v="0"/>
    <n v="3224801"/>
    <m/>
    <m/>
    <m/>
  </r>
  <r>
    <x v="1"/>
    <x v="8"/>
    <s v=" "/>
    <m/>
    <m/>
    <x v="1"/>
    <m/>
    <m/>
    <m/>
    <m/>
  </r>
  <r>
    <x v="1"/>
    <x v="8"/>
    <s v="group "/>
    <s v=" "/>
    <s v=" mean of mean fluo "/>
    <x v="2"/>
    <s v=" mean of total fluo "/>
    <s v=" SD total fluo "/>
    <s v=" n fluorescent "/>
    <s v=" n total"/>
  </r>
  <r>
    <x v="15"/>
    <x v="9"/>
    <s v="D:\Images\20210707\plaque 2/@03Testo + EE2 64/ "/>
    <s v=" "/>
    <s v=" 77.0662 "/>
    <x v="17"/>
    <s v=" 3785528.08 "/>
    <s v=" 1383458.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D:\Images\20210707\plaque 2/@04 Testo +FAD/A4_01.tif "/>
    <s v=" 10555.3886 "/>
    <s v=" 66.3053 "/>
    <x v="0"/>
    <n v="699879"/>
    <m/>
    <m/>
    <m/>
  </r>
  <r>
    <x v="16"/>
    <x v="0"/>
    <s v="D:\Images\20210707\plaque 2/@04 Testo +FAD/A4_02.tif "/>
    <s v=" 4044.7903 "/>
    <s v=" 64.1497 "/>
    <x v="0"/>
    <n v="259472"/>
    <m/>
    <m/>
    <m/>
  </r>
  <r>
    <x v="16"/>
    <x v="0"/>
    <s v="D:\Images\20210707\plaque 2/@04 Testo +FAD/A4_03.tif "/>
    <s v=" 5191.1747 "/>
    <s v=" 64.175 "/>
    <x v="0"/>
    <n v="333144"/>
    <m/>
    <m/>
    <m/>
  </r>
  <r>
    <x v="16"/>
    <x v="1"/>
    <s v="D:\Images\20210707\plaque 2/@04 Testo +FAD/B4_01.tif "/>
    <s v=" 1038.2349 "/>
    <s v=" 63.875 "/>
    <x v="0"/>
    <n v="66317"/>
    <m/>
    <m/>
    <m/>
  </r>
  <r>
    <x v="16"/>
    <x v="1"/>
    <s v="D:\Images\20210707\plaque 2/@04 Testo +FAD/B4_02.tif "/>
    <s v=" 1254.5339 "/>
    <s v=" 65.8621 "/>
    <x v="0"/>
    <n v="82626"/>
    <m/>
    <m/>
    <m/>
  </r>
  <r>
    <x v="16"/>
    <x v="1"/>
    <s v="D:\Images\20210707\plaque 2/@04 Testo +FAD/B4_03.tif "/>
    <s v=" 692.1566 "/>
    <s v=" 66.3438 "/>
    <x v="0"/>
    <n v="45920"/>
    <m/>
    <m/>
    <m/>
  </r>
  <r>
    <x v="16"/>
    <x v="2"/>
    <s v="D:\Images\20210707\plaque 2/@04 Testo +FAD/C4_01.tif "/>
    <s v=" 3720.3419 "/>
    <s v=" 66.5465 "/>
    <x v="0"/>
    <n v="247576"/>
    <m/>
    <m/>
    <m/>
  </r>
  <r>
    <x v="16"/>
    <x v="2"/>
    <s v="D:\Images\20210707\plaque 2/@04 Testo +FAD/C4_02.tif "/>
    <s v=" 3093.0749 "/>
    <s v=" 66.1469 "/>
    <x v="0"/>
    <n v="204597"/>
    <m/>
    <m/>
    <m/>
  </r>
  <r>
    <x v="16"/>
    <x v="2"/>
    <s v="D:\Images\20210707\plaque 2/@04 Testo +FAD/C4_03.tif "/>
    <s v=" 2595.5874 "/>
    <s v=" 64.5 "/>
    <x v="0"/>
    <n v="167415"/>
    <m/>
    <m/>
    <m/>
  </r>
  <r>
    <x v="16"/>
    <x v="3"/>
    <s v="D:\Images\20210707\plaque 2/@04 Testo +FAD/D4_01.tif "/>
    <s v=" 1946.6905 "/>
    <s v=" 64.4889 "/>
    <x v="0"/>
    <n v="125540"/>
    <m/>
    <m/>
    <m/>
  </r>
  <r>
    <x v="16"/>
    <x v="3"/>
    <s v="D:\Images\20210707\plaque 2/@04 Testo +FAD/D4_02.tif "/>
    <s v=" 648.8968 "/>
    <s v=" 63.8333 "/>
    <x v="0"/>
    <n v="41421"/>
    <m/>
    <m/>
    <m/>
  </r>
  <r>
    <x v="16"/>
    <x v="3"/>
    <s v="D:\Images\20210707\plaque 2/@04 Testo +FAD/D4_03.tif "/>
    <s v=" 1319.4236 "/>
    <s v=" 66.2131 "/>
    <x v="0"/>
    <n v="87363"/>
    <m/>
    <m/>
    <m/>
  </r>
  <r>
    <x v="16"/>
    <x v="4"/>
    <s v="D:\Images\20210707\plaque 2/@04 Testo +FAD/E4_01.tif "/>
    <s v=" 4909.9861 "/>
    <s v=" 70.0925 "/>
    <x v="0"/>
    <n v="344153"/>
    <m/>
    <m/>
    <m/>
  </r>
  <r>
    <x v="16"/>
    <x v="4"/>
    <s v="D:\Images\20210707\plaque 2/@04 Testo +FAD/E4_02.tif "/>
    <s v=" 5904.9612 "/>
    <s v=" 67.7656 "/>
    <x v="0"/>
    <n v="400153"/>
    <m/>
    <m/>
    <m/>
  </r>
  <r>
    <x v="16"/>
    <x v="4"/>
    <s v="D:\Images\20210707\plaque 2/@04 Testo +FAD/E4_03.tif "/>
    <s v=" 454.2278 "/>
    <s v=" 63.3333 "/>
    <x v="0"/>
    <n v="28768"/>
    <m/>
    <m/>
    <m/>
  </r>
  <r>
    <x v="16"/>
    <x v="5"/>
    <s v="D:\Images\20210707\plaque 2/@04 Testo +FAD/F4_01.tif "/>
    <s v=" 346.0783 "/>
    <s v=" 62.25 "/>
    <x v="0"/>
    <n v="21543"/>
    <m/>
    <m/>
    <m/>
  </r>
  <r>
    <x v="16"/>
    <x v="5"/>
    <s v="D:\Images\20210707\plaque 2/@04 Testo +FAD/F4_02.tif "/>
    <s v=" 346.0783 "/>
    <s v=" 64.75 "/>
    <x v="0"/>
    <n v="22409"/>
    <m/>
    <m/>
    <m/>
  </r>
  <r>
    <x v="16"/>
    <x v="5"/>
    <s v="D:\Images\20210707\plaque 2/@04 Testo +FAD/F4_03.tif "/>
    <s v=" 778.6762 "/>
    <s v=" 65.8333 "/>
    <x v="0"/>
    <n v="51263"/>
    <m/>
    <m/>
    <m/>
  </r>
  <r>
    <x v="16"/>
    <x v="6"/>
    <s v="D:\Images\20210707\plaque 2/@04 Testo +FAD/G4_01.tif "/>
    <s v=" 6207.7798 "/>
    <s v=" 65.8746 "/>
    <x v="0"/>
    <n v="408935"/>
    <m/>
    <m/>
    <m/>
  </r>
  <r>
    <x v="16"/>
    <x v="6"/>
    <s v="D:\Images\20210707\plaque 2/@04 Testo +FAD/G4_02.tif "/>
    <s v=" 3071.445 "/>
    <s v=" 65.7113 "/>
    <x v="0"/>
    <n v="201829"/>
    <m/>
    <m/>
    <m/>
  </r>
  <r>
    <x v="16"/>
    <x v="6"/>
    <s v="D:\Images\20210707\plaque 2/@04 Testo +FAD/G4_03.tif "/>
    <s v=" 9019.6661 "/>
    <s v=" 68.1942 "/>
    <x v="0"/>
    <n v="615089"/>
    <m/>
    <m/>
    <m/>
  </r>
  <r>
    <x v="16"/>
    <x v="7"/>
    <s v="D:\Images\20210707\plaque 2/@04 Testo +FAD/H4_01.tif "/>
    <s v=" 1232.904 "/>
    <s v=" 65.5088 "/>
    <x v="0"/>
    <n v="80766"/>
    <m/>
    <m/>
    <m/>
  </r>
  <r>
    <x v="16"/>
    <x v="7"/>
    <s v="D:\Images\20210707\plaque 2/@04 Testo +FAD/H4_02.tif "/>
    <s v=" 735.4164 "/>
    <s v=" 64.5882 "/>
    <x v="0"/>
    <n v="47499"/>
    <m/>
    <m/>
    <m/>
  </r>
  <r>
    <x v="16"/>
    <x v="7"/>
    <s v="D:\Images\20210707\plaque 2/@04 Testo +FAD/H4_03.tif "/>
    <s v=" 605.637 "/>
    <s v=" 64.4286 "/>
    <x v="0"/>
    <n v="39020"/>
    <m/>
    <m/>
    <m/>
  </r>
  <r>
    <x v="1"/>
    <x v="8"/>
    <s v=" "/>
    <m/>
    <m/>
    <x v="1"/>
    <m/>
    <m/>
    <m/>
    <m/>
  </r>
  <r>
    <x v="1"/>
    <x v="8"/>
    <s v="group "/>
    <s v=" "/>
    <s v=" mean of mean fluo "/>
    <x v="2"/>
    <s v=" mean of total fluo "/>
    <s v=" SD total fluo "/>
    <s v=" n fluorescent "/>
    <s v=" n total"/>
  </r>
  <r>
    <x v="16"/>
    <x v="9"/>
    <s v="D:\Images\20210707\plaque 2/@04 Testo +FAD/ "/>
    <s v=" "/>
    <s v=" 65.4487 "/>
    <x v="18"/>
    <s v=" 192612.375 "/>
    <s v=" 189617.54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D:\Images\20210707\plaque 2/@05 tam 30.2 + testo/A5_01.tif "/>
    <s v=" 43887.0562 "/>
    <s v=" 73.8206 "/>
    <x v="0"/>
    <n v="3239769"/>
    <m/>
    <m/>
    <m/>
  </r>
  <r>
    <x v="17"/>
    <x v="0"/>
    <s v="D:\Images\20210707\plaque 2/@05 tam 30.2 + testo/A5_02.tif "/>
    <s v=" 44189.8747 "/>
    <s v=" 72.0984 "/>
    <x v="0"/>
    <n v="3186019"/>
    <m/>
    <m/>
    <m/>
  </r>
  <r>
    <x v="17"/>
    <x v="0"/>
    <s v="D:\Images\20210707\plaque 2/@05 tam 30.2 + testo/A5_03.tif "/>
    <s v=" 45206.4798 "/>
    <s v=" 72.4335 "/>
    <x v="0"/>
    <n v="3274463"/>
    <m/>
    <m/>
    <m/>
  </r>
  <r>
    <x v="17"/>
    <x v="1"/>
    <s v="D:\Images\20210707\plaque 2/@05 tam 30.2 + testo/B5_01.tif "/>
    <s v=" 41313.0987 "/>
    <s v=" 72.0031 "/>
    <x v="0"/>
    <n v="2974673"/>
    <m/>
    <m/>
    <m/>
  </r>
  <r>
    <x v="17"/>
    <x v="1"/>
    <s v="D:\Images\20210707\plaque 2/@05 tam 30.2 + testo/B5_02.tif "/>
    <s v=" 36532.892 "/>
    <s v=" 72.8881 "/>
    <x v="0"/>
    <n v="2662813"/>
    <m/>
    <m/>
    <m/>
  </r>
  <r>
    <x v="17"/>
    <x v="1"/>
    <s v="D:\Images\20210707\plaque 2/@05 tam 30.2 + testo/B5_03.tif "/>
    <s v=" 40426.2731 "/>
    <s v=" 72.901 "/>
    <x v="0"/>
    <n v="2947116"/>
    <m/>
    <m/>
    <m/>
  </r>
  <r>
    <x v="17"/>
    <x v="2"/>
    <s v="D:\Images\20210707\plaque 2/@05 tam 30.2 + testo/C5_01.tif "/>
    <s v=" 12415.5595 "/>
    <s v=" 64.7857 "/>
    <x v="0"/>
    <n v="804351"/>
    <m/>
    <m/>
    <m/>
  </r>
  <r>
    <x v="17"/>
    <x v="2"/>
    <s v="D:\Images\20210707\plaque 2/@05 tam 30.2 + testo/C5_02.tif "/>
    <s v=" 35062.0592 "/>
    <s v=" 70.0648 "/>
    <x v="0"/>
    <n v="2456615"/>
    <m/>
    <m/>
    <m/>
  </r>
  <r>
    <x v="17"/>
    <x v="2"/>
    <s v="D:\Images\20210707\plaque 2/@05 tam 30.2 + testo/C5_03- exclu.tif"/>
    <m/>
    <m/>
    <x v="1"/>
    <m/>
    <m/>
    <m/>
    <m/>
  </r>
  <r>
    <x v="17"/>
    <x v="3"/>
    <s v="D:\Images\20210707\plaque 2/@05 tam 30.2 + testo/D5_01.tif "/>
    <s v=" 40815.6112 "/>
    <s v=" 69.2268 "/>
    <x v="0"/>
    <n v="2825535"/>
    <m/>
    <m/>
    <m/>
  </r>
  <r>
    <x v="17"/>
    <x v="3"/>
    <s v="D:\Images\20210707\plaque 2/@05 tam 30.2 + testo/D5_02.tif "/>
    <s v=" 42805.5615 "/>
    <s v=" 69.7307 "/>
    <x v="0"/>
    <n v="2984861"/>
    <m/>
    <m/>
    <m/>
  </r>
  <r>
    <x v="17"/>
    <x v="3"/>
    <s v="D:\Images\20210707\plaque 2/@05 tam 30.2 + testo/D5_03.tif "/>
    <s v=" 37722.5362 "/>
    <s v=" 71.074 "/>
    <x v="0"/>
    <n v="2681090"/>
    <m/>
    <m/>
    <m/>
  </r>
  <r>
    <x v="17"/>
    <x v="4"/>
    <s v="D:\Images\20210707\plaque 2/@05 tam 30.2 + testo/E5_01.tif "/>
    <s v=" 973.3453 "/>
    <s v=" 62.8889 "/>
    <x v="0"/>
    <n v="61213"/>
    <m/>
    <m/>
    <m/>
  </r>
  <r>
    <x v="17"/>
    <x v="4"/>
    <s v="D:\Images\20210707\plaque 2/@05 tam 30.2 + testo/E5_02.tif "/>
    <s v=" 5688.6623 "/>
    <s v=" 65.9924 "/>
    <x v="0"/>
    <n v="375408"/>
    <m/>
    <m/>
    <m/>
  </r>
  <r>
    <x v="17"/>
    <x v="4"/>
    <s v="D:\Images\20210707\plaque 2/@05 tam 30.2 + testo/E5_03.tif "/>
    <s v=" 2292.7688 "/>
    <s v=" 63.8208 "/>
    <x v="0"/>
    <n v="146326"/>
    <m/>
    <m/>
    <m/>
  </r>
  <r>
    <x v="17"/>
    <x v="5"/>
    <s v="D:\Images\20210707\plaque 2/@05 tam 30.2 + testo/F5_01.tif "/>
    <s v=" 38717.5114 "/>
    <s v=" 74.2765 "/>
    <x v="0"/>
    <n v="2875803"/>
    <m/>
    <m/>
    <m/>
  </r>
  <r>
    <x v="17"/>
    <x v="5"/>
    <s v="D:\Images\20210707\plaque 2/@05 tam 30.2 + testo/F5_02.tif "/>
    <s v=" 33180.2584 "/>
    <s v=" 71.8475 "/>
    <x v="0"/>
    <n v="2383917"/>
    <m/>
    <m/>
    <m/>
  </r>
  <r>
    <x v="17"/>
    <x v="5"/>
    <s v="D:\Images\20210707\plaque 2/@05 tam 30.2 + testo/F5_03.tif "/>
    <s v=" 42026.8853 "/>
    <s v=" 71.8739 "/>
    <x v="0"/>
    <n v="3020636"/>
    <m/>
    <m/>
    <m/>
  </r>
  <r>
    <x v="17"/>
    <x v="6"/>
    <s v="D:\Images\20210707\plaque 2/@05 tam 30.2 + testo/G5_01.tif "/>
    <s v=" 46785.4621 "/>
    <s v=" 74.1706 "/>
    <x v="0"/>
    <n v="3470106"/>
    <m/>
    <m/>
    <m/>
  </r>
  <r>
    <x v="17"/>
    <x v="6"/>
    <s v="D:\Images\20210707\plaque 2/@05 tam 30.2 + testo/G5_02.tif "/>
    <s v=" 45011.8107 "/>
    <s v=" 77.2071 "/>
    <x v="0"/>
    <n v="3475232"/>
    <m/>
    <m/>
    <m/>
  </r>
  <r>
    <x v="17"/>
    <x v="6"/>
    <s v="D:\Images\20210707\plaque 2/@05 tam 30.2 + testo/G5_03.tif "/>
    <s v=" 49381.0494 "/>
    <s v=" 75.6224 "/>
    <x v="0"/>
    <n v="3734315"/>
    <m/>
    <m/>
    <m/>
  </r>
  <r>
    <x v="17"/>
    <x v="7"/>
    <s v="D:\Images\20210707\plaque 2/@05 tam 30.2 + testo/H5_01.tif "/>
    <s v=" 23208.8769 "/>
    <s v=" 67.2358 "/>
    <x v="0"/>
    <n v="1560467"/>
    <m/>
    <m/>
    <m/>
  </r>
  <r>
    <x v="17"/>
    <x v="7"/>
    <s v="D:\Images\20210707\plaque 2/@05 tam 30.2 + testo/H5_02.tif "/>
    <s v=" 20223.9515 "/>
    <s v=" 67.3005 "/>
    <x v="0"/>
    <n v="1361083"/>
    <m/>
    <m/>
    <m/>
  </r>
  <r>
    <x v="17"/>
    <x v="7"/>
    <s v="D:\Images\20210707\plaque 2/@05 tam 30.2 + testo/H5_03.tif "/>
    <s v=" 21456.8555 "/>
    <s v=" 67.0927 "/>
    <x v="0"/>
    <n v="1439599"/>
    <m/>
    <m/>
    <m/>
  </r>
  <r>
    <x v="1"/>
    <x v="8"/>
    <s v=" "/>
    <m/>
    <m/>
    <x v="1"/>
    <m/>
    <m/>
    <m/>
    <m/>
  </r>
  <r>
    <x v="1"/>
    <x v="8"/>
    <s v="group "/>
    <s v=" "/>
    <s v=" mean of mean fluo "/>
    <x v="2"/>
    <s v=" mean of total fluo "/>
    <s v=" SD total fluo "/>
    <s v=" n fluorescent "/>
    <s v=" n total"/>
  </r>
  <r>
    <x v="17"/>
    <x v="9"/>
    <s v="D:\Images\20210707\plaque 2/@05 tam 30.2 + testo/ "/>
    <s v=" "/>
    <s v=" 70.3381 "/>
    <x v="19"/>
    <s v=" 2330609.42 "/>
    <s v=" 1104057.8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D:\Images\20210707\plaque 2/@06  tam 60.4 + testo/A6_01.tif "/>
    <s v=" 6835.0467 "/>
    <s v=" 65.4051 "/>
    <x v="0"/>
    <n v="447047"/>
    <m/>
    <m/>
    <m/>
  </r>
  <r>
    <x v="18"/>
    <x v="0"/>
    <s v="D:\Images\20210707\plaque 2/@06  tam 60.4 + testo/A6_02.tif "/>
    <s v=" 10079.5309 "/>
    <s v=" 65.9979 "/>
    <x v="0"/>
    <n v="665227"/>
    <m/>
    <m/>
    <m/>
  </r>
  <r>
    <x v="18"/>
    <x v="0"/>
    <s v="D:\Images\20210707\plaque 2/@06  tam 60.4 + testo/A6_03.tif "/>
    <s v=" 11809.9225 "/>
    <s v=" 66.2546 "/>
    <x v="0"/>
    <n v="782461"/>
    <m/>
    <m/>
    <m/>
  </r>
  <r>
    <x v="18"/>
    <x v="1"/>
    <s v="D:\Images\20210707\plaque 2/@06  tam 60.4 + testo/B6_01.tif "/>
    <s v=" 2725.3667 "/>
    <s v=" 64.881 "/>
    <x v="0"/>
    <n v="176824"/>
    <m/>
    <m/>
    <m/>
  </r>
  <r>
    <x v="18"/>
    <x v="1"/>
    <s v="D:\Images\20210707\plaque 2/@06  tam 60.4 + testo/B6_02.tif "/>
    <s v=" 1189.6442 "/>
    <s v=" 64.2727 "/>
    <x v="0"/>
    <n v="76462"/>
    <m/>
    <m/>
    <m/>
  </r>
  <r>
    <x v="18"/>
    <x v="1"/>
    <s v="D:\Images\20210707\plaque 2/@06  tam 60.4 + testo/B6_03.tif "/>
    <s v=" 3806.8615 "/>
    <s v=" 65.4773 "/>
    <x v="0"/>
    <n v="249263"/>
    <m/>
    <m/>
    <m/>
  </r>
  <r>
    <x v="18"/>
    <x v="2"/>
    <s v="D:\Images\20210707\plaque 2/@06  tam 60.4 + testo/C6_01.tif "/>
    <s v=" 16936.2075 "/>
    <s v=" 65.8493 "/>
    <x v="0"/>
    <n v="1115237"/>
    <m/>
    <m/>
    <m/>
  </r>
  <r>
    <x v="18"/>
    <x v="2"/>
    <s v="D:\Images\20210707\plaque 2/@06  tam 60.4 + testo/C6_02.tif "/>
    <s v=" 17174.1363 "/>
    <s v=" 65.631 "/>
    <x v="0"/>
    <n v="1127155"/>
    <m/>
    <m/>
    <m/>
  </r>
  <r>
    <x v="18"/>
    <x v="2"/>
    <s v="D:\Images\20210707\plaque 2/@06  tam 60.4 + testo/C6_03.tif "/>
    <s v=" 11377.3246 "/>
    <s v=" 64.3916 "/>
    <x v="0"/>
    <n v="732605"/>
    <m/>
    <m/>
    <m/>
  </r>
  <r>
    <x v="18"/>
    <x v="3"/>
    <s v="D:\Images\20210707\plaque 2/@06  tam 60.4 + testo/D6_01.tif "/>
    <s v=" 33483.0769 "/>
    <s v=" 69.6693 "/>
    <x v="0"/>
    <n v="2332741"/>
    <m/>
    <m/>
    <m/>
  </r>
  <r>
    <x v="18"/>
    <x v="3"/>
    <s v="D:\Images\20210707\plaque 2/@06  tam 60.4 + testo/D6_02.tif "/>
    <s v=" 33958.9346 "/>
    <s v=" 74.8197 "/>
    <x v="0"/>
    <n v="2540799"/>
    <m/>
    <m/>
    <m/>
  </r>
  <r>
    <x v="18"/>
    <x v="3"/>
    <s v="D:\Images\20210707\plaque 2/@06  tam 60.4 + testo/D6_03.tif "/>
    <s v=" 32142.0234 "/>
    <s v=" 73.5848 "/>
    <x v="0"/>
    <n v="2365164"/>
    <m/>
    <m/>
    <m/>
  </r>
  <r>
    <x v="18"/>
    <x v="4"/>
    <s v="D:\Images\20210707\plaque 2/@06  tam 60.4 + testo/E6_01.tif "/>
    <s v=" 9517.1536 "/>
    <s v=" 66.3159 "/>
    <x v="0"/>
    <n v="631139"/>
    <m/>
    <m/>
    <m/>
  </r>
  <r>
    <x v="18"/>
    <x v="4"/>
    <s v="D:\Images\20210707\plaque 2/@06  tam 60.4 + testo/E6_02.tif "/>
    <s v=" 10036.2711 "/>
    <s v=" 65.0216 "/>
    <x v="0"/>
    <n v="652574"/>
    <m/>
    <m/>
    <m/>
  </r>
  <r>
    <x v="18"/>
    <x v="4"/>
    <s v="D:\Images\20210707\plaque 2/@06  tam 60.4 + testo/E6_03.tif "/>
    <s v=" 6575.488 "/>
    <s v=" 64.8586 "/>
    <x v="0"/>
    <n v="426477"/>
    <m/>
    <m/>
    <m/>
  </r>
  <r>
    <x v="18"/>
    <x v="5"/>
    <s v="D:\Images\20210707\plaque 2/@06  tam 60.4 + testo/F6_01.tif "/>
    <s v=" 4499.0181 "/>
    <s v=" 64.0048 "/>
    <x v="0"/>
    <n v="287959"/>
    <m/>
    <m/>
    <m/>
  </r>
  <r>
    <x v="18"/>
    <x v="5"/>
    <s v="D:\Images\20210707\plaque 2/@06  tam 60.4 + testo/F6_02.tif "/>
    <s v=" 5364.2139 "/>
    <s v=" 65.1089 "/>
    <x v="0"/>
    <n v="349258"/>
    <m/>
    <m/>
    <m/>
  </r>
  <r>
    <x v="18"/>
    <x v="5"/>
    <s v="D:\Images\20210707\plaque 2/@06  tam 60.4 + testo/F6_03- exclu.tif"/>
    <m/>
    <m/>
    <x v="1"/>
    <m/>
    <m/>
    <m/>
    <m/>
  </r>
  <r>
    <x v="18"/>
    <x v="6"/>
    <s v="D:\Images\20210707\plaque 2/@06  tam 60.4 + testo/G6_01- exclu.tif"/>
    <m/>
    <m/>
    <x v="1"/>
    <m/>
    <m/>
    <m/>
    <m/>
  </r>
  <r>
    <x v="18"/>
    <x v="6"/>
    <s v="D:\Images\20210707\plaque 2/@06  tam 60.4 + testo/G6_02- exclu.tif"/>
    <m/>
    <m/>
    <x v="1"/>
    <m/>
    <m/>
    <m/>
    <m/>
  </r>
  <r>
    <x v="18"/>
    <x v="6"/>
    <s v="D:\Images\20210707\plaque 2/@06  tam 60.4 + testo/G6_03- exclu.tif"/>
    <m/>
    <m/>
    <x v="1"/>
    <m/>
    <m/>
    <m/>
    <m/>
  </r>
  <r>
    <x v="18"/>
    <x v="7"/>
    <s v="D:\Images\20210707\plaque 2/@06  tam 60.4 + testo/H6_01.tif "/>
    <s v=" 32120.3935 "/>
    <s v=" 70.1899 "/>
    <x v="0"/>
    <n v="2254527"/>
    <m/>
    <m/>
    <m/>
  </r>
  <r>
    <x v="18"/>
    <x v="7"/>
    <s v="D:\Images\20210707\plaque 2/@06  tam 60.4 + testo/H6_02.tif "/>
    <s v=" 31493.1266 "/>
    <s v=" 71.5783 "/>
    <x v="0"/>
    <n v="2254224"/>
    <m/>
    <m/>
    <m/>
  </r>
  <r>
    <x v="18"/>
    <x v="7"/>
    <s v="D:\Images\20210707\plaque 2/@06  tam 60.4 + testo/H6_03.tif "/>
    <s v=" 33894.0449 "/>
    <s v=" 69.2151 "/>
    <x v="0"/>
    <n v="2345978"/>
    <m/>
    <m/>
    <m/>
  </r>
  <r>
    <x v="1"/>
    <x v="8"/>
    <s v=" "/>
    <m/>
    <m/>
    <x v="1"/>
    <m/>
    <m/>
    <m/>
    <m/>
  </r>
  <r>
    <x v="1"/>
    <x v="8"/>
    <s v="group "/>
    <s v=" "/>
    <s v=" mean of mean fluo "/>
    <x v="2"/>
    <s v=" mean of total fluo "/>
    <s v=" SD total fluo "/>
    <s v=" n fluorescent "/>
    <s v=" n total"/>
  </r>
  <r>
    <x v="18"/>
    <x v="9"/>
    <s v="D:\Images\20210707\plaque 2/@06  tam 60.4 + testo/ "/>
    <s v=" "/>
    <s v=" 66.9461 "/>
    <x v="20"/>
    <s v=" 985628.333 "/>
    <s v=" 856978.76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D:\Images\20210707\plaque 2/@07 tam 121 + testo/A7_01.tif "/>
    <s v=" 30736.0803 "/>
    <s v=" 71.8269 "/>
    <x v="0"/>
    <n v="2207677"/>
    <m/>
    <m/>
    <m/>
  </r>
  <r>
    <x v="19"/>
    <x v="0"/>
    <s v="D:\Images\20210707\plaque 2/@07 tam 121 + testo/A7_02.tif "/>
    <s v=" 25696.3148 "/>
    <s v=" 72.7079 "/>
    <x v="0"/>
    <n v="1868325"/>
    <m/>
    <m/>
    <m/>
  </r>
  <r>
    <x v="19"/>
    <x v="0"/>
    <s v="D:\Images\20210707\plaque 2/@07 tam 121 + testo/A7_03.tif "/>
    <s v=" 27859.3043 "/>
    <s v=" 73.0272 "/>
    <x v="0"/>
    <n v="2034486"/>
    <m/>
    <m/>
    <m/>
  </r>
  <r>
    <x v="19"/>
    <x v="1"/>
    <s v="D:\Images\20210707\plaque 2/@07 tam 121 + testo/B7_01.tif "/>
    <s v=" 35537.9169 "/>
    <s v=" 68.8077 "/>
    <x v="0"/>
    <n v="2445281"/>
    <m/>
    <m/>
    <m/>
  </r>
  <r>
    <x v="19"/>
    <x v="1"/>
    <s v="D:\Images\20210707\plaque 2/@07 tam 121 + testo/B7_02.tif "/>
    <s v=" 35862.3653 "/>
    <s v=" 69.3673 "/>
    <x v="0"/>
    <n v="2487676"/>
    <m/>
    <m/>
    <m/>
  </r>
  <r>
    <x v="19"/>
    <x v="1"/>
    <s v="D:\Images\20210707\plaque 2/@07 tam 121 + testo/B7_03.tif "/>
    <s v=" 30325.1123 "/>
    <s v=" 68.5335 "/>
    <x v="0"/>
    <n v="2078287"/>
    <m/>
    <m/>
    <m/>
  </r>
  <r>
    <x v="19"/>
    <x v="2"/>
    <s v="D:\Images\20210707\plaque 2/@07 tam 121 + testo/C7_01.tif "/>
    <s v=" 7505.5734 "/>
    <s v=" 66.3718 "/>
    <x v="0"/>
    <n v="498158"/>
    <m/>
    <m/>
    <m/>
  </r>
  <r>
    <x v="19"/>
    <x v="2"/>
    <s v="D:\Images\20210707\plaque 2/@07 tam 121 + testo/C7_02.tif "/>
    <s v=" 8046.3208 "/>
    <s v=" 64.6048 "/>
    <x v="0"/>
    <n v="519831"/>
    <m/>
    <m/>
    <m/>
  </r>
  <r>
    <x v="19"/>
    <x v="2"/>
    <s v="D:\Images\20210707\plaque 2/@07 tam 121 + testo/C7_03- exclu.tif"/>
    <m/>
    <m/>
    <x v="1"/>
    <m/>
    <m/>
    <m/>
    <m/>
  </r>
  <r>
    <x v="19"/>
    <x v="3"/>
    <s v="D:\Images\20210707\plaque 2/@07 tam 121 + testo/D7_01.tif "/>
    <s v=" 29762.735 "/>
    <s v=" 72.5967 "/>
    <x v="0"/>
    <n v="2160675"/>
    <m/>
    <m/>
    <m/>
  </r>
  <r>
    <x v="19"/>
    <x v="3"/>
    <s v="D:\Images\20210707\plaque 2/@07 tam 121 + testo/D7_02.tif "/>
    <s v=" 24333.6315 "/>
    <s v=" 72.2978 "/>
    <x v="0"/>
    <n v="1759267"/>
    <m/>
    <m/>
    <m/>
  </r>
  <r>
    <x v="19"/>
    <x v="3"/>
    <s v="D:\Images\20210707\plaque 2/@07 tam 121 + testo/D7_03.tif "/>
    <s v=" 29330.1371 "/>
    <s v=" 72.5037 "/>
    <x v="0"/>
    <n v="2126543"/>
    <m/>
    <m/>
    <m/>
  </r>
  <r>
    <x v="19"/>
    <x v="4"/>
    <s v="D:\Images\20210707\plaque 2/@07 tam 121 + testo/E7_01.tif "/>
    <s v=" 20591.6597 "/>
    <s v=" 67.0315 "/>
    <x v="0"/>
    <n v="1380290"/>
    <m/>
    <m/>
    <m/>
  </r>
  <r>
    <x v="19"/>
    <x v="4"/>
    <s v="D:\Images\20210707\plaque 2/@07 tam 121 + testo/E7_02.tif "/>
    <s v=" 15508.6344 "/>
    <s v=" 66.7406 "/>
    <x v="0"/>
    <n v="1035055"/>
    <m/>
    <m/>
    <m/>
  </r>
  <r>
    <x v="19"/>
    <x v="4"/>
    <s v="D:\Images\20210707\plaque 2/@07 tam 121 + testo/E7_03.tif "/>
    <s v=" 13821.5027 "/>
    <s v=" 66.0563 "/>
    <x v="0"/>
    <n v="912998"/>
    <m/>
    <m/>
    <m/>
  </r>
  <r>
    <x v="19"/>
    <x v="5"/>
    <s v="D:\Images\20210707\plaque 2/@07 tam 121 + testo/F7_01.tif "/>
    <s v=" 1881.8008 "/>
    <s v=" 65.5747 "/>
    <x v="0"/>
    <n v="123399"/>
    <m/>
    <m/>
    <m/>
  </r>
  <r>
    <x v="19"/>
    <x v="5"/>
    <s v="D:\Images\20210707\plaque 2/@07 tam 121 + testo/F7_02.tif "/>
    <s v=" 1103.1246 "/>
    <s v=" 64.1569 "/>
    <x v="0"/>
    <n v="70773"/>
    <m/>
    <m/>
    <m/>
  </r>
  <r>
    <x v="19"/>
    <x v="5"/>
    <s v="D:\Images\20210707\plaque 2/@07 tam 121 + testo/F7_03.tif "/>
    <s v=" 1081.4947 "/>
    <s v=" 64.28 "/>
    <x v="0"/>
    <n v="69518"/>
    <m/>
    <m/>
    <m/>
  </r>
  <r>
    <x v="19"/>
    <x v="6"/>
    <s v="D:\Images\20210707\plaque 2/@07 tam 121 + testo/G7_01.tif "/>
    <s v=" 41961.9956 "/>
    <s v=" 75.1062 "/>
    <x v="0"/>
    <n v="3151605"/>
    <m/>
    <m/>
    <m/>
  </r>
  <r>
    <x v="19"/>
    <x v="6"/>
    <s v="D:\Images\20210707\plaque 2/@07 tam 121 + testo/G7_02.tif "/>
    <s v=" 41875.476 "/>
    <s v=" 73.452 "/>
    <x v="0"/>
    <n v="3075836"/>
    <m/>
    <m/>
    <m/>
  </r>
  <r>
    <x v="19"/>
    <x v="6"/>
    <s v="D:\Images\20210707\plaque 2/@07 tam 121 + testo/G7_03.tif "/>
    <s v=" 40988.6503 "/>
    <s v=" 75.6475 "/>
    <x v="0"/>
    <n v="3100689"/>
    <m/>
    <m/>
    <m/>
  </r>
  <r>
    <x v="19"/>
    <x v="7"/>
    <s v="D:\Images\20210707\plaque 2/@07 tam 121 + testo/H7_01.tif "/>
    <s v=" 41031.9101 "/>
    <s v=" 68.9172 "/>
    <x v="0"/>
    <n v="2827806"/>
    <m/>
    <m/>
    <m/>
  </r>
  <r>
    <x v="19"/>
    <x v="7"/>
    <s v="D:\Images\20210707\plaque 2/@07 tam 121 + testo/H7_02.tif "/>
    <s v=" 45487.6684 "/>
    <s v=" 69.0946 "/>
    <x v="0"/>
    <n v="3142953"/>
    <m/>
    <m/>
    <m/>
  </r>
  <r>
    <x v="19"/>
    <x v="7"/>
    <s v="D:\Images\20210707\plaque 2/@07 tam 121 + testo/H7_03.tif "/>
    <s v=" 43865.4263 "/>
    <s v=" 68.3141 "/>
    <x v="0"/>
    <n v="2996627"/>
    <m/>
    <m/>
    <m/>
  </r>
  <r>
    <x v="1"/>
    <x v="8"/>
    <s v=" "/>
    <m/>
    <m/>
    <x v="1"/>
    <m/>
    <m/>
    <m/>
    <m/>
  </r>
  <r>
    <x v="1"/>
    <x v="8"/>
    <s v="group "/>
    <s v=" "/>
    <s v=" mean of mean fluo "/>
    <x v="2"/>
    <s v=" mean of total fluo "/>
    <s v=" SD total fluo "/>
    <s v=" n fluorescent "/>
    <s v=" n total"/>
  </r>
  <r>
    <x v="19"/>
    <x v="9"/>
    <s v="D:\Images\20210707\plaque 2/@07 tam 121 + testo/ "/>
    <s v=" "/>
    <s v=" 69.2526 "/>
    <x v="21"/>
    <s v=" 1769370.33 "/>
    <s v=" 1073576.6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D:\Images\20210707\plaque 2/@08 tam 242 + testo/A8_01.tif "/>
    <s v=" 23425.1759 "/>
    <s v=" 69.2872 "/>
    <x v="0"/>
    <n v="1623064"/>
    <m/>
    <m/>
    <m/>
  </r>
  <r>
    <x v="20"/>
    <x v="0"/>
    <s v="D:\Images\20210707\plaque 2/@08 tam 242 + testo/A8_02.tif "/>
    <s v=" 21565.0049 "/>
    <s v=" 67.2688 "/>
    <x v="0"/>
    <n v="1450652"/>
    <m/>
    <m/>
    <m/>
  </r>
  <r>
    <x v="20"/>
    <x v="0"/>
    <s v="D:\Images\20210707\plaque 2/@08 tam 242 + testo/A8_03.tif "/>
    <s v=" 26518.2508 "/>
    <s v=" 71.7113 "/>
    <x v="0"/>
    <n v="1901657"/>
    <m/>
    <m/>
    <m/>
  </r>
  <r>
    <x v="20"/>
    <x v="1"/>
    <s v="D:\Images\20210707\plaque 2/@08 tam 242 + testo/B8_01.tif "/>
    <s v=" 13129.346 "/>
    <s v=" 64.9127 "/>
    <x v="0"/>
    <n v="852261"/>
    <m/>
    <m/>
    <m/>
  </r>
  <r>
    <x v="20"/>
    <x v="1"/>
    <s v="D:\Images\20210707\plaque 2/@08 tam 242 + testo/B8_02.tif "/>
    <s v=" 15249.0757 "/>
    <s v=" 66.4582 "/>
    <x v="0"/>
    <n v="1013425"/>
    <m/>
    <m/>
    <m/>
  </r>
  <r>
    <x v="20"/>
    <x v="1"/>
    <s v="D:\Images\20210707\plaque 2/@08 tam 242 + testo/B8_03.tif "/>
    <s v=" 15811.453 "/>
    <s v=" 66.0889 "/>
    <x v="0"/>
    <n v="1044962"/>
    <m/>
    <m/>
    <m/>
  </r>
  <r>
    <x v="20"/>
    <x v="2"/>
    <s v="D:\Images\20210707\plaque 2/@08 tam 242 + testo/C8_01.tif "/>
    <s v=" 17390.4353 "/>
    <s v=" 66.9229 "/>
    <x v="0"/>
    <n v="1163818"/>
    <m/>
    <m/>
    <m/>
  </r>
  <r>
    <x v="20"/>
    <x v="2"/>
    <s v="D:\Images\20210707\plaque 2/@08 tam 242 + testo/C8_02- exclu.tif"/>
    <m/>
    <m/>
    <x v="1"/>
    <m/>
    <m/>
    <m/>
    <m/>
  </r>
  <r>
    <x v="20"/>
    <x v="2"/>
    <s v="D:\Images\20210707\plaque 2/@08 tam 242 + testo/C8_03.tif "/>
    <s v=" 8738.4774 "/>
    <s v=" 66.4604 "/>
    <x v="0"/>
    <n v="580763"/>
    <m/>
    <m/>
    <m/>
  </r>
  <r>
    <x v="20"/>
    <x v="3"/>
    <s v="D:\Images\20210707\plaque 2/@08 tam 242 + testo/D8_01.tif "/>
    <s v=" 20570.0298 "/>
    <s v=" 67.8759 "/>
    <x v="0"/>
    <n v="1396210"/>
    <m/>
    <m/>
    <m/>
  </r>
  <r>
    <x v="20"/>
    <x v="3"/>
    <s v="D:\Images\20210707\plaque 2/@08 tam 242 + testo/D8_02.tif "/>
    <s v=" 20050.9123 "/>
    <s v=" 69.1618 "/>
    <x v="0"/>
    <n v="1386757"/>
    <m/>
    <m/>
    <m/>
  </r>
  <r>
    <x v="20"/>
    <x v="3"/>
    <s v="D:\Images\20210707\plaque 2/@08 tam 242 + testo/D8_03.tif "/>
    <s v=" 28075.6032 "/>
    <s v=" 67.574 "/>
    <x v="0"/>
    <n v="1897180"/>
    <m/>
    <m/>
    <m/>
  </r>
  <r>
    <x v="20"/>
    <x v="4"/>
    <s v="D:\Images\20210707\plaque 2/@08 tam 242 + testo/E8_01- exclu.tif"/>
    <m/>
    <m/>
    <x v="1"/>
    <m/>
    <m/>
    <m/>
    <m/>
  </r>
  <r>
    <x v="20"/>
    <x v="4"/>
    <s v="D:\Images\20210707\plaque 2/@08 tam 242 + testo/E8_02.tif "/>
    <s v=" 41680.8069 "/>
    <s v=" 72.9512 "/>
    <x v="0"/>
    <n v="3040666"/>
    <m/>
    <m/>
    <m/>
  </r>
  <r>
    <x v="20"/>
    <x v="4"/>
    <s v="D:\Images\20210707\plaque 2/@08 tam 242 + testo/E8_03.tif "/>
    <s v=" 44730.6221 "/>
    <s v=" 71.337 "/>
    <x v="0"/>
    <n v="3190950"/>
    <m/>
    <m/>
    <m/>
  </r>
  <r>
    <x v="20"/>
    <x v="5"/>
    <s v="D:\Images\20210707\plaque 2/@08 tam 242 + testo/F8_01.tif "/>
    <s v=" 38284.9135 "/>
    <s v=" 72.413 "/>
    <x v="0"/>
    <n v="2772325"/>
    <m/>
    <m/>
    <m/>
  </r>
  <r>
    <x v="20"/>
    <x v="5"/>
    <s v="D:\Images\20210707\plaque 2/@08 tam 242 + testo/F8_02.tif "/>
    <s v=" 35862.3653 "/>
    <s v=" 74.5283 "/>
    <x v="0"/>
    <n v="2672763"/>
    <m/>
    <m/>
    <m/>
  </r>
  <r>
    <x v="20"/>
    <x v="5"/>
    <s v="D:\Images\20210707\plaque 2/@08 tam 242 + testo/F8_03.tif "/>
    <s v=" 38198.3939 "/>
    <s v=" 73.9304 "/>
    <x v="0"/>
    <n v="2824021"/>
    <m/>
    <m/>
    <m/>
  </r>
  <r>
    <x v="20"/>
    <x v="6"/>
    <s v="D:\Images\20210707\plaque 2/@08 tam 242 + testo/G8_01.tif "/>
    <s v=" 13497.0542 "/>
    <s v=" 65.4952 "/>
    <x v="0"/>
    <n v="883992"/>
    <m/>
    <m/>
    <m/>
  </r>
  <r>
    <x v="20"/>
    <x v="6"/>
    <s v="D:\Images\20210707\plaque 2/@08 tam 242 + testo/G8_02.tif "/>
    <s v=" 17455.325 "/>
    <s v=" 66.9108 "/>
    <x v="0"/>
    <n v="1167949"/>
    <m/>
    <m/>
    <m/>
  </r>
  <r>
    <x v="20"/>
    <x v="6"/>
    <s v="D:\Images\20210707\plaque 2/@08 tam 242 + testo/G8_03- exclu.tif"/>
    <m/>
    <m/>
    <x v="1"/>
    <m/>
    <m/>
    <m/>
    <m/>
  </r>
  <r>
    <x v="20"/>
    <x v="7"/>
    <s v="D:\Images\20210707\plaque 2/@08 tam 242 + testo/H8_01.tif "/>
    <s v=" 53339.3202 "/>
    <s v=" 75.6983 "/>
    <x v="0"/>
    <n v="4037696"/>
    <m/>
    <m/>
    <m/>
  </r>
  <r>
    <x v="20"/>
    <x v="7"/>
    <s v="D:\Images\20210707\plaque 2/@08 tam 242 + testo/H8_02.tif "/>
    <s v=" 54939.9324 "/>
    <s v=" 77.565 "/>
    <x v="0"/>
    <n v="4261414"/>
    <m/>
    <m/>
    <m/>
  </r>
  <r>
    <x v="20"/>
    <x v="7"/>
    <s v="D:\Images\20210707\plaque 2/@08 tam 242 + testo/H8_03.tif "/>
    <s v=" 43281.4192 "/>
    <s v=" 78.049 "/>
    <x v="0"/>
    <n v="3378070"/>
    <m/>
    <m/>
    <m/>
  </r>
  <r>
    <x v="1"/>
    <x v="8"/>
    <s v=" "/>
    <m/>
    <m/>
    <x v="1"/>
    <m/>
    <m/>
    <m/>
    <m/>
  </r>
  <r>
    <x v="1"/>
    <x v="8"/>
    <s v="group "/>
    <s v=" "/>
    <s v=" mean of mean fluo "/>
    <x v="2"/>
    <s v=" mean of total fluo "/>
    <s v=" SD total fluo "/>
    <s v=" n fluorescent "/>
    <s v=" n total"/>
  </r>
  <r>
    <x v="20"/>
    <x v="9"/>
    <s v="D:\Images\20210707\plaque 2/@08 tam 242 + testo/ "/>
    <s v=" "/>
    <s v=" 70.0742 "/>
    <x v="22"/>
    <s v=" 2017084.08 "/>
    <s v=" 1337441.8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D:\Images\20210707\plaque 2/@09  tam 483 + testo/A9_01- exclu.tif"/>
    <m/>
    <m/>
    <x v="1"/>
    <m/>
    <m/>
    <m/>
    <m/>
  </r>
  <r>
    <x v="21"/>
    <x v="0"/>
    <s v="D:\Images\20210707\plaque 2/@09  tam 483 + testo/A9_02.tif "/>
    <s v=" 49705.4979 "/>
    <s v=" 71.5126 "/>
    <x v="0"/>
    <n v="3554570"/>
    <m/>
    <m/>
    <m/>
  </r>
  <r>
    <x v="21"/>
    <x v="0"/>
    <s v="D:\Images\20210707\plaque 2/@09  tam 483 + testo/A9_03.tif "/>
    <s v=" 46590.793 "/>
    <s v=" 70.2149 "/>
    <x v="0"/>
    <n v="3271370"/>
    <m/>
    <m/>
    <m/>
  </r>
  <r>
    <x v="21"/>
    <x v="1"/>
    <s v="D:\Images\20210707\plaque 2/@09  tam 483 + testo/B9_01.tif "/>
    <s v=" 31449.8668 "/>
    <s v=" 69.2992 "/>
    <x v="0"/>
    <n v="2179450"/>
    <m/>
    <m/>
    <m/>
  </r>
  <r>
    <x v="21"/>
    <x v="1"/>
    <s v="D:\Images\20210707\plaque 2/@09  tam 483 + testo/B9_02.tif "/>
    <s v=" 30260.2226 "/>
    <s v=" 68.5575 "/>
    <x v="0"/>
    <n v="2074566"/>
    <m/>
    <m/>
    <m/>
  </r>
  <r>
    <x v="21"/>
    <x v="1"/>
    <s v="D:\Images\20210707\plaque 2/@09  tam 483 + testo/B9_03.tif "/>
    <s v=" 26691.29 "/>
    <s v=" 69.1848 "/>
    <x v="0"/>
    <n v="1846631"/>
    <m/>
    <m/>
    <m/>
  </r>
  <r>
    <x v="21"/>
    <x v="2"/>
    <s v="D:\Images\20210707\plaque 2/@09  tam 483 + testo/C9_01.tif "/>
    <s v=" 40599.3122 "/>
    <s v=" 72.3245 "/>
    <x v="0"/>
    <n v="2936323"/>
    <m/>
    <m/>
    <m/>
  </r>
  <r>
    <x v="21"/>
    <x v="2"/>
    <s v="D:\Images\20210707\plaque 2/@09  tam 483 + testo/C9_02.tif "/>
    <s v=" 33612.8563 "/>
    <s v=" 72.018 "/>
    <x v="0"/>
    <n v="2420731"/>
    <m/>
    <m/>
    <m/>
  </r>
  <r>
    <x v="21"/>
    <x v="2"/>
    <s v="D:\Images\20210707\plaque 2/@09  tam 483 + testo/C9_03- exclu.tif"/>
    <m/>
    <m/>
    <x v="1"/>
    <m/>
    <m/>
    <m/>
    <m/>
  </r>
  <r>
    <x v="21"/>
    <x v="3"/>
    <s v="D:\Images\20210707\plaque 2/@09  tam 483 + testo/D9_01.tif "/>
    <s v=" 29632.9556 "/>
    <s v=" 68.7628 "/>
    <x v="0"/>
    <n v="2037644"/>
    <m/>
    <m/>
    <m/>
  </r>
  <r>
    <x v="21"/>
    <x v="3"/>
    <s v="D:\Images\20210707\plaque 2/@09  tam 483 + testo/D9_02.tif "/>
    <s v=" 23208.8769 "/>
    <s v=" 67.3225 "/>
    <x v="0"/>
    <n v="1562479"/>
    <m/>
    <m/>
    <m/>
  </r>
  <r>
    <x v="21"/>
    <x v="3"/>
    <s v="D:\Images\20210707\plaque 2/@09  tam 483 + testo/D9_03.tif "/>
    <s v=" 29221.9876 "/>
    <s v=" 70.1325 "/>
    <x v="0"/>
    <n v="2049411"/>
    <m/>
    <m/>
    <m/>
  </r>
  <r>
    <x v="21"/>
    <x v="4"/>
    <s v="D:\Images\20210707\plaque 2/@09  tam 483 + testo/E9_01.tif "/>
    <s v=" 16027.7519 "/>
    <s v=" 69.5466 "/>
    <x v="0"/>
    <n v="1114675"/>
    <m/>
    <m/>
    <m/>
  </r>
  <r>
    <x v="21"/>
    <x v="4"/>
    <s v="D:\Images\20210707\plaque 2/@09  tam 483 + testo/E9_02.tif "/>
    <s v=" 17541.8445 "/>
    <s v=" 69.9075 "/>
    <x v="0"/>
    <n v="1226307"/>
    <m/>
    <m/>
    <m/>
  </r>
  <r>
    <x v="21"/>
    <x v="4"/>
    <s v="D:\Images\20210707\plaque 2/@09  tam 483 + testo/E9_03.tif "/>
    <s v=" 17974.4424 "/>
    <s v=" 73.929 "/>
    <x v="0"/>
    <n v="1328833"/>
    <m/>
    <m/>
    <m/>
  </r>
  <r>
    <x v="21"/>
    <x v="5"/>
    <s v="D:\Images\20210707\plaque 2/@09  tam 483 + testo/F9_01.tif "/>
    <s v=" 27426.7064 "/>
    <s v=" 67.1475 "/>
    <x v="0"/>
    <n v="1841634"/>
    <m/>
    <m/>
    <m/>
  </r>
  <r>
    <x v="21"/>
    <x v="5"/>
    <s v="D:\Images\20210707\plaque 2/@09  tam 483 + testo/F9_02.tif "/>
    <s v=" 31147.0483 "/>
    <s v=" 67.1896 "/>
    <x v="0"/>
    <n v="2092757"/>
    <m/>
    <m/>
    <m/>
  </r>
  <r>
    <x v="21"/>
    <x v="5"/>
    <s v="D:\Images\20210707\plaque 2/@09  tam 483 + testo/F9_03.tif "/>
    <s v=" 28400.0516 "/>
    <s v=" 67.6078 "/>
    <x v="0"/>
    <n v="1920064"/>
    <m/>
    <m/>
    <m/>
  </r>
  <r>
    <x v="21"/>
    <x v="6"/>
    <s v="D:\Images\20210707\plaque 2/@09  tam 483 + testo/G9_01.tif "/>
    <s v=" 26020.7632 "/>
    <s v=" 70.2062 "/>
    <x v="0"/>
    <n v="1826818"/>
    <m/>
    <m/>
    <m/>
  </r>
  <r>
    <x v="21"/>
    <x v="6"/>
    <s v="D:\Images\20210707\plaque 2/@09  tam 483 + testo/G9_02.tif "/>
    <s v=" 21348.706 "/>
    <s v=" 67.7457 "/>
    <x v="0"/>
    <n v="1446283"/>
    <m/>
    <m/>
    <m/>
  </r>
  <r>
    <x v="21"/>
    <x v="6"/>
    <s v="D:\Images\20210707\plaque 2/@09  tam 483 + testo/G9_03- exclu.tif"/>
    <m/>
    <m/>
    <x v="1"/>
    <m/>
    <m/>
    <m/>
    <m/>
  </r>
  <r>
    <x v="21"/>
    <x v="7"/>
    <s v="D:\Images\20210707\plaque 2/@09  tam 483 + testo/H9_01.tif "/>
    <s v=" 42091.7749 "/>
    <s v=" 74.5858 "/>
    <x v="0"/>
    <n v="3139449"/>
    <m/>
    <m/>
    <m/>
  </r>
  <r>
    <x v="21"/>
    <x v="7"/>
    <s v="D:\Images\20210707\plaque 2/@09  tam 483 + testo/H9_02.tif "/>
    <s v=" 42935.3408 "/>
    <s v=" 72.3829 "/>
    <x v="0"/>
    <n v="3107783"/>
    <m/>
    <m/>
    <m/>
  </r>
  <r>
    <x v="21"/>
    <x v="7"/>
    <s v="D:\Images\20210707\plaque 2/@09  tam 483 + testo/H9_03.tif "/>
    <s v=" 42264.8141 "/>
    <s v=" 71.1817 "/>
    <x v="0"/>
    <n v="3008480"/>
    <m/>
    <m/>
    <m/>
  </r>
  <r>
    <x v="1"/>
    <x v="8"/>
    <s v=" "/>
    <m/>
    <m/>
    <x v="1"/>
    <m/>
    <m/>
    <m/>
    <m/>
  </r>
  <r>
    <x v="1"/>
    <x v="8"/>
    <s v="group "/>
    <s v=" "/>
    <s v=" mean of mean fluo "/>
    <x v="2"/>
    <s v=" mean of total fluo "/>
    <s v=" SD total fluo "/>
    <s v=" n fluorescent "/>
    <s v=" n total"/>
  </r>
  <r>
    <x v="21"/>
    <x v="9"/>
    <s v="D:\Images\20210707\plaque 2/@09  tam 483 + testo/ "/>
    <s v=" "/>
    <s v=" 69.8437 "/>
    <x v="23"/>
    <s v=" 2159511.54 "/>
    <s v=" 715596.823 "/>
    <n v="24"/>
    <n v="24"/>
  </r>
  <r>
    <x v="1"/>
    <x v="8"/>
    <s v=" "/>
    <m/>
    <m/>
    <x v="1"/>
    <m/>
    <m/>
    <m/>
    <m/>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D:\Images\20210713\plaque 1/@01 Témoins solvant/A1_01.tif "/>
    <s v=" 14816.4778 "/>
    <s v=" 67.6015 "/>
    <x v="0"/>
    <n v="1001616"/>
    <m/>
    <m/>
    <m/>
  </r>
  <r>
    <x v="0"/>
    <x v="0"/>
    <s v="D:\Images\20210713\plaque 1/@01 Témoins solvant/A1_02.tif "/>
    <s v=" 5991.4808 "/>
    <s v=" 65.4729 "/>
    <x v="0"/>
    <n v="392280"/>
    <m/>
    <m/>
    <m/>
  </r>
  <r>
    <x v="0"/>
    <x v="0"/>
    <s v="D:\Images\20210713\plaque 1/@01 Témoins solvant/A1_03.tif "/>
    <s v=" 10750.0576 "/>
    <s v=" 67.5835 "/>
    <x v="0"/>
    <n v="726527"/>
    <m/>
    <m/>
    <m/>
  </r>
  <r>
    <x v="0"/>
    <x v="1"/>
    <s v="D:\Images\20210713\plaque 1/@01 Témoins solvant/B1_01.tif "/>
    <s v=" 7721.8724 "/>
    <s v=" 77.1541 "/>
    <x v="0"/>
    <n v="595774"/>
    <m/>
    <m/>
    <m/>
  </r>
  <r>
    <x v="0"/>
    <x v="1"/>
    <s v="D:\Images\20210713\plaque 1/@01 Témoins solvant/B1_02.tif "/>
    <s v=" 10274.1999 "/>
    <s v=" 82.1579 "/>
    <x v="0"/>
    <n v="844107"/>
    <m/>
    <m/>
    <m/>
  </r>
  <r>
    <x v="0"/>
    <x v="1"/>
    <s v="D:\Images\20210713\plaque 1/@01 Témoins solvant/B1_03.tif "/>
    <s v=" 10403.9793 "/>
    <s v=" 84.6299 "/>
    <x v="0"/>
    <n v="880488"/>
    <m/>
    <m/>
    <m/>
  </r>
  <r>
    <x v="0"/>
    <x v="2"/>
    <s v="D:\Images\20210713\plaque 1/@01 Témoins solvant/C1_01.tif "/>
    <s v=" 12350.6698 "/>
    <s v=" 66.0525 "/>
    <x v="0"/>
    <n v="815793"/>
    <m/>
    <m/>
    <m/>
  </r>
  <r>
    <x v="0"/>
    <x v="2"/>
    <s v="D:\Images\20210713\plaque 1/@01 Témoins solvant/C1_02.tif "/>
    <s v=" 9928.1216 "/>
    <s v=" 66.4553 "/>
    <x v="0"/>
    <n v="659777"/>
    <m/>
    <m/>
    <m/>
  </r>
  <r>
    <x v="0"/>
    <x v="2"/>
    <s v="D:\Images\20210713\plaque 1/@01 Témoins solvant/C1_03.tif "/>
    <s v=" 7397.424 "/>
    <s v=" 65.6023 "/>
    <x v="0"/>
    <n v="485288"/>
    <m/>
    <m/>
    <m/>
  </r>
  <r>
    <x v="0"/>
    <x v="3"/>
    <s v="D:\Images\20210713\plaque 1/@01 Témoins solvant/D1_01.tif "/>
    <s v=" 3374.2636 "/>
    <s v=" 66.0577 "/>
    <x v="0"/>
    <n v="222896"/>
    <m/>
    <m/>
    <m/>
  </r>
  <r>
    <x v="0"/>
    <x v="3"/>
    <s v="D:\Images\20210713\plaque 1/@01 Témoins solvant/D1_02.tif "/>
    <s v=" 4282.7191 "/>
    <s v=" 67.303 "/>
    <x v="0"/>
    <n v="288240"/>
    <m/>
    <m/>
    <m/>
  </r>
  <r>
    <x v="0"/>
    <x v="3"/>
    <s v="D:\Images\20210713\plaque 1/@01 Témoins solvant/D1_03.tif "/>
    <s v=" 3439.1532 "/>
    <s v=" 67.9686 "/>
    <x v="0"/>
    <n v="233754"/>
    <m/>
    <m/>
    <m/>
  </r>
  <r>
    <x v="0"/>
    <x v="4"/>
    <s v="D:\Images\20210713\plaque 1/@01 Témoins solvant/E1_01.tif "/>
    <s v=" 13475.4244 "/>
    <s v=" 90.7255 "/>
    <x v="0"/>
    <n v="1222565"/>
    <m/>
    <m/>
    <m/>
  </r>
  <r>
    <x v="0"/>
    <x v="4"/>
    <s v="D:\Images\20210713\plaque 1/@01 Témoins solvant/E1_02.tif "/>
    <s v=" 12415.5595 "/>
    <s v=" 86.8206 "/>
    <x v="0"/>
    <n v="1077926"/>
    <m/>
    <m/>
    <m/>
  </r>
  <r>
    <x v="0"/>
    <x v="4"/>
    <s v="D:\Images\20210713\plaque 1/@01 Témoins solvant/E1_03.tif "/>
    <s v=" 11896.442 "/>
    <s v=" 69.1891 "/>
    <x v="0"/>
    <n v="823104"/>
    <m/>
    <m/>
    <m/>
  </r>
  <r>
    <x v="0"/>
    <x v="5"/>
    <s v="D:\Images\20210713\plaque 1/@01 Témoins solvant/F1_01.tif "/>
    <s v=" 8500.5486 "/>
    <s v=" 67.0916 "/>
    <x v="0"/>
    <n v="570315"/>
    <m/>
    <m/>
    <m/>
  </r>
  <r>
    <x v="0"/>
    <x v="5"/>
    <s v="D:\Images\20210713\plaque 1/@01 Témoins solvant/F1_02.tif "/>
    <s v=" 8868.2568 "/>
    <s v=" 68.0683 "/>
    <x v="0"/>
    <n v="603647"/>
    <m/>
    <m/>
    <m/>
  </r>
  <r>
    <x v="0"/>
    <x v="5"/>
    <s v="D:\Images\20210713\plaque 1/@01 Témoins solvant/F1_03- exclu.tif"/>
    <m/>
    <m/>
    <x v="1"/>
    <m/>
    <m/>
    <m/>
    <m/>
  </r>
  <r>
    <x v="0"/>
    <x v="6"/>
    <s v="D:\Images\20210713\plaque 1/@01 Témoins solvant/G1_01.tif "/>
    <s v=" 10274.1999 "/>
    <s v=" 69.68 "/>
    <x v="0"/>
    <n v="715906"/>
    <m/>
    <m/>
    <m/>
  </r>
  <r>
    <x v="0"/>
    <x v="6"/>
    <s v="D:\Images\20210713\plaque 1/@01 Témoins solvant/G1_02.tif "/>
    <s v=" 1081.4947 "/>
    <s v=" 63.48 "/>
    <x v="0"/>
    <n v="68653"/>
    <m/>
    <m/>
    <m/>
  </r>
  <r>
    <x v="0"/>
    <x v="6"/>
    <s v="D:\Images\20210713\plaque 1/@01 Témoins solvant/G1_03.tif "/>
    <s v=" 4109.68 "/>
    <s v=" 63.6842 "/>
    <x v="0"/>
    <n v="261722"/>
    <m/>
    <m/>
    <m/>
  </r>
  <r>
    <x v="0"/>
    <x v="7"/>
    <s v="D:\Images\20210713\plaque 1/@01 Témoins solvant/H1_01.tif "/>
    <s v=" 2790.2564 "/>
    <s v=" 63.8837 "/>
    <x v="0"/>
    <n v="178252"/>
    <m/>
    <m/>
    <m/>
  </r>
  <r>
    <x v="0"/>
    <x v="7"/>
    <s v="D:\Images\20210713\plaque 1/@01 Témoins solvant/H1_02.tif "/>
    <s v=" 5126.285 "/>
    <s v=" 66.8397 "/>
    <x v="0"/>
    <n v="342639"/>
    <m/>
    <m/>
    <m/>
  </r>
  <r>
    <x v="0"/>
    <x v="7"/>
    <s v="D:\Images\20210713\plaque 1/@01 Témoins solvant/H1_03.tif "/>
    <s v=" 432.5979 "/>
    <s v=" 62.8 "/>
    <x v="0"/>
    <n v="27167"/>
    <m/>
    <m/>
    <m/>
  </r>
  <r>
    <x v="1"/>
    <x v="8"/>
    <s v=" "/>
    <m/>
    <m/>
    <x v="1"/>
    <m/>
    <m/>
    <m/>
    <m/>
  </r>
  <r>
    <x v="1"/>
    <x v="8"/>
    <s v="group "/>
    <s v=" "/>
    <s v=" mean of mean fluo "/>
    <x v="2"/>
    <s v=" mean of total fluo "/>
    <s v=" SD total fluo "/>
    <s v=" n fluorescent "/>
    <s v=" n total"/>
  </r>
  <r>
    <x v="0"/>
    <x v="9"/>
    <s v="D:\Images\20210713\plaque 1/@01 Témoins solvant/ "/>
    <s v=" "/>
    <s v=" 70.1544 "/>
    <x v="3"/>
    <s v=" 554992.458 "/>
    <s v=" 329530.54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D:\Images\20210713\plaque 1/@02 EE2 33.8/A2_01.tif "/>
    <s v=" 6272.6694 "/>
    <s v=" 64.9862 "/>
    <x v="0"/>
    <n v="407637"/>
    <m/>
    <m/>
    <m/>
  </r>
  <r>
    <x v="2"/>
    <x v="0"/>
    <s v="D:\Images\20210713\plaque 1/@02 EE2 33.8/A2_02.tif "/>
    <s v=" 5147.9149 "/>
    <s v=" 64.395 "/>
    <x v="0"/>
    <n v="331500"/>
    <m/>
    <m/>
    <m/>
  </r>
  <r>
    <x v="2"/>
    <x v="0"/>
    <s v="D:\Images\20210713\plaque 1/@02 EE2 33.8/A2_03.tif "/>
    <s v=" 9906.4917 "/>
    <s v=" 70.4301 "/>
    <x v="0"/>
    <n v="697716"/>
    <m/>
    <m/>
    <m/>
  </r>
  <r>
    <x v="2"/>
    <x v="1"/>
    <s v="D:\Images\20210713\plaque 1/@02 EE2 33.8/B2_01.tif "/>
    <s v=" 11982.9616 "/>
    <s v=" 68.2112 "/>
    <x v="0"/>
    <n v="817372"/>
    <m/>
    <m/>
    <m/>
  </r>
  <r>
    <x v="2"/>
    <x v="1"/>
    <s v="D:\Images\20210713\plaque 1/@02 EE2 33.8/B2_02.tif "/>
    <s v=" 13410.5347 "/>
    <s v=" 67.1984 "/>
    <x v="0"/>
    <n v="901166"/>
    <m/>
    <m/>
    <m/>
  </r>
  <r>
    <x v="2"/>
    <x v="1"/>
    <s v="D:\Images\20210713\plaque 1/@02 EE2 33.8/B2_03.tif "/>
    <s v=" 6207.7798 "/>
    <s v=" 64.3136 "/>
    <x v="0"/>
    <n v="399245"/>
    <m/>
    <m/>
    <m/>
  </r>
  <r>
    <x v="2"/>
    <x v="2"/>
    <s v="D:\Images\20210713\plaque 1/@02 EE2 33.8/C2_01.tif "/>
    <s v=" 7635.3528 "/>
    <s v=" 82.1813 "/>
    <x v="0"/>
    <n v="627483"/>
    <m/>
    <m/>
    <m/>
  </r>
  <r>
    <x v="2"/>
    <x v="2"/>
    <s v="D:\Images\20210713\plaque 1/@02 EE2 33.8/C2_02.tif "/>
    <s v=" 8414.029 "/>
    <s v=" 75.2134 "/>
    <x v="0"/>
    <n v="632847"/>
    <m/>
    <m/>
    <m/>
  </r>
  <r>
    <x v="2"/>
    <x v="2"/>
    <s v="D:\Images\20210713\plaque 1/@02 EE2 33.8/C2_03.tif "/>
    <s v=" 7678.6126 "/>
    <s v=" 71.9296 "/>
    <x v="0"/>
    <n v="552319"/>
    <m/>
    <m/>
    <m/>
  </r>
  <r>
    <x v="2"/>
    <x v="3"/>
    <s v="D:\Images\20210713\plaque 1/@02 EE2 33.8/D2_01.tif "/>
    <s v=" 2162.9895 "/>
    <s v=" 65.77 "/>
    <x v="0"/>
    <n v="142260"/>
    <m/>
    <m/>
    <m/>
  </r>
  <r>
    <x v="2"/>
    <x v="3"/>
    <s v="D:\Images\20210713\plaque 1/@02 EE2 33.8/D2_02.tif "/>
    <s v=" 1665.5019 "/>
    <s v=" 63.4156 "/>
    <x v="0"/>
    <n v="105619"/>
    <m/>
    <m/>
    <m/>
  </r>
  <r>
    <x v="2"/>
    <x v="3"/>
    <s v="D:\Images\20210713\plaque 1/@02 EE2 33.8/D2_03.tif "/>
    <s v=" 1968.3204 "/>
    <s v=" 63.1209 "/>
    <x v="0"/>
    <n v="124242"/>
    <m/>
    <m/>
    <m/>
  </r>
  <r>
    <x v="2"/>
    <x v="4"/>
    <s v="D:\Images\20210713\plaque 1/@02 EE2 33.8/E2_01.tif "/>
    <s v=" 13237.4955 "/>
    <s v=" 66.9739 "/>
    <x v="0"/>
    <n v="886566"/>
    <m/>
    <m/>
    <m/>
  </r>
  <r>
    <x v="2"/>
    <x v="4"/>
    <s v="D:\Images\20210713\plaque 1/@02 EE2 33.8/E2_02.tif "/>
    <s v=" 11485.474 "/>
    <s v=" 66.6497 "/>
    <x v="0"/>
    <n v="765504"/>
    <m/>
    <m/>
    <m/>
  </r>
  <r>
    <x v="2"/>
    <x v="4"/>
    <s v="D:\Images\20210713\plaque 1/@02 EE2 33.8/E2_03.tif "/>
    <s v=" 11161.0256 "/>
    <s v=" 68.314 "/>
    <x v="0"/>
    <n v="762454"/>
    <m/>
    <m/>
    <m/>
  </r>
  <r>
    <x v="2"/>
    <x v="5"/>
    <s v="D:\Images\20210713\plaque 1/@02 EE2 33.8/F2_01.tif "/>
    <s v=" 17909.5528 "/>
    <s v=" 69.9118 "/>
    <x v="0"/>
    <n v="1252090"/>
    <m/>
    <m/>
    <m/>
  </r>
  <r>
    <x v="2"/>
    <x v="5"/>
    <s v="D:\Images\20210713\plaque 1/@02 EE2 33.8/F2_02.tif "/>
    <s v=" 17649.994 "/>
    <s v=" 70.4007 "/>
    <x v="0"/>
    <n v="1242573"/>
    <m/>
    <m/>
    <m/>
  </r>
  <r>
    <x v="2"/>
    <x v="5"/>
    <s v="D:\Images\20210713\plaque 1/@02 EE2 33.8/F2_03.tif "/>
    <s v=" 13215.8656 "/>
    <s v=" 65.3601 "/>
    <x v="0"/>
    <n v="863790"/>
    <m/>
    <m/>
    <m/>
  </r>
  <r>
    <x v="2"/>
    <x v="6"/>
    <s v="D:\Images\20210713\plaque 1/@02 EE2 33.8/G2_01.tif "/>
    <s v=" 3763.6017 "/>
    <s v=" 65.3218 "/>
    <x v="0"/>
    <n v="245845"/>
    <m/>
    <m/>
    <m/>
  </r>
  <r>
    <x v="2"/>
    <x v="6"/>
    <s v="D:\Images\20210713\plaque 1/@02 EE2 33.8/G2_02.tif "/>
    <s v=" 6142.8901 "/>
    <s v=" 68.2993 "/>
    <x v="0"/>
    <n v="419555"/>
    <m/>
    <m/>
    <m/>
  </r>
  <r>
    <x v="2"/>
    <x v="6"/>
    <s v="D:\Images\20210713\plaque 1/@02 EE2 33.8/G2_03.tif "/>
    <s v=" 3244.4842 "/>
    <s v=" 64.9267 "/>
    <x v="0"/>
    <n v="210654"/>
    <m/>
    <m/>
    <m/>
  </r>
  <r>
    <x v="2"/>
    <x v="7"/>
    <s v="D:\Images\20210713\plaque 1/@02 EE2 33.8/H2_01- exclu.tif"/>
    <m/>
    <m/>
    <x v="1"/>
    <m/>
    <m/>
    <m/>
    <m/>
  </r>
  <r>
    <x v="2"/>
    <x v="7"/>
    <s v="D:\Images\20210713\plaque 1/@02 EE2 33.8/H2_02- exclu.tif"/>
    <m/>
    <m/>
    <x v="1"/>
    <m/>
    <m/>
    <m/>
    <m/>
  </r>
  <r>
    <x v="2"/>
    <x v="7"/>
    <s v="D:\Images\20210713\plaque 1/@02 EE2 33.8/H2_03- exclu.tif"/>
    <m/>
    <m/>
    <x v="1"/>
    <m/>
    <m/>
    <m/>
    <m/>
  </r>
  <r>
    <x v="1"/>
    <x v="8"/>
    <s v=" "/>
    <m/>
    <m/>
    <x v="1"/>
    <m/>
    <m/>
    <m/>
    <m/>
  </r>
  <r>
    <x v="1"/>
    <x v="8"/>
    <s v="group "/>
    <s v=" "/>
    <s v=" mean of mean fluo "/>
    <x v="2"/>
    <s v=" mean of total fluo "/>
    <s v=" SD total fluo "/>
    <s v=" n fluorescent "/>
    <s v=" n total"/>
  </r>
  <r>
    <x v="2"/>
    <x v="9"/>
    <s v="D:\Images\20210713\plaque 1/@02 EE2 33.8/ "/>
    <s v=" "/>
    <s v=" 67.4938 "/>
    <x v="4"/>
    <s v=" 518328.042 "/>
    <s v=" 372629.55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D:\Images\20210713\plaque 1/@03 EE2 50/A3_01- exclu.tif"/>
    <m/>
    <m/>
    <x v="1"/>
    <m/>
    <m/>
    <m/>
    <m/>
  </r>
  <r>
    <x v="3"/>
    <x v="0"/>
    <s v="D:\Images\20210713\plaque 1/@03 EE2 50/A3_02.tif "/>
    <s v=" 3395.8935 "/>
    <s v=" 63.9809 "/>
    <x v="0"/>
    <n v="217272"/>
    <m/>
    <m/>
    <m/>
  </r>
  <r>
    <x v="3"/>
    <x v="0"/>
    <s v="D:\Images\20210713\plaque 1/@03 EE2 50/A3_03.tif "/>
    <s v=" 4347.6088 "/>
    <s v=" 64.2488 "/>
    <x v="0"/>
    <n v="279328"/>
    <m/>
    <m/>
    <m/>
  </r>
  <r>
    <x v="3"/>
    <x v="1"/>
    <s v="D:\Images\20210713\plaque 1/@03 EE2 50/B3_01.tif "/>
    <s v=" 1189.6442 "/>
    <s v=" 63.7455 "/>
    <x v="0"/>
    <n v="75834"/>
    <m/>
    <m/>
    <m/>
  </r>
  <r>
    <x v="3"/>
    <x v="1"/>
    <s v="D:\Images\20210713\plaque 1/@03 EE2 50/B3_02.tif "/>
    <s v=" 2790.2564 "/>
    <s v=" 65.1318 "/>
    <x v="0"/>
    <n v="181734"/>
    <m/>
    <m/>
    <m/>
  </r>
  <r>
    <x v="3"/>
    <x v="1"/>
    <s v="D:\Images\20210713\plaque 1/@03 EE2 50/B3_03.tif "/>
    <s v=" 670.5267 "/>
    <s v=" 62.6129 "/>
    <x v="0"/>
    <n v="41984"/>
    <m/>
    <m/>
    <m/>
  </r>
  <r>
    <x v="3"/>
    <x v="2"/>
    <s v="D:\Images\20210713\plaque 1/@03 EE2 50/C3_01.tif "/>
    <s v=" 670.5267 "/>
    <s v=" 64.6129 "/>
    <x v="0"/>
    <n v="43325"/>
    <m/>
    <m/>
    <m/>
  </r>
  <r>
    <x v="3"/>
    <x v="2"/>
    <s v="D:\Images\20210713\plaque 1/@03 EE2 50/C3_02.tif "/>
    <s v=" 346.0783 "/>
    <s v=" 62.375 "/>
    <x v="0"/>
    <n v="21587"/>
    <m/>
    <m/>
    <m/>
  </r>
  <r>
    <x v="3"/>
    <x v="2"/>
    <s v="D:\Images\20210713\plaque 1/@03 EE2 50/C3_03.tif "/>
    <s v=" 1146.3844 "/>
    <s v=" 64.1321 "/>
    <x v="0"/>
    <n v="73520"/>
    <m/>
    <m/>
    <m/>
  </r>
  <r>
    <x v="3"/>
    <x v="3"/>
    <s v="D:\Images\20210713\plaque 1/@03 EE2 50/D3_01.tif "/>
    <s v=" 2054.84 "/>
    <s v=" 63.0842 "/>
    <x v="0"/>
    <n v="129628"/>
    <m/>
    <m/>
    <m/>
  </r>
  <r>
    <x v="3"/>
    <x v="3"/>
    <s v="D:\Images\20210713\plaque 1/@03 EE2 50/D3_02.tif "/>
    <s v=" 1038.2349 "/>
    <s v=" 63.5625 "/>
    <x v="0"/>
    <n v="65993"/>
    <m/>
    <m/>
    <m/>
  </r>
  <r>
    <x v="3"/>
    <x v="3"/>
    <s v="D:\Images\20210713\plaque 1/@03 EE2 50/D3_03.tif "/>
    <s v=" 1276.1638 "/>
    <s v=" 62.8983 "/>
    <x v="0"/>
    <n v="80269"/>
    <m/>
    <m/>
    <m/>
  </r>
  <r>
    <x v="3"/>
    <x v="4"/>
    <s v="D:\Images\20210713\plaque 1/@03 EE2 50/E3_01.tif "/>
    <s v=" 6315.9292 "/>
    <s v=" 64.4795 "/>
    <x v="0"/>
    <n v="407248"/>
    <m/>
    <m/>
    <m/>
  </r>
  <r>
    <x v="3"/>
    <x v="4"/>
    <s v="D:\Images\20210713\plaque 1/@03 EE2 50/E3_02.tif "/>
    <s v=" 2552.3276 "/>
    <s v=" 63.4322 "/>
    <x v="0"/>
    <n v="161900"/>
    <m/>
    <m/>
    <m/>
  </r>
  <r>
    <x v="3"/>
    <x v="4"/>
    <s v="D:\Images\20210713\plaque 1/@03 EE2 50/E3_03.tif "/>
    <s v=" 2617.2173 "/>
    <s v=" 64.2314 "/>
    <x v="0"/>
    <n v="168108"/>
    <m/>
    <m/>
    <m/>
  </r>
  <r>
    <x v="3"/>
    <x v="5"/>
    <s v="D:\Images\20210713\plaque 1/@03 EE2 50/F3_01- exclu.tif"/>
    <m/>
    <m/>
    <x v="1"/>
    <m/>
    <m/>
    <m/>
    <m/>
  </r>
  <r>
    <x v="3"/>
    <x v="5"/>
    <s v="D:\Images\20210713\plaque 1/@03 EE2 50/F3_02- exclu.tif"/>
    <m/>
    <m/>
    <x v="1"/>
    <m/>
    <m/>
    <m/>
    <m/>
  </r>
  <r>
    <x v="3"/>
    <x v="5"/>
    <s v="D:\Images\20210713\plaque 1/@03 EE2 50/F3_03- exclu.tif"/>
    <m/>
    <m/>
    <x v="1"/>
    <m/>
    <m/>
    <m/>
    <m/>
  </r>
  <r>
    <x v="3"/>
    <x v="6"/>
    <s v="D:\Images\20210713\plaque 1/@03 EE2 50/G3_01.tif "/>
    <s v=" 10144.4206 "/>
    <s v=" 67.4989 "/>
    <x v="0"/>
    <n v="684738"/>
    <m/>
    <m/>
    <m/>
  </r>
  <r>
    <x v="3"/>
    <x v="6"/>
    <s v="D:\Images\20210713\plaque 1/@03 EE2 50/G3_02.tif "/>
    <s v=" 2098.0998 "/>
    <s v=" 62.9381 "/>
    <x v="0"/>
    <n v="132051"/>
    <m/>
    <m/>
    <m/>
  </r>
  <r>
    <x v="3"/>
    <x v="6"/>
    <s v="D:\Images\20210713\plaque 1/@03 EE2 50/G3_03.tif "/>
    <s v=" 6445.7086 "/>
    <s v=" 69.0235 "/>
    <x v="0"/>
    <n v="444905"/>
    <m/>
    <m/>
    <m/>
  </r>
  <r>
    <x v="3"/>
    <x v="7"/>
    <s v="D:\Images\20210713\plaque 1/@03 EE2 50/H3_01.tif "/>
    <s v=" 2509.0678 "/>
    <s v=" 65.5086 "/>
    <x v="0"/>
    <n v="164366"/>
    <m/>
    <m/>
    <m/>
  </r>
  <r>
    <x v="3"/>
    <x v="7"/>
    <s v="D:\Images\20210713\plaque 1/@03 EE2 50/H3_02.tif "/>
    <s v=" 2141.3596 "/>
    <s v=" 62.9798 "/>
    <x v="0"/>
    <n v="134862"/>
    <m/>
    <m/>
    <m/>
  </r>
  <r>
    <x v="3"/>
    <x v="7"/>
    <s v="D:\Images\20210713\plaque 1/@03 EE2 50/H3_03.tif "/>
    <s v=" 259.5587 "/>
    <s v=" 63.3333 "/>
    <x v="0"/>
    <n v="16439"/>
    <m/>
    <m/>
    <m/>
  </r>
  <r>
    <x v="1"/>
    <x v="8"/>
    <s v=" "/>
    <m/>
    <m/>
    <x v="1"/>
    <m/>
    <m/>
    <m/>
    <m/>
  </r>
  <r>
    <x v="1"/>
    <x v="8"/>
    <s v="group "/>
    <s v=" "/>
    <s v=" mean of mean fluo "/>
    <x v="2"/>
    <s v=" mean of total fluo "/>
    <s v=" SD total fluo "/>
    <s v=" n fluorescent "/>
    <s v=" n total"/>
  </r>
  <r>
    <x v="3"/>
    <x v="9"/>
    <s v="D:\Images\20210713\plaque 1/@03 EE2 50/ "/>
    <s v=" "/>
    <s v=" 64.8169 "/>
    <x v="5"/>
    <s v=" 261450.542 "/>
    <s v=" 272333.07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D:\Images\20210713\plaque 1/@04 EE2 76/A4_01.tif "/>
    <s v=" 11485.474 "/>
    <s v=" 64.4859 "/>
    <x v="0"/>
    <n v="740651"/>
    <m/>
    <m/>
    <m/>
  </r>
  <r>
    <x v="4"/>
    <x v="0"/>
    <s v="D:\Images\20210713\plaque 1/@04 EE2 76/A4_02.tif "/>
    <s v=" 11161.0256 "/>
    <s v=" 63.9205 "/>
    <x v="0"/>
    <n v="713419"/>
    <m/>
    <m/>
    <m/>
  </r>
  <r>
    <x v="4"/>
    <x v="0"/>
    <s v="D:\Images\20210713\plaque 1/@04 EE2 76/A4_03.tif "/>
    <s v=" 6229.4097 "/>
    <s v=" 63.9306 "/>
    <x v="0"/>
    <n v="398250"/>
    <m/>
    <m/>
    <m/>
  </r>
  <r>
    <x v="4"/>
    <x v="1"/>
    <s v="D:\Images\20210713\plaque 1/@04 EE2 76/B4_01- exclu.tif"/>
    <m/>
    <m/>
    <x v="1"/>
    <m/>
    <m/>
    <m/>
    <m/>
  </r>
  <r>
    <x v="4"/>
    <x v="1"/>
    <s v="D:\Images\20210713\plaque 1/@04 EE2 76/B4_02- exclu.tif"/>
    <m/>
    <m/>
    <x v="1"/>
    <m/>
    <m/>
    <m/>
    <m/>
  </r>
  <r>
    <x v="4"/>
    <x v="1"/>
    <s v="D:\Images\20210713\plaque 1/@04 EE2 76/B4_03- exclu.tif"/>
    <m/>
    <m/>
    <x v="1"/>
    <m/>
    <m/>
    <m/>
    <m/>
  </r>
  <r>
    <x v="4"/>
    <x v="2"/>
    <s v="D:\Images\20210713\plaque 1/@04 EE2 76/C4_01- exclu.tif"/>
    <m/>
    <m/>
    <x v="1"/>
    <m/>
    <m/>
    <m/>
    <m/>
  </r>
  <r>
    <x v="4"/>
    <x v="2"/>
    <s v="D:\Images\20210713\plaque 1/@04 EE2 76/C4_02.tif "/>
    <s v=" 35040.4293 "/>
    <s v=" 66.8117 "/>
    <x v="0"/>
    <n v="2341112"/>
    <m/>
    <m/>
    <m/>
  </r>
  <r>
    <x v="4"/>
    <x v="2"/>
    <s v="D:\Images\20210713\plaque 1/@04 EE2 76/C4_03- exclu.tif"/>
    <m/>
    <m/>
    <x v="1"/>
    <m/>
    <m/>
    <m/>
    <m/>
  </r>
  <r>
    <x v="4"/>
    <x v="3"/>
    <s v="D:\Images\20210713\plaque 1/@04 EE2 76/D4_01.tif "/>
    <s v=" 19921.133 "/>
    <s v=" 66.1433 "/>
    <x v="0"/>
    <n v="1317650"/>
    <m/>
    <m/>
    <m/>
  </r>
  <r>
    <x v="4"/>
    <x v="3"/>
    <s v="D:\Images\20210713\plaque 1/@04 EE2 76/D4_02.tif "/>
    <s v=" 19661.5742 "/>
    <s v=" 67.0011 "/>
    <x v="0"/>
    <n v="1317347"/>
    <m/>
    <m/>
    <m/>
  </r>
  <r>
    <x v="4"/>
    <x v="3"/>
    <s v="D:\Images\20210713\plaque 1/@04 EE2 76/D4_03.tif "/>
    <s v=" 17217.3961 "/>
    <s v=" 67.0201 "/>
    <x v="0"/>
    <n v="1153912"/>
    <m/>
    <m/>
    <m/>
  </r>
  <r>
    <x v="4"/>
    <x v="4"/>
    <s v="D:\Images\20210713\plaque 1/@04 EE2 76/E4_01.tif "/>
    <s v=" 12307.41 "/>
    <s v=" 69.0562 "/>
    <x v="0"/>
    <n v="849903"/>
    <m/>
    <m/>
    <m/>
  </r>
  <r>
    <x v="4"/>
    <x v="4"/>
    <s v="D:\Images\20210713\plaque 1/@04 EE2 76/E4_02.tif "/>
    <s v=" 10230.9402 "/>
    <s v=" 65.6871 "/>
    <x v="0"/>
    <n v="672041"/>
    <m/>
    <m/>
    <m/>
  </r>
  <r>
    <x v="4"/>
    <x v="4"/>
    <s v="D:\Images\20210713\plaque 1/@04 EE2 76/E4_03.tif "/>
    <s v=" 13237.4955 "/>
    <s v=" 66.7859 "/>
    <x v="0"/>
    <n v="884079"/>
    <m/>
    <m/>
    <m/>
  </r>
  <r>
    <x v="4"/>
    <x v="5"/>
    <s v="D:\Images\20210713\plaque 1/@04 EE2 76/F4_01.tif "/>
    <s v=" 16936.2075 "/>
    <s v=" 67.7982 "/>
    <x v="0"/>
    <n v="1148245"/>
    <m/>
    <m/>
    <m/>
  </r>
  <r>
    <x v="4"/>
    <x v="5"/>
    <s v="D:\Images\20210713\plaque 1/@04 EE2 76/F4_02.tif "/>
    <s v=" 12783.2677 "/>
    <s v=" 66.3333 "/>
    <x v="0"/>
    <n v="847957"/>
    <m/>
    <m/>
    <m/>
  </r>
  <r>
    <x v="4"/>
    <x v="5"/>
    <s v="D:\Images\20210713\plaque 1/@04 EE2 76/F4_03.tif "/>
    <s v=" 13605.2037 "/>
    <s v=" 70.5517 "/>
    <x v="0"/>
    <n v="959870"/>
    <m/>
    <m/>
    <m/>
  </r>
  <r>
    <x v="4"/>
    <x v="6"/>
    <s v="D:\Images\20210713\plaque 1/@04 EE2 76/G4_01.tif "/>
    <s v=" 8197.7301 "/>
    <s v=" 65.9182 "/>
    <x v="0"/>
    <n v="540380"/>
    <m/>
    <m/>
    <m/>
  </r>
  <r>
    <x v="4"/>
    <x v="6"/>
    <s v="D:\Images\20210713\plaque 1/@04 EE2 76/G4_02.tif "/>
    <s v=" 7202.7549 "/>
    <s v=" 65.036 "/>
    <x v="0"/>
    <n v="468439"/>
    <m/>
    <m/>
    <m/>
  </r>
  <r>
    <x v="4"/>
    <x v="6"/>
    <s v="D:\Images\20210713\plaque 1/@04 EE2 76/G4_03.tif "/>
    <s v=" 8176.1002 "/>
    <s v=" 64.8836 "/>
    <x v="0"/>
    <n v="530495"/>
    <m/>
    <m/>
    <m/>
  </r>
  <r>
    <x v="4"/>
    <x v="7"/>
    <s v="D:\Images\20210713\plaque 1/@04 EE2 76/H4_01.tif "/>
    <s v=" 7008.0859 "/>
    <s v=" 64.6543 "/>
    <x v="0"/>
    <n v="453103"/>
    <m/>
    <m/>
    <m/>
  </r>
  <r>
    <x v="4"/>
    <x v="7"/>
    <s v="D:\Images\20210713\plaque 1/@04 EE2 76/H4_02.tif "/>
    <s v=" 3049.8151 "/>
    <s v=" 63.1135 "/>
    <x v="0"/>
    <n v="192484"/>
    <m/>
    <m/>
    <m/>
  </r>
  <r>
    <x v="4"/>
    <x v="7"/>
    <s v="D:\Images\20210713\plaque 1/@04 EE2 76/H4_03.tif "/>
    <s v=" 648.8968 "/>
    <n v="63"/>
    <x v="0"/>
    <n v="40881"/>
    <m/>
    <m/>
    <m/>
  </r>
  <r>
    <x v="1"/>
    <x v="8"/>
    <s v=" "/>
    <m/>
    <m/>
    <x v="1"/>
    <m/>
    <m/>
    <m/>
    <m/>
  </r>
  <r>
    <x v="1"/>
    <x v="8"/>
    <s v="group "/>
    <s v=" "/>
    <s v=" mean of mean fluo "/>
    <x v="2"/>
    <s v=" mean of total fluo "/>
    <s v=" SD total fluo "/>
    <s v=" n fluorescent "/>
    <s v=" n total"/>
  </r>
  <r>
    <x v="4"/>
    <x v="9"/>
    <s v="D:\Images\20210713\plaque 1/@04 EE2 76/ "/>
    <s v=" "/>
    <s v=" 67.2501 "/>
    <x v="6"/>
    <s v=" 805194.583 "/>
    <s v=" 464586.23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D:\Images\20210713\plaque 1/@05 EE2 114/A5_01.tif "/>
    <s v=" 41464.508 "/>
    <s v=" 68.8832 "/>
    <x v="0"/>
    <n v="2856206"/>
    <m/>
    <m/>
    <m/>
  </r>
  <r>
    <x v="5"/>
    <x v="0"/>
    <s v="D:\Images\20210713\plaque 1/@05 EE2 114/A5_02.tif "/>
    <s v=" 44795.5118 "/>
    <s v=" 69.6697 "/>
    <x v="0"/>
    <n v="3120891"/>
    <m/>
    <m/>
    <m/>
  </r>
  <r>
    <x v="5"/>
    <x v="0"/>
    <s v="D:\Images\20210713\plaque 1/@05 EE2 114/A5_03.tif "/>
    <s v=" 44016.8356 "/>
    <s v=" 68.9243 "/>
    <x v="0"/>
    <n v="3033831"/>
    <m/>
    <m/>
    <m/>
  </r>
  <r>
    <x v="5"/>
    <x v="1"/>
    <s v="D:\Images\20210713\plaque 1/@05 EE2 114/B5_01.tif "/>
    <s v=" 32055.5038 "/>
    <s v=" 67.9865 "/>
    <x v="0"/>
    <n v="2179342"/>
    <m/>
    <m/>
    <m/>
  </r>
  <r>
    <x v="5"/>
    <x v="1"/>
    <s v="D:\Images\20210713\plaque 1/@05 EE2 114/B5_02.tif "/>
    <s v=" 23814.514 "/>
    <s v=" 68.3152 "/>
    <x v="0"/>
    <n v="1626893"/>
    <m/>
    <m/>
    <m/>
  </r>
  <r>
    <x v="5"/>
    <x v="1"/>
    <s v="D:\Images\20210713\plaque 1/@05 EE2 114/B5_03.tif "/>
    <s v=" 35710.956 "/>
    <s v=" 68.2629 "/>
    <x v="0"/>
    <n v="2437732"/>
    <m/>
    <m/>
    <m/>
  </r>
  <r>
    <x v="5"/>
    <x v="2"/>
    <s v="D:\Images\20210713\plaque 1/@05 EE2 114/C5_01.tif "/>
    <s v=" 42351.3337 "/>
    <s v=" 68.905 "/>
    <x v="0"/>
    <n v="2918219"/>
    <m/>
    <m/>
    <m/>
  </r>
  <r>
    <x v="5"/>
    <x v="2"/>
    <s v="D:\Images\20210713\plaque 1/@05 EE2 114/C5_02.tif "/>
    <s v=" 44882.0314 "/>
    <s v=" 69.2757 "/>
    <x v="0"/>
    <n v="3109232"/>
    <m/>
    <m/>
    <m/>
  </r>
  <r>
    <x v="5"/>
    <x v="2"/>
    <s v="D:\Images\20210713\plaque 1/@05 EE2 114/C5_03.tif "/>
    <s v=" 43086.7501 "/>
    <s v=" 68.4096 "/>
    <x v="0"/>
    <n v="2947549"/>
    <m/>
    <m/>
    <m/>
  </r>
  <r>
    <x v="5"/>
    <x v="3"/>
    <s v="D:\Images\20210713\plaque 1/@05 EE2 114/D5_01.tif "/>
    <s v=" 22105.7523 "/>
    <s v=" 68.5714 "/>
    <x v="0"/>
    <n v="1515823"/>
    <m/>
    <m/>
    <m/>
  </r>
  <r>
    <x v="5"/>
    <x v="3"/>
    <s v="D:\Images\20210713\plaque 1/@05 EE2 114/D5_02.tif "/>
    <s v=" 38241.6537 "/>
    <s v=" 95.573 "/>
    <x v="0"/>
    <n v="3654868"/>
    <m/>
    <m/>
    <m/>
  </r>
  <r>
    <x v="5"/>
    <x v="3"/>
    <s v="D:\Images\20210713\plaque 1/@05 EE2 114/D5_03.tif "/>
    <s v=" 27945.8239 "/>
    <s v=" 86.0015 "/>
    <x v="0"/>
    <n v="2403384"/>
    <m/>
    <m/>
    <m/>
  </r>
  <r>
    <x v="5"/>
    <x v="4"/>
    <s v="D:\Images\20210713\plaque 1/@05 EE2 114/E5_01- exclu.tif"/>
    <m/>
    <m/>
    <x v="1"/>
    <m/>
    <m/>
    <m/>
    <m/>
  </r>
  <r>
    <x v="5"/>
    <x v="4"/>
    <s v="D:\Images\20210713\plaque 1/@05 EE2 114/E5_02- exclu.tif"/>
    <m/>
    <m/>
    <x v="1"/>
    <m/>
    <m/>
    <m/>
    <m/>
  </r>
  <r>
    <x v="5"/>
    <x v="4"/>
    <s v="D:\Images\20210713\plaque 1/@05 EE2 114/E5_03.tif "/>
    <s v=" 34434.7922 "/>
    <s v=" 67.7425 "/>
    <x v="0"/>
    <n v="2332698"/>
    <m/>
    <m/>
    <m/>
  </r>
  <r>
    <x v="5"/>
    <x v="5"/>
    <s v="D:\Images\20210713\plaque 1/@05 EE2 114/F5_01.tif "/>
    <s v=" 46742.2023 "/>
    <s v=" 68.4632 "/>
    <x v="0"/>
    <n v="3200121"/>
    <m/>
    <m/>
    <m/>
  </r>
  <r>
    <x v="5"/>
    <x v="5"/>
    <s v="D:\Images\20210713\plaque 1/@05 EE2 114/F5_02.tif "/>
    <s v=" 40512.7926 "/>
    <s v=" 69.1479 "/>
    <x v="0"/>
    <n v="2801374"/>
    <m/>
    <m/>
    <m/>
  </r>
  <r>
    <x v="5"/>
    <x v="5"/>
    <s v="D:\Images\20210713\plaque 1/@05 EE2 114/F5_03.tif "/>
    <s v=" 44341.284 "/>
    <s v=" 69.5073 "/>
    <x v="0"/>
    <n v="3082044"/>
    <m/>
    <m/>
    <m/>
  </r>
  <r>
    <x v="5"/>
    <x v="6"/>
    <s v="D:\Images\20210713\plaque 1/@05 EE2 114/G5_01.tif "/>
    <s v=" 52993.2418 "/>
    <s v=" 72.6482 "/>
    <x v="0"/>
    <n v="3849862"/>
    <m/>
    <m/>
    <m/>
  </r>
  <r>
    <x v="5"/>
    <x v="6"/>
    <s v="D:\Images\20210713\plaque 1/@05 EE2 114/G5_02.tif "/>
    <s v=" 50462.5442 "/>
    <s v=" 73.9134 "/>
    <x v="0"/>
    <n v="3729859"/>
    <m/>
    <m/>
    <m/>
  </r>
  <r>
    <x v="5"/>
    <x v="6"/>
    <s v="D:\Images\20210713\plaque 1/@05 EE2 114/G5_03.tif "/>
    <s v=" 54485.7046 "/>
    <s v=" 73.0687 "/>
    <x v="0"/>
    <n v="3981198"/>
    <m/>
    <m/>
    <m/>
  </r>
  <r>
    <x v="5"/>
    <x v="7"/>
    <s v="D:\Images\20210713\plaque 1/@05 EE2 114/H5_01.tif "/>
    <s v=" 26042.3931 "/>
    <s v=" 65.8821 "/>
    <x v="0"/>
    <n v="1715727"/>
    <m/>
    <m/>
    <m/>
  </r>
  <r>
    <x v="5"/>
    <x v="7"/>
    <s v="D:\Images\20210713\plaque 1/@05 EE2 114/H5_02.tif "/>
    <s v=" 14600.1789 "/>
    <s v=" 65.7052 "/>
    <x v="0"/>
    <n v="959307"/>
    <m/>
    <m/>
    <m/>
  </r>
  <r>
    <x v="5"/>
    <x v="7"/>
    <s v="D:\Images\20210713\plaque 1/@05 EE2 114/H5_03.tif "/>
    <s v=" 21327.0761 "/>
    <s v=" 75.8103 "/>
    <x v="0"/>
    <n v="1616813"/>
    <m/>
    <m/>
    <m/>
  </r>
  <r>
    <x v="1"/>
    <x v="8"/>
    <s v=" "/>
    <m/>
    <m/>
    <x v="1"/>
    <m/>
    <m/>
    <m/>
    <m/>
  </r>
  <r>
    <x v="1"/>
    <x v="8"/>
    <s v="group "/>
    <s v=" "/>
    <s v=" mean of mean fluo "/>
    <x v="2"/>
    <s v=" mean of total fluo "/>
    <s v=" SD total fluo "/>
    <s v=" n fluorescent "/>
    <s v=" n total"/>
  </r>
  <r>
    <x v="5"/>
    <x v="9"/>
    <s v="D:\Images\20210713\plaque 1/@05 EE2 114/ "/>
    <s v=" "/>
    <s v=" 70.9853 "/>
    <x v="7"/>
    <s v=" 2469727.5 "/>
    <s v=" 1072710.7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D:\Images\20210713\plaque 1/@06 EE2 170/A6_01.tif "/>
    <s v=" 55480.6797 "/>
    <s v=" 72.7505 "/>
    <x v="0"/>
    <n v="4036246"/>
    <m/>
    <m/>
    <m/>
  </r>
  <r>
    <x v="6"/>
    <x v="0"/>
    <s v="D:\Images\20210713\plaque 1/@06 EE2 170/A6_02.tif "/>
    <s v=" 43281.4192 "/>
    <s v=" 69.6817 "/>
    <x v="0"/>
    <n v="3015921"/>
    <m/>
    <m/>
    <m/>
  </r>
  <r>
    <x v="6"/>
    <x v="0"/>
    <s v="D:\Images\20210713\plaque 1/@06 EE2 170/A6_03.tif "/>
    <s v=" 3612.1924 "/>
    <s v=" 68.515 "/>
    <x v="0"/>
    <n v="247489"/>
    <m/>
    <m/>
    <m/>
  </r>
  <r>
    <x v="6"/>
    <x v="1"/>
    <s v="D:\Images\20210713\plaque 1/@06 EE2 170/B6_01.tif "/>
    <s v=" 42437.8533 "/>
    <s v=" 74.6193 "/>
    <x v="0"/>
    <n v="3166681"/>
    <m/>
    <m/>
    <m/>
  </r>
  <r>
    <x v="6"/>
    <x v="1"/>
    <s v="D:\Images\20210713\plaque 1/@06 EE2 170/B6_02.tif "/>
    <s v=" 34391.5325 "/>
    <s v=" 79.2503 "/>
    <x v="0"/>
    <n v="2725540"/>
    <m/>
    <m/>
    <m/>
  </r>
  <r>
    <x v="6"/>
    <x v="1"/>
    <s v="D:\Images\20210713\plaque 1/@06 EE2 170/B6_03.tif "/>
    <s v=" 38804.031 "/>
    <s v=" 76.9348 "/>
    <x v="0"/>
    <n v="2985380"/>
    <m/>
    <m/>
    <m/>
  </r>
  <r>
    <x v="6"/>
    <x v="2"/>
    <s v="D:\Images\20210713\plaque 1/@06 EE2 170/C6_01.tif "/>
    <s v=" 77608.0619 "/>
    <s v=" 77.0984 "/>
    <x v="0"/>
    <n v="5983456"/>
    <m/>
    <m/>
    <m/>
  </r>
  <r>
    <x v="6"/>
    <x v="2"/>
    <s v="D:\Images\20210713\plaque 1/@06 EE2 170/C6_02.tif "/>
    <s v=" 72719.7057 "/>
    <s v=" 76.3046 "/>
    <x v="0"/>
    <n v="5548847"/>
    <m/>
    <m/>
    <m/>
  </r>
  <r>
    <x v="6"/>
    <x v="2"/>
    <s v="D:\Images\20210713\plaque 1/@06 EE2 170/C6_03.tif "/>
    <s v=" 76245.3786 "/>
    <s v=" 77.9121 "/>
    <x v="0"/>
    <n v="5940434"/>
    <m/>
    <m/>
    <m/>
  </r>
  <r>
    <x v="6"/>
    <x v="3"/>
    <s v="D:\Images\20210713\plaque 1/@06 EE2 170/D6_01.tif "/>
    <s v=" 46763.8322 "/>
    <s v=" 77.84 "/>
    <x v="0"/>
    <n v="3640095"/>
    <m/>
    <m/>
    <m/>
  </r>
  <r>
    <x v="6"/>
    <x v="3"/>
    <s v="D:\Images\20210713\plaque 1/@06 EE2 170/D6_02.tif "/>
    <s v=" 40837.2411 "/>
    <s v=" 78.8056 "/>
    <x v="0"/>
    <n v="3218204"/>
    <m/>
    <m/>
    <m/>
  </r>
  <r>
    <x v="6"/>
    <x v="3"/>
    <s v="D:\Images\20210713\plaque 1/@06 EE2 170/D6_03.tif "/>
    <s v=" 39301.5185 "/>
    <s v=" 78.426 "/>
    <x v="0"/>
    <n v="3082260"/>
    <m/>
    <m/>
    <m/>
  </r>
  <r>
    <x v="6"/>
    <x v="4"/>
    <s v="D:\Images\20210713\plaque 1/@06 EE2 170/E6_01.tif "/>
    <s v=" 37679.2764 "/>
    <s v=" 74.4621 "/>
    <x v="0"/>
    <n v="2805679"/>
    <m/>
    <m/>
    <m/>
  </r>
  <r>
    <x v="6"/>
    <x v="4"/>
    <s v="D:\Images\20210713\plaque 1/@06 EE2 170/E6_02.tif "/>
    <s v=" 39063.5897 "/>
    <s v=" 77.3832 "/>
    <x v="0"/>
    <n v="3022864"/>
    <m/>
    <m/>
    <m/>
  </r>
  <r>
    <x v="6"/>
    <x v="4"/>
    <s v="D:\Images\20210713\plaque 1/@06 EE2 170/E6_03.tif "/>
    <s v=" 43411.1985 "/>
    <s v=" 77.13 "/>
    <x v="0"/>
    <n v="3348308"/>
    <m/>
    <m/>
    <m/>
  </r>
  <r>
    <x v="6"/>
    <x v="5"/>
    <s v="D:\Images\20210713\plaque 1/@06 EE2 170/F6_01.tif "/>
    <s v=" 42416.2234 "/>
    <s v=" 70.1351 "/>
    <x v="0"/>
    <n v="2974868"/>
    <m/>
    <m/>
    <m/>
  </r>
  <r>
    <x v="6"/>
    <x v="5"/>
    <s v="D:\Images\20210713\plaque 1/@06 EE2 170/F6_02.tif "/>
    <s v=" 37960.4651 "/>
    <s v=" 69.2467 "/>
    <x v="0"/>
    <n v="2628638"/>
    <m/>
    <m/>
    <m/>
  </r>
  <r>
    <x v="6"/>
    <x v="5"/>
    <s v="D:\Images\20210713\plaque 1/@06 EE2 170/F6_03.tif "/>
    <s v=" 39950.4154 "/>
    <s v=" 69.307 "/>
    <x v="0"/>
    <n v="2768843"/>
    <m/>
    <m/>
    <m/>
  </r>
  <r>
    <x v="6"/>
    <x v="6"/>
    <s v="D:\Images\20210713\plaque 1/@06 EE2 170/G6_01.tif "/>
    <s v=" 61147.7121 "/>
    <s v=" 71.2083 "/>
    <x v="0"/>
    <n v="4354228"/>
    <m/>
    <m/>
    <m/>
  </r>
  <r>
    <x v="6"/>
    <x v="6"/>
    <s v="D:\Images\20210713\plaque 1/@06 EE2 170/G6_02.tif "/>
    <s v=" 59893.1782 "/>
    <s v=" 72.6457 "/>
    <x v="0"/>
    <n v="4350983"/>
    <m/>
    <m/>
    <m/>
  </r>
  <r>
    <x v="6"/>
    <x v="6"/>
    <s v="D:\Images\20210713\plaque 1/@06 EE2 170/G6_03.tif "/>
    <s v=" 64111.0077 "/>
    <s v=" 73.0823 "/>
    <x v="0"/>
    <n v="4685381"/>
    <m/>
    <m/>
    <m/>
  </r>
  <r>
    <x v="6"/>
    <x v="7"/>
    <s v="D:\Images\20210713\plaque 1/@06 EE2 170/H6_01.tif "/>
    <s v=" 55264.3808 "/>
    <s v=" 72.3746 "/>
    <x v="0"/>
    <n v="3999735"/>
    <m/>
    <m/>
    <m/>
  </r>
  <r>
    <x v="6"/>
    <x v="7"/>
    <s v="D:\Images\20210713\plaque 1/@06 EE2 170/H6_02.tif "/>
    <s v=" 56259.3559 "/>
    <s v=" 73.6755 "/>
    <x v="0"/>
    <n v="4144937"/>
    <m/>
    <m/>
    <m/>
  </r>
  <r>
    <x v="6"/>
    <x v="7"/>
    <s v="D:\Images\20210713\plaque 1/@06 EE2 170/H6_03.tif "/>
    <s v=" 44146.6149 "/>
    <s v=" 73.8819 "/>
    <x v="0"/>
    <n v="3261637"/>
    <m/>
    <m/>
    <m/>
  </r>
  <r>
    <x v="1"/>
    <x v="8"/>
    <s v=" "/>
    <m/>
    <m/>
    <x v="1"/>
    <m/>
    <m/>
    <m/>
    <m/>
  </r>
  <r>
    <x v="1"/>
    <x v="8"/>
    <s v="group "/>
    <s v=" "/>
    <s v=" mean of mean fluo "/>
    <x v="2"/>
    <s v=" mean of total fluo "/>
    <s v=" SD total fluo "/>
    <s v=" n fluorescent "/>
    <s v=" n total"/>
  </r>
  <r>
    <x v="6"/>
    <x v="9"/>
    <s v="D:\Images\20210713\plaque 1/@06 EE2 170/ "/>
    <s v=" "/>
    <s v=" 74.2779 "/>
    <x v="8"/>
    <s v=" 3580693.92 "/>
    <s v=" 1222944.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D:\Images\20210713\plaque 1/@07 EE2 488/A7_01.tif "/>
    <s v=" 57016.4022 "/>
    <s v=" 82.2807 "/>
    <x v="0"/>
    <n v="4691351"/>
    <m/>
    <m/>
    <m/>
  </r>
  <r>
    <x v="7"/>
    <x v="0"/>
    <s v="D:\Images\20210713\plaque 1/@07 EE2 488/A7_02.tif "/>
    <s v=" 72827.8552 "/>
    <s v=" 83.9189 "/>
    <x v="0"/>
    <n v="6111635"/>
    <m/>
    <m/>
    <m/>
  </r>
  <r>
    <x v="7"/>
    <x v="0"/>
    <s v="D:\Images\20210713\plaque 1/@07 EE2 488/A7_03.tif "/>
    <s v=" 63072.7727 "/>
    <s v=" 86.2442 "/>
    <x v="0"/>
    <n v="5439659"/>
    <m/>
    <m/>
    <m/>
  </r>
  <r>
    <x v="7"/>
    <x v="1"/>
    <s v="D:\Images\20210713\plaque 1/@07 EE2 488/B7_01.tif "/>
    <s v=" 42156.6646 "/>
    <s v=" 89.6824 "/>
    <x v="0"/>
    <n v="3780711"/>
    <m/>
    <m/>
    <m/>
  </r>
  <r>
    <x v="7"/>
    <x v="1"/>
    <s v="D:\Images\20210713\plaque 1/@07 EE2 488/B7_02.tif "/>
    <s v=" 39366.4082 "/>
    <s v=" 90.7247 "/>
    <x v="0"/>
    <n v="3571507"/>
    <m/>
    <m/>
    <m/>
  </r>
  <r>
    <x v="7"/>
    <x v="1"/>
    <s v="D:\Images\20210713\plaque 1/@07 EE2 488/B7_03.tif "/>
    <s v=" 39236.6289 "/>
    <s v=" 93.2172 "/>
    <x v="0"/>
    <n v="3657529"/>
    <m/>
    <m/>
    <m/>
  </r>
  <r>
    <x v="7"/>
    <x v="2"/>
    <s v="D:\Images\20210713\plaque 1/@07 EE2 488/C7_01- exclu.tif"/>
    <m/>
    <m/>
    <x v="1"/>
    <m/>
    <m/>
    <m/>
    <m/>
  </r>
  <r>
    <x v="7"/>
    <x v="2"/>
    <s v="D:\Images\20210713\plaque 1/@07 EE2 488/C7_02.tif "/>
    <s v=" 47174.8002 "/>
    <s v=" 91.188 "/>
    <x v="0"/>
    <n v="4301775"/>
    <m/>
    <m/>
    <m/>
  </r>
  <r>
    <x v="7"/>
    <x v="2"/>
    <s v="D:\Images\20210713\plaque 1/@07 EE2 488/C7_03.tif "/>
    <s v=" 50786.9926 "/>
    <s v=" 89.9655 "/>
    <x v="0"/>
    <n v="4569077"/>
    <m/>
    <m/>
    <m/>
  </r>
  <r>
    <x v="7"/>
    <x v="3"/>
    <s v="D:\Images\20210713\plaque 1/@07 EE2 488/D7_01.tif "/>
    <s v=" 61753.3492 "/>
    <s v=" 85.6392 "/>
    <x v="0"/>
    <n v="5288509"/>
    <m/>
    <m/>
    <m/>
  </r>
  <r>
    <x v="7"/>
    <x v="3"/>
    <s v="D:\Images\20210713\plaque 1/@07 EE2 488/D7_02.tif "/>
    <s v=" 56843.3631 "/>
    <s v=" 83.118 "/>
    <x v="0"/>
    <n v="4724704"/>
    <m/>
    <m/>
    <m/>
  </r>
  <r>
    <x v="7"/>
    <x v="3"/>
    <s v="D:\Images\20210713\plaque 1/@07 EE2 488/D7_03.tif "/>
    <s v=" 59395.6907 "/>
    <s v=" 85.512 "/>
    <x v="0"/>
    <n v="5079045"/>
    <m/>
    <m/>
    <m/>
  </r>
  <r>
    <x v="7"/>
    <x v="4"/>
    <s v="D:\Images\20210713\plaque 1/@07 EE2 488/E7_01.tif "/>
    <s v=" 61212.6018 "/>
    <s v=" 85.3346 "/>
    <x v="0"/>
    <n v="5223555"/>
    <m/>
    <m/>
    <m/>
  </r>
  <r>
    <x v="7"/>
    <x v="4"/>
    <s v="D:\Images\20210713\plaque 1/@07 EE2 488/E7_02.tif "/>
    <s v=" 53296.0604 "/>
    <s v=" 86.3661 "/>
    <x v="0"/>
    <n v="4602971"/>
    <m/>
    <m/>
    <m/>
  </r>
  <r>
    <x v="7"/>
    <x v="4"/>
    <s v="D:\Images\20210713\plaque 1/@07 EE2 488/E7_03.tif "/>
    <s v=" 55783.4982 "/>
    <s v=" 85.4684 "/>
    <x v="0"/>
    <n v="4767726"/>
    <m/>
    <m/>
    <m/>
  </r>
  <r>
    <x v="7"/>
    <x v="5"/>
    <s v="D:\Images\20210713\plaque 1/@07 EE2 488/F7_01.tif "/>
    <s v=" 69691.5205 "/>
    <s v=" 95.5453 "/>
    <x v="0"/>
    <n v="6658698"/>
    <m/>
    <m/>
    <m/>
  </r>
  <r>
    <x v="7"/>
    <x v="5"/>
    <s v="D:\Images\20210713\plaque 1/@07 EE2 488/F7_02.tif "/>
    <s v=" 64067.7479 "/>
    <s v=" 97.4976 "/>
    <x v="0"/>
    <n v="6246454"/>
    <m/>
    <m/>
    <m/>
  </r>
  <r>
    <x v="7"/>
    <x v="5"/>
    <s v="D:\Images\20210713\plaque 1/@07 EE2 488/F7_03- exclu.tif"/>
    <m/>
    <m/>
    <x v="1"/>
    <m/>
    <m/>
    <m/>
    <m/>
  </r>
  <r>
    <x v="7"/>
    <x v="6"/>
    <s v="D:\Images\20210713\plaque 1/@07 EE2 488/G7_01.tif "/>
    <s v=" 64997.8334 "/>
    <s v=" 84.4696 "/>
    <x v="0"/>
    <n v="5490338"/>
    <m/>
    <m/>
    <m/>
  </r>
  <r>
    <x v="7"/>
    <x v="6"/>
    <s v="D:\Images\20210713\plaque 1/@07 EE2 488/G7_02.tif "/>
    <s v=" 60498.8153 "/>
    <s v=" 83.5038 "/>
    <x v="0"/>
    <n v="5051878"/>
    <m/>
    <m/>
    <m/>
  </r>
  <r>
    <x v="7"/>
    <x v="6"/>
    <s v="D:\Images\20210713\plaque 1/@07 EE2 488/G7_03.tif "/>
    <s v=" 62640.1748 "/>
    <s v=" 86.3819 "/>
    <x v="0"/>
    <n v="5410978"/>
    <m/>
    <m/>
    <m/>
  </r>
  <r>
    <x v="7"/>
    <x v="7"/>
    <s v="D:\Images\20210713\plaque 1/@07 EE2 488/H7_01.tif "/>
    <s v=" 60044.5875 "/>
    <s v=" 92.1441 "/>
    <x v="0"/>
    <n v="5532754"/>
    <m/>
    <m/>
    <m/>
  </r>
  <r>
    <x v="7"/>
    <x v="7"/>
    <s v="D:\Images\20210713\plaque 1/@07 EE2 488/H7_02.tif "/>
    <s v=" 67485.2712 "/>
    <s v=" 92.4978 "/>
    <x v="0"/>
    <n v="6242236"/>
    <m/>
    <m/>
    <m/>
  </r>
  <r>
    <x v="7"/>
    <x v="7"/>
    <s v="D:\Images\20210713\plaque 1/@07 EE2 488/H7_03.tif "/>
    <s v=" 59914.8081 "/>
    <s v=" 92.0397 "/>
    <x v="0"/>
    <n v="5514542"/>
    <m/>
    <m/>
    <m/>
  </r>
  <r>
    <x v="1"/>
    <x v="8"/>
    <s v=" "/>
    <m/>
    <m/>
    <x v="1"/>
    <m/>
    <m/>
    <m/>
    <m/>
  </r>
  <r>
    <x v="1"/>
    <x v="8"/>
    <s v="group "/>
    <s v=" "/>
    <s v=" mean of mean fluo "/>
    <x v="2"/>
    <s v=" mean of total fluo "/>
    <s v=" SD total fluo "/>
    <s v=" n fluorescent "/>
    <s v=" n total"/>
  </r>
  <r>
    <x v="7"/>
    <x v="9"/>
    <s v="D:\Images\20210713\plaque 1/@07 EE2 488/ "/>
    <s v=" "/>
    <s v=" 88.7122 "/>
    <x v="9"/>
    <s v=" 4981287.21 "/>
    <s v=" 1058141.5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D:\Images\20210713\plaque 1/@08tam 30.2µg_L/A8_01.tif "/>
    <s v=" 9409.0042 "/>
    <s v=" 65.9126 "/>
    <x v="0"/>
    <n v="620172"/>
    <m/>
    <m/>
    <m/>
  </r>
  <r>
    <x v="8"/>
    <x v="0"/>
    <s v="D:\Images\20210713\plaque 1/@08tam 30.2µg_L/A8_02.tif "/>
    <s v=" 5126.285 "/>
    <s v=" 65.1224 "/>
    <x v="0"/>
    <n v="333836"/>
    <m/>
    <m/>
    <m/>
  </r>
  <r>
    <x v="8"/>
    <x v="0"/>
    <s v="D:\Images\20210713\plaque 1/@08tam 30.2µg_L/A8_03.tif "/>
    <s v=" 7116.2353 "/>
    <s v=" 65.8723 "/>
    <x v="0"/>
    <n v="468763"/>
    <m/>
    <m/>
    <m/>
  </r>
  <r>
    <x v="8"/>
    <x v="1"/>
    <s v="D:\Images\20210713\plaque 1/@08tam 30.2µg_L/B8_01.tif "/>
    <s v=" 4931.616 "/>
    <s v=" 63.4781 "/>
    <x v="0"/>
    <n v="313049"/>
    <m/>
    <m/>
    <m/>
  </r>
  <r>
    <x v="8"/>
    <x v="1"/>
    <s v="D:\Images\20210713\plaque 1/@08tam 30.2µg_L/B8_02.tif "/>
    <s v=" 5061.3953 "/>
    <s v=" 67.0641 "/>
    <x v="0"/>
    <n v="339438"/>
    <m/>
    <m/>
    <m/>
  </r>
  <r>
    <x v="8"/>
    <x v="1"/>
    <s v="D:\Images\20210713\plaque 1/@08tam 30.2µg_L/B8_03.tif "/>
    <s v=" 4434.1284 "/>
    <s v=" 64.3073 "/>
    <x v="0"/>
    <n v="285147"/>
    <m/>
    <m/>
    <m/>
  </r>
  <r>
    <x v="8"/>
    <x v="2"/>
    <s v="D:\Images\20210713\plaque 1/@08tam 30.2µg_L/C8_01.tif "/>
    <s v=" 10122.7907 "/>
    <s v=" 69.312 "/>
    <x v="0"/>
    <n v="701631"/>
    <m/>
    <m/>
    <m/>
  </r>
  <r>
    <x v="8"/>
    <x v="2"/>
    <s v="D:\Images\20210713\plaque 1/@08tam 30.2µg_L/C8_02.tif "/>
    <s v=" 11334.0648 "/>
    <s v=" 69.2004 "/>
    <x v="0"/>
    <n v="784322"/>
    <m/>
    <m/>
    <m/>
  </r>
  <r>
    <x v="8"/>
    <x v="2"/>
    <s v="D:\Images\20210713\plaque 1/@08tam 30.2µg_L/C8_03.tif "/>
    <s v=" 7959.8012 "/>
    <s v=" 67.4457 "/>
    <x v="0"/>
    <n v="536854"/>
    <m/>
    <m/>
    <m/>
  </r>
  <r>
    <x v="8"/>
    <x v="3"/>
    <s v="D:\Images\20210713\plaque 1/@08tam 30.2µg_L/D8_01.tif "/>
    <s v=" 1449.2029 "/>
    <s v=" 63.403 "/>
    <x v="0"/>
    <n v="91884"/>
    <m/>
    <m/>
    <m/>
  </r>
  <r>
    <x v="8"/>
    <x v="3"/>
    <s v="D:\Images\20210713\plaque 1/@08tam 30.2µg_L/D8_02.tif "/>
    <s v=" 4109.68 "/>
    <s v=" 66.4895 "/>
    <x v="0"/>
    <n v="273250"/>
    <m/>
    <m/>
    <m/>
  </r>
  <r>
    <x v="8"/>
    <x v="3"/>
    <s v="D:\Images\20210713\plaque 1/@08tam 30.2µg_L/D8_03.tif "/>
    <s v=" 1232.904 "/>
    <s v=" 63.4561 "/>
    <x v="0"/>
    <n v="78235"/>
    <m/>
    <m/>
    <m/>
  </r>
  <r>
    <x v="8"/>
    <x v="4"/>
    <s v="D:\Images\20210713\plaque 1/@08tam 30.2µg_L/E8_01.tif "/>
    <s v=" 10274.1999 "/>
    <s v=" 72.8547 "/>
    <x v="0"/>
    <n v="748524"/>
    <m/>
    <m/>
    <m/>
  </r>
  <r>
    <x v="8"/>
    <x v="4"/>
    <s v="D:\Images\20210713\plaque 1/@08tam 30.2µg_L/E8_02.tif "/>
    <s v=" 8392.3991 "/>
    <s v=" 70.768 "/>
    <x v="0"/>
    <n v="593914"/>
    <m/>
    <m/>
    <m/>
  </r>
  <r>
    <x v="8"/>
    <x v="4"/>
    <s v="D:\Images\20210713\plaque 1/@08tam 30.2µg_L/E8_03.tif "/>
    <s v=" 6986.456 "/>
    <s v=" 69.4149 "/>
    <x v="0"/>
    <n v="484964"/>
    <m/>
    <m/>
    <m/>
  </r>
  <r>
    <x v="8"/>
    <x v="5"/>
    <s v="D:\Images\20210713\plaque 1/@08tam 30.2µg_L/F8_01.tif "/>
    <s v=" 10944.7267 "/>
    <s v=" 65.3458 "/>
    <x v="0"/>
    <n v="715192"/>
    <m/>
    <m/>
    <m/>
  </r>
  <r>
    <x v="8"/>
    <x v="5"/>
    <s v="D:\Images\20210713\plaque 1/@08tam 30.2µg_L/F8_02.tif "/>
    <s v=" 519.1175 "/>
    <s v=" 63.25 "/>
    <x v="0"/>
    <n v="32834"/>
    <m/>
    <m/>
    <m/>
  </r>
  <r>
    <x v="8"/>
    <x v="5"/>
    <s v="D:\Images\20210713\plaque 1/@08tam 30.2µg_L/F8_03.tif "/>
    <s v=" 1795.2813 "/>
    <s v=" 62.759 "/>
    <x v="0"/>
    <n v="112670"/>
    <m/>
    <m/>
    <m/>
  </r>
  <r>
    <x v="8"/>
    <x v="6"/>
    <s v="D:\Images\20210713\plaque 1/@08tam 30.2µg_L/G8_01.tif "/>
    <s v=" 10360.7195 "/>
    <s v=" 68.0835 "/>
    <x v="0"/>
    <n v="705394"/>
    <m/>
    <m/>
    <m/>
  </r>
  <r>
    <x v="8"/>
    <x v="6"/>
    <s v="D:\Images\20210713\plaque 1/@08tam 30.2µg_L/G8_02.tif "/>
    <s v=" 8111.2105 "/>
    <s v=" 65.912 "/>
    <x v="0"/>
    <n v="534626"/>
    <m/>
    <m/>
    <m/>
  </r>
  <r>
    <x v="8"/>
    <x v="6"/>
    <s v="D:\Images\20210713\plaque 1/@08tam 30.2µg_L/G8_03.tif "/>
    <s v=" 9819.9722 "/>
    <s v=" 70.2907 "/>
    <x v="0"/>
    <n v="690253"/>
    <m/>
    <m/>
    <m/>
  </r>
  <r>
    <x v="8"/>
    <x v="7"/>
    <s v="D:\Images\20210713\plaque 1/@08tam 30.2µg_L/H8_01.tif "/>
    <s v=" 10447.2391 "/>
    <s v=" 75.0642 "/>
    <x v="0"/>
    <n v="784213"/>
    <m/>
    <m/>
    <m/>
  </r>
  <r>
    <x v="8"/>
    <x v="7"/>
    <s v="D:\Images\20210713\plaque 1/@08tam 30.2µg_L/H8_02.tif "/>
    <s v=" 2963.2956 "/>
    <s v=" 63.5693 "/>
    <x v="0"/>
    <n v="188375"/>
    <m/>
    <m/>
    <m/>
  </r>
  <r>
    <x v="8"/>
    <x v="7"/>
    <s v="D:\Images\20210713\plaque 1/@08tam 30.2µg_L/H8_03.tif "/>
    <s v=" 5710.2922 "/>
    <s v=" 64.5492 "/>
    <x v="0"/>
    <n v="368595"/>
    <m/>
    <m/>
    <m/>
  </r>
  <r>
    <x v="1"/>
    <x v="8"/>
    <s v=" "/>
    <m/>
    <m/>
    <x v="1"/>
    <m/>
    <m/>
    <m/>
    <m/>
  </r>
  <r>
    <x v="1"/>
    <x v="8"/>
    <s v="group "/>
    <s v=" "/>
    <s v=" mean of mean fluo "/>
    <x v="2"/>
    <s v=" mean of total fluo "/>
    <s v=" SD total fluo "/>
    <s v=" n fluorescent "/>
    <s v=" n total"/>
  </r>
  <r>
    <x v="8"/>
    <x v="9"/>
    <s v="D:\Images\20210713\plaque 1/@08tam 30.2µg_L/ "/>
    <s v=" "/>
    <s v=" 66.7885 "/>
    <x v="10"/>
    <s v=" 449422.292 "/>
    <s v=" 243824.64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D:\Images\20210713\plaque 1/@09 tam 60.4µg_L/A9_01.tif "/>
    <s v=" 9344.1145 "/>
    <s v=" 65.4537 "/>
    <x v="0"/>
    <n v="611607"/>
    <m/>
    <m/>
    <m/>
  </r>
  <r>
    <x v="9"/>
    <x v="0"/>
    <s v="D:\Images\20210713\plaque 1/@09 tam 60.4µg_L/A9_02.tif "/>
    <s v=" 9690.1928 "/>
    <s v=" 66.4688 "/>
    <x v="0"/>
    <n v="644095"/>
    <m/>
    <m/>
    <m/>
  </r>
  <r>
    <x v="9"/>
    <x v="0"/>
    <s v="D:\Images\20210713\plaque 1/@09 tam 60.4µg_L/A9_03.tif "/>
    <s v=" 7656.9827 "/>
    <s v=" 65.9605 "/>
    <x v="0"/>
    <n v="505058"/>
    <m/>
    <m/>
    <m/>
  </r>
  <r>
    <x v="9"/>
    <x v="1"/>
    <s v="D:\Images\20210713\plaque 1/@09 tam 60.4µg_L/B9_01.tif "/>
    <s v=" 2162.9895 "/>
    <s v=" 63.81 "/>
    <x v="0"/>
    <n v="138020"/>
    <m/>
    <m/>
    <m/>
  </r>
  <r>
    <x v="9"/>
    <x v="1"/>
    <s v="D:\Images\20210713\plaque 1/@09 tam 60.4µg_L/B9_02.tif "/>
    <s v=" 735.4164 "/>
    <s v=" 62.8235 "/>
    <x v="0"/>
    <n v="46201"/>
    <m/>
    <m/>
    <m/>
  </r>
  <r>
    <x v="9"/>
    <x v="1"/>
    <s v="D:\Images\20210713\plaque 1/@09 tam 60.4µg_L/B9_03.tif "/>
    <s v=" 2595.5874 "/>
    <s v=" 65.05 "/>
    <x v="0"/>
    <n v="168843"/>
    <m/>
    <m/>
    <m/>
  </r>
  <r>
    <x v="9"/>
    <x v="2"/>
    <s v="D:\Images\20210713\plaque 1/@09 tam 60.4µg_L/C9_01.tif "/>
    <s v=" 4023.1604 "/>
    <s v=" 67.7688 "/>
    <x v="0"/>
    <n v="272645"/>
    <m/>
    <m/>
    <m/>
  </r>
  <r>
    <x v="9"/>
    <x v="2"/>
    <s v="D:\Images\20210713\plaque 1/@09 tam 60.4µg_L/C9_02.tif "/>
    <s v=" 367.7082 "/>
    <s v=" 62.7647 "/>
    <x v="0"/>
    <n v="23079"/>
    <m/>
    <m/>
    <m/>
  </r>
  <r>
    <x v="9"/>
    <x v="2"/>
    <s v="D:\Images\20210713\plaque 1/@09 tam 60.4µg_L/C9_03.tif "/>
    <s v=" 930.0855 "/>
    <s v=" 66.3953 "/>
    <x v="0"/>
    <n v="61753"/>
    <m/>
    <m/>
    <m/>
  </r>
  <r>
    <x v="9"/>
    <x v="3"/>
    <s v="D:\Images\20210713\plaque 1/@09 tam 60.4µg_L/D9_01.tif "/>
    <s v=" 1038.2349 "/>
    <s v=" 63.7292 "/>
    <x v="0"/>
    <n v="66166"/>
    <m/>
    <m/>
    <m/>
  </r>
  <r>
    <x v="9"/>
    <x v="3"/>
    <s v="D:\Images\20210713\plaque 1/@09 tam 60.4µg_L/D9_02.tif "/>
    <s v=" 2746.9966 "/>
    <s v=" 65.1732 "/>
    <x v="0"/>
    <n v="179031"/>
    <m/>
    <m/>
    <m/>
  </r>
  <r>
    <x v="9"/>
    <x v="3"/>
    <s v="D:\Images\20210713\plaque 1/@09 tam 60.4µg_L/D9_03.tif "/>
    <s v=" 1211.2741 "/>
    <s v=" 63.4643 "/>
    <x v="0"/>
    <n v="76873"/>
    <m/>
    <m/>
    <m/>
  </r>
  <r>
    <x v="9"/>
    <x v="4"/>
    <s v="D:\Images\20210713\plaque 1/@09 tam 60.4µg_L/E9_01.tif "/>
    <s v=" 4217.8295 "/>
    <s v=" 66.8103 "/>
    <x v="0"/>
    <n v="281794"/>
    <m/>
    <m/>
    <m/>
  </r>
  <r>
    <x v="9"/>
    <x v="4"/>
    <s v="D:\Images\20210713\plaque 1/@09 tam 60.4µg_L/E9_02.tif "/>
    <s v=" 2941.6657 "/>
    <s v=" 64.4412 "/>
    <x v="0"/>
    <n v="189564"/>
    <m/>
    <m/>
    <m/>
  </r>
  <r>
    <x v="9"/>
    <x v="4"/>
    <s v="D:\Images\20210713\plaque 1/@09 tam 60.4µg_L/E9_03.tif "/>
    <s v=" 2184.6194 "/>
    <s v=" 65.7228 "/>
    <x v="0"/>
    <n v="143579"/>
    <m/>
    <m/>
    <m/>
  </r>
  <r>
    <x v="9"/>
    <x v="5"/>
    <s v="D:\Images\20210713\plaque 1/@09 tam 60.4µg_L/F9_01.tif "/>
    <s v=" 4758.5768 "/>
    <s v=" 65.45 "/>
    <x v="0"/>
    <n v="311449"/>
    <m/>
    <m/>
    <m/>
  </r>
  <r>
    <x v="9"/>
    <x v="5"/>
    <s v="D:\Images\20210713\plaque 1/@09 tam 60.4µg_L/F9_02.tif "/>
    <s v=" 3633.8223 "/>
    <s v=" 64.6548 "/>
    <x v="0"/>
    <n v="234944"/>
    <m/>
    <m/>
    <m/>
  </r>
  <r>
    <x v="9"/>
    <x v="5"/>
    <s v="D:\Images\20210713\plaque 1/@09 tam 60.4µg_L/F9_03.tif "/>
    <s v=" 951.7154 "/>
    <s v=" 62.5227 "/>
    <x v="0"/>
    <n v="59504"/>
    <m/>
    <m/>
    <m/>
  </r>
  <r>
    <x v="9"/>
    <x v="6"/>
    <s v="D:\Images\20210713\plaque 1/@09 tam 60.4µg_L/G9_01.tif "/>
    <s v=" 5948.221 "/>
    <s v=" 69.9418 "/>
    <x v="0"/>
    <n v="416029"/>
    <m/>
    <m/>
    <m/>
  </r>
  <r>
    <x v="9"/>
    <x v="6"/>
    <s v="D:\Images\20210713\plaque 1/@09 tam 60.4µg_L/G9_02.tif "/>
    <s v=" 11117.7658 "/>
    <s v=" 78.5739 "/>
    <x v="0"/>
    <n v="873567"/>
    <m/>
    <m/>
    <m/>
  </r>
  <r>
    <x v="9"/>
    <x v="6"/>
    <s v="D:\Images\20210713\plaque 1/@09 tam 60.4µg_L/G9_03.tif "/>
    <s v=" 13021.1966 "/>
    <s v=" 77.7757 "/>
    <x v="0"/>
    <n v="1012733"/>
    <m/>
    <m/>
    <m/>
  </r>
  <r>
    <x v="9"/>
    <x v="7"/>
    <s v="D:\Images\20210713\plaque 1/@09 tam 60.4µg_L/H9_01.tif "/>
    <s v=" 3157.9646 "/>
    <s v=" 64.5137 "/>
    <x v="0"/>
    <n v="203732"/>
    <m/>
    <m/>
    <m/>
  </r>
  <r>
    <x v="9"/>
    <x v="7"/>
    <s v="D:\Images\20210713\plaque 1/@09 tam 60.4µg_L/H9_02.tif "/>
    <s v=" 5039.7654 "/>
    <s v=" 67.2403 "/>
    <x v="0"/>
    <n v="338876"/>
    <m/>
    <m/>
    <m/>
  </r>
  <r>
    <x v="9"/>
    <x v="7"/>
    <s v="D:\Images\20210713\plaque 1/@09 tam 60.4µg_L/H9_03.tif "/>
    <s v=" 4996.5057 "/>
    <s v=" 66.1429 "/>
    <x v="0"/>
    <n v="330483"/>
    <m/>
    <m/>
    <m/>
  </r>
  <r>
    <x v="1"/>
    <x v="8"/>
    <s v=" "/>
    <m/>
    <m/>
    <x v="1"/>
    <m/>
    <m/>
    <m/>
    <m/>
  </r>
  <r>
    <x v="1"/>
    <x v="8"/>
    <s v="group "/>
    <s v=" "/>
    <s v=" mean of mean fluo "/>
    <x v="2"/>
    <s v=" mean of total fluo "/>
    <s v=" SD total fluo "/>
    <s v=" n fluorescent "/>
    <s v=" n total"/>
  </r>
  <r>
    <x v="9"/>
    <x v="9"/>
    <s v="D:\Images\20210713\plaque 1/@09 tam 60.4µg_L/ "/>
    <s v=" "/>
    <s v=" 66.3605 "/>
    <x v="11"/>
    <s v=" 299567.708 "/>
    <s v=" 262100.70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D:\Images\20210713\plaque 1/@10 tam 121µg_L/A10_01.tif "/>
    <s v=" 1600.6122 "/>
    <s v=" 62.8514 "/>
    <x v="0"/>
    <n v="100601"/>
    <m/>
    <m/>
    <m/>
  </r>
  <r>
    <x v="10"/>
    <x v="0"/>
    <s v="D:\Images\20210713\plaque 1/@10 tam 121µg_L/A10_02.tif "/>
    <s v=" 1946.6905 "/>
    <n v="63"/>
    <x v="0"/>
    <n v="122642"/>
    <m/>
    <m/>
    <m/>
  </r>
  <r>
    <x v="10"/>
    <x v="0"/>
    <s v="D:\Images\20210713\plaque 1/@10 tam 121µg_L/A10_03.tif "/>
    <s v=" 2725.3667 "/>
    <s v=" 63.6667 "/>
    <x v="0"/>
    <n v="173515"/>
    <m/>
    <m/>
    <m/>
  </r>
  <r>
    <x v="10"/>
    <x v="1"/>
    <s v="D:\Images\20210713\plaque 1/@10 tam 121µg_L/B10_01.tif "/>
    <s v=" 7094.6054 "/>
    <s v=" 65.4177 "/>
    <x v="0"/>
    <n v="464113"/>
    <m/>
    <m/>
    <m/>
  </r>
  <r>
    <x v="10"/>
    <x v="1"/>
    <s v="D:\Images\20210713\plaque 1/@10 tam 121µg_L/B10_02.tif "/>
    <s v=" 4520.648 "/>
    <s v=" 64.9378 "/>
    <x v="0"/>
    <n v="293561"/>
    <m/>
    <m/>
    <m/>
  </r>
  <r>
    <x v="10"/>
    <x v="1"/>
    <s v="D:\Images\20210713\plaque 1/@10 tam 121µg_L/B10_03.tif "/>
    <s v=" 2617.2173 "/>
    <s v=" 64.9752 "/>
    <x v="0"/>
    <n v="170054"/>
    <m/>
    <m/>
    <m/>
  </r>
  <r>
    <x v="10"/>
    <x v="2"/>
    <s v="D:\Images\20210713\plaque 1/@10 tam 121µg_L/C10_01.tif "/>
    <s v=" 3655.4522 "/>
    <s v=" 65.2249 "/>
    <x v="0"/>
    <n v="238426"/>
    <m/>
    <m/>
    <m/>
  </r>
  <r>
    <x v="10"/>
    <x v="2"/>
    <s v="D:\Images\20210713\plaque 1/@10 tam 121µg_L/C10_02.tif "/>
    <s v=" 302.8185 "/>
    <s v=" 64.6429 "/>
    <x v="0"/>
    <n v="19575"/>
    <m/>
    <m/>
    <m/>
  </r>
  <r>
    <x v="10"/>
    <x v="2"/>
    <s v="D:\Images\20210713\plaque 1/@10 tam 121µg_L/C10_03.tif "/>
    <s v=" 5688.6623 "/>
    <s v=" 65.7338 "/>
    <x v="0"/>
    <n v="373938"/>
    <m/>
    <m/>
    <m/>
  </r>
  <r>
    <x v="10"/>
    <x v="3"/>
    <s v="D:\Images\20210713\plaque 1/@10 tam 121µg_L/D10_01.tif "/>
    <s v=" 14686.6985 "/>
    <s v=" 66.2062 "/>
    <x v="0"/>
    <n v="972350"/>
    <m/>
    <m/>
    <m/>
  </r>
  <r>
    <x v="10"/>
    <x v="3"/>
    <s v="D:\Images\20210713\plaque 1/@10 tam 121µg_L/D10_02.tif "/>
    <s v=" 13064.4564 "/>
    <s v=" 66.4851 "/>
    <x v="0"/>
    <n v="868592"/>
    <m/>
    <m/>
    <m/>
  </r>
  <r>
    <x v="10"/>
    <x v="3"/>
    <s v="D:\Images\20210713\plaque 1/@10 tam 121µg_L/D10_03.tif "/>
    <s v=" 18363.7805 "/>
    <s v=" 67.0789 "/>
    <x v="0"/>
    <n v="1231822"/>
    <m/>
    <m/>
    <m/>
  </r>
  <r>
    <x v="10"/>
    <x v="4"/>
    <s v="D:\Images\20210713\plaque 1/@10 tam 121µg_L/E10_01.tif "/>
    <s v=" 2573.9575 "/>
    <s v=" 63.6555 "/>
    <x v="0"/>
    <n v="163846"/>
    <m/>
    <m/>
    <m/>
  </r>
  <r>
    <x v="10"/>
    <x v="4"/>
    <s v="D:\Images\20210713\plaque 1/@10 tam 121µg_L/E10_02- exclu.tif"/>
    <m/>
    <m/>
    <x v="1"/>
    <m/>
    <m/>
    <m/>
    <m/>
  </r>
  <r>
    <x v="10"/>
    <x v="4"/>
    <s v="D:\Images\20210713\plaque 1/@10 tam 121µg_L/E10_03.tif "/>
    <s v=" 908.4556 "/>
    <s v=" 63.0476 "/>
    <x v="0"/>
    <n v="57276"/>
    <m/>
    <m/>
    <m/>
  </r>
  <r>
    <x v="10"/>
    <x v="5"/>
    <s v="D:\Images\20210713\plaque 1/@10 tam 121µg_L/F10_01.tif "/>
    <s v=" 3806.8615 "/>
    <s v=" 67.3466 "/>
    <x v="0"/>
    <n v="256379"/>
    <m/>
    <m/>
    <m/>
  </r>
  <r>
    <x v="10"/>
    <x v="5"/>
    <s v="D:\Images\20210713\plaque 1/@10 tam 121µg_L/F10_02.tif "/>
    <s v=" 4953.2459 "/>
    <s v=" 69.7598 "/>
    <x v="0"/>
    <n v="345538"/>
    <m/>
    <m/>
    <m/>
  </r>
  <r>
    <x v="10"/>
    <x v="5"/>
    <s v="D:\Images\20210713\plaque 1/@10 tam 121µg_L/F10_03.tif "/>
    <s v=" 1254.5339 "/>
    <s v=" 64.8276 "/>
    <x v="0"/>
    <n v="81328"/>
    <m/>
    <m/>
    <m/>
  </r>
  <r>
    <x v="10"/>
    <x v="6"/>
    <s v="D:\Images\20210713\plaque 1/@10 tam 121µg_L/G10_01- exclu.tif"/>
    <m/>
    <m/>
    <x v="1"/>
    <m/>
    <m/>
    <m/>
    <m/>
  </r>
  <r>
    <x v="10"/>
    <x v="6"/>
    <s v="D:\Images\20210713\plaque 1/@10 tam 121µg_L/G10_02.tif "/>
    <s v=" 237.9288 "/>
    <s v=" 64.5455 "/>
    <x v="0"/>
    <n v="15357"/>
    <m/>
    <m/>
    <m/>
  </r>
  <r>
    <x v="10"/>
    <x v="6"/>
    <s v="D:\Images\20210713\plaque 1/@10 tam 121µg_L/G10_03.tif "/>
    <s v=" 1059.8648 "/>
    <s v=" 64.4082 "/>
    <x v="0"/>
    <n v="68264"/>
    <m/>
    <m/>
    <m/>
  </r>
  <r>
    <x v="10"/>
    <x v="7"/>
    <s v="D:\Images\20210713\plaque 1/@10 tam 121µg_L/H10_01.tif "/>
    <s v=" 29546.4361 "/>
    <s v=" 67.6296 "/>
    <x v="0"/>
    <n v="1998213"/>
    <m/>
    <m/>
    <m/>
  </r>
  <r>
    <x v="10"/>
    <x v="7"/>
    <s v="D:\Images\20210713\plaque 1/@10 tam 121µg_L/H10_02.tif "/>
    <s v=" 23619.8449 "/>
    <s v=" 68.1676 "/>
    <x v="0"/>
    <n v="1610108"/>
    <m/>
    <m/>
    <m/>
  </r>
  <r>
    <x v="10"/>
    <x v="7"/>
    <s v="D:\Images\20210713\plaque 1/@10 tam 121µg_L/H10_03.tif "/>
    <s v=" 22257.1616 "/>
    <s v=" 67.7026 "/>
    <x v="0"/>
    <n v="1506868"/>
    <m/>
    <m/>
    <m/>
  </r>
  <r>
    <x v="1"/>
    <x v="8"/>
    <s v=" "/>
    <m/>
    <m/>
    <x v="1"/>
    <m/>
    <m/>
    <m/>
    <m/>
  </r>
  <r>
    <x v="1"/>
    <x v="8"/>
    <s v="group "/>
    <s v=" "/>
    <s v=" mean of mean fluo "/>
    <x v="2"/>
    <s v=" mean of total fluo "/>
    <s v=" SD total fluo "/>
    <s v=" n fluorescent "/>
    <s v=" n total"/>
  </r>
  <r>
    <x v="10"/>
    <x v="9"/>
    <s v="D:\Images\20210713\plaque 1/@10 tam 121µg_L/ "/>
    <s v=" "/>
    <s v=" 65.3463 "/>
    <x v="12"/>
    <s v=" 466137.75 "/>
    <s v=" 577460.2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D:\Images\20210713\plaque 1/@11 tam 242µg_L/A11_01.tif "/>
    <s v=" 4001.5305 "/>
    <s v=" 65.627 "/>
    <x v="0"/>
    <n v="262609"/>
    <m/>
    <m/>
    <m/>
  </r>
  <r>
    <x v="11"/>
    <x v="0"/>
    <s v="D:\Images\20210713\plaque 1/@11 tam 242µg_L/A11_02.tif "/>
    <s v=" 1189.6442 "/>
    <s v=" 63.3818 "/>
    <x v="0"/>
    <n v="75402"/>
    <m/>
    <m/>
    <m/>
  </r>
  <r>
    <x v="11"/>
    <x v="0"/>
    <s v="D:\Images\20210713\plaque 1/@11 tam 242µg_L/A11_03.tif "/>
    <s v=" 1341.0535 "/>
    <s v=" 63.0161 "/>
    <x v="0"/>
    <n v="84508"/>
    <m/>
    <m/>
    <m/>
  </r>
  <r>
    <x v="11"/>
    <x v="1"/>
    <s v="D:\Images\20210713\plaque 1/@11 tam 242µg_L/B11_01.tif "/>
    <s v=" 7116.2353 "/>
    <s v=" 69.8419 "/>
    <x v="0"/>
    <n v="497012"/>
    <m/>
    <m/>
    <m/>
  </r>
  <r>
    <x v="11"/>
    <x v="1"/>
    <s v="D:\Images\20210713\plaque 1/@11 tam 242µg_L/B11_02.tif "/>
    <s v=" 6056.3705 "/>
    <s v=" 66.6 "/>
    <x v="0"/>
    <n v="403354"/>
    <m/>
    <m/>
    <m/>
  </r>
  <r>
    <x v="11"/>
    <x v="1"/>
    <s v="D:\Images\20210713\plaque 1/@11 tam 242µg_L/B11_03.tif "/>
    <s v=" 5039.7654 "/>
    <s v=" 67.2918 "/>
    <x v="0"/>
    <n v="339135"/>
    <m/>
    <m/>
    <m/>
  </r>
  <r>
    <x v="11"/>
    <x v="2"/>
    <s v="D:\Images\20210713\plaque 1/@11 tam 242µg_L/C11_01.tif "/>
    <s v=" 14427.1397 "/>
    <s v=" 65.0405 "/>
    <x v="0"/>
    <n v="938348"/>
    <m/>
    <m/>
    <m/>
  </r>
  <r>
    <x v="11"/>
    <x v="2"/>
    <s v="D:\Images\20210713\plaque 1/@11 tam 242µg_L/C11_02.tif "/>
    <s v=" 20483.5102 "/>
    <s v=" 67.8163 "/>
    <x v="0"/>
    <n v="1389115"/>
    <m/>
    <m/>
    <m/>
  </r>
  <r>
    <x v="11"/>
    <x v="2"/>
    <s v="D:\Images\20210713\plaque 1/@11 tam 242µg_L/C11_03.tif "/>
    <s v=" 21175.6668 "/>
    <s v=" 67.621 "/>
    <x v="0"/>
    <n v="1431921"/>
    <m/>
    <m/>
    <m/>
  </r>
  <r>
    <x v="11"/>
    <x v="3"/>
    <s v="D:\Images\20210713\plaque 1/@11 tam 242µg_L/D11_01- exclu.tif"/>
    <m/>
    <m/>
    <x v="1"/>
    <m/>
    <m/>
    <m/>
    <m/>
  </r>
  <r>
    <x v="11"/>
    <x v="3"/>
    <s v="D:\Images\20210713\plaque 1/@11 tam 242µg_L/D11_02- exclu.tif"/>
    <m/>
    <m/>
    <x v="1"/>
    <m/>
    <m/>
    <m/>
    <m/>
  </r>
  <r>
    <x v="11"/>
    <x v="3"/>
    <s v="D:\Images\20210713\plaque 1/@11 tam 242µg_L/D11_03- exclu.tif"/>
    <m/>
    <m/>
    <x v="1"/>
    <m/>
    <m/>
    <m/>
    <m/>
  </r>
  <r>
    <x v="11"/>
    <x v="4"/>
    <s v="D:\Images\20210713\plaque 1/@11 tam 242µg_L/E11_01.tif "/>
    <s v=" 8846.6269 "/>
    <s v=" 63.9829 "/>
    <x v="0"/>
    <n v="566033"/>
    <m/>
    <m/>
    <m/>
  </r>
  <r>
    <x v="11"/>
    <x v="4"/>
    <s v="D:\Images\20210713\plaque 1/@11 tam 242µg_L/E11_02.tif "/>
    <s v=" 18385.4104 "/>
    <s v=" 65.1365 "/>
    <x v="0"/>
    <n v="1197561"/>
    <m/>
    <m/>
    <m/>
  </r>
  <r>
    <x v="11"/>
    <x v="4"/>
    <s v="D:\Images\20210713\plaque 1/@11 tam 242µg_L/E11_03.tif "/>
    <s v=" 14102.6913 "/>
    <s v=" 64.7347 "/>
    <x v="0"/>
    <n v="912933"/>
    <m/>
    <m/>
    <m/>
  </r>
  <r>
    <x v="11"/>
    <x v="5"/>
    <s v="D:\Images\20210713\plaque 1/@11 tam 242µg_L/F11_01.tif "/>
    <s v=" 4585.5377 "/>
    <s v=" 62.9387 "/>
    <x v="0"/>
    <n v="288608"/>
    <m/>
    <m/>
    <m/>
  </r>
  <r>
    <x v="11"/>
    <x v="5"/>
    <s v="D:\Images\20210713\plaque 1/@11 tam 242µg_L/F11_02- exclu.tif"/>
    <m/>
    <m/>
    <x v="1"/>
    <m/>
    <m/>
    <m/>
    <m/>
  </r>
  <r>
    <x v="11"/>
    <x v="5"/>
    <s v="D:\Images\20210713\plaque 1/@11 tam 242µg_L/F11_03.tif "/>
    <s v=" 6835.0467 "/>
    <s v=" 63.6677 "/>
    <x v="0"/>
    <n v="435172"/>
    <m/>
    <m/>
    <m/>
  </r>
  <r>
    <x v="11"/>
    <x v="6"/>
    <s v="D:\Images\20210713\plaque 1/@11 tam 242µg_L/G11_01.tif "/>
    <s v=" 14816.4778 "/>
    <s v=" 66.5095 "/>
    <x v="0"/>
    <n v="985436"/>
    <m/>
    <m/>
    <m/>
  </r>
  <r>
    <x v="11"/>
    <x v="6"/>
    <s v="D:\Images\20210713\plaque 1/@11 tam 242µg_L/G11_02.tif "/>
    <s v=" 8803.3671 "/>
    <s v=" 64.8157 "/>
    <x v="0"/>
    <n v="570597"/>
    <m/>
    <m/>
    <m/>
  </r>
  <r>
    <x v="11"/>
    <x v="6"/>
    <s v="D:\Images\20210713\plaque 1/@11 tam 242µg_L/G11_03.tif "/>
    <s v=" 10901.4669 "/>
    <s v=" 65.1091 "/>
    <x v="0"/>
    <n v="709785"/>
    <m/>
    <m/>
    <m/>
  </r>
  <r>
    <x v="11"/>
    <x v="7"/>
    <s v="D:\Images\20210713\plaque 1/@11 tam 242µg_L/H11_01.tif "/>
    <s v=" 12610.2286 "/>
    <s v=" 73.8696 "/>
    <x v="0"/>
    <n v="931513"/>
    <m/>
    <m/>
    <m/>
  </r>
  <r>
    <x v="11"/>
    <x v="7"/>
    <s v="D:\Images\20210713\plaque 1/@11 tam 242µg_L/H11_02.tif "/>
    <s v=" 5147.9149 "/>
    <s v=" 66.7605 "/>
    <x v="0"/>
    <n v="343677"/>
    <m/>
    <m/>
    <m/>
  </r>
  <r>
    <x v="11"/>
    <x v="7"/>
    <s v="D:\Images\20210713\plaque 1/@11 tam 242µg_L/H11_03.tif "/>
    <s v=" 9711.8227 "/>
    <s v=" 66.559 "/>
    <x v="0"/>
    <n v="646409"/>
    <m/>
    <m/>
    <m/>
  </r>
  <r>
    <x v="1"/>
    <x v="8"/>
    <s v=" "/>
    <m/>
    <m/>
    <x v="1"/>
    <m/>
    <m/>
    <m/>
    <m/>
  </r>
  <r>
    <x v="1"/>
    <x v="8"/>
    <s v="group "/>
    <s v=" "/>
    <s v=" mean of mean fluo "/>
    <x v="2"/>
    <s v=" mean of total fluo "/>
    <s v=" SD total fluo "/>
    <s v=" n fluorescent "/>
    <s v=" n total"/>
  </r>
  <r>
    <x v="11"/>
    <x v="9"/>
    <s v="D:\Images\20210713\plaque 1/@11 tam 242µg_L/ "/>
    <s v=" "/>
    <s v=" 66.2503 "/>
    <x v="13"/>
    <s v=" 672070.583 "/>
    <s v=" 455041.04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D:\Images\20210713\plaque 1/@12 tam 483µg_L/A12_01.tif "/>
    <s v=" 52928.3522 "/>
    <s v=" 81.1631 "/>
    <x v="0"/>
    <n v="4295827"/>
    <m/>
    <m/>
    <m/>
  </r>
  <r>
    <x v="12"/>
    <x v="0"/>
    <s v="D:\Images\20210713\plaque 1/@12 tam 483µg_L/A12_02.tif "/>
    <s v=" 52344.345 "/>
    <s v=" 82.0905 "/>
    <x v="0"/>
    <n v="4296973"/>
    <m/>
    <m/>
    <m/>
  </r>
  <r>
    <x v="12"/>
    <x v="0"/>
    <s v="D:\Images\20210713\plaque 1/@12 tam 483µg_L/A12_03- exclu.tif"/>
    <m/>
    <m/>
    <x v="1"/>
    <m/>
    <m/>
    <m/>
    <m/>
  </r>
  <r>
    <x v="12"/>
    <x v="1"/>
    <s v="D:\Images\20210713\plaque 1/@12 tam 483µg_L/B12_01.tif "/>
    <s v=" 8132.8404 "/>
    <s v=" 68.0771 "/>
    <x v="0"/>
    <n v="553660"/>
    <m/>
    <m/>
    <m/>
  </r>
  <r>
    <x v="12"/>
    <x v="1"/>
    <s v="D:\Images\20210713\plaque 1/@12 tam 483µg_L/B12_02.tif "/>
    <s v=" 7224.3848 "/>
    <s v=" 64.515 "/>
    <x v="0"/>
    <n v="466081"/>
    <m/>
    <m/>
    <m/>
  </r>
  <r>
    <x v="12"/>
    <x v="1"/>
    <s v="D:\Images\20210713\plaque 1/@12 tam 483µg_L/B12_03.tif "/>
    <s v=" 5147.9149 "/>
    <s v=" 66.5924 "/>
    <x v="0"/>
    <n v="342812"/>
    <m/>
    <m/>
    <m/>
  </r>
  <r>
    <x v="12"/>
    <x v="2"/>
    <s v="D:\Images\20210713\plaque 1/@12 tam 483µg_L/C12_01.tif "/>
    <s v=" 2552.3276 "/>
    <s v=" 63.8898 "/>
    <x v="0"/>
    <n v="163068"/>
    <m/>
    <m/>
    <m/>
  </r>
  <r>
    <x v="12"/>
    <x v="2"/>
    <s v="D:\Images\20210713\plaque 1/@12 tam 483µg_L/C12_02.tif "/>
    <s v=" 3741.9718 "/>
    <s v=" 63.763 "/>
    <x v="0"/>
    <n v="238599"/>
    <m/>
    <m/>
    <m/>
  </r>
  <r>
    <x v="12"/>
    <x v="2"/>
    <s v="D:\Images\20210713\plaque 1/@12 tam 483µg_L/C12_03.tif "/>
    <s v=" 3785.2316 "/>
    <s v=" 63.4457 "/>
    <x v="0"/>
    <n v="240157"/>
    <m/>
    <m/>
    <m/>
  </r>
  <r>
    <x v="12"/>
    <x v="3"/>
    <s v="D:\Images\20210713\plaque 1/@12 tam 483µg_L/D12_01- exclu.tif"/>
    <m/>
    <m/>
    <x v="1"/>
    <m/>
    <m/>
    <m/>
    <m/>
  </r>
  <r>
    <x v="12"/>
    <x v="3"/>
    <s v="D:\Images\20210713\plaque 1/@12 tam 483µg_L/D12_02- exclu.tif"/>
    <m/>
    <m/>
    <x v="1"/>
    <m/>
    <m/>
    <m/>
    <m/>
  </r>
  <r>
    <x v="12"/>
    <x v="3"/>
    <s v="D:\Images\20210713\plaque 1/@12 tam 483µg_L/D12_03.tif "/>
    <s v=" 17758.1435 "/>
    <s v=" 67.1401 "/>
    <x v="0"/>
    <n v="1192283"/>
    <m/>
    <m/>
    <m/>
  </r>
  <r>
    <x v="12"/>
    <x v="4"/>
    <s v="D:\Images\20210713\plaque 1/@12 tam 483µg_L/E12_01.tif "/>
    <s v=" 29027.3186 "/>
    <s v=" 67.4039 "/>
    <x v="0"/>
    <n v="1956554"/>
    <m/>
    <m/>
    <m/>
  </r>
  <r>
    <x v="12"/>
    <x v="4"/>
    <s v="D:\Images\20210713\plaque 1/@12 tam 483µg_L/E12_02.tif "/>
    <s v=" 26777.8096 "/>
    <s v=" 67.1397 "/>
    <x v="0"/>
    <n v="1797855"/>
    <m/>
    <m/>
    <m/>
  </r>
  <r>
    <x v="12"/>
    <x v="4"/>
    <s v="D:\Images\20210713\plaque 1/@12 tam 483µg_L/E12_03.tif "/>
    <s v=" 28984.0588 "/>
    <s v=" 66.7746 "/>
    <x v="0"/>
    <n v="1935400"/>
    <m/>
    <m/>
    <m/>
  </r>
  <r>
    <x v="12"/>
    <x v="5"/>
    <s v="D:\Images\20210713\plaque 1/@12 tam 483µg_L/F12_01.tif "/>
    <s v=" 15184.186 "/>
    <s v=" 75.7165 "/>
    <x v="0"/>
    <n v="1149694"/>
    <m/>
    <m/>
    <m/>
  </r>
  <r>
    <x v="12"/>
    <x v="5"/>
    <s v="D:\Images\20210713\plaque 1/@12 tam 483µg_L/F12_02.tif "/>
    <s v=" 15703.3035 "/>
    <s v=" 74.6336 "/>
    <x v="0"/>
    <n v="1171994"/>
    <m/>
    <m/>
    <m/>
  </r>
  <r>
    <x v="12"/>
    <x v="5"/>
    <s v="D:\Images\20210713\plaque 1/@12 tam 483µg_L/F12_03.tif "/>
    <s v=" 18644.9692 "/>
    <s v=" 68.8759 "/>
    <x v="0"/>
    <n v="1284188"/>
    <m/>
    <m/>
    <m/>
  </r>
  <r>
    <x v="12"/>
    <x v="6"/>
    <s v="D:\Images\20210713\plaque 1/@12 tam 483µg_L/G12_01.tif "/>
    <s v=" 27989.0836 "/>
    <s v=" 65.8184 "/>
    <x v="0"/>
    <n v="1842196"/>
    <m/>
    <m/>
    <m/>
  </r>
  <r>
    <x v="12"/>
    <x v="6"/>
    <s v="D:\Images\20210713\plaque 1/@12 tam 483µg_L/G12_02.tif "/>
    <s v=" 18558.4496 "/>
    <s v=" 64.7704 "/>
    <x v="0"/>
    <n v="1202038"/>
    <m/>
    <m/>
    <m/>
  </r>
  <r>
    <x v="12"/>
    <x v="6"/>
    <s v="D:\Images\20210713\plaque 1/@12 tam 483µg_L/G12_03.tif "/>
    <s v=" 14686.6985 "/>
    <s v=" 63.6922 "/>
    <x v="0"/>
    <n v="935428"/>
    <m/>
    <m/>
    <m/>
  </r>
  <r>
    <x v="12"/>
    <x v="7"/>
    <s v="D:\Images\20210713\plaque 1/@12 tam 483µg_L/H12_01- exclu.tif"/>
    <m/>
    <m/>
    <x v="1"/>
    <m/>
    <m/>
    <m/>
    <m/>
  </r>
  <r>
    <x v="12"/>
    <x v="7"/>
    <s v="D:\Images\20210713\plaque 1/@12 tam 483µg_L/H12_02.tif "/>
    <s v=" 21197.2967 "/>
    <s v=" 69.598 "/>
    <x v="0"/>
    <n v="1475289"/>
    <m/>
    <m/>
    <m/>
  </r>
  <r>
    <x v="12"/>
    <x v="7"/>
    <s v="D:\Images\20210713\plaque 1/@12 tam 483µg_L/H12_03.tif "/>
    <s v=" 13540.314 "/>
    <s v=" 65.1038 "/>
    <x v="0"/>
    <n v="881526"/>
    <m/>
    <m/>
    <m/>
  </r>
  <r>
    <x v="1"/>
    <x v="8"/>
    <s v=" "/>
    <m/>
    <m/>
    <x v="1"/>
    <m/>
    <m/>
    <m/>
    <m/>
  </r>
  <r>
    <x v="1"/>
    <x v="8"/>
    <s v="group "/>
    <s v=" "/>
    <s v=" mean of mean fluo "/>
    <x v="2"/>
    <s v=" mean of total fluo "/>
    <s v=" SD total fluo "/>
    <s v=" n fluorescent "/>
    <s v=" n total"/>
  </r>
  <r>
    <x v="12"/>
    <x v="9"/>
    <s v="D:\Images\20210713\plaque 1/@12 tam 483µg_L/ "/>
    <s v=" "/>
    <s v=" 70.4411 "/>
    <x v="14"/>
    <s v=" 1324835.5 "/>
    <s v=" 1111012.8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D:\Images\20210713\plaque 2/@01 testo 30/A1_01.tif "/>
    <s v=" 48818.6722 "/>
    <s v=" 74.1843 "/>
    <x v="0"/>
    <n v="3621580"/>
    <m/>
    <m/>
    <m/>
  </r>
  <r>
    <x v="13"/>
    <x v="0"/>
    <s v="D:\Images\20210713\plaque 2/@01 testo 30/A1_02.tif "/>
    <s v=" 45206.4798 "/>
    <s v=" 70.7158 "/>
    <x v="0"/>
    <n v="3196812"/>
    <m/>
    <m/>
    <m/>
  </r>
  <r>
    <x v="13"/>
    <x v="0"/>
    <s v="D:\Images\20210713\plaque 2/@01 testo 30/A1_03.tif "/>
    <s v=" 44146.6149 "/>
    <s v=" 71.6198 "/>
    <x v="0"/>
    <n v="3161771"/>
    <m/>
    <m/>
    <m/>
  </r>
  <r>
    <x v="13"/>
    <x v="1"/>
    <s v="D:\Images\20210713\plaque 2/@01 testo 30/B1_01.tif "/>
    <s v=" 58617.0144 "/>
    <s v=" 72.0978 "/>
    <x v="0"/>
    <n v="4226157"/>
    <m/>
    <m/>
    <m/>
  </r>
  <r>
    <x v="13"/>
    <x v="1"/>
    <s v="D:\Images\20210713\plaque 2/@01 testo 30/B1_02.tif "/>
    <s v=" 53339.3202 "/>
    <s v=" 72.2709 "/>
    <x v="0"/>
    <n v="3854880"/>
    <m/>
    <m/>
    <m/>
  </r>
  <r>
    <x v="13"/>
    <x v="1"/>
    <s v="D:\Images\20210713\plaque 2/@01 testo 30/B1_03.tif "/>
    <s v=" 51176.3307 "/>
    <s v=" 71.358 "/>
    <x v="0"/>
    <n v="3651840"/>
    <m/>
    <m/>
    <m/>
  </r>
  <r>
    <x v="13"/>
    <x v="2"/>
    <s v="D:\Images\20210713\plaque 2/@01 testo 30/C1_01.tif "/>
    <s v=" 46028.4158 "/>
    <s v=" 75.6537 "/>
    <x v="0"/>
    <n v="3482218"/>
    <m/>
    <m/>
    <m/>
  </r>
  <r>
    <x v="13"/>
    <x v="2"/>
    <s v="D:\Images\20210713\plaque 2/@01 testo 30/C1_02.tif "/>
    <s v=" 48753.7825 "/>
    <s v=" 75.2529 "/>
    <x v="0"/>
    <n v="3668863"/>
    <m/>
    <m/>
    <m/>
  </r>
  <r>
    <x v="13"/>
    <x v="2"/>
    <s v="D:\Images\20210713\plaque 2/@01 testo 30/C1_03.tif "/>
    <s v=" 39063.5897 "/>
    <s v=" 70.6777 "/>
    <x v="0"/>
    <n v="2760926"/>
    <m/>
    <m/>
    <m/>
  </r>
  <r>
    <x v="13"/>
    <x v="3"/>
    <s v="D:\Images\20210713\plaque 2/@01 testo 30/D1_01.tif "/>
    <s v=" 23511.6955 "/>
    <s v=" 71.5557 "/>
    <x v="0"/>
    <n v="1682395"/>
    <m/>
    <m/>
    <m/>
  </r>
  <r>
    <x v="13"/>
    <x v="3"/>
    <s v="D:\Images\20210713\plaque 2/@01 testo 30/D1_02.tif "/>
    <s v=" 25458.386 "/>
    <s v=" 72.1062 "/>
    <x v="0"/>
    <n v="1835708"/>
    <m/>
    <m/>
    <m/>
  </r>
  <r>
    <x v="13"/>
    <x v="3"/>
    <s v="D:\Images\20210713\plaque 2/@01 testo 30/D1_03.tif "/>
    <s v=" 20807.9586 "/>
    <s v=" 69.9969 "/>
    <x v="0"/>
    <n v="1456492"/>
    <m/>
    <m/>
    <m/>
  </r>
  <r>
    <x v="13"/>
    <x v="4"/>
    <s v="D:\Images\20210713\plaque 2/@01 testo 30/E1_01- exclu.tif"/>
    <m/>
    <m/>
    <x v="1"/>
    <m/>
    <m/>
    <m/>
    <m/>
  </r>
  <r>
    <x v="13"/>
    <x v="4"/>
    <s v="D:\Images\20210713\plaque 2/@01 testo 30/E1_02.tif "/>
    <s v=" 43800.5366 "/>
    <s v=" 70.9511 "/>
    <x v="0"/>
    <n v="3107697"/>
    <m/>
    <m/>
    <m/>
  </r>
  <r>
    <x v="13"/>
    <x v="4"/>
    <s v="D:\Images\20210713\plaque 2/@01 testo 30/E1_03.tif "/>
    <s v=" 42524.3728 "/>
    <s v=" 69.9873 "/>
    <x v="0"/>
    <n v="2976165"/>
    <m/>
    <m/>
    <m/>
  </r>
  <r>
    <x v="13"/>
    <x v="5"/>
    <s v="D:\Images\20210713\plaque 2/@01 testo 30/F1_01.tif "/>
    <s v=" 25609.7952 "/>
    <s v=" 68.7306 "/>
    <x v="0"/>
    <n v="1760176"/>
    <m/>
    <m/>
    <m/>
  </r>
  <r>
    <x v="13"/>
    <x v="5"/>
    <s v="D:\Images\20210713\plaque 2/@01 testo 30/F1_02.tif "/>
    <s v=" 20202.3216 "/>
    <s v=" 68.1499 "/>
    <x v="0"/>
    <n v="1376786"/>
    <m/>
    <m/>
    <m/>
  </r>
  <r>
    <x v="13"/>
    <x v="5"/>
    <s v="D:\Images\20210713\plaque 2/@01 testo 30/F1_03.tif "/>
    <s v=" 18234.0012 "/>
    <s v=" 65.9941 "/>
    <x v="0"/>
    <n v="1203336"/>
    <m/>
    <m/>
    <m/>
  </r>
  <r>
    <x v="13"/>
    <x v="6"/>
    <s v="D:\Images\20210713\plaque 2/@01 testo 30/G1_01.tif "/>
    <s v=" 21456.8555 "/>
    <s v=" 68.2944 "/>
    <x v="0"/>
    <n v="1465382"/>
    <m/>
    <m/>
    <m/>
  </r>
  <r>
    <x v="13"/>
    <x v="6"/>
    <s v="D:\Images\20210713\plaque 2/@01 testo 30/G1_02.tif "/>
    <s v=" 20851.2184 "/>
    <s v=" 70.8413 "/>
    <x v="0"/>
    <n v="1477127"/>
    <m/>
    <m/>
    <m/>
  </r>
  <r>
    <x v="13"/>
    <x v="6"/>
    <s v="D:\Images\20210713\plaque 2/@01 testo 30/G1_03.tif "/>
    <s v=" 3850.1212 "/>
    <s v=" 63.2135 "/>
    <x v="0"/>
    <n v="243380"/>
    <m/>
    <m/>
    <m/>
  </r>
  <r>
    <x v="13"/>
    <x v="7"/>
    <s v="D:\Images\20210713\plaque 2/@01 testo 30/H1_01.tif "/>
    <s v=" 46439.3838 "/>
    <s v=" 74.6446 "/>
    <x v="0"/>
    <n v="3466450"/>
    <m/>
    <m/>
    <m/>
  </r>
  <r>
    <x v="13"/>
    <x v="7"/>
    <s v="D:\Images\20210713\plaque 2/@01 testo 30/H1_02.tif "/>
    <s v=" 40880.5008 "/>
    <s v=" 74.6915 "/>
    <x v="0"/>
    <n v="3053427"/>
    <m/>
    <m/>
    <m/>
  </r>
  <r>
    <x v="13"/>
    <x v="7"/>
    <s v="D:\Images\20210713\plaque 2/@01 testo 30/H1_03.tif "/>
    <s v=" 38609.3619 "/>
    <s v=" 72.5311 "/>
    <x v="0"/>
    <n v="2800379"/>
    <m/>
    <m/>
    <m/>
  </r>
  <r>
    <x v="1"/>
    <x v="8"/>
    <s v=" "/>
    <m/>
    <m/>
    <x v="1"/>
    <m/>
    <m/>
    <m/>
    <m/>
  </r>
  <r>
    <x v="1"/>
    <x v="8"/>
    <s v="group "/>
    <s v=" "/>
    <s v=" mean of mean fluo "/>
    <x v="2"/>
    <s v=" mean of total fluo "/>
    <s v=" SD total fluo "/>
    <s v=" n fluorescent "/>
    <s v=" n total"/>
  </r>
  <r>
    <x v="13"/>
    <x v="9"/>
    <s v="D:\Images\20210713\plaque 2/@01 testo 30/ "/>
    <s v=" "/>
    <s v=" 70.9061 "/>
    <x v="15"/>
    <s v=" 2486681.71 "/>
    <s v=" 1162145.9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D:\Images\20210713\plaque 2/@02 testo 30/A2_01.tif "/>
    <s v=" 55394.1601 "/>
    <s v=" 72.9321 "/>
    <x v="0"/>
    <n v="4040010"/>
    <m/>
    <m/>
    <m/>
  </r>
  <r>
    <x v="14"/>
    <x v="0"/>
    <s v="D:\Images\20210713\plaque 2/@02 testo 30/A2_02.tif "/>
    <s v=" 63894.7087 "/>
    <s v=" 74.0985 "/>
    <x v="0"/>
    <n v="4734503"/>
    <m/>
    <m/>
    <m/>
  </r>
  <r>
    <x v="14"/>
    <x v="0"/>
    <s v="D:\Images\20210713\plaque 2/@02 testo 30/A2_03.tif "/>
    <s v=" 65516.9508 "/>
    <s v=" 72.8666 "/>
    <x v="0"/>
    <n v="4773999"/>
    <m/>
    <m/>
    <m/>
  </r>
  <r>
    <x v="14"/>
    <x v="1"/>
    <s v="D:\Images\20210713\plaque 2/@02 testo 30/B2_01.tif "/>
    <s v=" 41075.1699 "/>
    <s v=" 72.4987 "/>
    <x v="0"/>
    <n v="2977896"/>
    <m/>
    <m/>
    <m/>
  </r>
  <r>
    <x v="14"/>
    <x v="1"/>
    <s v="D:\Images\20210713\plaque 2/@02 testo 30/B2_02.tif "/>
    <s v=" 37462.9775 "/>
    <s v=" 73.7968 "/>
    <x v="0"/>
    <n v="2764647"/>
    <m/>
    <m/>
    <m/>
  </r>
  <r>
    <x v="14"/>
    <x v="1"/>
    <s v="D:\Images\20210713\plaque 2/@02 testo 30/B2_03.tif "/>
    <s v=" 38306.5434 "/>
    <s v=" 71.52 "/>
    <x v="0"/>
    <n v="2739686"/>
    <m/>
    <m/>
    <m/>
  </r>
  <r>
    <x v="14"/>
    <x v="2"/>
    <s v="D:\Images\20210713\plaque 2/@02 testo 30/C2_01.tif "/>
    <s v=" 55848.3879 "/>
    <s v=" 76.95 "/>
    <x v="0"/>
    <n v="4297536"/>
    <m/>
    <m/>
    <m/>
  </r>
  <r>
    <x v="14"/>
    <x v="2"/>
    <s v="D:\Images\20210713\plaque 2/@02 testo 30/C2_02.tif "/>
    <s v=" 58443.9753 "/>
    <s v=" 76.7346 "/>
    <x v="0"/>
    <n v="4484677"/>
    <m/>
    <m/>
    <m/>
  </r>
  <r>
    <x v="14"/>
    <x v="2"/>
    <s v="D:\Images\20210713\plaque 2/@02 testo 30/C2_03.tif "/>
    <s v=" 51630.5585 "/>
    <s v=" 72.5182 "/>
    <x v="0"/>
    <n v="3744156"/>
    <m/>
    <m/>
    <m/>
  </r>
  <r>
    <x v="14"/>
    <x v="3"/>
    <s v="D:\Images\20210713\plaque 2/@02 testo 30/D2_01.tif "/>
    <s v=" 19164.0866 "/>
    <s v=" 69.5248 "/>
    <x v="0"/>
    <n v="1332380"/>
    <m/>
    <m/>
    <m/>
  </r>
  <r>
    <x v="14"/>
    <x v="3"/>
    <s v="D:\Images\20210713\plaque 2/@02 testo 30/D2_02.tif "/>
    <s v=" 13626.8336 "/>
    <s v=" 64.8032 "/>
    <x v="0"/>
    <n v="883062"/>
    <m/>
    <m/>
    <m/>
  </r>
  <r>
    <x v="14"/>
    <x v="3"/>
    <s v="D:\Images\20210713\plaque 2/@02 testo 30/D2_03.tif "/>
    <s v=" 11593.6235 "/>
    <s v=" 65.0896 "/>
    <x v="0"/>
    <n v="754624"/>
    <m/>
    <m/>
    <m/>
  </r>
  <r>
    <x v="14"/>
    <x v="4"/>
    <s v="D:\Images\20210713\plaque 2/@02 testo 30/E2_01.tif "/>
    <s v=" 11745.0328 "/>
    <s v=" 71.4991 "/>
    <x v="0"/>
    <n v="839759"/>
    <m/>
    <m/>
    <m/>
  </r>
  <r>
    <x v="14"/>
    <x v="4"/>
    <s v="D:\Images\20210713\plaque 2/@02 testo 30/E2_02.tif "/>
    <s v=" 12480.4492 "/>
    <s v=" 74.5494 "/>
    <x v="0"/>
    <n v="930410"/>
    <m/>
    <m/>
    <m/>
  </r>
  <r>
    <x v="14"/>
    <x v="4"/>
    <s v="D:\Images\20210713\plaque 2/@02 testo 30/E2_03.tif "/>
    <s v=" 10923.0968 "/>
    <s v=" 70.895 "/>
    <x v="0"/>
    <n v="774393"/>
    <m/>
    <m/>
    <m/>
  </r>
  <r>
    <x v="14"/>
    <x v="5"/>
    <s v="D:\Images\20210713\plaque 2/@02 testo 30/F2_01.tif "/>
    <s v=" 9755.0825 "/>
    <s v=" 71.0155 "/>
    <x v="0"/>
    <n v="692762"/>
    <m/>
    <m/>
    <m/>
  </r>
  <r>
    <x v="14"/>
    <x v="5"/>
    <s v="D:\Images\20210713\plaque 2/@02 testo 30/F2_02.tif "/>
    <s v=" 19964.3927 "/>
    <s v=" 78.1939 "/>
    <x v="0"/>
    <n v="1561094"/>
    <m/>
    <m/>
    <m/>
  </r>
  <r>
    <x v="14"/>
    <x v="5"/>
    <s v="D:\Images\20210713\plaque 2/@02 testo 30/F2_03.tif "/>
    <s v=" 17498.5848 "/>
    <s v=" 81.1236 "/>
    <x v="0"/>
    <n v="1419548"/>
    <m/>
    <m/>
    <m/>
  </r>
  <r>
    <x v="14"/>
    <x v="6"/>
    <s v="D:\Images\20210713\plaque 2/@02 testo 30/G2_01.tif "/>
    <s v=" 40404.6432 "/>
    <s v=" 71.2837 "/>
    <x v="0"/>
    <n v="2880194"/>
    <m/>
    <m/>
    <m/>
  </r>
  <r>
    <x v="14"/>
    <x v="6"/>
    <s v="D:\Images\20210713\plaque 2/@02 testo 30/G2_02.tif "/>
    <s v=" 37873.9455 "/>
    <s v=" 71.2039 "/>
    <x v="0"/>
    <n v="2696772"/>
    <m/>
    <m/>
    <m/>
  </r>
  <r>
    <x v="14"/>
    <x v="6"/>
    <s v="D:\Images\20210713\plaque 2/@02 testo 30/G2_03.tif "/>
    <s v=" 38263.2836 "/>
    <s v=" 71.6066 "/>
    <x v="0"/>
    <n v="2739902"/>
    <m/>
    <m/>
    <m/>
  </r>
  <r>
    <x v="14"/>
    <x v="7"/>
    <s v="D:\Images\20210713\plaque 2/@02 testo 30/H2_01.tif "/>
    <s v=" 35170.2087 "/>
    <s v=" 71.7036 "/>
    <x v="0"/>
    <n v="2521829"/>
    <m/>
    <m/>
    <m/>
  </r>
  <r>
    <x v="14"/>
    <x v="7"/>
    <s v="D:\Images\20210713\plaque 2/@02 testo 30/H2_02.tif "/>
    <s v=" 33699.3758 "/>
    <s v=" 72.5719 "/>
    <x v="0"/>
    <n v="2445627"/>
    <m/>
    <m/>
    <m/>
  </r>
  <r>
    <x v="14"/>
    <x v="7"/>
    <s v="D:\Images\20210713\plaque 2/@02 testo 30/H2_03.tif "/>
    <s v=" 28335.162 "/>
    <s v=" 72.0023 "/>
    <x v="0"/>
    <n v="2040197"/>
    <m/>
    <m/>
    <m/>
  </r>
  <r>
    <x v="1"/>
    <x v="8"/>
    <s v=" "/>
    <m/>
    <m/>
    <x v="1"/>
    <m/>
    <m/>
    <m/>
    <m/>
  </r>
  <r>
    <x v="1"/>
    <x v="8"/>
    <s v="group "/>
    <s v=" "/>
    <s v=" mean of mean fluo "/>
    <x v="2"/>
    <s v=" mean of total fluo "/>
    <s v=" SD total fluo "/>
    <s v=" n fluorescent "/>
    <s v=" n total"/>
  </r>
  <r>
    <x v="14"/>
    <x v="9"/>
    <s v="D:\Images\20210713\plaque 2/@02 testo 30/ "/>
    <s v=" "/>
    <s v=" 72.5409 "/>
    <x v="16"/>
    <s v=" 2461235.96 "/>
    <s v=" 1360404.5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D:\Images\20210713\plaque 2/@03Testo + EE2 64/A3_01.tif "/>
    <s v=" 66360.5167 "/>
    <s v=" 81.0671 "/>
    <x v="0"/>
    <n v="5379658"/>
    <m/>
    <m/>
    <m/>
  </r>
  <r>
    <x v="15"/>
    <x v="0"/>
    <s v="D:\Images\20210713\plaque 2/@03Testo + EE2 64/A3_02.tif "/>
    <s v=" 63137.6624 "/>
    <s v=" 81.8177 "/>
    <x v="0"/>
    <n v="5165781"/>
    <m/>
    <m/>
    <m/>
  </r>
  <r>
    <x v="15"/>
    <x v="0"/>
    <s v="D:\Images\20210713\plaque 2/@03Testo + EE2 64/A3_03.tif "/>
    <s v=" 61428.9007 "/>
    <s v=" 78.1187 "/>
    <x v="0"/>
    <n v="4798744"/>
    <m/>
    <m/>
    <m/>
  </r>
  <r>
    <x v="15"/>
    <x v="1"/>
    <s v="D:\Images\20210713\plaque 2/@03Testo + EE2 64/B3_01.tif "/>
    <s v=" 69020.9938 "/>
    <s v=" 79.7656 "/>
    <x v="0"/>
    <n v="5505500"/>
    <m/>
    <m/>
    <m/>
  </r>
  <r>
    <x v="15"/>
    <x v="1"/>
    <s v="D:\Images\20210713\plaque 2/@03Testo + EE2 64/B3_02.tif "/>
    <s v=" 62834.8439 "/>
    <s v=" 78.5208 "/>
    <x v="0"/>
    <n v="4933844"/>
    <m/>
    <m/>
    <m/>
  </r>
  <r>
    <x v="15"/>
    <x v="1"/>
    <s v="D:\Images\20210713\plaque 2/@03Testo + EE2 64/B3_03.tif "/>
    <s v=" 65343.9117 "/>
    <s v=" 77.0626 "/>
    <x v="0"/>
    <n v="5035569"/>
    <m/>
    <m/>
    <m/>
  </r>
  <r>
    <x v="15"/>
    <x v="2"/>
    <s v="D:\Images\20210713\plaque 2/@03Testo + EE2 64/C3_01.tif "/>
    <s v=" 58097.897 "/>
    <s v=" 75.522 "/>
    <x v="0"/>
    <n v="4387667"/>
    <m/>
    <m/>
    <m/>
  </r>
  <r>
    <x v="15"/>
    <x v="2"/>
    <s v="D:\Images\20210713\plaque 2/@03Testo + EE2 64/C3_02.tif "/>
    <s v=" 57362.4806 "/>
    <s v=" 74.0569 "/>
    <x v="0"/>
    <n v="4248090"/>
    <m/>
    <m/>
    <m/>
  </r>
  <r>
    <x v="15"/>
    <x v="2"/>
    <s v="D:\Images\20210713\plaque 2/@03Testo + EE2 64/C3_03.tif "/>
    <s v=" 61342.3812 "/>
    <s v=" 74.6615 "/>
    <x v="0"/>
    <n v="4579914"/>
    <m/>
    <m/>
    <m/>
  </r>
  <r>
    <x v="15"/>
    <x v="3"/>
    <s v="D:\Images\20210713\plaque 2/@03Testo + EE2 64/D3_01.tif "/>
    <s v=" 47088.2806 "/>
    <s v=" 78.9807 "/>
    <x v="0"/>
    <n v="3719066"/>
    <m/>
    <m/>
    <m/>
  </r>
  <r>
    <x v="15"/>
    <x v="3"/>
    <s v="D:\Images\20210713\plaque 2/@03Testo + EE2 64/D3_02.tif "/>
    <s v=" 42675.7821 "/>
    <s v=" 73.4151 "/>
    <x v="0"/>
    <n v="3133047"/>
    <m/>
    <m/>
    <m/>
  </r>
  <r>
    <x v="15"/>
    <x v="3"/>
    <s v="D:\Images\20210713\plaque 2/@03Testo + EE2 64/D3_03.tif "/>
    <s v=" 46958.5012 "/>
    <s v=" 76.8752 "/>
    <x v="0"/>
    <n v="3609943"/>
    <m/>
    <m/>
    <m/>
  </r>
  <r>
    <x v="15"/>
    <x v="4"/>
    <s v="D:\Images\20210713\plaque 2/@03Testo + EE2 64/E3_01.tif "/>
    <s v=" 26842.6992 "/>
    <s v=" 67.5721 "/>
    <x v="0"/>
    <n v="1813818"/>
    <m/>
    <m/>
    <m/>
  </r>
  <r>
    <x v="15"/>
    <x v="4"/>
    <s v="D:\Images\20210713\plaque 2/@03Testo + EE2 64/E3_02.tif "/>
    <s v=" 9214.3351 "/>
    <s v=" 64.0704 "/>
    <x v="0"/>
    <n v="590366"/>
    <m/>
    <m/>
    <m/>
  </r>
  <r>
    <x v="15"/>
    <x v="4"/>
    <s v="D:\Images\20210713\plaque 2/@03Testo + EE2 64/E3_03.tif "/>
    <s v=" 6488.9684 "/>
    <s v=" 63.8667 "/>
    <x v="0"/>
    <n v="414429"/>
    <m/>
    <m/>
    <m/>
  </r>
  <r>
    <x v="15"/>
    <x v="5"/>
    <s v="D:\Images\20210713\plaque 2/@03Testo + EE2 64/F3_01.tif "/>
    <s v=" 79641.272 "/>
    <s v=" 81.6871 "/>
    <x v="0"/>
    <n v="6505667"/>
    <m/>
    <m/>
    <m/>
  </r>
  <r>
    <x v="15"/>
    <x v="5"/>
    <s v="D:\Images\20210713\plaque 2/@03Testo + EE2 64/F3_02.tif "/>
    <s v=" 67615.0506 "/>
    <s v=" 84.0841 "/>
    <x v="0"/>
    <n v="5685353"/>
    <m/>
    <m/>
    <m/>
  </r>
  <r>
    <x v="15"/>
    <x v="5"/>
    <s v="D:\Images\20210713\plaque 2/@03Testo + EE2 64/F3_03.tif "/>
    <s v=" 70989.3142 "/>
    <s v=" 82.3601 "/>
    <x v="0"/>
    <n v="5846690"/>
    <m/>
    <m/>
    <m/>
  </r>
  <r>
    <x v="15"/>
    <x v="6"/>
    <s v="D:\Images\20210713\plaque 2/@03Testo + EE2 64/G3_01.tif "/>
    <s v=" 38760.7712 "/>
    <s v=" 81.9626 "/>
    <x v="0"/>
    <n v="3176934"/>
    <m/>
    <m/>
    <m/>
  </r>
  <r>
    <x v="15"/>
    <x v="6"/>
    <s v="D:\Images\20210713\plaque 2/@03Testo + EE2 64/G3_02.tif "/>
    <s v=" 36230.0735 "/>
    <s v=" 81.5433 "/>
    <x v="0"/>
    <n v="2954319"/>
    <m/>
    <m/>
    <m/>
  </r>
  <r>
    <x v="15"/>
    <x v="6"/>
    <s v="D:\Images\20210713\plaque 2/@03Testo + EE2 64/G3_03.tif "/>
    <s v=" 39842.2659 "/>
    <s v=" 81.3567 "/>
    <x v="0"/>
    <n v="3241434"/>
    <m/>
    <m/>
    <m/>
  </r>
  <r>
    <x v="15"/>
    <x v="7"/>
    <s v="D:\Images\20210713\plaque 2/@03Testo + EE2 64/H3_01.tif "/>
    <s v=" 93354.6252 "/>
    <s v=" 76.9903 "/>
    <x v="0"/>
    <n v="7187398"/>
    <m/>
    <m/>
    <m/>
  </r>
  <r>
    <x v="15"/>
    <x v="7"/>
    <s v="D:\Images\20210713\plaque 2/@03Testo + EE2 64/H3_02.tif "/>
    <s v=" 87081.9558 "/>
    <s v=" 77.2842 "/>
    <x v="0"/>
    <n v="6730055"/>
    <m/>
    <m/>
    <m/>
  </r>
  <r>
    <x v="15"/>
    <x v="7"/>
    <s v="D:\Images\20210713\plaque 2/@03Testo + EE2 64/H3_03.tif "/>
    <s v=" 82604.5676 "/>
    <s v=" 78.8714 "/>
    <x v="0"/>
    <n v="6515141"/>
    <m/>
    <m/>
    <m/>
  </r>
  <r>
    <x v="1"/>
    <x v="8"/>
    <s v=" "/>
    <m/>
    <m/>
    <x v="1"/>
    <m/>
    <m/>
    <m/>
    <m/>
  </r>
  <r>
    <x v="1"/>
    <x v="8"/>
    <s v="group "/>
    <s v=" "/>
    <s v=" mean of mean fluo "/>
    <x v="2"/>
    <s v=" mean of total fluo "/>
    <s v=" SD total fluo "/>
    <s v=" n fluorescent "/>
    <s v=" n total"/>
  </r>
  <r>
    <x v="15"/>
    <x v="9"/>
    <s v="D:\Images\20210713\plaque 2/@03Testo + EE2 64/ "/>
    <s v=" "/>
    <s v=" 77.1464 "/>
    <x v="17"/>
    <s v=" 4381601.12 "/>
    <s v=" 1796406.3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D:\Images\20210713\plaque 2/@04 Testo +FAD/A4_01.tif "/>
    <s v=" 8457.2888 "/>
    <s v=" 66.9309 "/>
    <x v="0"/>
    <n v="566054"/>
    <m/>
    <m/>
    <m/>
  </r>
  <r>
    <x v="16"/>
    <x v="0"/>
    <s v="D:\Images\20210713\plaque 2/@04 Testo +FAD/A4_02.tif "/>
    <s v=" 9884.8618 "/>
    <s v=" 69.9475 "/>
    <x v="0"/>
    <n v="691421"/>
    <m/>
    <m/>
    <m/>
  </r>
  <r>
    <x v="16"/>
    <x v="0"/>
    <s v="D:\Images\20210713\plaque 2/@04 Testo +FAD/A4_03.tif "/>
    <s v=" 5861.7014 "/>
    <s v=" 64.9852 "/>
    <x v="0"/>
    <n v="380924"/>
    <m/>
    <m/>
    <m/>
  </r>
  <r>
    <x v="16"/>
    <x v="1"/>
    <s v="D:\Images\20210713\plaque 2/@04 Testo +FAD/B4_01.tif "/>
    <s v=" 8998.0362 "/>
    <s v=" 70.3702 "/>
    <x v="0"/>
    <n v="633194"/>
    <m/>
    <m/>
    <m/>
  </r>
  <r>
    <x v="16"/>
    <x v="1"/>
    <s v="D:\Images\20210713\plaque 2/@04 Testo +FAD/B4_02.tif "/>
    <s v=" 9365.7444 "/>
    <s v=" 71.2771 "/>
    <x v="0"/>
    <n v="667563"/>
    <m/>
    <m/>
    <m/>
  </r>
  <r>
    <x v="16"/>
    <x v="1"/>
    <s v="D:\Images\20210713\plaque 2/@04 Testo +FAD/B4_03.tif "/>
    <s v=" 1752.0215 "/>
    <s v=" 62.5556 "/>
    <x v="0"/>
    <n v="109599"/>
    <m/>
    <m/>
    <m/>
  </r>
  <r>
    <x v="16"/>
    <x v="2"/>
    <s v="D:\Images\20210713\plaque 2/@04 Testo +FAD/C4_01.tif "/>
    <s v=" 1341.0535 "/>
    <s v=" 63.8065 "/>
    <x v="0"/>
    <n v="85568"/>
    <m/>
    <m/>
    <m/>
  </r>
  <r>
    <x v="16"/>
    <x v="2"/>
    <s v="D:\Images\20210713\plaque 2/@04 Testo +FAD/C4_02.tif "/>
    <s v=" 194.6691 "/>
    <s v=" 62.7778 "/>
    <x v="0"/>
    <n v="12221"/>
    <m/>
    <m/>
    <m/>
  </r>
  <r>
    <x v="16"/>
    <x v="2"/>
    <s v="D:\Images\20210713\plaque 2/@04 Testo +FAD/C4_03.tif "/>
    <s v=" 237.9288 "/>
    <s v=" 63.0909 "/>
    <x v="0"/>
    <n v="15011"/>
    <m/>
    <m/>
    <m/>
  </r>
  <r>
    <x v="16"/>
    <x v="3"/>
    <s v="D:\Images\20210713\plaque 2/@04 Testo +FAD/D4_01.tif "/>
    <s v=" 9690.1928 "/>
    <s v=" 65.221 "/>
    <x v="0"/>
    <n v="632004"/>
    <m/>
    <m/>
    <m/>
  </r>
  <r>
    <x v="16"/>
    <x v="3"/>
    <s v="D:\Images\20210713\plaque 2/@04 Testo +FAD/D4_02.tif "/>
    <s v=" 8154.4703 "/>
    <s v=" 64.5172 "/>
    <x v="0"/>
    <n v="526104"/>
    <m/>
    <m/>
    <m/>
  </r>
  <r>
    <x v="16"/>
    <x v="3"/>
    <s v="D:\Images\20210713\plaque 2/@04 Testo +FAD/D4_03.tif "/>
    <s v=" 4628.7975 "/>
    <s v=" 63.6075 "/>
    <x v="0"/>
    <n v="294426"/>
    <m/>
    <m/>
    <m/>
  </r>
  <r>
    <x v="16"/>
    <x v="4"/>
    <s v="D:\Images\20210713\plaque 2/@04 Testo +FAD/E4_01.tif "/>
    <s v=" 9993.0113 "/>
    <s v=" 67.3571 "/>
    <x v="0"/>
    <n v="673101"/>
    <m/>
    <m/>
    <m/>
  </r>
  <r>
    <x v="16"/>
    <x v="4"/>
    <s v="D:\Images\20210713\plaque 2/@04 Testo +FAD/E4_02.tif "/>
    <s v=" 6575.488 "/>
    <s v=" 65.0132 "/>
    <x v="0"/>
    <n v="427493"/>
    <m/>
    <m/>
    <m/>
  </r>
  <r>
    <x v="16"/>
    <x v="4"/>
    <s v="D:\Images\20210713\plaque 2/@04 Testo +FAD/E4_03.tif "/>
    <s v=" 6618.7478 "/>
    <s v=" 65.6797 "/>
    <x v="0"/>
    <n v="434718"/>
    <m/>
    <m/>
    <m/>
  </r>
  <r>
    <x v="16"/>
    <x v="5"/>
    <s v="D:\Images\20210713\plaque 2/@04 Testo +FAD/F4_01.tif "/>
    <s v=" 1319.4236 "/>
    <s v=" 63.4918 "/>
    <x v="0"/>
    <n v="83773"/>
    <m/>
    <m/>
    <m/>
  </r>
  <r>
    <x v="16"/>
    <x v="5"/>
    <s v="D:\Images\20210713\plaque 2/@04 Testo +FAD/F4_02.tif "/>
    <s v=" 2660.477 "/>
    <s v=" 65.7886 "/>
    <x v="0"/>
    <n v="175029"/>
    <m/>
    <m/>
    <m/>
  </r>
  <r>
    <x v="16"/>
    <x v="5"/>
    <s v="D:\Images\20210713\plaque 2/@04 Testo +FAD/F4_03.tif "/>
    <s v=" 2098.0998 "/>
    <s v=" 63.2062 "/>
    <x v="0"/>
    <n v="132613"/>
    <m/>
    <m/>
    <m/>
  </r>
  <r>
    <x v="16"/>
    <x v="6"/>
    <s v="D:\Images\20210713\plaque 2/@04 Testo +FAD/G4_01.tif "/>
    <s v=" 2465.808 "/>
    <s v=" 64.9211 "/>
    <x v="0"/>
    <n v="160083"/>
    <m/>
    <m/>
    <m/>
  </r>
  <r>
    <x v="16"/>
    <x v="6"/>
    <s v="D:\Images\20210713\plaque 2/@04 Testo +FAD/G4_02.tif "/>
    <s v=" 1838.541 "/>
    <s v=" 63.4 "/>
    <x v="0"/>
    <n v="116564"/>
    <m/>
    <m/>
    <m/>
  </r>
  <r>
    <x v="16"/>
    <x v="6"/>
    <s v="D:\Images\20210713\plaque 2/@04 Testo +FAD/G4_03.tif "/>
    <s v=" 778.6762 "/>
    <n v="62"/>
    <x v="0"/>
    <n v="48278"/>
    <m/>
    <m/>
    <m/>
  </r>
  <r>
    <x v="16"/>
    <x v="7"/>
    <s v="D:\Images\20210713\plaque 2/@04 Testo +FAD/H4_01.tif "/>
    <s v=" 8954.7764 "/>
    <s v=" 66.0676 "/>
    <x v="0"/>
    <n v="591621"/>
    <m/>
    <m/>
    <m/>
  </r>
  <r>
    <x v="16"/>
    <x v="7"/>
    <s v="D:\Images\20210713\plaque 2/@04 Testo +FAD/H4_02.tif "/>
    <s v=" 4845.0964 "/>
    <s v=" 63.8571 "/>
    <x v="0"/>
    <n v="309394"/>
    <m/>
    <m/>
    <m/>
  </r>
  <r>
    <x v="16"/>
    <x v="7"/>
    <s v="D:\Images\20210713\plaque 2/@04 Testo +FAD/H4_03.tif "/>
    <s v=" 5688.6623 "/>
    <s v=" 64.3992 "/>
    <x v="0"/>
    <n v="366346"/>
    <m/>
    <m/>
    <m/>
  </r>
  <r>
    <x v="1"/>
    <x v="8"/>
    <s v=" "/>
    <m/>
    <m/>
    <x v="1"/>
    <m/>
    <m/>
    <m/>
    <m/>
  </r>
  <r>
    <x v="1"/>
    <x v="8"/>
    <s v="group "/>
    <s v=" "/>
    <s v=" mean of mean fluo "/>
    <x v="2"/>
    <s v=" mean of total fluo "/>
    <s v=" SD total fluo "/>
    <s v=" n fluorescent "/>
    <s v=" n total"/>
  </r>
  <r>
    <x v="16"/>
    <x v="9"/>
    <s v="D:\Images\20210713\plaque 2/@04 Testo +FAD/ "/>
    <s v=" "/>
    <s v=" 65.1779 "/>
    <x v="18"/>
    <s v=" 338879.25 "/>
    <s v=" 239397.48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D:\Images\20210713\plaque 2/@05 tam 30.2 + testo/A5_01.tif "/>
    <s v=" 59179.3917 "/>
    <s v=" 69.5062 "/>
    <x v="0"/>
    <n v="4113335"/>
    <m/>
    <m/>
    <m/>
  </r>
  <r>
    <x v="17"/>
    <x v="0"/>
    <s v="D:\Images\20210713\plaque 2/@05 tam 30.2 + testo/A5_02.tif "/>
    <s v=" 53663.7686 "/>
    <s v=" 70.9944 "/>
    <x v="0"/>
    <n v="3809825"/>
    <m/>
    <m/>
    <m/>
  </r>
  <r>
    <x v="17"/>
    <x v="0"/>
    <s v="D:\Images\20210713\plaque 2/@05 tam 30.2 + testo/A5_03.tif "/>
    <s v=" 56172.8364 "/>
    <s v=" 71.2518 "/>
    <x v="0"/>
    <n v="4002417"/>
    <m/>
    <m/>
    <m/>
  </r>
  <r>
    <x v="17"/>
    <x v="1"/>
    <s v="D:\Images\20210713\plaque 2/@05 tam 30.2 + testo/B5_01.tif "/>
    <s v=" 14794.8479 "/>
    <s v=" 66.4708 "/>
    <x v="0"/>
    <n v="983425"/>
    <m/>
    <m/>
    <m/>
  </r>
  <r>
    <x v="17"/>
    <x v="1"/>
    <s v="D:\Images\20210713\plaque 2/@05 tam 30.2 + testo/B5_02.tif "/>
    <s v=" 13972.9119 "/>
    <s v=" 65.2693 "/>
    <x v="0"/>
    <n v="912003"/>
    <m/>
    <m/>
    <m/>
  </r>
  <r>
    <x v="17"/>
    <x v="1"/>
    <s v="D:\Images\20210713\plaque 2/@05 tam 30.2 + testo/B5_03.tif "/>
    <s v=" 15249.0757 "/>
    <s v=" 64.9745 "/>
    <x v="0"/>
    <n v="990801"/>
    <m/>
    <m/>
    <m/>
  </r>
  <r>
    <x v="17"/>
    <x v="2"/>
    <s v="D:\Images\20210713\plaque 2/@05 tam 30.2 + testo/C5_01.tif "/>
    <s v=" 34910.6499 "/>
    <s v=" 68.5929 "/>
    <x v="0"/>
    <n v="2394624"/>
    <m/>
    <m/>
    <m/>
  </r>
  <r>
    <x v="17"/>
    <x v="2"/>
    <s v="D:\Images\20210713\plaque 2/@05 tam 30.2 + testo/C5_02.tif "/>
    <s v=" 25653.055 "/>
    <s v=" 67.5363 "/>
    <x v="0"/>
    <n v="1732511"/>
    <m/>
    <m/>
    <m/>
  </r>
  <r>
    <x v="17"/>
    <x v="2"/>
    <s v="D:\Images\20210713\plaque 2/@05 tam 30.2 + testo/C5_03.tif "/>
    <s v=" 22970.9481 "/>
    <s v=" 65.9991 "/>
    <x v="0"/>
    <n v="1516061"/>
    <m/>
    <m/>
    <m/>
  </r>
  <r>
    <x v="17"/>
    <x v="3"/>
    <s v="D:\Images\20210713\plaque 2/@05 tam 30.2 + testo/D5_01.tif "/>
    <s v=" 22733.0193 "/>
    <s v=" 67.1684 "/>
    <x v="0"/>
    <n v="1526941"/>
    <m/>
    <m/>
    <m/>
  </r>
  <r>
    <x v="17"/>
    <x v="3"/>
    <s v="D:\Images\20210713\plaque 2/@05 tam 30.2 + testo/D5_02.tif "/>
    <s v=" 16849.6879 "/>
    <s v=" 67.611 "/>
    <x v="0"/>
    <n v="1139225"/>
    <m/>
    <m/>
    <m/>
  </r>
  <r>
    <x v="17"/>
    <x v="3"/>
    <s v="D:\Images\20210713\plaque 2/@05 tam 30.2 + testo/D5_03.tif "/>
    <s v=" 22040.8626 "/>
    <s v=" 68.7969 "/>
    <x v="0"/>
    <n v="1516342"/>
    <m/>
    <m/>
    <m/>
  </r>
  <r>
    <x v="17"/>
    <x v="4"/>
    <s v="D:\Images\20210713\plaque 2/@05 tam 30.2 + testo/E5_01.tif "/>
    <s v=" 17671.6239 "/>
    <s v=" 66.366 "/>
    <x v="0"/>
    <n v="1172795"/>
    <m/>
    <m/>
    <m/>
  </r>
  <r>
    <x v="17"/>
    <x v="4"/>
    <s v="D:\Images\20210713\plaque 2/@05 tam 30.2 + testo/E5_02.tif "/>
    <s v=" 17368.8054 "/>
    <s v=" 65.8692 "/>
    <x v="0"/>
    <n v="1144070"/>
    <m/>
    <m/>
    <m/>
  </r>
  <r>
    <x v="17"/>
    <x v="4"/>
    <s v="D:\Images\20210713\plaque 2/@05 tam 30.2 + testo/E5_03.tif "/>
    <s v=" 15335.5953 "/>
    <s v=" 65.8068 "/>
    <x v="0"/>
    <n v="1009186"/>
    <m/>
    <m/>
    <m/>
  </r>
  <r>
    <x v="17"/>
    <x v="5"/>
    <s v="D:\Images\20210713\plaque 2/@05 tam 30.2 + testo/F5_01.tif "/>
    <s v=" 52668.7934 "/>
    <s v=" 71.7302 "/>
    <x v="0"/>
    <n v="3777942"/>
    <m/>
    <m/>
    <m/>
  </r>
  <r>
    <x v="17"/>
    <x v="5"/>
    <s v="D:\Images\20210713\plaque 2/@05 tam 30.2 + testo/F5_02.tif "/>
    <s v=" 42178.2945 "/>
    <s v=" 71.1605 "/>
    <x v="0"/>
    <n v="3001429"/>
    <m/>
    <m/>
    <m/>
  </r>
  <r>
    <x v="17"/>
    <x v="5"/>
    <s v="D:\Images\20210713\plaque 2/@05 tam 30.2 + testo/F5_03.tif "/>
    <s v=" 47888.5867 "/>
    <s v=" 71.3613 "/>
    <x v="0"/>
    <n v="3417394"/>
    <m/>
    <m/>
    <m/>
  </r>
  <r>
    <x v="17"/>
    <x v="6"/>
    <s v="D:\Images\20210713\plaque 2/@05 tam 30.2 + testo/G5_01.tif "/>
    <s v=" 30887.4895 "/>
    <s v=" 66.848 "/>
    <x v="0"/>
    <n v="2064768"/>
    <m/>
    <m/>
    <m/>
  </r>
  <r>
    <x v="17"/>
    <x v="6"/>
    <s v="D:\Images\20210713\plaque 2/@05 tam 30.2 + testo/G5_02.tif "/>
    <s v=" 14448.7696 "/>
    <s v=" 65.1946 "/>
    <x v="0"/>
    <n v="941982"/>
    <m/>
    <m/>
    <m/>
  </r>
  <r>
    <x v="17"/>
    <x v="6"/>
    <s v="D:\Images\20210713\plaque 2/@05 tam 30.2 + testo/G5_03.tif "/>
    <s v=" 10577.0185 "/>
    <s v=" 64.7198 "/>
    <x v="0"/>
    <n v="684543"/>
    <m/>
    <m/>
    <m/>
  </r>
  <r>
    <x v="17"/>
    <x v="7"/>
    <s v="D:\Images\20210713\plaque 2/@05 tam 30.2 + testo/H5_01.tif "/>
    <s v=" 44146.6149 "/>
    <s v=" 72.7266 "/>
    <x v="0"/>
    <n v="3210633"/>
    <m/>
    <m/>
    <m/>
  </r>
  <r>
    <x v="17"/>
    <x v="7"/>
    <s v="D:\Images\20210713\plaque 2/@05 tam 30.2 + testo/H5_02.tif "/>
    <s v=" 43757.2768 "/>
    <s v=" 71.83 "/>
    <x v="0"/>
    <n v="3143083"/>
    <m/>
    <m/>
    <m/>
  </r>
  <r>
    <x v="17"/>
    <x v="7"/>
    <s v="D:\Images\20210713\plaque 2/@05 tam 30.2 + testo/H5_03.tif "/>
    <s v=" 41853.8461 "/>
    <s v=" 73.1886 "/>
    <x v="0"/>
    <n v="3063226"/>
    <m/>
    <m/>
    <m/>
  </r>
  <r>
    <x v="1"/>
    <x v="8"/>
    <s v=" "/>
    <m/>
    <m/>
    <x v="1"/>
    <m/>
    <m/>
    <m/>
    <m/>
  </r>
  <r>
    <x v="1"/>
    <x v="8"/>
    <s v="group "/>
    <s v=" "/>
    <s v=" mean of mean fluo "/>
    <x v="2"/>
    <s v=" mean of total fluo "/>
    <s v=" SD total fluo "/>
    <s v=" n fluorescent "/>
    <s v=" n total"/>
  </r>
  <r>
    <x v="17"/>
    <x v="9"/>
    <s v="D:\Images\20210713\plaque 2/@05 tam 30.2 + testo/ "/>
    <s v=" "/>
    <s v=" 68.3739 "/>
    <x v="19"/>
    <s v=" 2136190.04 "/>
    <s v=" 1170845.6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D:\Images\20210713\plaque 2/@06  tam 60.4 + testo/A6_01.tif "/>
    <s v=" 38739.1413 "/>
    <s v=" 72.8677 "/>
    <x v="0"/>
    <n v="2822831"/>
    <m/>
    <m/>
    <m/>
  </r>
  <r>
    <x v="18"/>
    <x v="0"/>
    <s v="D:\Images\20210713\plaque 2/@06  tam 60.4 + testo/A6_02.tif "/>
    <s v=" 42762.3017 "/>
    <s v=" 72.5969 "/>
    <x v="0"/>
    <n v="3104409"/>
    <m/>
    <m/>
    <m/>
  </r>
  <r>
    <x v="18"/>
    <x v="0"/>
    <s v="D:\Images\20210713\plaque 2/@06  tam 60.4 + testo/A6_03.tif "/>
    <s v=" 35819.1055 "/>
    <s v=" 70.3527 "/>
    <x v="0"/>
    <n v="2519969"/>
    <m/>
    <m/>
    <m/>
  </r>
  <r>
    <x v="18"/>
    <x v="1"/>
    <s v="D:\Images\20210713\plaque 2/@06  tam 60.4 + testo/B6_01.tif "/>
    <s v=" 31233.5678 "/>
    <s v=" 67.7611 "/>
    <x v="0"/>
    <n v="2116420"/>
    <m/>
    <m/>
    <m/>
  </r>
  <r>
    <x v="18"/>
    <x v="1"/>
    <s v="D:\Images\20210713\plaque 2/@06  tam 60.4 + testo/B6_02.tif "/>
    <s v=" 37722.5362 "/>
    <s v=" 67.9868 "/>
    <x v="0"/>
    <n v="2564635"/>
    <m/>
    <m/>
    <m/>
  </r>
  <r>
    <x v="18"/>
    <x v="1"/>
    <s v="D:\Images\20210713\plaque 2/@06  tam 60.4 + testo/B6_03.tif "/>
    <s v=" 34391.5325 "/>
    <s v=" 67.4371 "/>
    <x v="0"/>
    <n v="2319265"/>
    <m/>
    <m/>
    <m/>
  </r>
  <r>
    <x v="18"/>
    <x v="2"/>
    <s v="D:\Images\20210713\plaque 2/@06  tam 60.4 + testo/C6_01.tif "/>
    <s v=" 17844.6631 "/>
    <s v=" 66.7333 "/>
    <x v="0"/>
    <n v="1190834"/>
    <m/>
    <m/>
    <m/>
  </r>
  <r>
    <x v="18"/>
    <x v="2"/>
    <s v="D:\Images\20210713\plaque 2/@06  tam 60.4 + testo/C6_02.tif "/>
    <s v=" 17714.8837 "/>
    <s v=" 66.5543 "/>
    <x v="0"/>
    <n v="1179002"/>
    <m/>
    <m/>
    <m/>
  </r>
  <r>
    <x v="18"/>
    <x v="2"/>
    <s v="D:\Images\20210713\plaque 2/@06  tam 60.4 + testo/C6_03.tif "/>
    <s v=" 15184.186 "/>
    <s v=" 66.2108 "/>
    <x v="0"/>
    <n v="1005358"/>
    <m/>
    <m/>
    <m/>
  </r>
  <r>
    <x v="18"/>
    <x v="3"/>
    <s v="D:\Images\20210713\plaque 2/@06  tam 60.4 + testo/D6_01.tif "/>
    <s v=" 30325.1123 "/>
    <s v=" 68.8538 "/>
    <x v="0"/>
    <n v="2087999"/>
    <m/>
    <m/>
    <m/>
  </r>
  <r>
    <x v="18"/>
    <x v="3"/>
    <s v="D:\Images\20210713\plaque 2/@06  tam 60.4 + testo/D6_02.tif "/>
    <s v=" 45985.156 "/>
    <s v=" 70.1867 "/>
    <x v="0"/>
    <n v="3227548"/>
    <m/>
    <m/>
    <m/>
  </r>
  <r>
    <x v="18"/>
    <x v="3"/>
    <s v="D:\Images\20210713\plaque 2/@06  tam 60.4 + testo/D6_03.tif "/>
    <s v=" 34391.5325 "/>
    <s v=" 70.8252 "/>
    <x v="0"/>
    <n v="2435786"/>
    <m/>
    <m/>
    <m/>
  </r>
  <r>
    <x v="18"/>
    <x v="4"/>
    <s v="D:\Images\20210713\plaque 2/@06  tam 60.4 + testo/E6_01.tif "/>
    <s v=" 30130.4432 "/>
    <s v=" 67.9763 "/>
    <x v="0"/>
    <n v="2048156"/>
    <m/>
    <m/>
    <m/>
  </r>
  <r>
    <x v="18"/>
    <x v="4"/>
    <s v="D:\Images\20210713\plaque 2/@06  tam 60.4 + testo/E6_02.tif "/>
    <s v=" 24679.7098 "/>
    <s v=" 66.7826 "/>
    <x v="0"/>
    <n v="1648176"/>
    <m/>
    <m/>
    <m/>
  </r>
  <r>
    <x v="18"/>
    <x v="4"/>
    <s v="D:\Images\20210713\plaque 2/@06  tam 60.4 + testo/E6_03.tif "/>
    <s v=" 24658.0799 "/>
    <s v=" 66.7096 "/>
    <x v="0"/>
    <n v="1644932"/>
    <m/>
    <m/>
    <m/>
  </r>
  <r>
    <x v="18"/>
    <x v="5"/>
    <s v="D:\Images\20210713\plaque 2/@06  tam 60.4 + testo/F6_01.tif "/>
    <s v=" 22754.6491 "/>
    <s v=" 65.6625 "/>
    <x v="0"/>
    <n v="1494128"/>
    <m/>
    <m/>
    <m/>
  </r>
  <r>
    <x v="18"/>
    <x v="5"/>
    <s v="D:\Images\20210713\plaque 2/@06  tam 60.4 + testo/F6_02.tif "/>
    <s v=" 19228.9763 "/>
    <s v=" 66.1012 "/>
    <x v="0"/>
    <n v="1271059"/>
    <m/>
    <m/>
    <m/>
  </r>
  <r>
    <x v="18"/>
    <x v="5"/>
    <s v="D:\Images\20210713\plaque 2/@06  tam 60.4 + testo/F6_03.tif "/>
    <s v=" 23381.9161 "/>
    <s v=" 65.7456 "/>
    <x v="0"/>
    <n v="1537258"/>
    <m/>
    <m/>
    <m/>
  </r>
  <r>
    <x v="18"/>
    <x v="6"/>
    <s v="D:\Images\20210713\plaque 2/@06  tam 60.4 + testo/G6_01.tif "/>
    <s v=" 26518.2508 "/>
    <s v=" 68.3703 "/>
    <x v="0"/>
    <n v="1813061"/>
    <m/>
    <m/>
    <m/>
  </r>
  <r>
    <x v="18"/>
    <x v="6"/>
    <s v="D:\Images\20210713\plaque 2/@06  tam 60.4 + testo/G6_02.tif "/>
    <s v=" 23554.9553 "/>
    <s v=" 67.6951 "/>
    <x v="0"/>
    <n v="1594556"/>
    <m/>
    <m/>
    <m/>
  </r>
  <r>
    <x v="18"/>
    <x v="6"/>
    <s v="D:\Images\20210713\plaque 2/@06  tam 60.4 + testo/G6_03.tif "/>
    <s v=" 24290.3717 "/>
    <s v=" 67.5245 "/>
    <x v="0"/>
    <n v="1640195"/>
    <m/>
    <m/>
    <m/>
  </r>
  <r>
    <x v="18"/>
    <x v="7"/>
    <s v="D:\Images\20210713\plaque 2/@06  tam 60.4 + testo/H6_01.tif "/>
    <s v=" 34153.6036 "/>
    <s v=" 68.7308 "/>
    <x v="0"/>
    <n v="2347406"/>
    <m/>
    <m/>
    <m/>
  </r>
  <r>
    <x v="18"/>
    <x v="7"/>
    <s v="D:\Images\20210713\plaque 2/@06  tam 60.4 + testo/H6_02.tif "/>
    <s v=" 42026.8853 "/>
    <s v=" 71.736 "/>
    <x v="0"/>
    <n v="3014840"/>
    <m/>
    <m/>
    <m/>
  </r>
  <r>
    <x v="18"/>
    <x v="7"/>
    <s v="D:\Images\20210713\plaque 2/@06  tam 60.4 + testo/H6_03- exclu.tif"/>
    <m/>
    <m/>
    <x v="1"/>
    <m/>
    <m/>
    <m/>
    <m/>
  </r>
  <r>
    <x v="1"/>
    <x v="8"/>
    <s v=" "/>
    <m/>
    <m/>
    <x v="1"/>
    <m/>
    <m/>
    <m/>
    <m/>
  </r>
  <r>
    <x v="1"/>
    <x v="8"/>
    <s v="group "/>
    <s v=" "/>
    <s v=" mean of mean fluo "/>
    <x v="2"/>
    <s v=" mean of total fluo "/>
    <s v=" SD total fluo "/>
    <s v=" n fluorescent "/>
    <s v=" n total"/>
  </r>
  <r>
    <x v="18"/>
    <x v="9"/>
    <s v="D:\Images\20210713\plaque 2/@06  tam 60.4 + testo/ "/>
    <s v=" "/>
    <s v=" 68.4225 "/>
    <x v="20"/>
    <s v=" 2051207.96 "/>
    <s v=" 647922.31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D:\Images\20210713\plaque 2/@07 tam 121 + testo/A7_01.tif "/>
    <s v=" 29784.3649 "/>
    <s v=" 70.0102 "/>
    <x v="0"/>
    <n v="2085208"/>
    <m/>
    <m/>
    <m/>
  </r>
  <r>
    <x v="19"/>
    <x v="0"/>
    <s v="D:\Images\20210713\plaque 2/@07 tam 121 + testo/A7_02.tif "/>
    <s v=" 29546.4361 "/>
    <s v=" 68.3302 "/>
    <x v="0"/>
    <n v="2018913"/>
    <m/>
    <m/>
    <m/>
  </r>
  <r>
    <x v="19"/>
    <x v="0"/>
    <s v="D:\Images\20210713\plaque 2/@07 tam 121 + testo/A7_03.tif "/>
    <s v=" 25739.5746 "/>
    <s v=" 67.8723 "/>
    <x v="0"/>
    <n v="1747003"/>
    <m/>
    <m/>
    <m/>
  </r>
  <r>
    <x v="19"/>
    <x v="1"/>
    <s v="D:\Images\20210713\plaque 2/@07 tam 121 + testo/B7_01.tif "/>
    <s v=" 23273.7666 "/>
    <s v=" 70.3151 "/>
    <x v="0"/>
    <n v="1636496"/>
    <m/>
    <m/>
    <m/>
  </r>
  <r>
    <x v="19"/>
    <x v="1"/>
    <s v="D:\Images\20210713\plaque 2/@07 tam 121 + testo/B7_02.tif "/>
    <s v=" 27924.194 "/>
    <s v=" 72.2231 "/>
    <x v="0"/>
    <n v="2016771"/>
    <m/>
    <m/>
    <m/>
  </r>
  <r>
    <x v="19"/>
    <x v="1"/>
    <s v="D:\Images\20210713\plaque 2/@07 tam 121 + testo/B7_03.tif "/>
    <s v=" 26842.6992 "/>
    <s v=" 70.7333 "/>
    <x v="0"/>
    <n v="1898672"/>
    <m/>
    <m/>
    <m/>
  </r>
  <r>
    <x v="19"/>
    <x v="2"/>
    <s v="D:\Images\20210713\plaque 2/@07 tam 121 + testo/C7_01.tif "/>
    <s v=" 11939.7018 "/>
    <s v=" 65.7627 "/>
    <x v="0"/>
    <n v="785187"/>
    <m/>
    <m/>
    <m/>
  </r>
  <r>
    <x v="19"/>
    <x v="2"/>
    <s v="D:\Images\20210713\plaque 2/@07 tam 121 + testo/C7_02.tif "/>
    <s v=" 11420.5844 "/>
    <s v=" 66.3428 "/>
    <x v="0"/>
    <n v="757674"/>
    <m/>
    <m/>
    <m/>
  </r>
  <r>
    <x v="19"/>
    <x v="2"/>
    <s v="D:\Images\20210713\plaque 2/@07 tam 121 + testo/C7_03.tif "/>
    <s v=" 11009.6164 "/>
    <s v=" 66.7701 "/>
    <x v="0"/>
    <n v="735114"/>
    <m/>
    <m/>
    <m/>
  </r>
  <r>
    <x v="19"/>
    <x v="3"/>
    <s v="D:\Images\20210713\plaque 2/@07 tam 121 + testo/D7_01- exclu.tif"/>
    <m/>
    <m/>
    <x v="1"/>
    <m/>
    <m/>
    <m/>
    <m/>
  </r>
  <r>
    <x v="19"/>
    <x v="3"/>
    <s v="D:\Images\20210713\plaque 2/@07 tam 121 + testo/D7_02.tif "/>
    <s v=" 12545.3389 "/>
    <s v=" 64.8259 "/>
    <x v="0"/>
    <n v="813262"/>
    <m/>
    <m/>
    <m/>
  </r>
  <r>
    <x v="19"/>
    <x v="3"/>
    <s v="D:\Images\20210713\plaque 2/@07 tam 121 + testo/D7_03.tif "/>
    <s v=" 10014.6412 "/>
    <s v=" 64.8704 "/>
    <x v="0"/>
    <n v="649654"/>
    <m/>
    <m/>
    <m/>
  </r>
  <r>
    <x v="19"/>
    <x v="4"/>
    <s v="D:\Images\20210713\plaque 2/@07 tam 121 + testo/E7_01.tif "/>
    <s v=" 52690.4233 "/>
    <s v=" 74.8892 "/>
    <x v="0"/>
    <n v="3945942"/>
    <m/>
    <m/>
    <m/>
  </r>
  <r>
    <x v="19"/>
    <x v="4"/>
    <s v="D:\Images\20210713\plaque 2/@07 tam 121 + testo/E7_02.tif "/>
    <s v=" 56345.8755 "/>
    <s v=" 74.2315 "/>
    <x v="0"/>
    <n v="4182638"/>
    <m/>
    <m/>
    <m/>
  </r>
  <r>
    <x v="19"/>
    <x v="4"/>
    <s v="D:\Images\20210713\plaque 2/@07 tam 121 + testo/E7_03.tif "/>
    <s v=" 48883.5619 "/>
    <s v=" 76.0009 "/>
    <x v="0"/>
    <n v="3715194"/>
    <m/>
    <m/>
    <m/>
  </r>
  <r>
    <x v="19"/>
    <x v="5"/>
    <s v="D:\Images\20210713\plaque 2/@07 tam 121 + testo/F7_01.tif "/>
    <s v=" 12826.5275 "/>
    <s v=" 72.1737 "/>
    <x v="0"/>
    <n v="925738"/>
    <m/>
    <m/>
    <m/>
  </r>
  <r>
    <x v="19"/>
    <x v="5"/>
    <s v="D:\Images\20210713\plaque 2/@07 tam 121 + testo/F7_02.tif "/>
    <s v=" 14838.1077 "/>
    <s v=" 72.7012 "/>
    <x v="0"/>
    <n v="1078748"/>
    <m/>
    <m/>
    <m/>
  </r>
  <r>
    <x v="19"/>
    <x v="5"/>
    <s v="D:\Images\20210713\plaque 2/@07 tam 121 + testo/F7_03.tif "/>
    <s v=" 9495.5237 "/>
    <s v=" 77.9636 "/>
    <x v="0"/>
    <n v="740305"/>
    <m/>
    <m/>
    <m/>
  </r>
  <r>
    <x v="19"/>
    <x v="6"/>
    <s v="D:\Images\20210713\plaque 2/@07 tam 121 + testo/G7_01.tif "/>
    <s v=" 28378.4218 "/>
    <s v=" 69.6791 "/>
    <x v="0"/>
    <n v="1977383"/>
    <m/>
    <m/>
    <m/>
  </r>
  <r>
    <x v="19"/>
    <x v="6"/>
    <s v="D:\Images\20210713\plaque 2/@07 tam 121 + testo/G7_02.tif "/>
    <s v=" 29221.9876 "/>
    <s v=" 70.7676 "/>
    <x v="0"/>
    <n v="2067969"/>
    <m/>
    <m/>
    <m/>
  </r>
  <r>
    <x v="19"/>
    <x v="6"/>
    <s v="D:\Images\20210713\plaque 2/@07 tam 121 + testo/G7_03.tif "/>
    <s v=" 31082.1586 "/>
    <s v=" 69.0932 "/>
    <x v="0"/>
    <n v="2147567"/>
    <m/>
    <m/>
    <m/>
  </r>
  <r>
    <x v="19"/>
    <x v="7"/>
    <s v="D:\Images\20210713\plaque 2/@07 tam 121 + testo/H7_01.tif "/>
    <s v=" 5320.9541 "/>
    <s v=" 64.0447 "/>
    <x v="0"/>
    <n v="340779"/>
    <m/>
    <m/>
    <m/>
  </r>
  <r>
    <x v="19"/>
    <x v="7"/>
    <s v="D:\Images\20210713\plaque 2/@07 tam 121 + testo/H7_02.tif "/>
    <s v=" 5191.1747 "/>
    <s v=" 62.8958 "/>
    <x v="0"/>
    <n v="326503"/>
    <m/>
    <m/>
    <m/>
  </r>
  <r>
    <x v="19"/>
    <x v="7"/>
    <s v="D:\Images\20210713\plaque 2/@07 tam 121 + testo/H7_03.tif "/>
    <s v=" 4477.3882 "/>
    <s v=" 63.4879 "/>
    <x v="0"/>
    <n v="284260"/>
    <m/>
    <m/>
    <m/>
  </r>
  <r>
    <x v="1"/>
    <x v="8"/>
    <s v=" "/>
    <m/>
    <m/>
    <x v="1"/>
    <m/>
    <m/>
    <m/>
    <m/>
  </r>
  <r>
    <x v="1"/>
    <x v="8"/>
    <s v="group "/>
    <s v=" "/>
    <s v=" mean of mean fluo "/>
    <x v="2"/>
    <s v=" mean of total fluo "/>
    <s v=" SD total fluo "/>
    <s v=" n fluorescent "/>
    <s v=" n total"/>
  </r>
  <r>
    <x v="19"/>
    <x v="9"/>
    <s v="D:\Images\20210713\plaque 2/@07 tam 121 + testo/ "/>
    <s v=" "/>
    <s v=" 69.2346 "/>
    <x v="21"/>
    <s v=" 1557247.83 "/>
    <s v=" 1127249.6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D:\Images\20210713\plaque 2/@08 tam 242 + testo/A8_01.tif "/>
    <s v=" 40231.604 "/>
    <s v=" 71.664 "/>
    <x v="0"/>
    <n v="2883157"/>
    <m/>
    <m/>
    <m/>
  </r>
  <r>
    <x v="20"/>
    <x v="0"/>
    <s v="D:\Images\20210713\plaque 2/@08 tam 242 + testo/A8_02.tif "/>
    <s v=" 47802.0671 "/>
    <s v=" 71.0357 "/>
    <x v="0"/>
    <n v="3395656"/>
    <m/>
    <m/>
    <m/>
  </r>
  <r>
    <x v="20"/>
    <x v="0"/>
    <s v="D:\Images\20210713\plaque 2/@08 tam 242 + testo/A8_03.tif "/>
    <s v=" 27296.927 "/>
    <s v=" 66.5959 "/>
    <x v="0"/>
    <n v="1817863"/>
    <m/>
    <m/>
    <m/>
  </r>
  <r>
    <x v="20"/>
    <x v="1"/>
    <s v="D:\Images\20210713\plaque 2/@08 tam 242 + testo/B8_01.tif "/>
    <s v=" 40404.6432 "/>
    <s v=" 76.5616 "/>
    <x v="0"/>
    <n v="3093443"/>
    <m/>
    <m/>
    <m/>
  </r>
  <r>
    <x v="20"/>
    <x v="1"/>
    <s v="D:\Images\20210713\plaque 2/@08 tam 242 + testo/B8_02.tif "/>
    <s v=" 42243.1842 "/>
    <s v=" 78.2197 "/>
    <x v="0"/>
    <n v="3304248"/>
    <m/>
    <m/>
    <m/>
  </r>
  <r>
    <x v="20"/>
    <x v="1"/>
    <s v="D:\Images\20210713\plaque 2/@08 tam 242 + testo/B8_03.tif "/>
    <s v=" 37917.2053 "/>
    <s v=" 75.5163 "/>
    <x v="0"/>
    <n v="2863365"/>
    <m/>
    <m/>
    <m/>
  </r>
  <r>
    <x v="20"/>
    <x v="2"/>
    <s v="D:\Images\20210713\plaque 2/@08 tam 242 + testo/C8_01.tif "/>
    <s v=" 40426.2731 "/>
    <s v=" 68.2911 "/>
    <x v="0"/>
    <n v="2760753"/>
    <m/>
    <m/>
    <m/>
  </r>
  <r>
    <x v="20"/>
    <x v="2"/>
    <s v="D:\Images\20210713\plaque 2/@08 tam 242 + testo/C8_02.tif "/>
    <s v=" 37289.9383 "/>
    <s v=" 69.6021 "/>
    <x v="0"/>
    <n v="2595458"/>
    <m/>
    <m/>
    <m/>
  </r>
  <r>
    <x v="20"/>
    <x v="2"/>
    <s v="D:\Images\20210713\plaque 2/@08 tam 242 + testo/C8_03.tif "/>
    <s v=" 36597.7817 "/>
    <s v=" 69.0969 "/>
    <x v="0"/>
    <n v="2528794"/>
    <m/>
    <m/>
    <m/>
  </r>
  <r>
    <x v="20"/>
    <x v="3"/>
    <s v="D:\Images\20210713\plaque 2/@08 tam 242 + testo/D8_01.tif "/>
    <s v=" 31017.2689 "/>
    <s v=" 71.3682 "/>
    <x v="0"/>
    <n v="2213647"/>
    <m/>
    <m/>
    <m/>
  </r>
  <r>
    <x v="20"/>
    <x v="3"/>
    <s v="D:\Images\20210713\plaque 2/@08 tam 242 + testo/D8_02.tif "/>
    <s v=" 32120.3935 "/>
    <s v=" 72.1589 "/>
    <x v="0"/>
    <n v="2317773"/>
    <m/>
    <m/>
    <m/>
  </r>
  <r>
    <x v="20"/>
    <x v="3"/>
    <s v="D:\Images\20210713\plaque 2/@08 tam 242 + testo/D8_03.tif "/>
    <s v=" 31795.9451 "/>
    <s v=" 69.4898 "/>
    <x v="0"/>
    <n v="2209494"/>
    <m/>
    <m/>
    <m/>
  </r>
  <r>
    <x v="20"/>
    <x v="4"/>
    <s v="D:\Images\20210713\plaque 2/@08 tam 242 + testo/E8_01.tif "/>
    <s v=" 47780.4372 "/>
    <s v=" 72.6867 "/>
    <x v="0"/>
    <n v="3473004"/>
    <m/>
    <m/>
    <m/>
  </r>
  <r>
    <x v="20"/>
    <x v="4"/>
    <s v="D:\Images\20210713\plaque 2/@08 tam 242 + testo/E8_02.tif "/>
    <s v=" 48126.5155 "/>
    <s v=" 72.5061 "/>
    <x v="0"/>
    <n v="3489464"/>
    <m/>
    <m/>
    <m/>
  </r>
  <r>
    <x v="20"/>
    <x v="4"/>
    <s v="D:\Images\20210713\plaque 2/@08 tam 242 + testo/E8_03.tif "/>
    <s v=" 53577.249 "/>
    <s v=" 72.2749 "/>
    <x v="0"/>
    <n v="3872292"/>
    <m/>
    <m/>
    <m/>
  </r>
  <r>
    <x v="20"/>
    <x v="5"/>
    <s v="D:\Images\20210713\plaque 2/@08 tam 242 + testo/F8_01.tif "/>
    <s v=" 37419.7177 "/>
    <s v=" 71.8931 "/>
    <x v="0"/>
    <n v="2690218"/>
    <m/>
    <m/>
    <m/>
  </r>
  <r>
    <x v="20"/>
    <x v="5"/>
    <s v="D:\Images\20210713\plaque 2/@08 tam 242 + testo/F8_02.tif "/>
    <s v=" 34715.9809 "/>
    <s v=" 71.6424 "/>
    <x v="0"/>
    <n v="2487135"/>
    <m/>
    <m/>
    <m/>
  </r>
  <r>
    <x v="20"/>
    <x v="5"/>
    <s v="D:\Images\20210713\plaque 2/@08 tam 242 + testo/F8_03.tif "/>
    <s v=" 36835.7106 "/>
    <s v=" 73.9231 "/>
    <x v="0"/>
    <n v="2723009"/>
    <m/>
    <m/>
    <m/>
  </r>
  <r>
    <x v="20"/>
    <x v="6"/>
    <s v="D:\Images\20210713\plaque 2/@08 tam 242 + testo/G8_01.tif "/>
    <s v=" 40383.0133 "/>
    <s v=" 72.0675 "/>
    <x v="0"/>
    <n v="2910302"/>
    <m/>
    <m/>
    <m/>
  </r>
  <r>
    <x v="20"/>
    <x v="6"/>
    <s v="D:\Images\20210713\plaque 2/@08 tam 242 + testo/G8_02.tif "/>
    <s v=" 38933.8103 "/>
    <s v=" 73.3828 "/>
    <x v="0"/>
    <n v="2857071"/>
    <m/>
    <m/>
    <m/>
  </r>
  <r>
    <x v="20"/>
    <x v="6"/>
    <s v="D:\Images\20210713\plaque 2/@08 tam 242 + testo/G8_03.tif "/>
    <s v=" 43000.2305 "/>
    <s v=" 73.1172 "/>
    <x v="0"/>
    <n v="3144057"/>
    <m/>
    <m/>
    <m/>
  </r>
  <r>
    <x v="20"/>
    <x v="7"/>
    <s v="D:\Images\20210713\plaque 2/@08 tam 242 + testo/H8_01.tif "/>
    <s v=" 25198.8272 "/>
    <s v=" 70.1013 "/>
    <x v="0"/>
    <n v="1766470"/>
    <m/>
    <m/>
    <m/>
  </r>
  <r>
    <x v="20"/>
    <x v="7"/>
    <s v="D:\Images\20210713\plaque 2/@08 tam 242 + testo/H8_02.tif "/>
    <s v=" 32163.6533 "/>
    <s v=" 70.3349 "/>
    <x v="0"/>
    <n v="2262227"/>
    <m/>
    <m/>
    <m/>
  </r>
  <r>
    <x v="20"/>
    <x v="7"/>
    <s v="D:\Images\20210713\plaque 2/@08 tam 242 + testo/H8_03.tif "/>
    <s v=" 26994.1085 "/>
    <s v=" 70.1386 "/>
    <x v="0"/>
    <n v="1893330"/>
    <m/>
    <m/>
    <m/>
  </r>
  <r>
    <x v="1"/>
    <x v="8"/>
    <s v=" "/>
    <m/>
    <m/>
    <x v="1"/>
    <m/>
    <m/>
    <m/>
    <m/>
  </r>
  <r>
    <x v="1"/>
    <x v="8"/>
    <s v="group "/>
    <s v=" "/>
    <s v=" mean of mean fluo "/>
    <x v="2"/>
    <s v=" mean of total fluo "/>
    <s v=" SD total fluo "/>
    <s v=" n fluorescent "/>
    <s v=" n total"/>
  </r>
  <r>
    <x v="20"/>
    <x v="9"/>
    <s v="D:\Images\20210713\plaque 2/@08 tam 242 + testo/ "/>
    <s v=" "/>
    <s v=" 71.8195 "/>
    <x v="22"/>
    <s v=" 2731342.92 "/>
    <s v=" 555868.15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D:\Images\20210713\plaque 2/@09  tam 483 + testo/A9_01.tif "/>
    <s v=" 11355.6947 "/>
    <s v=" 67.92 "/>
    <x v="0"/>
    <n v="771279"/>
    <m/>
    <m/>
    <m/>
  </r>
  <r>
    <x v="21"/>
    <x v="0"/>
    <s v="D:\Images\20210713\plaque 2/@09  tam 483 + testo/A9_02.tif "/>
    <s v=" 10966.3566 "/>
    <s v=" 68.0454 "/>
    <x v="0"/>
    <n v="746210"/>
    <m/>
    <m/>
    <m/>
  </r>
  <r>
    <x v="21"/>
    <x v="0"/>
    <s v="D:\Images\20210713\plaque 2/@09  tam 483 + testo/A9_03.tif "/>
    <s v=" 13107.7161 "/>
    <s v=" 67.7244 "/>
    <x v="0"/>
    <n v="887713"/>
    <m/>
    <m/>
    <m/>
  </r>
  <r>
    <x v="21"/>
    <x v="1"/>
    <s v="D:\Images\20210713\plaque 2/@09  tam 483 + testo/B9_01.tif "/>
    <s v=" 26994.1085 "/>
    <s v=" 67.7051 "/>
    <x v="0"/>
    <n v="1827640"/>
    <m/>
    <m/>
    <m/>
  </r>
  <r>
    <x v="21"/>
    <x v="1"/>
    <s v="D:\Images\20210713\plaque 2/@09  tam 483 + testo/B9_02.tif "/>
    <s v=" 26907.5889 "/>
    <s v=" 66.1174 "/>
    <x v="0"/>
    <n v="1779059"/>
    <m/>
    <m/>
    <m/>
  </r>
  <r>
    <x v="21"/>
    <x v="1"/>
    <s v="D:\Images\20210713\plaque 2/@09  tam 483 + testo/B9_03.tif "/>
    <s v=" 41788.9564 "/>
    <s v=" 70.1097 "/>
    <x v="0"/>
    <n v="2929812"/>
    <m/>
    <m/>
    <m/>
  </r>
  <r>
    <x v="21"/>
    <x v="2"/>
    <s v="D:\Images\20210713\plaque 2/@09  tam 483 + testo/C9_01.tif "/>
    <s v=" 36013.7746 "/>
    <s v=" 68.6366 "/>
    <x v="0"/>
    <n v="2471864"/>
    <m/>
    <m/>
    <m/>
  </r>
  <r>
    <x v="21"/>
    <x v="2"/>
    <s v="D:\Images\20210713\plaque 2/@09  tam 483 + testo/C9_02.tif "/>
    <s v=" 38068.6145 "/>
    <s v=" 70.3023 "/>
    <x v="0"/>
    <n v="2676310"/>
    <m/>
    <m/>
    <m/>
  </r>
  <r>
    <x v="21"/>
    <x v="2"/>
    <s v="D:\Images\20210713\plaque 2/@09  tam 483 + testo/C9_03.tif "/>
    <s v=" 33310.0377 "/>
    <s v=" 68.7494 "/>
    <x v="0"/>
    <n v="2290043"/>
    <m/>
    <m/>
    <m/>
  </r>
  <r>
    <x v="21"/>
    <x v="3"/>
    <s v="D:\Images\20210713\plaque 2/@09  tam 483 + testo/D9_01.tif "/>
    <s v=" 12242.5204 "/>
    <s v=" 66.4346 "/>
    <x v="0"/>
    <n v="813327"/>
    <m/>
    <m/>
    <m/>
  </r>
  <r>
    <x v="21"/>
    <x v="3"/>
    <s v="D:\Images\20210713\plaque 2/@09  tam 483 + testo/D9_02- exclu.tif"/>
    <m/>
    <m/>
    <x v="1"/>
    <m/>
    <m/>
    <m/>
    <m/>
  </r>
  <r>
    <x v="21"/>
    <x v="3"/>
    <s v="D:\Images\20210713\plaque 2/@09  tam 483 + testo/D9_03.tif "/>
    <s v=" 7181.125 "/>
    <s v=" 63.9669 "/>
    <x v="0"/>
    <n v="459354"/>
    <m/>
    <m/>
    <m/>
  </r>
  <r>
    <x v="21"/>
    <x v="4"/>
    <s v="D:\Images\20210713\plaque 2/@09  tam 483 + testo/E9_01.tif "/>
    <s v=" 24636.45 "/>
    <s v=" 69.4934 "/>
    <x v="0"/>
    <n v="1712071"/>
    <m/>
    <m/>
    <m/>
  </r>
  <r>
    <x v="21"/>
    <x v="4"/>
    <s v="D:\Images\20210713\plaque 2/@09  tam 483 + testo/E9_02.tif "/>
    <s v=" 28854.2794 "/>
    <s v=" 69.2976 "/>
    <x v="0"/>
    <n v="1999532"/>
    <m/>
    <m/>
    <m/>
  </r>
  <r>
    <x v="21"/>
    <x v="4"/>
    <s v="D:\Images\20210713\plaque 2/@09  tam 483 + testo/E9_03.tif "/>
    <s v=" 22603.2399 "/>
    <s v=" 68.0191 "/>
    <x v="0"/>
    <n v="1537453"/>
    <m/>
    <m/>
    <m/>
  </r>
  <r>
    <x v="21"/>
    <x v="5"/>
    <s v="D:\Images\20210713\plaque 2/@09  tam 483 + testo/F9_01.tif "/>
    <s v=" 45768.857 "/>
    <s v=" 72.0652 "/>
    <x v="0"/>
    <n v="3298343"/>
    <m/>
    <m/>
    <m/>
  </r>
  <r>
    <x v="21"/>
    <x v="5"/>
    <s v="D:\Images\20210713\plaque 2/@09  tam 483 + testo/F9_02.tif "/>
    <s v=" 48753.7825 "/>
    <s v=" 72.1411 "/>
    <x v="0"/>
    <n v="3517151"/>
    <m/>
    <m/>
    <m/>
  </r>
  <r>
    <x v="21"/>
    <x v="5"/>
    <s v="D:\Images\20210713\plaque 2/@09  tam 483 + testo/F9_03.tif "/>
    <s v=" 45639.0777 "/>
    <s v=" 72.1133 "/>
    <x v="0"/>
    <n v="3291183"/>
    <m/>
    <m/>
    <m/>
  </r>
  <r>
    <x v="21"/>
    <x v="6"/>
    <s v="D:\Images\20210713\plaque 2/@09  tam 483 + testo/G9_01.tif "/>
    <s v=" 38522.8423 "/>
    <s v=" 69.6738 "/>
    <x v="0"/>
    <n v="2684032"/>
    <m/>
    <m/>
    <m/>
  </r>
  <r>
    <x v="21"/>
    <x v="6"/>
    <s v="D:\Images\20210713\plaque 2/@09  tam 483 + testo/G9_02.tif "/>
    <s v=" 43173.2697 "/>
    <s v=" 73.8267 "/>
    <x v="0"/>
    <n v="3187338"/>
    <m/>
    <m/>
    <m/>
  </r>
  <r>
    <x v="21"/>
    <x v="6"/>
    <s v="D:\Images\20210713\plaque 2/@09  tam 483 + testo/G9_03.tif "/>
    <s v=" 43973.5758 "/>
    <s v=" 73.6842 "/>
    <x v="0"/>
    <n v="3240158"/>
    <m/>
    <m/>
    <m/>
  </r>
  <r>
    <x v="21"/>
    <x v="7"/>
    <s v="D:\Images\20210713\plaque 2/@09  tam 483 + testo/H9_01.tif "/>
    <s v=" 23381.9161 "/>
    <s v=" 70.4542 "/>
    <x v="0"/>
    <n v="1647354"/>
    <m/>
    <m/>
    <m/>
  </r>
  <r>
    <x v="21"/>
    <x v="7"/>
    <s v="D:\Images\20210713\plaque 2/@09  tam 483 + testo/H9_02.tif "/>
    <s v=" 27383.4466 "/>
    <s v=" 68.0466 "/>
    <x v="0"/>
    <n v="1863351"/>
    <m/>
    <m/>
    <m/>
  </r>
  <r>
    <x v="21"/>
    <x v="7"/>
    <s v="D:\Images\20210713\plaque 2/@09  tam 483 + testo/H9_03.tif "/>
    <s v=" 26301.9519 "/>
    <s v=" 68.9786 "/>
    <x v="0"/>
    <n v="1814272"/>
    <m/>
    <m/>
    <m/>
  </r>
  <r>
    <x v="1"/>
    <x v="8"/>
    <s v=" "/>
    <m/>
    <m/>
    <x v="1"/>
    <m/>
    <m/>
    <m/>
    <m/>
  </r>
  <r>
    <x v="1"/>
    <x v="8"/>
    <s v="group "/>
    <s v=" "/>
    <s v=" mean of mean fluo "/>
    <x v="2"/>
    <s v=" mean of total fluo "/>
    <s v=" SD total fluo "/>
    <s v=" n fluorescent "/>
    <s v=" n total"/>
  </r>
  <r>
    <x v="21"/>
    <x v="9"/>
    <s v="D:\Images\20210713\plaque 2/@09  tam 483 + testo/ "/>
    <s v=" "/>
    <s v=" 69.0219 "/>
    <x v="23"/>
    <s v=" 1979594.96 "/>
    <s v=" 1001849.72 "/>
    <n v="24"/>
    <n v="24"/>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30.2"/>
    <s v="µg/L"/>
    <s v="Tamoxifen"/>
    <x v="0"/>
  </r>
  <r>
    <x v="9"/>
    <x v="1"/>
    <n v="60.4"/>
    <s v="µg/L"/>
    <s v="Tamoxifen"/>
    <x v="0"/>
  </r>
  <r>
    <x v="10"/>
    <x v="1"/>
    <n v="121"/>
    <s v="µg/L"/>
    <s v="Tamoxifen"/>
    <x v="0"/>
  </r>
  <r>
    <x v="11"/>
    <x v="1"/>
    <n v="242"/>
    <s v="µg/L"/>
    <s v="Tamoxifen"/>
    <x v="0"/>
  </r>
  <r>
    <x v="12"/>
    <x v="1"/>
    <n v="483"/>
    <s v="µg/L"/>
    <s v="Tamoxifen"/>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3"/>
    <x v="1"/>
    <m/>
    <m/>
    <m/>
    <x v="0"/>
  </r>
  <r>
    <x v="14"/>
    <x v="0"/>
    <n v="30"/>
    <s v="µg/L"/>
    <s v="Testo "/>
    <x v="0"/>
  </r>
  <r>
    <x v="15"/>
    <x v="0"/>
    <n v="64"/>
    <s v="ng/L"/>
    <s v="Testo 30µg/L + EE2 "/>
    <x v="0"/>
  </r>
  <r>
    <x v="16"/>
    <x v="0"/>
    <n v="10"/>
    <s v="µg/L"/>
    <s v="Testo 30µg/L + FAD"/>
    <x v="0"/>
  </r>
  <r>
    <x v="17"/>
    <x v="2"/>
    <n v="30.2"/>
    <s v="µg/L"/>
    <s v="Tamoxifen"/>
    <x v="1"/>
  </r>
  <r>
    <x v="18"/>
    <x v="2"/>
    <n v="60.4"/>
    <s v="µg/L"/>
    <s v="Tamoxifen"/>
    <x v="1"/>
  </r>
  <r>
    <x v="19"/>
    <x v="2"/>
    <n v="121"/>
    <s v="µg/L"/>
    <s v="Tamoxifen"/>
    <x v="1"/>
  </r>
  <r>
    <x v="20"/>
    <x v="2"/>
    <n v="242"/>
    <s v="µg/L"/>
    <s v="Tamoxifen"/>
    <x v="1"/>
  </r>
  <r>
    <x v="21"/>
    <x v="2"/>
    <n v="483"/>
    <s v="µg/L"/>
    <s v="Tamoxifen"/>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r>
    <x v="2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h="1" m="1" x="22"/>
        <item h="1"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11" firstHeaderRow="1" firstDataRow="1" firstDataCol="1" rowPageCount="2" colPageCount="1"/>
  <pivotFields count="6">
    <pivotField axis="axisRow" showAll="0" defaultSubtotal="0">
      <items count="24">
        <item x="22"/>
        <item x="13"/>
        <item x="1"/>
        <item x="2"/>
        <item x="3"/>
        <item x="4"/>
        <item x="5"/>
        <item x="6"/>
        <item x="7"/>
        <item x="15"/>
        <item m="1" x="23"/>
        <item x="14"/>
        <item x="0"/>
        <item x="8"/>
        <item x="9"/>
        <item x="10"/>
        <item x="11"/>
        <item x="12"/>
        <item x="16"/>
        <item x="17"/>
        <item x="18"/>
        <item x="19"/>
        <item x="20"/>
        <item x="2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v="1"/>
    </i>
    <i>
      <x v="13"/>
    </i>
    <i>
      <x v="14"/>
    </i>
    <i>
      <x v="15"/>
    </i>
    <i>
      <x v="16"/>
    </i>
    <i>
      <x v="17"/>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11" firstHeaderRow="1" firstDataRow="1" firstDataCol="1" rowPageCount="2" colPageCount="1"/>
  <pivotFields count="6">
    <pivotField axis="axisRow" showAll="0" defaultSubtotal="0">
      <items count="24">
        <item x="22"/>
        <item x="13"/>
        <item x="1"/>
        <item x="2"/>
        <item x="3"/>
        <item x="4"/>
        <item x="5"/>
        <item x="6"/>
        <item x="7"/>
        <item x="15"/>
        <item m="1" x="23"/>
        <item x="14"/>
        <item x="0"/>
        <item x="8"/>
        <item x="9"/>
        <item x="10"/>
        <item x="11"/>
        <item x="12"/>
        <item x="16"/>
        <item x="17"/>
        <item x="18"/>
        <item x="19"/>
        <item x="20"/>
        <item x="2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6">
    <i>
      <x/>
    </i>
    <i>
      <x v="19"/>
    </i>
    <i>
      <x v="20"/>
    </i>
    <i>
      <x v="21"/>
    </i>
    <i>
      <x v="22"/>
    </i>
    <i>
      <x v="23"/>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0BAF193B-A849-4AA4-B7A9-5A5B3F27FFFB}"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8D485A1B-12B8-4A0A-9E6F-FF99490244FE}"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0BB3FC93-3E6E-4F18-AB33-C210EEC7F0C0}"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31" zoomScale="55" zoomScaleNormal="55" workbookViewId="0">
      <selection activeCell="E41" sqref="E41"/>
    </sheetView>
  </sheetViews>
  <sheetFormatPr defaultColWidth="11.5546875" defaultRowHeight="39" customHeight="1" x14ac:dyDescent="0.3"/>
  <cols>
    <col min="1" max="1" width="42" bestFit="1" customWidth="1"/>
    <col min="2" max="2" width="33.88671875" style="44" bestFit="1" customWidth="1"/>
    <col min="3" max="3" width="21.33203125" customWidth="1"/>
    <col min="4" max="4" width="30.44140625" customWidth="1"/>
    <col min="5" max="5" width="62.33203125" style="159" bestFit="1" customWidth="1"/>
    <col min="6" max="6" width="56.6640625" bestFit="1" customWidth="1"/>
    <col min="7" max="7" width="19.44140625" customWidth="1"/>
    <col min="8" max="8" width="15.33203125" customWidth="1"/>
    <col min="9" max="9" width="18" customWidth="1"/>
    <col min="10" max="10" width="19.5546875" bestFit="1" customWidth="1"/>
  </cols>
  <sheetData>
    <row r="1" spans="1:9" ht="39" customHeight="1" thickBot="1" x14ac:dyDescent="0.35">
      <c r="A1" s="197" t="s">
        <v>36</v>
      </c>
      <c r="B1" s="198"/>
      <c r="C1" s="198"/>
      <c r="D1" s="198"/>
      <c r="E1" s="198"/>
      <c r="F1" s="198"/>
      <c r="G1" s="198"/>
      <c r="H1" s="198"/>
      <c r="I1" s="199"/>
    </row>
    <row r="2" spans="1:9" ht="21" x14ac:dyDescent="0.4">
      <c r="A2" s="187" t="s">
        <v>17</v>
      </c>
      <c r="B2" s="42" t="s">
        <v>115</v>
      </c>
      <c r="C2" s="200"/>
      <c r="D2" s="201"/>
      <c r="E2" s="42" t="s">
        <v>21</v>
      </c>
      <c r="F2" s="212"/>
      <c r="G2" s="213"/>
      <c r="H2" s="213"/>
      <c r="I2" s="214"/>
    </row>
    <row r="3" spans="1:9" ht="21" x14ac:dyDescent="0.4">
      <c r="A3" s="188" t="s">
        <v>18</v>
      </c>
      <c r="B3" s="43" t="s">
        <v>115</v>
      </c>
      <c r="C3" s="202"/>
      <c r="D3" s="203"/>
      <c r="E3" s="43" t="s">
        <v>21</v>
      </c>
      <c r="F3" s="209"/>
      <c r="G3" s="210"/>
      <c r="H3" s="210"/>
      <c r="I3" s="211"/>
    </row>
    <row r="4" spans="1:9" ht="21.6" thickBot="1" x14ac:dyDescent="0.45">
      <c r="A4" s="189" t="s">
        <v>22</v>
      </c>
      <c r="B4" s="177" t="s">
        <v>115</v>
      </c>
      <c r="C4" s="204"/>
      <c r="D4" s="205"/>
      <c r="E4" s="177" t="s">
        <v>21</v>
      </c>
      <c r="F4" s="206"/>
      <c r="G4" s="207"/>
      <c r="H4" s="207"/>
      <c r="I4" s="208"/>
    </row>
    <row r="5" spans="1:9" s="1" customFormat="1" ht="65.25" customHeight="1" thickBot="1" x14ac:dyDescent="0.35">
      <c r="A5" s="197" t="s">
        <v>37</v>
      </c>
      <c r="B5" s="198"/>
      <c r="C5" s="198"/>
      <c r="D5" s="198"/>
      <c r="E5" s="198"/>
      <c r="F5" s="198"/>
      <c r="G5" s="198"/>
      <c r="H5" s="198"/>
      <c r="I5" s="199"/>
    </row>
    <row r="6" spans="1:9" s="109" customFormat="1" ht="39" customHeight="1" x14ac:dyDescent="0.4">
      <c r="A6" s="75" t="s">
        <v>35</v>
      </c>
      <c r="B6" s="100" t="s">
        <v>7</v>
      </c>
      <c r="C6" s="64" t="s">
        <v>19</v>
      </c>
      <c r="D6" s="64" t="s">
        <v>75</v>
      </c>
      <c r="E6" s="156" t="s">
        <v>51</v>
      </c>
      <c r="F6" s="108" t="s">
        <v>78</v>
      </c>
    </row>
    <row r="7" spans="1:9" s="165" customFormat="1" ht="39" customHeight="1" x14ac:dyDescent="0.4">
      <c r="A7"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1" t="s">
        <v>123</v>
      </c>
      <c r="C7" s="162"/>
      <c r="D7" s="163"/>
      <c r="E7" s="164" t="s">
        <v>125</v>
      </c>
      <c r="F7" s="110"/>
    </row>
    <row r="8" spans="1:9" s="165" customFormat="1" ht="39" customHeight="1" x14ac:dyDescent="0.4">
      <c r="A8"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1" t="s">
        <v>123</v>
      </c>
      <c r="C8" s="162">
        <v>22.5</v>
      </c>
      <c r="D8" s="163" t="s">
        <v>124</v>
      </c>
      <c r="E8" s="164" t="s">
        <v>126</v>
      </c>
      <c r="F8" s="110"/>
    </row>
    <row r="9" spans="1:9" s="165" customFormat="1" ht="39" customHeight="1" x14ac:dyDescent="0.4">
      <c r="A9"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1" t="s">
        <v>123</v>
      </c>
      <c r="C9" s="162">
        <v>33.799999999999997</v>
      </c>
      <c r="D9" s="163" t="s">
        <v>124</v>
      </c>
      <c r="E9" s="164" t="s">
        <v>126</v>
      </c>
      <c r="F9" s="110"/>
    </row>
    <row r="10" spans="1:9" s="165" customFormat="1" ht="39" customHeight="1" x14ac:dyDescent="0.4">
      <c r="A10"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1" t="s">
        <v>123</v>
      </c>
      <c r="C10" s="162">
        <v>50.6</v>
      </c>
      <c r="D10" s="163" t="s">
        <v>124</v>
      </c>
      <c r="E10" s="164" t="s">
        <v>126</v>
      </c>
      <c r="F10" s="110"/>
    </row>
    <row r="11" spans="1:9" s="165" customFormat="1" ht="39" customHeight="1" x14ac:dyDescent="0.4">
      <c r="A11"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1" t="s">
        <v>123</v>
      </c>
      <c r="C11" s="162">
        <v>76</v>
      </c>
      <c r="D11" s="163" t="s">
        <v>124</v>
      </c>
      <c r="E11" s="164" t="s">
        <v>126</v>
      </c>
      <c r="F11" s="110"/>
    </row>
    <row r="12" spans="1:9" s="165" customFormat="1" ht="39" customHeight="1" x14ac:dyDescent="0.4">
      <c r="A12"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1" t="s">
        <v>123</v>
      </c>
      <c r="C12" s="162">
        <v>114</v>
      </c>
      <c r="D12" s="163" t="s">
        <v>124</v>
      </c>
      <c r="E12" s="164" t="s">
        <v>126</v>
      </c>
      <c r="F12" s="110"/>
    </row>
    <row r="13" spans="1:9" s="165" customFormat="1" ht="39" customHeight="1" x14ac:dyDescent="0.4">
      <c r="A13"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1" t="s">
        <v>123</v>
      </c>
      <c r="C13" s="162">
        <v>170.9</v>
      </c>
      <c r="D13" s="163" t="s">
        <v>124</v>
      </c>
      <c r="E13" s="164" t="s">
        <v>126</v>
      </c>
      <c r="F13" s="110"/>
    </row>
    <row r="14" spans="1:9" s="165" customFormat="1" ht="39" customHeight="1" x14ac:dyDescent="0.4">
      <c r="A14"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1" t="s">
        <v>123</v>
      </c>
      <c r="C14" s="162">
        <v>488</v>
      </c>
      <c r="D14" s="163" t="s">
        <v>124</v>
      </c>
      <c r="E14" s="164" t="s">
        <v>126</v>
      </c>
      <c r="F14" s="110"/>
    </row>
    <row r="15" spans="1:9" s="165" customFormat="1" ht="39" customHeight="1" x14ac:dyDescent="0.4">
      <c r="A15" s="160" t="s">
        <v>165</v>
      </c>
      <c r="B15" s="161"/>
      <c r="C15" s="162">
        <v>30.2</v>
      </c>
      <c r="D15" s="163" t="s">
        <v>127</v>
      </c>
      <c r="E15" s="164" t="s">
        <v>170</v>
      </c>
      <c r="F15" s="110"/>
    </row>
    <row r="16" spans="1:9" s="111" customFormat="1" ht="39" customHeight="1" x14ac:dyDescent="0.3">
      <c r="A16" s="160" t="s">
        <v>166</v>
      </c>
      <c r="B16" s="40"/>
      <c r="C16" s="162">
        <v>60.4</v>
      </c>
      <c r="D16" s="163" t="s">
        <v>127</v>
      </c>
      <c r="E16" s="164" t="s">
        <v>170</v>
      </c>
      <c r="F16" s="110"/>
    </row>
    <row r="17" spans="1:6" s="111" customFormat="1" ht="39" customHeight="1" x14ac:dyDescent="0.3">
      <c r="A17" s="160" t="s">
        <v>167</v>
      </c>
      <c r="B17" s="101"/>
      <c r="C17" s="162">
        <v>121</v>
      </c>
      <c r="D17" s="163" t="s">
        <v>127</v>
      </c>
      <c r="E17" s="164" t="s">
        <v>170</v>
      </c>
      <c r="F17" s="110"/>
    </row>
    <row r="18" spans="1:6" s="111" customFormat="1" ht="39" customHeight="1" x14ac:dyDescent="0.3">
      <c r="A18" s="160" t="s">
        <v>168</v>
      </c>
      <c r="B18" s="40"/>
      <c r="C18" s="162">
        <v>242</v>
      </c>
      <c r="D18" s="163" t="s">
        <v>127</v>
      </c>
      <c r="E18" s="164" t="s">
        <v>170</v>
      </c>
      <c r="F18" s="110"/>
    </row>
    <row r="19" spans="1:6" s="111" customFormat="1" ht="39" customHeight="1" x14ac:dyDescent="0.3">
      <c r="A19" s="160" t="s">
        <v>169</v>
      </c>
      <c r="B19" s="101"/>
      <c r="C19" s="162">
        <v>483</v>
      </c>
      <c r="D19" s="163" t="s">
        <v>127</v>
      </c>
      <c r="E19" s="164" t="s">
        <v>170</v>
      </c>
      <c r="F19" s="110"/>
    </row>
    <row r="20" spans="1:6" s="111" customFormat="1" ht="39" customHeight="1" x14ac:dyDescent="0.3">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62"/>
      <c r="D20" s="105"/>
      <c r="E20" s="40"/>
      <c r="F20" s="110"/>
    </row>
    <row r="21" spans="1:6" s="111" customFormat="1" ht="39" customHeight="1" x14ac:dyDescent="0.3">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62"/>
      <c r="D21" s="105"/>
      <c r="E21" s="101"/>
      <c r="F21" s="110"/>
    </row>
    <row r="22" spans="1:6" s="111" customFormat="1" ht="39" customHeight="1" x14ac:dyDescent="0.3">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62"/>
      <c r="D22" s="105"/>
      <c r="E22" s="40"/>
      <c r="F22" s="110"/>
    </row>
    <row r="23" spans="1:6" s="111" customFormat="1" ht="39" customHeight="1" x14ac:dyDescent="0.3">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62"/>
      <c r="D23" s="105"/>
      <c r="E23" s="101"/>
      <c r="F23" s="110"/>
    </row>
    <row r="24" spans="1:6" s="111" customFormat="1" ht="39" customHeight="1" x14ac:dyDescent="0.3">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62"/>
      <c r="D24" s="105"/>
      <c r="E24" s="40"/>
      <c r="F24" s="110"/>
    </row>
    <row r="25" spans="1:6" s="111" customFormat="1" ht="39" customHeight="1" x14ac:dyDescent="0.3">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62"/>
      <c r="D25" s="105"/>
      <c r="E25" s="101"/>
      <c r="F25" s="110"/>
    </row>
    <row r="26" spans="1:6" s="111" customFormat="1" ht="39" customHeight="1" x14ac:dyDescent="0.3">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62"/>
      <c r="D26" s="105"/>
      <c r="E26" s="40"/>
      <c r="F26" s="110"/>
    </row>
    <row r="27" spans="1:6" s="111" customFormat="1" ht="39" customHeight="1" x14ac:dyDescent="0.3">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62"/>
      <c r="D27" s="105"/>
      <c r="E27" s="101"/>
      <c r="F27" s="110"/>
    </row>
    <row r="28" spans="1:6" s="111" customFormat="1" ht="39" customHeight="1" x14ac:dyDescent="0.3">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62"/>
      <c r="D28" s="105"/>
      <c r="E28" s="40"/>
      <c r="F28" s="110"/>
    </row>
    <row r="29" spans="1:6" s="111" customFormat="1" ht="39" customHeight="1" x14ac:dyDescent="0.3">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62"/>
      <c r="D29" s="105"/>
      <c r="E29" s="101"/>
      <c r="F29" s="110"/>
    </row>
    <row r="30" spans="1:6" s="111" customFormat="1" ht="39" customHeight="1" x14ac:dyDescent="0.3">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62"/>
      <c r="D30" s="114"/>
      <c r="E30" s="40"/>
      <c r="F30" s="110"/>
    </row>
    <row r="31" spans="1:6" s="111" customFormat="1" ht="39" customHeight="1" x14ac:dyDescent="0.3">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62"/>
      <c r="D31" s="114"/>
      <c r="E31" s="101"/>
      <c r="F31" s="110"/>
    </row>
    <row r="32" spans="1:6" s="111" customFormat="1" ht="39" customHeight="1" x14ac:dyDescent="0.3">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62"/>
      <c r="D32" s="114"/>
      <c r="E32" s="40"/>
      <c r="F32" s="110"/>
    </row>
    <row r="33" spans="1:6" s="111" customFormat="1" ht="39" customHeight="1" x14ac:dyDescent="0.3">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62"/>
      <c r="D33" s="114"/>
      <c r="E33" s="101"/>
      <c r="F33" s="110"/>
    </row>
    <row r="34" spans="1:6" s="111" customFormat="1" ht="39" customHeight="1" x14ac:dyDescent="0.3">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62"/>
      <c r="D34" s="114"/>
      <c r="E34" s="40"/>
      <c r="F34" s="110"/>
    </row>
    <row r="35" spans="1:6" s="111" customFormat="1" ht="39" customHeight="1" thickBot="1" x14ac:dyDescent="0.35">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6"/>
      <c r="C35" s="193"/>
      <c r="D35" s="115"/>
      <c r="E35" s="166"/>
      <c r="F35" s="110"/>
    </row>
    <row r="36" spans="1:6" s="111" customFormat="1" ht="39" customHeight="1" x14ac:dyDescent="0.3">
      <c r="A36" s="167"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7" t="s">
        <v>20</v>
      </c>
      <c r="F36" s="168"/>
    </row>
    <row r="37" spans="1:6" s="111" customFormat="1" ht="39" customHeight="1" x14ac:dyDescent="0.3">
      <c r="A37"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8" t="s">
        <v>128</v>
      </c>
      <c r="F37" s="170"/>
    </row>
    <row r="38" spans="1:6" s="111" customFormat="1" ht="39" customHeight="1" thickBot="1" x14ac:dyDescent="0.35">
      <c r="A38"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2" t="s">
        <v>123</v>
      </c>
      <c r="C38" s="173">
        <v>10</v>
      </c>
      <c r="D38" s="174" t="s">
        <v>127</v>
      </c>
      <c r="E38" s="175" t="s">
        <v>129</v>
      </c>
      <c r="F38" s="176"/>
    </row>
    <row r="39" spans="1:6" s="111" customFormat="1" ht="39" customHeight="1" x14ac:dyDescent="0.3">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Tamoxifen-30.2µg/L + Testostérone</v>
      </c>
      <c r="B39" s="194">
        <f>B15</f>
        <v>0</v>
      </c>
      <c r="C39" s="194">
        <f t="shared" ref="C39:E39" si="0">C15</f>
        <v>30.2</v>
      </c>
      <c r="D39" s="194" t="str">
        <f t="shared" si="0"/>
        <v>µg/L</v>
      </c>
      <c r="E39" s="194" t="str">
        <f t="shared" si="0"/>
        <v>Tamoxifen</v>
      </c>
      <c r="F39" s="112" t="s">
        <v>50</v>
      </c>
    </row>
    <row r="40" spans="1:6" s="111" customFormat="1" ht="39" customHeight="1" x14ac:dyDescent="0.3">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Tamoxifen-60.4µg/L + Testostérone</v>
      </c>
      <c r="B40" s="107">
        <f t="shared" ref="B40:E40" si="1">B16</f>
        <v>0</v>
      </c>
      <c r="C40" s="107">
        <f t="shared" si="1"/>
        <v>60.4</v>
      </c>
      <c r="D40" s="107" t="str">
        <f t="shared" si="1"/>
        <v>µg/L</v>
      </c>
      <c r="E40" s="107" t="str">
        <f t="shared" si="1"/>
        <v>Tamoxifen</v>
      </c>
      <c r="F40" s="113" t="s">
        <v>50</v>
      </c>
    </row>
    <row r="41" spans="1:6" s="111" customFormat="1" ht="39" customHeight="1" x14ac:dyDescent="0.3">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Tamoxifen-121µg/L + Testostérone</v>
      </c>
      <c r="B41" s="107">
        <f t="shared" ref="B41:E41" si="2">B17</f>
        <v>0</v>
      </c>
      <c r="C41" s="107">
        <f t="shared" si="2"/>
        <v>121</v>
      </c>
      <c r="D41" s="107" t="str">
        <f t="shared" si="2"/>
        <v>µg/L</v>
      </c>
      <c r="E41" s="107" t="str">
        <f t="shared" si="2"/>
        <v>Tamoxifen</v>
      </c>
      <c r="F41" s="113" t="s">
        <v>50</v>
      </c>
    </row>
    <row r="42" spans="1:6" s="111" customFormat="1" ht="39" customHeight="1" x14ac:dyDescent="0.3">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Tamoxifen-242µg/L + Testostérone</v>
      </c>
      <c r="B42" s="107">
        <f t="shared" ref="B42:E42" si="3">B18</f>
        <v>0</v>
      </c>
      <c r="C42" s="107">
        <f t="shared" si="3"/>
        <v>242</v>
      </c>
      <c r="D42" s="107" t="str">
        <f t="shared" si="3"/>
        <v>µg/L</v>
      </c>
      <c r="E42" s="107" t="str">
        <f t="shared" si="3"/>
        <v>Tamoxifen</v>
      </c>
      <c r="F42" s="113" t="s">
        <v>50</v>
      </c>
    </row>
    <row r="43" spans="1:6" s="111" customFormat="1" ht="39" customHeight="1" x14ac:dyDescent="0.3">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Tamoxifen-483µg/L + Testostérone</v>
      </c>
      <c r="B43" s="107">
        <f t="shared" ref="B43:E43" si="4">B19</f>
        <v>0</v>
      </c>
      <c r="C43" s="107">
        <f t="shared" si="4"/>
        <v>483</v>
      </c>
      <c r="D43" s="107" t="str">
        <f t="shared" si="4"/>
        <v>µg/L</v>
      </c>
      <c r="E43" s="107" t="str">
        <f t="shared" si="4"/>
        <v>Tamoxifen</v>
      </c>
      <c r="F43" s="113" t="s">
        <v>50</v>
      </c>
    </row>
    <row r="44" spans="1:6" s="111" customFormat="1" ht="39" customHeight="1" x14ac:dyDescent="0.3">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1">
        <f t="shared" ref="B44:E44" si="5">B20</f>
        <v>0</v>
      </c>
      <c r="C44" s="191">
        <f t="shared" si="5"/>
        <v>0</v>
      </c>
      <c r="D44" s="191">
        <f t="shared" si="5"/>
        <v>0</v>
      </c>
      <c r="E44" s="191">
        <f t="shared" si="5"/>
        <v>0</v>
      </c>
      <c r="F44" s="113" t="s">
        <v>50</v>
      </c>
    </row>
    <row r="45" spans="1:6" s="111" customFormat="1" ht="39" customHeight="1" x14ac:dyDescent="0.3">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1">
        <f t="shared" ref="B45:E45" si="6">B21</f>
        <v>0</v>
      </c>
      <c r="C45" s="191">
        <f t="shared" si="6"/>
        <v>0</v>
      </c>
      <c r="D45" s="191">
        <f t="shared" si="6"/>
        <v>0</v>
      </c>
      <c r="E45" s="191">
        <f t="shared" si="6"/>
        <v>0</v>
      </c>
      <c r="F45" s="113" t="s">
        <v>50</v>
      </c>
    </row>
    <row r="46" spans="1:6" s="111" customFormat="1" ht="39" customHeight="1" x14ac:dyDescent="0.3">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1">
        <f t="shared" ref="B46:E46" si="7">B22</f>
        <v>0</v>
      </c>
      <c r="C46" s="191">
        <f t="shared" si="7"/>
        <v>0</v>
      </c>
      <c r="D46" s="191">
        <f t="shared" si="7"/>
        <v>0</v>
      </c>
      <c r="E46" s="191">
        <f t="shared" si="7"/>
        <v>0</v>
      </c>
      <c r="F46" s="113" t="s">
        <v>50</v>
      </c>
    </row>
    <row r="47" spans="1:6" s="111" customFormat="1" ht="39" customHeight="1" x14ac:dyDescent="0.3">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1">
        <f t="shared" ref="B47:E47" si="8">B23</f>
        <v>0</v>
      </c>
      <c r="C47" s="191">
        <f t="shared" si="8"/>
        <v>0</v>
      </c>
      <c r="D47" s="191">
        <f t="shared" si="8"/>
        <v>0</v>
      </c>
      <c r="E47" s="191">
        <f t="shared" si="8"/>
        <v>0</v>
      </c>
      <c r="F47" s="113" t="s">
        <v>50</v>
      </c>
    </row>
    <row r="48" spans="1:6" s="111" customFormat="1" ht="39" customHeight="1" x14ac:dyDescent="0.3">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1">
        <f t="shared" ref="B48:E48" si="9">B24</f>
        <v>0</v>
      </c>
      <c r="C48" s="191">
        <f t="shared" si="9"/>
        <v>0</v>
      </c>
      <c r="D48" s="191">
        <f t="shared" si="9"/>
        <v>0</v>
      </c>
      <c r="E48" s="191">
        <f t="shared" si="9"/>
        <v>0</v>
      </c>
      <c r="F48" s="113" t="s">
        <v>50</v>
      </c>
    </row>
    <row r="49" spans="1:6" s="111" customFormat="1" ht="39" customHeight="1" x14ac:dyDescent="0.3">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1">
        <f t="shared" ref="B49:E49" si="10">B25</f>
        <v>0</v>
      </c>
      <c r="C49" s="191">
        <f t="shared" si="10"/>
        <v>0</v>
      </c>
      <c r="D49" s="191">
        <f t="shared" si="10"/>
        <v>0</v>
      </c>
      <c r="E49" s="191">
        <f t="shared" si="10"/>
        <v>0</v>
      </c>
      <c r="F49" s="113" t="s">
        <v>50</v>
      </c>
    </row>
    <row r="50" spans="1:6" s="111" customFormat="1" ht="39" customHeight="1" x14ac:dyDescent="0.3">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1">
        <f t="shared" ref="B50:E50" si="11">B26</f>
        <v>0</v>
      </c>
      <c r="C50" s="191">
        <f t="shared" si="11"/>
        <v>0</v>
      </c>
      <c r="D50" s="191">
        <f t="shared" si="11"/>
        <v>0</v>
      </c>
      <c r="E50" s="191">
        <f t="shared" si="11"/>
        <v>0</v>
      </c>
      <c r="F50" s="113" t="s">
        <v>50</v>
      </c>
    </row>
    <row r="51" spans="1:6" s="111" customFormat="1" ht="39" customHeight="1" x14ac:dyDescent="0.3">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1">
        <f t="shared" ref="B51:E51" si="12">B27</f>
        <v>0</v>
      </c>
      <c r="C51" s="191">
        <f t="shared" si="12"/>
        <v>0</v>
      </c>
      <c r="D51" s="191">
        <f t="shared" si="12"/>
        <v>0</v>
      </c>
      <c r="E51" s="191">
        <f t="shared" si="12"/>
        <v>0</v>
      </c>
      <c r="F51" s="113" t="s">
        <v>50</v>
      </c>
    </row>
    <row r="52" spans="1:6" s="111" customFormat="1" ht="39" customHeight="1" x14ac:dyDescent="0.3">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1">
        <f t="shared" ref="B52:E52" si="13">B28</f>
        <v>0</v>
      </c>
      <c r="C52" s="191">
        <f t="shared" si="13"/>
        <v>0</v>
      </c>
      <c r="D52" s="191">
        <f t="shared" si="13"/>
        <v>0</v>
      </c>
      <c r="E52" s="191">
        <f t="shared" si="13"/>
        <v>0</v>
      </c>
      <c r="F52" s="113" t="s">
        <v>50</v>
      </c>
    </row>
    <row r="53" spans="1:6" s="111" customFormat="1" ht="39" customHeight="1" x14ac:dyDescent="0.3">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1">
        <f t="shared" ref="B53:E53" si="14">B29</f>
        <v>0</v>
      </c>
      <c r="C53" s="191">
        <f t="shared" si="14"/>
        <v>0</v>
      </c>
      <c r="D53" s="191">
        <f t="shared" si="14"/>
        <v>0</v>
      </c>
      <c r="E53" s="191">
        <f t="shared" si="14"/>
        <v>0</v>
      </c>
      <c r="F53" s="113" t="s">
        <v>50</v>
      </c>
    </row>
    <row r="54" spans="1:6" s="111" customFormat="1" ht="39" customHeight="1" x14ac:dyDescent="0.3">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1">
        <f t="shared" ref="B54:E54" si="15">B30</f>
        <v>0</v>
      </c>
      <c r="C54" s="191">
        <f t="shared" si="15"/>
        <v>0</v>
      </c>
      <c r="D54" s="191">
        <f t="shared" si="15"/>
        <v>0</v>
      </c>
      <c r="E54" s="191">
        <f t="shared" si="15"/>
        <v>0</v>
      </c>
      <c r="F54" s="113" t="s">
        <v>50</v>
      </c>
    </row>
    <row r="55" spans="1:6" s="111" customFormat="1" ht="39" customHeight="1" x14ac:dyDescent="0.3">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1">
        <f t="shared" ref="B55:E55" si="16">B31</f>
        <v>0</v>
      </c>
      <c r="C55" s="191">
        <f t="shared" si="16"/>
        <v>0</v>
      </c>
      <c r="D55" s="191">
        <f t="shared" si="16"/>
        <v>0</v>
      </c>
      <c r="E55" s="191">
        <f t="shared" si="16"/>
        <v>0</v>
      </c>
      <c r="F55" s="113" t="s">
        <v>50</v>
      </c>
    </row>
    <row r="56" spans="1:6" s="111" customFormat="1" ht="39" customHeight="1" x14ac:dyDescent="0.3">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1">
        <f t="shared" ref="B56:E56" si="17">B32</f>
        <v>0</v>
      </c>
      <c r="C56" s="191">
        <f t="shared" si="17"/>
        <v>0</v>
      </c>
      <c r="D56" s="191">
        <f t="shared" si="17"/>
        <v>0</v>
      </c>
      <c r="E56" s="191">
        <f t="shared" si="17"/>
        <v>0</v>
      </c>
      <c r="F56" s="113" t="s">
        <v>50</v>
      </c>
    </row>
    <row r="57" spans="1:6" s="111" customFormat="1" ht="39" customHeight="1" x14ac:dyDescent="0.3">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1">
        <f t="shared" ref="B57:E57" si="18">B33</f>
        <v>0</v>
      </c>
      <c r="C57" s="191">
        <f t="shared" si="18"/>
        <v>0</v>
      </c>
      <c r="D57" s="191">
        <f t="shared" si="18"/>
        <v>0</v>
      </c>
      <c r="E57" s="191">
        <f t="shared" si="18"/>
        <v>0</v>
      </c>
      <c r="F57" s="113" t="s">
        <v>50</v>
      </c>
    </row>
    <row r="58" spans="1:6" s="111" customFormat="1" ht="39" customHeight="1" x14ac:dyDescent="0.3">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0">
        <f t="shared" ref="B58:E58" si="19">B34</f>
        <v>0</v>
      </c>
      <c r="C58" s="190">
        <f t="shared" si="19"/>
        <v>0</v>
      </c>
      <c r="D58" s="190">
        <f t="shared" si="19"/>
        <v>0</v>
      </c>
      <c r="E58" s="190">
        <f t="shared" si="19"/>
        <v>0</v>
      </c>
      <c r="F58" s="113" t="s">
        <v>50</v>
      </c>
    </row>
  </sheetData>
  <protectedRanges>
    <protectedRange sqref="C20:D38 A20:A52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24"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5546875" defaultRowHeight="14.4" x14ac:dyDescent="0.3"/>
  <cols>
    <col min="1" max="1" width="14.109375" customWidth="1"/>
    <col min="2" max="2" width="14" customWidth="1"/>
    <col min="3" max="3" width="11.5546875" customWidth="1"/>
    <col min="4" max="4" width="12.44140625" customWidth="1"/>
    <col min="5" max="5" width="17.33203125" customWidth="1"/>
    <col min="7" max="7" width="19.5546875" customWidth="1"/>
    <col min="9" max="9" width="15.6640625" customWidth="1"/>
  </cols>
  <sheetData>
    <row r="1" spans="1:9" x14ac:dyDescent="0.3">
      <c r="A1" t="s">
        <v>107</v>
      </c>
      <c r="B1" t="s">
        <v>108</v>
      </c>
      <c r="C1" t="s">
        <v>109</v>
      </c>
      <c r="D1" t="s">
        <v>110</v>
      </c>
      <c r="E1" t="s">
        <v>111</v>
      </c>
      <c r="F1" t="s">
        <v>112</v>
      </c>
      <c r="G1" t="s">
        <v>113</v>
      </c>
      <c r="H1" t="s">
        <v>117</v>
      </c>
      <c r="I1" t="s">
        <v>118</v>
      </c>
    </row>
    <row r="2" spans="1:9" x14ac:dyDescent="0.3">
      <c r="A2" t="s">
        <v>152</v>
      </c>
      <c r="B2" t="s">
        <v>163</v>
      </c>
      <c r="C2" t="s">
        <v>143</v>
      </c>
      <c r="D2" t="s">
        <v>146</v>
      </c>
      <c r="E2" t="s">
        <v>147</v>
      </c>
      <c r="F2" t="s">
        <v>112</v>
      </c>
      <c r="G2">
        <v>360268</v>
      </c>
    </row>
    <row r="3" spans="1:9" x14ac:dyDescent="0.3">
      <c r="A3" t="s">
        <v>152</v>
      </c>
      <c r="B3" t="s">
        <v>163</v>
      </c>
      <c r="C3" t="s">
        <v>144</v>
      </c>
      <c r="D3" t="s">
        <v>148</v>
      </c>
      <c r="E3" t="s">
        <v>149</v>
      </c>
      <c r="F3" t="s">
        <v>112</v>
      </c>
      <c r="G3">
        <v>372315</v>
      </c>
    </row>
    <row r="4" spans="1:9" x14ac:dyDescent="0.3">
      <c r="A4" t="s">
        <v>152</v>
      </c>
      <c r="B4" t="s">
        <v>163</v>
      </c>
      <c r="C4" t="s">
        <v>145</v>
      </c>
      <c r="D4" t="s">
        <v>150</v>
      </c>
      <c r="E4" t="s">
        <v>151</v>
      </c>
      <c r="F4" t="s">
        <v>112</v>
      </c>
      <c r="G4">
        <v>237626</v>
      </c>
    </row>
    <row r="5" spans="1:9" x14ac:dyDescent="0.3">
      <c r="A5" t="s">
        <v>152</v>
      </c>
      <c r="B5" t="s">
        <v>163</v>
      </c>
      <c r="C5" t="s">
        <v>160</v>
      </c>
      <c r="D5" t="s">
        <v>161</v>
      </c>
      <c r="E5" t="s">
        <v>162</v>
      </c>
      <c r="F5" t="s">
        <v>112</v>
      </c>
      <c r="G5">
        <v>1439015</v>
      </c>
    </row>
    <row r="6" spans="1:9" x14ac:dyDescent="0.3">
      <c r="A6" t="s">
        <v>152</v>
      </c>
      <c r="B6" t="s">
        <v>163</v>
      </c>
      <c r="C6" t="s">
        <v>157</v>
      </c>
      <c r="D6" t="s">
        <v>158</v>
      </c>
      <c r="E6" t="s">
        <v>159</v>
      </c>
      <c r="F6" t="s">
        <v>112</v>
      </c>
      <c r="G6">
        <v>1433586</v>
      </c>
    </row>
    <row r="7" spans="1:9" x14ac:dyDescent="0.3">
      <c r="A7" t="s">
        <v>152</v>
      </c>
      <c r="B7" t="s">
        <v>163</v>
      </c>
      <c r="C7" t="s">
        <v>154</v>
      </c>
      <c r="D7" t="s">
        <v>155</v>
      </c>
      <c r="E7" t="s">
        <v>156</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J1" zoomScale="70" zoomScaleNormal="70" workbookViewId="0">
      <selection activeCell="Z5" sqref="Z5:AF12"/>
    </sheetView>
  </sheetViews>
  <sheetFormatPr defaultColWidth="11.44140625" defaultRowHeight="14.4" x14ac:dyDescent="0.3"/>
  <cols>
    <col min="1" max="1" width="15" style="1" customWidth="1"/>
    <col min="2" max="2" width="26.5546875" style="1" customWidth="1"/>
    <col min="3" max="3" width="87.109375" style="1" bestFit="1" customWidth="1"/>
    <col min="4" max="4" width="14" style="1" customWidth="1"/>
    <col min="5" max="5" width="21.109375" style="1" customWidth="1"/>
    <col min="6" max="6" width="11.44140625" style="1"/>
    <col min="7" max="7" width="21.44140625" style="1" customWidth="1"/>
    <col min="8" max="8" width="12.33203125" style="1" customWidth="1"/>
    <col min="9" max="9" width="17.109375" style="1" customWidth="1"/>
    <col min="10" max="10" width="11.44140625" style="1"/>
    <col min="11" max="11" width="5.44140625" style="1" customWidth="1"/>
    <col min="12" max="12" width="15.44140625" style="1" customWidth="1"/>
    <col min="13" max="14" width="12.88671875" style="1" customWidth="1"/>
    <col min="15" max="20" width="12.33203125" style="1" customWidth="1"/>
    <col min="21" max="21" width="17.44140625" style="1" customWidth="1"/>
    <col min="22" max="25" width="12.33203125" style="1" customWidth="1"/>
    <col min="26" max="27" width="15.5546875" style="1" customWidth="1"/>
    <col min="28" max="28" width="14.33203125" style="1" customWidth="1"/>
    <col min="29" max="16384" width="11.44140625" style="1"/>
  </cols>
  <sheetData>
    <row r="1" spans="1:144" x14ac:dyDescent="0.3">
      <c r="A1" s="1" t="s">
        <v>107</v>
      </c>
      <c r="B1" s="1" t="s">
        <v>108</v>
      </c>
      <c r="C1" s="1" t="s">
        <v>109</v>
      </c>
      <c r="D1" s="1" t="s">
        <v>110</v>
      </c>
      <c r="E1" s="1" t="s">
        <v>111</v>
      </c>
      <c r="F1" s="1" t="s">
        <v>112</v>
      </c>
      <c r="G1" s="1" t="s">
        <v>113</v>
      </c>
      <c r="H1" s="1" t="s">
        <v>117</v>
      </c>
      <c r="I1" s="1" t="s">
        <v>118</v>
      </c>
      <c r="J1" s="1" t="s">
        <v>1669</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01 Témoins solvant</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171</v>
      </c>
      <c r="D2" s="1" t="s">
        <v>172</v>
      </c>
      <c r="E2" s="1" t="s">
        <v>173</v>
      </c>
      <c r="F2" s="1" t="s">
        <v>112</v>
      </c>
      <c r="G2" s="1">
        <v>212211</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01 Témoins solvant</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174</v>
      </c>
      <c r="D3" s="1" t="s">
        <v>175</v>
      </c>
      <c r="E3" s="1" t="s">
        <v>176</v>
      </c>
      <c r="F3" s="1" t="s">
        <v>112</v>
      </c>
      <c r="G3" s="1">
        <v>243250</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01 Témoins solvant</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177</v>
      </c>
      <c r="D4" s="1" t="s">
        <v>178</v>
      </c>
      <c r="E4" s="1" t="s">
        <v>179</v>
      </c>
      <c r="F4" s="1" t="s">
        <v>112</v>
      </c>
      <c r="G4" s="1">
        <v>172628</v>
      </c>
      <c r="K4" s="118" t="s">
        <v>100</v>
      </c>
      <c r="L4" s="1" t="s">
        <v>1670</v>
      </c>
      <c r="M4" s="1" t="s">
        <v>1671</v>
      </c>
      <c r="N4" s="1" t="s">
        <v>1672</v>
      </c>
      <c r="O4" s="1" t="s">
        <v>1673</v>
      </c>
      <c r="P4" s="1" t="s">
        <v>1674</v>
      </c>
      <c r="Q4" s="1" t="s">
        <v>1675</v>
      </c>
      <c r="R4" s="1" t="s">
        <v>1676</v>
      </c>
      <c r="S4" s="1" t="s">
        <v>1677</v>
      </c>
      <c r="T4" s="1" t="s">
        <v>1678</v>
      </c>
      <c r="U4" s="1" t="s">
        <v>1679</v>
      </c>
      <c r="V4" s="1" t="s">
        <v>1680</v>
      </c>
      <c r="W4" s="1" t="s">
        <v>1681</v>
      </c>
      <c r="X4" s="1" t="s">
        <v>1682</v>
      </c>
      <c r="Y4" s="1" t="s">
        <v>1683</v>
      </c>
      <c r="Z4" s="1" t="s">
        <v>1684</v>
      </c>
      <c r="AA4" s="1" t="s">
        <v>1685</v>
      </c>
      <c r="AB4" s="1" t="s">
        <v>1686</v>
      </c>
      <c r="AC4" s="1" t="s">
        <v>1687</v>
      </c>
      <c r="AD4" s="1" t="s">
        <v>1688</v>
      </c>
      <c r="AE4" s="1" t="s">
        <v>1689</v>
      </c>
      <c r="AF4" s="1" t="s">
        <v>1690</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01 Témoins solvant</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180</v>
      </c>
      <c r="D5" s="1" t="s">
        <v>181</v>
      </c>
      <c r="E5" s="1" t="s">
        <v>182</v>
      </c>
      <c r="F5" s="1" t="s">
        <v>112</v>
      </c>
      <c r="G5" s="1">
        <v>419750</v>
      </c>
      <c r="K5" s="145" t="s">
        <v>163</v>
      </c>
      <c r="L5" s="44">
        <v>209363</v>
      </c>
      <c r="M5" s="44">
        <v>763340.33333333337</v>
      </c>
      <c r="N5" s="44">
        <v>212852.66666666666</v>
      </c>
      <c r="O5" s="44">
        <v>1535448.3333333333</v>
      </c>
      <c r="P5" s="44">
        <v>3204036.3333333335</v>
      </c>
      <c r="Q5" s="44">
        <v>2781247.5</v>
      </c>
      <c r="R5" s="44">
        <v>3334371</v>
      </c>
      <c r="S5" s="44">
        <v>327923.66666666669</v>
      </c>
      <c r="T5" s="44">
        <v>59842.666666666664</v>
      </c>
      <c r="U5" s="44">
        <v>296776.33333333331</v>
      </c>
      <c r="V5" s="44"/>
      <c r="W5" s="44">
        <v>202340.33333333334</v>
      </c>
      <c r="X5" s="44">
        <v>2451907.3333333335</v>
      </c>
      <c r="Y5" s="44">
        <v>763391</v>
      </c>
      <c r="Z5" s="44">
        <v>1351450.3333333333</v>
      </c>
      <c r="AA5" s="44">
        <v>276977.66666666669</v>
      </c>
      <c r="AB5" s="44">
        <v>1020822.6666666666</v>
      </c>
      <c r="AC5" s="44">
        <v>1475454.6666666667</v>
      </c>
      <c r="AD5" s="44">
        <v>2472672</v>
      </c>
      <c r="AE5" s="44">
        <v>402997.5</v>
      </c>
      <c r="AF5" s="44"/>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01 Témoins solvant</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183</v>
      </c>
      <c r="D6" s="1" t="s">
        <v>184</v>
      </c>
      <c r="E6" s="1" t="s">
        <v>185</v>
      </c>
      <c r="F6" s="1" t="s">
        <v>112</v>
      </c>
      <c r="G6" s="1">
        <v>196248</v>
      </c>
      <c r="K6" s="145" t="s">
        <v>1691</v>
      </c>
      <c r="L6" s="44">
        <v>223862.33333333334</v>
      </c>
      <c r="M6" s="44">
        <v>220336.66666666666</v>
      </c>
      <c r="N6" s="44">
        <v>305969.33333333331</v>
      </c>
      <c r="O6" s="44">
        <v>76267</v>
      </c>
      <c r="P6" s="44">
        <v>470212.66666666669</v>
      </c>
      <c r="Q6" s="44">
        <v>2656338.3333333335</v>
      </c>
      <c r="R6" s="44">
        <v>4608624</v>
      </c>
      <c r="S6" s="44">
        <v>191021</v>
      </c>
      <c r="T6" s="44">
        <v>911880</v>
      </c>
      <c r="U6" s="44">
        <v>66721.333333333328</v>
      </c>
      <c r="V6" s="44">
        <v>55448.5</v>
      </c>
      <c r="W6" s="44">
        <v>567157.33333333337</v>
      </c>
      <c r="X6" s="44">
        <v>2295905</v>
      </c>
      <c r="Y6" s="44">
        <v>1951211.3333333333</v>
      </c>
      <c r="Z6" s="44">
        <v>3585811.3333333335</v>
      </c>
      <c r="AA6" s="44">
        <v>107738.33333333333</v>
      </c>
      <c r="AB6" s="44">
        <v>2013930.6666666667</v>
      </c>
      <c r="AC6" s="44">
        <v>3171346.6666666665</v>
      </c>
      <c r="AD6" s="44">
        <v>2977910.3333333335</v>
      </c>
      <c r="AE6" s="44">
        <v>4320794.666666667</v>
      </c>
      <c r="AF6" s="44">
        <v>1415395.3333333333</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01 Témoins solvant</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186</v>
      </c>
      <c r="D7" s="1" t="s">
        <v>187</v>
      </c>
      <c r="E7" s="1" t="s">
        <v>188</v>
      </c>
      <c r="F7" s="1" t="s">
        <v>112</v>
      </c>
      <c r="G7" s="1">
        <v>55589</v>
      </c>
      <c r="K7" s="145" t="s">
        <v>1692</v>
      </c>
      <c r="L7" s="44">
        <v>165223.33333333334</v>
      </c>
      <c r="M7" s="44">
        <v>247208</v>
      </c>
      <c r="N7" s="44">
        <v>53224</v>
      </c>
      <c r="O7" s="44">
        <v>730484.66666666663</v>
      </c>
      <c r="P7" s="44">
        <v>848194.66666666663</v>
      </c>
      <c r="Q7" s="44">
        <v>2253150</v>
      </c>
      <c r="R7" s="44">
        <v>5526207.666666667</v>
      </c>
      <c r="S7" s="44">
        <v>58227.666666666664</v>
      </c>
      <c r="T7" s="44">
        <v>290287.66666666669</v>
      </c>
      <c r="U7" s="44">
        <v>205823</v>
      </c>
      <c r="V7" s="44">
        <v>135554.33333333334</v>
      </c>
      <c r="W7" s="44">
        <v>653129</v>
      </c>
      <c r="X7" s="44">
        <v>3237843.5</v>
      </c>
      <c r="Y7" s="44">
        <v>200292.66666666666</v>
      </c>
      <c r="Z7" s="44">
        <v>5725325</v>
      </c>
      <c r="AA7" s="44">
        <v>236999</v>
      </c>
      <c r="AB7" s="44">
        <v>875347.66666666663</v>
      </c>
      <c r="AC7" s="44">
        <v>3095786</v>
      </c>
      <c r="AD7" s="44">
        <v>2143399.6666666665</v>
      </c>
      <c r="AE7" s="44">
        <v>4419535.333333333</v>
      </c>
      <c r="AF7" s="44">
        <v>1568311.3333333333</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01 Témoins solvant</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189</v>
      </c>
      <c r="D8" s="1" t="s">
        <v>190</v>
      </c>
      <c r="E8" s="1" t="s">
        <v>191</v>
      </c>
      <c r="F8" s="1" t="s">
        <v>112</v>
      </c>
      <c r="G8" s="1">
        <v>123312</v>
      </c>
      <c r="K8" s="145" t="s">
        <v>1693</v>
      </c>
      <c r="L8" s="44">
        <v>22358</v>
      </c>
      <c r="M8" s="44">
        <v>290352.33333333331</v>
      </c>
      <c r="N8" s="44">
        <v>910041.66666666663</v>
      </c>
      <c r="O8" s="44">
        <v>295471.66666666669</v>
      </c>
      <c r="P8" s="44">
        <v>2160336</v>
      </c>
      <c r="Q8" s="44">
        <v>1398430.3333333333</v>
      </c>
      <c r="R8" s="44">
        <v>8878170.666666666</v>
      </c>
      <c r="S8" s="44">
        <v>358234.33333333331</v>
      </c>
      <c r="T8" s="44">
        <v>123564.33333333333</v>
      </c>
      <c r="U8" s="44">
        <v>244014.33333333334</v>
      </c>
      <c r="V8" s="44">
        <v>200206.33333333334</v>
      </c>
      <c r="W8" s="44">
        <v>485194.66666666669</v>
      </c>
      <c r="X8" s="44">
        <v>2340426.6666666665</v>
      </c>
      <c r="Y8" s="44">
        <v>2068997</v>
      </c>
      <c r="Z8" s="44">
        <v>4350810</v>
      </c>
      <c r="AA8" s="44">
        <v>433665</v>
      </c>
      <c r="AB8" s="44">
        <v>1527078</v>
      </c>
      <c r="AC8" s="44">
        <v>505966.33333333331</v>
      </c>
      <c r="AD8" s="44">
        <v>4255782.666666667</v>
      </c>
      <c r="AE8" s="44">
        <v>3419736.6666666665</v>
      </c>
      <c r="AF8" s="44">
        <v>1466290.6666666667</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01 Témoins solvant</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192</v>
      </c>
      <c r="D9" s="1" t="s">
        <v>193</v>
      </c>
      <c r="E9" s="1" t="s">
        <v>194</v>
      </c>
      <c r="F9" s="1" t="s">
        <v>112</v>
      </c>
      <c r="G9" s="1">
        <v>155973</v>
      </c>
      <c r="K9" s="145" t="s">
        <v>1694</v>
      </c>
      <c r="L9" s="44">
        <v>455100.33333333331</v>
      </c>
      <c r="M9" s="44">
        <v>187394.33333333334</v>
      </c>
      <c r="N9" s="44">
        <v>282587.33333333331</v>
      </c>
      <c r="O9" s="44">
        <v>3249625</v>
      </c>
      <c r="P9" s="44">
        <v>524078</v>
      </c>
      <c r="Q9" s="44">
        <v>2271600.3333333335</v>
      </c>
      <c r="R9" s="44">
        <v>4329440</v>
      </c>
      <c r="S9" s="44">
        <v>521324</v>
      </c>
      <c r="T9" s="44">
        <v>233350.33333333334</v>
      </c>
      <c r="U9" s="44">
        <v>118892</v>
      </c>
      <c r="V9" s="44">
        <v>383699.66666666669</v>
      </c>
      <c r="W9" s="44">
        <v>1320469</v>
      </c>
      <c r="X9" s="44">
        <v>4353982.333333333</v>
      </c>
      <c r="Y9" s="44">
        <v>2197222.6666666665</v>
      </c>
      <c r="Z9" s="44">
        <v>3518809.3333333335</v>
      </c>
      <c r="AA9" s="44">
        <v>408285.66666666669</v>
      </c>
      <c r="AB9" s="44">
        <v>3179875.6666666665</v>
      </c>
      <c r="AC9" s="44">
        <v>2457357.6666666665</v>
      </c>
      <c r="AD9" s="44">
        <v>2619640</v>
      </c>
      <c r="AE9" s="44">
        <v>1259300</v>
      </c>
      <c r="AF9" s="44">
        <v>1384854</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01 Témoins solvant</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195</v>
      </c>
      <c r="D10" s="1" t="s">
        <v>196</v>
      </c>
      <c r="E10" s="1" t="s">
        <v>197</v>
      </c>
      <c r="F10" s="1" t="s">
        <v>112</v>
      </c>
      <c r="G10" s="1">
        <v>216385</v>
      </c>
      <c r="K10" s="145" t="s">
        <v>1695</v>
      </c>
      <c r="L10" s="44">
        <v>279696</v>
      </c>
      <c r="M10" s="44">
        <v>206291.66666666666</v>
      </c>
      <c r="N10" s="44">
        <v>72748.333333333328</v>
      </c>
      <c r="O10" s="44">
        <v>400953</v>
      </c>
      <c r="P10" s="44">
        <v>553494.33333333337</v>
      </c>
      <c r="Q10" s="44">
        <v>757846.66666666663</v>
      </c>
      <c r="R10" s="44">
        <v>4509148</v>
      </c>
      <c r="S10" s="44">
        <v>101833.66666666667</v>
      </c>
      <c r="T10" s="44">
        <v>68026</v>
      </c>
      <c r="U10" s="44">
        <v>29272.333333333332</v>
      </c>
      <c r="V10" s="44">
        <v>96844.333333333328</v>
      </c>
      <c r="W10" s="44">
        <v>152952.33333333334</v>
      </c>
      <c r="X10" s="44">
        <v>1818043</v>
      </c>
      <c r="Y10" s="44">
        <v>4282805.666666667</v>
      </c>
      <c r="Z10" s="44">
        <v>3497251.5</v>
      </c>
      <c r="AA10" s="44">
        <v>439721.33333333331</v>
      </c>
      <c r="AB10" s="44">
        <v>542910.33333333337</v>
      </c>
      <c r="AC10" s="44">
        <v>2364861.3333333335</v>
      </c>
      <c r="AD10" s="44">
        <v>738112.66666666663</v>
      </c>
      <c r="AE10" s="44">
        <v>3096492.5</v>
      </c>
      <c r="AF10" s="44">
        <v>316200.33333333331</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01 Témoins solvant</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198</v>
      </c>
      <c r="D11" s="1" t="s">
        <v>199</v>
      </c>
      <c r="E11" s="1" t="s">
        <v>200</v>
      </c>
      <c r="F11" s="1" t="s">
        <v>112</v>
      </c>
      <c r="G11" s="1">
        <v>38804</v>
      </c>
      <c r="K11" s="145" t="s">
        <v>1696</v>
      </c>
      <c r="L11" s="44">
        <v>178014.33333333334</v>
      </c>
      <c r="M11" s="44">
        <v>492718</v>
      </c>
      <c r="N11" s="44">
        <v>214143</v>
      </c>
      <c r="O11" s="44">
        <v>241880</v>
      </c>
      <c r="P11" s="44">
        <v>1198137.6666666667</v>
      </c>
      <c r="Q11" s="44">
        <v>2592890.6666666665</v>
      </c>
      <c r="R11" s="44">
        <v>4464727.333333333</v>
      </c>
      <c r="S11" s="44">
        <v>117529.66666666667</v>
      </c>
      <c r="T11" s="44">
        <v>744551.66666666663</v>
      </c>
      <c r="U11" s="44">
        <v>172620.66666666666</v>
      </c>
      <c r="V11" s="44">
        <v>334549.33333333331</v>
      </c>
      <c r="W11" s="44">
        <v>1292797.5</v>
      </c>
      <c r="X11" s="44">
        <v>3591514</v>
      </c>
      <c r="Y11" s="44">
        <v>703483.66666666663</v>
      </c>
      <c r="Z11" s="44">
        <v>3239653.6666666665</v>
      </c>
      <c r="AA11" s="44">
        <v>19164</v>
      </c>
      <c r="AB11" s="44">
        <v>1208462.3333333333</v>
      </c>
      <c r="AC11" s="44">
        <v>779245.66666666663</v>
      </c>
      <c r="AD11" s="44">
        <v>321896.33333333331</v>
      </c>
      <c r="AE11" s="44">
        <v>2484626</v>
      </c>
      <c r="AF11" s="44">
        <v>1967087.3333333333</v>
      </c>
      <c r="AG11"/>
    </row>
    <row r="12" spans="1:144" x14ac:dyDescent="0.3">
      <c r="A12" s="1" t="str">
        <f t="shared" si="0"/>
        <v>01 Témoins solvant</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201</v>
      </c>
      <c r="D12" s="1" t="s">
        <v>202</v>
      </c>
      <c r="E12" s="1" t="s">
        <v>203</v>
      </c>
      <c r="F12" s="1" t="s">
        <v>112</v>
      </c>
      <c r="G12" s="1">
        <v>15833</v>
      </c>
      <c r="K12" s="145" t="s">
        <v>1697</v>
      </c>
      <c r="L12" s="44">
        <v>86649.333333333328</v>
      </c>
      <c r="M12" s="44">
        <v>234648.33333333334</v>
      </c>
      <c r="N12" s="44">
        <v>254764</v>
      </c>
      <c r="O12" s="44">
        <v>454379.33333333331</v>
      </c>
      <c r="P12" s="44">
        <v>910914.33333333337</v>
      </c>
      <c r="Q12" s="44">
        <v>2426628.6666666665</v>
      </c>
      <c r="R12" s="44">
        <v>3400637.3333333335</v>
      </c>
      <c r="S12" s="44">
        <v>27542</v>
      </c>
      <c r="T12" s="44">
        <v>305399.33333333331</v>
      </c>
      <c r="U12" s="44">
        <v>164986</v>
      </c>
      <c r="V12" s="44">
        <v>234107.66666666666</v>
      </c>
      <c r="W12" s="44">
        <v>165144</v>
      </c>
      <c r="X12" s="44">
        <v>2326497.3333333335</v>
      </c>
      <c r="Y12" s="44">
        <v>918506.33333333337</v>
      </c>
      <c r="Z12" s="44">
        <v>3217490</v>
      </c>
      <c r="AA12" s="44"/>
      <c r="AB12" s="44"/>
      <c r="AC12" s="44">
        <v>2155137.6666666665</v>
      </c>
      <c r="AD12" s="44">
        <v>2269026</v>
      </c>
      <c r="AE12" s="44">
        <v>1810840</v>
      </c>
      <c r="AF12" s="44">
        <v>2080089</v>
      </c>
      <c r="AG12"/>
    </row>
    <row r="13" spans="1:144" x14ac:dyDescent="0.3">
      <c r="A13" s="1" t="str">
        <f t="shared" si="0"/>
        <v>01 Témoins solvant</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204</v>
      </c>
      <c r="D13" s="1" t="s">
        <v>205</v>
      </c>
      <c r="E13" s="1" t="s">
        <v>206</v>
      </c>
      <c r="F13" s="1" t="s">
        <v>112</v>
      </c>
      <c r="G13" s="1">
        <v>12437</v>
      </c>
      <c r="K13"/>
      <c r="L13"/>
      <c r="M13"/>
      <c r="N13"/>
      <c r="O13"/>
      <c r="P13"/>
      <c r="Q13"/>
      <c r="R13"/>
      <c r="S13"/>
      <c r="T13"/>
      <c r="U13"/>
      <c r="V13"/>
      <c r="W13"/>
      <c r="X13"/>
      <c r="Y13"/>
      <c r="Z13"/>
      <c r="AA13"/>
      <c r="AB13"/>
      <c r="AC13"/>
      <c r="AD13"/>
      <c r="AE13"/>
      <c r="AF13"/>
      <c r="AG13"/>
    </row>
    <row r="14" spans="1:144" x14ac:dyDescent="0.3">
      <c r="A14" s="1" t="str">
        <f t="shared" si="0"/>
        <v>01 Témoins solvant</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207</v>
      </c>
      <c r="D14" s="1" t="s">
        <v>208</v>
      </c>
      <c r="E14" s="1" t="s">
        <v>209</v>
      </c>
      <c r="F14" s="1" t="s">
        <v>112</v>
      </c>
      <c r="G14" s="1">
        <v>297606</v>
      </c>
      <c r="K14"/>
      <c r="L14"/>
      <c r="M14"/>
      <c r="N14"/>
      <c r="O14"/>
      <c r="P14"/>
      <c r="Q14"/>
      <c r="R14"/>
      <c r="S14"/>
      <c r="T14"/>
      <c r="U14"/>
      <c r="V14"/>
      <c r="W14"/>
      <c r="X14"/>
      <c r="Y14"/>
      <c r="Z14"/>
      <c r="AA14"/>
      <c r="AB14"/>
      <c r="AC14"/>
      <c r="AD14"/>
      <c r="AE14"/>
      <c r="AF14"/>
      <c r="AG14"/>
    </row>
    <row r="15" spans="1:144" x14ac:dyDescent="0.3">
      <c r="A15" s="1" t="str">
        <f t="shared" si="0"/>
        <v>01 Témoins solvant</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210</v>
      </c>
      <c r="D15" s="1" t="s">
        <v>211</v>
      </c>
      <c r="E15" s="1" t="s">
        <v>212</v>
      </c>
      <c r="F15" s="1" t="s">
        <v>112</v>
      </c>
      <c r="G15" s="1">
        <v>492794</v>
      </c>
    </row>
    <row r="16" spans="1:144" x14ac:dyDescent="0.3">
      <c r="A16" s="1" t="str">
        <f t="shared" si="0"/>
        <v>01 Témoins solvant</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213</v>
      </c>
      <c r="D16" s="1" t="s">
        <v>214</v>
      </c>
      <c r="E16" s="1" t="s">
        <v>215</v>
      </c>
      <c r="F16" s="1" t="s">
        <v>112</v>
      </c>
      <c r="G16" s="1">
        <v>574901</v>
      </c>
      <c r="M16"/>
      <c r="N16"/>
      <c r="O16"/>
      <c r="P16"/>
      <c r="Q16"/>
      <c r="R16"/>
      <c r="S16"/>
      <c r="T16"/>
      <c r="U16"/>
      <c r="V16"/>
      <c r="W16"/>
      <c r="X16"/>
      <c r="Y16"/>
      <c r="Z16"/>
      <c r="AA16"/>
      <c r="AB16"/>
      <c r="AC16"/>
      <c r="AD16"/>
      <c r="AE16"/>
      <c r="AF16"/>
      <c r="AG16"/>
      <c r="AH16"/>
    </row>
    <row r="17" spans="1:34" x14ac:dyDescent="0.3">
      <c r="A17" s="1" t="str">
        <f t="shared" si="0"/>
        <v>01 Témoins solvant</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216</v>
      </c>
      <c r="D17" s="1" t="s">
        <v>217</v>
      </c>
      <c r="E17" s="1" t="s">
        <v>218</v>
      </c>
      <c r="F17" s="1" t="s">
        <v>112</v>
      </c>
      <c r="G17" s="1">
        <v>257223</v>
      </c>
      <c r="M17"/>
      <c r="N17"/>
      <c r="O17"/>
      <c r="P17"/>
      <c r="Q17"/>
      <c r="R17"/>
      <c r="S17"/>
      <c r="T17"/>
      <c r="U17"/>
      <c r="V17"/>
      <c r="W17"/>
      <c r="X17"/>
      <c r="Y17"/>
      <c r="Z17"/>
      <c r="AA17"/>
      <c r="AB17"/>
      <c r="AC17"/>
      <c r="AD17"/>
      <c r="AE17"/>
      <c r="AF17"/>
      <c r="AG17"/>
      <c r="AH17"/>
    </row>
    <row r="18" spans="1:34" x14ac:dyDescent="0.3">
      <c r="A18" s="1" t="str">
        <f t="shared" si="0"/>
        <v>01 Témoins solvant</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219</v>
      </c>
      <c r="D18" s="1" t="s">
        <v>220</v>
      </c>
      <c r="E18" s="1" t="s">
        <v>221</v>
      </c>
      <c r="F18" s="1" t="s">
        <v>112</v>
      </c>
      <c r="G18" s="1">
        <v>304700</v>
      </c>
      <c r="M18"/>
      <c r="N18"/>
      <c r="O18"/>
      <c r="P18"/>
      <c r="Q18"/>
      <c r="R18"/>
      <c r="S18"/>
      <c r="T18"/>
      <c r="U18"/>
      <c r="V18"/>
      <c r="W18"/>
      <c r="X18"/>
      <c r="Y18"/>
      <c r="Z18"/>
      <c r="AA18"/>
      <c r="AB18"/>
      <c r="AC18"/>
      <c r="AD18"/>
      <c r="AE18"/>
      <c r="AF18"/>
      <c r="AG18"/>
      <c r="AH18"/>
    </row>
    <row r="19" spans="1:34" x14ac:dyDescent="0.3">
      <c r="A19" s="1" t="str">
        <f t="shared" si="0"/>
        <v>01 Témoins solvant</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222</v>
      </c>
      <c r="D19" s="1" t="s">
        <v>223</v>
      </c>
      <c r="E19" s="1" t="s">
        <v>224</v>
      </c>
      <c r="F19" s="1" t="s">
        <v>112</v>
      </c>
      <c r="G19" s="1">
        <v>277165</v>
      </c>
      <c r="K19"/>
      <c r="L19"/>
      <c r="M19"/>
      <c r="N19"/>
      <c r="O19"/>
      <c r="P19"/>
      <c r="Q19"/>
      <c r="R19"/>
      <c r="S19"/>
      <c r="T19"/>
      <c r="U19"/>
      <c r="V19"/>
      <c r="W19"/>
      <c r="X19"/>
      <c r="Y19"/>
      <c r="Z19"/>
      <c r="AA19"/>
      <c r="AB19"/>
      <c r="AC19"/>
      <c r="AD19"/>
      <c r="AE19"/>
      <c r="AF19"/>
      <c r="AG19"/>
      <c r="AH19"/>
    </row>
    <row r="20" spans="1:34" x14ac:dyDescent="0.3">
      <c r="A20" s="1" t="str">
        <f t="shared" si="0"/>
        <v>01 Témoins solvant</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225</v>
      </c>
      <c r="D20" s="1" t="s">
        <v>226</v>
      </c>
      <c r="E20" s="1" t="s">
        <v>227</v>
      </c>
      <c r="F20" s="1" t="s">
        <v>112</v>
      </c>
      <c r="G20" s="1">
        <v>204987</v>
      </c>
      <c r="K20"/>
      <c r="L20"/>
      <c r="M20"/>
      <c r="N20"/>
      <c r="O20"/>
      <c r="P20"/>
      <c r="Q20"/>
      <c r="R20"/>
      <c r="S20"/>
      <c r="T20"/>
      <c r="U20"/>
      <c r="V20"/>
      <c r="W20"/>
      <c r="X20"/>
      <c r="Y20"/>
      <c r="Z20"/>
      <c r="AA20"/>
      <c r="AB20"/>
      <c r="AC20"/>
      <c r="AD20"/>
      <c r="AE20"/>
      <c r="AF20"/>
      <c r="AG20"/>
      <c r="AH20"/>
    </row>
    <row r="21" spans="1:34" x14ac:dyDescent="0.3">
      <c r="A21" s="1" t="str">
        <f t="shared" si="0"/>
        <v>01 Témoins solvant</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228</v>
      </c>
      <c r="D21" s="1" t="s">
        <v>229</v>
      </c>
      <c r="E21" s="1" t="s">
        <v>230</v>
      </c>
      <c r="F21" s="1" t="s">
        <v>112</v>
      </c>
      <c r="G21" s="1">
        <v>50874</v>
      </c>
      <c r="K21"/>
      <c r="L21"/>
      <c r="M21"/>
      <c r="N21"/>
      <c r="O21"/>
      <c r="P21"/>
      <c r="Q21"/>
      <c r="R21"/>
      <c r="S21"/>
      <c r="T21"/>
      <c r="U21"/>
      <c r="V21"/>
      <c r="W21"/>
      <c r="X21"/>
      <c r="Y21"/>
      <c r="Z21"/>
      <c r="AA21"/>
      <c r="AB21"/>
      <c r="AC21"/>
      <c r="AD21"/>
      <c r="AE21"/>
      <c r="AF21"/>
      <c r="AG21"/>
      <c r="AH21"/>
    </row>
    <row r="22" spans="1:34" x14ac:dyDescent="0.3">
      <c r="A22" s="1" t="str">
        <f t="shared" si="0"/>
        <v>01 Témoins solvant</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231</v>
      </c>
      <c r="D22" s="1" t="s">
        <v>232</v>
      </c>
      <c r="E22" s="1" t="s">
        <v>233</v>
      </c>
      <c r="F22" s="1" t="s">
        <v>112</v>
      </c>
      <c r="G22" s="1">
        <v>278182</v>
      </c>
      <c r="K22"/>
      <c r="L22"/>
      <c r="M22"/>
      <c r="N22"/>
      <c r="O22"/>
      <c r="P22"/>
      <c r="Q22"/>
      <c r="R22"/>
      <c r="S22"/>
      <c r="T22"/>
      <c r="U22"/>
      <c r="V22"/>
      <c r="W22"/>
      <c r="X22"/>
      <c r="Y22"/>
      <c r="Z22"/>
      <c r="AA22"/>
      <c r="AB22"/>
      <c r="AC22"/>
      <c r="AD22"/>
      <c r="AE22"/>
      <c r="AF22"/>
      <c r="AG22"/>
      <c r="AH22"/>
    </row>
    <row r="23" spans="1:34" x14ac:dyDescent="0.3">
      <c r="A23" s="1" t="str">
        <f t="shared" si="0"/>
        <v>01 Témoins solvant</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234</v>
      </c>
      <c r="D23" s="1" t="s">
        <v>235</v>
      </c>
      <c r="E23" s="1" t="s">
        <v>236</v>
      </c>
      <c r="F23" s="1" t="s">
        <v>112</v>
      </c>
      <c r="G23" s="1">
        <v>120522</v>
      </c>
      <c r="K23"/>
      <c r="L23"/>
      <c r="M23"/>
      <c r="N23"/>
      <c r="O23"/>
      <c r="P23"/>
      <c r="Q23"/>
      <c r="R23"/>
      <c r="S23"/>
      <c r="T23"/>
      <c r="U23"/>
      <c r="V23"/>
      <c r="W23"/>
      <c r="X23"/>
      <c r="Y23"/>
      <c r="Z23"/>
      <c r="AA23"/>
      <c r="AB23"/>
      <c r="AC23"/>
      <c r="AD23"/>
      <c r="AE23"/>
      <c r="AF23"/>
      <c r="AG23"/>
      <c r="AH23"/>
    </row>
    <row r="24" spans="1:34" x14ac:dyDescent="0.3">
      <c r="A24" s="1" t="str">
        <f t="shared" si="0"/>
        <v>01 Témoins solvant</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237</v>
      </c>
      <c r="D24" s="1" t="s">
        <v>238</v>
      </c>
      <c r="E24" s="1" t="s">
        <v>239</v>
      </c>
      <c r="F24" s="1" t="s">
        <v>112</v>
      </c>
      <c r="G24" s="1">
        <v>64154</v>
      </c>
      <c r="K24"/>
      <c r="L24"/>
      <c r="M24"/>
      <c r="N24"/>
      <c r="O24"/>
      <c r="P24"/>
      <c r="Q24"/>
      <c r="R24"/>
      <c r="S24"/>
      <c r="T24"/>
      <c r="U24"/>
      <c r="V24"/>
      <c r="W24"/>
      <c r="X24"/>
      <c r="Y24"/>
      <c r="Z24"/>
      <c r="AA24"/>
      <c r="AB24"/>
      <c r="AC24"/>
      <c r="AD24"/>
      <c r="AE24"/>
      <c r="AF24"/>
      <c r="AG24"/>
      <c r="AH24"/>
    </row>
    <row r="25" spans="1:34" x14ac:dyDescent="0.3">
      <c r="A25" s="1" t="str">
        <f t="shared" si="0"/>
        <v>01 Témoins solvant</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240</v>
      </c>
      <c r="D25" s="1" t="s">
        <v>241</v>
      </c>
      <c r="E25" s="1" t="s">
        <v>242</v>
      </c>
      <c r="F25" s="1" t="s">
        <v>112</v>
      </c>
      <c r="G25" s="1">
        <v>75272</v>
      </c>
      <c r="K25"/>
      <c r="L25"/>
      <c r="M25"/>
      <c r="N25"/>
      <c r="O25"/>
      <c r="P25"/>
      <c r="Q25"/>
      <c r="R25"/>
      <c r="S25"/>
      <c r="T25"/>
      <c r="U25"/>
      <c r="V25"/>
      <c r="W25"/>
      <c r="X25"/>
      <c r="Y25"/>
      <c r="Z25"/>
      <c r="AA25"/>
      <c r="AB25"/>
      <c r="AC25"/>
      <c r="AD25"/>
      <c r="AE25"/>
      <c r="AF25"/>
      <c r="AG25"/>
      <c r="AH25"/>
    </row>
    <row r="26" spans="1:34" x14ac:dyDescent="0.3">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3">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243</v>
      </c>
      <c r="D27" s="1" t="s">
        <v>112</v>
      </c>
      <c r="E27" s="1" t="s">
        <v>244</v>
      </c>
      <c r="F27" s="1" t="s">
        <v>245</v>
      </c>
      <c r="G27" s="1" t="s">
        <v>246</v>
      </c>
      <c r="H27" s="1" t="s">
        <v>247</v>
      </c>
      <c r="I27" s="1" t="s">
        <v>248</v>
      </c>
      <c r="J27" s="1" t="s">
        <v>249</v>
      </c>
      <c r="K27"/>
      <c r="L27"/>
      <c r="M27"/>
      <c r="N27"/>
      <c r="O27"/>
      <c r="P27"/>
      <c r="Q27"/>
      <c r="R27"/>
      <c r="S27"/>
      <c r="T27"/>
      <c r="U27"/>
      <c r="V27"/>
      <c r="W27"/>
      <c r="X27"/>
      <c r="Y27"/>
      <c r="Z27"/>
      <c r="AA27"/>
      <c r="AB27"/>
      <c r="AC27"/>
      <c r="AD27"/>
      <c r="AE27"/>
      <c r="AF27"/>
      <c r="AG27"/>
      <c r="AH27"/>
    </row>
    <row r="28" spans="1:34" x14ac:dyDescent="0.3">
      <c r="A28" s="1" t="str">
        <f t="shared" si="0"/>
        <v>01 Témoins solvant</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250</v>
      </c>
      <c r="D28" s="1" t="s">
        <v>112</v>
      </c>
      <c r="E28" s="1" t="s">
        <v>251</v>
      </c>
      <c r="F28" s="1" t="s">
        <v>252</v>
      </c>
      <c r="G28" s="1" t="s">
        <v>253</v>
      </c>
      <c r="H28" s="1" t="s">
        <v>254</v>
      </c>
      <c r="I28" s="1">
        <v>24</v>
      </c>
      <c r="J28" s="1">
        <v>24</v>
      </c>
      <c r="K28"/>
      <c r="L28"/>
      <c r="M28"/>
      <c r="N28"/>
      <c r="O28"/>
      <c r="P28"/>
      <c r="Q28"/>
      <c r="R28"/>
      <c r="S28"/>
      <c r="T28"/>
      <c r="U28"/>
      <c r="V28"/>
      <c r="W28"/>
      <c r="X28"/>
      <c r="Y28"/>
      <c r="Z28"/>
      <c r="AA28"/>
      <c r="AB28"/>
      <c r="AC28"/>
      <c r="AD28"/>
      <c r="AE28"/>
      <c r="AF28"/>
      <c r="AG28"/>
      <c r="AH28"/>
    </row>
    <row r="29" spans="1:34" x14ac:dyDescent="0.3">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3">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3">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3">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3">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3">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255</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3">
      <c r="A35" s="1" t="str">
        <f t="shared" si="0"/>
        <v>02 EE2 33.8</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256</v>
      </c>
      <c r="D35" s="1" t="s">
        <v>257</v>
      </c>
      <c r="E35" s="1" t="s">
        <v>258</v>
      </c>
      <c r="F35" s="1" t="s">
        <v>112</v>
      </c>
      <c r="G35" s="1">
        <v>803507</v>
      </c>
      <c r="K35"/>
      <c r="L35"/>
      <c r="M35"/>
      <c r="N35"/>
      <c r="O35"/>
      <c r="P35"/>
      <c r="Q35"/>
      <c r="R35"/>
      <c r="S35"/>
      <c r="T35"/>
      <c r="U35"/>
      <c r="V35"/>
      <c r="W35"/>
      <c r="X35"/>
      <c r="Y35"/>
      <c r="Z35"/>
      <c r="AA35"/>
      <c r="AB35"/>
      <c r="AC35"/>
      <c r="AD35"/>
      <c r="AE35"/>
      <c r="AF35"/>
      <c r="AG35"/>
      <c r="AH35"/>
    </row>
    <row r="36" spans="1:34" x14ac:dyDescent="0.3">
      <c r="A36" s="1" t="str">
        <f t="shared" si="0"/>
        <v>02 EE2 33.8</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259</v>
      </c>
      <c r="D36" s="1" t="s">
        <v>260</v>
      </c>
      <c r="E36" s="1" t="s">
        <v>261</v>
      </c>
      <c r="F36" s="1" t="s">
        <v>112</v>
      </c>
      <c r="G36" s="1">
        <v>839802</v>
      </c>
      <c r="K36"/>
      <c r="L36"/>
      <c r="M36"/>
      <c r="N36"/>
      <c r="O36"/>
      <c r="P36"/>
      <c r="Q36"/>
      <c r="R36"/>
      <c r="S36"/>
      <c r="T36"/>
      <c r="U36"/>
      <c r="V36"/>
      <c r="W36"/>
      <c r="X36"/>
      <c r="Y36"/>
      <c r="Z36"/>
      <c r="AA36"/>
      <c r="AB36"/>
      <c r="AC36"/>
      <c r="AD36"/>
      <c r="AE36"/>
      <c r="AF36"/>
      <c r="AG36"/>
      <c r="AH36"/>
    </row>
    <row r="37" spans="1:34" x14ac:dyDescent="0.3">
      <c r="A37" s="1" t="str">
        <f t="shared" si="0"/>
        <v>02 EE2 33.8</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262</v>
      </c>
      <c r="D37" s="1" t="s">
        <v>263</v>
      </c>
      <c r="E37" s="1" t="s">
        <v>264</v>
      </c>
      <c r="F37" s="1" t="s">
        <v>112</v>
      </c>
      <c r="G37" s="1">
        <v>646712</v>
      </c>
      <c r="K37"/>
      <c r="L37"/>
      <c r="M37"/>
      <c r="N37"/>
      <c r="O37"/>
      <c r="P37"/>
      <c r="Q37"/>
      <c r="R37"/>
      <c r="S37"/>
      <c r="T37"/>
      <c r="U37"/>
      <c r="V37"/>
      <c r="W37"/>
      <c r="X37"/>
      <c r="Y37"/>
      <c r="Z37"/>
      <c r="AA37"/>
      <c r="AB37"/>
      <c r="AC37"/>
      <c r="AD37"/>
      <c r="AE37"/>
      <c r="AF37"/>
      <c r="AG37"/>
      <c r="AH37"/>
    </row>
    <row r="38" spans="1:34" x14ac:dyDescent="0.3">
      <c r="A38" s="1" t="str">
        <f t="shared" si="0"/>
        <v>02 EE2 33.8</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265</v>
      </c>
      <c r="D38" s="1" t="s">
        <v>266</v>
      </c>
      <c r="E38" s="1" t="s">
        <v>267</v>
      </c>
      <c r="F38" s="1" t="s">
        <v>112</v>
      </c>
      <c r="G38" s="1">
        <v>150977</v>
      </c>
      <c r="K38"/>
      <c r="L38"/>
      <c r="M38"/>
      <c r="N38"/>
      <c r="O38"/>
      <c r="P38"/>
      <c r="Q38"/>
      <c r="R38"/>
      <c r="S38"/>
      <c r="T38"/>
      <c r="U38"/>
      <c r="V38"/>
      <c r="W38"/>
      <c r="X38"/>
      <c r="Y38"/>
      <c r="Z38"/>
      <c r="AA38"/>
      <c r="AB38"/>
      <c r="AC38"/>
      <c r="AD38"/>
      <c r="AE38"/>
      <c r="AF38"/>
      <c r="AG38"/>
      <c r="AH38"/>
    </row>
    <row r="39" spans="1:34" x14ac:dyDescent="0.3">
      <c r="A39" s="1" t="str">
        <f t="shared" si="0"/>
        <v>02 EE2 33.8</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268</v>
      </c>
      <c r="D39" s="1" t="s">
        <v>269</v>
      </c>
      <c r="E39" s="1" t="s">
        <v>270</v>
      </c>
      <c r="F39" s="1" t="s">
        <v>112</v>
      </c>
      <c r="G39" s="1">
        <v>131618</v>
      </c>
    </row>
    <row r="40" spans="1:34" x14ac:dyDescent="0.3">
      <c r="A40" s="1" t="str">
        <f t="shared" si="0"/>
        <v>02 EE2 33.8</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271</v>
      </c>
      <c r="D40" s="1" t="s">
        <v>272</v>
      </c>
      <c r="E40" s="1" t="s">
        <v>273</v>
      </c>
      <c r="F40" s="1" t="s">
        <v>112</v>
      </c>
      <c r="G40" s="1">
        <v>378415</v>
      </c>
    </row>
    <row r="41" spans="1:34" x14ac:dyDescent="0.3">
      <c r="A41" s="1" t="str">
        <f t="shared" si="0"/>
        <v>02 EE2 33.8</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274</v>
      </c>
      <c r="D41" s="1" t="s">
        <v>275</v>
      </c>
      <c r="E41" s="1" t="s">
        <v>276</v>
      </c>
      <c r="F41" s="1" t="s">
        <v>112</v>
      </c>
      <c r="G41" s="1">
        <v>309805</v>
      </c>
    </row>
    <row r="42" spans="1:34" x14ac:dyDescent="0.3">
      <c r="A42" s="1" t="str">
        <f t="shared" si="0"/>
        <v>02 EE2 33.8</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277</v>
      </c>
      <c r="D42" s="1" t="s">
        <v>278</v>
      </c>
      <c r="E42" s="1" t="s">
        <v>279</v>
      </c>
      <c r="F42" s="1" t="s">
        <v>112</v>
      </c>
      <c r="G42" s="1">
        <v>314823</v>
      </c>
    </row>
    <row r="43" spans="1:34" x14ac:dyDescent="0.3">
      <c r="A43" s="1" t="str">
        <f t="shared" si="0"/>
        <v>02 EE2 33.8</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280</v>
      </c>
      <c r="D43" s="1" t="s">
        <v>281</v>
      </c>
      <c r="E43" s="1" t="s">
        <v>282</v>
      </c>
      <c r="F43" s="1" t="s">
        <v>112</v>
      </c>
      <c r="G43" s="1">
        <v>116996</v>
      </c>
    </row>
    <row r="44" spans="1:34" x14ac:dyDescent="0.3">
      <c r="A44" s="1" t="str">
        <f t="shared" si="0"/>
        <v>02 EE2 33.8</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283</v>
      </c>
      <c r="D44" s="1" t="s">
        <v>284</v>
      </c>
      <c r="E44" s="1" t="s">
        <v>285</v>
      </c>
      <c r="F44" s="1" t="s">
        <v>112</v>
      </c>
      <c r="G44" s="1">
        <v>600381</v>
      </c>
    </row>
    <row r="45" spans="1:34" x14ac:dyDescent="0.3">
      <c r="A45" s="1" t="str">
        <f t="shared" si="0"/>
        <v>02 EE2 33.8</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286</v>
      </c>
      <c r="D45" s="1" t="s">
        <v>287</v>
      </c>
      <c r="E45" s="1" t="s">
        <v>288</v>
      </c>
      <c r="F45" s="1" t="s">
        <v>112</v>
      </c>
      <c r="G45" s="1">
        <v>116217</v>
      </c>
    </row>
    <row r="46" spans="1:34" x14ac:dyDescent="0.3">
      <c r="A46" s="1" t="str">
        <f t="shared" si="0"/>
        <v>02 EE2 33.8</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289</v>
      </c>
      <c r="D46" s="1" t="s">
        <v>290</v>
      </c>
      <c r="E46" s="1" t="s">
        <v>291</v>
      </c>
      <c r="F46" s="1" t="s">
        <v>112</v>
      </c>
      <c r="G46" s="1">
        <v>154459</v>
      </c>
    </row>
    <row r="47" spans="1:34" x14ac:dyDescent="0.3">
      <c r="A47" s="1" t="str">
        <f t="shared" si="0"/>
        <v>02 EE2 33.8</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292</v>
      </c>
      <c r="D47" s="1" t="s">
        <v>238</v>
      </c>
      <c r="E47" s="1" t="s">
        <v>293</v>
      </c>
      <c r="F47" s="1" t="s">
        <v>112</v>
      </c>
      <c r="G47" s="1">
        <v>62900</v>
      </c>
    </row>
    <row r="48" spans="1:34" x14ac:dyDescent="0.3">
      <c r="A48" s="1" t="str">
        <f t="shared" si="0"/>
        <v>02 EE2 33.8</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294</v>
      </c>
      <c r="D48" s="1" t="s">
        <v>295</v>
      </c>
      <c r="E48" s="1" t="s">
        <v>296</v>
      </c>
      <c r="F48" s="1" t="s">
        <v>112</v>
      </c>
      <c r="G48" s="1">
        <v>466211</v>
      </c>
    </row>
    <row r="49" spans="1:10" x14ac:dyDescent="0.3">
      <c r="A49" s="1" t="str">
        <f t="shared" si="0"/>
        <v>02 EE2 33.8</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297</v>
      </c>
      <c r="D49" s="1" t="s">
        <v>298</v>
      </c>
      <c r="E49" s="1" t="s">
        <v>299</v>
      </c>
      <c r="F49" s="1" t="s">
        <v>112</v>
      </c>
      <c r="G49" s="1">
        <v>33072</v>
      </c>
    </row>
    <row r="50" spans="1:10" x14ac:dyDescent="0.3">
      <c r="A50" s="1" t="str">
        <f t="shared" si="0"/>
        <v>02 EE2 33.8</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300</v>
      </c>
      <c r="D50" s="1" t="s">
        <v>301</v>
      </c>
      <c r="E50" s="1" t="s">
        <v>302</v>
      </c>
      <c r="F50" s="1" t="s">
        <v>112</v>
      </c>
      <c r="G50" s="1">
        <v>165923</v>
      </c>
    </row>
    <row r="51" spans="1:10" x14ac:dyDescent="0.3">
      <c r="A51" s="1" t="str">
        <f t="shared" si="0"/>
        <v>02 EE2 33.8</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303</v>
      </c>
      <c r="D51" s="1" t="s">
        <v>304</v>
      </c>
      <c r="E51" s="1" t="s">
        <v>305</v>
      </c>
      <c r="F51" s="1" t="s">
        <v>112</v>
      </c>
      <c r="G51" s="1">
        <v>289235</v>
      </c>
    </row>
    <row r="52" spans="1:10" x14ac:dyDescent="0.3">
      <c r="A52" s="1" t="str">
        <f t="shared" si="0"/>
        <v>02 EE2 33.8</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306</v>
      </c>
      <c r="D52" s="1" t="s">
        <v>307</v>
      </c>
      <c r="E52" s="1" t="s">
        <v>308</v>
      </c>
      <c r="F52" s="1" t="s">
        <v>112</v>
      </c>
      <c r="G52" s="1">
        <v>163717</v>
      </c>
    </row>
    <row r="53" spans="1:10" x14ac:dyDescent="0.3">
      <c r="A53" s="1" t="str">
        <f t="shared" si="0"/>
        <v>02 EE2 33.8</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309</v>
      </c>
      <c r="D53" s="1" t="s">
        <v>310</v>
      </c>
      <c r="E53" s="1" t="s">
        <v>311</v>
      </c>
      <c r="F53" s="1" t="s">
        <v>112</v>
      </c>
      <c r="G53" s="1">
        <v>597050</v>
      </c>
    </row>
    <row r="54" spans="1:10" x14ac:dyDescent="0.3">
      <c r="A54" s="1" t="str">
        <f t="shared" si="0"/>
        <v>02 EE2 33.8</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312</v>
      </c>
      <c r="D54" s="1" t="s">
        <v>313</v>
      </c>
      <c r="E54" s="1" t="s">
        <v>314</v>
      </c>
      <c r="F54" s="1" t="s">
        <v>112</v>
      </c>
      <c r="G54" s="1">
        <v>388386</v>
      </c>
    </row>
    <row r="55" spans="1:10" x14ac:dyDescent="0.3">
      <c r="A55" s="1" t="str">
        <f t="shared" si="0"/>
        <v>02 EE2 33.8</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315</v>
      </c>
    </row>
    <row r="56" spans="1:10" x14ac:dyDescent="0.3">
      <c r="A56" s="1" t="str">
        <f t="shared" si="0"/>
        <v>02 EE2 33.8</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316</v>
      </c>
      <c r="D56" s="1" t="s">
        <v>317</v>
      </c>
      <c r="E56" s="1" t="s">
        <v>318</v>
      </c>
      <c r="F56" s="1" t="s">
        <v>112</v>
      </c>
      <c r="G56" s="1">
        <v>286748</v>
      </c>
    </row>
    <row r="57" spans="1:10" x14ac:dyDescent="0.3">
      <c r="A57" s="1" t="str">
        <f t="shared" si="0"/>
        <v>02 EE2 33.8</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319</v>
      </c>
      <c r="D57" s="1" t="s">
        <v>320</v>
      </c>
      <c r="E57" s="1" t="s">
        <v>321</v>
      </c>
      <c r="F57" s="1" t="s">
        <v>112</v>
      </c>
      <c r="G57" s="1">
        <v>297735</v>
      </c>
    </row>
    <row r="58" spans="1:10" x14ac:dyDescent="0.3">
      <c r="A58" s="1" t="str">
        <f t="shared" si="0"/>
        <v>02 EE2 33.8</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322</v>
      </c>
      <c r="D58" s="1" t="s">
        <v>323</v>
      </c>
      <c r="E58" s="1" t="s">
        <v>324</v>
      </c>
      <c r="F58" s="1" t="s">
        <v>112</v>
      </c>
      <c r="G58" s="1">
        <v>119462</v>
      </c>
    </row>
    <row r="59" spans="1:10" x14ac:dyDescent="0.3">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3">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243</v>
      </c>
      <c r="D60" s="1" t="s">
        <v>112</v>
      </c>
      <c r="E60" s="1" t="s">
        <v>244</v>
      </c>
      <c r="F60" s="1" t="s">
        <v>245</v>
      </c>
      <c r="G60" s="1" t="s">
        <v>246</v>
      </c>
      <c r="H60" s="1" t="s">
        <v>247</v>
      </c>
      <c r="I60" s="1" t="s">
        <v>248</v>
      </c>
      <c r="J60" s="1" t="s">
        <v>249</v>
      </c>
    </row>
    <row r="61" spans="1:10" x14ac:dyDescent="0.3">
      <c r="A61" s="1" t="str">
        <f t="shared" si="0"/>
        <v>02 EE2 33.8</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325</v>
      </c>
      <c r="D61" s="1" t="s">
        <v>112</v>
      </c>
      <c r="E61" s="1" t="s">
        <v>326</v>
      </c>
      <c r="F61" s="1" t="s">
        <v>327</v>
      </c>
      <c r="G61" s="1" t="s">
        <v>328</v>
      </c>
      <c r="H61" s="1" t="s">
        <v>329</v>
      </c>
      <c r="I61" s="1">
        <v>24</v>
      </c>
      <c r="J61" s="1">
        <v>24</v>
      </c>
    </row>
    <row r="62" spans="1:10" x14ac:dyDescent="0.3">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3">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3">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3">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3">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3">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255</v>
      </c>
      <c r="D67" s="1" t="s">
        <v>110</v>
      </c>
      <c r="E67" s="1" t="s">
        <v>111</v>
      </c>
      <c r="F67" s="1" t="s">
        <v>112</v>
      </c>
      <c r="G67" s="1" t="s">
        <v>113</v>
      </c>
    </row>
    <row r="68" spans="1:7" x14ac:dyDescent="0.3">
      <c r="A68" s="1" t="str">
        <f t="shared" si="1"/>
        <v>03 EE2 50</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330</v>
      </c>
      <c r="D68" s="1" t="s">
        <v>187</v>
      </c>
      <c r="E68" s="1" t="s">
        <v>331</v>
      </c>
      <c r="F68" s="1" t="s">
        <v>112</v>
      </c>
      <c r="G68" s="1">
        <v>55827</v>
      </c>
    </row>
    <row r="69" spans="1:7" x14ac:dyDescent="0.3">
      <c r="A69" s="1" t="str">
        <f t="shared" si="1"/>
        <v>03 EE2 50</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332</v>
      </c>
      <c r="D69" s="1" t="s">
        <v>333</v>
      </c>
      <c r="E69" s="1" t="s">
        <v>334</v>
      </c>
      <c r="F69" s="1" t="s">
        <v>112</v>
      </c>
      <c r="G69" s="1">
        <v>482044</v>
      </c>
    </row>
    <row r="70" spans="1:7" x14ac:dyDescent="0.3">
      <c r="A70" s="1" t="str">
        <f t="shared" si="1"/>
        <v>03 EE2 50</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335</v>
      </c>
      <c r="D70" s="1" t="s">
        <v>336</v>
      </c>
      <c r="E70" s="1" t="s">
        <v>337</v>
      </c>
      <c r="F70" s="1" t="s">
        <v>112</v>
      </c>
      <c r="G70" s="1">
        <v>100687</v>
      </c>
    </row>
    <row r="71" spans="1:7" x14ac:dyDescent="0.3">
      <c r="A71" s="1" t="str">
        <f t="shared" si="1"/>
        <v>03 EE2 50</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338</v>
      </c>
      <c r="D71" s="1" t="s">
        <v>339</v>
      </c>
      <c r="E71" s="1" t="s">
        <v>340</v>
      </c>
      <c r="F71" s="1" t="s">
        <v>112</v>
      </c>
      <c r="G71" s="1">
        <v>105684</v>
      </c>
    </row>
    <row r="72" spans="1:7" x14ac:dyDescent="0.3">
      <c r="A72" s="1" t="str">
        <f t="shared" si="1"/>
        <v>03 EE2 50</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341</v>
      </c>
      <c r="D72" s="1" t="s">
        <v>342</v>
      </c>
      <c r="E72" s="1" t="s">
        <v>343</v>
      </c>
      <c r="F72" s="1" t="s">
        <v>112</v>
      </c>
      <c r="G72" s="1">
        <v>418430</v>
      </c>
    </row>
    <row r="73" spans="1:7" x14ac:dyDescent="0.3">
      <c r="A73" s="1" t="str">
        <f t="shared" si="1"/>
        <v>03 EE2 50</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344</v>
      </c>
      <c r="D73" s="1" t="s">
        <v>345</v>
      </c>
      <c r="E73" s="1" t="s">
        <v>346</v>
      </c>
      <c r="F73" s="1" t="s">
        <v>112</v>
      </c>
      <c r="G73" s="1">
        <v>393794</v>
      </c>
    </row>
    <row r="74" spans="1:7" x14ac:dyDescent="0.3">
      <c r="A74" s="1" t="str">
        <f t="shared" si="1"/>
        <v>03 EE2 50</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347</v>
      </c>
      <c r="D74" s="1" t="s">
        <v>348</v>
      </c>
      <c r="E74" s="1" t="s">
        <v>349</v>
      </c>
      <c r="F74" s="1" t="s">
        <v>112</v>
      </c>
      <c r="G74" s="1">
        <v>53664</v>
      </c>
    </row>
    <row r="75" spans="1:7" x14ac:dyDescent="0.3">
      <c r="A75" s="1" t="str">
        <f t="shared" si="1"/>
        <v>03 EE2 50</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350</v>
      </c>
      <c r="D75" s="1" t="s">
        <v>351</v>
      </c>
      <c r="E75" s="1" t="s">
        <v>352</v>
      </c>
      <c r="F75" s="1" t="s">
        <v>112</v>
      </c>
      <c r="G75" s="1">
        <v>71811</v>
      </c>
    </row>
    <row r="76" spans="1:7" x14ac:dyDescent="0.3">
      <c r="A76" s="1" t="str">
        <f t="shared" si="1"/>
        <v>03 EE2 50</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353</v>
      </c>
      <c r="D76" s="1" t="s">
        <v>298</v>
      </c>
      <c r="E76" s="1" t="s">
        <v>354</v>
      </c>
      <c r="F76" s="1" t="s">
        <v>112</v>
      </c>
      <c r="G76" s="1">
        <v>34197</v>
      </c>
    </row>
    <row r="77" spans="1:7" x14ac:dyDescent="0.3">
      <c r="A77" s="1" t="str">
        <f t="shared" si="1"/>
        <v>03 EE2 50</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355</v>
      </c>
      <c r="D77" s="1" t="s">
        <v>356</v>
      </c>
      <c r="E77" s="1" t="s">
        <v>357</v>
      </c>
      <c r="F77" s="1" t="s">
        <v>112</v>
      </c>
      <c r="G77" s="1">
        <v>1054695</v>
      </c>
    </row>
    <row r="78" spans="1:7" x14ac:dyDescent="0.3">
      <c r="A78" s="1" t="str">
        <f t="shared" si="1"/>
        <v>03 EE2 50</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358</v>
      </c>
      <c r="D78" s="1" t="s">
        <v>359</v>
      </c>
      <c r="E78" s="1" t="s">
        <v>360</v>
      </c>
      <c r="F78" s="1" t="s">
        <v>112</v>
      </c>
      <c r="G78" s="1">
        <v>1055366</v>
      </c>
    </row>
    <row r="79" spans="1:7" x14ac:dyDescent="0.3">
      <c r="A79" s="1" t="str">
        <f t="shared" si="1"/>
        <v>03 EE2 50</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361</v>
      </c>
      <c r="D79" s="1" t="s">
        <v>362</v>
      </c>
      <c r="E79" s="1" t="s">
        <v>363</v>
      </c>
      <c r="F79" s="1" t="s">
        <v>112</v>
      </c>
      <c r="G79" s="1">
        <v>620064</v>
      </c>
    </row>
    <row r="80" spans="1:7" x14ac:dyDescent="0.3">
      <c r="A80" s="1" t="str">
        <f t="shared" si="1"/>
        <v>03 EE2 50</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364</v>
      </c>
      <c r="D80" s="1" t="s">
        <v>365</v>
      </c>
      <c r="E80" s="1" t="s">
        <v>366</v>
      </c>
      <c r="F80" s="1" t="s">
        <v>112</v>
      </c>
      <c r="G80" s="1">
        <v>290360</v>
      </c>
    </row>
    <row r="81" spans="1:10" x14ac:dyDescent="0.3">
      <c r="A81" s="1" t="str">
        <f t="shared" si="1"/>
        <v>03 EE2 50</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367</v>
      </c>
      <c r="D81" s="1" t="s">
        <v>368</v>
      </c>
      <c r="E81" s="1" t="s">
        <v>369</v>
      </c>
      <c r="F81" s="1" t="s">
        <v>112</v>
      </c>
      <c r="G81" s="1">
        <v>327606</v>
      </c>
    </row>
    <row r="82" spans="1:10" x14ac:dyDescent="0.3">
      <c r="A82" s="1" t="str">
        <f t="shared" si="1"/>
        <v>03 EE2 50</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370</v>
      </c>
      <c r="D82" s="1" t="s">
        <v>371</v>
      </c>
      <c r="E82" s="1">
        <v>64</v>
      </c>
      <c r="F82" s="1" t="s">
        <v>112</v>
      </c>
      <c r="G82" s="1">
        <v>229796</v>
      </c>
    </row>
    <row r="83" spans="1:10" x14ac:dyDescent="0.3">
      <c r="A83" s="1" t="str">
        <f t="shared" si="1"/>
        <v>03 EE2 50</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372</v>
      </c>
      <c r="D83" s="1" t="s">
        <v>373</v>
      </c>
      <c r="E83" s="1" t="s">
        <v>374</v>
      </c>
      <c r="F83" s="1" t="s">
        <v>112</v>
      </c>
      <c r="G83" s="1">
        <v>79165</v>
      </c>
    </row>
    <row r="84" spans="1:10" x14ac:dyDescent="0.3">
      <c r="A84" s="1" t="str">
        <f t="shared" si="1"/>
        <v>03 EE2 50</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375</v>
      </c>
      <c r="D84" s="1" t="s">
        <v>376</v>
      </c>
      <c r="E84" s="1" t="s">
        <v>377</v>
      </c>
      <c r="F84" s="1" t="s">
        <v>112</v>
      </c>
      <c r="G84" s="1">
        <v>43346</v>
      </c>
    </row>
    <row r="85" spans="1:10" x14ac:dyDescent="0.3">
      <c r="A85" s="1" t="str">
        <f t="shared" si="1"/>
        <v>03 EE2 50</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378</v>
      </c>
      <c r="D85" s="1" t="s">
        <v>379</v>
      </c>
      <c r="E85" s="1" t="s">
        <v>380</v>
      </c>
      <c r="F85" s="1" t="s">
        <v>112</v>
      </c>
      <c r="G85" s="1">
        <v>95734</v>
      </c>
    </row>
    <row r="86" spans="1:10" x14ac:dyDescent="0.3">
      <c r="A86" s="1" t="str">
        <f t="shared" si="1"/>
        <v>03 EE2 50</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381</v>
      </c>
      <c r="D86" s="1" t="s">
        <v>382</v>
      </c>
      <c r="E86" s="1" t="s">
        <v>383</v>
      </c>
      <c r="F86" s="1" t="s">
        <v>112</v>
      </c>
      <c r="G86" s="1">
        <v>118964</v>
      </c>
    </row>
    <row r="87" spans="1:10" x14ac:dyDescent="0.3">
      <c r="A87" s="1" t="str">
        <f t="shared" si="1"/>
        <v>03 EE2 50</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384</v>
      </c>
      <c r="D87" s="1" t="s">
        <v>385</v>
      </c>
      <c r="E87" s="1" t="s">
        <v>386</v>
      </c>
      <c r="F87" s="1" t="s">
        <v>112</v>
      </c>
      <c r="G87" s="1">
        <v>144488</v>
      </c>
    </row>
    <row r="88" spans="1:10" x14ac:dyDescent="0.3">
      <c r="A88" s="1" t="str">
        <f t="shared" si="1"/>
        <v>03 EE2 50</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387</v>
      </c>
      <c r="D88" s="1" t="s">
        <v>388</v>
      </c>
      <c r="E88" s="1" t="s">
        <v>389</v>
      </c>
      <c r="F88" s="1" t="s">
        <v>112</v>
      </c>
      <c r="G88" s="1">
        <v>378977</v>
      </c>
    </row>
    <row r="89" spans="1:10" x14ac:dyDescent="0.3">
      <c r="A89" s="1" t="str">
        <f t="shared" si="1"/>
        <v>03 EE2 50</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390</v>
      </c>
      <c r="D89" s="1" t="s">
        <v>391</v>
      </c>
      <c r="E89" s="1" t="s">
        <v>392</v>
      </c>
      <c r="F89" s="1" t="s">
        <v>112</v>
      </c>
      <c r="G89" s="1">
        <v>423513</v>
      </c>
    </row>
    <row r="90" spans="1:10" x14ac:dyDescent="0.3">
      <c r="A90" s="1" t="str">
        <f t="shared" si="1"/>
        <v>03 EE2 50</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393</v>
      </c>
      <c r="D90" s="1" t="s">
        <v>394</v>
      </c>
      <c r="E90" s="1" t="s">
        <v>395</v>
      </c>
      <c r="F90" s="1" t="s">
        <v>112</v>
      </c>
      <c r="G90" s="1">
        <v>60802</v>
      </c>
    </row>
    <row r="91" spans="1:10" x14ac:dyDescent="0.3">
      <c r="A91" s="1" t="str">
        <f t="shared" si="1"/>
        <v>03 EE2 50</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396</v>
      </c>
      <c r="D91" s="1" t="s">
        <v>397</v>
      </c>
      <c r="E91" s="1" t="s">
        <v>398</v>
      </c>
      <c r="F91" s="1" t="s">
        <v>112</v>
      </c>
      <c r="G91" s="1">
        <v>279977</v>
      </c>
    </row>
    <row r="92" spans="1:10" x14ac:dyDescent="0.3">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3">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243</v>
      </c>
      <c r="D93" s="1" t="s">
        <v>112</v>
      </c>
      <c r="E93" s="1" t="s">
        <v>244</v>
      </c>
      <c r="F93" s="1" t="s">
        <v>245</v>
      </c>
      <c r="G93" s="1" t="s">
        <v>246</v>
      </c>
      <c r="H93" s="1" t="s">
        <v>247</v>
      </c>
      <c r="I93" s="1" t="s">
        <v>248</v>
      </c>
      <c r="J93" s="1" t="s">
        <v>249</v>
      </c>
    </row>
    <row r="94" spans="1:10" x14ac:dyDescent="0.3">
      <c r="A94" s="1" t="str">
        <f t="shared" si="1"/>
        <v>03 EE2 50</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399</v>
      </c>
      <c r="D94" s="1" t="s">
        <v>112</v>
      </c>
      <c r="E94" s="1" t="s">
        <v>400</v>
      </c>
      <c r="F94" s="1" t="s">
        <v>401</v>
      </c>
      <c r="G94" s="1" t="s">
        <v>402</v>
      </c>
      <c r="H94" s="1" t="s">
        <v>403</v>
      </c>
      <c r="I94" s="1">
        <v>24</v>
      </c>
      <c r="J94" s="1">
        <v>24</v>
      </c>
    </row>
    <row r="95" spans="1:10" x14ac:dyDescent="0.3">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3">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3">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3">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3">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3">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255</v>
      </c>
      <c r="D100" s="1" t="s">
        <v>110</v>
      </c>
      <c r="E100" s="1" t="s">
        <v>111</v>
      </c>
      <c r="F100" s="1" t="s">
        <v>112</v>
      </c>
      <c r="G100" s="1" t="s">
        <v>113</v>
      </c>
    </row>
    <row r="101" spans="1:7" x14ac:dyDescent="0.3">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404</v>
      </c>
      <c r="D101" s="1" t="s">
        <v>405</v>
      </c>
      <c r="E101" s="1" t="s">
        <v>406</v>
      </c>
      <c r="F101" s="1" t="s">
        <v>112</v>
      </c>
      <c r="G101" s="1">
        <v>1616618</v>
      </c>
    </row>
    <row r="102" spans="1:7" x14ac:dyDescent="0.3">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407</v>
      </c>
      <c r="D102" s="1" t="s">
        <v>408</v>
      </c>
      <c r="E102" s="1" t="s">
        <v>409</v>
      </c>
      <c r="F102" s="1" t="s">
        <v>112</v>
      </c>
      <c r="G102" s="1">
        <v>1410074</v>
      </c>
    </row>
    <row r="103" spans="1:7" x14ac:dyDescent="0.3">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410</v>
      </c>
      <c r="D103" s="1" t="s">
        <v>411</v>
      </c>
      <c r="E103" s="1" t="s">
        <v>412</v>
      </c>
      <c r="F103" s="1" t="s">
        <v>112</v>
      </c>
      <c r="G103" s="1">
        <v>1579653</v>
      </c>
    </row>
    <row r="104" spans="1:7" x14ac:dyDescent="0.3">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413</v>
      </c>
      <c r="D104" s="1" t="s">
        <v>414</v>
      </c>
      <c r="E104" s="1" t="s">
        <v>415</v>
      </c>
      <c r="F104" s="1" t="s">
        <v>112</v>
      </c>
      <c r="G104" s="1">
        <v>42481</v>
      </c>
    </row>
    <row r="105" spans="1:7" x14ac:dyDescent="0.3">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416</v>
      </c>
      <c r="D105" s="1" t="s">
        <v>417</v>
      </c>
      <c r="E105" s="1" t="s">
        <v>418</v>
      </c>
      <c r="F105" s="1" t="s">
        <v>112</v>
      </c>
      <c r="G105" s="1">
        <v>57687</v>
      </c>
    </row>
    <row r="106" spans="1:7" x14ac:dyDescent="0.3">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419</v>
      </c>
      <c r="D106" s="1" t="s">
        <v>420</v>
      </c>
      <c r="E106" s="1" t="s">
        <v>421</v>
      </c>
      <c r="F106" s="1" t="s">
        <v>112</v>
      </c>
      <c r="G106" s="1">
        <v>128633</v>
      </c>
    </row>
    <row r="107" spans="1:7" x14ac:dyDescent="0.3">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422</v>
      </c>
      <c r="D107" s="1" t="s">
        <v>423</v>
      </c>
      <c r="E107" s="1" t="s">
        <v>424</v>
      </c>
      <c r="F107" s="1" t="s">
        <v>112</v>
      </c>
      <c r="G107" s="1">
        <v>942674</v>
      </c>
    </row>
    <row r="108" spans="1:7" x14ac:dyDescent="0.3">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425</v>
      </c>
      <c r="D108" s="1" t="s">
        <v>426</v>
      </c>
      <c r="E108" s="1" t="s">
        <v>427</v>
      </c>
      <c r="F108" s="1" t="s">
        <v>112</v>
      </c>
      <c r="G108" s="1">
        <v>408048</v>
      </c>
    </row>
    <row r="109" spans="1:7" x14ac:dyDescent="0.3">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428</v>
      </c>
      <c r="D109" s="1" t="s">
        <v>429</v>
      </c>
      <c r="E109" s="1" t="s">
        <v>430</v>
      </c>
      <c r="F109" s="1" t="s">
        <v>112</v>
      </c>
      <c r="G109" s="1">
        <v>840732</v>
      </c>
    </row>
    <row r="110" spans="1:7" x14ac:dyDescent="0.3">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431</v>
      </c>
      <c r="D110" s="1" t="s">
        <v>432</v>
      </c>
      <c r="E110" s="1" t="s">
        <v>433</v>
      </c>
      <c r="F110" s="1" t="s">
        <v>112</v>
      </c>
      <c r="G110" s="1">
        <v>270244</v>
      </c>
    </row>
    <row r="111" spans="1:7" x14ac:dyDescent="0.3">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434</v>
      </c>
      <c r="D111" s="1" t="s">
        <v>435</v>
      </c>
      <c r="E111" s="1" t="s">
        <v>436</v>
      </c>
      <c r="F111" s="1" t="s">
        <v>112</v>
      </c>
      <c r="G111" s="1">
        <v>311730</v>
      </c>
    </row>
    <row r="112" spans="1:7" x14ac:dyDescent="0.3">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437</v>
      </c>
      <c r="D112" s="1" t="s">
        <v>278</v>
      </c>
      <c r="E112" s="1" t="s">
        <v>438</v>
      </c>
      <c r="F112" s="1" t="s">
        <v>112</v>
      </c>
      <c r="G112" s="1">
        <v>304441</v>
      </c>
    </row>
    <row r="113" spans="1:10" x14ac:dyDescent="0.3">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439</v>
      </c>
      <c r="D113" s="1" t="s">
        <v>440</v>
      </c>
      <c r="E113" s="1" t="s">
        <v>441</v>
      </c>
      <c r="F113" s="1" t="s">
        <v>112</v>
      </c>
      <c r="G113" s="1">
        <v>3040904</v>
      </c>
    </row>
    <row r="114" spans="1:10" x14ac:dyDescent="0.3">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442</v>
      </c>
      <c r="D114" s="1" t="s">
        <v>443</v>
      </c>
      <c r="E114" s="1" t="s">
        <v>444</v>
      </c>
      <c r="F114" s="1" t="s">
        <v>112</v>
      </c>
      <c r="G114" s="1">
        <v>3520222</v>
      </c>
    </row>
    <row r="115" spans="1:10" x14ac:dyDescent="0.3">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445</v>
      </c>
      <c r="D115" s="1" t="s">
        <v>446</v>
      </c>
      <c r="E115" s="1" t="s">
        <v>447</v>
      </c>
      <c r="F115" s="1" t="s">
        <v>112</v>
      </c>
      <c r="G115" s="1">
        <v>3187749</v>
      </c>
    </row>
    <row r="116" spans="1:10" x14ac:dyDescent="0.3">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448</v>
      </c>
      <c r="D116" s="1" t="s">
        <v>449</v>
      </c>
      <c r="E116" s="1" t="s">
        <v>450</v>
      </c>
      <c r="F116" s="1" t="s">
        <v>112</v>
      </c>
      <c r="G116" s="1">
        <v>552319</v>
      </c>
    </row>
    <row r="117" spans="1:10" x14ac:dyDescent="0.3">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451</v>
      </c>
      <c r="D117" s="1" t="s">
        <v>452</v>
      </c>
      <c r="E117" s="1" t="s">
        <v>453</v>
      </c>
      <c r="F117" s="1" t="s">
        <v>112</v>
      </c>
      <c r="G117" s="1">
        <v>324340</v>
      </c>
    </row>
    <row r="118" spans="1:10" x14ac:dyDescent="0.3">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454</v>
      </c>
      <c r="D118" s="1" t="s">
        <v>455</v>
      </c>
      <c r="E118" s="1" t="s">
        <v>456</v>
      </c>
      <c r="F118" s="1" t="s">
        <v>112</v>
      </c>
      <c r="G118" s="1">
        <v>326200</v>
      </c>
    </row>
    <row r="119" spans="1:10" x14ac:dyDescent="0.3">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457</v>
      </c>
      <c r="D119" s="1" t="s">
        <v>458</v>
      </c>
      <c r="E119" s="1" t="s">
        <v>459</v>
      </c>
      <c r="F119" s="1" t="s">
        <v>112</v>
      </c>
      <c r="G119" s="1">
        <v>334290</v>
      </c>
    </row>
    <row r="120" spans="1:10" x14ac:dyDescent="0.3">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460</v>
      </c>
      <c r="D120" s="1" t="s">
        <v>461</v>
      </c>
      <c r="E120" s="1" t="s">
        <v>462</v>
      </c>
      <c r="F120" s="1" t="s">
        <v>112</v>
      </c>
      <c r="G120" s="1">
        <v>247727</v>
      </c>
    </row>
    <row r="121" spans="1:10" x14ac:dyDescent="0.3">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463</v>
      </c>
      <c r="D121" s="1" t="s">
        <v>385</v>
      </c>
      <c r="E121" s="1" t="s">
        <v>464</v>
      </c>
      <c r="F121" s="1" t="s">
        <v>112</v>
      </c>
      <c r="G121" s="1">
        <v>143623</v>
      </c>
    </row>
    <row r="122" spans="1:10" x14ac:dyDescent="0.3">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465</v>
      </c>
      <c r="D122" s="1" t="s">
        <v>466</v>
      </c>
      <c r="E122" s="1" t="s">
        <v>467</v>
      </c>
      <c r="F122" s="1" t="s">
        <v>112</v>
      </c>
      <c r="G122" s="1">
        <v>538455</v>
      </c>
    </row>
    <row r="123" spans="1:10" x14ac:dyDescent="0.3">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468</v>
      </c>
      <c r="D123" s="1" t="s">
        <v>469</v>
      </c>
      <c r="E123" s="1" t="s">
        <v>470</v>
      </c>
      <c r="F123" s="1" t="s">
        <v>112</v>
      </c>
      <c r="G123" s="1">
        <v>229104</v>
      </c>
    </row>
    <row r="124" spans="1:10" x14ac:dyDescent="0.3">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471</v>
      </c>
      <c r="D124" s="1" t="s">
        <v>472</v>
      </c>
      <c r="E124" s="1" t="s">
        <v>473</v>
      </c>
      <c r="F124" s="1" t="s">
        <v>112</v>
      </c>
      <c r="G124" s="1">
        <v>595579</v>
      </c>
    </row>
    <row r="125" spans="1:10" x14ac:dyDescent="0.3">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3">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243</v>
      </c>
      <c r="D126" s="1" t="s">
        <v>112</v>
      </c>
      <c r="E126" s="1" t="s">
        <v>244</v>
      </c>
      <c r="F126" s="1" t="s">
        <v>245</v>
      </c>
      <c r="G126" s="1" t="s">
        <v>246</v>
      </c>
      <c r="H126" s="1" t="s">
        <v>247</v>
      </c>
      <c r="I126" s="1" t="s">
        <v>248</v>
      </c>
      <c r="J126" s="1" t="s">
        <v>249</v>
      </c>
    </row>
    <row r="127" spans="1:10" x14ac:dyDescent="0.3">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474</v>
      </c>
      <c r="D127" s="1" t="s">
        <v>112</v>
      </c>
      <c r="E127" s="1" t="s">
        <v>475</v>
      </c>
      <c r="F127" s="1" t="s">
        <v>476</v>
      </c>
      <c r="G127" s="1" t="s">
        <v>477</v>
      </c>
      <c r="H127" s="1" t="s">
        <v>478</v>
      </c>
      <c r="I127" s="1">
        <v>24</v>
      </c>
      <c r="J127" s="1">
        <v>24</v>
      </c>
    </row>
    <row r="128" spans="1:10" x14ac:dyDescent="0.3">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3">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3">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3">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3">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3">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255</v>
      </c>
      <c r="D133" s="1" t="s">
        <v>110</v>
      </c>
      <c r="E133" s="1" t="s">
        <v>111</v>
      </c>
      <c r="F133" s="1" t="s">
        <v>112</v>
      </c>
      <c r="G133" s="1" t="s">
        <v>113</v>
      </c>
    </row>
    <row r="134" spans="1:7" x14ac:dyDescent="0.3">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479</v>
      </c>
      <c r="D134" s="1" t="s">
        <v>480</v>
      </c>
      <c r="E134" s="1" t="s">
        <v>481</v>
      </c>
      <c r="F134" s="1" t="s">
        <v>112</v>
      </c>
      <c r="G134" s="1">
        <v>2938897</v>
      </c>
    </row>
    <row r="135" spans="1:7" x14ac:dyDescent="0.3">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482</v>
      </c>
      <c r="D135" s="1" t="s">
        <v>483</v>
      </c>
      <c r="E135" s="1" t="s">
        <v>484</v>
      </c>
      <c r="F135" s="1" t="s">
        <v>112</v>
      </c>
      <c r="G135" s="1">
        <v>2821598</v>
      </c>
    </row>
    <row r="136" spans="1:7" x14ac:dyDescent="0.3">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485</v>
      </c>
      <c r="D136" s="1" t="s">
        <v>486</v>
      </c>
      <c r="E136" s="1" t="s">
        <v>487</v>
      </c>
      <c r="F136" s="1" t="s">
        <v>112</v>
      </c>
      <c r="G136" s="1">
        <v>3851614</v>
      </c>
    </row>
    <row r="137" spans="1:7" x14ac:dyDescent="0.3">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488</v>
      </c>
      <c r="D137" s="1" t="s">
        <v>489</v>
      </c>
      <c r="E137" s="1" t="s">
        <v>490</v>
      </c>
      <c r="F137" s="1" t="s">
        <v>112</v>
      </c>
      <c r="G137" s="1">
        <v>741538</v>
      </c>
    </row>
    <row r="138" spans="1:7" x14ac:dyDescent="0.3">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491</v>
      </c>
      <c r="D138" s="1" t="s">
        <v>492</v>
      </c>
      <c r="E138" s="1" t="s">
        <v>493</v>
      </c>
      <c r="F138" s="1" t="s">
        <v>112</v>
      </c>
      <c r="G138" s="1">
        <v>452022</v>
      </c>
    </row>
    <row r="139" spans="1:7" x14ac:dyDescent="0.3">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494</v>
      </c>
      <c r="D139" s="1" t="s">
        <v>495</v>
      </c>
      <c r="E139" s="1" t="s">
        <v>496</v>
      </c>
      <c r="F139" s="1" t="s">
        <v>112</v>
      </c>
      <c r="G139" s="1">
        <v>217078</v>
      </c>
    </row>
    <row r="140" spans="1:7" x14ac:dyDescent="0.3">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497</v>
      </c>
      <c r="D140" s="1" t="s">
        <v>498</v>
      </c>
      <c r="E140" s="1" t="s">
        <v>499</v>
      </c>
      <c r="F140" s="1" t="s">
        <v>112</v>
      </c>
      <c r="G140" s="1">
        <v>1047211</v>
      </c>
    </row>
    <row r="141" spans="1:7" x14ac:dyDescent="0.3">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500</v>
      </c>
      <c r="D141" s="1" t="s">
        <v>260</v>
      </c>
      <c r="E141" s="1" t="s">
        <v>501</v>
      </c>
      <c r="F141" s="1" t="s">
        <v>112</v>
      </c>
      <c r="G141" s="1">
        <v>785663</v>
      </c>
    </row>
    <row r="142" spans="1:7" x14ac:dyDescent="0.3">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502</v>
      </c>
      <c r="D142" s="1" t="s">
        <v>503</v>
      </c>
      <c r="E142" s="1" t="s">
        <v>504</v>
      </c>
      <c r="F142" s="1" t="s">
        <v>112</v>
      </c>
      <c r="G142" s="1">
        <v>711710</v>
      </c>
    </row>
    <row r="143" spans="1:7" x14ac:dyDescent="0.3">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505</v>
      </c>
      <c r="D143" s="1" t="s">
        <v>506</v>
      </c>
      <c r="E143" s="1" t="s">
        <v>507</v>
      </c>
      <c r="F143" s="1" t="s">
        <v>112</v>
      </c>
      <c r="G143" s="1">
        <v>1884461</v>
      </c>
    </row>
    <row r="144" spans="1:7" x14ac:dyDescent="0.3">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508</v>
      </c>
      <c r="D144" s="1" t="s">
        <v>509</v>
      </c>
      <c r="E144" s="1" t="s">
        <v>510</v>
      </c>
      <c r="F144" s="1" t="s">
        <v>112</v>
      </c>
      <c r="G144" s="1">
        <v>2318119</v>
      </c>
    </row>
    <row r="145" spans="1:10" x14ac:dyDescent="0.3">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511</v>
      </c>
      <c r="D145" s="1" t="s">
        <v>512</v>
      </c>
      <c r="E145" s="1" t="s">
        <v>513</v>
      </c>
      <c r="F145" s="1" t="s">
        <v>112</v>
      </c>
      <c r="G145" s="1">
        <v>2278428</v>
      </c>
    </row>
    <row r="146" spans="1:10" x14ac:dyDescent="0.3">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514</v>
      </c>
      <c r="D146" s="1" t="s">
        <v>515</v>
      </c>
      <c r="E146" s="1" t="s">
        <v>516</v>
      </c>
      <c r="F146" s="1" t="s">
        <v>112</v>
      </c>
      <c r="G146" s="1">
        <v>493746</v>
      </c>
    </row>
    <row r="147" spans="1:10" x14ac:dyDescent="0.3">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517</v>
      </c>
      <c r="D147" s="1" t="s">
        <v>518</v>
      </c>
      <c r="E147" s="1" t="s">
        <v>519</v>
      </c>
      <c r="F147" s="1" t="s">
        <v>112</v>
      </c>
      <c r="G147" s="1">
        <v>428921</v>
      </c>
    </row>
    <row r="148" spans="1:10" x14ac:dyDescent="0.3">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520</v>
      </c>
      <c r="D148" s="1" t="s">
        <v>521</v>
      </c>
      <c r="E148" s="1" t="s">
        <v>522</v>
      </c>
      <c r="F148" s="1" t="s">
        <v>112</v>
      </c>
      <c r="G148" s="1">
        <v>649567</v>
      </c>
    </row>
    <row r="149" spans="1:10" x14ac:dyDescent="0.3">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523</v>
      </c>
      <c r="D149" s="1" t="s">
        <v>524</v>
      </c>
      <c r="E149" s="1" t="s">
        <v>525</v>
      </c>
      <c r="F149" s="1" t="s">
        <v>112</v>
      </c>
      <c r="G149" s="1">
        <v>574425</v>
      </c>
    </row>
    <row r="150" spans="1:10" x14ac:dyDescent="0.3">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526</v>
      </c>
      <c r="D150" s="1" t="s">
        <v>527</v>
      </c>
      <c r="E150" s="1" t="s">
        <v>528</v>
      </c>
      <c r="F150" s="1" t="s">
        <v>112</v>
      </c>
      <c r="G150" s="1">
        <v>576934</v>
      </c>
    </row>
    <row r="151" spans="1:10" x14ac:dyDescent="0.3">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529</v>
      </c>
      <c r="D151" s="1" t="s">
        <v>530</v>
      </c>
      <c r="E151" s="1" t="s">
        <v>531</v>
      </c>
      <c r="F151" s="1" t="s">
        <v>112</v>
      </c>
      <c r="G151" s="1">
        <v>509124</v>
      </c>
    </row>
    <row r="152" spans="1:10" x14ac:dyDescent="0.3">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532</v>
      </c>
      <c r="D152" s="1" t="s">
        <v>533</v>
      </c>
      <c r="E152" s="1" t="s">
        <v>534</v>
      </c>
      <c r="F152" s="1" t="s">
        <v>112</v>
      </c>
      <c r="G152" s="1">
        <v>1433738</v>
      </c>
    </row>
    <row r="153" spans="1:10" x14ac:dyDescent="0.3">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535</v>
      </c>
      <c r="D153" s="1" t="s">
        <v>536</v>
      </c>
      <c r="E153" s="1" t="s">
        <v>537</v>
      </c>
      <c r="F153" s="1" t="s">
        <v>112</v>
      </c>
      <c r="G153" s="1">
        <v>975119</v>
      </c>
    </row>
    <row r="154" spans="1:10" x14ac:dyDescent="0.3">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538</v>
      </c>
      <c r="D154" s="1" t="s">
        <v>539</v>
      </c>
      <c r="E154" s="1" t="s">
        <v>540</v>
      </c>
      <c r="F154" s="1" t="s">
        <v>112</v>
      </c>
      <c r="G154" s="1">
        <v>1185556</v>
      </c>
    </row>
    <row r="155" spans="1:10" x14ac:dyDescent="0.3">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541</v>
      </c>
      <c r="D155" s="1" t="s">
        <v>542</v>
      </c>
      <c r="E155" s="1" t="s">
        <v>543</v>
      </c>
      <c r="F155" s="1" t="s">
        <v>112</v>
      </c>
      <c r="G155" s="1">
        <v>1013512</v>
      </c>
    </row>
    <row r="156" spans="1:10" x14ac:dyDescent="0.3">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544</v>
      </c>
      <c r="D156" s="1" t="s">
        <v>545</v>
      </c>
      <c r="E156" s="1" t="s">
        <v>546</v>
      </c>
      <c r="F156" s="1" t="s">
        <v>112</v>
      </c>
      <c r="G156" s="1">
        <v>840430</v>
      </c>
    </row>
    <row r="157" spans="1:10" x14ac:dyDescent="0.3">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547</v>
      </c>
      <c r="D157" s="1" t="s">
        <v>548</v>
      </c>
      <c r="E157" s="1" t="s">
        <v>549</v>
      </c>
      <c r="F157" s="1" t="s">
        <v>112</v>
      </c>
      <c r="G157" s="1">
        <v>878801</v>
      </c>
    </row>
    <row r="158" spans="1:10" x14ac:dyDescent="0.3">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3">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243</v>
      </c>
      <c r="D159" s="1" t="s">
        <v>112</v>
      </c>
      <c r="E159" s="1" t="s">
        <v>244</v>
      </c>
      <c r="F159" s="1" t="s">
        <v>245</v>
      </c>
      <c r="G159" s="1" t="s">
        <v>246</v>
      </c>
      <c r="H159" s="1" t="s">
        <v>247</v>
      </c>
      <c r="I159" s="1" t="s">
        <v>248</v>
      </c>
      <c r="J159" s="1" t="s">
        <v>249</v>
      </c>
    </row>
    <row r="160" spans="1:10" x14ac:dyDescent="0.3">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550</v>
      </c>
      <c r="D160" s="1" t="s">
        <v>112</v>
      </c>
      <c r="E160" s="1" t="s">
        <v>551</v>
      </c>
      <c r="F160" s="1" t="s">
        <v>552</v>
      </c>
      <c r="G160" s="1" t="s">
        <v>553</v>
      </c>
      <c r="H160" s="1" t="s">
        <v>554</v>
      </c>
      <c r="I160" s="1">
        <v>24</v>
      </c>
      <c r="J160" s="1">
        <v>24</v>
      </c>
    </row>
    <row r="161" spans="1:7" x14ac:dyDescent="0.3">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3">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3">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3">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3">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3">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255</v>
      </c>
      <c r="D166" s="1" t="s">
        <v>110</v>
      </c>
      <c r="E166" s="1" t="s">
        <v>111</v>
      </c>
      <c r="F166" s="1" t="s">
        <v>112</v>
      </c>
      <c r="G166" s="1" t="s">
        <v>113</v>
      </c>
    </row>
    <row r="167" spans="1:7" x14ac:dyDescent="0.3">
      <c r="A167" s="1" t="str">
        <f t="shared" si="2"/>
        <v>06 EE2 170</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555</v>
      </c>
    </row>
    <row r="168" spans="1:7" x14ac:dyDescent="0.3">
      <c r="A168" s="1" t="str">
        <f t="shared" si="2"/>
        <v>06 EE2 170</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556</v>
      </c>
      <c r="D168" s="1" t="s">
        <v>557</v>
      </c>
      <c r="E168" s="1" t="s">
        <v>558</v>
      </c>
      <c r="F168" s="1" t="s">
        <v>112</v>
      </c>
      <c r="G168" s="1">
        <v>2845997</v>
      </c>
    </row>
    <row r="169" spans="1:7" x14ac:dyDescent="0.3">
      <c r="A169" s="1" t="str">
        <f t="shared" si="2"/>
        <v>06 EE2 170</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559</v>
      </c>
      <c r="D169" s="1" t="s">
        <v>560</v>
      </c>
      <c r="E169" s="1" t="s">
        <v>561</v>
      </c>
      <c r="F169" s="1" t="s">
        <v>112</v>
      </c>
      <c r="G169" s="1">
        <v>2716498</v>
      </c>
    </row>
    <row r="170" spans="1:7" x14ac:dyDescent="0.3">
      <c r="A170" s="1" t="str">
        <f t="shared" si="2"/>
        <v>06 EE2 170</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562</v>
      </c>
      <c r="D170" s="1" t="s">
        <v>563</v>
      </c>
      <c r="E170" s="1" t="s">
        <v>564</v>
      </c>
      <c r="F170" s="1" t="s">
        <v>112</v>
      </c>
      <c r="G170" s="1">
        <v>2807344</v>
      </c>
    </row>
    <row r="171" spans="1:7" x14ac:dyDescent="0.3">
      <c r="A171" s="1" t="str">
        <f t="shared" si="2"/>
        <v>06 EE2 170</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565</v>
      </c>
      <c r="D171" s="1" t="s">
        <v>566</v>
      </c>
      <c r="E171" s="1" t="s">
        <v>567</v>
      </c>
      <c r="F171" s="1" t="s">
        <v>112</v>
      </c>
      <c r="G171" s="1">
        <v>2537316</v>
      </c>
    </row>
    <row r="172" spans="1:7" x14ac:dyDescent="0.3">
      <c r="A172" s="1" t="str">
        <f t="shared" si="2"/>
        <v>06 EE2 170</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568</v>
      </c>
      <c r="D172" s="1" t="s">
        <v>569</v>
      </c>
      <c r="E172" s="1" t="s">
        <v>570</v>
      </c>
      <c r="F172" s="1" t="s">
        <v>112</v>
      </c>
      <c r="G172" s="1">
        <v>2624355</v>
      </c>
    </row>
    <row r="173" spans="1:7" x14ac:dyDescent="0.3">
      <c r="A173" s="1" t="str">
        <f t="shared" si="2"/>
        <v>06 EE2 170</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571</v>
      </c>
      <c r="D173" s="1" t="s">
        <v>572</v>
      </c>
      <c r="E173" s="1" t="s">
        <v>573</v>
      </c>
      <c r="F173" s="1" t="s">
        <v>112</v>
      </c>
      <c r="G173" s="1">
        <v>2080882</v>
      </c>
    </row>
    <row r="174" spans="1:7" x14ac:dyDescent="0.3">
      <c r="A174" s="1" t="str">
        <f t="shared" si="2"/>
        <v>06 EE2 170</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574</v>
      </c>
      <c r="D174" s="1" t="s">
        <v>575</v>
      </c>
      <c r="E174" s="1" t="s">
        <v>576</v>
      </c>
      <c r="F174" s="1" t="s">
        <v>112</v>
      </c>
      <c r="G174" s="1">
        <v>2427458</v>
      </c>
    </row>
    <row r="175" spans="1:7" x14ac:dyDescent="0.3">
      <c r="A175" s="1" t="str">
        <f t="shared" si="2"/>
        <v>06 EE2 170</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577</v>
      </c>
      <c r="D175" s="1" t="s">
        <v>578</v>
      </c>
      <c r="E175" s="1" t="s">
        <v>579</v>
      </c>
      <c r="F175" s="1" t="s">
        <v>112</v>
      </c>
      <c r="G175" s="1">
        <v>2251110</v>
      </c>
    </row>
    <row r="176" spans="1:7" x14ac:dyDescent="0.3">
      <c r="A176" s="1" t="str">
        <f t="shared" si="2"/>
        <v>06 EE2 170</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580</v>
      </c>
      <c r="D176" s="1" t="s">
        <v>581</v>
      </c>
      <c r="E176" s="1" t="s">
        <v>582</v>
      </c>
      <c r="F176" s="1" t="s">
        <v>112</v>
      </c>
      <c r="G176" s="1">
        <v>1432094</v>
      </c>
    </row>
    <row r="177" spans="1:10" x14ac:dyDescent="0.3">
      <c r="A177" s="1" t="str">
        <f t="shared" si="2"/>
        <v>06 EE2 170</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583</v>
      </c>
      <c r="D177" s="1" t="s">
        <v>584</v>
      </c>
      <c r="E177" s="1" t="s">
        <v>585</v>
      </c>
      <c r="F177" s="1" t="s">
        <v>112</v>
      </c>
      <c r="G177" s="1">
        <v>1336230</v>
      </c>
    </row>
    <row r="178" spans="1:10" x14ac:dyDescent="0.3">
      <c r="A178" s="1" t="str">
        <f t="shared" si="2"/>
        <v>06 EE2 170</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586</v>
      </c>
      <c r="D178" s="1" t="s">
        <v>587</v>
      </c>
      <c r="E178" s="1" t="s">
        <v>588</v>
      </c>
      <c r="F178" s="1" t="s">
        <v>112</v>
      </c>
      <c r="G178" s="1">
        <v>1426967</v>
      </c>
    </row>
    <row r="179" spans="1:10" x14ac:dyDescent="0.3">
      <c r="A179" s="1" t="str">
        <f t="shared" si="2"/>
        <v>06 EE2 170</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589</v>
      </c>
      <c r="D179" s="1" t="s">
        <v>590</v>
      </c>
      <c r="E179" s="1" t="s">
        <v>591</v>
      </c>
      <c r="F179" s="1" t="s">
        <v>112</v>
      </c>
      <c r="G179" s="1">
        <v>2254116</v>
      </c>
    </row>
    <row r="180" spans="1:10" x14ac:dyDescent="0.3">
      <c r="A180" s="1" t="str">
        <f t="shared" si="2"/>
        <v>06 EE2 170</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592</v>
      </c>
      <c r="D180" s="1" t="s">
        <v>593</v>
      </c>
      <c r="E180" s="1" t="s">
        <v>594</v>
      </c>
      <c r="F180" s="1" t="s">
        <v>112</v>
      </c>
      <c r="G180" s="1">
        <v>2314702</v>
      </c>
    </row>
    <row r="181" spans="1:10" x14ac:dyDescent="0.3">
      <c r="A181" s="1" t="str">
        <f t="shared" si="2"/>
        <v>06 EE2 170</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595</v>
      </c>
      <c r="D181" s="1" t="s">
        <v>596</v>
      </c>
      <c r="E181" s="1" t="s">
        <v>597</v>
      </c>
      <c r="F181" s="1" t="s">
        <v>112</v>
      </c>
      <c r="G181" s="1">
        <v>2245983</v>
      </c>
    </row>
    <row r="182" spans="1:10" x14ac:dyDescent="0.3">
      <c r="A182" s="1" t="str">
        <f t="shared" si="2"/>
        <v>06 EE2 170</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598</v>
      </c>
      <c r="D182" s="1" t="s">
        <v>599</v>
      </c>
      <c r="E182" s="1" t="s">
        <v>600</v>
      </c>
      <c r="F182" s="1" t="s">
        <v>112</v>
      </c>
      <c r="G182" s="1">
        <v>819903</v>
      </c>
    </row>
    <row r="183" spans="1:10" x14ac:dyDescent="0.3">
      <c r="A183" s="1" t="str">
        <f t="shared" si="2"/>
        <v>06 EE2 170</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601</v>
      </c>
      <c r="D183" s="1" t="s">
        <v>602</v>
      </c>
      <c r="E183" s="1">
        <v>67</v>
      </c>
      <c r="F183" s="1" t="s">
        <v>112</v>
      </c>
      <c r="G183" s="1">
        <v>731847</v>
      </c>
    </row>
    <row r="184" spans="1:10" x14ac:dyDescent="0.3">
      <c r="A184" s="1" t="str">
        <f t="shared" si="2"/>
        <v>06 EE2 170</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603</v>
      </c>
      <c r="D184" s="1" t="s">
        <v>604</v>
      </c>
      <c r="E184" s="1" t="s">
        <v>605</v>
      </c>
      <c r="F184" s="1" t="s">
        <v>112</v>
      </c>
      <c r="G184" s="1">
        <v>721790</v>
      </c>
    </row>
    <row r="185" spans="1:10" x14ac:dyDescent="0.3">
      <c r="A185" s="1" t="str">
        <f t="shared" si="2"/>
        <v>06 EE2 170</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606</v>
      </c>
      <c r="D185" s="1" t="s">
        <v>607</v>
      </c>
      <c r="E185" s="1" t="s">
        <v>608</v>
      </c>
      <c r="F185" s="1" t="s">
        <v>112</v>
      </c>
      <c r="G185" s="1">
        <v>2873510</v>
      </c>
    </row>
    <row r="186" spans="1:10" x14ac:dyDescent="0.3">
      <c r="A186" s="1" t="str">
        <f t="shared" si="2"/>
        <v>06 EE2 170</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609</v>
      </c>
      <c r="D186" s="1" t="s">
        <v>610</v>
      </c>
      <c r="E186" s="1" t="s">
        <v>611</v>
      </c>
      <c r="F186" s="1" t="s">
        <v>112</v>
      </c>
      <c r="G186" s="1">
        <v>2495354</v>
      </c>
    </row>
    <row r="187" spans="1:10" x14ac:dyDescent="0.3">
      <c r="A187" s="1" t="str">
        <f t="shared" si="2"/>
        <v>06 EE2 170</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612</v>
      </c>
      <c r="D187" s="1" t="s">
        <v>613</v>
      </c>
      <c r="E187" s="1" t="s">
        <v>614</v>
      </c>
      <c r="F187" s="1" t="s">
        <v>112</v>
      </c>
      <c r="G187" s="1">
        <v>2409808</v>
      </c>
    </row>
    <row r="188" spans="1:10" x14ac:dyDescent="0.3">
      <c r="A188" s="1" t="str">
        <f t="shared" si="2"/>
        <v>06 EE2 170</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615</v>
      </c>
      <c r="D188" s="1" t="s">
        <v>616</v>
      </c>
      <c r="E188" s="1" t="s">
        <v>617</v>
      </c>
      <c r="F188" s="1" t="s">
        <v>112</v>
      </c>
      <c r="G188" s="1">
        <v>2458302</v>
      </c>
    </row>
    <row r="189" spans="1:10" x14ac:dyDescent="0.3">
      <c r="A189" s="1" t="str">
        <f t="shared" si="2"/>
        <v>06 EE2 170</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618</v>
      </c>
      <c r="D189" s="1" t="s">
        <v>619</v>
      </c>
      <c r="E189" s="1" t="s">
        <v>620</v>
      </c>
      <c r="F189" s="1" t="s">
        <v>112</v>
      </c>
      <c r="G189" s="1">
        <v>2547374</v>
      </c>
    </row>
    <row r="190" spans="1:10" x14ac:dyDescent="0.3">
      <c r="A190" s="1" t="str">
        <f t="shared" si="2"/>
        <v>06 EE2 170</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621</v>
      </c>
      <c r="D190" s="1" t="s">
        <v>622</v>
      </c>
      <c r="E190" s="1" t="s">
        <v>623</v>
      </c>
      <c r="F190" s="1" t="s">
        <v>112</v>
      </c>
      <c r="G190" s="1">
        <v>2274210</v>
      </c>
    </row>
    <row r="191" spans="1:10" x14ac:dyDescent="0.3">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3">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243</v>
      </c>
      <c r="D192" s="1" t="s">
        <v>112</v>
      </c>
      <c r="E192" s="1" t="s">
        <v>244</v>
      </c>
      <c r="F192" s="1" t="s">
        <v>245</v>
      </c>
      <c r="G192" s="1" t="s">
        <v>246</v>
      </c>
      <c r="H192" s="1" t="s">
        <v>247</v>
      </c>
      <c r="I192" s="1" t="s">
        <v>248</v>
      </c>
      <c r="J192" s="1" t="s">
        <v>249</v>
      </c>
    </row>
    <row r="193" spans="1:10" x14ac:dyDescent="0.3">
      <c r="A193" s="1" t="str">
        <f t="shared" si="2"/>
        <v>06 EE2 170</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624</v>
      </c>
      <c r="D193" s="1" t="s">
        <v>112</v>
      </c>
      <c r="E193" s="1" t="s">
        <v>625</v>
      </c>
      <c r="F193" s="1" t="s">
        <v>626</v>
      </c>
      <c r="G193" s="1" t="s">
        <v>627</v>
      </c>
      <c r="H193" s="1" t="s">
        <v>628</v>
      </c>
      <c r="I193" s="1">
        <v>24</v>
      </c>
      <c r="J193" s="1">
        <v>24</v>
      </c>
    </row>
    <row r="194" spans="1:10" x14ac:dyDescent="0.3">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3">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3">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3">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3">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3">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255</v>
      </c>
      <c r="D199" s="1" t="s">
        <v>110</v>
      </c>
      <c r="E199" s="1" t="s">
        <v>111</v>
      </c>
      <c r="F199" s="1" t="s">
        <v>112</v>
      </c>
      <c r="G199" s="1" t="s">
        <v>113</v>
      </c>
    </row>
    <row r="200" spans="1:10" x14ac:dyDescent="0.3">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629</v>
      </c>
      <c r="D200" s="1" t="s">
        <v>630</v>
      </c>
      <c r="E200" s="1" t="s">
        <v>631</v>
      </c>
      <c r="F200" s="1" t="s">
        <v>112</v>
      </c>
      <c r="G200" s="1">
        <v>3289172</v>
      </c>
    </row>
    <row r="201" spans="1:10" x14ac:dyDescent="0.3">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632</v>
      </c>
      <c r="D201" s="1" t="s">
        <v>633</v>
      </c>
      <c r="E201" s="1" t="s">
        <v>634</v>
      </c>
      <c r="F201" s="1" t="s">
        <v>112</v>
      </c>
      <c r="G201" s="1">
        <v>3264319</v>
      </c>
    </row>
    <row r="202" spans="1:10" x14ac:dyDescent="0.3">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635</v>
      </c>
      <c r="D202" s="1" t="s">
        <v>636</v>
      </c>
      <c r="E202" s="1" t="s">
        <v>637</v>
      </c>
      <c r="F202" s="1" t="s">
        <v>112</v>
      </c>
      <c r="G202" s="1">
        <v>3449622</v>
      </c>
    </row>
    <row r="203" spans="1:10" x14ac:dyDescent="0.3">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638</v>
      </c>
      <c r="D203" s="1" t="s">
        <v>639</v>
      </c>
      <c r="E203" s="1" t="s">
        <v>640</v>
      </c>
      <c r="F203" s="1" t="s">
        <v>112</v>
      </c>
      <c r="G203" s="1">
        <v>4472046</v>
      </c>
    </row>
    <row r="204" spans="1:10" x14ac:dyDescent="0.3">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641</v>
      </c>
      <c r="D204" s="1" t="s">
        <v>642</v>
      </c>
      <c r="E204" s="1" t="s">
        <v>643</v>
      </c>
      <c r="F204" s="1" t="s">
        <v>112</v>
      </c>
      <c r="G204" s="1">
        <v>4892898</v>
      </c>
    </row>
    <row r="205" spans="1:10" x14ac:dyDescent="0.3">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644</v>
      </c>
      <c r="D205" s="1" t="s">
        <v>645</v>
      </c>
      <c r="E205" s="1" t="s">
        <v>646</v>
      </c>
      <c r="F205" s="1" t="s">
        <v>112</v>
      </c>
      <c r="G205" s="1">
        <v>4460928</v>
      </c>
    </row>
    <row r="206" spans="1:10" x14ac:dyDescent="0.3">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647</v>
      </c>
      <c r="D206" s="1" t="s">
        <v>648</v>
      </c>
      <c r="E206" s="1" t="s">
        <v>649</v>
      </c>
      <c r="F206" s="1" t="s">
        <v>112</v>
      </c>
      <c r="G206" s="1">
        <v>5660587</v>
      </c>
    </row>
    <row r="207" spans="1:10" x14ac:dyDescent="0.3">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650</v>
      </c>
      <c r="D207" s="1" t="s">
        <v>651</v>
      </c>
      <c r="E207" s="1" t="s">
        <v>652</v>
      </c>
      <c r="F207" s="1" t="s">
        <v>112</v>
      </c>
      <c r="G207" s="1">
        <v>5389478</v>
      </c>
    </row>
    <row r="208" spans="1:10" x14ac:dyDescent="0.3">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653</v>
      </c>
      <c r="D208" s="1" t="s">
        <v>654</v>
      </c>
      <c r="E208" s="1" t="s">
        <v>655</v>
      </c>
      <c r="F208" s="1" t="s">
        <v>112</v>
      </c>
      <c r="G208" s="1">
        <v>5528558</v>
      </c>
    </row>
    <row r="209" spans="1:7" x14ac:dyDescent="0.3">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656</v>
      </c>
      <c r="D209" s="1" t="s">
        <v>657</v>
      </c>
      <c r="E209" s="1" t="s">
        <v>658</v>
      </c>
      <c r="F209" s="1" t="s">
        <v>112</v>
      </c>
      <c r="G209" s="1">
        <v>8988757</v>
      </c>
    </row>
    <row r="210" spans="1:7" x14ac:dyDescent="0.3">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659</v>
      </c>
      <c r="D210" s="1" t="s">
        <v>660</v>
      </c>
      <c r="E210" s="1" t="s">
        <v>661</v>
      </c>
      <c r="F210" s="1" t="s">
        <v>112</v>
      </c>
      <c r="G210" s="1">
        <v>8609304</v>
      </c>
    </row>
    <row r="211" spans="1:7" x14ac:dyDescent="0.3">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662</v>
      </c>
      <c r="D211" s="1" t="s">
        <v>663</v>
      </c>
      <c r="E211" s="1" t="s">
        <v>664</v>
      </c>
      <c r="F211" s="1" t="s">
        <v>112</v>
      </c>
      <c r="G211" s="1">
        <v>9036451</v>
      </c>
    </row>
    <row r="212" spans="1:7" x14ac:dyDescent="0.3">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665</v>
      </c>
      <c r="D212" s="1" t="s">
        <v>666</v>
      </c>
      <c r="E212" s="1" t="s">
        <v>667</v>
      </c>
      <c r="F212" s="1" t="s">
        <v>112</v>
      </c>
      <c r="G212" s="1">
        <v>4329440</v>
      </c>
    </row>
    <row r="213" spans="1:7" x14ac:dyDescent="0.3">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668</v>
      </c>
    </row>
    <row r="214" spans="1:7" x14ac:dyDescent="0.3">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669</v>
      </c>
    </row>
    <row r="215" spans="1:7" x14ac:dyDescent="0.3">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670</v>
      </c>
      <c r="D215" s="1" t="s">
        <v>671</v>
      </c>
      <c r="E215" s="1" t="s">
        <v>672</v>
      </c>
      <c r="F215" s="1" t="s">
        <v>112</v>
      </c>
      <c r="G215" s="1">
        <v>3650867</v>
      </c>
    </row>
    <row r="216" spans="1:7" x14ac:dyDescent="0.3">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673</v>
      </c>
      <c r="D216" s="1" t="s">
        <v>674</v>
      </c>
      <c r="E216" s="1" t="s">
        <v>675</v>
      </c>
      <c r="F216" s="1" t="s">
        <v>112</v>
      </c>
      <c r="G216" s="1">
        <v>5076774</v>
      </c>
    </row>
    <row r="217" spans="1:7" x14ac:dyDescent="0.3">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676</v>
      </c>
      <c r="D217" s="1" t="s">
        <v>677</v>
      </c>
      <c r="E217" s="1" t="s">
        <v>678</v>
      </c>
      <c r="F217" s="1" t="s">
        <v>112</v>
      </c>
      <c r="G217" s="1">
        <v>4799803</v>
      </c>
    </row>
    <row r="218" spans="1:7" x14ac:dyDescent="0.3">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679</v>
      </c>
      <c r="D218" s="1" t="s">
        <v>680</v>
      </c>
      <c r="E218" s="1" t="s">
        <v>681</v>
      </c>
      <c r="F218" s="1" t="s">
        <v>112</v>
      </c>
      <c r="G218" s="1">
        <v>3940058</v>
      </c>
    </row>
    <row r="219" spans="1:7" x14ac:dyDescent="0.3">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682</v>
      </c>
      <c r="D219" s="1" t="s">
        <v>683</v>
      </c>
      <c r="E219" s="1" t="s">
        <v>684</v>
      </c>
      <c r="F219" s="1" t="s">
        <v>112</v>
      </c>
      <c r="G219" s="1">
        <v>4629230</v>
      </c>
    </row>
    <row r="220" spans="1:7" x14ac:dyDescent="0.3">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685</v>
      </c>
      <c r="D220" s="1" t="s">
        <v>686</v>
      </c>
      <c r="E220" s="1" t="s">
        <v>687</v>
      </c>
      <c r="F220" s="1" t="s">
        <v>112</v>
      </c>
      <c r="G220" s="1">
        <v>4824894</v>
      </c>
    </row>
    <row r="221" spans="1:7" x14ac:dyDescent="0.3">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688</v>
      </c>
      <c r="D221" s="1" t="s">
        <v>689</v>
      </c>
      <c r="E221" s="1" t="s">
        <v>690</v>
      </c>
      <c r="F221" s="1" t="s">
        <v>112</v>
      </c>
      <c r="G221" s="1">
        <v>3329922</v>
      </c>
    </row>
    <row r="222" spans="1:7" x14ac:dyDescent="0.3">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691</v>
      </c>
      <c r="D222" s="1" t="s">
        <v>692</v>
      </c>
      <c r="E222" s="1" t="s">
        <v>693</v>
      </c>
      <c r="F222" s="1" t="s">
        <v>112</v>
      </c>
      <c r="G222" s="1">
        <v>3456219</v>
      </c>
    </row>
    <row r="223" spans="1:7" x14ac:dyDescent="0.3">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694</v>
      </c>
      <c r="D223" s="1" t="s">
        <v>695</v>
      </c>
      <c r="E223" s="1" t="s">
        <v>696</v>
      </c>
      <c r="F223" s="1" t="s">
        <v>112</v>
      </c>
      <c r="G223" s="1">
        <v>3415771</v>
      </c>
    </row>
    <row r="224" spans="1:7" x14ac:dyDescent="0.3">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3">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243</v>
      </c>
      <c r="D225" s="1" t="s">
        <v>112</v>
      </c>
      <c r="E225" s="1" t="s">
        <v>244</v>
      </c>
      <c r="F225" s="1" t="s">
        <v>245</v>
      </c>
      <c r="G225" s="1" t="s">
        <v>246</v>
      </c>
      <c r="H225" s="1" t="s">
        <v>247</v>
      </c>
      <c r="I225" s="1" t="s">
        <v>248</v>
      </c>
      <c r="J225" s="1" t="s">
        <v>249</v>
      </c>
    </row>
    <row r="226" spans="1:10" x14ac:dyDescent="0.3">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697</v>
      </c>
      <c r="D226" s="1" t="s">
        <v>112</v>
      </c>
      <c r="E226" s="1" t="s">
        <v>698</v>
      </c>
      <c r="F226" s="1" t="s">
        <v>699</v>
      </c>
      <c r="G226" s="1" t="s">
        <v>700</v>
      </c>
      <c r="H226" s="1" t="s">
        <v>701</v>
      </c>
      <c r="I226" s="1">
        <v>24</v>
      </c>
      <c r="J226" s="1">
        <v>24</v>
      </c>
    </row>
    <row r="227" spans="1:10" x14ac:dyDescent="0.3">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3">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3">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3">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3">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3">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255</v>
      </c>
      <c r="D232" s="1" t="s">
        <v>110</v>
      </c>
      <c r="E232" s="1" t="s">
        <v>111</v>
      </c>
      <c r="F232" s="1" t="s">
        <v>112</v>
      </c>
      <c r="G232" s="1" t="s">
        <v>113</v>
      </c>
    </row>
    <row r="233" spans="1:10" x14ac:dyDescent="0.3">
      <c r="A233" s="1" t="str">
        <f t="shared" si="3"/>
        <v>08tam 30.2µg_L</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702</v>
      </c>
      <c r="D233" s="1" t="s">
        <v>703</v>
      </c>
      <c r="E233" s="1" t="s">
        <v>704</v>
      </c>
      <c r="F233" s="1" t="s">
        <v>112</v>
      </c>
      <c r="G233" s="1">
        <v>192030</v>
      </c>
    </row>
    <row r="234" spans="1:10" x14ac:dyDescent="0.3">
      <c r="A234" s="1" t="str">
        <f t="shared" si="3"/>
        <v>08tam 30.2µg_L</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705</v>
      </c>
      <c r="D234" s="1" t="s">
        <v>148</v>
      </c>
      <c r="E234" s="1" t="s">
        <v>706</v>
      </c>
      <c r="F234" s="1" t="s">
        <v>112</v>
      </c>
      <c r="G234" s="1">
        <v>342531</v>
      </c>
    </row>
    <row r="235" spans="1:10" x14ac:dyDescent="0.3">
      <c r="A235" s="1" t="str">
        <f t="shared" si="3"/>
        <v>08tam 30.2µg_L</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707</v>
      </c>
      <c r="D235" s="1" t="s">
        <v>211</v>
      </c>
      <c r="E235" s="1" t="s">
        <v>708</v>
      </c>
      <c r="F235" s="1" t="s">
        <v>112</v>
      </c>
      <c r="G235" s="1">
        <v>449210</v>
      </c>
    </row>
    <row r="236" spans="1:10" x14ac:dyDescent="0.3">
      <c r="A236" s="1" t="str">
        <f t="shared" si="3"/>
        <v>08tam 30.2µg_L</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709</v>
      </c>
      <c r="D236" s="1" t="s">
        <v>710</v>
      </c>
      <c r="E236" s="1" t="s">
        <v>711</v>
      </c>
      <c r="F236" s="1" t="s">
        <v>112</v>
      </c>
      <c r="G236" s="1">
        <v>354038</v>
      </c>
    </row>
    <row r="237" spans="1:10" x14ac:dyDescent="0.3">
      <c r="A237" s="1" t="str">
        <f t="shared" si="3"/>
        <v>08tam 30.2µg_L</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712</v>
      </c>
      <c r="D237" s="1" t="s">
        <v>336</v>
      </c>
      <c r="E237" s="1" t="s">
        <v>713</v>
      </c>
      <c r="F237" s="1" t="s">
        <v>112</v>
      </c>
      <c r="G237" s="1">
        <v>101834</v>
      </c>
    </row>
    <row r="238" spans="1:10" x14ac:dyDescent="0.3">
      <c r="A238" s="1" t="str">
        <f t="shared" si="3"/>
        <v>08tam 30.2µg_L</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714</v>
      </c>
      <c r="D238" s="1" t="s">
        <v>287</v>
      </c>
      <c r="E238" s="1" t="s">
        <v>715</v>
      </c>
      <c r="F238" s="1" t="s">
        <v>112</v>
      </c>
      <c r="G238" s="1">
        <v>117191</v>
      </c>
    </row>
    <row r="239" spans="1:10" x14ac:dyDescent="0.3">
      <c r="A239" s="1" t="str">
        <f t="shared" si="3"/>
        <v>08tam 30.2µg_L</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716</v>
      </c>
      <c r="D239" s="1" t="s">
        <v>717</v>
      </c>
      <c r="E239" s="1" t="s">
        <v>718</v>
      </c>
      <c r="F239" s="1" t="s">
        <v>112</v>
      </c>
      <c r="G239" s="1">
        <v>77933</v>
      </c>
    </row>
    <row r="240" spans="1:10" x14ac:dyDescent="0.3">
      <c r="A240" s="1" t="str">
        <f t="shared" si="3"/>
        <v>08tam 30.2µg_L</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719</v>
      </c>
      <c r="D240" s="1" t="s">
        <v>720</v>
      </c>
      <c r="E240" s="1" t="s">
        <v>721</v>
      </c>
      <c r="F240" s="1" t="s">
        <v>112</v>
      </c>
      <c r="G240" s="1">
        <v>47218</v>
      </c>
    </row>
    <row r="241" spans="1:7" x14ac:dyDescent="0.3">
      <c r="A241" s="1" t="str">
        <f t="shared" si="3"/>
        <v>08tam 30.2µg_L</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722</v>
      </c>
      <c r="D241" s="1" t="s">
        <v>723</v>
      </c>
      <c r="E241" s="1" t="s">
        <v>724</v>
      </c>
      <c r="F241" s="1" t="s">
        <v>112</v>
      </c>
      <c r="G241" s="1">
        <v>49532</v>
      </c>
    </row>
    <row r="242" spans="1:7" x14ac:dyDescent="0.3">
      <c r="A242" s="1" t="str">
        <f t="shared" si="3"/>
        <v>08tam 30.2µg_L</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725</v>
      </c>
      <c r="D242" s="1" t="s">
        <v>726</v>
      </c>
      <c r="E242" s="1" t="s">
        <v>727</v>
      </c>
      <c r="F242" s="1" t="s">
        <v>112</v>
      </c>
      <c r="G242" s="1">
        <v>486391</v>
      </c>
    </row>
    <row r="243" spans="1:7" x14ac:dyDescent="0.3">
      <c r="A243" s="1" t="str">
        <f t="shared" si="3"/>
        <v>08tam 30.2µg_L</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728</v>
      </c>
      <c r="D243" s="1" t="s">
        <v>729</v>
      </c>
      <c r="E243" s="1" t="s">
        <v>730</v>
      </c>
      <c r="F243" s="1" t="s">
        <v>112</v>
      </c>
      <c r="G243" s="1">
        <v>276517</v>
      </c>
    </row>
    <row r="244" spans="1:7" x14ac:dyDescent="0.3">
      <c r="A244" s="1" t="str">
        <f t="shared" si="3"/>
        <v>08tam 30.2µg_L</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731</v>
      </c>
      <c r="D244" s="1" t="s">
        <v>732</v>
      </c>
      <c r="E244" s="1" t="s">
        <v>733</v>
      </c>
      <c r="F244" s="1" t="s">
        <v>112</v>
      </c>
      <c r="G244" s="1">
        <v>311795</v>
      </c>
    </row>
    <row r="245" spans="1:7" x14ac:dyDescent="0.3">
      <c r="A245" s="1" t="str">
        <f t="shared" si="3"/>
        <v>08tam 30.2µg_L</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734</v>
      </c>
      <c r="D245" s="1" t="s">
        <v>735</v>
      </c>
      <c r="E245" s="1" t="s">
        <v>736</v>
      </c>
      <c r="F245" s="1" t="s">
        <v>112</v>
      </c>
      <c r="G245" s="1">
        <v>537806</v>
      </c>
    </row>
    <row r="246" spans="1:7" x14ac:dyDescent="0.3">
      <c r="A246" s="1" t="str">
        <f t="shared" si="3"/>
        <v>08tam 30.2µg_L</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737</v>
      </c>
      <c r="D246" s="1" t="s">
        <v>284</v>
      </c>
      <c r="E246" s="1" t="s">
        <v>738</v>
      </c>
      <c r="F246" s="1" t="s">
        <v>112</v>
      </c>
      <c r="G246" s="1">
        <v>637152</v>
      </c>
    </row>
    <row r="247" spans="1:7" x14ac:dyDescent="0.3">
      <c r="A247" s="1" t="str">
        <f t="shared" si="3"/>
        <v>08tam 30.2µg_L</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739</v>
      </c>
      <c r="D247" s="1" t="s">
        <v>740</v>
      </c>
      <c r="E247" s="1" t="s">
        <v>741</v>
      </c>
      <c r="F247" s="1" t="s">
        <v>112</v>
      </c>
      <c r="G247" s="1">
        <v>389014</v>
      </c>
    </row>
    <row r="248" spans="1:7" x14ac:dyDescent="0.3">
      <c r="A248" s="1" t="str">
        <f t="shared" si="3"/>
        <v>08tam 30.2µg_L</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742</v>
      </c>
      <c r="D248" s="1" t="s">
        <v>336</v>
      </c>
      <c r="E248" s="1" t="s">
        <v>743</v>
      </c>
      <c r="F248" s="1" t="s">
        <v>112</v>
      </c>
      <c r="G248" s="1">
        <v>101250</v>
      </c>
    </row>
    <row r="249" spans="1:7" x14ac:dyDescent="0.3">
      <c r="A249" s="1" t="str">
        <f t="shared" si="3"/>
        <v>08tam 30.2µg_L</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744</v>
      </c>
      <c r="D249" s="1" t="s">
        <v>745</v>
      </c>
      <c r="E249" s="1" t="s">
        <v>746</v>
      </c>
      <c r="F249" s="1" t="s">
        <v>112</v>
      </c>
      <c r="G249" s="1">
        <v>83297</v>
      </c>
    </row>
    <row r="250" spans="1:7" x14ac:dyDescent="0.3">
      <c r="A250" s="1" t="str">
        <f t="shared" si="3"/>
        <v>08tam 30.2µg_L</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747</v>
      </c>
      <c r="D250" s="1" t="s">
        <v>382</v>
      </c>
      <c r="E250" s="1" t="s">
        <v>748</v>
      </c>
      <c r="F250" s="1" t="s">
        <v>112</v>
      </c>
      <c r="G250" s="1">
        <v>120954</v>
      </c>
    </row>
    <row r="251" spans="1:7" x14ac:dyDescent="0.3">
      <c r="A251" s="1" t="str">
        <f t="shared" si="3"/>
        <v>08tam 30.2µg_L</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749</v>
      </c>
      <c r="D251" s="1" t="s">
        <v>750</v>
      </c>
      <c r="E251" s="1" t="s">
        <v>751</v>
      </c>
      <c r="F251" s="1" t="s">
        <v>112</v>
      </c>
      <c r="G251" s="1">
        <v>88120</v>
      </c>
    </row>
    <row r="252" spans="1:7" x14ac:dyDescent="0.3">
      <c r="A252" s="1" t="str">
        <f t="shared" si="3"/>
        <v>08tam 30.2µg_L</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752</v>
      </c>
      <c r="D252" s="1" t="s">
        <v>753</v>
      </c>
      <c r="E252" s="1" t="s">
        <v>754</v>
      </c>
      <c r="F252" s="1" t="s">
        <v>112</v>
      </c>
      <c r="G252" s="1">
        <v>114379</v>
      </c>
    </row>
    <row r="253" spans="1:7" x14ac:dyDescent="0.3">
      <c r="A253" s="1" t="str">
        <f t="shared" si="3"/>
        <v>08tam 30.2µg_L</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755</v>
      </c>
      <c r="D253" s="1" t="s">
        <v>756</v>
      </c>
      <c r="E253" s="1" t="s">
        <v>757</v>
      </c>
      <c r="F253" s="1" t="s">
        <v>112</v>
      </c>
      <c r="G253" s="1">
        <v>150090</v>
      </c>
    </row>
    <row r="254" spans="1:7" x14ac:dyDescent="0.3">
      <c r="A254" s="1" t="str">
        <f t="shared" si="3"/>
        <v>08tam 30.2µg_L</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758</v>
      </c>
      <c r="D254" s="1" t="s">
        <v>759</v>
      </c>
      <c r="E254" s="1" t="s">
        <v>760</v>
      </c>
      <c r="F254" s="1" t="s">
        <v>112</v>
      </c>
      <c r="G254" s="1">
        <v>40383</v>
      </c>
    </row>
    <row r="255" spans="1:7" x14ac:dyDescent="0.3">
      <c r="A255" s="1" t="str">
        <f t="shared" si="3"/>
        <v>08tam 30.2µg_L</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761</v>
      </c>
      <c r="D255" s="1" t="s">
        <v>205</v>
      </c>
      <c r="E255" s="1" t="s">
        <v>762</v>
      </c>
      <c r="F255" s="1" t="s">
        <v>112</v>
      </c>
      <c r="G255" s="1">
        <v>12697</v>
      </c>
    </row>
    <row r="256" spans="1:7" x14ac:dyDescent="0.3">
      <c r="A256" s="1" t="str">
        <f t="shared" si="3"/>
        <v>08tam 30.2µg_L</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763</v>
      </c>
      <c r="D256" s="1" t="s">
        <v>764</v>
      </c>
      <c r="E256" s="1" t="s">
        <v>765</v>
      </c>
      <c r="F256" s="1" t="s">
        <v>112</v>
      </c>
      <c r="G256" s="1">
        <v>29546</v>
      </c>
    </row>
    <row r="257" spans="1:10" x14ac:dyDescent="0.3">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3">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243</v>
      </c>
      <c r="D258" s="1" t="s">
        <v>112</v>
      </c>
      <c r="E258" s="1" t="s">
        <v>244</v>
      </c>
      <c r="F258" s="1" t="s">
        <v>245</v>
      </c>
      <c r="G258" s="1" t="s">
        <v>246</v>
      </c>
      <c r="H258" s="1" t="s">
        <v>247</v>
      </c>
      <c r="I258" s="1" t="s">
        <v>248</v>
      </c>
      <c r="J258" s="1" t="s">
        <v>249</v>
      </c>
    </row>
    <row r="259" spans="1:10" x14ac:dyDescent="0.3">
      <c r="A259" s="1" t="str">
        <f t="shared" si="4"/>
        <v>08tam 30.2µg_L</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766</v>
      </c>
      <c r="D259" s="1" t="s">
        <v>112</v>
      </c>
      <c r="E259" s="1" t="s">
        <v>767</v>
      </c>
      <c r="F259" s="1" t="s">
        <v>768</v>
      </c>
      <c r="G259" s="1" t="s">
        <v>769</v>
      </c>
      <c r="H259" s="1" t="s">
        <v>770</v>
      </c>
      <c r="I259" s="1">
        <v>24</v>
      </c>
      <c r="J259" s="1">
        <v>24</v>
      </c>
    </row>
    <row r="260" spans="1:10" x14ac:dyDescent="0.3">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3">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3">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3">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3">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3">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255</v>
      </c>
      <c r="D265" s="1" t="s">
        <v>110</v>
      </c>
      <c r="E265" s="1" t="s">
        <v>111</v>
      </c>
      <c r="F265" s="1" t="s">
        <v>112</v>
      </c>
      <c r="G265" s="1" t="s">
        <v>113</v>
      </c>
    </row>
    <row r="266" spans="1:10" x14ac:dyDescent="0.3">
      <c r="A266" s="1" t="str">
        <f t="shared" si="4"/>
        <v>09 tam 60.4µg_L</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771</v>
      </c>
      <c r="D266" s="1" t="s">
        <v>772</v>
      </c>
      <c r="E266" s="1" t="s">
        <v>715</v>
      </c>
      <c r="F266" s="1" t="s">
        <v>112</v>
      </c>
      <c r="G266" s="1">
        <v>53015</v>
      </c>
    </row>
    <row r="267" spans="1:10" x14ac:dyDescent="0.3">
      <c r="A267" s="1" t="str">
        <f t="shared" si="4"/>
        <v>09 tam 60.4µg_L</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773</v>
      </c>
      <c r="D267" s="1" t="s">
        <v>774</v>
      </c>
      <c r="E267" s="1" t="s">
        <v>775</v>
      </c>
      <c r="F267" s="1" t="s">
        <v>112</v>
      </c>
      <c r="G267" s="1">
        <v>73109</v>
      </c>
    </row>
    <row r="268" spans="1:10" x14ac:dyDescent="0.3">
      <c r="A268" s="1" t="str">
        <f t="shared" si="4"/>
        <v>09 tam 60.4µg_L</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776</v>
      </c>
      <c r="D268" s="1" t="s">
        <v>348</v>
      </c>
      <c r="E268" s="1" t="s">
        <v>777</v>
      </c>
      <c r="F268" s="1" t="s">
        <v>112</v>
      </c>
      <c r="G268" s="1">
        <v>53404</v>
      </c>
    </row>
    <row r="269" spans="1:10" x14ac:dyDescent="0.3">
      <c r="A269" s="1" t="str">
        <f t="shared" si="4"/>
        <v>09 tam 60.4µg_L</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778</v>
      </c>
      <c r="D269" s="1" t="s">
        <v>779</v>
      </c>
      <c r="E269" s="1" t="s">
        <v>780</v>
      </c>
      <c r="F269" s="1" t="s">
        <v>112</v>
      </c>
      <c r="G269" s="1">
        <v>769916</v>
      </c>
    </row>
    <row r="270" spans="1:10" x14ac:dyDescent="0.3">
      <c r="A270" s="1" t="str">
        <f t="shared" si="4"/>
        <v>09 tam 60.4µg_L</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781</v>
      </c>
      <c r="D270" s="1" t="s">
        <v>782</v>
      </c>
      <c r="E270" s="1" t="s">
        <v>783</v>
      </c>
      <c r="F270" s="1" t="s">
        <v>112</v>
      </c>
      <c r="G270" s="1">
        <v>417608</v>
      </c>
    </row>
    <row r="271" spans="1:10" x14ac:dyDescent="0.3">
      <c r="A271" s="1" t="str">
        <f t="shared" si="4"/>
        <v>09 tam 60.4µg_L</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784</v>
      </c>
      <c r="D271" s="1" t="s">
        <v>785</v>
      </c>
      <c r="E271" s="1" t="s">
        <v>786</v>
      </c>
      <c r="F271" s="1" t="s">
        <v>112</v>
      </c>
      <c r="G271" s="1">
        <v>1548116</v>
      </c>
    </row>
    <row r="272" spans="1:10" x14ac:dyDescent="0.3">
      <c r="A272" s="1" t="str">
        <f t="shared" si="4"/>
        <v>09 tam 60.4µg_L</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787</v>
      </c>
      <c r="D272" s="1" t="s">
        <v>388</v>
      </c>
      <c r="E272" s="1" t="s">
        <v>788</v>
      </c>
      <c r="F272" s="1" t="s">
        <v>112</v>
      </c>
      <c r="G272" s="1">
        <v>375452</v>
      </c>
    </row>
    <row r="273" spans="1:7" x14ac:dyDescent="0.3">
      <c r="A273" s="1" t="str">
        <f t="shared" si="4"/>
        <v>09 tam 60.4µg_L</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789</v>
      </c>
      <c r="D273" s="1" t="s">
        <v>790</v>
      </c>
      <c r="E273" s="1" t="s">
        <v>791</v>
      </c>
      <c r="F273" s="1" t="s">
        <v>112</v>
      </c>
      <c r="G273" s="1">
        <v>344824</v>
      </c>
    </row>
    <row r="274" spans="1:7" x14ac:dyDescent="0.3">
      <c r="A274" s="1" t="str">
        <f t="shared" si="4"/>
        <v>09 tam 60.4µg_L</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792</v>
      </c>
      <c r="D274" s="1" t="s">
        <v>793</v>
      </c>
      <c r="E274" s="1" t="s">
        <v>794</v>
      </c>
      <c r="F274" s="1" t="s">
        <v>112</v>
      </c>
      <c r="G274" s="1">
        <v>150587</v>
      </c>
    </row>
    <row r="275" spans="1:7" x14ac:dyDescent="0.3">
      <c r="A275" s="1" t="str">
        <f t="shared" si="4"/>
        <v>09 tam 60.4µg_L</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795</v>
      </c>
      <c r="D275" s="1" t="s">
        <v>796</v>
      </c>
      <c r="E275" s="1" t="s">
        <v>797</v>
      </c>
      <c r="F275" s="1" t="s">
        <v>112</v>
      </c>
      <c r="G275" s="1">
        <v>172866</v>
      </c>
    </row>
    <row r="276" spans="1:7" x14ac:dyDescent="0.3">
      <c r="A276" s="1" t="str">
        <f t="shared" si="4"/>
        <v>09 tam 60.4µg_L</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798</v>
      </c>
      <c r="D276" s="1" t="s">
        <v>420</v>
      </c>
      <c r="E276" s="1" t="s">
        <v>799</v>
      </c>
      <c r="F276" s="1" t="s">
        <v>112</v>
      </c>
      <c r="G276" s="1">
        <v>130104</v>
      </c>
    </row>
    <row r="277" spans="1:7" x14ac:dyDescent="0.3">
      <c r="A277" s="1" t="str">
        <f t="shared" si="4"/>
        <v>09 tam 60.4µg_L</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800</v>
      </c>
      <c r="D277" s="1" t="s">
        <v>351</v>
      </c>
      <c r="E277" s="1" t="s">
        <v>801</v>
      </c>
      <c r="F277" s="1" t="s">
        <v>112</v>
      </c>
      <c r="G277" s="1">
        <v>67723</v>
      </c>
    </row>
    <row r="278" spans="1:7" x14ac:dyDescent="0.3">
      <c r="A278" s="1" t="str">
        <f t="shared" si="4"/>
        <v>09 tam 60.4µg_L</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802</v>
      </c>
      <c r="D278" s="1" t="s">
        <v>803</v>
      </c>
      <c r="E278" s="1" t="s">
        <v>804</v>
      </c>
      <c r="F278" s="1" t="s">
        <v>112</v>
      </c>
      <c r="G278" s="1">
        <v>229731</v>
      </c>
    </row>
    <row r="279" spans="1:7" x14ac:dyDescent="0.3">
      <c r="A279" s="1" t="str">
        <f t="shared" si="4"/>
        <v>09 tam 60.4µg_L</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805</v>
      </c>
      <c r="D279" s="1" t="s">
        <v>710</v>
      </c>
      <c r="E279" s="1" t="s">
        <v>806</v>
      </c>
      <c r="F279" s="1" t="s">
        <v>112</v>
      </c>
      <c r="G279" s="1">
        <v>328536</v>
      </c>
    </row>
    <row r="280" spans="1:7" x14ac:dyDescent="0.3">
      <c r="A280" s="1" t="str">
        <f t="shared" si="4"/>
        <v>09 tam 60.4µg_L</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807</v>
      </c>
      <c r="D280" s="1" t="s">
        <v>808</v>
      </c>
      <c r="E280" s="1" t="s">
        <v>809</v>
      </c>
      <c r="F280" s="1" t="s">
        <v>112</v>
      </c>
      <c r="G280" s="1">
        <v>141784</v>
      </c>
    </row>
    <row r="281" spans="1:7" x14ac:dyDescent="0.3">
      <c r="A281" s="1" t="str">
        <f t="shared" si="4"/>
        <v>09 tam 60.4µg_L</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810</v>
      </c>
      <c r="D281" s="1" t="s">
        <v>351</v>
      </c>
      <c r="E281" s="1" t="s">
        <v>811</v>
      </c>
      <c r="F281" s="1" t="s">
        <v>112</v>
      </c>
      <c r="G281" s="1">
        <v>71335</v>
      </c>
    </row>
    <row r="282" spans="1:7" x14ac:dyDescent="0.3">
      <c r="A282" s="1" t="str">
        <f t="shared" si="4"/>
        <v>09 tam 60.4µg_L</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812</v>
      </c>
      <c r="D282" s="1" t="s">
        <v>187</v>
      </c>
      <c r="E282" s="1" t="s">
        <v>813</v>
      </c>
      <c r="F282" s="1" t="s">
        <v>112</v>
      </c>
      <c r="G282" s="1">
        <v>55957</v>
      </c>
    </row>
    <row r="283" spans="1:7" x14ac:dyDescent="0.3">
      <c r="A283" s="1" t="str">
        <f t="shared" si="4"/>
        <v>09 tam 60.4µg_L</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814</v>
      </c>
      <c r="D283" s="1" t="s">
        <v>241</v>
      </c>
      <c r="E283" s="1" t="s">
        <v>815</v>
      </c>
      <c r="F283" s="1" t="s">
        <v>112</v>
      </c>
      <c r="G283" s="1">
        <v>76786</v>
      </c>
    </row>
    <row r="284" spans="1:7" x14ac:dyDescent="0.3">
      <c r="A284" s="1" t="str">
        <f t="shared" si="4"/>
        <v>09 tam 60.4µg_L</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816</v>
      </c>
      <c r="D284" s="1" t="s">
        <v>817</v>
      </c>
      <c r="E284" s="1" t="s">
        <v>818</v>
      </c>
      <c r="F284" s="1" t="s">
        <v>112</v>
      </c>
      <c r="G284" s="1">
        <v>274570</v>
      </c>
    </row>
    <row r="285" spans="1:7" x14ac:dyDescent="0.3">
      <c r="A285" s="1" t="str">
        <f t="shared" si="4"/>
        <v>09 tam 60.4µg_L</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819</v>
      </c>
      <c r="D285" s="1" t="s">
        <v>820</v>
      </c>
      <c r="E285" s="1" t="s">
        <v>821</v>
      </c>
      <c r="F285" s="1" t="s">
        <v>112</v>
      </c>
      <c r="G285" s="1">
        <v>905471</v>
      </c>
    </row>
    <row r="286" spans="1:7" x14ac:dyDescent="0.3">
      <c r="A286" s="1" t="str">
        <f t="shared" si="4"/>
        <v>09 tam 60.4µg_L</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822</v>
      </c>
      <c r="D286" s="1" t="s">
        <v>823</v>
      </c>
      <c r="E286" s="1" t="s">
        <v>824</v>
      </c>
      <c r="F286" s="1" t="s">
        <v>112</v>
      </c>
      <c r="G286" s="1">
        <v>1053614</v>
      </c>
    </row>
    <row r="287" spans="1:7" x14ac:dyDescent="0.3">
      <c r="A287" s="1" t="str">
        <f t="shared" si="4"/>
        <v>09 tam 60.4µg_L</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825</v>
      </c>
      <c r="D287" s="1" t="s">
        <v>826</v>
      </c>
      <c r="E287" s="1" t="s">
        <v>827</v>
      </c>
      <c r="F287" s="1" t="s">
        <v>112</v>
      </c>
      <c r="G287" s="1">
        <v>389554</v>
      </c>
    </row>
    <row r="288" spans="1:7" x14ac:dyDescent="0.3">
      <c r="A288" s="1" t="str">
        <f t="shared" si="4"/>
        <v>09 tam 60.4µg_L</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828</v>
      </c>
      <c r="D288" s="1" t="s">
        <v>461</v>
      </c>
      <c r="E288" s="1" t="s">
        <v>829</v>
      </c>
      <c r="F288" s="1" t="s">
        <v>112</v>
      </c>
      <c r="G288" s="1">
        <v>248354</v>
      </c>
    </row>
    <row r="289" spans="1:10" x14ac:dyDescent="0.3">
      <c r="A289" s="1" t="str">
        <f t="shared" si="4"/>
        <v>09 tam 60.4µg_L</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830</v>
      </c>
      <c r="D289" s="1" t="s">
        <v>317</v>
      </c>
      <c r="E289" s="1" t="s">
        <v>831</v>
      </c>
      <c r="F289" s="1" t="s">
        <v>112</v>
      </c>
      <c r="G289" s="1">
        <v>278290</v>
      </c>
    </row>
    <row r="290" spans="1:10" x14ac:dyDescent="0.3">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3">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243</v>
      </c>
      <c r="D291" s="1" t="s">
        <v>112</v>
      </c>
      <c r="E291" s="1" t="s">
        <v>244</v>
      </c>
      <c r="F291" s="1" t="s">
        <v>245</v>
      </c>
      <c r="G291" s="1" t="s">
        <v>246</v>
      </c>
      <c r="H291" s="1" t="s">
        <v>247</v>
      </c>
      <c r="I291" s="1" t="s">
        <v>248</v>
      </c>
      <c r="J291" s="1" t="s">
        <v>249</v>
      </c>
    </row>
    <row r="292" spans="1:10" x14ac:dyDescent="0.3">
      <c r="A292" s="1" t="str">
        <f t="shared" si="4"/>
        <v>09 tam 60.4µg_L</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832</v>
      </c>
      <c r="D292" s="1" t="s">
        <v>112</v>
      </c>
      <c r="E292" s="1" t="s">
        <v>833</v>
      </c>
      <c r="F292" s="1" t="s">
        <v>834</v>
      </c>
      <c r="G292" s="1" t="s">
        <v>835</v>
      </c>
      <c r="H292" s="1" t="s">
        <v>836</v>
      </c>
      <c r="I292" s="1">
        <v>24</v>
      </c>
      <c r="J292" s="1">
        <v>24</v>
      </c>
    </row>
    <row r="293" spans="1:10" x14ac:dyDescent="0.3">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3">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3">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3">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3">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3">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255</v>
      </c>
      <c r="D298" s="1" t="s">
        <v>110</v>
      </c>
      <c r="E298" s="1" t="s">
        <v>111</v>
      </c>
      <c r="F298" s="1" t="s">
        <v>112</v>
      </c>
      <c r="G298" s="1" t="s">
        <v>113</v>
      </c>
    </row>
    <row r="299" spans="1:10" x14ac:dyDescent="0.3">
      <c r="A299" s="1" t="str">
        <f t="shared" si="4"/>
        <v>10 tam 121µg_L</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837</v>
      </c>
      <c r="D299" s="1" t="s">
        <v>838</v>
      </c>
      <c r="E299" s="1" t="s">
        <v>839</v>
      </c>
      <c r="F299" s="1" t="s">
        <v>112</v>
      </c>
      <c r="G299" s="1">
        <v>513169</v>
      </c>
    </row>
    <row r="300" spans="1:10" x14ac:dyDescent="0.3">
      <c r="A300" s="1" t="str">
        <f t="shared" si="4"/>
        <v>10 tam 121µg_L</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840</v>
      </c>
      <c r="D300" s="1" t="s">
        <v>841</v>
      </c>
      <c r="E300" s="1" t="s">
        <v>842</v>
      </c>
      <c r="F300" s="1" t="s">
        <v>112</v>
      </c>
      <c r="G300" s="1">
        <v>258888</v>
      </c>
    </row>
    <row r="301" spans="1:10" x14ac:dyDescent="0.3">
      <c r="A301" s="1" t="str">
        <f t="shared" si="4"/>
        <v>10 tam 121µg_L</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843</v>
      </c>
      <c r="D301" s="1" t="s">
        <v>235</v>
      </c>
      <c r="E301" s="1" t="s">
        <v>844</v>
      </c>
      <c r="F301" s="1" t="s">
        <v>112</v>
      </c>
      <c r="G301" s="1">
        <v>118272</v>
      </c>
    </row>
    <row r="302" spans="1:10" x14ac:dyDescent="0.3">
      <c r="A302" s="1" t="str">
        <f t="shared" si="4"/>
        <v>10 tam 121µg_L</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845</v>
      </c>
      <c r="D302" s="1" t="s">
        <v>846</v>
      </c>
      <c r="E302" s="1" t="s">
        <v>847</v>
      </c>
      <c r="F302" s="1" t="s">
        <v>112</v>
      </c>
      <c r="G302" s="1">
        <v>61451</v>
      </c>
    </row>
    <row r="303" spans="1:10" x14ac:dyDescent="0.3">
      <c r="A303" s="1" t="str">
        <f t="shared" si="4"/>
        <v>10 tam 121µg_L</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848</v>
      </c>
      <c r="D303" s="1" t="s">
        <v>723</v>
      </c>
      <c r="E303" s="1" t="s">
        <v>849</v>
      </c>
      <c r="F303" s="1" t="s">
        <v>112</v>
      </c>
      <c r="G303" s="1">
        <v>48105</v>
      </c>
    </row>
    <row r="304" spans="1:10" x14ac:dyDescent="0.3">
      <c r="A304" s="1" t="str">
        <f t="shared" si="4"/>
        <v>10 tam 121µg_L</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850</v>
      </c>
      <c r="D304" s="1" t="s">
        <v>851</v>
      </c>
      <c r="E304" s="1" t="s">
        <v>852</v>
      </c>
      <c r="F304" s="1" t="s">
        <v>112</v>
      </c>
      <c r="G304" s="1">
        <v>90608</v>
      </c>
    </row>
    <row r="305" spans="1:7" x14ac:dyDescent="0.3">
      <c r="A305" s="1" t="str">
        <f t="shared" si="4"/>
        <v>10 tam 121µg_L</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853</v>
      </c>
      <c r="D305" s="1" t="s">
        <v>232</v>
      </c>
      <c r="E305" s="1" t="s">
        <v>854</v>
      </c>
      <c r="F305" s="1" t="s">
        <v>112</v>
      </c>
      <c r="G305" s="1">
        <v>270677</v>
      </c>
    </row>
    <row r="306" spans="1:7" x14ac:dyDescent="0.3">
      <c r="A306" s="1" t="str">
        <f t="shared" si="4"/>
        <v>10 tam 121µg_L</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855</v>
      </c>
      <c r="D306" s="1" t="s">
        <v>351</v>
      </c>
      <c r="E306" s="1" t="s">
        <v>856</v>
      </c>
      <c r="F306" s="1" t="s">
        <v>112</v>
      </c>
      <c r="G306" s="1">
        <v>68307</v>
      </c>
    </row>
    <row r="307" spans="1:7" x14ac:dyDescent="0.3">
      <c r="A307" s="1" t="str">
        <f t="shared" si="4"/>
        <v>10 tam 121µg_L</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857</v>
      </c>
      <c r="D307" s="1" t="s">
        <v>223</v>
      </c>
      <c r="E307" s="1" t="s">
        <v>858</v>
      </c>
      <c r="F307" s="1" t="s">
        <v>112</v>
      </c>
      <c r="G307" s="1">
        <v>278485</v>
      </c>
    </row>
    <row r="308" spans="1:7" x14ac:dyDescent="0.3">
      <c r="A308" s="1" t="str">
        <f t="shared" si="4"/>
        <v>10 tam 121µg_L</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859</v>
      </c>
      <c r="D308" s="1" t="s">
        <v>232</v>
      </c>
      <c r="E308" s="1" t="s">
        <v>860</v>
      </c>
      <c r="F308" s="1" t="s">
        <v>112</v>
      </c>
      <c r="G308" s="1">
        <v>282941</v>
      </c>
    </row>
    <row r="309" spans="1:7" x14ac:dyDescent="0.3">
      <c r="A309" s="1" t="str">
        <f t="shared" si="4"/>
        <v>10 tam 121µg_L</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861</v>
      </c>
      <c r="D309" s="1" t="s">
        <v>862</v>
      </c>
      <c r="E309" s="1" t="s">
        <v>863</v>
      </c>
      <c r="F309" s="1" t="s">
        <v>112</v>
      </c>
      <c r="G309" s="1">
        <v>375625</v>
      </c>
    </row>
    <row r="310" spans="1:7" x14ac:dyDescent="0.3">
      <c r="A310" s="1" t="str">
        <f t="shared" si="4"/>
        <v>10 tam 121µg_L</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864</v>
      </c>
      <c r="D310" s="1" t="s">
        <v>774</v>
      </c>
      <c r="E310" s="1" t="s">
        <v>865</v>
      </c>
      <c r="F310" s="1" t="s">
        <v>112</v>
      </c>
      <c r="G310" s="1">
        <v>73477</v>
      </c>
    </row>
    <row r="311" spans="1:7" x14ac:dyDescent="0.3">
      <c r="A311" s="1" t="str">
        <f t="shared" si="4"/>
        <v>10 tam 121µg_L</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866</v>
      </c>
      <c r="D311" s="1" t="s">
        <v>759</v>
      </c>
      <c r="E311" s="1" t="s">
        <v>867</v>
      </c>
      <c r="F311" s="1" t="s">
        <v>112</v>
      </c>
      <c r="G311" s="1">
        <v>38371</v>
      </c>
    </row>
    <row r="312" spans="1:7" x14ac:dyDescent="0.3">
      <c r="A312" s="1" t="str">
        <f t="shared" si="4"/>
        <v>10 tam 121µg_L</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868</v>
      </c>
      <c r="D312" s="1" t="s">
        <v>172</v>
      </c>
      <c r="E312" s="1" t="s">
        <v>869</v>
      </c>
      <c r="F312" s="1" t="s">
        <v>112</v>
      </c>
      <c r="G312" s="1">
        <v>218916</v>
      </c>
    </row>
    <row r="313" spans="1:7" x14ac:dyDescent="0.3">
      <c r="A313" s="1" t="str">
        <f t="shared" si="4"/>
        <v>10 tam 121µg_L</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870</v>
      </c>
      <c r="D313" s="1" t="s">
        <v>871</v>
      </c>
      <c r="E313" s="1" t="s">
        <v>872</v>
      </c>
      <c r="F313" s="1" t="s">
        <v>112</v>
      </c>
      <c r="G313" s="1">
        <v>99389</v>
      </c>
    </row>
    <row r="314" spans="1:7" x14ac:dyDescent="0.3">
      <c r="A314" s="1" t="str">
        <f t="shared" si="4"/>
        <v>10 tam 121µg_L</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873</v>
      </c>
      <c r="D314" s="1" t="s">
        <v>874</v>
      </c>
      <c r="E314" s="1" t="s">
        <v>875</v>
      </c>
      <c r="F314" s="1" t="s">
        <v>112</v>
      </c>
      <c r="G314" s="1">
        <v>27989</v>
      </c>
    </row>
    <row r="315" spans="1:7" x14ac:dyDescent="0.3">
      <c r="A315" s="1" t="str">
        <f t="shared" si="4"/>
        <v>10 tam 121µg_L</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876</v>
      </c>
      <c r="D315" s="1" t="s">
        <v>874</v>
      </c>
      <c r="E315" s="1" t="s">
        <v>877</v>
      </c>
      <c r="F315" s="1" t="s">
        <v>112</v>
      </c>
      <c r="G315" s="1">
        <v>27535</v>
      </c>
    </row>
    <row r="316" spans="1:7" x14ac:dyDescent="0.3">
      <c r="A316" s="1" t="str">
        <f t="shared" si="4"/>
        <v>10 tam 121µg_L</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878</v>
      </c>
      <c r="D316" s="1" t="s">
        <v>879</v>
      </c>
      <c r="E316" s="1" t="s">
        <v>880</v>
      </c>
      <c r="F316" s="1" t="s">
        <v>112</v>
      </c>
      <c r="G316" s="1">
        <v>32293</v>
      </c>
    </row>
    <row r="317" spans="1:7" x14ac:dyDescent="0.3">
      <c r="A317" s="1" t="str">
        <f t="shared" si="4"/>
        <v>10 tam 121µg_L</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881</v>
      </c>
      <c r="D317" s="1" t="s">
        <v>882</v>
      </c>
      <c r="E317" s="1" t="s">
        <v>883</v>
      </c>
      <c r="F317" s="1" t="s">
        <v>112</v>
      </c>
      <c r="G317" s="1">
        <v>122252</v>
      </c>
    </row>
    <row r="318" spans="1:7" x14ac:dyDescent="0.3">
      <c r="A318" s="1" t="str">
        <f t="shared" si="4"/>
        <v>10 tam 121µg_L</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884</v>
      </c>
      <c r="D318" s="1" t="s">
        <v>885</v>
      </c>
      <c r="E318" s="1" t="s">
        <v>886</v>
      </c>
      <c r="F318" s="1" t="s">
        <v>112</v>
      </c>
      <c r="G318" s="1">
        <v>214525</v>
      </c>
    </row>
    <row r="319" spans="1:7" x14ac:dyDescent="0.3">
      <c r="A319" s="1" t="str">
        <f t="shared" si="4"/>
        <v>10 tam 121µg_L</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887</v>
      </c>
      <c r="D319" s="1" t="s">
        <v>888</v>
      </c>
      <c r="E319" s="1" t="s">
        <v>889</v>
      </c>
      <c r="F319" s="1" t="s">
        <v>112</v>
      </c>
      <c r="G319" s="1">
        <v>181085</v>
      </c>
    </row>
    <row r="320" spans="1:7" x14ac:dyDescent="0.3">
      <c r="A320" s="1" t="str">
        <f t="shared" si="4"/>
        <v>10 tam 121µg_L</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890</v>
      </c>
      <c r="D320" s="1" t="s">
        <v>891</v>
      </c>
      <c r="E320" s="1">
        <v>66</v>
      </c>
      <c r="F320" s="1" t="s">
        <v>112</v>
      </c>
      <c r="G320" s="1">
        <v>111351</v>
      </c>
    </row>
    <row r="321" spans="1:10" x14ac:dyDescent="0.3">
      <c r="A321" s="1" t="str">
        <f t="shared" si="4"/>
        <v>10 tam 121µg_L</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892</v>
      </c>
      <c r="D321" s="1" t="s">
        <v>893</v>
      </c>
      <c r="E321" s="1" t="s">
        <v>894</v>
      </c>
      <c r="F321" s="1" t="s">
        <v>112</v>
      </c>
      <c r="G321" s="1">
        <v>288435</v>
      </c>
    </row>
    <row r="322" spans="1:10" x14ac:dyDescent="0.3">
      <c r="A322" s="1" t="str">
        <f t="shared" ref="A322:A385" si="5">IFERROR(LEFT(RIGHT(C322,LEN(C322)-SEARCH("@",C322)),SEARCH("/",RIGHT(C322,LEN(C322)-SEARCH("@",C322)-1))),"")</f>
        <v>10 tam 121µg_L</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895</v>
      </c>
      <c r="D322" s="1" t="s">
        <v>896</v>
      </c>
      <c r="E322" s="1" t="s">
        <v>897</v>
      </c>
      <c r="F322" s="1" t="s">
        <v>112</v>
      </c>
      <c r="G322" s="1">
        <v>95172</v>
      </c>
    </row>
    <row r="323" spans="1:10" x14ac:dyDescent="0.3">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3">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243</v>
      </c>
      <c r="D324" s="1" t="s">
        <v>112</v>
      </c>
      <c r="E324" s="1" t="s">
        <v>244</v>
      </c>
      <c r="F324" s="1" t="s">
        <v>245</v>
      </c>
      <c r="G324" s="1" t="s">
        <v>246</v>
      </c>
      <c r="H324" s="1" t="s">
        <v>247</v>
      </c>
      <c r="I324" s="1" t="s">
        <v>248</v>
      </c>
      <c r="J324" s="1" t="s">
        <v>249</v>
      </c>
    </row>
    <row r="325" spans="1:10" x14ac:dyDescent="0.3">
      <c r="A325" s="1" t="str">
        <f t="shared" si="5"/>
        <v>10 tam 121µg_L</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898</v>
      </c>
      <c r="D325" s="1" t="s">
        <v>112</v>
      </c>
      <c r="E325" s="1" t="s">
        <v>899</v>
      </c>
      <c r="F325" s="1" t="s">
        <v>900</v>
      </c>
      <c r="G325" s="1" t="s">
        <v>901</v>
      </c>
      <c r="H325" s="1" t="s">
        <v>902</v>
      </c>
      <c r="I325" s="1">
        <v>24</v>
      </c>
      <c r="J325" s="1">
        <v>24</v>
      </c>
    </row>
    <row r="326" spans="1:10" x14ac:dyDescent="0.3">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3">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3">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3">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3">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3">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255</v>
      </c>
      <c r="D331" s="1" t="s">
        <v>110</v>
      </c>
      <c r="E331" s="1" t="s">
        <v>111</v>
      </c>
      <c r="F331" s="1" t="s">
        <v>112</v>
      </c>
      <c r="G331" s="1" t="s">
        <v>113</v>
      </c>
    </row>
    <row r="332" spans="1:10" x14ac:dyDescent="0.3">
      <c r="A332" s="1" t="str">
        <f t="shared" si="5"/>
        <v>11 tam 242µg_L</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903</v>
      </c>
    </row>
    <row r="333" spans="1:10" x14ac:dyDescent="0.3">
      <c r="A333" s="1" t="str">
        <f t="shared" si="5"/>
        <v>11 tam 242µg_L</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904</v>
      </c>
    </row>
    <row r="334" spans="1:10" x14ac:dyDescent="0.3">
      <c r="A334" s="1" t="str">
        <f t="shared" si="5"/>
        <v>11 tam 242µg_L</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905</v>
      </c>
    </row>
    <row r="335" spans="1:10" x14ac:dyDescent="0.3">
      <c r="A335" s="1" t="str">
        <f t="shared" si="5"/>
        <v>11 tam 242µg_L</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906</v>
      </c>
    </row>
    <row r="336" spans="1:10" x14ac:dyDescent="0.3">
      <c r="A336" s="1" t="str">
        <f t="shared" si="5"/>
        <v>11 tam 242µg_L</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907</v>
      </c>
      <c r="D336" s="1" t="s">
        <v>720</v>
      </c>
      <c r="E336" s="1" t="s">
        <v>908</v>
      </c>
      <c r="F336" s="1" t="s">
        <v>112</v>
      </c>
      <c r="G336" s="1">
        <v>46418</v>
      </c>
    </row>
    <row r="337" spans="1:7" x14ac:dyDescent="0.3">
      <c r="A337" s="1" t="str">
        <f t="shared" si="5"/>
        <v>11 tam 242µg_L</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909</v>
      </c>
      <c r="D337" s="1" t="s">
        <v>910</v>
      </c>
      <c r="E337" s="1" t="s">
        <v>911</v>
      </c>
      <c r="F337" s="1" t="s">
        <v>112</v>
      </c>
      <c r="G337" s="1">
        <v>64479</v>
      </c>
    </row>
    <row r="338" spans="1:7" x14ac:dyDescent="0.3">
      <c r="A338" s="1" t="str">
        <f t="shared" si="5"/>
        <v>11 tam 242µg_L</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912</v>
      </c>
      <c r="D338" s="1" t="s">
        <v>913</v>
      </c>
      <c r="E338" s="1" t="s">
        <v>914</v>
      </c>
      <c r="F338" s="1" t="s">
        <v>112</v>
      </c>
      <c r="G338" s="1">
        <v>133024</v>
      </c>
    </row>
    <row r="339" spans="1:7" x14ac:dyDescent="0.3">
      <c r="A339" s="1" t="str">
        <f t="shared" si="5"/>
        <v>11 tam 242µg_L</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915</v>
      </c>
      <c r="D339" s="1" t="s">
        <v>323</v>
      </c>
      <c r="E339" s="1" t="s">
        <v>916</v>
      </c>
      <c r="F339" s="1" t="s">
        <v>112</v>
      </c>
      <c r="G339" s="1">
        <v>119721</v>
      </c>
    </row>
    <row r="340" spans="1:7" x14ac:dyDescent="0.3">
      <c r="A340" s="1" t="str">
        <f t="shared" si="5"/>
        <v>11 tam 242µg_L</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917</v>
      </c>
      <c r="D340" s="1" t="s">
        <v>193</v>
      </c>
      <c r="E340" s="1" t="s">
        <v>918</v>
      </c>
      <c r="F340" s="1" t="s">
        <v>112</v>
      </c>
      <c r="G340" s="1">
        <v>153918</v>
      </c>
    </row>
    <row r="341" spans="1:7" x14ac:dyDescent="0.3">
      <c r="A341" s="1" t="str">
        <f t="shared" si="5"/>
        <v>11 tam 242µg_L</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919</v>
      </c>
      <c r="D341" s="1" t="s">
        <v>796</v>
      </c>
      <c r="E341" s="1" t="s">
        <v>920</v>
      </c>
      <c r="F341" s="1" t="s">
        <v>112</v>
      </c>
      <c r="G341" s="1">
        <v>171309</v>
      </c>
    </row>
    <row r="342" spans="1:7" x14ac:dyDescent="0.3">
      <c r="A342" s="1" t="str">
        <f t="shared" si="5"/>
        <v>11 tam 242µg_L</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921</v>
      </c>
      <c r="D342" s="1" t="s">
        <v>922</v>
      </c>
      <c r="E342" s="1" t="s">
        <v>923</v>
      </c>
      <c r="F342" s="1" t="s">
        <v>112</v>
      </c>
      <c r="G342" s="1">
        <v>232370</v>
      </c>
    </row>
    <row r="343" spans="1:7" x14ac:dyDescent="0.3">
      <c r="A343" s="1" t="str">
        <f t="shared" si="5"/>
        <v>11 tam 242µg_L</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924</v>
      </c>
      <c r="D343" s="1" t="s">
        <v>226</v>
      </c>
      <c r="E343" s="1" t="s">
        <v>925</v>
      </c>
      <c r="F343" s="1" t="s">
        <v>112</v>
      </c>
      <c r="G343" s="1">
        <v>196940</v>
      </c>
    </row>
    <row r="344" spans="1:7" x14ac:dyDescent="0.3">
      <c r="A344" s="1" t="str">
        <f t="shared" si="5"/>
        <v>11 tam 242µg_L</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926</v>
      </c>
      <c r="D344" s="1" t="s">
        <v>927</v>
      </c>
      <c r="E344" s="1" t="s">
        <v>928</v>
      </c>
      <c r="F344" s="1" t="s">
        <v>112</v>
      </c>
      <c r="G344" s="1">
        <v>500494</v>
      </c>
    </row>
    <row r="345" spans="1:7" x14ac:dyDescent="0.3">
      <c r="A345" s="1" t="str">
        <f t="shared" si="5"/>
        <v>11 tam 242µg_L</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929</v>
      </c>
      <c r="D345" s="1" t="s">
        <v>927</v>
      </c>
      <c r="E345" s="1" t="s">
        <v>930</v>
      </c>
      <c r="F345" s="1" t="s">
        <v>112</v>
      </c>
      <c r="G345" s="1">
        <v>503457</v>
      </c>
    </row>
    <row r="346" spans="1:7" x14ac:dyDescent="0.3">
      <c r="A346" s="1" t="str">
        <f t="shared" si="5"/>
        <v>11 tam 242µg_L</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931</v>
      </c>
      <c r="D346" s="1" t="s">
        <v>932</v>
      </c>
      <c r="E346" s="1" t="s">
        <v>933</v>
      </c>
      <c r="F346" s="1" t="s">
        <v>112</v>
      </c>
      <c r="G346" s="1">
        <v>147148</v>
      </c>
    </row>
    <row r="347" spans="1:7" x14ac:dyDescent="0.3">
      <c r="A347" s="1" t="str">
        <f t="shared" si="5"/>
        <v>11 tam 242µg_L</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934</v>
      </c>
      <c r="D347" s="1" t="s">
        <v>935</v>
      </c>
      <c r="E347" s="1" t="s">
        <v>936</v>
      </c>
      <c r="F347" s="1" t="s">
        <v>112</v>
      </c>
      <c r="G347" s="1">
        <v>65798</v>
      </c>
    </row>
    <row r="348" spans="1:7" x14ac:dyDescent="0.3">
      <c r="A348" s="1" t="str">
        <f t="shared" si="5"/>
        <v>11 tam 242µg_L</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937</v>
      </c>
      <c r="D348" s="1" t="s">
        <v>938</v>
      </c>
      <c r="E348" s="1" t="s">
        <v>939</v>
      </c>
      <c r="F348" s="1" t="s">
        <v>112</v>
      </c>
      <c r="G348" s="1">
        <v>89591</v>
      </c>
    </row>
    <row r="349" spans="1:7" x14ac:dyDescent="0.3">
      <c r="A349" s="1" t="str">
        <f t="shared" si="5"/>
        <v>11 tam 242µg_L</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940</v>
      </c>
      <c r="D349" s="1" t="s">
        <v>941</v>
      </c>
      <c r="E349" s="1" t="s">
        <v>942</v>
      </c>
      <c r="F349" s="1" t="s">
        <v>112</v>
      </c>
      <c r="G349" s="1">
        <v>135144</v>
      </c>
    </row>
    <row r="350" spans="1:7" x14ac:dyDescent="0.3">
      <c r="A350" s="1" t="str">
        <f t="shared" si="5"/>
        <v>11 tam 242µg_L</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943</v>
      </c>
      <c r="D350" s="1" t="s">
        <v>944</v>
      </c>
      <c r="E350" s="1" t="s">
        <v>945</v>
      </c>
      <c r="F350" s="1" t="s">
        <v>112</v>
      </c>
      <c r="G350" s="1">
        <v>408848</v>
      </c>
    </row>
    <row r="351" spans="1:7" x14ac:dyDescent="0.3">
      <c r="A351" s="1" t="str">
        <f t="shared" si="5"/>
        <v>11 tam 242µg_L</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946</v>
      </c>
      <c r="D351" s="1" t="s">
        <v>947</v>
      </c>
      <c r="E351" s="1" t="s">
        <v>948</v>
      </c>
      <c r="F351" s="1" t="s">
        <v>112</v>
      </c>
      <c r="G351" s="1">
        <v>487213</v>
      </c>
    </row>
    <row r="352" spans="1:7" x14ac:dyDescent="0.3">
      <c r="A352" s="1" t="str">
        <f t="shared" si="5"/>
        <v>11 tam 242µg_L</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949</v>
      </c>
      <c r="D352" s="1" t="s">
        <v>950</v>
      </c>
      <c r="E352" s="1" t="s">
        <v>951</v>
      </c>
      <c r="F352" s="1" t="s">
        <v>112</v>
      </c>
      <c r="G352" s="1">
        <v>107587</v>
      </c>
    </row>
    <row r="353" spans="1:10" x14ac:dyDescent="0.3">
      <c r="A353" s="1" t="str">
        <f t="shared" si="5"/>
        <v>11 tam 242µg_L</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952</v>
      </c>
      <c r="D353" s="1" t="s">
        <v>953</v>
      </c>
      <c r="E353" s="1" t="s">
        <v>954</v>
      </c>
      <c r="F353" s="1" t="s">
        <v>112</v>
      </c>
      <c r="G353" s="1">
        <v>161316</v>
      </c>
    </row>
    <row r="354" spans="1:10" x14ac:dyDescent="0.3">
      <c r="A354" s="1" t="str">
        <f t="shared" si="5"/>
        <v>11 tam 242µg_L</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955</v>
      </c>
      <c r="D354" s="1" t="s">
        <v>956</v>
      </c>
      <c r="E354" s="1" t="s">
        <v>957</v>
      </c>
      <c r="F354" s="1" t="s">
        <v>112</v>
      </c>
      <c r="G354" s="1">
        <v>222745</v>
      </c>
    </row>
    <row r="355" spans="1:10" x14ac:dyDescent="0.3">
      <c r="A355" s="1" t="str">
        <f t="shared" si="5"/>
        <v>11 tam 242µg_L</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958</v>
      </c>
      <c r="D355" s="1" t="s">
        <v>959</v>
      </c>
      <c r="E355" s="1" t="s">
        <v>960</v>
      </c>
      <c r="F355" s="1" t="s">
        <v>112</v>
      </c>
      <c r="G355" s="1">
        <v>318262</v>
      </c>
    </row>
    <row r="356" spans="1:10" x14ac:dyDescent="0.3">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3">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243</v>
      </c>
      <c r="D357" s="1" t="s">
        <v>112</v>
      </c>
      <c r="E357" s="1" t="s">
        <v>244</v>
      </c>
      <c r="F357" s="1" t="s">
        <v>245</v>
      </c>
      <c r="G357" s="1" t="s">
        <v>246</v>
      </c>
      <c r="H357" s="1" t="s">
        <v>247</v>
      </c>
      <c r="I357" s="1" t="s">
        <v>248</v>
      </c>
      <c r="J357" s="1" t="s">
        <v>249</v>
      </c>
    </row>
    <row r="358" spans="1:10" x14ac:dyDescent="0.3">
      <c r="A358" s="1" t="str">
        <f t="shared" si="5"/>
        <v>11 tam 242µg_L</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961</v>
      </c>
      <c r="D358" s="1" t="s">
        <v>112</v>
      </c>
      <c r="E358" s="1" t="s">
        <v>962</v>
      </c>
      <c r="F358" s="1" t="s">
        <v>963</v>
      </c>
      <c r="G358" s="1" t="s">
        <v>964</v>
      </c>
      <c r="H358" s="1" t="s">
        <v>965</v>
      </c>
      <c r="I358" s="1">
        <v>24</v>
      </c>
      <c r="J358" s="1">
        <v>24</v>
      </c>
    </row>
    <row r="359" spans="1:10" x14ac:dyDescent="0.3">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3">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3">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3">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3">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3">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255</v>
      </c>
      <c r="D364" s="1" t="s">
        <v>110</v>
      </c>
      <c r="E364" s="1" t="s">
        <v>111</v>
      </c>
      <c r="F364" s="1" t="s">
        <v>112</v>
      </c>
      <c r="G364" s="1" t="s">
        <v>113</v>
      </c>
    </row>
    <row r="365" spans="1:10" x14ac:dyDescent="0.3">
      <c r="A365" s="1" t="str">
        <f t="shared" si="5"/>
        <v>12 tam 483µg_L</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966</v>
      </c>
      <c r="D365" s="1" t="s">
        <v>397</v>
      </c>
      <c r="E365" s="1" t="s">
        <v>967</v>
      </c>
      <c r="F365" s="1" t="s">
        <v>112</v>
      </c>
      <c r="G365" s="1">
        <v>260229</v>
      </c>
    </row>
    <row r="366" spans="1:10" x14ac:dyDescent="0.3">
      <c r="A366" s="1" t="str">
        <f t="shared" si="5"/>
        <v>12 tam 483µg_L</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968</v>
      </c>
      <c r="D366" s="1" t="s">
        <v>756</v>
      </c>
      <c r="E366" s="1" t="s">
        <v>969</v>
      </c>
      <c r="F366" s="1" t="s">
        <v>112</v>
      </c>
      <c r="G366" s="1">
        <v>149895</v>
      </c>
    </row>
    <row r="367" spans="1:10" x14ac:dyDescent="0.3">
      <c r="A367" s="1" t="str">
        <f t="shared" si="5"/>
        <v>12 tam 483µg_L</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970</v>
      </c>
      <c r="D367" s="1" t="s">
        <v>226</v>
      </c>
      <c r="E367" s="1" t="s">
        <v>971</v>
      </c>
      <c r="F367" s="1" t="s">
        <v>112</v>
      </c>
      <c r="G367" s="1">
        <v>196897</v>
      </c>
    </row>
    <row r="368" spans="1:10" x14ac:dyDescent="0.3">
      <c r="A368" s="1" t="str">
        <f t="shared" si="5"/>
        <v>12 tam 483µg_L</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972</v>
      </c>
      <c r="D368" s="1" t="s">
        <v>973</v>
      </c>
      <c r="E368" s="1" t="s">
        <v>974</v>
      </c>
      <c r="F368" s="1" t="s">
        <v>112</v>
      </c>
      <c r="G368" s="1">
        <v>915615</v>
      </c>
    </row>
    <row r="369" spans="1:7" x14ac:dyDescent="0.3">
      <c r="A369" s="1" t="str">
        <f t="shared" si="5"/>
        <v>12 tam 483µg_L</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975</v>
      </c>
      <c r="D369" s="1" t="s">
        <v>976</v>
      </c>
      <c r="E369" s="1" t="s">
        <v>977</v>
      </c>
      <c r="F369" s="1" t="s">
        <v>112</v>
      </c>
      <c r="G369" s="1">
        <v>302970</v>
      </c>
    </row>
    <row r="370" spans="1:7" x14ac:dyDescent="0.3">
      <c r="A370" s="1" t="str">
        <f t="shared" si="5"/>
        <v>12 tam 483µg_L</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978</v>
      </c>
      <c r="D370" s="1" t="s">
        <v>979</v>
      </c>
      <c r="E370" s="1" t="s">
        <v>980</v>
      </c>
      <c r="F370" s="1" t="s">
        <v>112</v>
      </c>
      <c r="G370" s="1">
        <v>482887</v>
      </c>
    </row>
    <row r="371" spans="1:7" x14ac:dyDescent="0.3">
      <c r="A371" s="1" t="str">
        <f t="shared" si="5"/>
        <v>12 tam 483µg_L</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981</v>
      </c>
      <c r="D371" s="1" t="s">
        <v>982</v>
      </c>
      <c r="E371" s="1" t="s">
        <v>983</v>
      </c>
      <c r="F371" s="1" t="s">
        <v>112</v>
      </c>
      <c r="G371" s="1">
        <v>465108</v>
      </c>
    </row>
    <row r="372" spans="1:7" x14ac:dyDescent="0.3">
      <c r="A372" s="1" t="str">
        <f t="shared" si="5"/>
        <v>12 tam 483µg_L</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984</v>
      </c>
      <c r="D372" s="1" t="s">
        <v>985</v>
      </c>
      <c r="E372" s="1" t="s">
        <v>986</v>
      </c>
      <c r="F372" s="1" t="s">
        <v>112</v>
      </c>
      <c r="G372" s="1">
        <v>894331</v>
      </c>
    </row>
    <row r="373" spans="1:7" x14ac:dyDescent="0.3">
      <c r="A373" s="1" t="str">
        <f t="shared" si="5"/>
        <v>12 tam 483µg_L</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987</v>
      </c>
      <c r="D373" s="1" t="s">
        <v>988</v>
      </c>
      <c r="E373" s="1" t="s">
        <v>989</v>
      </c>
      <c r="F373" s="1" t="s">
        <v>112</v>
      </c>
      <c r="G373" s="1">
        <v>599948</v>
      </c>
    </row>
    <row r="374" spans="1:7" x14ac:dyDescent="0.3">
      <c r="A374" s="1" t="str">
        <f t="shared" si="5"/>
        <v>12 tam 483µg_L</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990</v>
      </c>
      <c r="D374" s="1" t="s">
        <v>287</v>
      </c>
      <c r="E374" s="1" t="s">
        <v>991</v>
      </c>
      <c r="F374" s="1" t="s">
        <v>112</v>
      </c>
      <c r="G374" s="1">
        <v>115331</v>
      </c>
    </row>
    <row r="375" spans="1:7" x14ac:dyDescent="0.3">
      <c r="A375" s="1" t="str">
        <f t="shared" si="5"/>
        <v>12 tam 483µg_L</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992</v>
      </c>
      <c r="D375" s="1" t="s">
        <v>993</v>
      </c>
      <c r="E375" s="1" t="s">
        <v>994</v>
      </c>
      <c r="F375" s="1" t="s">
        <v>112</v>
      </c>
      <c r="G375" s="1">
        <v>760139</v>
      </c>
    </row>
    <row r="376" spans="1:7" x14ac:dyDescent="0.3">
      <c r="A376" s="1" t="str">
        <f t="shared" si="5"/>
        <v>12 tam 483µg_L</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995</v>
      </c>
      <c r="D376" s="1" t="s">
        <v>996</v>
      </c>
      <c r="E376" s="1" t="s">
        <v>997</v>
      </c>
      <c r="F376" s="1" t="s">
        <v>112</v>
      </c>
      <c r="G376" s="1">
        <v>580114</v>
      </c>
    </row>
    <row r="377" spans="1:7" x14ac:dyDescent="0.3">
      <c r="A377" s="1" t="str">
        <f t="shared" si="5"/>
        <v>12 tam 483µg_L</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998</v>
      </c>
      <c r="D377" s="1" t="s">
        <v>999</v>
      </c>
      <c r="E377" s="1" t="s">
        <v>1000</v>
      </c>
      <c r="F377" s="1" t="s">
        <v>112</v>
      </c>
      <c r="G377" s="1">
        <v>1315898</v>
      </c>
    </row>
    <row r="378" spans="1:7" x14ac:dyDescent="0.3">
      <c r="A378" s="1" t="str">
        <f t="shared" si="5"/>
        <v>12 tam 483µg_L</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1001</v>
      </c>
      <c r="D378" s="1" t="s">
        <v>1002</v>
      </c>
      <c r="E378" s="1" t="s">
        <v>1003</v>
      </c>
      <c r="F378" s="1" t="s">
        <v>112</v>
      </c>
      <c r="G378" s="1">
        <v>1271427</v>
      </c>
    </row>
    <row r="379" spans="1:7" x14ac:dyDescent="0.3">
      <c r="A379" s="1" t="str">
        <f t="shared" si="5"/>
        <v>12 tam 483µg_L</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1004</v>
      </c>
      <c r="D379" s="1" t="s">
        <v>1005</v>
      </c>
      <c r="E379" s="1" t="s">
        <v>1006</v>
      </c>
      <c r="F379" s="1" t="s">
        <v>112</v>
      </c>
      <c r="G379" s="1">
        <v>1374082</v>
      </c>
    </row>
    <row r="380" spans="1:7" x14ac:dyDescent="0.3">
      <c r="A380" s="1" t="str">
        <f t="shared" si="5"/>
        <v>12 tam 483µg_L</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1007</v>
      </c>
      <c r="D380" s="1" t="s">
        <v>269</v>
      </c>
      <c r="E380" s="1" t="s">
        <v>1008</v>
      </c>
      <c r="F380" s="1" t="s">
        <v>112</v>
      </c>
      <c r="G380" s="1">
        <v>129866</v>
      </c>
    </row>
    <row r="381" spans="1:7" x14ac:dyDescent="0.3">
      <c r="A381" s="1" t="str">
        <f t="shared" si="5"/>
        <v>12 tam 483µg_L</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1009</v>
      </c>
      <c r="D381" s="1" t="s">
        <v>1010</v>
      </c>
      <c r="E381" s="1" t="s">
        <v>1011</v>
      </c>
      <c r="F381" s="1" t="s">
        <v>112</v>
      </c>
      <c r="G381" s="1">
        <v>226011</v>
      </c>
    </row>
    <row r="382" spans="1:7" x14ac:dyDescent="0.3">
      <c r="A382" s="1" t="str">
        <f t="shared" si="5"/>
        <v>12 tam 483µg_L</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1012</v>
      </c>
      <c r="D382" s="1" t="s">
        <v>1013</v>
      </c>
      <c r="E382" s="1" t="s">
        <v>1014</v>
      </c>
      <c r="F382" s="1" t="s">
        <v>112</v>
      </c>
      <c r="G382" s="1">
        <v>102980</v>
      </c>
    </row>
    <row r="383" spans="1:7" x14ac:dyDescent="0.3">
      <c r="A383" s="1" t="str">
        <f t="shared" si="5"/>
        <v>12 tam 483µg_L</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1015</v>
      </c>
      <c r="D383" s="1" t="s">
        <v>1016</v>
      </c>
      <c r="E383" s="1" t="s">
        <v>1017</v>
      </c>
      <c r="F383" s="1" t="s">
        <v>112</v>
      </c>
      <c r="G383" s="1">
        <v>1253323</v>
      </c>
    </row>
    <row r="384" spans="1:7" x14ac:dyDescent="0.3">
      <c r="A384" s="1" t="str">
        <f t="shared" si="5"/>
        <v>12 tam 483µg_L</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1018</v>
      </c>
      <c r="D384" s="1" t="s">
        <v>1019</v>
      </c>
      <c r="E384" s="1" t="s">
        <v>1020</v>
      </c>
      <c r="F384" s="1" t="s">
        <v>112</v>
      </c>
      <c r="G384" s="1">
        <v>1332272</v>
      </c>
    </row>
    <row r="385" spans="1:10" x14ac:dyDescent="0.3">
      <c r="A385" s="1" t="str">
        <f t="shared" si="5"/>
        <v>12 tam 483µg_L</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1021</v>
      </c>
    </row>
    <row r="386" spans="1:10" x14ac:dyDescent="0.3">
      <c r="A386" s="1" t="str">
        <f t="shared" ref="A386:A449" si="6">IFERROR(LEFT(RIGHT(C386,LEN(C386)-SEARCH("@",C386)),SEARCH("/",RIGHT(C386,LEN(C386)-SEARCH("@",C386)-1))),"")</f>
        <v>12 tam 483µg_L</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1022</v>
      </c>
      <c r="D386" s="1" t="s">
        <v>1023</v>
      </c>
      <c r="E386" s="1" t="s">
        <v>1024</v>
      </c>
      <c r="F386" s="1" t="s">
        <v>112</v>
      </c>
      <c r="G386" s="1">
        <v>202780</v>
      </c>
    </row>
    <row r="387" spans="1:10" x14ac:dyDescent="0.3">
      <c r="A387" s="1" t="str">
        <f t="shared" si="6"/>
        <v>12 tam 483µg_L</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1025</v>
      </c>
    </row>
    <row r="388" spans="1:10" x14ac:dyDescent="0.3">
      <c r="A388" s="1" t="str">
        <f t="shared" si="6"/>
        <v>12 tam 483µg_L</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1026</v>
      </c>
      <c r="D388" s="1" t="s">
        <v>420</v>
      </c>
      <c r="E388" s="1" t="s">
        <v>1027</v>
      </c>
      <c r="F388" s="1" t="s">
        <v>112</v>
      </c>
      <c r="G388" s="1">
        <v>127508</v>
      </c>
    </row>
    <row r="389" spans="1:10" x14ac:dyDescent="0.3">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3">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243</v>
      </c>
      <c r="D390" s="1" t="s">
        <v>112</v>
      </c>
      <c r="E390" s="1" t="s">
        <v>244</v>
      </c>
      <c r="F390" s="1" t="s">
        <v>245</v>
      </c>
      <c r="G390" s="1" t="s">
        <v>246</v>
      </c>
      <c r="H390" s="1" t="s">
        <v>247</v>
      </c>
      <c r="I390" s="1" t="s">
        <v>248</v>
      </c>
      <c r="J390" s="1" t="s">
        <v>249</v>
      </c>
    </row>
    <row r="391" spans="1:10" x14ac:dyDescent="0.3">
      <c r="A391" s="1" t="str">
        <f t="shared" si="6"/>
        <v>12 tam 483µg_L</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1028</v>
      </c>
      <c r="D391" s="1" t="s">
        <v>112</v>
      </c>
      <c r="E391" s="1" t="s">
        <v>1029</v>
      </c>
      <c r="F391" s="1" t="s">
        <v>1030</v>
      </c>
      <c r="G391" s="1" t="s">
        <v>1031</v>
      </c>
      <c r="H391" s="1" t="s">
        <v>1032</v>
      </c>
      <c r="I391" s="1">
        <v>24</v>
      </c>
      <c r="J391" s="1">
        <v>24</v>
      </c>
    </row>
    <row r="392" spans="1:10" x14ac:dyDescent="0.3">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3">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3">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3">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3">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3">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255</v>
      </c>
      <c r="D397" s="1" t="s">
        <v>110</v>
      </c>
      <c r="E397" s="1" t="s">
        <v>111</v>
      </c>
      <c r="F397" s="1" t="s">
        <v>112</v>
      </c>
      <c r="G397" s="1" t="s">
        <v>113</v>
      </c>
    </row>
    <row r="398" spans="1:10" x14ac:dyDescent="0.3">
      <c r="A398" s="1" t="str">
        <f t="shared" si="6"/>
        <v>01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1033</v>
      </c>
      <c r="D398" s="1" t="s">
        <v>1034</v>
      </c>
      <c r="E398" s="1" t="s">
        <v>1035</v>
      </c>
      <c r="F398" s="1" t="s">
        <v>112</v>
      </c>
      <c r="G398" s="1">
        <v>2392353</v>
      </c>
    </row>
    <row r="399" spans="1:10" x14ac:dyDescent="0.3">
      <c r="A399" s="1" t="str">
        <f t="shared" si="6"/>
        <v>01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1036</v>
      </c>
      <c r="D399" s="1" t="s">
        <v>613</v>
      </c>
      <c r="E399" s="1" t="s">
        <v>1037</v>
      </c>
      <c r="F399" s="1" t="s">
        <v>112</v>
      </c>
      <c r="G399" s="1">
        <v>2382079</v>
      </c>
    </row>
    <row r="400" spans="1:10" x14ac:dyDescent="0.3">
      <c r="A400" s="1" t="str">
        <f t="shared" si="6"/>
        <v>01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1038</v>
      </c>
      <c r="D400" s="1" t="s">
        <v>633</v>
      </c>
      <c r="E400" s="1" t="s">
        <v>1039</v>
      </c>
      <c r="F400" s="1" t="s">
        <v>112</v>
      </c>
      <c r="G400" s="1">
        <v>2581290</v>
      </c>
    </row>
    <row r="401" spans="1:7" x14ac:dyDescent="0.3">
      <c r="A401" s="1" t="str">
        <f t="shared" si="6"/>
        <v>01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1040</v>
      </c>
      <c r="D401" s="1" t="s">
        <v>1041</v>
      </c>
      <c r="E401" s="1" t="s">
        <v>1042</v>
      </c>
      <c r="F401" s="1" t="s">
        <v>112</v>
      </c>
      <c r="G401" s="1">
        <v>2130285</v>
      </c>
    </row>
    <row r="402" spans="1:7" x14ac:dyDescent="0.3">
      <c r="A402" s="1" t="str">
        <f t="shared" si="6"/>
        <v>01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1043</v>
      </c>
      <c r="D402" s="1" t="s">
        <v>1044</v>
      </c>
      <c r="E402" s="1" t="s">
        <v>1045</v>
      </c>
      <c r="F402" s="1" t="s">
        <v>112</v>
      </c>
      <c r="G402" s="1">
        <v>2383744</v>
      </c>
    </row>
    <row r="403" spans="1:7" x14ac:dyDescent="0.3">
      <c r="A403" s="1" t="str">
        <f t="shared" si="6"/>
        <v>01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1046</v>
      </c>
      <c r="D403" s="1" t="s">
        <v>1047</v>
      </c>
      <c r="E403" s="1" t="s">
        <v>1048</v>
      </c>
      <c r="F403" s="1" t="s">
        <v>112</v>
      </c>
      <c r="G403" s="1">
        <v>2373686</v>
      </c>
    </row>
    <row r="404" spans="1:7" x14ac:dyDescent="0.3">
      <c r="A404" s="1" t="str">
        <f t="shared" si="6"/>
        <v>01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1049</v>
      </c>
    </row>
    <row r="405" spans="1:7" x14ac:dyDescent="0.3">
      <c r="A405" s="1" t="str">
        <f t="shared" si="6"/>
        <v>01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1050</v>
      </c>
      <c r="D405" s="1" t="s">
        <v>1051</v>
      </c>
      <c r="E405" s="1" t="s">
        <v>1052</v>
      </c>
      <c r="F405" s="1" t="s">
        <v>112</v>
      </c>
      <c r="G405" s="1">
        <v>3052778</v>
      </c>
    </row>
    <row r="406" spans="1:7" x14ac:dyDescent="0.3">
      <c r="A406" s="1" t="str">
        <f t="shared" si="6"/>
        <v>01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1053</v>
      </c>
      <c r="D406" s="1" t="s">
        <v>1054</v>
      </c>
      <c r="E406" s="1" t="s">
        <v>1055</v>
      </c>
      <c r="F406" s="1" t="s">
        <v>112</v>
      </c>
      <c r="G406" s="1">
        <v>3422909</v>
      </c>
    </row>
    <row r="407" spans="1:7" x14ac:dyDescent="0.3">
      <c r="A407" s="1" t="str">
        <f t="shared" si="6"/>
        <v>01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1056</v>
      </c>
      <c r="D407" s="1" t="s">
        <v>560</v>
      </c>
      <c r="E407" s="1" t="s">
        <v>1057</v>
      </c>
      <c r="F407" s="1" t="s">
        <v>112</v>
      </c>
      <c r="G407" s="1">
        <v>2579646</v>
      </c>
    </row>
    <row r="408" spans="1:7" x14ac:dyDescent="0.3">
      <c r="A408" s="1" t="str">
        <f t="shared" si="6"/>
        <v>01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1058</v>
      </c>
      <c r="D408" s="1" t="s">
        <v>1059</v>
      </c>
      <c r="E408" s="1" t="s">
        <v>1060</v>
      </c>
      <c r="F408" s="1" t="s">
        <v>112</v>
      </c>
      <c r="G408" s="1">
        <v>2248492</v>
      </c>
    </row>
    <row r="409" spans="1:7" x14ac:dyDescent="0.3">
      <c r="A409" s="1" t="str">
        <f t="shared" si="6"/>
        <v>01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1061</v>
      </c>
      <c r="D409" s="1" t="s">
        <v>1062</v>
      </c>
      <c r="E409" s="1" t="s">
        <v>1063</v>
      </c>
      <c r="F409" s="1" t="s">
        <v>112</v>
      </c>
      <c r="G409" s="1">
        <v>2193142</v>
      </c>
    </row>
    <row r="410" spans="1:7" x14ac:dyDescent="0.3">
      <c r="A410" s="1" t="str">
        <f t="shared" si="6"/>
        <v>01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1064</v>
      </c>
      <c r="D410" s="1" t="s">
        <v>1065</v>
      </c>
      <c r="E410" s="1" t="s">
        <v>1066</v>
      </c>
      <c r="F410" s="1" t="s">
        <v>112</v>
      </c>
      <c r="G410" s="1">
        <v>4166394</v>
      </c>
    </row>
    <row r="411" spans="1:7" x14ac:dyDescent="0.3">
      <c r="A411" s="1" t="str">
        <f t="shared" si="6"/>
        <v>01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1067</v>
      </c>
      <c r="D411" s="1" t="s">
        <v>1068</v>
      </c>
      <c r="E411" s="1" t="s">
        <v>1069</v>
      </c>
      <c r="F411" s="1" t="s">
        <v>112</v>
      </c>
      <c r="G411" s="1">
        <v>4759658</v>
      </c>
    </row>
    <row r="412" spans="1:7" x14ac:dyDescent="0.3">
      <c r="A412" s="1" t="str">
        <f t="shared" si="6"/>
        <v>01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1070</v>
      </c>
      <c r="D412" s="1" t="s">
        <v>1071</v>
      </c>
      <c r="E412" s="1" t="s">
        <v>1072</v>
      </c>
      <c r="F412" s="1" t="s">
        <v>112</v>
      </c>
      <c r="G412" s="1">
        <v>4135895</v>
      </c>
    </row>
    <row r="413" spans="1:7" x14ac:dyDescent="0.3">
      <c r="A413" s="1" t="str">
        <f t="shared" si="6"/>
        <v>01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1073</v>
      </c>
      <c r="D413" s="1" t="s">
        <v>1074</v>
      </c>
      <c r="E413" s="1" t="s">
        <v>1075</v>
      </c>
      <c r="F413" s="1" t="s">
        <v>112</v>
      </c>
      <c r="G413" s="1">
        <v>1568600</v>
      </c>
    </row>
    <row r="414" spans="1:7" x14ac:dyDescent="0.3">
      <c r="A414" s="1" t="str">
        <f t="shared" si="6"/>
        <v>01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1076</v>
      </c>
      <c r="D414" s="1" t="s">
        <v>1077</v>
      </c>
      <c r="E414" s="1" t="s">
        <v>1078</v>
      </c>
      <c r="F414" s="1" t="s">
        <v>112</v>
      </c>
      <c r="G414" s="1">
        <v>2117934</v>
      </c>
    </row>
    <row r="415" spans="1:7" x14ac:dyDescent="0.3">
      <c r="A415" s="1" t="str">
        <f t="shared" si="6"/>
        <v>01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1079</v>
      </c>
      <c r="D415" s="1" t="s">
        <v>1080</v>
      </c>
      <c r="E415" s="1" t="s">
        <v>1081</v>
      </c>
      <c r="F415" s="1" t="s">
        <v>112</v>
      </c>
      <c r="G415" s="1">
        <v>1767595</v>
      </c>
    </row>
    <row r="416" spans="1:7" x14ac:dyDescent="0.3">
      <c r="A416" s="1" t="str">
        <f t="shared" si="6"/>
        <v>01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1082</v>
      </c>
      <c r="D416" s="1" t="s">
        <v>1083</v>
      </c>
      <c r="E416" s="1" t="s">
        <v>1084</v>
      </c>
      <c r="F416" s="1" t="s">
        <v>112</v>
      </c>
      <c r="G416" s="1">
        <v>4030168</v>
      </c>
    </row>
    <row r="417" spans="1:10" x14ac:dyDescent="0.3">
      <c r="A417" s="1" t="str">
        <f t="shared" si="6"/>
        <v>01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1085</v>
      </c>
      <c r="D417" s="1" t="s">
        <v>1086</v>
      </c>
      <c r="E417" s="1" t="s">
        <v>1087</v>
      </c>
      <c r="F417" s="1" t="s">
        <v>112</v>
      </c>
      <c r="G417" s="1">
        <v>2857439</v>
      </c>
    </row>
    <row r="418" spans="1:10" x14ac:dyDescent="0.3">
      <c r="A418" s="1" t="str">
        <f t="shared" si="6"/>
        <v>01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1088</v>
      </c>
      <c r="D418" s="1" t="s">
        <v>1089</v>
      </c>
      <c r="E418" s="1" t="s">
        <v>1090</v>
      </c>
      <c r="F418" s="1" t="s">
        <v>112</v>
      </c>
      <c r="G418" s="1">
        <v>3886935</v>
      </c>
    </row>
    <row r="419" spans="1:10" x14ac:dyDescent="0.3">
      <c r="A419" s="1" t="str">
        <f t="shared" si="6"/>
        <v>01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1091</v>
      </c>
      <c r="D419" s="1" t="s">
        <v>1092</v>
      </c>
      <c r="E419" s="1" t="s">
        <v>1093</v>
      </c>
      <c r="F419" s="1" t="s">
        <v>112</v>
      </c>
      <c r="G419" s="1">
        <v>2358524</v>
      </c>
    </row>
    <row r="420" spans="1:10" x14ac:dyDescent="0.3">
      <c r="A420" s="1" t="str">
        <f t="shared" si="6"/>
        <v>01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1094</v>
      </c>
      <c r="D420" s="1" t="s">
        <v>509</v>
      </c>
      <c r="E420" s="1" t="s">
        <v>1095</v>
      </c>
      <c r="F420" s="1" t="s">
        <v>112</v>
      </c>
      <c r="G420" s="1">
        <v>2390839</v>
      </c>
    </row>
    <row r="421" spans="1:10" x14ac:dyDescent="0.3">
      <c r="A421" s="1" t="str">
        <f t="shared" si="6"/>
        <v>01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1096</v>
      </c>
      <c r="D421" s="1" t="s">
        <v>1097</v>
      </c>
      <c r="E421" s="1" t="s">
        <v>1098</v>
      </c>
      <c r="F421" s="1" t="s">
        <v>112</v>
      </c>
      <c r="G421" s="1">
        <v>2230129</v>
      </c>
    </row>
    <row r="422" spans="1:10" x14ac:dyDescent="0.3">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3">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243</v>
      </c>
      <c r="D423" s="1" t="s">
        <v>112</v>
      </c>
      <c r="E423" s="1" t="s">
        <v>244</v>
      </c>
      <c r="F423" s="1" t="s">
        <v>245</v>
      </c>
      <c r="G423" s="1" t="s">
        <v>246</v>
      </c>
      <c r="H423" s="1" t="s">
        <v>247</v>
      </c>
      <c r="I423" s="1" t="s">
        <v>248</v>
      </c>
      <c r="J423" s="1" t="s">
        <v>249</v>
      </c>
    </row>
    <row r="424" spans="1:10" x14ac:dyDescent="0.3">
      <c r="A424" s="1" t="str">
        <f t="shared" si="6"/>
        <v>01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1099</v>
      </c>
      <c r="D424" s="1" t="s">
        <v>112</v>
      </c>
      <c r="E424" s="1" t="s">
        <v>1100</v>
      </c>
      <c r="F424" s="1" t="s">
        <v>1101</v>
      </c>
      <c r="G424" s="1" t="s">
        <v>1102</v>
      </c>
      <c r="H424" s="1" t="s">
        <v>1103</v>
      </c>
      <c r="I424" s="1">
        <v>24</v>
      </c>
      <c r="J424" s="1">
        <v>24</v>
      </c>
    </row>
    <row r="425" spans="1:10" x14ac:dyDescent="0.3">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3">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3">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3">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3">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3">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255</v>
      </c>
      <c r="D430" s="1" t="s">
        <v>110</v>
      </c>
      <c r="E430" s="1" t="s">
        <v>111</v>
      </c>
      <c r="F430" s="1" t="s">
        <v>112</v>
      </c>
      <c r="G430" s="1" t="s">
        <v>113</v>
      </c>
    </row>
    <row r="431" spans="1:10" x14ac:dyDescent="0.3">
      <c r="A431" s="1" t="str">
        <f t="shared" si="6"/>
        <v>02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1104</v>
      </c>
      <c r="D431" s="1" t="s">
        <v>1105</v>
      </c>
      <c r="E431" s="1" t="s">
        <v>1106</v>
      </c>
      <c r="F431" s="1" t="s">
        <v>112</v>
      </c>
      <c r="G431" s="1">
        <v>772836</v>
      </c>
    </row>
    <row r="432" spans="1:10" x14ac:dyDescent="0.3">
      <c r="A432" s="1" t="str">
        <f t="shared" si="6"/>
        <v>02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1107</v>
      </c>
      <c r="D432" s="1" t="s">
        <v>1108</v>
      </c>
      <c r="E432" s="1" t="s">
        <v>1109</v>
      </c>
      <c r="F432" s="1" t="s">
        <v>112</v>
      </c>
      <c r="G432" s="1">
        <v>940987</v>
      </c>
    </row>
    <row r="433" spans="1:7" x14ac:dyDescent="0.3">
      <c r="A433" s="1" t="str">
        <f t="shared" si="6"/>
        <v>02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1110</v>
      </c>
      <c r="D433" s="1" t="s">
        <v>310</v>
      </c>
      <c r="E433" s="1" t="s">
        <v>1111</v>
      </c>
      <c r="F433" s="1" t="s">
        <v>112</v>
      </c>
      <c r="G433" s="1">
        <v>576350</v>
      </c>
    </row>
    <row r="434" spans="1:7" x14ac:dyDescent="0.3">
      <c r="A434" s="1" t="str">
        <f t="shared" si="6"/>
        <v>02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1112</v>
      </c>
      <c r="D434" s="1" t="s">
        <v>1113</v>
      </c>
      <c r="E434" s="1" t="s">
        <v>1114</v>
      </c>
      <c r="F434" s="1" t="s">
        <v>112</v>
      </c>
      <c r="G434" s="1">
        <v>2198744</v>
      </c>
    </row>
    <row r="435" spans="1:7" x14ac:dyDescent="0.3">
      <c r="A435" s="1" t="str">
        <f t="shared" si="6"/>
        <v>02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1115</v>
      </c>
      <c r="D435" s="1" t="s">
        <v>1116</v>
      </c>
      <c r="E435" s="1" t="s">
        <v>1117</v>
      </c>
      <c r="F435" s="1" t="s">
        <v>112</v>
      </c>
      <c r="G435" s="1">
        <v>1898867</v>
      </c>
    </row>
    <row r="436" spans="1:7" x14ac:dyDescent="0.3">
      <c r="A436" s="1" t="str">
        <f t="shared" si="6"/>
        <v>02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1118</v>
      </c>
      <c r="D436" s="1" t="s">
        <v>1119</v>
      </c>
      <c r="E436" s="1" t="s">
        <v>1120</v>
      </c>
      <c r="F436" s="1" t="s">
        <v>112</v>
      </c>
      <c r="G436" s="1">
        <v>1756023</v>
      </c>
    </row>
    <row r="437" spans="1:7" x14ac:dyDescent="0.3">
      <c r="A437" s="1" t="str">
        <f t="shared" si="6"/>
        <v>02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1121</v>
      </c>
      <c r="D437" s="1" t="s">
        <v>1122</v>
      </c>
      <c r="E437" s="1" t="s">
        <v>1123</v>
      </c>
      <c r="F437" s="1" t="s">
        <v>112</v>
      </c>
      <c r="G437" s="1">
        <v>176478</v>
      </c>
    </row>
    <row r="438" spans="1:7" x14ac:dyDescent="0.3">
      <c r="A438" s="1" t="str">
        <f t="shared" si="6"/>
        <v>02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1124</v>
      </c>
      <c r="D438" s="1" t="s">
        <v>1125</v>
      </c>
      <c r="E438" s="1" t="s">
        <v>1126</v>
      </c>
      <c r="F438" s="1" t="s">
        <v>112</v>
      </c>
      <c r="G438" s="1">
        <v>275478</v>
      </c>
    </row>
    <row r="439" spans="1:7" x14ac:dyDescent="0.3">
      <c r="A439" s="1" t="str">
        <f t="shared" si="6"/>
        <v>02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1127</v>
      </c>
      <c r="D439" s="1" t="s">
        <v>266</v>
      </c>
      <c r="E439" s="1" t="s">
        <v>1128</v>
      </c>
      <c r="F439" s="1" t="s">
        <v>112</v>
      </c>
      <c r="G439" s="1">
        <v>148922</v>
      </c>
    </row>
    <row r="440" spans="1:7" x14ac:dyDescent="0.3">
      <c r="A440" s="1" t="str">
        <f t="shared" si="6"/>
        <v>02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1129</v>
      </c>
    </row>
    <row r="441" spans="1:7" x14ac:dyDescent="0.3">
      <c r="A441" s="1" t="str">
        <f t="shared" si="6"/>
        <v>02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1130</v>
      </c>
      <c r="D441" s="1" t="s">
        <v>1131</v>
      </c>
      <c r="E441" s="1" t="s">
        <v>1132</v>
      </c>
      <c r="F441" s="1" t="s">
        <v>112</v>
      </c>
      <c r="G441" s="1">
        <v>2049757</v>
      </c>
    </row>
    <row r="442" spans="1:7" x14ac:dyDescent="0.3">
      <c r="A442" s="1" t="str">
        <f t="shared" si="6"/>
        <v>02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1133</v>
      </c>
      <c r="D442" s="1" t="s">
        <v>1134</v>
      </c>
      <c r="E442" s="1" t="s">
        <v>1135</v>
      </c>
      <c r="F442" s="1" t="s">
        <v>112</v>
      </c>
      <c r="G442" s="1">
        <v>2088237</v>
      </c>
    </row>
    <row r="443" spans="1:7" x14ac:dyDescent="0.3">
      <c r="A443" s="1" t="str">
        <f t="shared" si="6"/>
        <v>02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1136</v>
      </c>
      <c r="D443" s="1" t="s">
        <v>1137</v>
      </c>
      <c r="E443" s="1" t="s">
        <v>1138</v>
      </c>
      <c r="F443" s="1" t="s">
        <v>112</v>
      </c>
      <c r="G443" s="1">
        <v>2482225</v>
      </c>
    </row>
    <row r="444" spans="1:7" x14ac:dyDescent="0.3">
      <c r="A444" s="1" t="str">
        <f t="shared" si="6"/>
        <v>02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1139</v>
      </c>
      <c r="D444" s="1" t="s">
        <v>1140</v>
      </c>
      <c r="E444" s="1" t="s">
        <v>1141</v>
      </c>
      <c r="F444" s="1" t="s">
        <v>112</v>
      </c>
      <c r="G444" s="1">
        <v>1912386</v>
      </c>
    </row>
    <row r="445" spans="1:7" x14ac:dyDescent="0.3">
      <c r="A445" s="1" t="str">
        <f t="shared" si="6"/>
        <v>02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1142</v>
      </c>
      <c r="D445" s="1" t="s">
        <v>1143</v>
      </c>
      <c r="E445" s="1" t="s">
        <v>1144</v>
      </c>
      <c r="F445" s="1" t="s">
        <v>112</v>
      </c>
      <c r="G445" s="1">
        <v>2197057</v>
      </c>
    </row>
    <row r="446" spans="1:7" x14ac:dyDescent="0.3">
      <c r="A446" s="1" t="str">
        <f t="shared" si="6"/>
        <v>02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1145</v>
      </c>
      <c r="D446" s="1" t="s">
        <v>1146</v>
      </c>
      <c r="E446" s="1" t="s">
        <v>1147</v>
      </c>
      <c r="F446" s="1" t="s">
        <v>112</v>
      </c>
      <c r="G446" s="1">
        <v>3830135</v>
      </c>
    </row>
    <row r="447" spans="1:7" x14ac:dyDescent="0.3">
      <c r="A447" s="1" t="str">
        <f t="shared" si="6"/>
        <v>02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1148</v>
      </c>
      <c r="D447" s="1" t="s">
        <v>1149</v>
      </c>
      <c r="E447" s="1" t="s">
        <v>1150</v>
      </c>
      <c r="F447" s="1" t="s">
        <v>112</v>
      </c>
      <c r="G447" s="1">
        <v>4317587</v>
      </c>
    </row>
    <row r="448" spans="1:7" x14ac:dyDescent="0.3">
      <c r="A448" s="1" t="str">
        <f t="shared" si="6"/>
        <v>02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1151</v>
      </c>
      <c r="D448" s="1" t="s">
        <v>1152</v>
      </c>
      <c r="E448" s="1" t="s">
        <v>1153</v>
      </c>
      <c r="F448" s="1" t="s">
        <v>112</v>
      </c>
      <c r="G448" s="1">
        <v>4700695</v>
      </c>
    </row>
    <row r="449" spans="1:10" x14ac:dyDescent="0.3">
      <c r="A449" s="1" t="str">
        <f t="shared" si="6"/>
        <v>02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1154</v>
      </c>
      <c r="D449" s="1" t="s">
        <v>1155</v>
      </c>
      <c r="E449" s="1" t="s">
        <v>1156</v>
      </c>
      <c r="F449" s="1" t="s">
        <v>112</v>
      </c>
      <c r="G449" s="1">
        <v>718307</v>
      </c>
    </row>
    <row r="450" spans="1:10" x14ac:dyDescent="0.3">
      <c r="A450" s="1" t="str">
        <f t="shared" ref="A450:A513" si="7">IFERROR(LEFT(RIGHT(C450,LEN(C450)-SEARCH("@",C450)),SEARCH("/",RIGHT(C450,LEN(C450)-SEARCH("@",C450)-1))),"")</f>
        <v>02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1157</v>
      </c>
      <c r="D450" s="1" t="s">
        <v>1158</v>
      </c>
      <c r="E450" s="1" t="s">
        <v>1159</v>
      </c>
      <c r="F450" s="1" t="s">
        <v>112</v>
      </c>
      <c r="G450" s="1">
        <v>570705</v>
      </c>
    </row>
    <row r="451" spans="1:10" x14ac:dyDescent="0.3">
      <c r="A451" s="1" t="str">
        <f t="shared" si="7"/>
        <v>02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1160</v>
      </c>
      <c r="D451" s="1" t="s">
        <v>1161</v>
      </c>
      <c r="E451" s="1" t="s">
        <v>1162</v>
      </c>
      <c r="F451" s="1" t="s">
        <v>112</v>
      </c>
      <c r="G451" s="1">
        <v>821439</v>
      </c>
    </row>
    <row r="452" spans="1:10" x14ac:dyDescent="0.3">
      <c r="A452" s="1" t="str">
        <f t="shared" si="7"/>
        <v>02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1163</v>
      </c>
      <c r="D452" s="1" t="s">
        <v>1164</v>
      </c>
      <c r="E452" s="1" t="s">
        <v>1165</v>
      </c>
      <c r="F452" s="1" t="s">
        <v>112</v>
      </c>
      <c r="G452" s="1">
        <v>878001</v>
      </c>
    </row>
    <row r="453" spans="1:10" x14ac:dyDescent="0.3">
      <c r="A453" s="1" t="str">
        <f t="shared" si="7"/>
        <v>02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1166</v>
      </c>
      <c r="D453" s="1" t="s">
        <v>1167</v>
      </c>
      <c r="E453" s="1" t="s">
        <v>1168</v>
      </c>
      <c r="F453" s="1" t="s">
        <v>112</v>
      </c>
      <c r="G453" s="1">
        <v>844085</v>
      </c>
    </row>
    <row r="454" spans="1:10" x14ac:dyDescent="0.3">
      <c r="A454" s="1" t="str">
        <f t="shared" si="7"/>
        <v>02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1169</v>
      </c>
      <c r="D454" s="1" t="s">
        <v>1170</v>
      </c>
      <c r="E454" s="1" t="s">
        <v>1171</v>
      </c>
      <c r="F454" s="1" t="s">
        <v>112</v>
      </c>
      <c r="G454" s="1">
        <v>1033433</v>
      </c>
    </row>
    <row r="455" spans="1:10" x14ac:dyDescent="0.3">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3">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243</v>
      </c>
      <c r="D456" s="1" t="s">
        <v>112</v>
      </c>
      <c r="E456" s="1" t="s">
        <v>244</v>
      </c>
      <c r="F456" s="1" t="s">
        <v>245</v>
      </c>
      <c r="G456" s="1" t="s">
        <v>246</v>
      </c>
      <c r="H456" s="1" t="s">
        <v>247</v>
      </c>
      <c r="I456" s="1" t="s">
        <v>248</v>
      </c>
      <c r="J456" s="1" t="s">
        <v>249</v>
      </c>
    </row>
    <row r="457" spans="1:10" x14ac:dyDescent="0.3">
      <c r="A457" s="1" t="str">
        <f t="shared" si="7"/>
        <v>02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1172</v>
      </c>
      <c r="D457" s="1" t="s">
        <v>112</v>
      </c>
      <c r="E457" s="1" t="s">
        <v>1173</v>
      </c>
      <c r="F457" s="1" t="s">
        <v>1174</v>
      </c>
      <c r="G457" s="1" t="s">
        <v>1175</v>
      </c>
      <c r="H457" s="1" t="s">
        <v>1176</v>
      </c>
      <c r="I457" s="1">
        <v>24</v>
      </c>
      <c r="J457" s="1">
        <v>24</v>
      </c>
    </row>
    <row r="458" spans="1:10" x14ac:dyDescent="0.3">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3">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3">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3">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3">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3">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255</v>
      </c>
      <c r="D463" s="1" t="s">
        <v>110</v>
      </c>
      <c r="E463" s="1" t="s">
        <v>111</v>
      </c>
      <c r="F463" s="1" t="s">
        <v>112</v>
      </c>
      <c r="G463" s="1" t="s">
        <v>113</v>
      </c>
    </row>
    <row r="464" spans="1:10" x14ac:dyDescent="0.3">
      <c r="A464" s="1" t="str">
        <f t="shared" si="7"/>
        <v>03Testo + EE2 64</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1177</v>
      </c>
      <c r="D464" s="1" t="s">
        <v>1178</v>
      </c>
      <c r="E464" s="1" t="s">
        <v>1179</v>
      </c>
      <c r="F464" s="1" t="s">
        <v>112</v>
      </c>
      <c r="G464" s="1">
        <v>1448684</v>
      </c>
    </row>
    <row r="465" spans="1:7" x14ac:dyDescent="0.3">
      <c r="A465" s="1" t="str">
        <f t="shared" si="7"/>
        <v>03Testo + EE2 64</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1180</v>
      </c>
      <c r="D465" s="1" t="s">
        <v>1181</v>
      </c>
      <c r="E465" s="1" t="s">
        <v>1182</v>
      </c>
      <c r="F465" s="1" t="s">
        <v>112</v>
      </c>
      <c r="G465" s="1">
        <v>1458547</v>
      </c>
    </row>
    <row r="466" spans="1:7" x14ac:dyDescent="0.3">
      <c r="A466" s="1" t="str">
        <f t="shared" si="7"/>
        <v>03Testo + EE2 64</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1183</v>
      </c>
      <c r="D466" s="1" t="s">
        <v>1184</v>
      </c>
      <c r="E466" s="1" t="s">
        <v>1185</v>
      </c>
      <c r="F466" s="1" t="s">
        <v>112</v>
      </c>
      <c r="G466" s="1">
        <v>1147120</v>
      </c>
    </row>
    <row r="467" spans="1:7" x14ac:dyDescent="0.3">
      <c r="A467" s="1" t="str">
        <f t="shared" si="7"/>
        <v>03Testo + EE2 64</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1186</v>
      </c>
      <c r="D467" s="1" t="s">
        <v>1187</v>
      </c>
      <c r="E467" s="1" t="s">
        <v>1188</v>
      </c>
      <c r="F467" s="1" t="s">
        <v>112</v>
      </c>
      <c r="G467" s="1">
        <v>3533849</v>
      </c>
    </row>
    <row r="468" spans="1:7" x14ac:dyDescent="0.3">
      <c r="A468" s="1" t="str">
        <f t="shared" si="7"/>
        <v>03Testo + EE2 64</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1189</v>
      </c>
      <c r="D468" s="1" t="s">
        <v>1190</v>
      </c>
      <c r="E468" s="1" t="s">
        <v>1191</v>
      </c>
      <c r="F468" s="1" t="s">
        <v>112</v>
      </c>
      <c r="G468" s="1">
        <v>3604514</v>
      </c>
    </row>
    <row r="469" spans="1:7" x14ac:dyDescent="0.3">
      <c r="A469" s="1" t="str">
        <f t="shared" si="7"/>
        <v>03Testo + EE2 64</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1192</v>
      </c>
      <c r="D469" s="1" t="s">
        <v>1193</v>
      </c>
      <c r="E469" s="1" t="s">
        <v>1194</v>
      </c>
      <c r="F469" s="1" t="s">
        <v>112</v>
      </c>
      <c r="G469" s="1">
        <v>3619071</v>
      </c>
    </row>
    <row r="470" spans="1:7" x14ac:dyDescent="0.3">
      <c r="A470" s="1" t="str">
        <f t="shared" si="7"/>
        <v>03Testo + EE2 64</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1195</v>
      </c>
      <c r="D470" s="1" t="s">
        <v>1196</v>
      </c>
      <c r="E470" s="1" t="s">
        <v>1197</v>
      </c>
      <c r="F470" s="1" t="s">
        <v>112</v>
      </c>
      <c r="G470" s="1">
        <v>5910585</v>
      </c>
    </row>
    <row r="471" spans="1:7" x14ac:dyDescent="0.3">
      <c r="A471" s="1" t="str">
        <f t="shared" si="7"/>
        <v>03Testo + EE2 64</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1198</v>
      </c>
      <c r="D471" s="1" t="s">
        <v>1199</v>
      </c>
      <c r="E471" s="1" t="s">
        <v>1200</v>
      </c>
      <c r="F471" s="1" t="s">
        <v>112</v>
      </c>
      <c r="G471" s="1">
        <v>5643045</v>
      </c>
    </row>
    <row r="472" spans="1:7" x14ac:dyDescent="0.3">
      <c r="A472" s="1" t="str">
        <f t="shared" si="7"/>
        <v>03Testo + EE2 64</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1201</v>
      </c>
      <c r="D472" s="1" t="s">
        <v>1202</v>
      </c>
      <c r="E472" s="1" t="s">
        <v>1203</v>
      </c>
      <c r="F472" s="1" t="s">
        <v>112</v>
      </c>
      <c r="G472" s="1">
        <v>5622345</v>
      </c>
    </row>
    <row r="473" spans="1:7" x14ac:dyDescent="0.3">
      <c r="A473" s="1" t="str">
        <f t="shared" si="7"/>
        <v>03Testo + EE2 64</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1204</v>
      </c>
      <c r="D473" s="1" t="s">
        <v>1205</v>
      </c>
      <c r="E473" s="1" t="s">
        <v>1206</v>
      </c>
      <c r="F473" s="1" t="s">
        <v>112</v>
      </c>
      <c r="G473" s="1">
        <v>4409470</v>
      </c>
    </row>
    <row r="474" spans="1:7" x14ac:dyDescent="0.3">
      <c r="A474" s="1" t="str">
        <f t="shared" si="7"/>
        <v>03Testo + EE2 64</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1207</v>
      </c>
      <c r="D474" s="1" t="s">
        <v>1208</v>
      </c>
      <c r="E474" s="1" t="s">
        <v>1209</v>
      </c>
      <c r="F474" s="1" t="s">
        <v>112</v>
      </c>
      <c r="G474" s="1">
        <v>4238486</v>
      </c>
    </row>
    <row r="475" spans="1:7" x14ac:dyDescent="0.3">
      <c r="A475" s="1" t="str">
        <f t="shared" si="7"/>
        <v>03Testo + EE2 64</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1210</v>
      </c>
      <c r="D475" s="1" t="s">
        <v>1211</v>
      </c>
      <c r="E475" s="1" t="s">
        <v>1212</v>
      </c>
      <c r="F475" s="1" t="s">
        <v>112</v>
      </c>
      <c r="G475" s="1">
        <v>4404474</v>
      </c>
    </row>
    <row r="476" spans="1:7" x14ac:dyDescent="0.3">
      <c r="A476" s="1" t="str">
        <f t="shared" si="7"/>
        <v>03Testo + EE2 64</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1213</v>
      </c>
      <c r="D476" s="1" t="s">
        <v>1214</v>
      </c>
      <c r="E476" s="1" t="s">
        <v>1215</v>
      </c>
      <c r="F476" s="1" t="s">
        <v>112</v>
      </c>
      <c r="G476" s="1">
        <v>3694473</v>
      </c>
    </row>
    <row r="477" spans="1:7" x14ac:dyDescent="0.3">
      <c r="A477" s="1" t="str">
        <f t="shared" si="7"/>
        <v>03Testo + EE2 64</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1216</v>
      </c>
      <c r="D477" s="1" t="s">
        <v>1217</v>
      </c>
      <c r="E477" s="1" t="s">
        <v>1218</v>
      </c>
      <c r="F477" s="1" t="s">
        <v>112</v>
      </c>
      <c r="G477" s="1">
        <v>3768577</v>
      </c>
    </row>
    <row r="478" spans="1:7" x14ac:dyDescent="0.3">
      <c r="A478" s="1" t="str">
        <f t="shared" si="7"/>
        <v>03Testo + EE2 64</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1219</v>
      </c>
      <c r="D478" s="1" t="s">
        <v>1220</v>
      </c>
      <c r="E478" s="1" t="s">
        <v>1221</v>
      </c>
      <c r="F478" s="1" t="s">
        <v>112</v>
      </c>
      <c r="G478" s="1">
        <v>3093378</v>
      </c>
    </row>
    <row r="479" spans="1:7" x14ac:dyDescent="0.3">
      <c r="A479" s="1" t="str">
        <f t="shared" si="7"/>
        <v>03Testo + EE2 64</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1222</v>
      </c>
    </row>
    <row r="480" spans="1:7" x14ac:dyDescent="0.3">
      <c r="A480" s="1" t="str">
        <f t="shared" si="7"/>
        <v>03Testo + EE2 64</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1223</v>
      </c>
      <c r="D480" s="1" t="s">
        <v>1224</v>
      </c>
      <c r="E480" s="1" t="s">
        <v>1225</v>
      </c>
      <c r="F480" s="1" t="s">
        <v>112</v>
      </c>
      <c r="G480" s="1">
        <v>3544448</v>
      </c>
    </row>
    <row r="481" spans="1:10" x14ac:dyDescent="0.3">
      <c r="A481" s="1" t="str">
        <f t="shared" si="7"/>
        <v>03Testo + EE2 64</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1226</v>
      </c>
      <c r="D481" s="1" t="s">
        <v>1227</v>
      </c>
      <c r="E481" s="1" t="s">
        <v>1228</v>
      </c>
      <c r="F481" s="1" t="s">
        <v>112</v>
      </c>
      <c r="G481" s="1">
        <v>3450055</v>
      </c>
    </row>
    <row r="482" spans="1:10" x14ac:dyDescent="0.3">
      <c r="A482" s="1" t="str">
        <f t="shared" si="7"/>
        <v>03Testo + EE2 64</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1229</v>
      </c>
      <c r="D482" s="1" t="s">
        <v>1230</v>
      </c>
      <c r="E482" s="1" t="s">
        <v>1231</v>
      </c>
      <c r="F482" s="1" t="s">
        <v>112</v>
      </c>
      <c r="G482" s="1">
        <v>3153920</v>
      </c>
    </row>
    <row r="483" spans="1:10" x14ac:dyDescent="0.3">
      <c r="A483" s="1" t="str">
        <f t="shared" si="7"/>
        <v>03Testo + EE2 64</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1232</v>
      </c>
      <c r="D483" s="1" t="s">
        <v>1233</v>
      </c>
      <c r="E483" s="1" t="s">
        <v>1234</v>
      </c>
      <c r="F483" s="1" t="s">
        <v>112</v>
      </c>
      <c r="G483" s="1">
        <v>3253374</v>
      </c>
    </row>
    <row r="484" spans="1:10" x14ac:dyDescent="0.3">
      <c r="A484" s="1" t="str">
        <f t="shared" si="7"/>
        <v>03Testo + EE2 64</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1235</v>
      </c>
      <c r="D484" s="1" t="s">
        <v>1236</v>
      </c>
      <c r="E484" s="1" t="s">
        <v>1237</v>
      </c>
      <c r="F484" s="1" t="s">
        <v>112</v>
      </c>
      <c r="G484" s="1">
        <v>3311667</v>
      </c>
    </row>
    <row r="485" spans="1:10" x14ac:dyDescent="0.3">
      <c r="A485" s="1" t="str">
        <f t="shared" si="7"/>
        <v>03Testo + EE2 64</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1238</v>
      </c>
      <c r="D485" s="1" t="s">
        <v>1239</v>
      </c>
      <c r="E485" s="1" t="s">
        <v>1240</v>
      </c>
      <c r="F485" s="1" t="s">
        <v>112</v>
      </c>
      <c r="G485" s="1">
        <v>3059873</v>
      </c>
    </row>
    <row r="486" spans="1:10" x14ac:dyDescent="0.3">
      <c r="A486" s="1" t="str">
        <f t="shared" si="7"/>
        <v>03Testo + EE2 64</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1241</v>
      </c>
      <c r="D486" s="1" t="s">
        <v>1242</v>
      </c>
      <c r="E486" s="1" t="s">
        <v>1243</v>
      </c>
      <c r="F486" s="1" t="s">
        <v>112</v>
      </c>
      <c r="G486" s="1">
        <v>3205745</v>
      </c>
    </row>
    <row r="487" spans="1:10" x14ac:dyDescent="0.3">
      <c r="A487" s="1" t="str">
        <f t="shared" si="7"/>
        <v>03Testo + EE2 64</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1244</v>
      </c>
      <c r="D487" s="1" t="s">
        <v>1245</v>
      </c>
      <c r="E487" s="1" t="s">
        <v>1246</v>
      </c>
      <c r="F487" s="1" t="s">
        <v>112</v>
      </c>
      <c r="G487" s="1">
        <v>3386852</v>
      </c>
    </row>
    <row r="488" spans="1:10" x14ac:dyDescent="0.3">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3">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243</v>
      </c>
      <c r="D489" s="1" t="s">
        <v>112</v>
      </c>
      <c r="E489" s="1" t="s">
        <v>244</v>
      </c>
      <c r="F489" s="1" t="s">
        <v>245</v>
      </c>
      <c r="G489" s="1" t="s">
        <v>246</v>
      </c>
      <c r="H489" s="1" t="s">
        <v>247</v>
      </c>
      <c r="I489" s="1" t="s">
        <v>248</v>
      </c>
      <c r="J489" s="1" t="s">
        <v>249</v>
      </c>
    </row>
    <row r="490" spans="1:10" x14ac:dyDescent="0.3">
      <c r="A490" s="1" t="str">
        <f t="shared" si="7"/>
        <v>03Testo + EE2 64</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1247</v>
      </c>
      <c r="D490" s="1" t="s">
        <v>112</v>
      </c>
      <c r="E490" s="1" t="s">
        <v>1248</v>
      </c>
      <c r="F490" s="1" t="s">
        <v>1249</v>
      </c>
      <c r="G490" s="1" t="s">
        <v>1250</v>
      </c>
      <c r="H490" s="1" t="s">
        <v>1251</v>
      </c>
      <c r="I490" s="1">
        <v>24</v>
      </c>
      <c r="J490" s="1">
        <v>24</v>
      </c>
    </row>
    <row r="491" spans="1:10" x14ac:dyDescent="0.3">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3">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3">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3">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3">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3">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255</v>
      </c>
      <c r="D496" s="1" t="s">
        <v>110</v>
      </c>
      <c r="E496" s="1" t="s">
        <v>111</v>
      </c>
      <c r="F496" s="1" t="s">
        <v>112</v>
      </c>
      <c r="G496" s="1" t="s">
        <v>113</v>
      </c>
    </row>
    <row r="497" spans="1:7" x14ac:dyDescent="0.3">
      <c r="A497" s="1" t="str">
        <f t="shared" si="7"/>
        <v>04 Testo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1252</v>
      </c>
      <c r="D497" s="1" t="s">
        <v>1253</v>
      </c>
      <c r="E497" s="1" t="s">
        <v>1254</v>
      </c>
      <c r="F497" s="1" t="s">
        <v>112</v>
      </c>
      <c r="G497" s="1">
        <v>439346</v>
      </c>
    </row>
    <row r="498" spans="1:7" x14ac:dyDescent="0.3">
      <c r="A498" s="1" t="str">
        <f t="shared" si="7"/>
        <v>04 Testo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1255</v>
      </c>
      <c r="D498" s="1" t="s">
        <v>339</v>
      </c>
      <c r="E498" s="1" t="s">
        <v>1256</v>
      </c>
      <c r="F498" s="1" t="s">
        <v>112</v>
      </c>
      <c r="G498" s="1">
        <v>109036</v>
      </c>
    </row>
    <row r="499" spans="1:7" x14ac:dyDescent="0.3">
      <c r="A499" s="1" t="str">
        <f t="shared" si="7"/>
        <v>04 Testo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1257</v>
      </c>
      <c r="D499" s="1" t="s">
        <v>397</v>
      </c>
      <c r="E499" s="1" t="s">
        <v>1258</v>
      </c>
      <c r="F499" s="1" t="s">
        <v>112</v>
      </c>
      <c r="G499" s="1">
        <v>282551</v>
      </c>
    </row>
    <row r="500" spans="1:7" x14ac:dyDescent="0.3">
      <c r="A500" s="1" t="str">
        <f t="shared" si="7"/>
        <v>04 Testo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1259</v>
      </c>
      <c r="D500" s="1" t="s">
        <v>339</v>
      </c>
      <c r="E500" s="1" t="s">
        <v>1260</v>
      </c>
      <c r="F500" s="1" t="s">
        <v>112</v>
      </c>
      <c r="G500" s="1">
        <v>111567</v>
      </c>
    </row>
    <row r="501" spans="1:7" x14ac:dyDescent="0.3">
      <c r="A501" s="1" t="str">
        <f t="shared" si="7"/>
        <v>04 Testo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1261</v>
      </c>
      <c r="D501" s="1" t="s">
        <v>938</v>
      </c>
      <c r="E501" s="1" t="s">
        <v>1262</v>
      </c>
      <c r="F501" s="1" t="s">
        <v>112</v>
      </c>
      <c r="G501" s="1">
        <v>90694</v>
      </c>
    </row>
    <row r="502" spans="1:7" x14ac:dyDescent="0.3">
      <c r="A502" s="1" t="str">
        <f t="shared" si="7"/>
        <v>04 Testo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1263</v>
      </c>
      <c r="D502" s="1" t="s">
        <v>323</v>
      </c>
      <c r="E502" s="1" t="s">
        <v>1264</v>
      </c>
      <c r="F502" s="1" t="s">
        <v>112</v>
      </c>
      <c r="G502" s="1">
        <v>120954</v>
      </c>
    </row>
    <row r="503" spans="1:7" x14ac:dyDescent="0.3">
      <c r="A503" s="1" t="str">
        <f t="shared" si="7"/>
        <v>04 Testo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1265</v>
      </c>
      <c r="D503" s="1" t="s">
        <v>1266</v>
      </c>
      <c r="E503" s="1" t="s">
        <v>1267</v>
      </c>
      <c r="F503" s="1" t="s">
        <v>112</v>
      </c>
      <c r="G503" s="1">
        <v>147451</v>
      </c>
    </row>
    <row r="504" spans="1:7" x14ac:dyDescent="0.3">
      <c r="A504" s="1" t="str">
        <f t="shared" si="7"/>
        <v>04 Testo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1268</v>
      </c>
      <c r="D504" s="1" t="s">
        <v>1269</v>
      </c>
      <c r="E504" s="1" t="s">
        <v>1270</v>
      </c>
      <c r="F504" s="1" t="s">
        <v>112</v>
      </c>
      <c r="G504" s="1">
        <v>249047</v>
      </c>
    </row>
    <row r="505" spans="1:7" x14ac:dyDescent="0.3">
      <c r="A505" s="1" t="str">
        <f t="shared" si="7"/>
        <v>04 Testo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1271</v>
      </c>
      <c r="D505" s="1" t="s">
        <v>959</v>
      </c>
      <c r="E505" s="1" t="s">
        <v>1272</v>
      </c>
      <c r="F505" s="1" t="s">
        <v>112</v>
      </c>
      <c r="G505" s="1">
        <v>314499</v>
      </c>
    </row>
    <row r="506" spans="1:7" x14ac:dyDescent="0.3">
      <c r="A506" s="1" t="str">
        <f t="shared" si="7"/>
        <v>04 Testo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1273</v>
      </c>
      <c r="D506" s="1" t="s">
        <v>1274</v>
      </c>
      <c r="E506" s="1" t="s">
        <v>1275</v>
      </c>
      <c r="F506" s="1" t="s">
        <v>112</v>
      </c>
      <c r="G506" s="1">
        <v>298536</v>
      </c>
    </row>
    <row r="507" spans="1:7" x14ac:dyDescent="0.3">
      <c r="A507" s="1" t="str">
        <f t="shared" si="7"/>
        <v>04 Testo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1276</v>
      </c>
      <c r="D507" s="1" t="s">
        <v>342</v>
      </c>
      <c r="E507" s="1" t="s">
        <v>1277</v>
      </c>
      <c r="F507" s="1" t="s">
        <v>112</v>
      </c>
      <c r="G507" s="1">
        <v>438070</v>
      </c>
    </row>
    <row r="508" spans="1:7" x14ac:dyDescent="0.3">
      <c r="A508" s="1" t="str">
        <f t="shared" si="7"/>
        <v>04 Testo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1278</v>
      </c>
      <c r="D508" s="1" t="s">
        <v>1279</v>
      </c>
      <c r="E508" s="1" t="s">
        <v>1280</v>
      </c>
      <c r="F508" s="1" t="s">
        <v>112</v>
      </c>
      <c r="G508" s="1">
        <v>564389</v>
      </c>
    </row>
    <row r="509" spans="1:7" x14ac:dyDescent="0.3">
      <c r="A509" s="1" t="str">
        <f t="shared" si="7"/>
        <v>04 Testo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1281</v>
      </c>
      <c r="D509" s="1" t="s">
        <v>1282</v>
      </c>
      <c r="E509" s="1" t="s">
        <v>1283</v>
      </c>
      <c r="F509" s="1" t="s">
        <v>112</v>
      </c>
      <c r="G509" s="1">
        <v>498720</v>
      </c>
    </row>
    <row r="510" spans="1:7" x14ac:dyDescent="0.3">
      <c r="A510" s="1" t="str">
        <f t="shared" si="7"/>
        <v>04 Testo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1284</v>
      </c>
      <c r="D510" s="1" t="s">
        <v>817</v>
      </c>
      <c r="E510" s="1" t="s">
        <v>1285</v>
      </c>
      <c r="F510" s="1" t="s">
        <v>112</v>
      </c>
      <c r="G510" s="1">
        <v>269768</v>
      </c>
    </row>
    <row r="511" spans="1:7" x14ac:dyDescent="0.3">
      <c r="A511" s="1" t="str">
        <f t="shared" si="7"/>
        <v>04 Testo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1286</v>
      </c>
      <c r="D511" s="1" t="s">
        <v>1287</v>
      </c>
      <c r="E511" s="1" t="s">
        <v>1288</v>
      </c>
      <c r="F511" s="1" t="s">
        <v>112</v>
      </c>
      <c r="G511" s="1">
        <v>456369</v>
      </c>
    </row>
    <row r="512" spans="1:7" x14ac:dyDescent="0.3">
      <c r="A512" s="1" t="str">
        <f t="shared" si="7"/>
        <v>04 Testo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1289</v>
      </c>
      <c r="D512" s="1" t="s">
        <v>181</v>
      </c>
      <c r="E512" s="1" t="s">
        <v>1290</v>
      </c>
      <c r="F512" s="1" t="s">
        <v>112</v>
      </c>
      <c r="G512" s="1">
        <v>407810</v>
      </c>
    </row>
    <row r="513" spans="1:10" x14ac:dyDescent="0.3">
      <c r="A513" s="1" t="str">
        <f t="shared" si="7"/>
        <v>04 Testo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1291</v>
      </c>
      <c r="D513" s="1" t="s">
        <v>1292</v>
      </c>
      <c r="E513" s="1" t="s">
        <v>1293</v>
      </c>
      <c r="F513" s="1" t="s">
        <v>112</v>
      </c>
      <c r="G513" s="1">
        <v>492037</v>
      </c>
    </row>
    <row r="514" spans="1:10" x14ac:dyDescent="0.3">
      <c r="A514" s="1" t="str">
        <f t="shared" ref="A514:A577" si="8">IFERROR(LEFT(RIGHT(C514,LEN(C514)-SEARCH("@",C514)),SEARCH("/",RIGHT(C514,LEN(C514)-SEARCH("@",C514)-1))),"")</f>
        <v>04 Testo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1294</v>
      </c>
      <c r="D514" s="1" t="s">
        <v>1295</v>
      </c>
      <c r="E514" s="1" t="s">
        <v>1296</v>
      </c>
      <c r="F514" s="1" t="s">
        <v>112</v>
      </c>
      <c r="G514" s="1">
        <v>419317</v>
      </c>
    </row>
    <row r="515" spans="1:10" x14ac:dyDescent="0.3">
      <c r="A515" s="1" t="str">
        <f t="shared" si="8"/>
        <v>04 Testo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1297</v>
      </c>
      <c r="D515" s="1" t="s">
        <v>1298</v>
      </c>
      <c r="E515" s="1" t="s">
        <v>1299</v>
      </c>
      <c r="F515" s="1" t="s">
        <v>112</v>
      </c>
      <c r="G515" s="1">
        <v>20310</v>
      </c>
    </row>
    <row r="516" spans="1:10" x14ac:dyDescent="0.3">
      <c r="A516" s="1" t="str">
        <f t="shared" si="8"/>
        <v>04 Testo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1300</v>
      </c>
      <c r="D516" s="1" t="s">
        <v>1301</v>
      </c>
      <c r="E516" s="1">
        <v>63</v>
      </c>
      <c r="F516" s="1" t="s">
        <v>112</v>
      </c>
      <c r="G516" s="1">
        <v>17715</v>
      </c>
    </row>
    <row r="517" spans="1:10" x14ac:dyDescent="0.3">
      <c r="A517" s="1" t="str">
        <f t="shared" si="8"/>
        <v>04 Testo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1302</v>
      </c>
      <c r="D517" s="1" t="s">
        <v>1303</v>
      </c>
      <c r="E517" s="1" t="s">
        <v>1304</v>
      </c>
      <c r="F517" s="1" t="s">
        <v>112</v>
      </c>
      <c r="G517" s="1">
        <v>19467</v>
      </c>
    </row>
    <row r="518" spans="1:10" x14ac:dyDescent="0.3">
      <c r="A518" s="1" t="str">
        <f t="shared" si="8"/>
        <v>04 Testo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1305</v>
      </c>
    </row>
    <row r="519" spans="1:10" x14ac:dyDescent="0.3">
      <c r="A519" s="1" t="str">
        <f t="shared" si="8"/>
        <v>04 Testo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1306</v>
      </c>
    </row>
    <row r="520" spans="1:10" x14ac:dyDescent="0.3">
      <c r="A520" s="1" t="str">
        <f t="shared" si="8"/>
        <v>04 Testo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1307</v>
      </c>
    </row>
    <row r="521" spans="1:10" x14ac:dyDescent="0.3">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3">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243</v>
      </c>
      <c r="D522" s="1" t="s">
        <v>112</v>
      </c>
      <c r="E522" s="1" t="s">
        <v>244</v>
      </c>
      <c r="F522" s="1" t="s">
        <v>245</v>
      </c>
      <c r="G522" s="1" t="s">
        <v>246</v>
      </c>
      <c r="H522" s="1" t="s">
        <v>247</v>
      </c>
      <c r="I522" s="1" t="s">
        <v>248</v>
      </c>
      <c r="J522" s="1" t="s">
        <v>249</v>
      </c>
    </row>
    <row r="523" spans="1:10" x14ac:dyDescent="0.3">
      <c r="A523" s="1" t="str">
        <f t="shared" si="8"/>
        <v>04 Testo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1308</v>
      </c>
      <c r="D523" s="1" t="s">
        <v>112</v>
      </c>
      <c r="E523" s="1" t="s">
        <v>1309</v>
      </c>
      <c r="F523" s="1" t="s">
        <v>1310</v>
      </c>
      <c r="G523" s="1" t="s">
        <v>1311</v>
      </c>
      <c r="H523" s="1" t="s">
        <v>1312</v>
      </c>
      <c r="I523" s="1">
        <v>24</v>
      </c>
      <c r="J523" s="1">
        <v>24</v>
      </c>
    </row>
    <row r="524" spans="1:10" x14ac:dyDescent="0.3">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3">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3">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3">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3">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3">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255</v>
      </c>
      <c r="D529" s="1" t="s">
        <v>110</v>
      </c>
      <c r="E529" s="1" t="s">
        <v>111</v>
      </c>
      <c r="F529" s="1" t="s">
        <v>112</v>
      </c>
      <c r="G529" s="1" t="s">
        <v>113</v>
      </c>
    </row>
    <row r="530" spans="1:7" x14ac:dyDescent="0.3">
      <c r="A530" s="1" t="str">
        <f t="shared" si="8"/>
        <v>05 tam 30.2 + testo</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1313</v>
      </c>
      <c r="D530" s="1" t="s">
        <v>1314</v>
      </c>
      <c r="E530" s="1" t="s">
        <v>1315</v>
      </c>
      <c r="F530" s="1" t="s">
        <v>112</v>
      </c>
      <c r="G530" s="1">
        <v>907482</v>
      </c>
    </row>
    <row r="531" spans="1:7" x14ac:dyDescent="0.3">
      <c r="A531" s="1" t="str">
        <f t="shared" si="8"/>
        <v>05 tam 30.2 + testo</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1316</v>
      </c>
      <c r="D531" s="1" t="s">
        <v>1317</v>
      </c>
      <c r="E531" s="1" t="s">
        <v>1318</v>
      </c>
      <c r="F531" s="1" t="s">
        <v>112</v>
      </c>
      <c r="G531" s="1">
        <v>1014507</v>
      </c>
    </row>
    <row r="532" spans="1:7" x14ac:dyDescent="0.3">
      <c r="A532" s="1" t="str">
        <f t="shared" si="8"/>
        <v>05 tam 30.2 + testo</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1319</v>
      </c>
      <c r="D532" s="1" t="s">
        <v>1320</v>
      </c>
      <c r="E532" s="1" t="s">
        <v>1321</v>
      </c>
      <c r="F532" s="1" t="s">
        <v>112</v>
      </c>
      <c r="G532" s="1">
        <v>1140479</v>
      </c>
    </row>
    <row r="533" spans="1:7" x14ac:dyDescent="0.3">
      <c r="A533" s="1" t="str">
        <f t="shared" si="8"/>
        <v>05 tam 30.2 + testo</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1322</v>
      </c>
      <c r="D533" s="1" t="s">
        <v>1323</v>
      </c>
      <c r="E533" s="1" t="s">
        <v>1324</v>
      </c>
      <c r="F533" s="1" t="s">
        <v>112</v>
      </c>
      <c r="G533" s="1">
        <v>2170646</v>
      </c>
    </row>
    <row r="534" spans="1:7" x14ac:dyDescent="0.3">
      <c r="A534" s="1" t="str">
        <f t="shared" si="8"/>
        <v>05 tam 30.2 + testo</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1325</v>
      </c>
      <c r="D534" s="1" t="s">
        <v>1326</v>
      </c>
      <c r="E534" s="1" t="s">
        <v>1327</v>
      </c>
      <c r="F534" s="1" t="s">
        <v>112</v>
      </c>
      <c r="G534" s="1">
        <v>1920951</v>
      </c>
    </row>
    <row r="535" spans="1:7" x14ac:dyDescent="0.3">
      <c r="A535" s="1" t="str">
        <f t="shared" si="8"/>
        <v>05 tam 30.2 + testo</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1328</v>
      </c>
      <c r="D535" s="1" t="s">
        <v>1329</v>
      </c>
      <c r="E535" s="1" t="s">
        <v>1330</v>
      </c>
      <c r="F535" s="1" t="s">
        <v>112</v>
      </c>
      <c r="G535" s="1">
        <v>1950195</v>
      </c>
    </row>
    <row r="536" spans="1:7" x14ac:dyDescent="0.3">
      <c r="A536" s="1" t="str">
        <f t="shared" si="8"/>
        <v>05 tam 30.2 + testo</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1331</v>
      </c>
      <c r="D536" s="1" t="s">
        <v>1332</v>
      </c>
      <c r="E536" s="1" t="s">
        <v>1333</v>
      </c>
      <c r="F536" s="1" t="s">
        <v>112</v>
      </c>
      <c r="G536" s="1">
        <v>832513</v>
      </c>
    </row>
    <row r="537" spans="1:7" x14ac:dyDescent="0.3">
      <c r="A537" s="1" t="str">
        <f t="shared" si="8"/>
        <v>05 tam 30.2 + testo</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1334</v>
      </c>
      <c r="D537" s="1" t="s">
        <v>1335</v>
      </c>
      <c r="E537" s="1" t="s">
        <v>1336</v>
      </c>
      <c r="F537" s="1" t="s">
        <v>112</v>
      </c>
      <c r="G537" s="1">
        <v>938197</v>
      </c>
    </row>
    <row r="538" spans="1:7" x14ac:dyDescent="0.3">
      <c r="A538" s="1" t="str">
        <f t="shared" si="8"/>
        <v>05 tam 30.2 + testo</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1337</v>
      </c>
      <c r="D538" s="1" t="s">
        <v>1338</v>
      </c>
      <c r="E538" s="1" t="s">
        <v>1339</v>
      </c>
      <c r="F538" s="1" t="s">
        <v>112</v>
      </c>
      <c r="G538" s="1">
        <v>855333</v>
      </c>
    </row>
    <row r="539" spans="1:7" x14ac:dyDescent="0.3">
      <c r="A539" s="1" t="str">
        <f t="shared" si="8"/>
        <v>05 tam 30.2 + testo</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1340</v>
      </c>
      <c r="D539" s="1" t="s">
        <v>1341</v>
      </c>
      <c r="E539" s="1" t="s">
        <v>1342</v>
      </c>
      <c r="F539" s="1" t="s">
        <v>112</v>
      </c>
      <c r="G539" s="1">
        <v>1703008</v>
      </c>
    </row>
    <row r="540" spans="1:7" x14ac:dyDescent="0.3">
      <c r="A540" s="1" t="str">
        <f t="shared" si="8"/>
        <v>05 tam 30.2 + testo</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1343</v>
      </c>
      <c r="D540" s="1" t="s">
        <v>1344</v>
      </c>
      <c r="E540" s="1" t="s">
        <v>1345</v>
      </c>
      <c r="F540" s="1" t="s">
        <v>112</v>
      </c>
      <c r="G540" s="1">
        <v>1542969</v>
      </c>
    </row>
    <row r="541" spans="1:7" x14ac:dyDescent="0.3">
      <c r="A541" s="1" t="str">
        <f t="shared" si="8"/>
        <v>05 tam 30.2 + testo</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1346</v>
      </c>
      <c r="D541" s="1" t="s">
        <v>1347</v>
      </c>
      <c r="E541" s="1" t="s">
        <v>1348</v>
      </c>
      <c r="F541" s="1" t="s">
        <v>112</v>
      </c>
      <c r="G541" s="1">
        <v>1335257</v>
      </c>
    </row>
    <row r="542" spans="1:7" x14ac:dyDescent="0.3">
      <c r="A542" s="1" t="str">
        <f t="shared" si="8"/>
        <v>05 tam 30.2 + testo</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1349</v>
      </c>
      <c r="D542" s="1" t="s">
        <v>1350</v>
      </c>
      <c r="E542" s="1" t="s">
        <v>1351</v>
      </c>
      <c r="F542" s="1" t="s">
        <v>112</v>
      </c>
      <c r="G542" s="1">
        <v>3386852</v>
      </c>
    </row>
    <row r="543" spans="1:7" x14ac:dyDescent="0.3">
      <c r="A543" s="1" t="str">
        <f t="shared" si="8"/>
        <v>05 tam 30.2 + testo</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1352</v>
      </c>
      <c r="D543" s="1" t="s">
        <v>1353</v>
      </c>
      <c r="E543" s="1" t="s">
        <v>1354</v>
      </c>
      <c r="F543" s="1" t="s">
        <v>112</v>
      </c>
      <c r="G543" s="1">
        <v>3121799</v>
      </c>
    </row>
    <row r="544" spans="1:7" x14ac:dyDescent="0.3">
      <c r="A544" s="1" t="str">
        <f t="shared" si="8"/>
        <v>05 tam 30.2 + testo</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1355</v>
      </c>
      <c r="D544" s="1" t="s">
        <v>1356</v>
      </c>
      <c r="E544" s="1" t="s">
        <v>1357</v>
      </c>
      <c r="F544" s="1" t="s">
        <v>112</v>
      </c>
      <c r="G544" s="1">
        <v>3030976</v>
      </c>
    </row>
    <row r="545" spans="1:10" x14ac:dyDescent="0.3">
      <c r="A545" s="1" t="str">
        <f t="shared" si="8"/>
        <v>05 tam 30.2 + testo</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1358</v>
      </c>
      <c r="D545" s="1" t="s">
        <v>1359</v>
      </c>
      <c r="E545" s="1" t="s">
        <v>1360</v>
      </c>
      <c r="F545" s="1" t="s">
        <v>112</v>
      </c>
      <c r="G545" s="1">
        <v>254519</v>
      </c>
    </row>
    <row r="546" spans="1:10" x14ac:dyDescent="0.3">
      <c r="A546" s="1" t="str">
        <f t="shared" si="8"/>
        <v>05 tam 30.2 + testo</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1361</v>
      </c>
      <c r="D546" s="1" t="s">
        <v>1362</v>
      </c>
      <c r="E546" s="1" t="s">
        <v>1363</v>
      </c>
      <c r="F546" s="1" t="s">
        <v>112</v>
      </c>
      <c r="G546" s="1">
        <v>752807</v>
      </c>
    </row>
    <row r="547" spans="1:10" x14ac:dyDescent="0.3">
      <c r="A547" s="1" t="str">
        <f t="shared" si="8"/>
        <v>05 tam 30.2 + testo</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1364</v>
      </c>
      <c r="D547" s="1" t="s">
        <v>1365</v>
      </c>
      <c r="E547" s="1" t="s">
        <v>1366</v>
      </c>
      <c r="F547" s="1" t="s">
        <v>112</v>
      </c>
      <c r="G547" s="1">
        <v>621405</v>
      </c>
    </row>
    <row r="548" spans="1:10" x14ac:dyDescent="0.3">
      <c r="A548" s="1" t="str">
        <f t="shared" si="8"/>
        <v>05 tam 30.2 + testo</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1367</v>
      </c>
      <c r="D548" s="1" t="s">
        <v>1368</v>
      </c>
      <c r="E548" s="1" t="s">
        <v>1369</v>
      </c>
      <c r="F548" s="1" t="s">
        <v>112</v>
      </c>
      <c r="G548" s="1">
        <v>1020888</v>
      </c>
    </row>
    <row r="549" spans="1:10" x14ac:dyDescent="0.3">
      <c r="A549" s="1" t="str">
        <f t="shared" si="8"/>
        <v>05 tam 30.2 + testo</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1370</v>
      </c>
      <c r="D549" s="1" t="s">
        <v>1371</v>
      </c>
      <c r="E549" s="1" t="s">
        <v>1372</v>
      </c>
      <c r="F549" s="1" t="s">
        <v>112</v>
      </c>
      <c r="G549" s="1">
        <v>1234115</v>
      </c>
    </row>
    <row r="550" spans="1:10" x14ac:dyDescent="0.3">
      <c r="A550" s="1" t="str">
        <f t="shared" si="8"/>
        <v>05 tam 30.2 + testo</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1373</v>
      </c>
      <c r="D550" s="1" t="s">
        <v>1374</v>
      </c>
      <c r="E550" s="1" t="s">
        <v>1375</v>
      </c>
      <c r="F550" s="1" t="s">
        <v>112</v>
      </c>
      <c r="G550" s="1">
        <v>1370384</v>
      </c>
    </row>
    <row r="551" spans="1:10" x14ac:dyDescent="0.3">
      <c r="A551" s="1" t="str">
        <f t="shared" si="8"/>
        <v>05 tam 30.2 + testo</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1376</v>
      </c>
    </row>
    <row r="552" spans="1:10" x14ac:dyDescent="0.3">
      <c r="A552" s="1" t="str">
        <f t="shared" si="8"/>
        <v>05 tam 30.2 + testo</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1377</v>
      </c>
    </row>
    <row r="553" spans="1:10" x14ac:dyDescent="0.3">
      <c r="A553" s="1" t="str">
        <f t="shared" si="8"/>
        <v>05 tam 30.2 + testo</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1378</v>
      </c>
    </row>
    <row r="554" spans="1:10" x14ac:dyDescent="0.3">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3">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243</v>
      </c>
      <c r="D555" s="1" t="s">
        <v>112</v>
      </c>
      <c r="E555" s="1" t="s">
        <v>244</v>
      </c>
      <c r="F555" s="1" t="s">
        <v>245</v>
      </c>
      <c r="G555" s="1" t="s">
        <v>246</v>
      </c>
      <c r="H555" s="1" t="s">
        <v>247</v>
      </c>
      <c r="I555" s="1" t="s">
        <v>248</v>
      </c>
      <c r="J555" s="1" t="s">
        <v>249</v>
      </c>
    </row>
    <row r="556" spans="1:10" x14ac:dyDescent="0.3">
      <c r="A556" s="1" t="str">
        <f t="shared" si="8"/>
        <v>05 tam 30.2 + testo</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1379</v>
      </c>
      <c r="D556" s="1" t="s">
        <v>112</v>
      </c>
      <c r="E556" s="1" t="s">
        <v>1380</v>
      </c>
      <c r="F556" s="1" t="s">
        <v>1381</v>
      </c>
      <c r="G556" s="1" t="s">
        <v>1382</v>
      </c>
      <c r="H556" s="1" t="s">
        <v>1383</v>
      </c>
      <c r="I556" s="1">
        <v>24</v>
      </c>
      <c r="J556" s="1">
        <v>24</v>
      </c>
    </row>
    <row r="557" spans="1:10" x14ac:dyDescent="0.3">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3">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3">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3">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3">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3">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255</v>
      </c>
      <c r="D562" s="1" t="s">
        <v>110</v>
      </c>
      <c r="E562" s="1" t="s">
        <v>111</v>
      </c>
      <c r="F562" s="1" t="s">
        <v>112</v>
      </c>
      <c r="G562" s="1" t="s">
        <v>113</v>
      </c>
    </row>
    <row r="563" spans="1:7" x14ac:dyDescent="0.3">
      <c r="A563" s="1" t="str">
        <f t="shared" si="8"/>
        <v>06  tam 60.4 + testo</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1384</v>
      </c>
      <c r="D563" s="1" t="s">
        <v>1385</v>
      </c>
      <c r="E563" s="1" t="s">
        <v>1386</v>
      </c>
      <c r="F563" s="1" t="s">
        <v>112</v>
      </c>
      <c r="G563" s="1">
        <v>1816890</v>
      </c>
    </row>
    <row r="564" spans="1:7" x14ac:dyDescent="0.3">
      <c r="A564" s="1" t="str">
        <f t="shared" si="8"/>
        <v>06  tam 60.4 + testo</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1387</v>
      </c>
      <c r="D564" s="1" t="s">
        <v>1388</v>
      </c>
      <c r="E564" s="1" t="s">
        <v>1389</v>
      </c>
      <c r="F564" s="1" t="s">
        <v>112</v>
      </c>
      <c r="G564" s="1">
        <v>1468432</v>
      </c>
    </row>
    <row r="565" spans="1:7" x14ac:dyDescent="0.3">
      <c r="A565" s="1" t="str">
        <f t="shared" si="8"/>
        <v>06  tam 60.4 + testo</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1390</v>
      </c>
      <c r="D565" s="1" t="s">
        <v>1391</v>
      </c>
      <c r="E565" s="1" t="s">
        <v>1392</v>
      </c>
      <c r="F565" s="1" t="s">
        <v>112</v>
      </c>
      <c r="G565" s="1">
        <v>1141042</v>
      </c>
    </row>
    <row r="566" spans="1:7" x14ac:dyDescent="0.3">
      <c r="A566" s="1" t="str">
        <f t="shared" si="8"/>
        <v>06  tam 60.4 + testo</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1393</v>
      </c>
      <c r="D566" s="1" t="s">
        <v>1394</v>
      </c>
      <c r="E566" s="1" t="s">
        <v>1395</v>
      </c>
      <c r="F566" s="1" t="s">
        <v>112</v>
      </c>
      <c r="G566" s="1">
        <v>3457712</v>
      </c>
    </row>
    <row r="567" spans="1:7" x14ac:dyDescent="0.3">
      <c r="A567" s="1" t="str">
        <f t="shared" si="8"/>
        <v>06  tam 60.4 + testo</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1396</v>
      </c>
      <c r="D567" s="1" t="s">
        <v>1397</v>
      </c>
      <c r="E567" s="1" t="s">
        <v>1398</v>
      </c>
      <c r="F567" s="1" t="s">
        <v>112</v>
      </c>
      <c r="G567" s="1">
        <v>3324407</v>
      </c>
    </row>
    <row r="568" spans="1:7" x14ac:dyDescent="0.3">
      <c r="A568" s="1" t="str">
        <f t="shared" si="8"/>
        <v>06  tam 60.4 + testo</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1399</v>
      </c>
      <c r="D568" s="1" t="s">
        <v>1400</v>
      </c>
      <c r="E568" s="1" t="s">
        <v>1401</v>
      </c>
      <c r="F568" s="1" t="s">
        <v>112</v>
      </c>
      <c r="G568" s="1">
        <v>2731921</v>
      </c>
    </row>
    <row r="569" spans="1:7" x14ac:dyDescent="0.3">
      <c r="A569" s="1" t="str">
        <f t="shared" si="8"/>
        <v>06  tam 60.4 + testo</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1402</v>
      </c>
      <c r="D569" s="1" t="s">
        <v>1403</v>
      </c>
      <c r="E569" s="1" t="s">
        <v>1404</v>
      </c>
      <c r="F569" s="1" t="s">
        <v>112</v>
      </c>
      <c r="G569" s="1">
        <v>3085807</v>
      </c>
    </row>
    <row r="570" spans="1:7" x14ac:dyDescent="0.3">
      <c r="A570" s="1" t="str">
        <f t="shared" si="8"/>
        <v>06  tam 60.4 + testo</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1405</v>
      </c>
      <c r="D570" s="1" t="s">
        <v>1406</v>
      </c>
      <c r="E570" s="1" t="s">
        <v>1407</v>
      </c>
      <c r="F570" s="1" t="s">
        <v>112</v>
      </c>
      <c r="G570" s="1">
        <v>3191513</v>
      </c>
    </row>
    <row r="571" spans="1:7" x14ac:dyDescent="0.3">
      <c r="A571" s="1" t="str">
        <f t="shared" si="8"/>
        <v>06  tam 60.4 + testo</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1408</v>
      </c>
      <c r="D571" s="1" t="s">
        <v>1409</v>
      </c>
      <c r="E571" s="1" t="s">
        <v>1410</v>
      </c>
      <c r="F571" s="1" t="s">
        <v>112</v>
      </c>
      <c r="G571" s="1">
        <v>3010038</v>
      </c>
    </row>
    <row r="572" spans="1:7" x14ac:dyDescent="0.3">
      <c r="A572" s="1" t="str">
        <f t="shared" si="8"/>
        <v>06  tam 60.4 + testo</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1411</v>
      </c>
      <c r="D572" s="1" t="s">
        <v>1412</v>
      </c>
      <c r="E572" s="1" t="s">
        <v>1413</v>
      </c>
      <c r="F572" s="1" t="s">
        <v>112</v>
      </c>
      <c r="G572" s="1">
        <v>435431</v>
      </c>
    </row>
    <row r="573" spans="1:7" x14ac:dyDescent="0.3">
      <c r="A573" s="1" t="str">
        <f t="shared" si="8"/>
        <v>06  tam 60.4 + testo</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1414</v>
      </c>
      <c r="D573" s="1" t="s">
        <v>1415</v>
      </c>
      <c r="E573" s="1" t="s">
        <v>1416</v>
      </c>
      <c r="F573" s="1" t="s">
        <v>112</v>
      </c>
      <c r="G573" s="1">
        <v>687290</v>
      </c>
    </row>
    <row r="574" spans="1:7" x14ac:dyDescent="0.3">
      <c r="A574" s="1" t="str">
        <f t="shared" si="8"/>
        <v>06  tam 60.4 + testo</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1417</v>
      </c>
      <c r="D574" s="1" t="s">
        <v>826</v>
      </c>
      <c r="E574" s="1" t="s">
        <v>1418</v>
      </c>
      <c r="F574" s="1" t="s">
        <v>112</v>
      </c>
      <c r="G574" s="1">
        <v>395178</v>
      </c>
    </row>
    <row r="575" spans="1:7" x14ac:dyDescent="0.3">
      <c r="A575" s="1" t="str">
        <f t="shared" si="8"/>
        <v>06  tam 60.4 + testo</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1419</v>
      </c>
      <c r="D575" s="1" t="s">
        <v>1420</v>
      </c>
      <c r="E575" s="1" t="s">
        <v>1421</v>
      </c>
      <c r="F575" s="1" t="s">
        <v>112</v>
      </c>
      <c r="G575" s="1">
        <v>2320974</v>
      </c>
    </row>
    <row r="576" spans="1:7" x14ac:dyDescent="0.3">
      <c r="A576" s="1" t="str">
        <f t="shared" si="8"/>
        <v>06  tam 60.4 + testo</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1422</v>
      </c>
      <c r="D576" s="1" t="s">
        <v>1423</v>
      </c>
      <c r="E576" s="1" t="s">
        <v>1424</v>
      </c>
      <c r="F576" s="1" t="s">
        <v>112</v>
      </c>
      <c r="G576" s="1">
        <v>2551116</v>
      </c>
    </row>
    <row r="577" spans="1:10" x14ac:dyDescent="0.3">
      <c r="A577" s="1" t="str">
        <f t="shared" si="8"/>
        <v>06  tam 60.4 + testo</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1425</v>
      </c>
      <c r="D577" s="1" t="s">
        <v>1426</v>
      </c>
      <c r="E577" s="1" t="s">
        <v>1427</v>
      </c>
      <c r="F577" s="1" t="s">
        <v>112</v>
      </c>
      <c r="G577" s="1">
        <v>2499983</v>
      </c>
    </row>
    <row r="578" spans="1:10" x14ac:dyDescent="0.3">
      <c r="A578" s="1" t="str">
        <f t="shared" ref="A578:A641" si="9">IFERROR(LEFT(RIGHT(C578,LEN(C578)-SEARCH("@",C578)),SEARCH("/",RIGHT(C578,LEN(C578)-SEARCH("@",C578)-1))),"")</f>
        <v>06  tam 60.4 + testo</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1428</v>
      </c>
      <c r="D578" s="1" t="s">
        <v>1429</v>
      </c>
      <c r="E578" s="1" t="s">
        <v>1430</v>
      </c>
      <c r="F578" s="1" t="s">
        <v>112</v>
      </c>
      <c r="G578" s="1">
        <v>2399491</v>
      </c>
    </row>
    <row r="579" spans="1:10" x14ac:dyDescent="0.3">
      <c r="A579" s="1" t="str">
        <f t="shared" si="9"/>
        <v>06  tam 60.4 + testo</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1431</v>
      </c>
      <c r="D579" s="1" t="s">
        <v>1432</v>
      </c>
      <c r="E579" s="1" t="s">
        <v>1433</v>
      </c>
      <c r="F579" s="1" t="s">
        <v>112</v>
      </c>
      <c r="G579" s="1">
        <v>2341003</v>
      </c>
    </row>
    <row r="580" spans="1:10" x14ac:dyDescent="0.3">
      <c r="A580" s="1" t="str">
        <f t="shared" si="9"/>
        <v>06  tam 60.4 + testo</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1434</v>
      </c>
      <c r="D580" s="1" t="s">
        <v>1435</v>
      </c>
      <c r="E580" s="1" t="s">
        <v>1436</v>
      </c>
      <c r="F580" s="1" t="s">
        <v>112</v>
      </c>
      <c r="G580" s="1">
        <v>2354090</v>
      </c>
    </row>
    <row r="581" spans="1:10" x14ac:dyDescent="0.3">
      <c r="A581" s="1" t="str">
        <f t="shared" si="9"/>
        <v>06  tam 60.4 + testo</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1437</v>
      </c>
      <c r="D581" s="1" t="s">
        <v>1438</v>
      </c>
      <c r="E581" s="1" t="s">
        <v>1439</v>
      </c>
      <c r="F581" s="1" t="s">
        <v>112</v>
      </c>
      <c r="G581" s="1">
        <v>845058</v>
      </c>
    </row>
    <row r="582" spans="1:10" x14ac:dyDescent="0.3">
      <c r="A582" s="1" t="str">
        <f t="shared" si="9"/>
        <v>06  tam 60.4 + testo</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1440</v>
      </c>
      <c r="D582" s="1" t="s">
        <v>1441</v>
      </c>
      <c r="E582" s="1" t="s">
        <v>1442</v>
      </c>
      <c r="F582" s="1" t="s">
        <v>112</v>
      </c>
      <c r="G582" s="1">
        <v>666309</v>
      </c>
    </row>
    <row r="583" spans="1:10" x14ac:dyDescent="0.3">
      <c r="A583" s="1" t="str">
        <f t="shared" si="9"/>
        <v>06  tam 60.4 + testo</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1443</v>
      </c>
      <c r="D583" s="1" t="s">
        <v>1444</v>
      </c>
      <c r="E583" s="1" t="s">
        <v>1445</v>
      </c>
      <c r="F583" s="1" t="s">
        <v>112</v>
      </c>
      <c r="G583" s="1">
        <v>826370</v>
      </c>
    </row>
    <row r="584" spans="1:10" x14ac:dyDescent="0.3">
      <c r="A584" s="1" t="str">
        <f t="shared" si="9"/>
        <v>06  tam 60.4 + testo</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1446</v>
      </c>
      <c r="D584" s="1" t="s">
        <v>1447</v>
      </c>
      <c r="E584" s="1" t="s">
        <v>1448</v>
      </c>
      <c r="F584" s="1" t="s">
        <v>112</v>
      </c>
      <c r="G584" s="1">
        <v>2113392</v>
      </c>
    </row>
    <row r="585" spans="1:10" x14ac:dyDescent="0.3">
      <c r="A585" s="1" t="str">
        <f t="shared" si="9"/>
        <v>06  tam 60.4 + testo</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1449</v>
      </c>
      <c r="D585" s="1" t="s">
        <v>1450</v>
      </c>
      <c r="E585" s="1" t="s">
        <v>1451</v>
      </c>
      <c r="F585" s="1" t="s">
        <v>112</v>
      </c>
      <c r="G585" s="1">
        <v>2189010</v>
      </c>
    </row>
    <row r="586" spans="1:10" x14ac:dyDescent="0.3">
      <c r="A586" s="1" t="str">
        <f t="shared" si="9"/>
        <v>06  tam 60.4 + testo</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1452</v>
      </c>
      <c r="D586" s="1" t="s">
        <v>1453</v>
      </c>
      <c r="E586" s="1" t="s">
        <v>1454</v>
      </c>
      <c r="F586" s="1" t="s">
        <v>112</v>
      </c>
      <c r="G586" s="1">
        <v>2163011</v>
      </c>
    </row>
    <row r="587" spans="1:10" x14ac:dyDescent="0.3">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3">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243</v>
      </c>
      <c r="D588" s="1" t="s">
        <v>112</v>
      </c>
      <c r="E588" s="1" t="s">
        <v>244</v>
      </c>
      <c r="F588" s="1" t="s">
        <v>245</v>
      </c>
      <c r="G588" s="1" t="s">
        <v>246</v>
      </c>
      <c r="H588" s="1" t="s">
        <v>247</v>
      </c>
      <c r="I588" s="1" t="s">
        <v>248</v>
      </c>
      <c r="J588" s="1" t="s">
        <v>249</v>
      </c>
    </row>
    <row r="589" spans="1:10" x14ac:dyDescent="0.3">
      <c r="A589" s="1" t="str">
        <f t="shared" si="9"/>
        <v>06  tam 60.4 + testo</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1455</v>
      </c>
      <c r="D589" s="1" t="s">
        <v>112</v>
      </c>
      <c r="E589" s="1" t="s">
        <v>1456</v>
      </c>
      <c r="F589" s="1" t="s">
        <v>1457</v>
      </c>
      <c r="G589" s="1" t="s">
        <v>1458</v>
      </c>
      <c r="H589" s="1" t="s">
        <v>1459</v>
      </c>
      <c r="I589" s="1">
        <v>24</v>
      </c>
      <c r="J589" s="1">
        <v>24</v>
      </c>
    </row>
    <row r="590" spans="1:10" x14ac:dyDescent="0.3">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3">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3">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3">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3">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3">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255</v>
      </c>
      <c r="D595" s="1" t="s">
        <v>110</v>
      </c>
      <c r="E595" s="1" t="s">
        <v>111</v>
      </c>
      <c r="F595" s="1" t="s">
        <v>112</v>
      </c>
      <c r="G595" s="1" t="s">
        <v>113</v>
      </c>
    </row>
    <row r="596" spans="1:7" x14ac:dyDescent="0.3">
      <c r="A596" s="1" t="str">
        <f t="shared" si="9"/>
        <v>07 tam 121 + testo</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1460</v>
      </c>
      <c r="D596" s="1" t="s">
        <v>1461</v>
      </c>
      <c r="E596" s="1" t="s">
        <v>1462</v>
      </c>
      <c r="F596" s="1" t="s">
        <v>112</v>
      </c>
      <c r="G596" s="1">
        <v>2504461</v>
      </c>
    </row>
    <row r="597" spans="1:7" x14ac:dyDescent="0.3">
      <c r="A597" s="1" t="str">
        <f t="shared" si="9"/>
        <v>07 tam 121 + testo</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1463</v>
      </c>
      <c r="D597" s="1" t="s">
        <v>1464</v>
      </c>
      <c r="E597" s="1" t="s">
        <v>1465</v>
      </c>
      <c r="F597" s="1" t="s">
        <v>112</v>
      </c>
      <c r="G597" s="1">
        <v>2547829</v>
      </c>
    </row>
    <row r="598" spans="1:7" x14ac:dyDescent="0.3">
      <c r="A598" s="1" t="str">
        <f t="shared" si="9"/>
        <v>07 tam 121 + testo</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1466</v>
      </c>
      <c r="D598" s="1" t="s">
        <v>1467</v>
      </c>
      <c r="E598" s="1" t="s">
        <v>1468</v>
      </c>
      <c r="F598" s="1" t="s">
        <v>112</v>
      </c>
      <c r="G598" s="1">
        <v>2365726</v>
      </c>
    </row>
    <row r="599" spans="1:7" x14ac:dyDescent="0.3">
      <c r="A599" s="1" t="str">
        <f t="shared" si="9"/>
        <v>07 tam 121 + testo</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1469</v>
      </c>
      <c r="D599" s="1" t="s">
        <v>1470</v>
      </c>
      <c r="E599" s="1" t="s">
        <v>1471</v>
      </c>
      <c r="F599" s="1" t="s">
        <v>112</v>
      </c>
      <c r="G599" s="1">
        <v>3013390</v>
      </c>
    </row>
    <row r="600" spans="1:7" x14ac:dyDescent="0.3">
      <c r="A600" s="1" t="str">
        <f t="shared" si="9"/>
        <v>07 tam 121 + testo</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1472</v>
      </c>
      <c r="D600" s="1" t="s">
        <v>1473</v>
      </c>
      <c r="E600" s="1" t="s">
        <v>1474</v>
      </c>
      <c r="F600" s="1" t="s">
        <v>112</v>
      </c>
      <c r="G600" s="1">
        <v>2828996</v>
      </c>
    </row>
    <row r="601" spans="1:7" x14ac:dyDescent="0.3">
      <c r="A601" s="1" t="str">
        <f t="shared" si="9"/>
        <v>07 tam 121 + testo</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1475</v>
      </c>
      <c r="D601" s="1" t="s">
        <v>1476</v>
      </c>
      <c r="E601" s="1" t="s">
        <v>1477</v>
      </c>
      <c r="F601" s="1" t="s">
        <v>112</v>
      </c>
      <c r="G601" s="1">
        <v>3091345</v>
      </c>
    </row>
    <row r="602" spans="1:7" x14ac:dyDescent="0.3">
      <c r="A602" s="1" t="str">
        <f t="shared" si="9"/>
        <v>07 tam 121 + testo</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1478</v>
      </c>
      <c r="D602" s="1" t="s">
        <v>1479</v>
      </c>
      <c r="E602" s="1" t="s">
        <v>1480</v>
      </c>
      <c r="F602" s="1" t="s">
        <v>112</v>
      </c>
      <c r="G602" s="1">
        <v>2264736</v>
      </c>
    </row>
    <row r="603" spans="1:7" x14ac:dyDescent="0.3">
      <c r="A603" s="1" t="str">
        <f t="shared" si="9"/>
        <v>07 tam 121 + testo</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1481</v>
      </c>
      <c r="D603" s="1" t="s">
        <v>1482</v>
      </c>
      <c r="E603" s="1" t="s">
        <v>1483</v>
      </c>
      <c r="F603" s="1" t="s">
        <v>112</v>
      </c>
      <c r="G603" s="1">
        <v>2191627</v>
      </c>
    </row>
    <row r="604" spans="1:7" x14ac:dyDescent="0.3">
      <c r="A604" s="1" t="str">
        <f t="shared" si="9"/>
        <v>07 tam 121 + testo</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1484</v>
      </c>
      <c r="D604" s="1" t="s">
        <v>1485</v>
      </c>
      <c r="E604" s="1" t="s">
        <v>1486</v>
      </c>
      <c r="F604" s="1" t="s">
        <v>112</v>
      </c>
      <c r="G604" s="1">
        <v>1973836</v>
      </c>
    </row>
    <row r="605" spans="1:7" x14ac:dyDescent="0.3">
      <c r="A605" s="1" t="str">
        <f t="shared" si="9"/>
        <v>07 tam 121 + testo</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1487</v>
      </c>
      <c r="D605" s="1" t="s">
        <v>1488</v>
      </c>
      <c r="E605" s="1" t="s">
        <v>1489</v>
      </c>
      <c r="F605" s="1" t="s">
        <v>112</v>
      </c>
      <c r="G605" s="1">
        <v>4546842</v>
      </c>
    </row>
    <row r="606" spans="1:7" x14ac:dyDescent="0.3">
      <c r="A606" s="1" t="str">
        <f t="shared" si="9"/>
        <v>07 tam 121 + testo</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1490</v>
      </c>
      <c r="D606" s="1" t="s">
        <v>1491</v>
      </c>
      <c r="E606" s="1" t="s">
        <v>1492</v>
      </c>
      <c r="F606" s="1" t="s">
        <v>112</v>
      </c>
      <c r="G606" s="1">
        <v>3829335</v>
      </c>
    </row>
    <row r="607" spans="1:7" x14ac:dyDescent="0.3">
      <c r="A607" s="1" t="str">
        <f t="shared" si="9"/>
        <v>07 tam 121 + testo</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1493</v>
      </c>
      <c r="D607" s="1" t="s">
        <v>1494</v>
      </c>
      <c r="E607" s="1" t="s">
        <v>1495</v>
      </c>
      <c r="F607" s="1" t="s">
        <v>112</v>
      </c>
      <c r="G607" s="1">
        <v>4391171</v>
      </c>
    </row>
    <row r="608" spans="1:7" x14ac:dyDescent="0.3">
      <c r="A608" s="1" t="str">
        <f t="shared" si="9"/>
        <v>07 tam 121 + testo</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1496</v>
      </c>
      <c r="D608" s="1" t="s">
        <v>1497</v>
      </c>
      <c r="E608" s="1" t="s">
        <v>1498</v>
      </c>
      <c r="F608" s="1" t="s">
        <v>112</v>
      </c>
      <c r="G608" s="1">
        <v>2660023</v>
      </c>
    </row>
    <row r="609" spans="1:10" x14ac:dyDescent="0.3">
      <c r="A609" s="1" t="str">
        <f t="shared" si="9"/>
        <v>07 tam 121 + testo</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1499</v>
      </c>
      <c r="D609" s="1" t="s">
        <v>1500</v>
      </c>
      <c r="E609" s="1" t="s">
        <v>1501</v>
      </c>
      <c r="F609" s="1" t="s">
        <v>112</v>
      </c>
      <c r="G609" s="1">
        <v>2664868</v>
      </c>
    </row>
    <row r="610" spans="1:10" x14ac:dyDescent="0.3">
      <c r="A610" s="1" t="str">
        <f t="shared" si="9"/>
        <v>07 tam 121 + testo</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1502</v>
      </c>
      <c r="D610" s="1" t="s">
        <v>1503</v>
      </c>
      <c r="E610" s="1" t="s">
        <v>1504</v>
      </c>
      <c r="F610" s="1" t="s">
        <v>112</v>
      </c>
      <c r="G610" s="1">
        <v>2534029</v>
      </c>
    </row>
    <row r="611" spans="1:10" x14ac:dyDescent="0.3">
      <c r="A611" s="1" t="str">
        <f t="shared" si="9"/>
        <v>07 tam 121 + testo</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1505</v>
      </c>
      <c r="D611" s="1" t="s">
        <v>391</v>
      </c>
      <c r="E611" s="1" t="s">
        <v>1506</v>
      </c>
      <c r="F611" s="1" t="s">
        <v>112</v>
      </c>
      <c r="G611" s="1">
        <v>471661</v>
      </c>
    </row>
    <row r="612" spans="1:10" x14ac:dyDescent="0.3">
      <c r="A612" s="1" t="str">
        <f t="shared" si="9"/>
        <v>07 tam 121 + testo</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1507</v>
      </c>
      <c r="D612" s="1" t="s">
        <v>1508</v>
      </c>
      <c r="E612" s="1" t="s">
        <v>1509</v>
      </c>
      <c r="F612" s="1" t="s">
        <v>112</v>
      </c>
      <c r="G612" s="1">
        <v>878736</v>
      </c>
    </row>
    <row r="613" spans="1:10" x14ac:dyDescent="0.3">
      <c r="A613" s="1" t="str">
        <f t="shared" si="9"/>
        <v>07 tam 121 + testo</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1510</v>
      </c>
      <c r="D613" s="1" t="s">
        <v>1511</v>
      </c>
      <c r="E613" s="1" t="s">
        <v>1512</v>
      </c>
      <c r="F613" s="1" t="s">
        <v>112</v>
      </c>
      <c r="G613" s="1">
        <v>863941</v>
      </c>
    </row>
    <row r="614" spans="1:10" x14ac:dyDescent="0.3">
      <c r="A614" s="1" t="str">
        <f t="shared" si="9"/>
        <v>07 tam 121 + testo</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1513</v>
      </c>
      <c r="D614" s="1" t="s">
        <v>455</v>
      </c>
      <c r="E614" s="1" t="s">
        <v>1514</v>
      </c>
      <c r="F614" s="1" t="s">
        <v>112</v>
      </c>
      <c r="G614" s="1">
        <v>325487</v>
      </c>
    </row>
    <row r="615" spans="1:10" x14ac:dyDescent="0.3">
      <c r="A615" s="1" t="str">
        <f t="shared" si="9"/>
        <v>07 tam 121 + testo</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1515</v>
      </c>
      <c r="D615" s="1" t="s">
        <v>458</v>
      </c>
      <c r="E615" s="1" t="s">
        <v>1516</v>
      </c>
      <c r="F615" s="1" t="s">
        <v>112</v>
      </c>
      <c r="G615" s="1">
        <v>340628</v>
      </c>
    </row>
    <row r="616" spans="1:10" x14ac:dyDescent="0.3">
      <c r="A616" s="1" t="str">
        <f t="shared" si="9"/>
        <v>07 tam 121 + testo</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1517</v>
      </c>
      <c r="D616" s="1" t="s">
        <v>365</v>
      </c>
      <c r="E616" s="1" t="s">
        <v>1518</v>
      </c>
      <c r="F616" s="1" t="s">
        <v>112</v>
      </c>
      <c r="G616" s="1">
        <v>299574</v>
      </c>
    </row>
    <row r="617" spans="1:10" x14ac:dyDescent="0.3">
      <c r="A617" s="1" t="str">
        <f t="shared" si="9"/>
        <v>07 tam 121 + testo</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1519</v>
      </c>
      <c r="D617" s="1" t="s">
        <v>1520</v>
      </c>
      <c r="E617" s="1" t="s">
        <v>1521</v>
      </c>
      <c r="F617" s="1" t="s">
        <v>112</v>
      </c>
      <c r="G617" s="1">
        <v>2057154</v>
      </c>
    </row>
    <row r="618" spans="1:10" x14ac:dyDescent="0.3">
      <c r="A618" s="1" t="str">
        <f t="shared" si="9"/>
        <v>07 tam 121 + testo</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1522</v>
      </c>
      <c r="D618" s="1" t="s">
        <v>1523</v>
      </c>
      <c r="E618" s="1" t="s">
        <v>1524</v>
      </c>
      <c r="F618" s="1" t="s">
        <v>112</v>
      </c>
      <c r="G618" s="1">
        <v>2454387</v>
      </c>
    </row>
    <row r="619" spans="1:10" x14ac:dyDescent="0.3">
      <c r="A619" s="1" t="str">
        <f t="shared" si="9"/>
        <v>07 tam 121 + testo</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1525</v>
      </c>
      <c r="D619" s="1" t="s">
        <v>578</v>
      </c>
      <c r="E619" s="1" t="s">
        <v>1526</v>
      </c>
      <c r="F619" s="1" t="s">
        <v>112</v>
      </c>
      <c r="G619" s="1">
        <v>2295537</v>
      </c>
    </row>
    <row r="620" spans="1:10" x14ac:dyDescent="0.3">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3">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243</v>
      </c>
      <c r="D621" s="1" t="s">
        <v>112</v>
      </c>
      <c r="E621" s="1" t="s">
        <v>244</v>
      </c>
      <c r="F621" s="1" t="s">
        <v>245</v>
      </c>
      <c r="G621" s="1" t="s">
        <v>246</v>
      </c>
      <c r="H621" s="1" t="s">
        <v>247</v>
      </c>
      <c r="I621" s="1" t="s">
        <v>248</v>
      </c>
      <c r="J621" s="1" t="s">
        <v>249</v>
      </c>
    </row>
    <row r="622" spans="1:10" x14ac:dyDescent="0.3">
      <c r="A622" s="1" t="str">
        <f t="shared" si="9"/>
        <v>07 tam 121 + testo</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1527</v>
      </c>
      <c r="D622" s="1" t="s">
        <v>112</v>
      </c>
      <c r="E622" s="1" t="s">
        <v>1528</v>
      </c>
      <c r="F622" s="1" t="s">
        <v>1529</v>
      </c>
      <c r="G622" s="1" t="s">
        <v>1530</v>
      </c>
      <c r="H622" s="1" t="s">
        <v>1531</v>
      </c>
      <c r="I622" s="1">
        <v>24</v>
      </c>
      <c r="J622" s="1">
        <v>24</v>
      </c>
    </row>
    <row r="623" spans="1:10" x14ac:dyDescent="0.3">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3">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3">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3">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3">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3">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255</v>
      </c>
      <c r="D628" s="1" t="s">
        <v>110</v>
      </c>
      <c r="E628" s="1" t="s">
        <v>111</v>
      </c>
      <c r="F628" s="1" t="s">
        <v>112</v>
      </c>
      <c r="G628" s="1" t="s">
        <v>113</v>
      </c>
    </row>
    <row r="629" spans="1:7" x14ac:dyDescent="0.3">
      <c r="A629" s="1" t="str">
        <f t="shared" si="9"/>
        <v>08 tam 242 + testo</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1532</v>
      </c>
      <c r="D629" s="1" t="s">
        <v>1533</v>
      </c>
      <c r="E629" s="1" t="s">
        <v>1534</v>
      </c>
      <c r="F629" s="1" t="s">
        <v>112</v>
      </c>
      <c r="G629" s="1">
        <v>304181</v>
      </c>
    </row>
    <row r="630" spans="1:7" x14ac:dyDescent="0.3">
      <c r="A630" s="1" t="str">
        <f t="shared" si="9"/>
        <v>08 tam 242 + testo</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1535</v>
      </c>
      <c r="D630" s="1" t="s">
        <v>1536</v>
      </c>
      <c r="E630" s="1" t="s">
        <v>1537</v>
      </c>
      <c r="F630" s="1" t="s">
        <v>112</v>
      </c>
      <c r="G630" s="1">
        <v>501814</v>
      </c>
    </row>
    <row r="631" spans="1:7" x14ac:dyDescent="0.3">
      <c r="A631" s="1" t="str">
        <f t="shared" si="9"/>
        <v>08 tam 242 + testo</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1538</v>
      </c>
    </row>
    <row r="632" spans="1:7" x14ac:dyDescent="0.3">
      <c r="A632" s="1" t="str">
        <f t="shared" si="9"/>
        <v>08 tam 242 + testo</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1539</v>
      </c>
      <c r="D632" s="1" t="s">
        <v>1540</v>
      </c>
      <c r="E632" s="1" t="s">
        <v>1541</v>
      </c>
      <c r="F632" s="1" t="s">
        <v>112</v>
      </c>
      <c r="G632" s="1">
        <v>4601911</v>
      </c>
    </row>
    <row r="633" spans="1:7" x14ac:dyDescent="0.3">
      <c r="A633" s="1" t="str">
        <f t="shared" si="9"/>
        <v>08 tam 242 + testo</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1542</v>
      </c>
      <c r="D633" s="1" t="s">
        <v>1543</v>
      </c>
      <c r="E633" s="1" t="s">
        <v>1544</v>
      </c>
      <c r="F633" s="1" t="s">
        <v>112</v>
      </c>
      <c r="G633" s="1">
        <v>4263901</v>
      </c>
    </row>
    <row r="634" spans="1:7" x14ac:dyDescent="0.3">
      <c r="A634" s="1" t="str">
        <f t="shared" si="9"/>
        <v>08 tam 242 + testo</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1545</v>
      </c>
      <c r="D634" s="1" t="s">
        <v>1546</v>
      </c>
      <c r="E634" s="1" t="s">
        <v>1547</v>
      </c>
      <c r="F634" s="1" t="s">
        <v>112</v>
      </c>
      <c r="G634" s="1">
        <v>4096572</v>
      </c>
    </row>
    <row r="635" spans="1:7" x14ac:dyDescent="0.3">
      <c r="A635" s="1" t="str">
        <f t="shared" si="9"/>
        <v>08 tam 242 + testo</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1548</v>
      </c>
      <c r="D635" s="1" t="s">
        <v>1549</v>
      </c>
      <c r="E635" s="1" t="s">
        <v>1550</v>
      </c>
      <c r="F635" s="1" t="s">
        <v>112</v>
      </c>
      <c r="G635" s="1">
        <v>4277939</v>
      </c>
    </row>
    <row r="636" spans="1:7" x14ac:dyDescent="0.3">
      <c r="A636" s="1" t="str">
        <f t="shared" si="9"/>
        <v>08 tam 242 + testo</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1551</v>
      </c>
      <c r="D636" s="1" t="s">
        <v>1552</v>
      </c>
      <c r="E636" s="1" t="s">
        <v>1553</v>
      </c>
      <c r="F636" s="1" t="s">
        <v>112</v>
      </c>
      <c r="G636" s="1">
        <v>4692757</v>
      </c>
    </row>
    <row r="637" spans="1:7" x14ac:dyDescent="0.3">
      <c r="A637" s="1" t="str">
        <f t="shared" si="9"/>
        <v>08 tam 242 + testo</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1554</v>
      </c>
      <c r="D637" s="1" t="s">
        <v>1555</v>
      </c>
      <c r="E637" s="1" t="s">
        <v>1556</v>
      </c>
      <c r="F637" s="1" t="s">
        <v>112</v>
      </c>
      <c r="G637" s="1">
        <v>4287910</v>
      </c>
    </row>
    <row r="638" spans="1:7" x14ac:dyDescent="0.3">
      <c r="A638" s="1" t="str">
        <f t="shared" si="9"/>
        <v>08 tam 242 + testo</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1557</v>
      </c>
      <c r="D638" s="1" t="s">
        <v>1558</v>
      </c>
      <c r="E638" s="1" t="s">
        <v>1559</v>
      </c>
      <c r="F638" s="1" t="s">
        <v>112</v>
      </c>
      <c r="G638" s="1">
        <v>3781706</v>
      </c>
    </row>
    <row r="639" spans="1:7" x14ac:dyDescent="0.3">
      <c r="A639" s="1" t="str">
        <f t="shared" si="9"/>
        <v>08 tam 242 + testo</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1560</v>
      </c>
      <c r="D639" s="1" t="s">
        <v>1561</v>
      </c>
      <c r="E639" s="1" t="s">
        <v>1562</v>
      </c>
      <c r="F639" s="1" t="s">
        <v>112</v>
      </c>
      <c r="G639" s="1">
        <v>3194346</v>
      </c>
    </row>
    <row r="640" spans="1:7" x14ac:dyDescent="0.3">
      <c r="A640" s="1" t="str">
        <f t="shared" si="9"/>
        <v>08 tam 242 + testo</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1563</v>
      </c>
      <c r="D640" s="1" t="s">
        <v>1564</v>
      </c>
      <c r="E640" s="1" t="s">
        <v>1565</v>
      </c>
      <c r="F640" s="1" t="s">
        <v>112</v>
      </c>
      <c r="G640" s="1">
        <v>3283158</v>
      </c>
    </row>
    <row r="641" spans="1:10" x14ac:dyDescent="0.3">
      <c r="A641" s="1" t="str">
        <f t="shared" si="9"/>
        <v>08 tam 242 + testo</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1566</v>
      </c>
      <c r="D641" s="1" t="s">
        <v>1567</v>
      </c>
      <c r="E641" s="1" t="s">
        <v>1568</v>
      </c>
      <c r="F641" s="1" t="s">
        <v>112</v>
      </c>
      <c r="G641" s="1">
        <v>1232277</v>
      </c>
    </row>
    <row r="642" spans="1:10" x14ac:dyDescent="0.3">
      <c r="A642" s="1" t="str">
        <f t="shared" ref="A642:A705" si="10">IFERROR(LEFT(RIGHT(C642,LEN(C642)-SEARCH("@",C642)),SEARCH("/",RIGHT(C642,LEN(C642)-SEARCH("@",C642)-1))),"")</f>
        <v>08 tam 242 + testo</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1569</v>
      </c>
      <c r="D642" s="1" t="s">
        <v>1570</v>
      </c>
      <c r="E642" s="1" t="s">
        <v>1571</v>
      </c>
      <c r="F642" s="1" t="s">
        <v>112</v>
      </c>
      <c r="G642" s="1">
        <v>1295112</v>
      </c>
    </row>
    <row r="643" spans="1:10" x14ac:dyDescent="0.3">
      <c r="A643" s="1" t="str">
        <f t="shared" si="10"/>
        <v>08 tam 242 + testo</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1572</v>
      </c>
      <c r="D643" s="1" t="s">
        <v>1573</v>
      </c>
      <c r="E643" s="1" t="s">
        <v>1574</v>
      </c>
      <c r="F643" s="1" t="s">
        <v>112</v>
      </c>
      <c r="G643" s="1">
        <v>1250511</v>
      </c>
    </row>
    <row r="644" spans="1:10" x14ac:dyDescent="0.3">
      <c r="A644" s="1" t="str">
        <f t="shared" si="10"/>
        <v>08 tam 242 + testo</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1575</v>
      </c>
      <c r="D644" s="1" t="s">
        <v>1576</v>
      </c>
      <c r="E644" s="1" t="s">
        <v>1577</v>
      </c>
      <c r="F644" s="1" t="s">
        <v>112</v>
      </c>
      <c r="G644" s="1">
        <v>2990917</v>
      </c>
    </row>
    <row r="645" spans="1:10" x14ac:dyDescent="0.3">
      <c r="A645" s="1" t="str">
        <f t="shared" si="10"/>
        <v>08 tam 242 + testo</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1578</v>
      </c>
      <c r="D645" s="1" t="s">
        <v>1579</v>
      </c>
      <c r="E645" s="1" t="s">
        <v>1580</v>
      </c>
      <c r="F645" s="1" t="s">
        <v>112</v>
      </c>
      <c r="G645" s="1">
        <v>3202068</v>
      </c>
    </row>
    <row r="646" spans="1:10" x14ac:dyDescent="0.3">
      <c r="A646" s="1" t="str">
        <f t="shared" si="10"/>
        <v>08 tam 242 + testo</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1581</v>
      </c>
    </row>
    <row r="647" spans="1:10" x14ac:dyDescent="0.3">
      <c r="A647" s="1" t="str">
        <f t="shared" si="10"/>
        <v>08 tam 242 + testo</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1582</v>
      </c>
      <c r="D647" s="1" t="s">
        <v>1583</v>
      </c>
      <c r="E647" s="1" t="s">
        <v>1584</v>
      </c>
      <c r="F647" s="1" t="s">
        <v>112</v>
      </c>
      <c r="G647" s="1">
        <v>2258442</v>
      </c>
    </row>
    <row r="648" spans="1:10" x14ac:dyDescent="0.3">
      <c r="A648" s="1" t="str">
        <f t="shared" si="10"/>
        <v>08 tam 242 + testo</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1585</v>
      </c>
      <c r="D648" s="1" t="s">
        <v>1586</v>
      </c>
      <c r="E648" s="1" t="s">
        <v>1587</v>
      </c>
      <c r="F648" s="1" t="s">
        <v>112</v>
      </c>
      <c r="G648" s="1">
        <v>2600368</v>
      </c>
    </row>
    <row r="649" spans="1:10" x14ac:dyDescent="0.3">
      <c r="A649" s="1" t="str">
        <f t="shared" si="10"/>
        <v>08 tam 242 + testo</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1588</v>
      </c>
      <c r="D649" s="1" t="s">
        <v>1589</v>
      </c>
      <c r="E649" s="1" t="s">
        <v>1590</v>
      </c>
      <c r="F649" s="1" t="s">
        <v>112</v>
      </c>
      <c r="G649" s="1">
        <v>2595068</v>
      </c>
    </row>
    <row r="650" spans="1:10" x14ac:dyDescent="0.3">
      <c r="A650" s="1" t="str">
        <f t="shared" si="10"/>
        <v>08 tam 242 + testo</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1591</v>
      </c>
      <c r="D650" s="1" t="s">
        <v>1592</v>
      </c>
      <c r="E650" s="1" t="s">
        <v>1593</v>
      </c>
      <c r="F650" s="1" t="s">
        <v>112</v>
      </c>
      <c r="G650" s="1">
        <v>1935659</v>
      </c>
    </row>
    <row r="651" spans="1:10" x14ac:dyDescent="0.3">
      <c r="A651" s="1" t="str">
        <f t="shared" si="10"/>
        <v>08 tam 242 + testo</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1594</v>
      </c>
      <c r="D651" s="1" t="s">
        <v>1595</v>
      </c>
      <c r="E651" s="1" t="s">
        <v>1596</v>
      </c>
      <c r="F651" s="1" t="s">
        <v>112</v>
      </c>
      <c r="G651" s="1">
        <v>2053650</v>
      </c>
    </row>
    <row r="652" spans="1:10" x14ac:dyDescent="0.3">
      <c r="A652" s="1" t="str">
        <f t="shared" si="10"/>
        <v>08 tam 242 + testo</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1597</v>
      </c>
      <c r="D652" s="1" t="s">
        <v>999</v>
      </c>
      <c r="E652" s="1" t="s">
        <v>1598</v>
      </c>
      <c r="F652" s="1" t="s">
        <v>112</v>
      </c>
      <c r="G652" s="1">
        <v>1443211</v>
      </c>
    </row>
    <row r="653" spans="1:10" x14ac:dyDescent="0.3">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3">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243</v>
      </c>
      <c r="D654" s="1" t="s">
        <v>112</v>
      </c>
      <c r="E654" s="1" t="s">
        <v>244</v>
      </c>
      <c r="F654" s="1" t="s">
        <v>245</v>
      </c>
      <c r="G654" s="1" t="s">
        <v>246</v>
      </c>
      <c r="H654" s="1" t="s">
        <v>247</v>
      </c>
      <c r="I654" s="1" t="s">
        <v>248</v>
      </c>
      <c r="J654" s="1" t="s">
        <v>249</v>
      </c>
    </row>
    <row r="655" spans="1:10" x14ac:dyDescent="0.3">
      <c r="A655" s="1" t="str">
        <f t="shared" si="10"/>
        <v>08 tam 242 + testo</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1599</v>
      </c>
      <c r="D655" s="1" t="s">
        <v>112</v>
      </c>
      <c r="E655" s="1" t="s">
        <v>1600</v>
      </c>
      <c r="F655" s="1" t="s">
        <v>1601</v>
      </c>
      <c r="G655" s="1" t="s">
        <v>1602</v>
      </c>
      <c r="H655" s="1" t="s">
        <v>1603</v>
      </c>
      <c r="I655" s="1">
        <v>24</v>
      </c>
      <c r="J655" s="1">
        <v>24</v>
      </c>
    </row>
    <row r="656" spans="1:10" x14ac:dyDescent="0.3">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3">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3">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3">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3">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3">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255</v>
      </c>
      <c r="D661" s="1" t="s">
        <v>110</v>
      </c>
      <c r="E661" s="1" t="s">
        <v>111</v>
      </c>
      <c r="F661" s="1" t="s">
        <v>112</v>
      </c>
      <c r="G661" s="1" t="s">
        <v>113</v>
      </c>
    </row>
    <row r="662" spans="1:7" x14ac:dyDescent="0.3">
      <c r="A662" s="1" t="str">
        <f t="shared" si="10"/>
        <v>09  tam 483 + testo</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1604</v>
      </c>
    </row>
    <row r="663" spans="1:7" x14ac:dyDescent="0.3">
      <c r="A663" s="1" t="str">
        <f t="shared" si="10"/>
        <v>09  tam 483 + testo</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1605</v>
      </c>
    </row>
    <row r="664" spans="1:7" x14ac:dyDescent="0.3">
      <c r="A664" s="1" t="str">
        <f t="shared" si="10"/>
        <v>09  tam 483 + testo</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1606</v>
      </c>
    </row>
    <row r="665" spans="1:7" x14ac:dyDescent="0.3">
      <c r="A665" s="1" t="str">
        <f t="shared" si="10"/>
        <v>09  tam 483 + testo</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1607</v>
      </c>
      <c r="D665" s="1" t="s">
        <v>1608</v>
      </c>
      <c r="E665" s="1" t="s">
        <v>1609</v>
      </c>
      <c r="F665" s="1" t="s">
        <v>112</v>
      </c>
      <c r="G665" s="1">
        <v>1747890</v>
      </c>
    </row>
    <row r="666" spans="1:7" x14ac:dyDescent="0.3">
      <c r="A666" s="1" t="str">
        <f t="shared" si="10"/>
        <v>09  tam 483 + testo</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1610</v>
      </c>
      <c r="D666" s="1" t="s">
        <v>1611</v>
      </c>
      <c r="E666" s="1" t="s">
        <v>1612</v>
      </c>
      <c r="F666" s="1" t="s">
        <v>112</v>
      </c>
      <c r="G666" s="1">
        <v>1517445</v>
      </c>
    </row>
    <row r="667" spans="1:7" x14ac:dyDescent="0.3">
      <c r="A667" s="1" t="str">
        <f t="shared" si="10"/>
        <v>09  tam 483 + testo</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1613</v>
      </c>
      <c r="D667" s="1" t="s">
        <v>1614</v>
      </c>
      <c r="E667" s="1" t="s">
        <v>1615</v>
      </c>
      <c r="F667" s="1" t="s">
        <v>112</v>
      </c>
      <c r="G667" s="1">
        <v>980851</v>
      </c>
    </row>
    <row r="668" spans="1:7" x14ac:dyDescent="0.3">
      <c r="A668" s="1" t="str">
        <f t="shared" si="10"/>
        <v>09  tam 483 + testo</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1616</v>
      </c>
      <c r="D668" s="1" t="s">
        <v>1119</v>
      </c>
      <c r="E668" s="1" t="s">
        <v>1617</v>
      </c>
      <c r="F668" s="1" t="s">
        <v>112</v>
      </c>
      <c r="G668" s="1">
        <v>1711141</v>
      </c>
    </row>
    <row r="669" spans="1:7" x14ac:dyDescent="0.3">
      <c r="A669" s="1" t="str">
        <f t="shared" si="10"/>
        <v>09  tam 483 + testo</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1618</v>
      </c>
      <c r="D669" s="1" t="s">
        <v>1619</v>
      </c>
      <c r="E669" s="1" t="s">
        <v>1620</v>
      </c>
      <c r="F669" s="1" t="s">
        <v>112</v>
      </c>
      <c r="G669" s="1">
        <v>1430017</v>
      </c>
    </row>
    <row r="670" spans="1:7" x14ac:dyDescent="0.3">
      <c r="A670" s="1" t="str">
        <f t="shared" si="10"/>
        <v>09  tam 483 + testo</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1621</v>
      </c>
      <c r="D670" s="1" t="s">
        <v>1622</v>
      </c>
      <c r="E670" s="1" t="s">
        <v>1623</v>
      </c>
      <c r="F670" s="1" t="s">
        <v>112</v>
      </c>
      <c r="G670" s="1">
        <v>1563776</v>
      </c>
    </row>
    <row r="671" spans="1:7" x14ac:dyDescent="0.3">
      <c r="A671" s="1" t="str">
        <f t="shared" si="10"/>
        <v>09  tam 483 + testo</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1624</v>
      </c>
      <c r="D671" s="1" t="s">
        <v>1625</v>
      </c>
      <c r="E671" s="1" t="s">
        <v>1626</v>
      </c>
      <c r="F671" s="1" t="s">
        <v>112</v>
      </c>
      <c r="G671" s="1">
        <v>1771597</v>
      </c>
    </row>
    <row r="672" spans="1:7" x14ac:dyDescent="0.3">
      <c r="A672" s="1" t="str">
        <f t="shared" si="10"/>
        <v>09  tam 483 + testo</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1627</v>
      </c>
      <c r="D672" s="1" t="s">
        <v>1628</v>
      </c>
      <c r="E672" s="1" t="s">
        <v>1629</v>
      </c>
      <c r="F672" s="1" t="s">
        <v>112</v>
      </c>
      <c r="G672" s="1">
        <v>1388488</v>
      </c>
    </row>
    <row r="673" spans="1:10" x14ac:dyDescent="0.3">
      <c r="A673" s="1" t="str">
        <f t="shared" si="10"/>
        <v>09  tam 483 + testo</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1630</v>
      </c>
      <c r="D673" s="1" t="s">
        <v>1631</v>
      </c>
      <c r="E673" s="1" t="s">
        <v>1632</v>
      </c>
      <c r="F673" s="1" t="s">
        <v>112</v>
      </c>
      <c r="G673" s="1">
        <v>1238787</v>
      </c>
    </row>
    <row r="674" spans="1:10" x14ac:dyDescent="0.3">
      <c r="A674" s="1" t="str">
        <f t="shared" si="10"/>
        <v>09  tam 483 + testo</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1633</v>
      </c>
      <c r="D674" s="1" t="s">
        <v>1634</v>
      </c>
      <c r="E674" s="1" t="s">
        <v>1635</v>
      </c>
      <c r="F674" s="1" t="s">
        <v>112</v>
      </c>
      <c r="G674" s="1">
        <v>1177207</v>
      </c>
    </row>
    <row r="675" spans="1:10" x14ac:dyDescent="0.3">
      <c r="A675" s="1" t="str">
        <f t="shared" si="10"/>
        <v>09  tam 483 + testo</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1636</v>
      </c>
      <c r="D675" s="1" t="s">
        <v>1637</v>
      </c>
      <c r="E675" s="1" t="s">
        <v>1638</v>
      </c>
      <c r="F675" s="1" t="s">
        <v>112</v>
      </c>
      <c r="G675" s="1">
        <v>1526054</v>
      </c>
    </row>
    <row r="676" spans="1:10" x14ac:dyDescent="0.3">
      <c r="A676" s="1" t="str">
        <f t="shared" si="10"/>
        <v>09  tam 483 + testo</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1639</v>
      </c>
      <c r="D676" s="1" t="s">
        <v>1640</v>
      </c>
      <c r="E676" s="1" t="s">
        <v>1641</v>
      </c>
      <c r="F676" s="1" t="s">
        <v>112</v>
      </c>
      <c r="G676" s="1">
        <v>1451301</v>
      </c>
    </row>
    <row r="677" spans="1:10" x14ac:dyDescent="0.3">
      <c r="A677" s="1" t="str">
        <f t="shared" si="10"/>
        <v>09  tam 483 + testo</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1642</v>
      </c>
      <c r="D677" s="1" t="s">
        <v>1643</v>
      </c>
      <c r="E677" s="1" t="s">
        <v>1644</v>
      </c>
      <c r="F677" s="1" t="s">
        <v>112</v>
      </c>
      <c r="G677" s="1">
        <v>438416</v>
      </c>
    </row>
    <row r="678" spans="1:10" x14ac:dyDescent="0.3">
      <c r="A678" s="1" t="str">
        <f t="shared" si="10"/>
        <v>09  tam 483 + testo</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1645</v>
      </c>
      <c r="D678" s="1" t="s">
        <v>1646</v>
      </c>
      <c r="E678" s="1" t="s">
        <v>418</v>
      </c>
      <c r="F678" s="1" t="s">
        <v>112</v>
      </c>
      <c r="G678" s="1">
        <v>164820</v>
      </c>
    </row>
    <row r="679" spans="1:10" x14ac:dyDescent="0.3">
      <c r="A679" s="1" t="str">
        <f t="shared" si="10"/>
        <v>09  tam 483 + testo</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1647</v>
      </c>
      <c r="D679" s="1" t="s">
        <v>790</v>
      </c>
      <c r="E679" s="1" t="s">
        <v>1648</v>
      </c>
      <c r="F679" s="1" t="s">
        <v>112</v>
      </c>
      <c r="G679" s="1">
        <v>345365</v>
      </c>
    </row>
    <row r="680" spans="1:10" x14ac:dyDescent="0.3">
      <c r="A680" s="1" t="str">
        <f t="shared" si="10"/>
        <v>09  tam 483 + testo</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1649</v>
      </c>
      <c r="D680" s="1" t="s">
        <v>1650</v>
      </c>
      <c r="E680" s="1" t="s">
        <v>1651</v>
      </c>
      <c r="F680" s="1" t="s">
        <v>112</v>
      </c>
      <c r="G680" s="1">
        <v>2427588</v>
      </c>
    </row>
    <row r="681" spans="1:10" x14ac:dyDescent="0.3">
      <c r="A681" s="1" t="str">
        <f t="shared" si="10"/>
        <v>09  tam 483 + testo</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1652</v>
      </c>
      <c r="D681" s="1" t="s">
        <v>1453</v>
      </c>
      <c r="E681" s="1" t="s">
        <v>1653</v>
      </c>
      <c r="F681" s="1" t="s">
        <v>112</v>
      </c>
      <c r="G681" s="1">
        <v>1943208</v>
      </c>
    </row>
    <row r="682" spans="1:10" x14ac:dyDescent="0.3">
      <c r="A682" s="1" t="str">
        <f t="shared" si="10"/>
        <v>09  tam 483 + testo</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1654</v>
      </c>
      <c r="D682" s="1" t="s">
        <v>1655</v>
      </c>
      <c r="E682" s="1" t="s">
        <v>1656</v>
      </c>
      <c r="F682" s="1" t="s">
        <v>112</v>
      </c>
      <c r="G682" s="1">
        <v>1530466</v>
      </c>
    </row>
    <row r="683" spans="1:10" x14ac:dyDescent="0.3">
      <c r="A683" s="1" t="str">
        <f t="shared" si="10"/>
        <v>09  tam 483 + testo</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1657</v>
      </c>
      <c r="D683" s="1" t="s">
        <v>1658</v>
      </c>
      <c r="E683" s="1" t="s">
        <v>1659</v>
      </c>
      <c r="F683" s="1" t="s">
        <v>112</v>
      </c>
      <c r="G683" s="1">
        <v>1984564</v>
      </c>
    </row>
    <row r="684" spans="1:10" x14ac:dyDescent="0.3">
      <c r="A684" s="1" t="str">
        <f t="shared" si="10"/>
        <v>09  tam 483 + testo</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1660</v>
      </c>
      <c r="D684" s="1" t="s">
        <v>616</v>
      </c>
      <c r="E684" s="1" t="s">
        <v>1661</v>
      </c>
      <c r="F684" s="1" t="s">
        <v>112</v>
      </c>
      <c r="G684" s="1">
        <v>2357399</v>
      </c>
    </row>
    <row r="685" spans="1:10" x14ac:dyDescent="0.3">
      <c r="A685" s="1" t="str">
        <f t="shared" si="10"/>
        <v>09  tam 483 + testo</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1662</v>
      </c>
      <c r="D685" s="1" t="s">
        <v>1595</v>
      </c>
      <c r="E685" s="1" t="s">
        <v>1663</v>
      </c>
      <c r="F685" s="1" t="s">
        <v>112</v>
      </c>
      <c r="G685" s="1">
        <v>1898304</v>
      </c>
    </row>
    <row r="686" spans="1:10" x14ac:dyDescent="0.3">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3">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243</v>
      </c>
      <c r="D687" s="1" t="s">
        <v>112</v>
      </c>
      <c r="E687" s="1" t="s">
        <v>244</v>
      </c>
      <c r="F687" s="1" t="s">
        <v>245</v>
      </c>
      <c r="G687" s="1" t="s">
        <v>246</v>
      </c>
      <c r="H687" s="1" t="s">
        <v>247</v>
      </c>
      <c r="I687" s="1" t="s">
        <v>248</v>
      </c>
      <c r="J687" s="1" t="s">
        <v>249</v>
      </c>
    </row>
    <row r="688" spans="1:10" x14ac:dyDescent="0.3">
      <c r="A688" s="1" t="str">
        <f t="shared" si="10"/>
        <v>09  tam 483 + testo</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1664</v>
      </c>
      <c r="D688" s="1" t="s">
        <v>112</v>
      </c>
      <c r="E688" s="1" t="s">
        <v>1665</v>
      </c>
      <c r="F688" s="1" t="s">
        <v>1666</v>
      </c>
      <c r="G688" s="1" t="s">
        <v>1667</v>
      </c>
      <c r="H688" s="1" t="s">
        <v>1668</v>
      </c>
      <c r="I688" s="1">
        <v>24</v>
      </c>
      <c r="J688" s="1">
        <v>24</v>
      </c>
    </row>
    <row r="689" spans="1:3" x14ac:dyDescent="0.3">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3" x14ac:dyDescent="0.3">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3" x14ac:dyDescent="0.3">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3" x14ac:dyDescent="0.3">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3" x14ac:dyDescent="0.3">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3">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3">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3">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3">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3">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3">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3">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3">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3">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3">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3">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6"/>
  <sheetViews>
    <sheetView showGridLines="0" topLeftCell="A48" zoomScaleNormal="100" zoomScaleSheetLayoutView="40" zoomScalePageLayoutView="30" workbookViewId="0">
      <pane xSplit="1" topLeftCell="O1" activePane="topRight" state="frozen"/>
      <selection pane="topRight" activeCell="S73" sqref="S73"/>
    </sheetView>
  </sheetViews>
  <sheetFormatPr defaultColWidth="9.109375" defaultRowHeight="14.4" x14ac:dyDescent="0.3"/>
  <cols>
    <col min="1" max="1" width="29.5546875" style="1" customWidth="1"/>
    <col min="2" max="2" width="14.88671875" style="1" customWidth="1"/>
    <col min="3" max="5" width="25.88671875" style="1" bestFit="1" customWidth="1"/>
    <col min="6" max="8" width="26.44140625" style="1" bestFit="1" customWidth="1"/>
    <col min="9" max="9" width="26.44140625" style="1" customWidth="1"/>
    <col min="10" max="10" width="25.88671875" style="1" bestFit="1" customWidth="1"/>
    <col min="11" max="11" width="26.44140625" style="1" bestFit="1" customWidth="1"/>
    <col min="12" max="13" width="26.44140625" style="1" customWidth="1"/>
    <col min="14" max="14" width="18.33203125" bestFit="1" customWidth="1"/>
    <col min="15" max="15" width="14.88671875" customWidth="1"/>
    <col min="16" max="16" width="17.6640625" customWidth="1"/>
    <col min="17" max="18" width="25.88671875" bestFit="1" customWidth="1"/>
    <col min="19" max="22" width="25.88671875" style="1" customWidth="1"/>
  </cols>
  <sheetData>
    <row r="1" spans="1:22" s="1" customFormat="1" ht="26.4" thickBot="1" x14ac:dyDescent="0.55000000000000004">
      <c r="A1" s="215" t="s">
        <v>40</v>
      </c>
      <c r="B1" s="216"/>
      <c r="C1" s="216"/>
      <c r="D1" s="216"/>
      <c r="E1" s="216"/>
      <c r="F1" s="216"/>
      <c r="G1" s="216"/>
      <c r="H1" s="216"/>
      <c r="I1" s="216"/>
      <c r="J1" s="216"/>
      <c r="K1" s="216"/>
      <c r="L1" s="216"/>
      <c r="M1" s="216"/>
      <c r="N1" s="216"/>
      <c r="O1" s="216"/>
      <c r="P1" s="216"/>
      <c r="Q1" s="216"/>
      <c r="R1" s="216"/>
      <c r="S1" s="216"/>
      <c r="T1" s="216"/>
      <c r="U1" s="216"/>
      <c r="V1" s="216"/>
    </row>
    <row r="2" spans="1:22" ht="15" thickBot="1" x14ac:dyDescent="0.35">
      <c r="A2"/>
      <c r="B2"/>
      <c r="C2"/>
      <c r="D2"/>
      <c r="E2"/>
      <c r="F2"/>
      <c r="G2"/>
      <c r="H2"/>
      <c r="I2"/>
      <c r="J2"/>
      <c r="K2"/>
      <c r="L2"/>
      <c r="M2"/>
      <c r="S2"/>
      <c r="T2"/>
      <c r="U2"/>
      <c r="V2"/>
    </row>
    <row r="3" spans="1:22" ht="15" thickBot="1" x14ac:dyDescent="0.35">
      <c r="A3" s="51" t="s">
        <v>17</v>
      </c>
      <c r="B3" s="223" t="s">
        <v>6</v>
      </c>
      <c r="C3" s="224"/>
      <c r="D3" s="224"/>
      <c r="E3" s="224"/>
      <c r="F3" s="224"/>
      <c r="G3" s="224"/>
      <c r="H3" s="224"/>
      <c r="I3" s="224"/>
      <c r="J3" s="224"/>
      <c r="K3" s="224"/>
      <c r="L3" s="224"/>
      <c r="M3" s="224"/>
      <c r="O3" s="223" t="s">
        <v>3</v>
      </c>
      <c r="P3" s="224"/>
      <c r="Q3" s="224"/>
      <c r="R3" s="224"/>
      <c r="S3" s="224"/>
      <c r="T3" s="224"/>
      <c r="U3" s="224"/>
      <c r="V3" s="224"/>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Tamoxifen-30,2µg/L</v>
      </c>
      <c r="J4" s="35" t="str">
        <f>'Page de garde'!A16</f>
        <v>Tamoxifen-60,4µg/L</v>
      </c>
      <c r="K4" s="35" t="str">
        <f>'Page de garde'!A17</f>
        <v>Tamoxifen-121µg/L</v>
      </c>
      <c r="L4" s="35" t="str">
        <f>'Page de garde'!A18</f>
        <v>Tamoxifen-242µg/L</v>
      </c>
      <c r="M4" s="35" t="str">
        <f>'Page de garde'!A19</f>
        <v>Tamoxifen-483µg/L</v>
      </c>
      <c r="N4" s="3"/>
      <c r="O4" s="36" t="str">
        <f>'Page de garde'!A36</f>
        <v>Testo -30µg/L</v>
      </c>
      <c r="P4" s="36" t="str">
        <f>'Page de garde'!A37</f>
        <v>Testo 30µg/L + EE2 -64ng/L</v>
      </c>
      <c r="Q4" s="36" t="str">
        <f>'Page de garde'!A38</f>
        <v>Testo 30µg/L + FAD-10µg/L</v>
      </c>
      <c r="R4" s="36" t="str">
        <f>'Page de garde'!A39</f>
        <v>Tamoxifen-30.2µg/L + Testostérone</v>
      </c>
      <c r="S4" s="36" t="str">
        <f>'Page de garde'!A40</f>
        <v>Tamoxifen-60.4µg/L + Testostérone</v>
      </c>
      <c r="T4" s="36" t="str">
        <f>'Page de garde'!A41</f>
        <v>Tamoxifen-121µg/L + Testostérone</v>
      </c>
      <c r="U4" s="36" t="str">
        <f>'Page de garde'!A42</f>
        <v>Tamoxifen-242µg/L + Testostérone</v>
      </c>
      <c r="V4" s="36" t="str">
        <f>'Page de garde'!A43</f>
        <v>Tamoxifen-483µg/L + Testostérone</v>
      </c>
    </row>
    <row r="5" spans="1:22" x14ac:dyDescent="0.3">
      <c r="A5" s="219" t="s">
        <v>33</v>
      </c>
      <c r="B5" s="195">
        <v>209363</v>
      </c>
      <c r="C5" s="195">
        <v>763340.33333333337</v>
      </c>
      <c r="D5" s="195">
        <v>212852.66666666666</v>
      </c>
      <c r="E5" s="195">
        <v>1535448.3333333333</v>
      </c>
      <c r="F5" s="195">
        <v>3204036.3333333335</v>
      </c>
      <c r="G5" s="195">
        <v>2781247.5</v>
      </c>
      <c r="H5" s="195">
        <v>3334371</v>
      </c>
      <c r="I5" s="195">
        <v>327923.66666666669</v>
      </c>
      <c r="J5" s="195">
        <v>59842.666666666664</v>
      </c>
      <c r="K5" s="195">
        <v>296776.33333333331</v>
      </c>
      <c r="L5" s="195"/>
      <c r="M5" s="195">
        <v>202340.33333333334</v>
      </c>
      <c r="N5" s="3"/>
      <c r="O5" s="195">
        <v>2451907.3333333335</v>
      </c>
      <c r="P5" s="195">
        <v>1351450.3333333333</v>
      </c>
      <c r="Q5" s="195">
        <v>276977.66666666669</v>
      </c>
      <c r="R5" s="195">
        <v>1020822.6666666666</v>
      </c>
      <c r="S5" s="195">
        <v>1475454.6666666667</v>
      </c>
      <c r="T5" s="195">
        <v>2472672</v>
      </c>
      <c r="U5" s="195">
        <v>402997.5</v>
      </c>
      <c r="V5" s="195"/>
    </row>
    <row r="6" spans="1:22" x14ac:dyDescent="0.3">
      <c r="A6" s="220"/>
      <c r="B6" s="195">
        <v>223862.33333333334</v>
      </c>
      <c r="C6" s="195">
        <v>220336.66666666666</v>
      </c>
      <c r="D6" s="195">
        <v>305969.33333333331</v>
      </c>
      <c r="E6" s="195">
        <v>76267</v>
      </c>
      <c r="F6" s="195">
        <v>470212.66666666669</v>
      </c>
      <c r="G6" s="195">
        <v>2656338.3333333335</v>
      </c>
      <c r="H6" s="195">
        <v>4608624</v>
      </c>
      <c r="I6" s="195">
        <v>191021</v>
      </c>
      <c r="J6" s="195">
        <v>911880</v>
      </c>
      <c r="K6" s="195">
        <v>66721.333333333328</v>
      </c>
      <c r="L6" s="195">
        <v>55448.5</v>
      </c>
      <c r="M6" s="195">
        <v>567157.33333333337</v>
      </c>
      <c r="N6" s="3"/>
      <c r="O6" s="195">
        <v>2295905</v>
      </c>
      <c r="P6" s="195">
        <v>3585811.3333333335</v>
      </c>
      <c r="Q6" s="195">
        <v>107738.33333333333</v>
      </c>
      <c r="R6" s="195">
        <v>2013930.6666666667</v>
      </c>
      <c r="S6" s="195">
        <v>3171346.6666666665</v>
      </c>
      <c r="T6" s="195">
        <v>2977910.3333333335</v>
      </c>
      <c r="U6" s="195">
        <v>4320794.666666667</v>
      </c>
      <c r="V6" s="195">
        <v>1415395.3333333333</v>
      </c>
    </row>
    <row r="7" spans="1:22" x14ac:dyDescent="0.3">
      <c r="A7" s="220"/>
      <c r="B7" s="195">
        <v>165223.33333333334</v>
      </c>
      <c r="C7" s="195">
        <v>247208</v>
      </c>
      <c r="D7" s="195">
        <v>53224</v>
      </c>
      <c r="E7" s="195">
        <v>730484.66666666663</v>
      </c>
      <c r="F7" s="195">
        <v>848194.66666666663</v>
      </c>
      <c r="G7" s="195">
        <v>2253150</v>
      </c>
      <c r="H7" s="195">
        <v>5526207.666666667</v>
      </c>
      <c r="I7" s="195">
        <v>58227.666666666664</v>
      </c>
      <c r="J7" s="195">
        <v>290287.66666666669</v>
      </c>
      <c r="K7" s="195">
        <v>205823</v>
      </c>
      <c r="L7" s="195">
        <v>135554.33333333334</v>
      </c>
      <c r="M7" s="195">
        <v>653129</v>
      </c>
      <c r="N7" s="3"/>
      <c r="O7" s="195">
        <v>3237843.5</v>
      </c>
      <c r="P7" s="195">
        <v>5725325</v>
      </c>
      <c r="Q7" s="195">
        <v>236999</v>
      </c>
      <c r="R7" s="195">
        <v>875347.66666666663</v>
      </c>
      <c r="S7" s="195">
        <v>3095786</v>
      </c>
      <c r="T7" s="195">
        <v>2143399.6666666665</v>
      </c>
      <c r="U7" s="195">
        <v>4419535.333333333</v>
      </c>
      <c r="V7" s="195">
        <v>1568311.3333333333</v>
      </c>
    </row>
    <row r="8" spans="1:22" x14ac:dyDescent="0.3">
      <c r="A8" s="220"/>
      <c r="B8" s="195">
        <v>22358</v>
      </c>
      <c r="C8" s="195">
        <v>290352.33333333331</v>
      </c>
      <c r="D8" s="195">
        <v>910041.66666666663</v>
      </c>
      <c r="E8" s="195">
        <v>295471.66666666669</v>
      </c>
      <c r="F8" s="195">
        <v>2160336</v>
      </c>
      <c r="G8" s="195">
        <v>1398430.3333333333</v>
      </c>
      <c r="H8" s="195">
        <v>8878170.666666666</v>
      </c>
      <c r="I8" s="195">
        <v>358234.33333333331</v>
      </c>
      <c r="J8" s="195">
        <v>123564.33333333333</v>
      </c>
      <c r="K8" s="195">
        <v>244014.33333333334</v>
      </c>
      <c r="L8" s="195">
        <v>200206.33333333334</v>
      </c>
      <c r="M8" s="195">
        <v>485194.66666666669</v>
      </c>
      <c r="N8" s="3"/>
      <c r="O8" s="195">
        <v>2340426.6666666665</v>
      </c>
      <c r="P8" s="195">
        <v>4350810</v>
      </c>
      <c r="Q8" s="195">
        <v>433665</v>
      </c>
      <c r="R8" s="195">
        <v>1527078</v>
      </c>
      <c r="S8" s="195">
        <v>505966.33333333331</v>
      </c>
      <c r="T8" s="195">
        <v>4255782.666666667</v>
      </c>
      <c r="U8" s="195">
        <v>3419736.6666666665</v>
      </c>
      <c r="V8" s="195">
        <v>1466290.6666666667</v>
      </c>
    </row>
    <row r="9" spans="1:22" x14ac:dyDescent="0.3">
      <c r="A9" s="220"/>
      <c r="B9" s="195">
        <v>455100.33333333331</v>
      </c>
      <c r="C9" s="195">
        <v>187394.33333333334</v>
      </c>
      <c r="D9" s="195">
        <v>282587.33333333331</v>
      </c>
      <c r="E9" s="195">
        <v>3249625</v>
      </c>
      <c r="F9" s="195">
        <v>524078</v>
      </c>
      <c r="G9" s="195">
        <v>2271600.3333333335</v>
      </c>
      <c r="H9" s="195">
        <v>4329440</v>
      </c>
      <c r="I9" s="195">
        <v>521324</v>
      </c>
      <c r="J9" s="195">
        <v>233350.33333333334</v>
      </c>
      <c r="K9" s="195">
        <v>118892</v>
      </c>
      <c r="L9" s="195">
        <v>383699.66666666669</v>
      </c>
      <c r="M9" s="195">
        <v>1320469</v>
      </c>
      <c r="N9" s="3"/>
      <c r="O9" s="195">
        <v>4353982.333333333</v>
      </c>
      <c r="P9" s="195">
        <v>3518809.3333333335</v>
      </c>
      <c r="Q9" s="195">
        <v>408285.66666666669</v>
      </c>
      <c r="R9" s="195">
        <v>3179875.6666666665</v>
      </c>
      <c r="S9" s="195">
        <v>2457357.6666666665</v>
      </c>
      <c r="T9" s="195">
        <v>2619640</v>
      </c>
      <c r="U9" s="195">
        <v>1259300</v>
      </c>
      <c r="V9" s="195">
        <v>1384854</v>
      </c>
    </row>
    <row r="10" spans="1:22" x14ac:dyDescent="0.3">
      <c r="A10" s="220"/>
      <c r="B10" s="195">
        <v>279696</v>
      </c>
      <c r="C10" s="195">
        <v>206291.66666666666</v>
      </c>
      <c r="D10" s="195">
        <v>72748.333333333328</v>
      </c>
      <c r="E10" s="195">
        <v>400953</v>
      </c>
      <c r="F10" s="195">
        <v>553494.33333333337</v>
      </c>
      <c r="G10" s="195">
        <v>757846.66666666663</v>
      </c>
      <c r="H10" s="195">
        <v>4509148</v>
      </c>
      <c r="I10" s="195">
        <v>101833.66666666667</v>
      </c>
      <c r="J10" s="195">
        <v>68026</v>
      </c>
      <c r="K10" s="195">
        <v>29272.333333333332</v>
      </c>
      <c r="L10" s="195">
        <v>96844.333333333328</v>
      </c>
      <c r="M10" s="195">
        <v>152952.33333333334</v>
      </c>
      <c r="N10" s="3"/>
      <c r="O10" s="195">
        <v>1818043</v>
      </c>
      <c r="P10" s="195">
        <v>3497251.5</v>
      </c>
      <c r="Q10" s="195">
        <v>439721.33333333331</v>
      </c>
      <c r="R10" s="195">
        <v>542910.33333333337</v>
      </c>
      <c r="S10" s="195">
        <v>2364861.3333333335</v>
      </c>
      <c r="T10" s="195">
        <v>738112.66666666663</v>
      </c>
      <c r="U10" s="195">
        <v>3096492.5</v>
      </c>
      <c r="V10" s="195">
        <v>316200.33333333331</v>
      </c>
    </row>
    <row r="11" spans="1:22" x14ac:dyDescent="0.3">
      <c r="A11" s="220"/>
      <c r="B11" s="195">
        <v>178014.33333333334</v>
      </c>
      <c r="C11" s="195">
        <v>492718</v>
      </c>
      <c r="D11" s="195">
        <v>214143</v>
      </c>
      <c r="E11" s="195">
        <v>241880</v>
      </c>
      <c r="F11" s="195">
        <v>1198137.6666666667</v>
      </c>
      <c r="G11" s="195">
        <v>2592890.6666666665</v>
      </c>
      <c r="H11" s="195">
        <v>4464727.333333333</v>
      </c>
      <c r="I11" s="195">
        <v>117529.66666666667</v>
      </c>
      <c r="J11" s="195">
        <v>744551.66666666663</v>
      </c>
      <c r="K11" s="195">
        <v>172620.66666666666</v>
      </c>
      <c r="L11" s="195">
        <v>334549.33333333331</v>
      </c>
      <c r="M11" s="195">
        <v>1292797.5</v>
      </c>
      <c r="N11" s="3"/>
      <c r="O11" s="195">
        <v>3591514</v>
      </c>
      <c r="P11" s="195">
        <v>3239653.6666666665</v>
      </c>
      <c r="Q11" s="195">
        <v>19164</v>
      </c>
      <c r="R11" s="195">
        <v>1208462.3333333333</v>
      </c>
      <c r="S11" s="195">
        <v>779245.66666666663</v>
      </c>
      <c r="T11" s="195">
        <v>321896.33333333331</v>
      </c>
      <c r="U11" s="195">
        <v>2484626</v>
      </c>
      <c r="V11" s="195">
        <v>1967087.3333333333</v>
      </c>
    </row>
    <row r="12" spans="1:22" x14ac:dyDescent="0.3">
      <c r="A12" s="220"/>
      <c r="B12" s="195">
        <v>86649.333333333328</v>
      </c>
      <c r="C12" s="195">
        <v>234648.33333333334</v>
      </c>
      <c r="D12" s="195">
        <v>254764</v>
      </c>
      <c r="E12" s="195">
        <v>454379.33333333331</v>
      </c>
      <c r="F12" s="195">
        <v>910914.33333333337</v>
      </c>
      <c r="G12" s="195">
        <v>2426628.6666666665</v>
      </c>
      <c r="H12" s="195">
        <v>3400637.3333333335</v>
      </c>
      <c r="I12" s="195">
        <v>27542</v>
      </c>
      <c r="J12" s="195">
        <v>305399.33333333331</v>
      </c>
      <c r="K12" s="195">
        <v>164986</v>
      </c>
      <c r="L12" s="195">
        <v>234107.66666666666</v>
      </c>
      <c r="M12" s="195">
        <v>165144</v>
      </c>
      <c r="N12" s="3"/>
      <c r="O12" s="195">
        <v>2326497.3333333335</v>
      </c>
      <c r="P12" s="195">
        <v>3217490</v>
      </c>
      <c r="Q12" s="195"/>
      <c r="R12" s="195"/>
      <c r="S12" s="195">
        <v>2155137.6666666665</v>
      </c>
      <c r="T12" s="195">
        <v>2269026</v>
      </c>
      <c r="U12" s="195">
        <v>1810840</v>
      </c>
      <c r="V12" s="195">
        <v>2080089</v>
      </c>
    </row>
    <row r="13" spans="1:22" ht="16.8" x14ac:dyDescent="0.3">
      <c r="A13" s="220"/>
      <c r="B13" s="14"/>
      <c r="C13" s="13"/>
      <c r="D13" s="16"/>
      <c r="E13" s="16"/>
      <c r="F13" s="16"/>
      <c r="G13" s="16"/>
      <c r="H13" s="16"/>
      <c r="I13" s="32"/>
      <c r="J13" s="16"/>
      <c r="K13" s="13"/>
      <c r="L13" s="13"/>
      <c r="M13" s="13"/>
      <c r="N13" s="3"/>
      <c r="O13" s="195">
        <v>763391</v>
      </c>
      <c r="P13" s="13"/>
      <c r="Q13" s="13"/>
      <c r="R13" s="4"/>
      <c r="S13" s="32"/>
      <c r="T13" s="32"/>
      <c r="U13" s="32"/>
      <c r="V13" s="32"/>
    </row>
    <row r="14" spans="1:22" ht="16.8" x14ac:dyDescent="0.3">
      <c r="A14" s="220"/>
      <c r="B14" s="14"/>
      <c r="C14" s="16"/>
      <c r="D14" s="16"/>
      <c r="E14" s="16"/>
      <c r="F14" s="16"/>
      <c r="G14" s="16"/>
      <c r="H14" s="16"/>
      <c r="I14" s="32"/>
      <c r="J14" s="16"/>
      <c r="K14" s="13"/>
      <c r="L14" s="13"/>
      <c r="M14" s="13"/>
      <c r="N14" s="3"/>
      <c r="O14" s="195">
        <v>1951211.3333333333</v>
      </c>
      <c r="P14" s="13"/>
      <c r="Q14" s="13"/>
      <c r="R14" s="4"/>
      <c r="S14" s="32"/>
      <c r="T14" s="32"/>
      <c r="U14" s="32"/>
      <c r="V14" s="32"/>
    </row>
    <row r="15" spans="1:22" ht="16.8" x14ac:dyDescent="0.3">
      <c r="A15" s="220"/>
      <c r="B15" s="14"/>
      <c r="C15" s="16"/>
      <c r="D15" s="16"/>
      <c r="E15" s="16"/>
      <c r="F15" s="16"/>
      <c r="G15" s="16"/>
      <c r="H15" s="16"/>
      <c r="I15" s="32"/>
      <c r="J15" s="16"/>
      <c r="K15" s="13"/>
      <c r="L15" s="13"/>
      <c r="M15" s="13"/>
      <c r="N15" s="3"/>
      <c r="O15" s="195">
        <v>200292.66666666666</v>
      </c>
      <c r="P15" s="13"/>
      <c r="Q15" s="13"/>
      <c r="R15" s="4"/>
      <c r="S15" s="32"/>
      <c r="T15" s="32"/>
      <c r="U15" s="32"/>
      <c r="V15" s="32"/>
    </row>
    <row r="16" spans="1:22" ht="16.8" x14ac:dyDescent="0.3">
      <c r="A16" s="220"/>
      <c r="B16" s="14"/>
      <c r="C16" s="16"/>
      <c r="D16" s="16"/>
      <c r="E16" s="16"/>
      <c r="F16" s="16"/>
      <c r="G16" s="16"/>
      <c r="H16" s="16"/>
      <c r="I16" s="32"/>
      <c r="J16" s="16"/>
      <c r="K16" s="13"/>
      <c r="L16" s="13"/>
      <c r="M16" s="13"/>
      <c r="N16" s="3"/>
      <c r="O16" s="195">
        <v>2068997</v>
      </c>
      <c r="P16" s="13"/>
      <c r="Q16" s="13"/>
      <c r="R16" s="4"/>
      <c r="S16" s="32"/>
      <c r="T16" s="32"/>
      <c r="U16" s="32"/>
      <c r="V16" s="32"/>
    </row>
    <row r="17" spans="1:22" s="1" customFormat="1" ht="16.8" x14ac:dyDescent="0.3">
      <c r="A17" s="220"/>
      <c r="B17" s="14"/>
      <c r="C17" s="32"/>
      <c r="D17" s="32"/>
      <c r="E17" s="32"/>
      <c r="F17" s="32"/>
      <c r="G17" s="32"/>
      <c r="H17" s="32"/>
      <c r="I17" s="32"/>
      <c r="J17" s="32"/>
      <c r="K17" s="13"/>
      <c r="L17" s="13"/>
      <c r="M17" s="13"/>
      <c r="N17" s="3"/>
      <c r="O17" s="195">
        <v>2197222.6666666665</v>
      </c>
      <c r="P17" s="13"/>
      <c r="Q17" s="13"/>
      <c r="R17" s="32"/>
      <c r="S17" s="32"/>
      <c r="T17" s="32"/>
      <c r="U17" s="32"/>
      <c r="V17" s="32"/>
    </row>
    <row r="18" spans="1:22" s="1" customFormat="1" ht="16.8" x14ac:dyDescent="0.3">
      <c r="A18" s="220"/>
      <c r="B18" s="14"/>
      <c r="C18" s="32"/>
      <c r="D18" s="32"/>
      <c r="E18" s="32"/>
      <c r="F18" s="32"/>
      <c r="G18" s="32"/>
      <c r="H18" s="32"/>
      <c r="I18" s="32"/>
      <c r="J18" s="32"/>
      <c r="K18" s="13"/>
      <c r="L18" s="13"/>
      <c r="M18" s="13"/>
      <c r="N18" s="3"/>
      <c r="O18" s="195">
        <v>4282805.666666667</v>
      </c>
      <c r="P18" s="13"/>
      <c r="Q18" s="13"/>
      <c r="R18" s="32"/>
      <c r="S18" s="32"/>
      <c r="T18" s="32"/>
      <c r="U18" s="32"/>
      <c r="V18" s="32"/>
    </row>
    <row r="19" spans="1:22" s="1" customFormat="1" ht="16.8" x14ac:dyDescent="0.3">
      <c r="A19" s="220"/>
      <c r="B19" s="14"/>
      <c r="C19" s="32"/>
      <c r="D19" s="32"/>
      <c r="E19" s="32"/>
      <c r="F19" s="32"/>
      <c r="G19" s="32"/>
      <c r="H19" s="32"/>
      <c r="I19" s="32"/>
      <c r="J19" s="32"/>
      <c r="K19" s="13"/>
      <c r="L19" s="13"/>
      <c r="M19" s="13"/>
      <c r="N19" s="3"/>
      <c r="O19" s="195">
        <v>703483.66666666663</v>
      </c>
      <c r="P19" s="13"/>
      <c r="Q19" s="13"/>
      <c r="R19" s="32"/>
      <c r="S19" s="32"/>
      <c r="T19" s="32"/>
      <c r="U19" s="32"/>
      <c r="V19" s="32"/>
    </row>
    <row r="20" spans="1:22" ht="16.8" x14ac:dyDescent="0.3">
      <c r="A20" s="220"/>
      <c r="B20" s="14"/>
      <c r="C20" s="16"/>
      <c r="D20" s="16"/>
      <c r="E20" s="16"/>
      <c r="F20" s="16"/>
      <c r="G20" s="16"/>
      <c r="H20" s="16"/>
      <c r="I20" s="32"/>
      <c r="J20" s="16"/>
      <c r="K20" s="13"/>
      <c r="L20" s="13"/>
      <c r="M20" s="13"/>
      <c r="N20" s="3"/>
      <c r="O20" s="195">
        <v>918506.33333333337</v>
      </c>
      <c r="P20" s="13"/>
      <c r="Q20" s="13"/>
      <c r="R20" s="4"/>
      <c r="S20" s="32"/>
      <c r="T20" s="32"/>
      <c r="U20" s="32"/>
      <c r="V20" s="32"/>
    </row>
    <row r="21" spans="1:22" s="1" customFormat="1" ht="16.8" x14ac:dyDescent="0.3">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Tamoxifen-30,2µg/L</v>
      </c>
      <c r="J22" s="68" t="str">
        <f t="shared" si="0"/>
        <v>Tamoxifen-60,4µg/L</v>
      </c>
      <c r="K22" s="68" t="str">
        <f t="shared" si="0"/>
        <v>Tamoxifen-121µg/L</v>
      </c>
      <c r="L22" s="68" t="str">
        <f t="shared" si="0"/>
        <v>Tamoxifen-242µg/L</v>
      </c>
      <c r="M22" s="68" t="str">
        <f t="shared" si="0"/>
        <v>Tamoxifen-483µg/L</v>
      </c>
      <c r="N22" s="68" t="s">
        <v>47</v>
      </c>
      <c r="O22" s="68" t="str">
        <f t="shared" ref="O22:V22" si="1">O4</f>
        <v>Testo -30µg/L</v>
      </c>
      <c r="P22" s="68" t="str">
        <f t="shared" si="1"/>
        <v>Testo 30µg/L + EE2 -64ng/L</v>
      </c>
      <c r="Q22" s="68" t="str">
        <f t="shared" si="1"/>
        <v>Testo 30µg/L + FAD-10µg/L</v>
      </c>
      <c r="R22" s="68" t="str">
        <f t="shared" si="1"/>
        <v>Tamoxifen-30.2µg/L + Testostérone</v>
      </c>
      <c r="S22" s="68" t="str">
        <f t="shared" si="1"/>
        <v>Tamoxifen-60.4µg/L + Testostérone</v>
      </c>
      <c r="T22" s="68" t="str">
        <f t="shared" si="1"/>
        <v>Tamoxifen-121µg/L + Testostérone</v>
      </c>
      <c r="U22" s="68" t="str">
        <f t="shared" si="1"/>
        <v>Tamoxifen-242µg/L + Testostérone</v>
      </c>
      <c r="V22" s="68" t="str">
        <f t="shared" si="1"/>
        <v>Tamoxifen-483µg/L + Testostérone</v>
      </c>
    </row>
    <row r="23" spans="1:22" x14ac:dyDescent="0.3">
      <c r="A23" s="5" t="s">
        <v>0</v>
      </c>
      <c r="B23" s="5">
        <f t="shared" ref="B23:M23" si="2">AVERAGE(B5:B20)</f>
        <v>202533.33333333331</v>
      </c>
      <c r="C23" s="5">
        <f t="shared" si="2"/>
        <v>330286.20833333331</v>
      </c>
      <c r="D23" s="5">
        <f t="shared" si="2"/>
        <v>288291.29166666663</v>
      </c>
      <c r="E23" s="5">
        <f t="shared" si="2"/>
        <v>873063.62499999988</v>
      </c>
      <c r="F23" s="5">
        <f t="shared" si="2"/>
        <v>1233675.5</v>
      </c>
      <c r="G23" s="5">
        <f t="shared" si="2"/>
        <v>2142266.5625</v>
      </c>
      <c r="H23" s="5">
        <f t="shared" si="2"/>
        <v>4881415.7500000009</v>
      </c>
      <c r="I23" s="5">
        <f t="shared" si="2"/>
        <v>212954.50000000003</v>
      </c>
      <c r="J23" s="5">
        <f t="shared" si="2"/>
        <v>342112.75</v>
      </c>
      <c r="K23" s="5">
        <f t="shared" si="2"/>
        <v>162388.25</v>
      </c>
      <c r="L23" s="5">
        <f t="shared" si="2"/>
        <v>205772.88095238098</v>
      </c>
      <c r="M23" s="5">
        <f t="shared" si="2"/>
        <v>604898.02083333337</v>
      </c>
      <c r="N23" s="5" t="s">
        <v>0</v>
      </c>
      <c r="O23" s="5">
        <f t="shared" ref="O23:V23" si="3">AVERAGE(O5:O20)</f>
        <v>2218876.84375</v>
      </c>
      <c r="P23" s="5">
        <f t="shared" si="3"/>
        <v>3560825.1458333335</v>
      </c>
      <c r="Q23" s="5">
        <f t="shared" si="3"/>
        <v>274650.14285714284</v>
      </c>
      <c r="R23" s="5">
        <f t="shared" si="3"/>
        <v>1481203.9047619049</v>
      </c>
      <c r="S23" s="5">
        <f t="shared" si="3"/>
        <v>2000644.4999999998</v>
      </c>
      <c r="T23" s="5">
        <f t="shared" si="3"/>
        <v>2224804.9583333335</v>
      </c>
      <c r="U23" s="5">
        <f t="shared" si="3"/>
        <v>2651790.333333333</v>
      </c>
      <c r="V23" s="5">
        <f t="shared" si="3"/>
        <v>1456889.7142857143</v>
      </c>
    </row>
    <row r="24" spans="1:22" x14ac:dyDescent="0.3">
      <c r="A24" s="3" t="s">
        <v>1</v>
      </c>
      <c r="B24" s="3">
        <f t="shared" ref="B24:M24" si="4">STDEV(B5:B20)</f>
        <v>129907.2234121978</v>
      </c>
      <c r="C24" s="3">
        <f t="shared" si="4"/>
        <v>199801.65319898044</v>
      </c>
      <c r="D24" s="3">
        <f t="shared" si="4"/>
        <v>267514.22130275663</v>
      </c>
      <c r="E24" s="3">
        <f t="shared" si="4"/>
        <v>1060471.6813806635</v>
      </c>
      <c r="F24" s="3">
        <f t="shared" si="4"/>
        <v>966887.87991926016</v>
      </c>
      <c r="G24" s="3">
        <f t="shared" si="4"/>
        <v>702589.44101577834</v>
      </c>
      <c r="H24" s="3">
        <f t="shared" si="4"/>
        <v>1759349.0573503328</v>
      </c>
      <c r="I24" s="3">
        <f t="shared" si="4"/>
        <v>173068.4805573005</v>
      </c>
      <c r="J24" s="3">
        <f t="shared" si="4"/>
        <v>317359.22305882338</v>
      </c>
      <c r="K24" s="3">
        <f t="shared" si="4"/>
        <v>89030.438265628211</v>
      </c>
      <c r="L24" s="3">
        <f t="shared" si="4"/>
        <v>121428.06836501378</v>
      </c>
      <c r="M24" s="3">
        <f t="shared" si="4"/>
        <v>472533.92842066922</v>
      </c>
      <c r="N24" s="3" t="s">
        <v>1</v>
      </c>
      <c r="O24" s="3">
        <f t="shared" ref="O24:V24" si="5">STDEV(O5:O20)</f>
        <v>1218284.1227368913</v>
      </c>
      <c r="P24" s="3">
        <f t="shared" si="5"/>
        <v>1219949.3044803434</v>
      </c>
      <c r="Q24" s="3">
        <f t="shared" si="5"/>
        <v>165805.31918352397</v>
      </c>
      <c r="R24" s="3">
        <f t="shared" si="5"/>
        <v>885549.11841510329</v>
      </c>
      <c r="S24" s="3">
        <f t="shared" si="5"/>
        <v>995467.56551250746</v>
      </c>
      <c r="T24" s="3">
        <f t="shared" si="5"/>
        <v>1239197.2323882685</v>
      </c>
      <c r="U24" s="3">
        <f t="shared" si="5"/>
        <v>1435729.7472902546</v>
      </c>
      <c r="V24" s="3">
        <f t="shared" si="5"/>
        <v>572896.92308685521</v>
      </c>
    </row>
    <row r="25" spans="1:22" ht="15" thickBot="1" x14ac:dyDescent="0.35"/>
    <row r="26" spans="1:22" ht="15" thickBot="1" x14ac:dyDescent="0.35">
      <c r="B26" s="223" t="s">
        <v>6</v>
      </c>
      <c r="C26" s="224"/>
      <c r="D26" s="224"/>
      <c r="E26" s="224"/>
      <c r="F26" s="224"/>
      <c r="G26" s="224"/>
      <c r="H26" s="224"/>
      <c r="I26" s="224"/>
      <c r="J26" s="224"/>
      <c r="K26" s="224"/>
      <c r="L26" s="224"/>
      <c r="M26" s="224"/>
      <c r="N26" s="1"/>
      <c r="O26" s="223" t="s">
        <v>3</v>
      </c>
      <c r="P26" s="224"/>
      <c r="Q26" s="224"/>
      <c r="R26" s="224"/>
      <c r="S26" s="224"/>
      <c r="T26" s="224"/>
      <c r="U26" s="224"/>
      <c r="V26" s="224"/>
    </row>
    <row r="27" spans="1:22" s="1" customFormat="1" x14ac:dyDescent="0.3">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Tamoxifen-30,2µg/L</v>
      </c>
      <c r="J27" s="35" t="str">
        <f t="shared" si="6"/>
        <v>Tamoxifen-60,4µg/L</v>
      </c>
      <c r="K27" s="35" t="str">
        <f t="shared" si="6"/>
        <v>Tamoxifen-121µg/L</v>
      </c>
      <c r="L27" s="35" t="str">
        <f t="shared" si="6"/>
        <v>Tamoxifen-242µg/L</v>
      </c>
      <c r="M27" s="35" t="str">
        <f t="shared" si="6"/>
        <v>Tamoxifen-483µg/L</v>
      </c>
      <c r="N27" s="3"/>
      <c r="O27" s="36" t="str">
        <f t="shared" ref="O27:V27" si="7">O4</f>
        <v>Testo -30µg/L</v>
      </c>
      <c r="P27" s="36" t="str">
        <f t="shared" si="7"/>
        <v>Testo 30µg/L + EE2 -64ng/L</v>
      </c>
      <c r="Q27" s="36" t="str">
        <f t="shared" si="7"/>
        <v>Testo 30µg/L + FAD-10µg/L</v>
      </c>
      <c r="R27" s="36" t="str">
        <f t="shared" si="7"/>
        <v>Tamoxifen-30.2µg/L + Testostérone</v>
      </c>
      <c r="S27" s="36" t="str">
        <f t="shared" si="7"/>
        <v>Tamoxifen-60.4µg/L + Testostérone</v>
      </c>
      <c r="T27" s="36" t="str">
        <f t="shared" si="7"/>
        <v>Tamoxifen-121µg/L + Testostérone</v>
      </c>
      <c r="U27" s="36" t="str">
        <f t="shared" si="7"/>
        <v>Tamoxifen-242µg/L + Testostérone</v>
      </c>
      <c r="V27" s="36" t="str">
        <f t="shared" si="7"/>
        <v>Tamoxifen-483µg/L + Testostérone</v>
      </c>
    </row>
    <row r="28" spans="1:22" x14ac:dyDescent="0.3">
      <c r="A28" s="221" t="s">
        <v>34</v>
      </c>
      <c r="B28" s="11">
        <f t="shared" ref="B28:M28" si="8">IF(B5="","",(B5/$O$23))</f>
        <v>9.4355394527515679E-2</v>
      </c>
      <c r="C28" s="11">
        <f t="shared" si="8"/>
        <v>0.34402104627098384</v>
      </c>
      <c r="D28" s="11">
        <f t="shared" si="8"/>
        <v>9.5928112128538079E-2</v>
      </c>
      <c r="E28" s="11">
        <f t="shared" si="8"/>
        <v>0.69199349105755581</v>
      </c>
      <c r="F28" s="11">
        <f t="shared" si="8"/>
        <v>1.4439901621211073</v>
      </c>
      <c r="G28" s="11">
        <f t="shared" si="8"/>
        <v>1.2534483415941051</v>
      </c>
      <c r="H28" s="11">
        <f t="shared" si="8"/>
        <v>1.5027291890453756</v>
      </c>
      <c r="I28" s="11">
        <f t="shared" si="8"/>
        <v>0.1477881332577527</v>
      </c>
      <c r="J28" s="11">
        <f t="shared" si="8"/>
        <v>2.696980088607798E-2</v>
      </c>
      <c r="K28" s="11">
        <f t="shared" si="8"/>
        <v>0.13375070102212983</v>
      </c>
      <c r="L28" s="11" t="str">
        <f t="shared" si="8"/>
        <v/>
      </c>
      <c r="M28" s="11">
        <f t="shared" si="8"/>
        <v>9.1190429925515487E-2</v>
      </c>
      <c r="N28" s="6"/>
      <c r="O28" s="11">
        <f t="shared" ref="O28:V28" si="9">IF(O5="","",(O5/$O$23))</f>
        <v>1.1050218222970418</v>
      </c>
      <c r="P28" s="11">
        <f t="shared" si="9"/>
        <v>0.60906955568084731</v>
      </c>
      <c r="Q28" s="11">
        <f t="shared" si="9"/>
        <v>0.1248278684086685</v>
      </c>
      <c r="R28" s="11">
        <f t="shared" si="9"/>
        <v>0.46006278786587868</v>
      </c>
      <c r="S28" s="11">
        <f t="shared" si="9"/>
        <v>0.66495563772394106</v>
      </c>
      <c r="T28" s="11">
        <f t="shared" si="9"/>
        <v>1.1143800103033545</v>
      </c>
      <c r="U28" s="11">
        <f t="shared" si="9"/>
        <v>0.18162229288891779</v>
      </c>
      <c r="V28" s="11" t="str">
        <f t="shared" si="9"/>
        <v/>
      </c>
    </row>
    <row r="29" spans="1:22" x14ac:dyDescent="0.3">
      <c r="A29" s="222"/>
      <c r="B29" s="11">
        <f t="shared" ref="B29:M29" si="10">IF(B6="","",(B6/$O$23))</f>
        <v>0.10088993175258709</v>
      </c>
      <c r="C29" s="11">
        <f t="shared" si="10"/>
        <v>9.9300989726986352E-2</v>
      </c>
      <c r="D29" s="11">
        <f t="shared" si="10"/>
        <v>0.13789378810958774</v>
      </c>
      <c r="E29" s="11">
        <f t="shared" si="10"/>
        <v>3.4371894147628944E-2</v>
      </c>
      <c r="F29" s="11">
        <f t="shared" si="10"/>
        <v>0.21191472072509734</v>
      </c>
      <c r="G29" s="11">
        <f t="shared" si="10"/>
        <v>1.1971544706573278</v>
      </c>
      <c r="H29" s="11">
        <f t="shared" si="10"/>
        <v>2.077007569384167</v>
      </c>
      <c r="I29" s="11">
        <f t="shared" si="10"/>
        <v>8.6089050204862239E-2</v>
      </c>
      <c r="J29" s="11">
        <f t="shared" si="10"/>
        <v>0.41096467456881586</v>
      </c>
      <c r="K29" s="11">
        <f t="shared" si="10"/>
        <v>3.0069867789764899E-2</v>
      </c>
      <c r="L29" s="11">
        <f t="shared" si="10"/>
        <v>2.4989444617525315E-2</v>
      </c>
      <c r="M29" s="11">
        <f t="shared" si="10"/>
        <v>0.25560559385297493</v>
      </c>
      <c r="N29" s="6"/>
      <c r="O29" s="11">
        <f t="shared" ref="O29:V29" si="11">IF(O6="","",(O6/$O$23))</f>
        <v>1.0347149308745855</v>
      </c>
      <c r="P29" s="11">
        <f t="shared" si="11"/>
        <v>1.6160479313818759</v>
      </c>
      <c r="Q29" s="11">
        <f t="shared" si="11"/>
        <v>4.8555346204456659E-2</v>
      </c>
      <c r="R29" s="11">
        <f t="shared" si="11"/>
        <v>0.90763517242490788</v>
      </c>
      <c r="S29" s="11">
        <f t="shared" si="11"/>
        <v>1.4292576334732261</v>
      </c>
      <c r="T29" s="11">
        <f t="shared" si="11"/>
        <v>1.3420800445600818</v>
      </c>
      <c r="U29" s="11">
        <f t="shared" si="11"/>
        <v>1.9472890885482101</v>
      </c>
      <c r="V29" s="11">
        <f t="shared" si="11"/>
        <v>0.63788818983808604</v>
      </c>
    </row>
    <row r="30" spans="1:22" x14ac:dyDescent="0.3">
      <c r="A30" s="222"/>
      <c r="B30" s="11">
        <f t="shared" ref="B30:M30" si="12">IF(B7="","",(B7/$O$23))</f>
        <v>7.4462597506808267E-2</v>
      </c>
      <c r="C30" s="11">
        <f t="shared" si="12"/>
        <v>0.11141132086547334</v>
      </c>
      <c r="D30" s="11">
        <f t="shared" si="12"/>
        <v>2.3986910382123364E-2</v>
      </c>
      <c r="E30" s="11">
        <f t="shared" si="12"/>
        <v>0.32921370499865832</v>
      </c>
      <c r="F30" s="11">
        <f t="shared" si="12"/>
        <v>0.3822630665851558</v>
      </c>
      <c r="G30" s="11">
        <f t="shared" si="12"/>
        <v>1.0154461732955296</v>
      </c>
      <c r="H30" s="11">
        <f t="shared" si="12"/>
        <v>2.4905427636655721</v>
      </c>
      <c r="I30" s="11">
        <f t="shared" si="12"/>
        <v>2.6241955172356179E-2</v>
      </c>
      <c r="J30" s="11">
        <f t="shared" si="12"/>
        <v>0.13082639871804136</v>
      </c>
      <c r="K30" s="11">
        <f t="shared" si="12"/>
        <v>9.2759992777314323E-2</v>
      </c>
      <c r="L30" s="11">
        <f t="shared" si="12"/>
        <v>6.1091418261971009E-2</v>
      </c>
      <c r="M30" s="11">
        <f t="shared" si="12"/>
        <v>0.29435117223368878</v>
      </c>
      <c r="N30" s="6"/>
      <c r="O30" s="11">
        <f t="shared" ref="O30:V30" si="13">IF(O7="","",(O7/$O$23))</f>
        <v>1.459226323948607</v>
      </c>
      <c r="P30" s="11">
        <f t="shared" si="13"/>
        <v>2.5802806569128673</v>
      </c>
      <c r="Q30" s="11">
        <f t="shared" si="13"/>
        <v>0.10681034446213843</v>
      </c>
      <c r="R30" s="11">
        <f t="shared" si="13"/>
        <v>0.39450033882335278</v>
      </c>
      <c r="S30" s="11">
        <f t="shared" si="13"/>
        <v>1.3952040685448701</v>
      </c>
      <c r="T30" s="11">
        <f t="shared" si="13"/>
        <v>0.96598406202852893</v>
      </c>
      <c r="U30" s="11">
        <f t="shared" si="13"/>
        <v>1.9917893801911615</v>
      </c>
      <c r="V30" s="11">
        <f t="shared" si="13"/>
        <v>0.70680413730525837</v>
      </c>
    </row>
    <row r="31" spans="1:22" x14ac:dyDescent="0.3">
      <c r="A31" s="222"/>
      <c r="B31" s="11">
        <f t="shared" ref="B31:M31" si="14">IF(B8="","",(B8/$O$23))</f>
        <v>1.0076269020057009E-2</v>
      </c>
      <c r="C31" s="11">
        <f t="shared" si="14"/>
        <v>0.13085554259182092</v>
      </c>
      <c r="D31" s="11">
        <f t="shared" si="14"/>
        <v>0.41013617733224705</v>
      </c>
      <c r="E31" s="11">
        <f t="shared" si="14"/>
        <v>0.13316271585731929</v>
      </c>
      <c r="F31" s="11">
        <f t="shared" si="14"/>
        <v>0.97361690266186052</v>
      </c>
      <c r="G31" s="11">
        <f t="shared" si="14"/>
        <v>0.63024242975555334</v>
      </c>
      <c r="H31" s="11">
        <f t="shared" si="14"/>
        <v>4.0012002881882189</v>
      </c>
      <c r="I31" s="11">
        <f t="shared" si="14"/>
        <v>0.1614484978480831</v>
      </c>
      <c r="J31" s="11">
        <f t="shared" si="14"/>
        <v>5.5687783520469818E-2</v>
      </c>
      <c r="K31" s="11">
        <f t="shared" si="14"/>
        <v>0.10997200408876157</v>
      </c>
      <c r="L31" s="11">
        <f t="shared" si="14"/>
        <v>9.0228682090789589E-2</v>
      </c>
      <c r="M31" s="11">
        <f t="shared" si="14"/>
        <v>0.21866678542044102</v>
      </c>
      <c r="N31" s="6"/>
      <c r="O31" s="11">
        <f t="shared" ref="O31:V31" si="15">IF(O8="","",(O8/$O$23))</f>
        <v>1.0547798870672074</v>
      </c>
      <c r="P31" s="11">
        <f t="shared" si="15"/>
        <v>1.960816352766537</v>
      </c>
      <c r="Q31" s="11">
        <f t="shared" si="15"/>
        <v>0.19544347457657316</v>
      </c>
      <c r="R31" s="11">
        <f t="shared" si="15"/>
        <v>0.68822116211694317</v>
      </c>
      <c r="S31" s="11">
        <f t="shared" si="15"/>
        <v>0.22802812817597745</v>
      </c>
      <c r="T31" s="11">
        <f t="shared" si="15"/>
        <v>1.9179895804736085</v>
      </c>
      <c r="U31" s="11">
        <f t="shared" si="15"/>
        <v>1.5412016562790209</v>
      </c>
      <c r="V31" s="11">
        <f t="shared" si="15"/>
        <v>0.66082562031183789</v>
      </c>
    </row>
    <row r="32" spans="1:22" x14ac:dyDescent="0.3">
      <c r="A32" s="222"/>
      <c r="B32" s="11">
        <f t="shared" ref="B32:M32" si="16">IF(B9="","",(B9/$O$23))</f>
        <v>0.20510391760373398</v>
      </c>
      <c r="C32" s="11">
        <f t="shared" si="16"/>
        <v>8.4454589654750112E-2</v>
      </c>
      <c r="D32" s="11">
        <f t="shared" si="16"/>
        <v>0.12735602434596965</v>
      </c>
      <c r="E32" s="11">
        <f t="shared" si="16"/>
        <v>1.4645359922310921</v>
      </c>
      <c r="F32" s="11">
        <f t="shared" si="16"/>
        <v>0.23619066622656038</v>
      </c>
      <c r="G32" s="11">
        <f t="shared" si="16"/>
        <v>1.0237613411180715</v>
      </c>
      <c r="H32" s="11">
        <f t="shared" si="16"/>
        <v>1.9511853540654627</v>
      </c>
      <c r="I32" s="11">
        <f t="shared" si="16"/>
        <v>0.23494949774631899</v>
      </c>
      <c r="J32" s="11">
        <f t="shared" si="16"/>
        <v>0.10516596898589511</v>
      </c>
      <c r="K32" s="11">
        <f t="shared" si="16"/>
        <v>5.3582063526818942E-2</v>
      </c>
      <c r="L32" s="11">
        <f t="shared" si="16"/>
        <v>0.17292517507109464</v>
      </c>
      <c r="M32" s="11">
        <f t="shared" si="16"/>
        <v>0.59510693606966891</v>
      </c>
      <c r="N32" s="6"/>
      <c r="O32" s="11">
        <f t="shared" ref="O32:V32" si="17">IF(O9="","",(O9/$O$23))</f>
        <v>1.9622460550694243</v>
      </c>
      <c r="P32" s="11">
        <f t="shared" si="17"/>
        <v>1.5858515731708616</v>
      </c>
      <c r="Q32" s="11">
        <f t="shared" si="17"/>
        <v>0.18400555570116539</v>
      </c>
      <c r="R32" s="11">
        <f t="shared" si="17"/>
        <v>1.4331014700629063</v>
      </c>
      <c r="S32" s="11">
        <f t="shared" si="17"/>
        <v>1.1074781701329683</v>
      </c>
      <c r="T32" s="11">
        <f t="shared" si="17"/>
        <v>1.1806153222874203</v>
      </c>
      <c r="U32" s="11">
        <f t="shared" si="17"/>
        <v>0.56753938531880266</v>
      </c>
      <c r="V32" s="11">
        <f t="shared" si="17"/>
        <v>0.62412386874953163</v>
      </c>
    </row>
    <row r="33" spans="1:22" x14ac:dyDescent="0.3">
      <c r="A33" s="222"/>
      <c r="B33" s="11">
        <f t="shared" ref="B33:M33" si="18">IF(B10="","",(B10/$O$23))</f>
        <v>0.12605296269048505</v>
      </c>
      <c r="C33" s="11">
        <f t="shared" si="18"/>
        <v>9.2971210749139471E-2</v>
      </c>
      <c r="D33" s="11">
        <f t="shared" si="18"/>
        <v>3.2786106871251774E-2</v>
      </c>
      <c r="E33" s="11">
        <f t="shared" si="18"/>
        <v>0.18070088077640745</v>
      </c>
      <c r="F33" s="11">
        <f t="shared" si="18"/>
        <v>0.24944797404704241</v>
      </c>
      <c r="G33" s="11">
        <f t="shared" si="18"/>
        <v>0.34154516903510168</v>
      </c>
      <c r="H33" s="11">
        <f t="shared" si="18"/>
        <v>2.032175878846588</v>
      </c>
      <c r="I33" s="11">
        <f t="shared" si="18"/>
        <v>4.5894240121305364E-2</v>
      </c>
      <c r="J33" s="11">
        <f t="shared" si="18"/>
        <v>3.0657852954575456E-2</v>
      </c>
      <c r="K33" s="11">
        <f t="shared" si="18"/>
        <v>1.3192410122168742E-2</v>
      </c>
      <c r="L33" s="11">
        <f t="shared" si="18"/>
        <v>4.364565505567318E-2</v>
      </c>
      <c r="M33" s="11">
        <f t="shared" si="18"/>
        <v>6.8932322117904093E-2</v>
      </c>
      <c r="N33" s="6"/>
      <c r="O33" s="11">
        <f t="shared" ref="O33:V33" si="19">IF(O10="","",(O10/$O$23))</f>
        <v>0.81935282037890256</v>
      </c>
      <c r="P33" s="11">
        <f t="shared" si="19"/>
        <v>1.5761359220322884</v>
      </c>
      <c r="Q33" s="11">
        <f t="shared" si="19"/>
        <v>0.19817293355956828</v>
      </c>
      <c r="R33" s="11">
        <f t="shared" si="19"/>
        <v>0.24467799322101666</v>
      </c>
      <c r="S33" s="11">
        <f t="shared" si="19"/>
        <v>1.0657920650235879</v>
      </c>
      <c r="T33" s="11">
        <f t="shared" si="19"/>
        <v>0.33265148029541991</v>
      </c>
      <c r="U33" s="11">
        <f t="shared" si="19"/>
        <v>1.3955224728772195</v>
      </c>
      <c r="V33" s="11">
        <f t="shared" si="19"/>
        <v>0.14250467943905384</v>
      </c>
    </row>
    <row r="34" spans="1:22" x14ac:dyDescent="0.3">
      <c r="A34" s="222"/>
      <c r="B34" s="11">
        <f t="shared" ref="B34:M34" si="20">IF(B11="","",(B11/$O$23))</f>
        <v>8.022722569517704E-2</v>
      </c>
      <c r="C34" s="11">
        <f t="shared" si="20"/>
        <v>0.22205738970500263</v>
      </c>
      <c r="D34" s="11">
        <f t="shared" si="20"/>
        <v>9.6509637568748002E-2</v>
      </c>
      <c r="E34" s="11">
        <f t="shared" si="20"/>
        <v>0.10901010602788215</v>
      </c>
      <c r="F34" s="11">
        <f t="shared" si="20"/>
        <v>0.53997483909100652</v>
      </c>
      <c r="G34" s="11">
        <f t="shared" si="20"/>
        <v>1.1685599739211152</v>
      </c>
      <c r="H34" s="11">
        <f t="shared" si="20"/>
        <v>2.0121564411784778</v>
      </c>
      <c r="I34" s="11">
        <f t="shared" si="20"/>
        <v>5.2968089237452373E-2</v>
      </c>
      <c r="J34" s="11">
        <f t="shared" si="20"/>
        <v>0.33555339890263641</v>
      </c>
      <c r="K34" s="11">
        <f t="shared" si="20"/>
        <v>7.779641630534577E-2</v>
      </c>
      <c r="L34" s="11">
        <f t="shared" si="20"/>
        <v>0.15077417851093083</v>
      </c>
      <c r="M34" s="11">
        <f t="shared" si="20"/>
        <v>0.5826359870496981</v>
      </c>
      <c r="N34" s="6"/>
      <c r="O34" s="11">
        <f t="shared" ref="O34:V34" si="21">IF(O11="","",(O11/$O$23))</f>
        <v>1.6186180004160045</v>
      </c>
      <c r="P34" s="11">
        <f t="shared" si="21"/>
        <v>1.4600421270752046</v>
      </c>
      <c r="Q34" s="11">
        <f t="shared" si="21"/>
        <v>8.636802017191721E-3</v>
      </c>
      <c r="R34" s="11">
        <f t="shared" si="21"/>
        <v>0.5446279439696069</v>
      </c>
      <c r="S34" s="11">
        <f t="shared" si="21"/>
        <v>0.35118923741153069</v>
      </c>
      <c r="T34" s="11">
        <f t="shared" si="21"/>
        <v>0.1450717439501123</v>
      </c>
      <c r="U34" s="11">
        <f t="shared" si="21"/>
        <v>1.1197674206202775</v>
      </c>
      <c r="V34" s="11">
        <f t="shared" si="21"/>
        <v>0.886523891073138</v>
      </c>
    </row>
    <row r="35" spans="1:22" x14ac:dyDescent="0.3">
      <c r="A35" s="222"/>
      <c r="B35" s="11">
        <f t="shared" ref="B35:M35" si="22">IF(B12="","",(B12/$O$23))</f>
        <v>3.9050988150785386E-2</v>
      </c>
      <c r="C35" s="11">
        <f t="shared" si="22"/>
        <v>0.10575094962763561</v>
      </c>
      <c r="D35" s="11">
        <f t="shared" si="22"/>
        <v>0.11481664731307825</v>
      </c>
      <c r="E35" s="11">
        <f t="shared" si="22"/>
        <v>0.2047789784337071</v>
      </c>
      <c r="F35" s="11">
        <f t="shared" si="22"/>
        <v>0.41052946940211782</v>
      </c>
      <c r="G35" s="11">
        <f t="shared" si="22"/>
        <v>1.0936292717199918</v>
      </c>
      <c r="H35" s="11">
        <f t="shared" si="22"/>
        <v>1.5325939981356089</v>
      </c>
      <c r="I35" s="11">
        <f t="shared" si="22"/>
        <v>1.2412586159334918E-2</v>
      </c>
      <c r="J35" s="11">
        <f t="shared" si="22"/>
        <v>0.13763690138709769</v>
      </c>
      <c r="K35" s="11">
        <f t="shared" si="22"/>
        <v>7.4355636485514159E-2</v>
      </c>
      <c r="L35" s="11">
        <f t="shared" si="22"/>
        <v>0.10550728280665382</v>
      </c>
      <c r="M35" s="11">
        <f t="shared" si="22"/>
        <v>7.4426843682274563E-2</v>
      </c>
      <c r="N35" s="6"/>
      <c r="O35" s="11">
        <f t="shared" ref="O35:V35" si="23">IF(O12="","",(O12/$O$23))</f>
        <v>1.0485022365646262</v>
      </c>
      <c r="P35" s="11">
        <f t="shared" si="23"/>
        <v>1.4500534399026399</v>
      </c>
      <c r="Q35" s="11" t="str">
        <f t="shared" si="23"/>
        <v/>
      </c>
      <c r="R35" s="11" t="str">
        <f t="shared" si="23"/>
        <v/>
      </c>
      <c r="S35" s="11">
        <f t="shared" si="23"/>
        <v>0.97127412579798189</v>
      </c>
      <c r="T35" s="11">
        <f t="shared" si="23"/>
        <v>1.0226011445345682</v>
      </c>
      <c r="U35" s="11">
        <f t="shared" si="23"/>
        <v>0.81610658342785725</v>
      </c>
      <c r="V35" s="11">
        <f t="shared" si="23"/>
        <v>0.93745130824140632</v>
      </c>
    </row>
    <row r="36" spans="1:22" s="1" customFormat="1" x14ac:dyDescent="0.3">
      <c r="A36" s="222"/>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0.3440438806463163</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
      <c r="A37" s="222"/>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0.87936891983409937</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
      <c r="A38" s="222"/>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9.0267590664546843E-2</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
      <c r="A39" s="222"/>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0.93245238275744213</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
      <c r="A40" s="222"/>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0.99024092880849712</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
      <c r="A41" s="222"/>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1.9301682645119393</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
      <c r="A42" s="222"/>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0.31704493588645871</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
      <c r="A43" s="222"/>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0.41395102027430103</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
      <c r="A44" s="7"/>
      <c r="B44" s="3"/>
      <c r="C44" s="3"/>
      <c r="D44" s="3"/>
      <c r="E44" s="3"/>
      <c r="F44" s="3"/>
      <c r="G44" s="3"/>
      <c r="H44" s="3"/>
      <c r="I44" s="3"/>
      <c r="J44" s="3"/>
      <c r="N44" s="7"/>
      <c r="O44" s="3"/>
      <c r="P44" s="3"/>
      <c r="Q44" s="3"/>
      <c r="R44" s="3"/>
      <c r="S44" s="3"/>
      <c r="T44" s="3"/>
      <c r="U44" s="3"/>
      <c r="V44" s="3"/>
    </row>
    <row r="45" spans="1:22" s="69" customFormat="1" x14ac:dyDescent="0.3">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Tamoxifen-30,2µg/L</v>
      </c>
      <c r="J45" s="70" t="str">
        <f t="shared" si="46"/>
        <v>Tamoxifen-60,4µg/L</v>
      </c>
      <c r="K45" s="70" t="str">
        <f t="shared" si="46"/>
        <v>Tamoxifen-121µg/L</v>
      </c>
      <c r="L45" s="70" t="str">
        <f t="shared" si="46"/>
        <v>Tamoxifen-242µg/L</v>
      </c>
      <c r="M45" s="70" t="str">
        <f t="shared" si="46"/>
        <v>Tamoxifen-483µg/L</v>
      </c>
      <c r="N45" s="70" t="str">
        <f>N22</f>
        <v>Nom des groupes</v>
      </c>
      <c r="O45" s="70" t="str">
        <f t="shared" ref="O45:V45" si="47">O4</f>
        <v>Testo -30µg/L</v>
      </c>
      <c r="P45" s="70" t="str">
        <f t="shared" si="47"/>
        <v>Testo 30µg/L + EE2 -64ng/L</v>
      </c>
      <c r="Q45" s="70" t="str">
        <f t="shared" si="47"/>
        <v>Testo 30µg/L + FAD-10µg/L</v>
      </c>
      <c r="R45" s="70" t="str">
        <f t="shared" si="47"/>
        <v>Tamoxifen-30.2µg/L + Testostérone</v>
      </c>
      <c r="S45" s="70" t="str">
        <f t="shared" si="47"/>
        <v>Tamoxifen-60.4µg/L + Testostérone</v>
      </c>
      <c r="T45" s="70" t="str">
        <f t="shared" si="47"/>
        <v>Tamoxifen-121µg/L + Testostérone</v>
      </c>
      <c r="U45" s="70" t="str">
        <f t="shared" si="47"/>
        <v>Tamoxifen-242µg/L + Testostérone</v>
      </c>
      <c r="V45" s="70" t="str">
        <f t="shared" si="47"/>
        <v>Tamoxifen-483µg/L + Testostérone</v>
      </c>
    </row>
    <row r="46" spans="1:22" x14ac:dyDescent="0.3">
      <c r="A46" s="8" t="s">
        <v>0</v>
      </c>
      <c r="B46" s="10">
        <f t="shared" ref="B46:H46" si="48">AVERAGE(B28:B43)</f>
        <v>9.127741086839368E-2</v>
      </c>
      <c r="C46" s="10">
        <f t="shared" si="48"/>
        <v>0.14885287989897406</v>
      </c>
      <c r="D46" s="10">
        <f t="shared" si="48"/>
        <v>0.12992667550644299</v>
      </c>
      <c r="E46" s="10">
        <f t="shared" si="48"/>
        <v>0.39347097044128138</v>
      </c>
      <c r="F46" s="10">
        <f t="shared" si="48"/>
        <v>0.55599097510749351</v>
      </c>
      <c r="G46" s="10">
        <f t="shared" si="48"/>
        <v>0.96547339638709961</v>
      </c>
      <c r="H46" s="10">
        <f t="shared" si="48"/>
        <v>2.1999489353136843</v>
      </c>
      <c r="I46" s="10">
        <f>AVERAGE(I28:I43)</f>
        <v>9.597400621843323E-2</v>
      </c>
      <c r="J46" s="9">
        <f>AVERAGE(J28:J43)</f>
        <v>0.15418284749045122</v>
      </c>
      <c r="K46" s="9">
        <f>AVERAGE(K28:K43)</f>
        <v>7.3184886514727279E-2</v>
      </c>
      <c r="L46" s="9">
        <f t="shared" ref="L46:M46" si="49">AVERAGE(L28:L43)</f>
        <v>9.27374052020912E-2</v>
      </c>
      <c r="M46" s="9">
        <f t="shared" si="49"/>
        <v>0.27261450879402077</v>
      </c>
      <c r="N46" s="8" t="s">
        <v>0</v>
      </c>
      <c r="O46" s="10">
        <f>AVERAGE(O28:O43)</f>
        <v>1</v>
      </c>
      <c r="P46" s="10">
        <f>AVERAGE(P28:P43)</f>
        <v>1.6047871948653902</v>
      </c>
      <c r="Q46" s="10">
        <f>AVERAGE(Q28:Q43)</f>
        <v>0.12377890356139458</v>
      </c>
      <c r="R46" s="10">
        <f>AVERAGE(R28:R43)</f>
        <v>0.66754669549780188</v>
      </c>
      <c r="S46" s="10">
        <f t="shared" ref="S46:V46" si="50">AVERAGE(S28:S43)</f>
        <v>0.90164738328551053</v>
      </c>
      <c r="T46" s="10">
        <f t="shared" si="50"/>
        <v>1.0026716735541368</v>
      </c>
      <c r="U46" s="10">
        <f t="shared" si="50"/>
        <v>1.1951047850189334</v>
      </c>
      <c r="V46" s="10">
        <f t="shared" si="50"/>
        <v>0.65658881356547305</v>
      </c>
    </row>
    <row r="47" spans="1:22" x14ac:dyDescent="0.3">
      <c r="A47" s="8" t="s">
        <v>1</v>
      </c>
      <c r="B47" s="8">
        <f t="shared" ref="B47:K47" si="51">STDEV(B28:B43)</f>
        <v>5.8546387456389334E-2</v>
      </c>
      <c r="C47" s="8">
        <f t="shared" si="51"/>
        <v>9.0046301470840848E-2</v>
      </c>
      <c r="D47" s="8">
        <f t="shared" si="51"/>
        <v>0.12056289742095183</v>
      </c>
      <c r="E47" s="8">
        <f t="shared" si="51"/>
        <v>0.47793174477787576</v>
      </c>
      <c r="F47" s="8">
        <f t="shared" si="51"/>
        <v>0.43575554120668414</v>
      </c>
      <c r="G47" s="8">
        <f t="shared" si="51"/>
        <v>0.31664192764676852</v>
      </c>
      <c r="H47" s="8">
        <f t="shared" si="51"/>
        <v>0.79290072466435557</v>
      </c>
      <c r="I47" s="8">
        <f>STDEV(I28:I43)</f>
        <v>7.7998236380171102E-2</v>
      </c>
      <c r="J47" s="8">
        <f t="shared" si="51"/>
        <v>0.1430269660764372</v>
      </c>
      <c r="K47" s="8">
        <f t="shared" si="51"/>
        <v>4.0124100855982121E-2</v>
      </c>
      <c r="L47" s="8">
        <f t="shared" ref="L47:M47" si="52">STDEV(L28:L43)</f>
        <v>5.4725014913308556E-2</v>
      </c>
      <c r="M47" s="8">
        <f t="shared" si="52"/>
        <v>0.21296086339882925</v>
      </c>
      <c r="N47" s="8" t="s">
        <v>1</v>
      </c>
      <c r="O47" s="8">
        <f>STDEV(O28:O43)</f>
        <v>0.54905441289744494</v>
      </c>
      <c r="P47" s="8">
        <f>STDEV(P28:P43)</f>
        <v>0.54980487444205184</v>
      </c>
      <c r="Q47" s="8">
        <f>STDEV(Q28:Q43)</f>
        <v>7.4724885993810136E-2</v>
      </c>
      <c r="R47" s="8">
        <f>STDEV(R28:R43)</f>
        <v>0.39909791339229367</v>
      </c>
      <c r="S47" s="8">
        <f t="shared" ref="S47:V47" si="53">STDEV(S28:S43)</f>
        <v>0.44863578991167546</v>
      </c>
      <c r="T47" s="8">
        <f t="shared" si="53"/>
        <v>0.55847950095958032</v>
      </c>
      <c r="U47" s="8">
        <f t="shared" si="53"/>
        <v>0.64705247221554063</v>
      </c>
      <c r="V47" s="8">
        <f t="shared" si="53"/>
        <v>0.25819230332704496</v>
      </c>
    </row>
    <row r="48" spans="1:22" x14ac:dyDescent="0.3">
      <c r="A48" s="8" t="s">
        <v>2</v>
      </c>
      <c r="B48" s="8">
        <f t="shared" ref="B48:K48" si="54" xml:space="preserve"> B47/SQRT(COUNT(B28:B43))</f>
        <v>2.069927379219396E-2</v>
      </c>
      <c r="C48" s="8">
        <f t="shared" si="54"/>
        <v>3.1836175195399871E-2</v>
      </c>
      <c r="D48" s="8">
        <f t="shared" si="54"/>
        <v>4.2625421162926579E-2</v>
      </c>
      <c r="E48" s="8">
        <f t="shared" si="54"/>
        <v>0.16897438883837712</v>
      </c>
      <c r="F48" s="8">
        <f t="shared" si="54"/>
        <v>0.15406284906343018</v>
      </c>
      <c r="G48" s="8">
        <f t="shared" si="54"/>
        <v>0.11194982712350507</v>
      </c>
      <c r="H48" s="8">
        <f t="shared" si="54"/>
        <v>0.28033273960894672</v>
      </c>
      <c r="I48" s="8">
        <f xml:space="preserve"> I47/SQRT(COUNT(I28:I43))</f>
        <v>2.7576540932505125E-2</v>
      </c>
      <c r="J48" s="8">
        <f t="shared" si="54"/>
        <v>5.0567668802593516E-2</v>
      </c>
      <c r="K48" s="8">
        <f t="shared" si="54"/>
        <v>1.4186011902138956E-2</v>
      </c>
      <c r="L48" s="8">
        <f t="shared" ref="L48:M48" si="55" xml:space="preserve"> L47/SQRT(COUNT(L28:L43))</f>
        <v>2.0684111422130769E-2</v>
      </c>
      <c r="M48" s="8">
        <f t="shared" si="55"/>
        <v>7.5293035318327095E-2</v>
      </c>
      <c r="N48" s="8" t="s">
        <v>2</v>
      </c>
      <c r="O48" s="8">
        <f xml:space="preserve"> O47/SQRT(COUNT(O28:O43))</f>
        <v>0.13726360322436124</v>
      </c>
      <c r="P48" s="8">
        <f xml:space="preserve"> P47/SQRT(COUNT(P28:P43))</f>
        <v>0.19438537752369658</v>
      </c>
      <c r="Q48" s="8">
        <f xml:space="preserve"> Q47/SQRT(COUNT(Q28:Q43))</f>
        <v>2.824335215532503E-2</v>
      </c>
      <c r="R48" s="8">
        <f xml:space="preserve"> R47/SQRT(COUNT(R28:R43))</f>
        <v>0.15084483251440048</v>
      </c>
      <c r="S48" s="8">
        <f t="shared" ref="S48:V48" si="56" xml:space="preserve"> S47/SQRT(COUNT(S28:S43))</f>
        <v>0.15861670466476449</v>
      </c>
      <c r="T48" s="8">
        <f t="shared" si="56"/>
        <v>0.19745232114109909</v>
      </c>
      <c r="U48" s="8">
        <f t="shared" si="56"/>
        <v>0.22876759544356445</v>
      </c>
      <c r="V48" s="8">
        <f t="shared" si="56"/>
        <v>9.7587517862045087E-2</v>
      </c>
    </row>
    <row r="49" spans="1:22" s="1" customFormat="1"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7" t="s">
        <v>38</v>
      </c>
      <c r="B50" s="218"/>
      <c r="C50" s="218"/>
      <c r="D50" s="218"/>
      <c r="E50" s="218"/>
      <c r="F50" s="218"/>
      <c r="G50" s="218"/>
      <c r="H50" s="218"/>
      <c r="I50" s="218"/>
      <c r="J50" s="218"/>
      <c r="K50" s="218"/>
      <c r="L50" s="218"/>
      <c r="M50" s="218"/>
      <c r="N50" s="218"/>
      <c r="O50" s="218"/>
      <c r="P50" s="218"/>
      <c r="Q50" s="218"/>
      <c r="R50" s="218"/>
      <c r="S50" s="218"/>
      <c r="T50" s="218"/>
      <c r="U50" s="218"/>
      <c r="V50" s="218"/>
    </row>
    <row r="51" spans="1:22" ht="15" thickBot="1" x14ac:dyDescent="0.35">
      <c r="A51"/>
      <c r="B51"/>
      <c r="C51"/>
      <c r="D51"/>
      <c r="E51"/>
      <c r="F51"/>
      <c r="G51"/>
      <c r="H51"/>
      <c r="I51"/>
      <c r="J51"/>
      <c r="K51"/>
      <c r="L51"/>
      <c r="M51"/>
      <c r="S51"/>
      <c r="T51"/>
      <c r="U51"/>
      <c r="V51"/>
    </row>
    <row r="52" spans="1:22" x14ac:dyDescent="0.3">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Tamoxifen-30,2µg/L</v>
      </c>
      <c r="J52" s="46" t="str">
        <f>J4</f>
        <v>Tamoxifen-60,4µg/L</v>
      </c>
      <c r="K52" s="46" t="str">
        <f>K27</f>
        <v>Tamoxifen-121µg/L</v>
      </c>
      <c r="L52" s="46" t="str">
        <f t="shared" ref="L52:M52" si="58">L27</f>
        <v>Tamoxifen-242µg/L</v>
      </c>
      <c r="M52" s="46" t="str">
        <f t="shared" si="58"/>
        <v>Tamoxifen-483µg/L</v>
      </c>
      <c r="N52" s="47"/>
      <c r="O52" s="46" t="str">
        <f>O27</f>
        <v>Testo -30µg/L</v>
      </c>
      <c r="P52" s="46" t="str">
        <f>P27</f>
        <v>Testo 30µg/L + EE2 -64ng/L</v>
      </c>
      <c r="Q52" s="46" t="str">
        <f>Q27</f>
        <v>Testo 30µg/L + FAD-10µg/L</v>
      </c>
      <c r="R52" s="46" t="str">
        <f>R27</f>
        <v>Tamoxifen-30.2µg/L + Testostérone</v>
      </c>
      <c r="S52" s="46" t="str">
        <f t="shared" ref="S52:V52" si="59">S27</f>
        <v>Tamoxifen-60.4µg/L + Testostérone</v>
      </c>
      <c r="T52" s="46" t="str">
        <f t="shared" si="59"/>
        <v>Tamoxifen-121µg/L + Testostérone</v>
      </c>
      <c r="U52" s="46" t="str">
        <f t="shared" si="59"/>
        <v>Tamoxifen-242µg/L + Testostérone</v>
      </c>
      <c r="V52" s="46" t="str">
        <f t="shared" si="59"/>
        <v>Tamoxifen-483µg/L + Testostérone</v>
      </c>
    </row>
    <row r="53" spans="1:22" s="3" customFormat="1" x14ac:dyDescent="0.3">
      <c r="A53" s="61" t="s">
        <v>32</v>
      </c>
      <c r="B53" s="141">
        <f t="shared" ref="B53:M53" si="60">B46</f>
        <v>9.127741086839368E-2</v>
      </c>
      <c r="C53" s="141">
        <f t="shared" si="60"/>
        <v>0.14885287989897406</v>
      </c>
      <c r="D53" s="141">
        <f t="shared" si="60"/>
        <v>0.12992667550644299</v>
      </c>
      <c r="E53" s="141">
        <f t="shared" si="60"/>
        <v>0.39347097044128138</v>
      </c>
      <c r="F53" s="141">
        <f t="shared" si="60"/>
        <v>0.55599097510749351</v>
      </c>
      <c r="G53" s="141">
        <f t="shared" si="60"/>
        <v>0.96547339638709961</v>
      </c>
      <c r="H53" s="141">
        <f t="shared" si="60"/>
        <v>2.1999489353136843</v>
      </c>
      <c r="I53" s="141">
        <f t="shared" si="60"/>
        <v>9.597400621843323E-2</v>
      </c>
      <c r="J53" s="141">
        <f t="shared" si="60"/>
        <v>0.15418284749045122</v>
      </c>
      <c r="K53" s="141">
        <f t="shared" si="60"/>
        <v>7.3184886514727279E-2</v>
      </c>
      <c r="L53" s="141">
        <f t="shared" si="60"/>
        <v>9.27374052020912E-2</v>
      </c>
      <c r="M53" s="141">
        <f t="shared" si="60"/>
        <v>0.27261450879402077</v>
      </c>
      <c r="N53" s="141"/>
      <c r="O53" s="141">
        <f t="shared" ref="O53:V53" si="61">O46</f>
        <v>1</v>
      </c>
      <c r="P53" s="141">
        <f t="shared" si="61"/>
        <v>1.6047871948653902</v>
      </c>
      <c r="Q53" s="141">
        <f t="shared" si="61"/>
        <v>0.12377890356139458</v>
      </c>
      <c r="R53" s="141">
        <f t="shared" si="61"/>
        <v>0.66754669549780188</v>
      </c>
      <c r="S53" s="141">
        <f t="shared" si="61"/>
        <v>0.90164738328551053</v>
      </c>
      <c r="T53" s="141">
        <f t="shared" si="61"/>
        <v>1.0026716735541368</v>
      </c>
      <c r="U53" s="141">
        <f t="shared" si="61"/>
        <v>1.1951047850189334</v>
      </c>
      <c r="V53" s="141">
        <f t="shared" si="61"/>
        <v>0.65658881356547305</v>
      </c>
    </row>
    <row r="54" spans="1:22" s="3" customFormat="1" x14ac:dyDescent="0.3">
      <c r="A54" s="61" t="s">
        <v>2</v>
      </c>
      <c r="B54" s="141">
        <f t="shared" ref="B54:M54" si="62">B48</f>
        <v>2.069927379219396E-2</v>
      </c>
      <c r="C54" s="141">
        <f t="shared" si="62"/>
        <v>3.1836175195399871E-2</v>
      </c>
      <c r="D54" s="141">
        <f t="shared" si="62"/>
        <v>4.2625421162926579E-2</v>
      </c>
      <c r="E54" s="141">
        <f t="shared" si="62"/>
        <v>0.16897438883837712</v>
      </c>
      <c r="F54" s="141">
        <f t="shared" si="62"/>
        <v>0.15406284906343018</v>
      </c>
      <c r="G54" s="141">
        <f t="shared" si="62"/>
        <v>0.11194982712350507</v>
      </c>
      <c r="H54" s="141">
        <f t="shared" si="62"/>
        <v>0.28033273960894672</v>
      </c>
      <c r="I54" s="141">
        <f t="shared" si="62"/>
        <v>2.7576540932505125E-2</v>
      </c>
      <c r="J54" s="141">
        <f t="shared" si="62"/>
        <v>5.0567668802593516E-2</v>
      </c>
      <c r="K54" s="141">
        <f t="shared" si="62"/>
        <v>1.4186011902138956E-2</v>
      </c>
      <c r="L54" s="141">
        <f t="shared" si="62"/>
        <v>2.0684111422130769E-2</v>
      </c>
      <c r="M54" s="141">
        <f t="shared" si="62"/>
        <v>7.5293035318327095E-2</v>
      </c>
      <c r="N54" s="141"/>
      <c r="O54" s="141">
        <f t="shared" ref="O54:V54" si="63">O48</f>
        <v>0.13726360322436124</v>
      </c>
      <c r="P54" s="141">
        <f t="shared" si="63"/>
        <v>0.19438537752369658</v>
      </c>
      <c r="Q54" s="141">
        <f t="shared" si="63"/>
        <v>2.824335215532503E-2</v>
      </c>
      <c r="R54" s="141">
        <f t="shared" si="63"/>
        <v>0.15084483251440048</v>
      </c>
      <c r="S54" s="141">
        <f t="shared" si="63"/>
        <v>0.15861670466476449</v>
      </c>
      <c r="T54" s="141">
        <f t="shared" si="63"/>
        <v>0.19745232114109909</v>
      </c>
      <c r="U54" s="141">
        <f t="shared" si="63"/>
        <v>0.22876759544356445</v>
      </c>
      <c r="V54" s="141">
        <f t="shared" si="63"/>
        <v>9.7587517862045087E-2</v>
      </c>
    </row>
    <row r="55" spans="1:22" s="3" customFormat="1" x14ac:dyDescent="0.3">
      <c r="A55" s="61" t="s">
        <v>79</v>
      </c>
      <c r="B55" s="141">
        <f t="shared" ref="B55:M55" si="64">(B53*100/$B$53)-100</f>
        <v>0</v>
      </c>
      <c r="C55" s="141">
        <f t="shared" si="64"/>
        <v>63.077456385780152</v>
      </c>
      <c r="D55" s="141">
        <f t="shared" si="64"/>
        <v>42.342639071757731</v>
      </c>
      <c r="E55" s="141">
        <f t="shared" si="64"/>
        <v>331.07157258064524</v>
      </c>
      <c r="F55" s="141">
        <f t="shared" si="64"/>
        <v>509.12220210664918</v>
      </c>
      <c r="G55" s="141">
        <f t="shared" si="64"/>
        <v>957.7353007735353</v>
      </c>
      <c r="H55" s="141">
        <f t="shared" si="64"/>
        <v>2310.178941737986</v>
      </c>
      <c r="I55" s="141">
        <f t="shared" si="64"/>
        <v>5.1454081632653299</v>
      </c>
      <c r="J55" s="141">
        <f t="shared" si="64"/>
        <v>68.916762672811075</v>
      </c>
      <c r="K55" s="141">
        <f t="shared" si="64"/>
        <v>-19.821469716919026</v>
      </c>
      <c r="L55" s="141">
        <f t="shared" si="64"/>
        <v>1.5995133076272054</v>
      </c>
      <c r="M55" s="141">
        <f t="shared" si="64"/>
        <v>198.6659089038842</v>
      </c>
      <c r="N55" s="141"/>
      <c r="O55" s="141">
        <f>(O53*100/$O$53)-100</f>
        <v>0</v>
      </c>
      <c r="P55" s="141">
        <f t="shared" ref="P55:V55" si="65">(P53*100/$O$53)-100</f>
        <v>60.478719486539035</v>
      </c>
      <c r="Q55" s="141">
        <f t="shared" si="65"/>
        <v>-87.62210964386054</v>
      </c>
      <c r="R55" s="141">
        <f t="shared" si="65"/>
        <v>-33.245330450219811</v>
      </c>
      <c r="S55" s="141">
        <f t="shared" si="65"/>
        <v>-9.8352616714489471</v>
      </c>
      <c r="T55" s="141">
        <f t="shared" si="65"/>
        <v>0.26716735541367598</v>
      </c>
      <c r="U55" s="141">
        <f t="shared" si="65"/>
        <v>19.510478501893331</v>
      </c>
      <c r="V55" s="141">
        <f t="shared" si="65"/>
        <v>-34.341118643452688</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t="shared" ref="B57:M57" ca="1" si="66">IF(B56&gt;0.05,"Oui","Non")</f>
        <v>#NAME?</v>
      </c>
      <c r="C57" s="141" t="e">
        <f t="shared" ca="1" si="66"/>
        <v>#NAME?</v>
      </c>
      <c r="D57" s="141" t="e">
        <f t="shared" ca="1" si="66"/>
        <v>#NAME?</v>
      </c>
      <c r="E57" s="141" t="e">
        <f t="shared" ca="1" si="66"/>
        <v>#NAME?</v>
      </c>
      <c r="F57" s="141" t="e">
        <f t="shared" ca="1" si="66"/>
        <v>#NAME?</v>
      </c>
      <c r="G57" s="141" t="e">
        <f t="shared" ca="1" si="66"/>
        <v>#NAME?</v>
      </c>
      <c r="H57" s="141" t="e">
        <f t="shared" ca="1" si="66"/>
        <v>#NAME?</v>
      </c>
      <c r="I57" s="141" t="e">
        <f t="shared" ca="1" si="66"/>
        <v>#NAME?</v>
      </c>
      <c r="J57" s="141" t="e">
        <f t="shared" ca="1" si="66"/>
        <v>#NAME?</v>
      </c>
      <c r="K57" s="141" t="e">
        <f t="shared" ca="1" si="66"/>
        <v>#NAME?</v>
      </c>
      <c r="L57" s="141" t="e">
        <f t="shared" ca="1" si="66"/>
        <v>#NAME?</v>
      </c>
      <c r="M57" s="141" t="e">
        <f t="shared" ca="1" si="66"/>
        <v>#NAME?</v>
      </c>
      <c r="N57" s="141"/>
      <c r="O57" s="141" t="e">
        <f t="shared" ref="O57:V57" ca="1" si="67">IF(O56&gt;0.05,"Oui","Non")</f>
        <v>#NAME?</v>
      </c>
      <c r="P57" s="141" t="e">
        <f t="shared" ca="1" si="67"/>
        <v>#NAME?</v>
      </c>
      <c r="Q57" s="141" t="e">
        <f t="shared" ca="1" si="67"/>
        <v>#NAME?</v>
      </c>
      <c r="R57" s="141" t="e">
        <f t="shared" ca="1" si="67"/>
        <v>#NAME?</v>
      </c>
      <c r="S57" s="141" t="e">
        <f t="shared" ca="1" si="67"/>
        <v>#NAME?</v>
      </c>
      <c r="T57" s="141" t="e">
        <f t="shared" ca="1" si="67"/>
        <v>#NAME?</v>
      </c>
      <c r="U57" s="141" t="e">
        <f t="shared" ca="1" si="67"/>
        <v>#NAME?</v>
      </c>
      <c r="V57" s="141" t="e">
        <f t="shared" ca="1" si="67"/>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s">
        <v>1703</v>
      </c>
      <c r="D59" s="150" t="s">
        <v>1703</v>
      </c>
      <c r="E59" s="150" t="s">
        <v>1703</v>
      </c>
      <c r="F59" s="150" t="s">
        <v>1703</v>
      </c>
      <c r="G59" s="150" t="s">
        <v>1703</v>
      </c>
      <c r="H59" s="150" t="s">
        <v>1703</v>
      </c>
      <c r="I59" s="150" t="s">
        <v>1704</v>
      </c>
      <c r="J59" s="150" t="s">
        <v>1704</v>
      </c>
      <c r="K59" s="150" t="s">
        <v>1704</v>
      </c>
      <c r="L59" s="150" t="s">
        <v>1704</v>
      </c>
      <c r="M59" s="150" t="s">
        <v>1704</v>
      </c>
      <c r="N59" s="150"/>
      <c r="O59" s="150" t="e">
        <f ca="1">IF($B57="Non",IF(O$57="Non","Mann Withney",IF(O$57="Oui","Mann Withney","")),IF($B$57="Oui",IF(O$57="Oui","T-Test Welch",IF(O$57="Non","Mann Withney",""))))</f>
        <v>#NAME?</v>
      </c>
      <c r="P59" s="150" t="e">
        <f ca="1">IF($O57="Non",IF(P$57="Non","Mann Withney",IF(P$57="Oui","Mann Withney","")),IF($O$57="Oui",IF(P$57="Oui","T-Test Welch",IF(P$57="Non","Mann Withney",""))))</f>
        <v>#NAME?</v>
      </c>
      <c r="Q59" s="150" t="e">
        <f t="shared" ref="Q59" ca="1" si="68">IF($O57="Non",IF(Q$57="Non","Mann Withney",IF(Q$57="Oui","Mann Withney","")),IF($O$57="Oui",IF(Q$57="Oui","T-Test Welch",IF(Q$57="Non","Mann Withney",""))))</f>
        <v>#NAME?</v>
      </c>
      <c r="R59" s="150" t="s">
        <v>1704</v>
      </c>
      <c r="S59" s="150" t="s">
        <v>1704</v>
      </c>
      <c r="T59" s="150" t="s">
        <v>1704</v>
      </c>
      <c r="U59" s="150" t="s">
        <v>1704</v>
      </c>
      <c r="V59" s="150" t="s">
        <v>1704</v>
      </c>
    </row>
    <row r="60" spans="1:22" s="3" customFormat="1" ht="15.6" x14ac:dyDescent="0.3">
      <c r="A60" s="61" t="s">
        <v>83</v>
      </c>
      <c r="B60" s="151"/>
      <c r="C60" s="196">
        <v>0.99990000000000001</v>
      </c>
      <c r="D60" s="196">
        <v>0.99990000000000001</v>
      </c>
      <c r="E60" s="196">
        <v>0.38179999999999997</v>
      </c>
      <c r="F60" s="196">
        <v>1.95E-2</v>
      </c>
      <c r="G60" s="196">
        <v>1.1999999999999999E-3</v>
      </c>
      <c r="H60" s="196">
        <v>1E-4</v>
      </c>
      <c r="I60" s="196">
        <v>0.99990000000000001</v>
      </c>
      <c r="J60" s="196">
        <v>0.7208</v>
      </c>
      <c r="K60" s="196">
        <v>0.998</v>
      </c>
      <c r="L60" s="196">
        <v>0.99990000000000001</v>
      </c>
      <c r="M60" s="196">
        <v>1.46E-2</v>
      </c>
      <c r="N60" s="151"/>
      <c r="O60" s="196">
        <v>1E-4</v>
      </c>
      <c r="P60" s="196">
        <v>2.3400000000000001E-2</v>
      </c>
      <c r="Q60" s="196">
        <v>1E-4</v>
      </c>
      <c r="R60" s="196">
        <v>0.46729999999999999</v>
      </c>
      <c r="S60" s="196">
        <v>0.98939999999999995</v>
      </c>
      <c r="T60" s="196">
        <v>0.99990000000000001</v>
      </c>
      <c r="U60" s="196">
        <v>0.84370000000000001</v>
      </c>
      <c r="V60" s="196">
        <v>0.43640000000000001</v>
      </c>
    </row>
    <row r="61" spans="1:22" s="3" customFormat="1" ht="15" thickBot="1" x14ac:dyDescent="0.35">
      <c r="A61" s="62" t="s">
        <v>84</v>
      </c>
      <c r="B61" s="142"/>
      <c r="C61" s="142" t="str">
        <f t="shared" ref="C61:M61" si="69">IF(C60&gt;0.05,"NS",IF(C60&gt;0.01,"*",IF(C60&gt;0.001,"**","***")))</f>
        <v>NS</v>
      </c>
      <c r="D61" s="142" t="str">
        <f t="shared" si="69"/>
        <v>NS</v>
      </c>
      <c r="E61" s="142" t="str">
        <f t="shared" si="69"/>
        <v>NS</v>
      </c>
      <c r="F61" s="142" t="str">
        <f t="shared" si="69"/>
        <v>*</v>
      </c>
      <c r="G61" s="142" t="str">
        <f t="shared" si="69"/>
        <v>**</v>
      </c>
      <c r="H61" s="142" t="str">
        <f t="shared" si="69"/>
        <v>***</v>
      </c>
      <c r="I61" s="142" t="str">
        <f t="shared" si="69"/>
        <v>NS</v>
      </c>
      <c r="J61" s="142" t="str">
        <f t="shared" si="69"/>
        <v>NS</v>
      </c>
      <c r="K61" s="142" t="str">
        <f t="shared" si="69"/>
        <v>NS</v>
      </c>
      <c r="L61" s="142" t="str">
        <f t="shared" si="69"/>
        <v>NS</v>
      </c>
      <c r="M61" s="142" t="str">
        <f t="shared" si="69"/>
        <v>*</v>
      </c>
      <c r="N61" s="142"/>
      <c r="O61" s="142" t="str">
        <f>IF(O60&gt;0.05,"NS",IF(O60&gt;0.01,"*",IF(O60&gt;0.001,"**","***")))</f>
        <v>***</v>
      </c>
      <c r="P61" s="142" t="str">
        <f>IF(P60&gt;0.05,"NS",IF(P60&gt;0.01,"*",IF(P60&gt;0.001,"**","***")))</f>
        <v>*</v>
      </c>
      <c r="Q61" s="142" t="str">
        <f t="shared" ref="Q61" si="70">IF(Q60&gt;0.05,"NS",IF(Q60&gt;0.01,"*",IF(Q60&gt;0.001,"**","***")))</f>
        <v>***</v>
      </c>
      <c r="R61" s="142" t="str">
        <f t="shared" ref="R61" si="71">IF(R60&gt;0.05,"NS",IF(R60&gt;0.01,"*",IF(R60&gt;0.001,"**","***")))</f>
        <v>NS</v>
      </c>
      <c r="S61" s="142" t="str">
        <f t="shared" ref="S61" si="72">IF(S60&gt;0.05,"NS",IF(S60&gt;0.01,"*",IF(S60&gt;0.001,"**","***")))</f>
        <v>NS</v>
      </c>
      <c r="T61" s="142" t="str">
        <f t="shared" ref="T61" si="73">IF(T60&gt;0.05,"NS",IF(T60&gt;0.01,"*",IF(T60&gt;0.001,"**","***")))</f>
        <v>NS</v>
      </c>
      <c r="U61" s="142" t="str">
        <f t="shared" ref="U61" si="74">IF(U60&gt;0.05,"NS",IF(U60&gt;0.01,"*",IF(U60&gt;0.001,"**","***")))</f>
        <v>NS</v>
      </c>
      <c r="V61" s="142" t="str">
        <f t="shared" ref="V61" si="75">IF(V60&gt;0.05,"NS",IF(V60&gt;0.01,"*",IF(V60&gt;0.001,"**","***")))</f>
        <v>NS</v>
      </c>
    </row>
    <row r="63" spans="1:22" x14ac:dyDescent="0.3">
      <c r="A63" s="2" t="s">
        <v>39</v>
      </c>
    </row>
    <row r="64" spans="1:22" x14ac:dyDescent="0.3">
      <c r="A64" s="1" t="s">
        <v>23</v>
      </c>
      <c r="B64" s="1">
        <f>B46+(3*B47)</f>
        <v>0.26691657323756168</v>
      </c>
    </row>
    <row r="65" spans="1:22" x14ac:dyDescent="0.3">
      <c r="A65" s="1" t="s">
        <v>24</v>
      </c>
      <c r="B65" s="1">
        <f>B46+(10*B47)</f>
        <v>0.67674128543228707</v>
      </c>
    </row>
    <row r="66" spans="1:22" ht="15" thickBot="1" x14ac:dyDescent="0.35"/>
    <row r="67" spans="1:22" s="1" customFormat="1" ht="26.4" thickBot="1" x14ac:dyDescent="0.55000000000000004">
      <c r="A67" s="217" t="s">
        <v>52</v>
      </c>
      <c r="B67" s="218"/>
      <c r="C67" s="218"/>
      <c r="D67" s="218"/>
      <c r="E67" s="218"/>
      <c r="F67" s="218"/>
      <c r="G67" s="218"/>
      <c r="H67" s="218"/>
      <c r="I67" s="218"/>
      <c r="J67" s="218"/>
      <c r="K67" s="218"/>
      <c r="L67" s="218"/>
      <c r="M67" s="218"/>
      <c r="N67" s="218"/>
      <c r="O67" s="218"/>
      <c r="P67" s="218"/>
      <c r="Q67" s="218"/>
      <c r="R67" s="218"/>
      <c r="S67" s="218"/>
      <c r="T67" s="218"/>
      <c r="U67" s="218"/>
      <c r="V67" s="218"/>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I70" s="196"/>
      <c r="N70" s="12"/>
      <c r="O70" s="12"/>
      <c r="P70" s="12"/>
      <c r="Q70" s="12"/>
      <c r="R70" s="196"/>
      <c r="S70" s="12"/>
      <c r="T70" s="12"/>
      <c r="U70" s="12"/>
      <c r="V70" s="12"/>
    </row>
    <row r="71" spans="1:22" ht="16.8" x14ac:dyDescent="0.3">
      <c r="A71" s="12"/>
      <c r="B71" s="12"/>
      <c r="C71" s="12"/>
      <c r="D71" s="196"/>
      <c r="E71" s="12"/>
      <c r="F71" s="12"/>
      <c r="I71" s="196"/>
      <c r="N71" s="12"/>
      <c r="O71" s="12"/>
      <c r="P71" s="12"/>
      <c r="Q71" s="12"/>
      <c r="R71" s="196"/>
      <c r="S71" s="12"/>
      <c r="T71" s="12"/>
      <c r="U71" s="12"/>
      <c r="V71" s="12"/>
    </row>
    <row r="72" spans="1:22" ht="16.8" x14ac:dyDescent="0.3">
      <c r="A72" s="12"/>
      <c r="B72" s="12"/>
      <c r="C72" s="12"/>
      <c r="D72" s="196"/>
      <c r="E72" s="12"/>
      <c r="F72" s="12"/>
      <c r="I72" s="196"/>
      <c r="N72" s="12"/>
      <c r="O72" s="12"/>
      <c r="P72" s="12"/>
      <c r="Q72" s="12"/>
      <c r="R72" s="196"/>
      <c r="S72" s="12"/>
      <c r="T72" s="12"/>
      <c r="U72" s="12"/>
      <c r="V72" s="12"/>
    </row>
    <row r="73" spans="1:22" ht="16.8" x14ac:dyDescent="0.3">
      <c r="A73" s="12"/>
      <c r="B73" s="12"/>
      <c r="C73" s="12"/>
      <c r="D73" s="196"/>
      <c r="E73" s="12"/>
      <c r="F73" s="12"/>
      <c r="I73" s="196"/>
      <c r="N73" s="12"/>
      <c r="O73" s="12"/>
      <c r="P73" s="12"/>
      <c r="Q73" s="12"/>
      <c r="R73" s="196"/>
      <c r="S73" s="12"/>
      <c r="T73" s="12"/>
      <c r="U73" s="12"/>
      <c r="V73" s="12"/>
    </row>
    <row r="74" spans="1:22" ht="16.8" x14ac:dyDescent="0.3">
      <c r="A74" s="12"/>
      <c r="B74" s="12"/>
      <c r="C74" s="12"/>
      <c r="D74" s="196"/>
      <c r="E74" s="12"/>
      <c r="F74" s="12"/>
      <c r="I74" s="196"/>
      <c r="N74" s="12"/>
      <c r="O74" s="12"/>
      <c r="P74" s="12"/>
      <c r="Q74" s="12"/>
      <c r="R74" s="196"/>
      <c r="S74" s="12"/>
      <c r="T74" s="12"/>
      <c r="U74" s="12"/>
      <c r="V74" s="12"/>
    </row>
    <row r="75" spans="1:22" ht="15.6" x14ac:dyDescent="0.3">
      <c r="D75" s="196"/>
    </row>
    <row r="76" spans="1:22" ht="15.6" x14ac:dyDescent="0.3">
      <c r="D76" s="196"/>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K1" zoomScale="80" zoomScaleNormal="80" workbookViewId="0">
      <selection activeCell="Z5" sqref="Z5:AF12"/>
    </sheetView>
  </sheetViews>
  <sheetFormatPr defaultColWidth="11.44140625" defaultRowHeight="14.4" x14ac:dyDescent="0.3"/>
  <cols>
    <col min="1" max="2" width="15" style="1" customWidth="1"/>
    <col min="3" max="3" width="25.44140625" style="1" customWidth="1"/>
    <col min="4" max="4" width="14" style="1" customWidth="1"/>
    <col min="5" max="5" width="21.109375" style="1" customWidth="1"/>
    <col min="6" max="6" width="11.44140625" style="1"/>
    <col min="7" max="7" width="21.44140625" style="1" customWidth="1"/>
    <col min="8" max="8" width="12.33203125" style="1" customWidth="1"/>
    <col min="9" max="9" width="17.109375" style="1" customWidth="1"/>
    <col min="10" max="10" width="11.44140625" style="1"/>
    <col min="11" max="11" width="37.44140625" style="1" bestFit="1" customWidth="1"/>
    <col min="12" max="12" width="38.44140625" style="1" bestFit="1" customWidth="1"/>
    <col min="13" max="14" width="12.88671875" style="1" customWidth="1"/>
    <col min="15" max="25" width="12.3320312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J1" s="1" t="s">
        <v>1669</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01 Témoins solvant</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1705</v>
      </c>
      <c r="D2" s="1" t="s">
        <v>1706</v>
      </c>
      <c r="E2" s="1" t="s">
        <v>1707</v>
      </c>
      <c r="F2" s="1" t="s">
        <v>112</v>
      </c>
      <c r="G2" s="1">
        <v>60261</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01 Témoins solvant</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1708</v>
      </c>
      <c r="D3" s="1" t="s">
        <v>1706</v>
      </c>
      <c r="E3" s="1" t="s">
        <v>1709</v>
      </c>
      <c r="F3" s="1" t="s">
        <v>112</v>
      </c>
      <c r="G3" s="1">
        <v>59634</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01 Témoins solvant</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1710</v>
      </c>
      <c r="D4" s="1" t="s">
        <v>1711</v>
      </c>
      <c r="E4" s="1" t="s">
        <v>1712</v>
      </c>
      <c r="F4" s="1" t="s">
        <v>112</v>
      </c>
      <c r="G4" s="1">
        <v>76289</v>
      </c>
      <c r="K4" s="118" t="s">
        <v>100</v>
      </c>
      <c r="L4" s="1" t="s">
        <v>1670</v>
      </c>
      <c r="M4" s="1" t="s">
        <v>1671</v>
      </c>
      <c r="N4" s="1" t="s">
        <v>1672</v>
      </c>
      <c r="O4" s="1" t="s">
        <v>1673</v>
      </c>
      <c r="P4" s="1" t="s">
        <v>1674</v>
      </c>
      <c r="Q4" s="1" t="s">
        <v>1675</v>
      </c>
      <c r="R4" s="1" t="s">
        <v>1676</v>
      </c>
      <c r="S4" s="1" t="s">
        <v>1677</v>
      </c>
      <c r="T4" s="1" t="s">
        <v>1678</v>
      </c>
      <c r="U4" s="1" t="s">
        <v>1679</v>
      </c>
      <c r="V4" s="1" t="s">
        <v>1680</v>
      </c>
      <c r="W4" s="1" t="s">
        <v>1681</v>
      </c>
      <c r="X4" s="1" t="s">
        <v>1682</v>
      </c>
      <c r="Y4" s="1" t="s">
        <v>1683</v>
      </c>
      <c r="Z4" s="1" t="s">
        <v>1684</v>
      </c>
      <c r="AA4" s="1" t="s">
        <v>1685</v>
      </c>
      <c r="AB4" s="1" t="s">
        <v>1686</v>
      </c>
      <c r="AC4" s="1" t="s">
        <v>1687</v>
      </c>
      <c r="AD4" s="1" t="s">
        <v>1688</v>
      </c>
      <c r="AE4" s="1" t="s">
        <v>1689</v>
      </c>
      <c r="AF4" s="1" t="s">
        <v>1690</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01 Témoins solvant</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1713</v>
      </c>
      <c r="D5" s="1" t="s">
        <v>455</v>
      </c>
      <c r="E5" s="1" t="s">
        <v>1714</v>
      </c>
      <c r="F5" s="1" t="s">
        <v>112</v>
      </c>
      <c r="G5" s="1">
        <v>335826</v>
      </c>
      <c r="K5" s="145" t="s">
        <v>163</v>
      </c>
      <c r="L5" s="44">
        <v>65394.666666666664</v>
      </c>
      <c r="M5" s="44">
        <v>40087.333333333336</v>
      </c>
      <c r="N5" s="44">
        <v>75726</v>
      </c>
      <c r="O5" s="44">
        <v>279876.33333333331</v>
      </c>
      <c r="P5" s="44">
        <v>898058.66666666663</v>
      </c>
      <c r="Q5" s="44">
        <v>3863798.3333333335</v>
      </c>
      <c r="R5" s="44">
        <v>6722729.666666667</v>
      </c>
      <c r="S5" s="44">
        <v>107652</v>
      </c>
      <c r="T5" s="44">
        <v>66324.333333333328</v>
      </c>
      <c r="U5" s="44">
        <v>143276.33333333334</v>
      </c>
      <c r="V5" s="44">
        <v>331118</v>
      </c>
      <c r="W5" s="44">
        <v>953575.66666666663</v>
      </c>
      <c r="X5" s="44">
        <v>2585032</v>
      </c>
      <c r="Y5" s="44">
        <v>2333295.6666666665</v>
      </c>
      <c r="Z5" s="44">
        <v>2053960.3333333333</v>
      </c>
      <c r="AA5" s="44">
        <v>430831.66666666669</v>
      </c>
      <c r="AB5" s="44">
        <v>3233417</v>
      </c>
      <c r="AC5" s="44">
        <v>631578.33333333337</v>
      </c>
      <c r="AD5" s="44">
        <v>2036829.3333333333</v>
      </c>
      <c r="AE5" s="44">
        <v>1658457.6666666667</v>
      </c>
      <c r="AF5" s="44">
        <v>3412970</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01 Témoins solvant</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1715</v>
      </c>
      <c r="D6" s="1" t="s">
        <v>896</v>
      </c>
      <c r="E6" s="1" t="s">
        <v>1716</v>
      </c>
      <c r="F6" s="1" t="s">
        <v>112</v>
      </c>
      <c r="G6" s="1">
        <v>94177</v>
      </c>
      <c r="K6" s="145" t="s">
        <v>1691</v>
      </c>
      <c r="L6" s="44">
        <v>183659.66666666666</v>
      </c>
      <c r="M6" s="44">
        <v>153918</v>
      </c>
      <c r="N6" s="44">
        <v>165043</v>
      </c>
      <c r="O6" s="44">
        <v>216234</v>
      </c>
      <c r="P6" s="44">
        <v>2641118</v>
      </c>
      <c r="Q6" s="44">
        <v>3534469</v>
      </c>
      <c r="R6" s="44">
        <v>5469782.333333333</v>
      </c>
      <c r="S6" s="44">
        <v>44759.333333333336</v>
      </c>
      <c r="T6" s="44">
        <v>60953</v>
      </c>
      <c r="U6" s="44">
        <v>95099.333333333328</v>
      </c>
      <c r="V6" s="44">
        <v>99454.333333333328</v>
      </c>
      <c r="W6" s="44">
        <v>1002084.3333333334</v>
      </c>
      <c r="X6" s="44">
        <v>2909905.6666666665</v>
      </c>
      <c r="Y6" s="44">
        <v>673526</v>
      </c>
      <c r="Z6" s="44">
        <v>1627829.6666666667</v>
      </c>
      <c r="AA6" s="44">
        <v>64954.333333333336</v>
      </c>
      <c r="AB6" s="44">
        <v>2861534</v>
      </c>
      <c r="AC6" s="44">
        <v>167516.33333333334</v>
      </c>
      <c r="AD6" s="44">
        <v>2337081.3333333335</v>
      </c>
      <c r="AE6" s="44">
        <v>970216</v>
      </c>
      <c r="AF6" s="44">
        <v>2033549</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01 Témoins solvant</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1717</v>
      </c>
      <c r="D7" s="1" t="s">
        <v>882</v>
      </c>
      <c r="E7" s="1" t="s">
        <v>1718</v>
      </c>
      <c r="F7" s="1" t="s">
        <v>112</v>
      </c>
      <c r="G7" s="1">
        <v>120976</v>
      </c>
      <c r="K7" s="145" t="s">
        <v>1692</v>
      </c>
      <c r="L7" s="44">
        <v>51695.666666666664</v>
      </c>
      <c r="M7" s="44">
        <v>49532.666666666664</v>
      </c>
      <c r="N7" s="44">
        <v>172058.33333333334</v>
      </c>
      <c r="O7" s="44">
        <v>952386</v>
      </c>
      <c r="P7" s="44">
        <v>933870.5</v>
      </c>
      <c r="Q7" s="44">
        <v>1563776.3333333333</v>
      </c>
      <c r="R7" s="44">
        <v>2254837.3333333335</v>
      </c>
      <c r="S7" s="44">
        <v>50686</v>
      </c>
      <c r="T7" s="44">
        <v>183082.33333333334</v>
      </c>
      <c r="U7" s="44">
        <v>193544.33333333334</v>
      </c>
      <c r="V7" s="44">
        <v>258304</v>
      </c>
      <c r="W7" s="44">
        <v>1641363</v>
      </c>
      <c r="X7" s="44">
        <v>1449621</v>
      </c>
      <c r="Y7" s="44">
        <v>1826615.6666666667</v>
      </c>
      <c r="Z7" s="44">
        <v>3634572</v>
      </c>
      <c r="AA7" s="44">
        <v>206529.33333333334</v>
      </c>
      <c r="AB7" s="44">
        <v>1630483</v>
      </c>
      <c r="AC7" s="44">
        <v>991665.66666666663</v>
      </c>
      <c r="AD7" s="44">
        <v>508994.5</v>
      </c>
      <c r="AE7" s="44">
        <v>872290.5</v>
      </c>
      <c r="AF7" s="44">
        <v>2678527</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01 Témoins solvant</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1719</v>
      </c>
      <c r="D8" s="1" t="s">
        <v>1720</v>
      </c>
      <c r="E8" s="1" t="s">
        <v>1721</v>
      </c>
      <c r="F8" s="1" t="s">
        <v>112</v>
      </c>
      <c r="G8" s="1">
        <v>24680</v>
      </c>
      <c r="K8" s="145" t="s">
        <v>1693</v>
      </c>
      <c r="L8" s="44">
        <v>91018.666666666672</v>
      </c>
      <c r="M8" s="44">
        <v>359243.66666666669</v>
      </c>
      <c r="N8" s="44">
        <v>44031.333333333336</v>
      </c>
      <c r="O8" s="44">
        <v>393909</v>
      </c>
      <c r="P8" s="44">
        <v>2137682.3333333335</v>
      </c>
      <c r="Q8" s="44">
        <v>2376959.6666666665</v>
      </c>
      <c r="R8" s="44">
        <v>5104893</v>
      </c>
      <c r="S8" s="44">
        <v>109779</v>
      </c>
      <c r="T8" s="44">
        <v>617194.66666666663</v>
      </c>
      <c r="U8" s="44">
        <v>81652.666666666672</v>
      </c>
      <c r="V8" s="44">
        <v>54428.333333333336</v>
      </c>
      <c r="W8" s="44">
        <v>150976.66666666666</v>
      </c>
      <c r="X8" s="44">
        <v>2834323.6666666665</v>
      </c>
      <c r="Y8" s="44">
        <v>2902343</v>
      </c>
      <c r="Z8" s="44">
        <v>4504180.333333333</v>
      </c>
      <c r="AA8" s="44">
        <v>84774.666666666672</v>
      </c>
      <c r="AB8" s="44">
        <v>2830495.3333333335</v>
      </c>
      <c r="AC8" s="44">
        <v>2412901.3333333335</v>
      </c>
      <c r="AD8" s="44">
        <v>2015495</v>
      </c>
      <c r="AE8" s="44">
        <v>1560049</v>
      </c>
      <c r="AF8" s="44">
        <v>1883178</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01 Témoins solvant</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1722</v>
      </c>
      <c r="D9" s="1" t="s">
        <v>935</v>
      </c>
      <c r="E9" s="1" t="s">
        <v>1723</v>
      </c>
      <c r="F9" s="1" t="s">
        <v>112</v>
      </c>
      <c r="G9" s="1">
        <v>67680</v>
      </c>
      <c r="K9" s="145" t="s">
        <v>1694</v>
      </c>
      <c r="L9" s="44">
        <v>160479.66666666666</v>
      </c>
      <c r="M9" s="44">
        <v>61458</v>
      </c>
      <c r="N9" s="44">
        <v>50145.333333333336</v>
      </c>
      <c r="O9" s="44">
        <v>692466.33333333337</v>
      </c>
      <c r="P9" s="44">
        <v>2484366.3333333335</v>
      </c>
      <c r="Q9" s="44">
        <v>3995856</v>
      </c>
      <c r="R9" s="44">
        <v>6632677.333333333</v>
      </c>
      <c r="S9" s="44">
        <v>17376.333333333332</v>
      </c>
      <c r="T9" s="44">
        <v>112490</v>
      </c>
      <c r="U9" s="44">
        <v>423391</v>
      </c>
      <c r="V9" s="44">
        <v>265269.33333333331</v>
      </c>
      <c r="W9" s="44">
        <v>511215.33333333331</v>
      </c>
      <c r="X9" s="44">
        <v>3844526.3333333335</v>
      </c>
      <c r="Y9" s="44">
        <v>1110205</v>
      </c>
      <c r="Z9" s="44">
        <v>4526733.333333333</v>
      </c>
      <c r="AA9" s="44">
        <v>257691.33333333334</v>
      </c>
      <c r="AB9" s="44">
        <v>194315.66666666666</v>
      </c>
      <c r="AC9" s="44">
        <v>570063.33333333337</v>
      </c>
      <c r="AD9" s="44">
        <v>1109447.6666666667</v>
      </c>
      <c r="AE9" s="44">
        <v>3115808</v>
      </c>
      <c r="AF9" s="44">
        <v>1223271.6666666667</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01 Témoins solvant</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1724</v>
      </c>
      <c r="D10" s="1" t="s">
        <v>846</v>
      </c>
      <c r="E10" s="1" t="s">
        <v>1725</v>
      </c>
      <c r="F10" s="1" t="s">
        <v>112</v>
      </c>
      <c r="G10" s="1">
        <v>62727</v>
      </c>
      <c r="K10" s="145" t="s">
        <v>1695</v>
      </c>
      <c r="L10" s="44">
        <v>144069.33333333334</v>
      </c>
      <c r="M10" s="44">
        <v>36496.666666666664</v>
      </c>
      <c r="N10" s="44">
        <v>42870.5</v>
      </c>
      <c r="O10" s="44">
        <v>1517178.6666666667</v>
      </c>
      <c r="P10" s="44">
        <v>1168245</v>
      </c>
      <c r="Q10" s="44">
        <v>3495340.3333333335</v>
      </c>
      <c r="R10" s="44">
        <v>6518594.333333333</v>
      </c>
      <c r="S10" s="44">
        <v>319481</v>
      </c>
      <c r="T10" s="44">
        <v>265096</v>
      </c>
      <c r="U10" s="44">
        <v>258801.66666666666</v>
      </c>
      <c r="V10" s="44">
        <v>703988</v>
      </c>
      <c r="W10" s="44">
        <v>285240.33333333331</v>
      </c>
      <c r="X10" s="44">
        <v>1981341.6666666667</v>
      </c>
      <c r="Y10" s="44">
        <v>2639658.5</v>
      </c>
      <c r="Z10" s="44">
        <v>5322663</v>
      </c>
      <c r="AA10" s="44">
        <v>31738.333333333332</v>
      </c>
      <c r="AB10" s="44">
        <v>2760118.6666666665</v>
      </c>
      <c r="AC10" s="44">
        <v>318608.5</v>
      </c>
      <c r="AD10" s="44">
        <v>87896.666666666672</v>
      </c>
      <c r="AE10" s="44">
        <v>2756369.6666666665</v>
      </c>
      <c r="AF10" s="44">
        <v>1951485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01 Témoins solvant</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1726</v>
      </c>
      <c r="D11" s="1" t="s">
        <v>373</v>
      </c>
      <c r="E11" s="1" t="s">
        <v>1727</v>
      </c>
      <c r="F11" s="1" t="s">
        <v>112</v>
      </c>
      <c r="G11" s="1">
        <v>85936</v>
      </c>
      <c r="K11" s="145" t="s">
        <v>1696</v>
      </c>
      <c r="L11" s="44">
        <v>56663</v>
      </c>
      <c r="M11" s="44">
        <v>58278</v>
      </c>
      <c r="N11" s="44">
        <v>491352</v>
      </c>
      <c r="O11" s="44">
        <v>59439</v>
      </c>
      <c r="P11" s="44">
        <v>2103103.6666666665</v>
      </c>
      <c r="Q11" s="44">
        <v>3352698.6666666665</v>
      </c>
      <c r="R11" s="44">
        <v>7004798</v>
      </c>
      <c r="S11" s="44">
        <v>281635.33333333331</v>
      </c>
      <c r="T11" s="44">
        <v>35487.333333333336</v>
      </c>
      <c r="U11" s="44">
        <v>187574.33333333334</v>
      </c>
      <c r="V11" s="44">
        <v>78343.666666666672</v>
      </c>
      <c r="W11" s="44">
        <v>534994</v>
      </c>
      <c r="X11" s="44">
        <v>844496</v>
      </c>
      <c r="Y11" s="44">
        <v>3458526.6666666665</v>
      </c>
      <c r="Z11" s="44">
        <v>5432276</v>
      </c>
      <c r="AA11" s="44">
        <v>408617.66666666669</v>
      </c>
      <c r="AB11" s="44">
        <v>3559884.3333333335</v>
      </c>
      <c r="AC11" s="44"/>
      <c r="AD11" s="44">
        <v>3109376.6666666665</v>
      </c>
      <c r="AE11" s="44">
        <v>1025970.5</v>
      </c>
      <c r="AF11" s="44">
        <v>1636550.5</v>
      </c>
      <c r="AG11"/>
    </row>
    <row r="12" spans="1:144" x14ac:dyDescent="0.3">
      <c r="A12" s="1" t="str">
        <f t="shared" si="0"/>
        <v>01 Témoins solvant</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1728</v>
      </c>
      <c r="D12" s="1" t="s">
        <v>941</v>
      </c>
      <c r="E12" s="1" t="s">
        <v>1729</v>
      </c>
      <c r="F12" s="1" t="s">
        <v>112</v>
      </c>
      <c r="G12" s="1">
        <v>133629</v>
      </c>
      <c r="K12" s="145" t="s">
        <v>1697</v>
      </c>
      <c r="L12" s="44">
        <v>27837.5</v>
      </c>
      <c r="M12" s="44">
        <v>19171.333333333332</v>
      </c>
      <c r="N12" s="44">
        <v>13900.666666666666</v>
      </c>
      <c r="O12" s="44">
        <v>329142</v>
      </c>
      <c r="P12" s="44">
        <v>835195</v>
      </c>
      <c r="Q12" s="44">
        <v>2489622.6666666665</v>
      </c>
      <c r="R12" s="44">
        <v>3965401.6666666665</v>
      </c>
      <c r="S12" s="44">
        <v>168598</v>
      </c>
      <c r="T12" s="44">
        <v>73844.333333333328</v>
      </c>
      <c r="U12" s="44">
        <v>47030.666666666664</v>
      </c>
      <c r="V12" s="44">
        <v>217135.33333333334</v>
      </c>
      <c r="W12" s="44">
        <v>738033.66666666663</v>
      </c>
      <c r="X12" s="44">
        <v>1209738.3333333333</v>
      </c>
      <c r="Y12" s="44">
        <v>3991905</v>
      </c>
      <c r="Z12" s="44">
        <v>3182010</v>
      </c>
      <c r="AA12" s="44">
        <v>55761.666666666664</v>
      </c>
      <c r="AB12" s="44">
        <v>1453716.3333333333</v>
      </c>
      <c r="AC12" s="44">
        <v>2284909.6666666665</v>
      </c>
      <c r="AD12" s="44">
        <v>2989128.6666666665</v>
      </c>
      <c r="AE12" s="44">
        <v>3892393.3333333335</v>
      </c>
      <c r="AF12" s="44">
        <v>3085237.3333333335</v>
      </c>
      <c r="AG12"/>
    </row>
    <row r="13" spans="1:144" x14ac:dyDescent="0.3">
      <c r="A13" s="1" t="str">
        <f t="shared" si="0"/>
        <v>01 Témoins solvant</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1730</v>
      </c>
      <c r="D13" s="1" t="s">
        <v>772</v>
      </c>
      <c r="E13" s="1" t="s">
        <v>1731</v>
      </c>
      <c r="F13" s="1" t="s">
        <v>112</v>
      </c>
      <c r="G13" s="1">
        <v>53491</v>
      </c>
      <c r="K13"/>
      <c r="L13"/>
      <c r="M13"/>
      <c r="N13"/>
      <c r="O13"/>
      <c r="P13"/>
      <c r="Q13"/>
      <c r="R13"/>
      <c r="S13"/>
      <c r="T13"/>
      <c r="U13"/>
      <c r="V13"/>
      <c r="W13"/>
      <c r="X13"/>
      <c r="Y13"/>
      <c r="Z13"/>
      <c r="AA13"/>
      <c r="AB13"/>
      <c r="AC13"/>
      <c r="AD13"/>
      <c r="AE13"/>
      <c r="AF13"/>
      <c r="AG13"/>
    </row>
    <row r="14" spans="1:144" x14ac:dyDescent="0.3">
      <c r="A14" s="1" t="str">
        <f t="shared" si="0"/>
        <v>01 Témoins solvant</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1732</v>
      </c>
      <c r="D14" s="1" t="s">
        <v>1733</v>
      </c>
      <c r="E14" s="1" t="s">
        <v>1734</v>
      </c>
      <c r="F14" s="1" t="s">
        <v>112</v>
      </c>
      <c r="G14" s="1">
        <v>128179</v>
      </c>
      <c r="K14"/>
      <c r="L14"/>
      <c r="M14"/>
      <c r="N14"/>
      <c r="O14"/>
      <c r="P14"/>
      <c r="Q14"/>
      <c r="R14"/>
      <c r="S14"/>
      <c r="T14"/>
      <c r="U14"/>
      <c r="V14"/>
      <c r="W14"/>
      <c r="X14"/>
      <c r="Y14"/>
      <c r="Z14"/>
      <c r="AA14"/>
      <c r="AB14"/>
      <c r="AC14"/>
      <c r="AD14"/>
      <c r="AE14"/>
      <c r="AF14"/>
      <c r="AG14"/>
    </row>
    <row r="15" spans="1:144" x14ac:dyDescent="0.3">
      <c r="A15" s="1" t="str">
        <f t="shared" si="0"/>
        <v>01 Témoins solvant</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1735</v>
      </c>
      <c r="D15" s="1" t="s">
        <v>1736</v>
      </c>
      <c r="E15" s="1" t="s">
        <v>1737</v>
      </c>
      <c r="F15" s="1" t="s">
        <v>112</v>
      </c>
      <c r="G15" s="1">
        <v>176522</v>
      </c>
    </row>
    <row r="16" spans="1:144" x14ac:dyDescent="0.3">
      <c r="A16" s="1" t="str">
        <f t="shared" si="0"/>
        <v>01 Témoins solvant</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1738</v>
      </c>
      <c r="D16" s="1" t="s">
        <v>1739</v>
      </c>
      <c r="E16" s="1" t="s">
        <v>1740</v>
      </c>
      <c r="F16" s="1" t="s">
        <v>112</v>
      </c>
      <c r="G16" s="1">
        <v>176738</v>
      </c>
    </row>
    <row r="17" spans="1:10" x14ac:dyDescent="0.3">
      <c r="A17" s="1" t="str">
        <f t="shared" si="0"/>
        <v>01 Témoins solvant</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1741</v>
      </c>
      <c r="D17" s="1" t="s">
        <v>301</v>
      </c>
      <c r="E17" s="1" t="s">
        <v>1742</v>
      </c>
      <c r="F17" s="1" t="s">
        <v>112</v>
      </c>
      <c r="G17" s="1">
        <v>166593</v>
      </c>
    </row>
    <row r="18" spans="1:10" x14ac:dyDescent="0.3">
      <c r="A18" s="1" t="str">
        <f t="shared" si="0"/>
        <v>01 Témoins solvant</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1743</v>
      </c>
      <c r="D18" s="1" t="s">
        <v>1744</v>
      </c>
      <c r="E18" s="1" t="s">
        <v>1745</v>
      </c>
      <c r="F18" s="1" t="s">
        <v>112</v>
      </c>
      <c r="G18" s="1">
        <v>143255</v>
      </c>
    </row>
    <row r="19" spans="1:10" x14ac:dyDescent="0.3">
      <c r="A19" s="1" t="str">
        <f t="shared" si="0"/>
        <v>01 Témoins solvant</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1746</v>
      </c>
      <c r="D19" s="1" t="s">
        <v>382</v>
      </c>
      <c r="E19" s="1" t="s">
        <v>1747</v>
      </c>
      <c r="F19" s="1" t="s">
        <v>112</v>
      </c>
      <c r="G19" s="1">
        <v>122360</v>
      </c>
    </row>
    <row r="20" spans="1:10" x14ac:dyDescent="0.3">
      <c r="A20" s="1" t="str">
        <f t="shared" si="0"/>
        <v>01 Témoins solvant</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1748</v>
      </c>
      <c r="D20" s="1" t="s">
        <v>846</v>
      </c>
      <c r="E20" s="1" t="s">
        <v>1749</v>
      </c>
      <c r="F20" s="1" t="s">
        <v>112</v>
      </c>
      <c r="G20" s="1">
        <v>62986</v>
      </c>
    </row>
    <row r="21" spans="1:10" x14ac:dyDescent="0.3">
      <c r="A21" s="1" t="str">
        <f t="shared" si="0"/>
        <v>01 Témoins solvant</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1750</v>
      </c>
      <c r="D21" s="1" t="s">
        <v>187</v>
      </c>
      <c r="E21" s="1" t="s">
        <v>1751</v>
      </c>
      <c r="F21" s="1" t="s">
        <v>112</v>
      </c>
      <c r="G21" s="1">
        <v>57514</v>
      </c>
    </row>
    <row r="22" spans="1:10" x14ac:dyDescent="0.3">
      <c r="A22" s="1" t="str">
        <f t="shared" si="0"/>
        <v>01 Témoins solvant</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1752</v>
      </c>
      <c r="D22" s="1" t="s">
        <v>1753</v>
      </c>
      <c r="E22" s="1" t="s">
        <v>1754</v>
      </c>
      <c r="F22" s="1" t="s">
        <v>112</v>
      </c>
      <c r="G22" s="1">
        <v>49489</v>
      </c>
    </row>
    <row r="23" spans="1:10" x14ac:dyDescent="0.3">
      <c r="A23" s="1" t="str">
        <f t="shared" si="0"/>
        <v>01 Témoins solvant</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1755</v>
      </c>
    </row>
    <row r="24" spans="1:10" x14ac:dyDescent="0.3">
      <c r="A24" s="1" t="str">
        <f t="shared" si="0"/>
        <v>01 Témoins solvant</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1756</v>
      </c>
      <c r="D24" s="1" t="s">
        <v>202</v>
      </c>
      <c r="E24" s="1" t="s">
        <v>203</v>
      </c>
      <c r="F24" s="1" t="s">
        <v>112</v>
      </c>
      <c r="G24" s="1">
        <v>15833</v>
      </c>
    </row>
    <row r="25" spans="1:10" x14ac:dyDescent="0.3">
      <c r="A25" s="1" t="str">
        <f t="shared" si="0"/>
        <v>01 Témoins solvant</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1757</v>
      </c>
      <c r="D25" s="1" t="s">
        <v>759</v>
      </c>
      <c r="E25" s="1" t="s">
        <v>1758</v>
      </c>
      <c r="F25" s="1" t="s">
        <v>112</v>
      </c>
      <c r="G25" s="1">
        <v>39842</v>
      </c>
    </row>
    <row r="26" spans="1:10" x14ac:dyDescent="0.3">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3">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243</v>
      </c>
      <c r="D27" s="1" t="s">
        <v>112</v>
      </c>
      <c r="E27" s="1" t="s">
        <v>244</v>
      </c>
      <c r="F27" s="1" t="s">
        <v>245</v>
      </c>
      <c r="G27" s="1" t="s">
        <v>246</v>
      </c>
      <c r="H27" s="1" t="s">
        <v>247</v>
      </c>
      <c r="I27" s="1" t="s">
        <v>248</v>
      </c>
      <c r="J27" s="1" t="s">
        <v>249</v>
      </c>
    </row>
    <row r="28" spans="1:10" x14ac:dyDescent="0.3">
      <c r="A28" s="1" t="str">
        <f t="shared" si="0"/>
        <v>01 Témoins solvant</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1759</v>
      </c>
      <c r="D28" s="1" t="s">
        <v>112</v>
      </c>
      <c r="E28" s="1" t="s">
        <v>1760</v>
      </c>
      <c r="F28" s="1" t="s">
        <v>1761</v>
      </c>
      <c r="G28" s="1" t="s">
        <v>1762</v>
      </c>
      <c r="H28" s="1" t="s">
        <v>1763</v>
      </c>
      <c r="I28" s="1">
        <v>24</v>
      </c>
      <c r="J28" s="1">
        <v>24</v>
      </c>
    </row>
    <row r="29" spans="1:10" x14ac:dyDescent="0.3">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3">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3">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3">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3">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3">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255</v>
      </c>
      <c r="D34" s="1" t="s">
        <v>110</v>
      </c>
      <c r="E34" s="1" t="s">
        <v>111</v>
      </c>
      <c r="F34" s="1" t="s">
        <v>112</v>
      </c>
      <c r="G34" s="1" t="s">
        <v>113</v>
      </c>
    </row>
    <row r="35" spans="1:7" x14ac:dyDescent="0.3">
      <c r="A35" s="1" t="str">
        <f t="shared" si="0"/>
        <v>02 EE2 33.8</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1764</v>
      </c>
      <c r="D35" s="1" t="s">
        <v>199</v>
      </c>
      <c r="E35" s="1" t="s">
        <v>1765</v>
      </c>
      <c r="F35" s="1" t="s">
        <v>112</v>
      </c>
      <c r="G35" s="1">
        <v>37333</v>
      </c>
    </row>
    <row r="36" spans="1:7" x14ac:dyDescent="0.3">
      <c r="A36" s="1" t="str">
        <f t="shared" si="0"/>
        <v>02 EE2 33.8</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1766</v>
      </c>
      <c r="D36" s="1" t="s">
        <v>1767</v>
      </c>
      <c r="E36" s="1" t="s">
        <v>1768</v>
      </c>
      <c r="F36" s="1" t="s">
        <v>112</v>
      </c>
      <c r="G36" s="1">
        <v>71530</v>
      </c>
    </row>
    <row r="37" spans="1:7" x14ac:dyDescent="0.3">
      <c r="A37" s="1" t="str">
        <f t="shared" si="0"/>
        <v>02 EE2 33.8</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1769</v>
      </c>
      <c r="D37" s="1" t="s">
        <v>1770</v>
      </c>
      <c r="E37" s="1" t="s">
        <v>354</v>
      </c>
      <c r="F37" s="1" t="s">
        <v>112</v>
      </c>
      <c r="G37" s="1">
        <v>11399</v>
      </c>
    </row>
    <row r="38" spans="1:7" x14ac:dyDescent="0.3">
      <c r="A38" s="1" t="str">
        <f t="shared" si="0"/>
        <v>02 EE2 33.8</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1771</v>
      </c>
      <c r="D38" s="1" t="s">
        <v>1711</v>
      </c>
      <c r="E38" s="1" t="s">
        <v>1772</v>
      </c>
      <c r="F38" s="1" t="s">
        <v>112</v>
      </c>
      <c r="G38" s="1">
        <v>74796</v>
      </c>
    </row>
    <row r="39" spans="1:7" x14ac:dyDescent="0.3">
      <c r="A39" s="1" t="str">
        <f t="shared" si="0"/>
        <v>02 EE2 33.8</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1773</v>
      </c>
      <c r="D39" s="1" t="s">
        <v>1010</v>
      </c>
      <c r="E39" s="1" t="s">
        <v>1774</v>
      </c>
      <c r="F39" s="1" t="s">
        <v>112</v>
      </c>
      <c r="G39" s="1">
        <v>233040</v>
      </c>
    </row>
    <row r="40" spans="1:7" x14ac:dyDescent="0.3">
      <c r="A40" s="1" t="str">
        <f t="shared" si="0"/>
        <v>02 EE2 33.8</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1775</v>
      </c>
    </row>
    <row r="41" spans="1:7" x14ac:dyDescent="0.3">
      <c r="A41" s="1" t="str">
        <f t="shared" si="0"/>
        <v>02 EE2 33.8</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1776</v>
      </c>
      <c r="D41" s="1" t="s">
        <v>910</v>
      </c>
      <c r="E41" s="1" t="s">
        <v>1777</v>
      </c>
      <c r="F41" s="1" t="s">
        <v>112</v>
      </c>
      <c r="G41" s="1">
        <v>66988</v>
      </c>
    </row>
    <row r="42" spans="1:7" x14ac:dyDescent="0.3">
      <c r="A42" s="1" t="str">
        <f t="shared" si="0"/>
        <v>02 EE2 33.8</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1778</v>
      </c>
      <c r="D42" s="1" t="s">
        <v>1779</v>
      </c>
      <c r="E42" s="1" t="s">
        <v>1780</v>
      </c>
      <c r="F42" s="1" t="s">
        <v>112</v>
      </c>
      <c r="G42" s="1">
        <v>35365</v>
      </c>
    </row>
    <row r="43" spans="1:7" x14ac:dyDescent="0.3">
      <c r="A43" s="1" t="str">
        <f t="shared" si="0"/>
        <v>02 EE2 33.8</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1781</v>
      </c>
      <c r="D43" s="1" t="s">
        <v>376</v>
      </c>
      <c r="E43" s="1" t="s">
        <v>1782</v>
      </c>
      <c r="F43" s="1" t="s">
        <v>112</v>
      </c>
      <c r="G43" s="1">
        <v>46245</v>
      </c>
    </row>
    <row r="44" spans="1:7" x14ac:dyDescent="0.3">
      <c r="A44" s="1" t="str">
        <f t="shared" si="0"/>
        <v>02 EE2 33.8</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1783</v>
      </c>
      <c r="D44" s="1" t="s">
        <v>1784</v>
      </c>
      <c r="E44" s="1" t="s">
        <v>1785</v>
      </c>
      <c r="F44" s="1" t="s">
        <v>112</v>
      </c>
      <c r="G44" s="1">
        <v>747443</v>
      </c>
    </row>
    <row r="45" spans="1:7" x14ac:dyDescent="0.3">
      <c r="A45" s="1" t="str">
        <f t="shared" si="0"/>
        <v>02 EE2 33.8</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1786</v>
      </c>
      <c r="D45" s="1" t="s">
        <v>1359</v>
      </c>
      <c r="E45" s="1" t="s">
        <v>1787</v>
      </c>
      <c r="F45" s="1" t="s">
        <v>112</v>
      </c>
      <c r="G45" s="1">
        <v>251707</v>
      </c>
    </row>
    <row r="46" spans="1:7" x14ac:dyDescent="0.3">
      <c r="A46" s="1" t="str">
        <f t="shared" si="0"/>
        <v>02 EE2 33.8</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1788</v>
      </c>
      <c r="D46" s="1" t="s">
        <v>717</v>
      </c>
      <c r="E46" s="1" t="s">
        <v>1789</v>
      </c>
      <c r="F46" s="1" t="s">
        <v>112</v>
      </c>
      <c r="G46" s="1">
        <v>78581</v>
      </c>
    </row>
    <row r="47" spans="1:7" x14ac:dyDescent="0.3">
      <c r="A47" s="1" t="str">
        <f t="shared" si="0"/>
        <v>02 EE2 33.8</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1790</v>
      </c>
      <c r="D47" s="1" t="s">
        <v>348</v>
      </c>
      <c r="E47" s="1" t="s">
        <v>1791</v>
      </c>
      <c r="F47" s="1" t="s">
        <v>112</v>
      </c>
      <c r="G47" s="1">
        <v>53015</v>
      </c>
    </row>
    <row r="48" spans="1:7" x14ac:dyDescent="0.3">
      <c r="A48" s="1" t="str">
        <f t="shared" si="0"/>
        <v>02 EE2 33.8</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1792</v>
      </c>
      <c r="D48" s="1" t="s">
        <v>1793</v>
      </c>
      <c r="E48" s="1" t="s">
        <v>1794</v>
      </c>
      <c r="F48" s="1" t="s">
        <v>112</v>
      </c>
      <c r="G48" s="1">
        <v>40059</v>
      </c>
    </row>
    <row r="49" spans="1:10" x14ac:dyDescent="0.3">
      <c r="A49" s="1" t="str">
        <f t="shared" si="0"/>
        <v>02 EE2 33.8</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1795</v>
      </c>
      <c r="D49" s="1" t="s">
        <v>851</v>
      </c>
      <c r="E49" s="1" t="s">
        <v>1796</v>
      </c>
      <c r="F49" s="1" t="s">
        <v>112</v>
      </c>
      <c r="G49" s="1">
        <v>91300</v>
      </c>
    </row>
    <row r="50" spans="1:10" x14ac:dyDescent="0.3">
      <c r="A50" s="1" t="str">
        <f t="shared" si="0"/>
        <v>02 EE2 33.8</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1797</v>
      </c>
      <c r="D50" s="1" t="s">
        <v>1298</v>
      </c>
      <c r="E50" s="1" t="s">
        <v>1798</v>
      </c>
      <c r="F50" s="1" t="s">
        <v>112</v>
      </c>
      <c r="G50" s="1">
        <v>20721</v>
      </c>
    </row>
    <row r="51" spans="1:10" x14ac:dyDescent="0.3">
      <c r="A51" s="1" t="str">
        <f t="shared" si="0"/>
        <v>02 EE2 33.8</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1799</v>
      </c>
      <c r="D51" s="1" t="s">
        <v>764</v>
      </c>
      <c r="E51" s="1" t="s">
        <v>1800</v>
      </c>
      <c r="F51" s="1" t="s">
        <v>112</v>
      </c>
      <c r="G51" s="1">
        <v>29330</v>
      </c>
    </row>
    <row r="52" spans="1:10" x14ac:dyDescent="0.3">
      <c r="A52" s="1" t="str">
        <f t="shared" si="0"/>
        <v>02 EE2 33.8</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1801</v>
      </c>
      <c r="D52" s="1" t="s">
        <v>348</v>
      </c>
      <c r="E52" s="1" t="s">
        <v>1802</v>
      </c>
      <c r="F52" s="1" t="s">
        <v>112</v>
      </c>
      <c r="G52" s="1">
        <v>59439</v>
      </c>
    </row>
    <row r="53" spans="1:10" x14ac:dyDescent="0.3">
      <c r="A53" s="1" t="str">
        <f t="shared" si="0"/>
        <v>02 EE2 33.8</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1803</v>
      </c>
      <c r="D53" s="1" t="s">
        <v>298</v>
      </c>
      <c r="E53" s="1">
        <v>63</v>
      </c>
      <c r="F53" s="1" t="s">
        <v>112</v>
      </c>
      <c r="G53" s="1">
        <v>32704</v>
      </c>
    </row>
    <row r="54" spans="1:10" x14ac:dyDescent="0.3">
      <c r="A54" s="1" t="str">
        <f t="shared" si="0"/>
        <v>02 EE2 33.8</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1804</v>
      </c>
      <c r="D54" s="1" t="s">
        <v>950</v>
      </c>
      <c r="E54" s="1" t="s">
        <v>1805</v>
      </c>
      <c r="F54" s="1" t="s">
        <v>112</v>
      </c>
      <c r="G54" s="1">
        <v>109447</v>
      </c>
    </row>
    <row r="55" spans="1:10" x14ac:dyDescent="0.3">
      <c r="A55" s="1" t="str">
        <f t="shared" si="0"/>
        <v>02 EE2 33.8</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1806</v>
      </c>
      <c r="D55" s="1" t="s">
        <v>879</v>
      </c>
      <c r="E55" s="1" t="s">
        <v>1807</v>
      </c>
      <c r="F55" s="1" t="s">
        <v>112</v>
      </c>
      <c r="G55" s="1">
        <v>32683</v>
      </c>
    </row>
    <row r="56" spans="1:10" x14ac:dyDescent="0.3">
      <c r="A56" s="1" t="str">
        <f t="shared" si="0"/>
        <v>02 EE2 33.8</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1808</v>
      </c>
      <c r="D56" s="1" t="s">
        <v>874</v>
      </c>
      <c r="E56" s="1" t="s">
        <v>1809</v>
      </c>
      <c r="F56" s="1" t="s">
        <v>112</v>
      </c>
      <c r="G56" s="1">
        <v>27016</v>
      </c>
    </row>
    <row r="57" spans="1:10" x14ac:dyDescent="0.3">
      <c r="A57" s="1" t="str">
        <f t="shared" si="0"/>
        <v>02 EE2 33.8</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1810</v>
      </c>
      <c r="D57" s="1" t="s">
        <v>1811</v>
      </c>
      <c r="E57" s="1" t="s">
        <v>1812</v>
      </c>
      <c r="F57" s="1" t="s">
        <v>112</v>
      </c>
      <c r="G57" s="1">
        <v>16287</v>
      </c>
    </row>
    <row r="58" spans="1:10" x14ac:dyDescent="0.3">
      <c r="A58" s="1" t="str">
        <f t="shared" si="0"/>
        <v>02 EE2 33.8</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1813</v>
      </c>
      <c r="D58" s="1" t="s">
        <v>1814</v>
      </c>
      <c r="E58" s="1" t="s">
        <v>1815</v>
      </c>
      <c r="F58" s="1" t="s">
        <v>112</v>
      </c>
      <c r="G58" s="1">
        <v>14211</v>
      </c>
    </row>
    <row r="59" spans="1:10" x14ac:dyDescent="0.3">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3">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243</v>
      </c>
      <c r="D60" s="1" t="s">
        <v>112</v>
      </c>
      <c r="E60" s="1" t="s">
        <v>244</v>
      </c>
      <c r="F60" s="1" t="s">
        <v>245</v>
      </c>
      <c r="G60" s="1" t="s">
        <v>246</v>
      </c>
      <c r="H60" s="1" t="s">
        <v>247</v>
      </c>
      <c r="I60" s="1" t="s">
        <v>248</v>
      </c>
      <c r="J60" s="1" t="s">
        <v>249</v>
      </c>
    </row>
    <row r="61" spans="1:10" x14ac:dyDescent="0.3">
      <c r="A61" s="1" t="str">
        <f t="shared" si="0"/>
        <v>02 EE2 33.8</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1816</v>
      </c>
      <c r="D61" s="1" t="s">
        <v>112</v>
      </c>
      <c r="E61" s="1" t="s">
        <v>1817</v>
      </c>
      <c r="F61" s="1" t="s">
        <v>1818</v>
      </c>
      <c r="G61" s="1" t="s">
        <v>1819</v>
      </c>
      <c r="H61" s="1" t="s">
        <v>1820</v>
      </c>
      <c r="I61" s="1">
        <v>24</v>
      </c>
      <c r="J61" s="1">
        <v>24</v>
      </c>
    </row>
    <row r="62" spans="1:10" x14ac:dyDescent="0.3">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3">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3">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3">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3">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3">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255</v>
      </c>
      <c r="D67" s="1" t="s">
        <v>110</v>
      </c>
      <c r="E67" s="1" t="s">
        <v>111</v>
      </c>
      <c r="F67" s="1" t="s">
        <v>112</v>
      </c>
      <c r="G67" s="1" t="s">
        <v>113</v>
      </c>
    </row>
    <row r="68" spans="1:7" x14ac:dyDescent="0.3">
      <c r="A68" s="1" t="str">
        <f t="shared" si="1"/>
        <v>03 EE2 50</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1821</v>
      </c>
      <c r="D68" s="1" t="s">
        <v>1822</v>
      </c>
      <c r="E68" s="1" t="s">
        <v>1823</v>
      </c>
      <c r="F68" s="1" t="s">
        <v>112</v>
      </c>
      <c r="G68" s="1">
        <v>23187</v>
      </c>
    </row>
    <row r="69" spans="1:7" x14ac:dyDescent="0.3">
      <c r="A69" s="1" t="str">
        <f t="shared" si="1"/>
        <v>03 EE2 50</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1824</v>
      </c>
      <c r="D69" s="1" t="s">
        <v>1825</v>
      </c>
      <c r="E69" s="1" t="s">
        <v>1826</v>
      </c>
      <c r="F69" s="1" t="s">
        <v>112</v>
      </c>
      <c r="G69" s="1">
        <v>128265</v>
      </c>
    </row>
    <row r="70" spans="1:7" x14ac:dyDescent="0.3">
      <c r="A70" s="1" t="str">
        <f t="shared" si="1"/>
        <v>03 EE2 50</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1827</v>
      </c>
    </row>
    <row r="71" spans="1:7" x14ac:dyDescent="0.3">
      <c r="A71" s="1" t="str">
        <f t="shared" si="1"/>
        <v>03 EE2 50</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1828</v>
      </c>
      <c r="D71" s="1" t="s">
        <v>196</v>
      </c>
      <c r="E71" s="1" t="s">
        <v>1829</v>
      </c>
      <c r="F71" s="1" t="s">
        <v>112</v>
      </c>
      <c r="G71" s="1">
        <v>211194</v>
      </c>
    </row>
    <row r="72" spans="1:7" x14ac:dyDescent="0.3">
      <c r="A72" s="1" t="str">
        <f t="shared" si="1"/>
        <v>03 EE2 50</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1830</v>
      </c>
      <c r="D72" s="1" t="s">
        <v>796</v>
      </c>
      <c r="E72" s="1" t="s">
        <v>1831</v>
      </c>
      <c r="F72" s="1" t="s">
        <v>112</v>
      </c>
      <c r="G72" s="1">
        <v>178057</v>
      </c>
    </row>
    <row r="73" spans="1:7" x14ac:dyDescent="0.3">
      <c r="A73" s="1" t="str">
        <f t="shared" si="1"/>
        <v>03 EE2 50</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1832</v>
      </c>
      <c r="D73" s="1" t="s">
        <v>1013</v>
      </c>
      <c r="E73" s="1" t="s">
        <v>1833</v>
      </c>
      <c r="F73" s="1" t="s">
        <v>112</v>
      </c>
      <c r="G73" s="1">
        <v>105878</v>
      </c>
    </row>
    <row r="74" spans="1:7" x14ac:dyDescent="0.3">
      <c r="A74" s="1" t="str">
        <f t="shared" si="1"/>
        <v>03 EE2 50</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1834</v>
      </c>
      <c r="D74" s="1" t="s">
        <v>287</v>
      </c>
      <c r="E74" s="1" t="s">
        <v>1835</v>
      </c>
      <c r="F74" s="1" t="s">
        <v>112</v>
      </c>
      <c r="G74" s="1">
        <v>115871</v>
      </c>
    </row>
    <row r="75" spans="1:7" x14ac:dyDescent="0.3">
      <c r="A75" s="1" t="str">
        <f t="shared" si="1"/>
        <v>03 EE2 50</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1836</v>
      </c>
      <c r="D75" s="1" t="s">
        <v>950</v>
      </c>
      <c r="E75" s="1" t="s">
        <v>1837</v>
      </c>
      <c r="F75" s="1" t="s">
        <v>112</v>
      </c>
      <c r="G75" s="1">
        <v>107176</v>
      </c>
    </row>
    <row r="76" spans="1:7" x14ac:dyDescent="0.3">
      <c r="A76" s="1" t="str">
        <f t="shared" si="1"/>
        <v>03 EE2 50</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1838</v>
      </c>
      <c r="D76" s="1" t="s">
        <v>208</v>
      </c>
      <c r="E76" s="1" t="s">
        <v>1839</v>
      </c>
      <c r="F76" s="1" t="s">
        <v>112</v>
      </c>
      <c r="G76" s="1">
        <v>293128</v>
      </c>
    </row>
    <row r="77" spans="1:7" x14ac:dyDescent="0.3">
      <c r="A77" s="1" t="str">
        <f t="shared" si="1"/>
        <v>03 EE2 50</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1840</v>
      </c>
      <c r="D77" s="1" t="s">
        <v>1303</v>
      </c>
      <c r="E77" s="1" t="s">
        <v>1841</v>
      </c>
      <c r="F77" s="1" t="s">
        <v>112</v>
      </c>
      <c r="G77" s="1">
        <v>19424</v>
      </c>
    </row>
    <row r="78" spans="1:7" x14ac:dyDescent="0.3">
      <c r="A78" s="1" t="str">
        <f t="shared" si="1"/>
        <v>03 EE2 50</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1842</v>
      </c>
      <c r="D78" s="1" t="s">
        <v>1843</v>
      </c>
      <c r="E78" s="1" t="s">
        <v>1844</v>
      </c>
      <c r="F78" s="1" t="s">
        <v>112</v>
      </c>
      <c r="G78" s="1">
        <v>88401</v>
      </c>
    </row>
    <row r="79" spans="1:7" x14ac:dyDescent="0.3">
      <c r="A79" s="1" t="str">
        <f t="shared" si="1"/>
        <v>03 EE2 50</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1845</v>
      </c>
      <c r="D79" s="1" t="s">
        <v>1720</v>
      </c>
      <c r="E79" s="1" t="s">
        <v>1846</v>
      </c>
      <c r="F79" s="1" t="s">
        <v>112</v>
      </c>
      <c r="G79" s="1">
        <v>24269</v>
      </c>
    </row>
    <row r="80" spans="1:7" x14ac:dyDescent="0.3">
      <c r="A80" s="1" t="str">
        <f t="shared" si="1"/>
        <v>03 EE2 50</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1847</v>
      </c>
      <c r="D80" s="1" t="s">
        <v>1848</v>
      </c>
      <c r="E80" s="1" t="s">
        <v>1849</v>
      </c>
      <c r="F80" s="1" t="s">
        <v>112</v>
      </c>
      <c r="G80" s="1">
        <v>68069</v>
      </c>
    </row>
    <row r="81" spans="1:10" x14ac:dyDescent="0.3">
      <c r="A81" s="1" t="str">
        <f t="shared" si="1"/>
        <v>03 EE2 50</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1850</v>
      </c>
      <c r="D81" s="1" t="s">
        <v>874</v>
      </c>
      <c r="E81" s="1" t="s">
        <v>1851</v>
      </c>
      <c r="F81" s="1" t="s">
        <v>112</v>
      </c>
      <c r="G81" s="1">
        <v>27297</v>
      </c>
    </row>
    <row r="82" spans="1:10" x14ac:dyDescent="0.3">
      <c r="A82" s="1" t="str">
        <f t="shared" si="1"/>
        <v>03 EE2 50</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1852</v>
      </c>
      <c r="D82" s="1" t="s">
        <v>348</v>
      </c>
      <c r="E82" s="1" t="s">
        <v>1853</v>
      </c>
      <c r="F82" s="1" t="s">
        <v>112</v>
      </c>
      <c r="G82" s="1">
        <v>55070</v>
      </c>
    </row>
    <row r="83" spans="1:10" x14ac:dyDescent="0.3">
      <c r="A83" s="1" t="str">
        <f t="shared" si="1"/>
        <v>03 EE2 50</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1854</v>
      </c>
      <c r="D83" s="1" t="s">
        <v>1855</v>
      </c>
      <c r="E83" s="1" t="s">
        <v>1856</v>
      </c>
      <c r="F83" s="1" t="s">
        <v>112</v>
      </c>
      <c r="G83" s="1">
        <v>46353</v>
      </c>
    </row>
    <row r="84" spans="1:10" x14ac:dyDescent="0.3">
      <c r="A84" s="1" t="str">
        <f t="shared" si="1"/>
        <v>03 EE2 50</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1857</v>
      </c>
      <c r="D84" s="1" t="s">
        <v>1793</v>
      </c>
      <c r="E84" s="1" t="s">
        <v>1858</v>
      </c>
      <c r="F84" s="1" t="s">
        <v>112</v>
      </c>
      <c r="G84" s="1">
        <v>39388</v>
      </c>
    </row>
    <row r="85" spans="1:10" x14ac:dyDescent="0.3">
      <c r="A85" s="1" t="str">
        <f t="shared" si="1"/>
        <v>03 EE2 50</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1859</v>
      </c>
    </row>
    <row r="86" spans="1:10" x14ac:dyDescent="0.3">
      <c r="A86" s="1" t="str">
        <f t="shared" si="1"/>
        <v>03 EE2 50</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1860</v>
      </c>
      <c r="D86" s="1" t="s">
        <v>1861</v>
      </c>
      <c r="E86" s="1" t="s">
        <v>1862</v>
      </c>
      <c r="F86" s="1" t="s">
        <v>112</v>
      </c>
      <c r="G86" s="1">
        <v>162722</v>
      </c>
    </row>
    <row r="87" spans="1:10" x14ac:dyDescent="0.3">
      <c r="A87" s="1" t="str">
        <f t="shared" si="1"/>
        <v>03 EE2 50</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1863</v>
      </c>
      <c r="D87" s="1" t="s">
        <v>1508</v>
      </c>
      <c r="E87" s="1" t="s">
        <v>1864</v>
      </c>
      <c r="F87" s="1" t="s">
        <v>112</v>
      </c>
      <c r="G87" s="1">
        <v>897468</v>
      </c>
    </row>
    <row r="88" spans="1:10" x14ac:dyDescent="0.3">
      <c r="A88" s="1" t="str">
        <f t="shared" si="1"/>
        <v>03 EE2 50</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1865</v>
      </c>
      <c r="D88" s="1" t="s">
        <v>1866</v>
      </c>
      <c r="E88" s="1" t="s">
        <v>1867</v>
      </c>
      <c r="F88" s="1" t="s">
        <v>112</v>
      </c>
      <c r="G88" s="1">
        <v>413866</v>
      </c>
    </row>
    <row r="89" spans="1:10" x14ac:dyDescent="0.3">
      <c r="A89" s="1" t="str">
        <f t="shared" si="1"/>
        <v>03 EE2 50</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1868</v>
      </c>
      <c r="D89" s="1" t="s">
        <v>1869</v>
      </c>
      <c r="E89" s="1">
        <v>66</v>
      </c>
      <c r="F89" s="1" t="s">
        <v>112</v>
      </c>
      <c r="G89" s="1">
        <v>7138</v>
      </c>
    </row>
    <row r="90" spans="1:10" x14ac:dyDescent="0.3">
      <c r="A90" s="1" t="str">
        <f t="shared" si="1"/>
        <v>03 EE2 50</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1870</v>
      </c>
      <c r="D90" s="1" t="s">
        <v>1298</v>
      </c>
      <c r="E90" s="1" t="s">
        <v>1871</v>
      </c>
      <c r="F90" s="1" t="s">
        <v>112</v>
      </c>
      <c r="G90" s="1">
        <v>20916</v>
      </c>
    </row>
    <row r="91" spans="1:10" x14ac:dyDescent="0.3">
      <c r="A91" s="1" t="str">
        <f t="shared" si="1"/>
        <v>03 EE2 50</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1872</v>
      </c>
      <c r="D91" s="1" t="s">
        <v>1814</v>
      </c>
      <c r="E91" s="1" t="s">
        <v>1851</v>
      </c>
      <c r="F91" s="1" t="s">
        <v>112</v>
      </c>
      <c r="G91" s="1">
        <v>13648</v>
      </c>
    </row>
    <row r="92" spans="1:10" x14ac:dyDescent="0.3">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3">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243</v>
      </c>
      <c r="D93" s="1" t="s">
        <v>112</v>
      </c>
      <c r="E93" s="1" t="s">
        <v>244</v>
      </c>
      <c r="F93" s="1" t="s">
        <v>245</v>
      </c>
      <c r="G93" s="1" t="s">
        <v>246</v>
      </c>
      <c r="H93" s="1" t="s">
        <v>247</v>
      </c>
      <c r="I93" s="1" t="s">
        <v>248</v>
      </c>
      <c r="J93" s="1" t="s">
        <v>249</v>
      </c>
    </row>
    <row r="94" spans="1:10" x14ac:dyDescent="0.3">
      <c r="A94" s="1" t="str">
        <f t="shared" si="1"/>
        <v>03 EE2 50</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1873</v>
      </c>
      <c r="D94" s="1" t="s">
        <v>112</v>
      </c>
      <c r="E94" s="1" t="s">
        <v>1874</v>
      </c>
      <c r="F94" s="1" t="s">
        <v>1875</v>
      </c>
      <c r="G94" s="1" t="s">
        <v>1876</v>
      </c>
      <c r="H94" s="1" t="s">
        <v>1877</v>
      </c>
      <c r="I94" s="1">
        <v>24</v>
      </c>
      <c r="J94" s="1">
        <v>24</v>
      </c>
    </row>
    <row r="95" spans="1:10" x14ac:dyDescent="0.3">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3">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3">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3">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3">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3">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255</v>
      </c>
      <c r="D100" s="1" t="s">
        <v>110</v>
      </c>
      <c r="E100" s="1" t="s">
        <v>111</v>
      </c>
      <c r="F100" s="1" t="s">
        <v>112</v>
      </c>
      <c r="G100" s="1" t="s">
        <v>113</v>
      </c>
    </row>
    <row r="101" spans="1:7" x14ac:dyDescent="0.3">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1878</v>
      </c>
      <c r="D101" s="1" t="s">
        <v>1879</v>
      </c>
      <c r="E101" s="1" t="s">
        <v>1880</v>
      </c>
      <c r="F101" s="1" t="s">
        <v>112</v>
      </c>
      <c r="G101" s="1">
        <v>168778</v>
      </c>
    </row>
    <row r="102" spans="1:7" x14ac:dyDescent="0.3">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1881</v>
      </c>
      <c r="D102" s="1" t="s">
        <v>211</v>
      </c>
      <c r="E102" s="1" t="s">
        <v>1882</v>
      </c>
      <c r="F102" s="1" t="s">
        <v>112</v>
      </c>
      <c r="G102" s="1">
        <v>441012</v>
      </c>
    </row>
    <row r="103" spans="1:7" x14ac:dyDescent="0.3">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1883</v>
      </c>
      <c r="D103" s="1" t="s">
        <v>922</v>
      </c>
      <c r="E103" s="1" t="s">
        <v>1884</v>
      </c>
      <c r="F103" s="1" t="s">
        <v>112</v>
      </c>
      <c r="G103" s="1">
        <v>229839</v>
      </c>
    </row>
    <row r="104" spans="1:7" x14ac:dyDescent="0.3">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1885</v>
      </c>
    </row>
    <row r="105" spans="1:7" x14ac:dyDescent="0.3">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1886</v>
      </c>
      <c r="D105" s="1" t="s">
        <v>1887</v>
      </c>
      <c r="E105" s="1" t="s">
        <v>1888</v>
      </c>
      <c r="F105" s="1" t="s">
        <v>112</v>
      </c>
      <c r="G105" s="1">
        <v>236436</v>
      </c>
    </row>
    <row r="106" spans="1:7" x14ac:dyDescent="0.3">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1889</v>
      </c>
      <c r="D106" s="1" t="s">
        <v>1890</v>
      </c>
      <c r="E106" s="1" t="s">
        <v>1891</v>
      </c>
      <c r="F106" s="1" t="s">
        <v>112</v>
      </c>
      <c r="G106" s="1">
        <v>196032</v>
      </c>
    </row>
    <row r="107" spans="1:7" x14ac:dyDescent="0.3">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1892</v>
      </c>
      <c r="D107" s="1" t="s">
        <v>1893</v>
      </c>
      <c r="E107" s="1" t="s">
        <v>1894</v>
      </c>
      <c r="F107" s="1" t="s">
        <v>112</v>
      </c>
      <c r="G107" s="1">
        <v>1043318</v>
      </c>
    </row>
    <row r="108" spans="1:7" x14ac:dyDescent="0.3">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1895</v>
      </c>
      <c r="D108" s="1" t="s">
        <v>1896</v>
      </c>
      <c r="E108" s="1" t="s">
        <v>1897</v>
      </c>
      <c r="F108" s="1" t="s">
        <v>112</v>
      </c>
      <c r="G108" s="1">
        <v>718545</v>
      </c>
    </row>
    <row r="109" spans="1:7" x14ac:dyDescent="0.3">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1898</v>
      </c>
      <c r="D109" s="1" t="s">
        <v>1899</v>
      </c>
      <c r="E109" s="1" t="s">
        <v>1900</v>
      </c>
      <c r="F109" s="1" t="s">
        <v>112</v>
      </c>
      <c r="G109" s="1">
        <v>1095295</v>
      </c>
    </row>
    <row r="110" spans="1:7" x14ac:dyDescent="0.3">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1901</v>
      </c>
      <c r="D110" s="1" t="s">
        <v>1295</v>
      </c>
      <c r="E110" s="1" t="s">
        <v>1902</v>
      </c>
      <c r="F110" s="1" t="s">
        <v>112</v>
      </c>
      <c r="G110" s="1">
        <v>416786</v>
      </c>
    </row>
    <row r="111" spans="1:7" x14ac:dyDescent="0.3">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1903</v>
      </c>
      <c r="D111" s="1" t="s">
        <v>1866</v>
      </c>
      <c r="E111" s="1" t="s">
        <v>1904</v>
      </c>
      <c r="F111" s="1" t="s">
        <v>112</v>
      </c>
      <c r="G111" s="1">
        <v>377139</v>
      </c>
    </row>
    <row r="112" spans="1:7" x14ac:dyDescent="0.3">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1905</v>
      </c>
      <c r="D112" s="1" t="s">
        <v>1906</v>
      </c>
      <c r="E112" s="1" t="s">
        <v>1907</v>
      </c>
      <c r="F112" s="1" t="s">
        <v>112</v>
      </c>
      <c r="G112" s="1">
        <v>387802</v>
      </c>
    </row>
    <row r="113" spans="1:10" x14ac:dyDescent="0.3">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1908</v>
      </c>
      <c r="D113" s="1" t="s">
        <v>263</v>
      </c>
      <c r="E113" s="1" t="s">
        <v>1909</v>
      </c>
      <c r="F113" s="1" t="s">
        <v>112</v>
      </c>
      <c r="G113" s="1">
        <v>629170</v>
      </c>
    </row>
    <row r="114" spans="1:10" x14ac:dyDescent="0.3">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1910</v>
      </c>
      <c r="D114" s="1" t="s">
        <v>1911</v>
      </c>
      <c r="E114" s="1" t="s">
        <v>1912</v>
      </c>
      <c r="F114" s="1" t="s">
        <v>112</v>
      </c>
      <c r="G114" s="1">
        <v>937980</v>
      </c>
    </row>
    <row r="115" spans="1:10" x14ac:dyDescent="0.3">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1913</v>
      </c>
      <c r="D115" s="1" t="s">
        <v>1914</v>
      </c>
      <c r="E115" s="1" t="s">
        <v>1915</v>
      </c>
      <c r="F115" s="1" t="s">
        <v>112</v>
      </c>
      <c r="G115" s="1">
        <v>510249</v>
      </c>
    </row>
    <row r="116" spans="1:10" x14ac:dyDescent="0.3">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1916</v>
      </c>
      <c r="D116" s="1" t="s">
        <v>1917</v>
      </c>
      <c r="E116" s="1" t="s">
        <v>1918</v>
      </c>
      <c r="F116" s="1" t="s">
        <v>112</v>
      </c>
      <c r="G116" s="1">
        <v>1358098</v>
      </c>
    </row>
    <row r="117" spans="1:10" x14ac:dyDescent="0.3">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1919</v>
      </c>
      <c r="D117" s="1" t="s">
        <v>1920</v>
      </c>
      <c r="E117" s="1" t="s">
        <v>1921</v>
      </c>
      <c r="F117" s="1" t="s">
        <v>112</v>
      </c>
      <c r="G117" s="1">
        <v>1710384</v>
      </c>
    </row>
    <row r="118" spans="1:10" x14ac:dyDescent="0.3">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1922</v>
      </c>
      <c r="D118" s="1" t="s">
        <v>1923</v>
      </c>
      <c r="E118" s="1" t="s">
        <v>1924</v>
      </c>
      <c r="F118" s="1" t="s">
        <v>112</v>
      </c>
      <c r="G118" s="1">
        <v>1483054</v>
      </c>
    </row>
    <row r="119" spans="1:10" x14ac:dyDescent="0.3">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1925</v>
      </c>
    </row>
    <row r="120" spans="1:10" x14ac:dyDescent="0.3">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1926</v>
      </c>
      <c r="D120" s="1" t="s">
        <v>1927</v>
      </c>
      <c r="E120" s="1" t="s">
        <v>1928</v>
      </c>
      <c r="F120" s="1" t="s">
        <v>112</v>
      </c>
      <c r="G120" s="1">
        <v>21998</v>
      </c>
    </row>
    <row r="121" spans="1:10" x14ac:dyDescent="0.3">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1929</v>
      </c>
      <c r="D121" s="1" t="s">
        <v>1930</v>
      </c>
      <c r="E121" s="1" t="s">
        <v>1931</v>
      </c>
      <c r="F121" s="1" t="s">
        <v>112</v>
      </c>
      <c r="G121" s="1">
        <v>96880</v>
      </c>
    </row>
    <row r="122" spans="1:10" x14ac:dyDescent="0.3">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1932</v>
      </c>
      <c r="D122" s="1" t="s">
        <v>1933</v>
      </c>
      <c r="E122" s="1" t="s">
        <v>1934</v>
      </c>
      <c r="F122" s="1" t="s">
        <v>112</v>
      </c>
      <c r="G122" s="1">
        <v>407615</v>
      </c>
    </row>
    <row r="123" spans="1:10" x14ac:dyDescent="0.3">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1935</v>
      </c>
      <c r="D123" s="1" t="s">
        <v>1936</v>
      </c>
      <c r="E123" s="1" t="s">
        <v>1937</v>
      </c>
      <c r="F123" s="1" t="s">
        <v>112</v>
      </c>
      <c r="G123" s="1">
        <v>316121</v>
      </c>
    </row>
    <row r="124" spans="1:10" x14ac:dyDescent="0.3">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1938</v>
      </c>
      <c r="D124" s="1" t="s">
        <v>1939</v>
      </c>
      <c r="E124" s="1" t="s">
        <v>1940</v>
      </c>
      <c r="F124" s="1" t="s">
        <v>112</v>
      </c>
      <c r="G124" s="1">
        <v>263690</v>
      </c>
    </row>
    <row r="125" spans="1:10" x14ac:dyDescent="0.3">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3">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243</v>
      </c>
      <c r="D126" s="1" t="s">
        <v>112</v>
      </c>
      <c r="E126" s="1" t="s">
        <v>244</v>
      </c>
      <c r="F126" s="1" t="s">
        <v>245</v>
      </c>
      <c r="G126" s="1" t="s">
        <v>246</v>
      </c>
      <c r="H126" s="1" t="s">
        <v>247</v>
      </c>
      <c r="I126" s="1" t="s">
        <v>248</v>
      </c>
      <c r="J126" s="1" t="s">
        <v>249</v>
      </c>
    </row>
    <row r="127" spans="1:10" x14ac:dyDescent="0.3">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1941</v>
      </c>
      <c r="D127" s="1" t="s">
        <v>112</v>
      </c>
      <c r="E127" s="1" t="s">
        <v>1942</v>
      </c>
      <c r="F127" s="1" t="s">
        <v>1943</v>
      </c>
      <c r="G127" s="1" t="s">
        <v>1944</v>
      </c>
      <c r="H127" s="1" t="s">
        <v>1945</v>
      </c>
      <c r="I127" s="1">
        <v>24</v>
      </c>
      <c r="J127" s="1">
        <v>24</v>
      </c>
    </row>
    <row r="128" spans="1:10" x14ac:dyDescent="0.3">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3">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3">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3">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3">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3">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255</v>
      </c>
      <c r="D133" s="1" t="s">
        <v>110</v>
      </c>
      <c r="E133" s="1" t="s">
        <v>111</v>
      </c>
      <c r="F133" s="1" t="s">
        <v>112</v>
      </c>
      <c r="G133" s="1" t="s">
        <v>113</v>
      </c>
    </row>
    <row r="134" spans="1:7" x14ac:dyDescent="0.3">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1946</v>
      </c>
      <c r="D134" s="1" t="s">
        <v>1947</v>
      </c>
      <c r="E134" s="1" t="s">
        <v>1948</v>
      </c>
      <c r="F134" s="1" t="s">
        <v>112</v>
      </c>
      <c r="G134" s="1">
        <v>845988</v>
      </c>
    </row>
    <row r="135" spans="1:7" x14ac:dyDescent="0.3">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1949</v>
      </c>
      <c r="D135" s="1" t="s">
        <v>1950</v>
      </c>
      <c r="E135" s="1" t="s">
        <v>1951</v>
      </c>
      <c r="F135" s="1" t="s">
        <v>112</v>
      </c>
      <c r="G135" s="1">
        <v>918687</v>
      </c>
    </row>
    <row r="136" spans="1:7" x14ac:dyDescent="0.3">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1952</v>
      </c>
      <c r="D136" s="1" t="s">
        <v>1953</v>
      </c>
      <c r="E136" s="1" t="s">
        <v>1954</v>
      </c>
      <c r="F136" s="1" t="s">
        <v>112</v>
      </c>
      <c r="G136" s="1">
        <v>929501</v>
      </c>
    </row>
    <row r="137" spans="1:7" x14ac:dyDescent="0.3">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1955</v>
      </c>
      <c r="D137" s="1" t="s">
        <v>560</v>
      </c>
      <c r="E137" s="1" t="s">
        <v>1956</v>
      </c>
      <c r="F137" s="1" t="s">
        <v>112</v>
      </c>
      <c r="G137" s="1">
        <v>2727313</v>
      </c>
    </row>
    <row r="138" spans="1:7" x14ac:dyDescent="0.3">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1957</v>
      </c>
      <c r="D138" s="1" t="s">
        <v>1958</v>
      </c>
      <c r="E138" s="1" t="s">
        <v>1959</v>
      </c>
      <c r="F138" s="1" t="s">
        <v>112</v>
      </c>
      <c r="G138" s="1">
        <v>2524922</v>
      </c>
    </row>
    <row r="139" spans="1:7" x14ac:dyDescent="0.3">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1960</v>
      </c>
      <c r="D139" s="1" t="s">
        <v>1961</v>
      </c>
      <c r="E139" s="1" t="s">
        <v>1962</v>
      </c>
      <c r="F139" s="1" t="s">
        <v>112</v>
      </c>
      <c r="G139" s="1">
        <v>2671119</v>
      </c>
    </row>
    <row r="140" spans="1:7" x14ac:dyDescent="0.3">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1963</v>
      </c>
      <c r="D140" s="1" t="s">
        <v>1964</v>
      </c>
      <c r="E140" s="1" t="s">
        <v>1965</v>
      </c>
      <c r="F140" s="1" t="s">
        <v>112</v>
      </c>
      <c r="G140" s="1">
        <v>854770</v>
      </c>
    </row>
    <row r="141" spans="1:7" x14ac:dyDescent="0.3">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1966</v>
      </c>
      <c r="D141" s="1" t="s">
        <v>1967</v>
      </c>
      <c r="E141" s="1" t="s">
        <v>1968</v>
      </c>
      <c r="F141" s="1" t="s">
        <v>112</v>
      </c>
      <c r="G141" s="1">
        <v>1012971</v>
      </c>
    </row>
    <row r="142" spans="1:7" x14ac:dyDescent="0.3">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1969</v>
      </c>
    </row>
    <row r="143" spans="1:7" x14ac:dyDescent="0.3">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1970</v>
      </c>
      <c r="D143" s="1" t="s">
        <v>1971</v>
      </c>
      <c r="E143" s="1" t="s">
        <v>1972</v>
      </c>
      <c r="F143" s="1" t="s">
        <v>112</v>
      </c>
      <c r="G143" s="1">
        <v>2323397</v>
      </c>
    </row>
    <row r="144" spans="1:7" x14ac:dyDescent="0.3">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1973</v>
      </c>
      <c r="D144" s="1" t="s">
        <v>1974</v>
      </c>
      <c r="E144" s="1" t="s">
        <v>1975</v>
      </c>
      <c r="F144" s="1" t="s">
        <v>112</v>
      </c>
      <c r="G144" s="1">
        <v>1932674</v>
      </c>
    </row>
    <row r="145" spans="1:10" x14ac:dyDescent="0.3">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1976</v>
      </c>
      <c r="D145" s="1" t="s">
        <v>1977</v>
      </c>
      <c r="E145" s="1" t="s">
        <v>1978</v>
      </c>
      <c r="F145" s="1" t="s">
        <v>112</v>
      </c>
      <c r="G145" s="1">
        <v>2156976</v>
      </c>
    </row>
    <row r="146" spans="1:10" x14ac:dyDescent="0.3">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1979</v>
      </c>
      <c r="D146" s="1" t="s">
        <v>1961</v>
      </c>
      <c r="E146" s="1" t="s">
        <v>1980</v>
      </c>
      <c r="F146" s="1" t="s">
        <v>112</v>
      </c>
      <c r="G146" s="1">
        <v>2529876</v>
      </c>
    </row>
    <row r="147" spans="1:10" x14ac:dyDescent="0.3">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1981</v>
      </c>
      <c r="D147" s="1" t="s">
        <v>1982</v>
      </c>
      <c r="E147" s="1" t="s">
        <v>1983</v>
      </c>
      <c r="F147" s="1" t="s">
        <v>112</v>
      </c>
      <c r="G147" s="1">
        <v>2444286</v>
      </c>
    </row>
    <row r="148" spans="1:10" x14ac:dyDescent="0.3">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1984</v>
      </c>
      <c r="D148" s="1" t="s">
        <v>1985</v>
      </c>
      <c r="E148" s="1" t="s">
        <v>1986</v>
      </c>
      <c r="F148" s="1" t="s">
        <v>112</v>
      </c>
      <c r="G148" s="1">
        <v>2478937</v>
      </c>
    </row>
    <row r="149" spans="1:10" x14ac:dyDescent="0.3">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1987</v>
      </c>
      <c r="D149" s="1" t="s">
        <v>1988</v>
      </c>
      <c r="E149" s="1" t="s">
        <v>1989</v>
      </c>
      <c r="F149" s="1" t="s">
        <v>112</v>
      </c>
      <c r="G149" s="1">
        <v>1193992</v>
      </c>
    </row>
    <row r="150" spans="1:10" x14ac:dyDescent="0.3">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1990</v>
      </c>
      <c r="D150" s="1" t="s">
        <v>1991</v>
      </c>
      <c r="E150" s="1" t="s">
        <v>1992</v>
      </c>
      <c r="F150" s="1" t="s">
        <v>112</v>
      </c>
      <c r="G150" s="1">
        <v>1043534</v>
      </c>
    </row>
    <row r="151" spans="1:10" x14ac:dyDescent="0.3">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1993</v>
      </c>
      <c r="D151" s="1" t="s">
        <v>1994</v>
      </c>
      <c r="E151" s="1" t="s">
        <v>1995</v>
      </c>
      <c r="F151" s="1" t="s">
        <v>112</v>
      </c>
      <c r="G151" s="1">
        <v>1267209</v>
      </c>
    </row>
    <row r="152" spans="1:10" x14ac:dyDescent="0.3">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1996</v>
      </c>
      <c r="D152" s="1" t="s">
        <v>1997</v>
      </c>
      <c r="E152" s="1" t="s">
        <v>1998</v>
      </c>
      <c r="F152" s="1" t="s">
        <v>112</v>
      </c>
      <c r="G152" s="1">
        <v>2361033</v>
      </c>
    </row>
    <row r="153" spans="1:10" x14ac:dyDescent="0.3">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1999</v>
      </c>
      <c r="D153" s="1" t="s">
        <v>2000</v>
      </c>
      <c r="E153" s="1" t="s">
        <v>2001</v>
      </c>
      <c r="F153" s="1" t="s">
        <v>112</v>
      </c>
      <c r="G153" s="1">
        <v>2247930</v>
      </c>
    </row>
    <row r="154" spans="1:10" x14ac:dyDescent="0.3">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2002</v>
      </c>
      <c r="D154" s="1" t="s">
        <v>2003</v>
      </c>
      <c r="E154" s="1" t="s">
        <v>2004</v>
      </c>
      <c r="F154" s="1" t="s">
        <v>112</v>
      </c>
      <c r="G154" s="1">
        <v>1700348</v>
      </c>
    </row>
    <row r="155" spans="1:10" x14ac:dyDescent="0.3">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2005</v>
      </c>
      <c r="D155" s="1" t="s">
        <v>2006</v>
      </c>
      <c r="E155" s="1" t="s">
        <v>2007</v>
      </c>
      <c r="F155" s="1" t="s">
        <v>112</v>
      </c>
      <c r="G155" s="1">
        <v>776513</v>
      </c>
    </row>
    <row r="156" spans="1:10" x14ac:dyDescent="0.3">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2008</v>
      </c>
      <c r="D156" s="1" t="s">
        <v>2009</v>
      </c>
      <c r="E156" s="1" t="s">
        <v>2010</v>
      </c>
      <c r="F156" s="1" t="s">
        <v>112</v>
      </c>
      <c r="G156" s="1">
        <v>747010</v>
      </c>
    </row>
    <row r="157" spans="1:10" x14ac:dyDescent="0.3">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2011</v>
      </c>
      <c r="D157" s="1" t="s">
        <v>356</v>
      </c>
      <c r="E157" s="1" t="s">
        <v>2012</v>
      </c>
      <c r="F157" s="1" t="s">
        <v>112</v>
      </c>
      <c r="G157" s="1">
        <v>982062</v>
      </c>
    </row>
    <row r="158" spans="1:10" x14ac:dyDescent="0.3">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3">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243</v>
      </c>
      <c r="D159" s="1" t="s">
        <v>112</v>
      </c>
      <c r="E159" s="1" t="s">
        <v>244</v>
      </c>
      <c r="F159" s="1" t="s">
        <v>245</v>
      </c>
      <c r="G159" s="1" t="s">
        <v>246</v>
      </c>
      <c r="H159" s="1" t="s">
        <v>247</v>
      </c>
      <c r="I159" s="1" t="s">
        <v>248</v>
      </c>
      <c r="J159" s="1" t="s">
        <v>249</v>
      </c>
    </row>
    <row r="160" spans="1:10" x14ac:dyDescent="0.3">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2013</v>
      </c>
      <c r="D160" s="1" t="s">
        <v>112</v>
      </c>
      <c r="E160" s="1" t="s">
        <v>2014</v>
      </c>
      <c r="F160" s="1" t="s">
        <v>2015</v>
      </c>
      <c r="G160" s="1" t="s">
        <v>2016</v>
      </c>
      <c r="H160" s="1" t="s">
        <v>2017</v>
      </c>
      <c r="I160" s="1">
        <v>24</v>
      </c>
      <c r="J160" s="1">
        <v>24</v>
      </c>
    </row>
    <row r="161" spans="1:7" x14ac:dyDescent="0.3">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3">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3">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3">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3">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3">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255</v>
      </c>
      <c r="D166" s="1" t="s">
        <v>110</v>
      </c>
      <c r="E166" s="1" t="s">
        <v>111</v>
      </c>
      <c r="F166" s="1" t="s">
        <v>112</v>
      </c>
      <c r="G166" s="1" t="s">
        <v>113</v>
      </c>
    </row>
    <row r="167" spans="1:7" x14ac:dyDescent="0.3">
      <c r="A167" s="1" t="str">
        <f t="shared" si="2"/>
        <v>06 EE2 170</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2018</v>
      </c>
      <c r="D167" s="1" t="s">
        <v>2019</v>
      </c>
      <c r="E167" s="1" t="s">
        <v>2020</v>
      </c>
      <c r="F167" s="1" t="s">
        <v>112</v>
      </c>
      <c r="G167" s="1">
        <v>4095512</v>
      </c>
    </row>
    <row r="168" spans="1:7" x14ac:dyDescent="0.3">
      <c r="A168" s="1" t="str">
        <f t="shared" si="2"/>
        <v>06 EE2 170</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2021</v>
      </c>
      <c r="D168" s="1" t="s">
        <v>2019</v>
      </c>
      <c r="E168" s="1" t="s">
        <v>2022</v>
      </c>
      <c r="F168" s="1" t="s">
        <v>112</v>
      </c>
      <c r="G168" s="1">
        <v>4086233</v>
      </c>
    </row>
    <row r="169" spans="1:7" x14ac:dyDescent="0.3">
      <c r="A169" s="1" t="str">
        <f t="shared" si="2"/>
        <v>06 EE2 170</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2023</v>
      </c>
      <c r="D169" s="1" t="s">
        <v>2024</v>
      </c>
      <c r="E169" s="1" t="s">
        <v>2025</v>
      </c>
      <c r="F169" s="1" t="s">
        <v>112</v>
      </c>
      <c r="G169" s="1">
        <v>3409650</v>
      </c>
    </row>
    <row r="170" spans="1:7" x14ac:dyDescent="0.3">
      <c r="A170" s="1" t="str">
        <f t="shared" si="2"/>
        <v>06 EE2 170</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2026</v>
      </c>
      <c r="D170" s="1" t="s">
        <v>2027</v>
      </c>
      <c r="E170" s="1" t="s">
        <v>2028</v>
      </c>
      <c r="F170" s="1" t="s">
        <v>112</v>
      </c>
      <c r="G170" s="1">
        <v>3652381</v>
      </c>
    </row>
    <row r="171" spans="1:7" x14ac:dyDescent="0.3">
      <c r="A171" s="1" t="str">
        <f t="shared" si="2"/>
        <v>06 EE2 170</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2029</v>
      </c>
      <c r="D171" s="1" t="s">
        <v>2030</v>
      </c>
      <c r="E171" s="1" t="s">
        <v>2031</v>
      </c>
      <c r="F171" s="1" t="s">
        <v>112</v>
      </c>
      <c r="G171" s="1">
        <v>3404956</v>
      </c>
    </row>
    <row r="172" spans="1:7" x14ac:dyDescent="0.3">
      <c r="A172" s="1" t="str">
        <f t="shared" si="2"/>
        <v>06 EE2 170</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2032</v>
      </c>
      <c r="D172" s="1" t="s">
        <v>2033</v>
      </c>
      <c r="E172" s="1" t="s">
        <v>2034</v>
      </c>
      <c r="F172" s="1" t="s">
        <v>112</v>
      </c>
      <c r="G172" s="1">
        <v>3546070</v>
      </c>
    </row>
    <row r="173" spans="1:7" x14ac:dyDescent="0.3">
      <c r="A173" s="1" t="str">
        <f t="shared" si="2"/>
        <v>06 EE2 170</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2035</v>
      </c>
      <c r="D173" s="1" t="s">
        <v>2036</v>
      </c>
      <c r="E173" s="1" t="s">
        <v>2037</v>
      </c>
      <c r="F173" s="1" t="s">
        <v>112</v>
      </c>
      <c r="G173" s="1">
        <v>1658905</v>
      </c>
    </row>
    <row r="174" spans="1:7" x14ac:dyDescent="0.3">
      <c r="A174" s="1" t="str">
        <f t="shared" si="2"/>
        <v>06 EE2 170</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2038</v>
      </c>
      <c r="D174" s="1" t="s">
        <v>2039</v>
      </c>
      <c r="E174" s="1" t="s">
        <v>2040</v>
      </c>
      <c r="F174" s="1" t="s">
        <v>112</v>
      </c>
      <c r="G174" s="1">
        <v>1401487</v>
      </c>
    </row>
    <row r="175" spans="1:7" x14ac:dyDescent="0.3">
      <c r="A175" s="1" t="str">
        <f t="shared" si="2"/>
        <v>06 EE2 170</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2041</v>
      </c>
      <c r="D175" s="1" t="s">
        <v>2042</v>
      </c>
      <c r="E175" s="1" t="s">
        <v>2043</v>
      </c>
      <c r="F175" s="1" t="s">
        <v>112</v>
      </c>
      <c r="G175" s="1">
        <v>1630937</v>
      </c>
    </row>
    <row r="176" spans="1:7" x14ac:dyDescent="0.3">
      <c r="A176" s="1" t="str">
        <f t="shared" si="2"/>
        <v>06 EE2 170</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2044</v>
      </c>
      <c r="D176" s="1" t="s">
        <v>2045</v>
      </c>
      <c r="E176" s="1" t="s">
        <v>2046</v>
      </c>
      <c r="F176" s="1" t="s">
        <v>112</v>
      </c>
      <c r="G176" s="1">
        <v>2115101</v>
      </c>
    </row>
    <row r="177" spans="1:10" x14ac:dyDescent="0.3">
      <c r="A177" s="1" t="str">
        <f t="shared" si="2"/>
        <v>06 EE2 170</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2047</v>
      </c>
      <c r="D177" s="1" t="s">
        <v>619</v>
      </c>
      <c r="E177" s="1" t="s">
        <v>2048</v>
      </c>
      <c r="F177" s="1" t="s">
        <v>112</v>
      </c>
      <c r="G177" s="1">
        <v>2608219</v>
      </c>
    </row>
    <row r="178" spans="1:10" x14ac:dyDescent="0.3">
      <c r="A178" s="1" t="str">
        <f t="shared" si="2"/>
        <v>06 EE2 170</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2049</v>
      </c>
      <c r="D178" s="1" t="s">
        <v>2050</v>
      </c>
      <c r="E178" s="1" t="s">
        <v>2051</v>
      </c>
      <c r="F178" s="1" t="s">
        <v>112</v>
      </c>
      <c r="G178" s="1">
        <v>2407559</v>
      </c>
    </row>
    <row r="179" spans="1:10" x14ac:dyDescent="0.3">
      <c r="A179" s="1" t="str">
        <f t="shared" si="2"/>
        <v>06 EE2 170</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2052</v>
      </c>
      <c r="D179" s="1" t="s">
        <v>2053</v>
      </c>
      <c r="E179" s="1" t="s">
        <v>2054</v>
      </c>
      <c r="F179" s="1" t="s">
        <v>112</v>
      </c>
      <c r="G179" s="1">
        <v>4013189</v>
      </c>
    </row>
    <row r="180" spans="1:10" x14ac:dyDescent="0.3">
      <c r="A180" s="1" t="str">
        <f t="shared" si="2"/>
        <v>06 EE2 170</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2055</v>
      </c>
      <c r="D180" s="1" t="s">
        <v>2056</v>
      </c>
      <c r="E180" s="1" t="s">
        <v>2057</v>
      </c>
      <c r="F180" s="1" t="s">
        <v>112</v>
      </c>
      <c r="G180" s="1">
        <v>3854144</v>
      </c>
    </row>
    <row r="181" spans="1:10" x14ac:dyDescent="0.3">
      <c r="A181" s="1" t="str">
        <f t="shared" si="2"/>
        <v>06 EE2 170</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2058</v>
      </c>
      <c r="D181" s="1" t="s">
        <v>2059</v>
      </c>
      <c r="E181" s="1" t="s">
        <v>2060</v>
      </c>
      <c r="F181" s="1" t="s">
        <v>112</v>
      </c>
      <c r="G181" s="1">
        <v>4120235</v>
      </c>
    </row>
    <row r="182" spans="1:10" x14ac:dyDescent="0.3">
      <c r="A182" s="1" t="str">
        <f t="shared" si="2"/>
        <v>06 EE2 170</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2061</v>
      </c>
      <c r="D182" s="1" t="s">
        <v>2062</v>
      </c>
      <c r="E182" s="1" t="s">
        <v>2063</v>
      </c>
      <c r="F182" s="1" t="s">
        <v>112</v>
      </c>
      <c r="G182" s="1">
        <v>3850835</v>
      </c>
    </row>
    <row r="183" spans="1:10" x14ac:dyDescent="0.3">
      <c r="A183" s="1" t="str">
        <f t="shared" si="2"/>
        <v>06 EE2 170</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2064</v>
      </c>
      <c r="D183" s="1" t="s">
        <v>2065</v>
      </c>
      <c r="E183" s="1" t="s">
        <v>2066</v>
      </c>
      <c r="F183" s="1" t="s">
        <v>112</v>
      </c>
      <c r="G183" s="1">
        <v>3185002</v>
      </c>
    </row>
    <row r="184" spans="1:10" x14ac:dyDescent="0.3">
      <c r="A184" s="1" t="str">
        <f t="shared" si="2"/>
        <v>06 EE2 170</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2067</v>
      </c>
      <c r="D184" s="1" t="s">
        <v>2068</v>
      </c>
      <c r="E184" s="1" t="s">
        <v>2069</v>
      </c>
      <c r="F184" s="1" t="s">
        <v>112</v>
      </c>
      <c r="G184" s="1">
        <v>3450184</v>
      </c>
    </row>
    <row r="185" spans="1:10" x14ac:dyDescent="0.3">
      <c r="A185" s="1" t="str">
        <f t="shared" si="2"/>
        <v>06 EE2 170</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2070</v>
      </c>
      <c r="D185" s="1" t="s">
        <v>2071</v>
      </c>
      <c r="E185" s="1" t="s">
        <v>2072</v>
      </c>
      <c r="F185" s="1" t="s">
        <v>112</v>
      </c>
      <c r="G185" s="1">
        <v>3449882</v>
      </c>
    </row>
    <row r="186" spans="1:10" x14ac:dyDescent="0.3">
      <c r="A186" s="1" t="str">
        <f t="shared" si="2"/>
        <v>06 EE2 170</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2073</v>
      </c>
      <c r="D186" s="1" t="s">
        <v>2074</v>
      </c>
      <c r="E186" s="1" t="s">
        <v>2075</v>
      </c>
      <c r="F186" s="1" t="s">
        <v>112</v>
      </c>
      <c r="G186" s="1">
        <v>3178232</v>
      </c>
    </row>
    <row r="187" spans="1:10" x14ac:dyDescent="0.3">
      <c r="A187" s="1" t="str">
        <f t="shared" si="2"/>
        <v>06 EE2 170</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2076</v>
      </c>
      <c r="D187" s="1" t="s">
        <v>2077</v>
      </c>
      <c r="E187" s="1" t="s">
        <v>2078</v>
      </c>
      <c r="F187" s="1" t="s">
        <v>112</v>
      </c>
      <c r="G187" s="1">
        <v>3429982</v>
      </c>
    </row>
    <row r="188" spans="1:10" x14ac:dyDescent="0.3">
      <c r="A188" s="1" t="str">
        <f t="shared" si="2"/>
        <v>06 EE2 170</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2079</v>
      </c>
      <c r="D188" s="1" t="s">
        <v>2080</v>
      </c>
      <c r="E188" s="1" t="s">
        <v>2081</v>
      </c>
      <c r="F188" s="1" t="s">
        <v>112</v>
      </c>
      <c r="G188" s="1">
        <v>2085360</v>
      </c>
    </row>
    <row r="189" spans="1:10" x14ac:dyDescent="0.3">
      <c r="A189" s="1" t="str">
        <f t="shared" si="2"/>
        <v>06 EE2 170</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2082</v>
      </c>
      <c r="D189" s="1" t="s">
        <v>2083</v>
      </c>
      <c r="E189" s="1" t="s">
        <v>2084</v>
      </c>
      <c r="F189" s="1" t="s">
        <v>112</v>
      </c>
      <c r="G189" s="1">
        <v>2860186</v>
      </c>
    </row>
    <row r="190" spans="1:10" x14ac:dyDescent="0.3">
      <c r="A190" s="1" t="str">
        <f t="shared" si="2"/>
        <v>06 EE2 170</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2085</v>
      </c>
      <c r="D190" s="1" t="s">
        <v>2086</v>
      </c>
      <c r="E190" s="1" t="s">
        <v>2087</v>
      </c>
      <c r="F190" s="1" t="s">
        <v>112</v>
      </c>
      <c r="G190" s="1">
        <v>2523322</v>
      </c>
    </row>
    <row r="191" spans="1:10" x14ac:dyDescent="0.3">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3">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243</v>
      </c>
      <c r="D192" s="1" t="s">
        <v>112</v>
      </c>
      <c r="E192" s="1" t="s">
        <v>244</v>
      </c>
      <c r="F192" s="1" t="s">
        <v>245</v>
      </c>
      <c r="G192" s="1" t="s">
        <v>246</v>
      </c>
      <c r="H192" s="1" t="s">
        <v>247</v>
      </c>
      <c r="I192" s="1" t="s">
        <v>248</v>
      </c>
      <c r="J192" s="1" t="s">
        <v>249</v>
      </c>
    </row>
    <row r="193" spans="1:10" x14ac:dyDescent="0.3">
      <c r="A193" s="1" t="str">
        <f t="shared" si="2"/>
        <v>06 EE2 170</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2088</v>
      </c>
      <c r="D193" s="1" t="s">
        <v>112</v>
      </c>
      <c r="E193" s="1" t="s">
        <v>2089</v>
      </c>
      <c r="F193" s="1" t="s">
        <v>2090</v>
      </c>
      <c r="G193" s="1" t="s">
        <v>2091</v>
      </c>
      <c r="H193" s="1" t="s">
        <v>2092</v>
      </c>
      <c r="I193" s="1">
        <v>24</v>
      </c>
      <c r="J193" s="1">
        <v>24</v>
      </c>
    </row>
    <row r="194" spans="1:10" x14ac:dyDescent="0.3">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3">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3">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3">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3">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3">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255</v>
      </c>
      <c r="D199" s="1" t="s">
        <v>110</v>
      </c>
      <c r="E199" s="1" t="s">
        <v>111</v>
      </c>
      <c r="F199" s="1" t="s">
        <v>112</v>
      </c>
      <c r="G199" s="1" t="s">
        <v>113</v>
      </c>
    </row>
    <row r="200" spans="1:10" x14ac:dyDescent="0.3">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2093</v>
      </c>
      <c r="D200" s="1" t="s">
        <v>2094</v>
      </c>
      <c r="E200" s="1" t="s">
        <v>2095</v>
      </c>
      <c r="F200" s="1" t="s">
        <v>112</v>
      </c>
      <c r="G200" s="1">
        <v>6831802</v>
      </c>
    </row>
    <row r="201" spans="1:10" x14ac:dyDescent="0.3">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2096</v>
      </c>
      <c r="D201" s="1" t="s">
        <v>2097</v>
      </c>
      <c r="E201" s="1" t="s">
        <v>2098</v>
      </c>
      <c r="F201" s="1" t="s">
        <v>112</v>
      </c>
      <c r="G201" s="1">
        <v>6451008</v>
      </c>
    </row>
    <row r="202" spans="1:10" x14ac:dyDescent="0.3">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2099</v>
      </c>
      <c r="D202" s="1" t="s">
        <v>2100</v>
      </c>
      <c r="E202" s="1" t="s">
        <v>2101</v>
      </c>
      <c r="F202" s="1" t="s">
        <v>112</v>
      </c>
      <c r="G202" s="1">
        <v>6885379</v>
      </c>
    </row>
    <row r="203" spans="1:10" x14ac:dyDescent="0.3">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2102</v>
      </c>
      <c r="D203" s="1" t="s">
        <v>2103</v>
      </c>
      <c r="E203" s="1" t="s">
        <v>2104</v>
      </c>
      <c r="F203" s="1" t="s">
        <v>112</v>
      </c>
      <c r="G203" s="1">
        <v>5433127</v>
      </c>
    </row>
    <row r="204" spans="1:10" x14ac:dyDescent="0.3">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2105</v>
      </c>
      <c r="D204" s="1" t="s">
        <v>2106</v>
      </c>
      <c r="E204" s="1" t="s">
        <v>2107</v>
      </c>
      <c r="F204" s="1" t="s">
        <v>112</v>
      </c>
      <c r="G204" s="1">
        <v>5524297</v>
      </c>
    </row>
    <row r="205" spans="1:10" x14ac:dyDescent="0.3">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2108</v>
      </c>
      <c r="D205" s="1" t="s">
        <v>2109</v>
      </c>
      <c r="E205" s="1" t="s">
        <v>2110</v>
      </c>
      <c r="F205" s="1" t="s">
        <v>112</v>
      </c>
      <c r="G205" s="1">
        <v>5451923</v>
      </c>
    </row>
    <row r="206" spans="1:10" x14ac:dyDescent="0.3">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2111</v>
      </c>
      <c r="D206" s="1" t="s">
        <v>2112</v>
      </c>
      <c r="E206" s="1" t="s">
        <v>2113</v>
      </c>
      <c r="F206" s="1" t="s">
        <v>112</v>
      </c>
      <c r="G206" s="1">
        <v>1888355</v>
      </c>
    </row>
    <row r="207" spans="1:10" x14ac:dyDescent="0.3">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2114</v>
      </c>
      <c r="D207" s="1" t="s">
        <v>2115</v>
      </c>
      <c r="E207" s="1" t="s">
        <v>2116</v>
      </c>
      <c r="F207" s="1" t="s">
        <v>112</v>
      </c>
      <c r="G207" s="1">
        <v>2335942</v>
      </c>
    </row>
    <row r="208" spans="1:10" x14ac:dyDescent="0.3">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2117</v>
      </c>
      <c r="D208" s="1" t="s">
        <v>2118</v>
      </c>
      <c r="E208" s="1" t="s">
        <v>2119</v>
      </c>
      <c r="F208" s="1" t="s">
        <v>112</v>
      </c>
      <c r="G208" s="1">
        <v>2540215</v>
      </c>
    </row>
    <row r="209" spans="1:7" x14ac:dyDescent="0.3">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2120</v>
      </c>
      <c r="D209" s="1" t="s">
        <v>2121</v>
      </c>
      <c r="E209" s="1" t="s">
        <v>2122</v>
      </c>
      <c r="F209" s="1" t="s">
        <v>112</v>
      </c>
      <c r="G209" s="1">
        <v>4924608</v>
      </c>
    </row>
    <row r="210" spans="1:7" x14ac:dyDescent="0.3">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2123</v>
      </c>
      <c r="D210" s="1" t="s">
        <v>2124</v>
      </c>
      <c r="E210" s="1" t="s">
        <v>2125</v>
      </c>
      <c r="F210" s="1" t="s">
        <v>112</v>
      </c>
      <c r="G210" s="1">
        <v>5156069</v>
      </c>
    </row>
    <row r="211" spans="1:7" x14ac:dyDescent="0.3">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2126</v>
      </c>
      <c r="D211" s="1" t="s">
        <v>2127</v>
      </c>
      <c r="E211" s="1" t="s">
        <v>2128</v>
      </c>
      <c r="F211" s="1" t="s">
        <v>112</v>
      </c>
      <c r="G211" s="1">
        <v>5234002</v>
      </c>
    </row>
    <row r="212" spans="1:7" x14ac:dyDescent="0.3">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2129</v>
      </c>
      <c r="D212" s="1" t="s">
        <v>2130</v>
      </c>
      <c r="E212" s="1" t="s">
        <v>2131</v>
      </c>
      <c r="F212" s="1" t="s">
        <v>112</v>
      </c>
      <c r="G212" s="1">
        <v>6837448</v>
      </c>
    </row>
    <row r="213" spans="1:7" x14ac:dyDescent="0.3">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2132</v>
      </c>
      <c r="D213" s="1" t="s">
        <v>2133</v>
      </c>
      <c r="E213" s="1" t="s">
        <v>2134</v>
      </c>
      <c r="F213" s="1" t="s">
        <v>112</v>
      </c>
      <c r="G213" s="1">
        <v>6798081</v>
      </c>
    </row>
    <row r="214" spans="1:7" x14ac:dyDescent="0.3">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2135</v>
      </c>
      <c r="D214" s="1" t="s">
        <v>2136</v>
      </c>
      <c r="E214" s="1" t="s">
        <v>2137</v>
      </c>
      <c r="F214" s="1" t="s">
        <v>112</v>
      </c>
      <c r="G214" s="1">
        <v>6262503</v>
      </c>
    </row>
    <row r="215" spans="1:7" x14ac:dyDescent="0.3">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2138</v>
      </c>
      <c r="D215" s="1" t="s">
        <v>2139</v>
      </c>
      <c r="E215" s="1" t="s">
        <v>2140</v>
      </c>
      <c r="F215" s="1" t="s">
        <v>112</v>
      </c>
      <c r="G215" s="1">
        <v>7342268</v>
      </c>
    </row>
    <row r="216" spans="1:7" x14ac:dyDescent="0.3">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2141</v>
      </c>
      <c r="D216" s="1" t="s">
        <v>2142</v>
      </c>
      <c r="E216" s="1" t="s">
        <v>2143</v>
      </c>
      <c r="F216" s="1" t="s">
        <v>112</v>
      </c>
      <c r="G216" s="1">
        <v>6241479</v>
      </c>
    </row>
    <row r="217" spans="1:7" x14ac:dyDescent="0.3">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2144</v>
      </c>
      <c r="D217" s="1" t="s">
        <v>2145</v>
      </c>
      <c r="E217" s="1" t="s">
        <v>2146</v>
      </c>
      <c r="F217" s="1" t="s">
        <v>112</v>
      </c>
      <c r="G217" s="1">
        <v>5972036</v>
      </c>
    </row>
    <row r="218" spans="1:7" x14ac:dyDescent="0.3">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2147</v>
      </c>
      <c r="D218" s="1" t="s">
        <v>2148</v>
      </c>
      <c r="E218" s="1" t="s">
        <v>2149</v>
      </c>
      <c r="F218" s="1" t="s">
        <v>112</v>
      </c>
      <c r="G218" s="1">
        <v>6928445</v>
      </c>
    </row>
    <row r="219" spans="1:7" x14ac:dyDescent="0.3">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2150</v>
      </c>
      <c r="D219" s="1" t="s">
        <v>2151</v>
      </c>
      <c r="E219" s="1" t="s">
        <v>2152</v>
      </c>
      <c r="F219" s="1" t="s">
        <v>112</v>
      </c>
      <c r="G219" s="1">
        <v>7489675</v>
      </c>
    </row>
    <row r="220" spans="1:7" x14ac:dyDescent="0.3">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2153</v>
      </c>
      <c r="D220" s="1" t="s">
        <v>2154</v>
      </c>
      <c r="E220" s="1" t="s">
        <v>2155</v>
      </c>
      <c r="F220" s="1" t="s">
        <v>112</v>
      </c>
      <c r="G220" s="1">
        <v>6596274</v>
      </c>
    </row>
    <row r="221" spans="1:7" x14ac:dyDescent="0.3">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2156</v>
      </c>
      <c r="D221" s="1" t="s">
        <v>1394</v>
      </c>
      <c r="E221" s="1" t="s">
        <v>2157</v>
      </c>
      <c r="F221" s="1" t="s">
        <v>112</v>
      </c>
      <c r="G221" s="1">
        <v>4227152</v>
      </c>
    </row>
    <row r="222" spans="1:7" x14ac:dyDescent="0.3">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2158</v>
      </c>
      <c r="D222" s="1" t="s">
        <v>2159</v>
      </c>
      <c r="E222" s="1" t="s">
        <v>2160</v>
      </c>
      <c r="F222" s="1" t="s">
        <v>112</v>
      </c>
      <c r="G222" s="1">
        <v>3652273</v>
      </c>
    </row>
    <row r="223" spans="1:7" x14ac:dyDescent="0.3">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2161</v>
      </c>
      <c r="D223" s="1" t="s">
        <v>2162</v>
      </c>
      <c r="E223" s="1" t="s">
        <v>2163</v>
      </c>
      <c r="F223" s="1" t="s">
        <v>112</v>
      </c>
      <c r="G223" s="1">
        <v>4016780</v>
      </c>
    </row>
    <row r="224" spans="1:7" x14ac:dyDescent="0.3">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3">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243</v>
      </c>
      <c r="D225" s="1" t="s">
        <v>112</v>
      </c>
      <c r="E225" s="1" t="s">
        <v>244</v>
      </c>
      <c r="F225" s="1" t="s">
        <v>245</v>
      </c>
      <c r="G225" s="1" t="s">
        <v>246</v>
      </c>
      <c r="H225" s="1" t="s">
        <v>247</v>
      </c>
      <c r="I225" s="1" t="s">
        <v>248</v>
      </c>
      <c r="J225" s="1" t="s">
        <v>249</v>
      </c>
    </row>
    <row r="226" spans="1:10" x14ac:dyDescent="0.3">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2164</v>
      </c>
      <c r="D226" s="1" t="s">
        <v>112</v>
      </c>
      <c r="E226" s="1" t="s">
        <v>2165</v>
      </c>
      <c r="F226" s="1" t="s">
        <v>2166</v>
      </c>
      <c r="G226" s="1" t="s">
        <v>2167</v>
      </c>
      <c r="H226" s="1" t="s">
        <v>2168</v>
      </c>
      <c r="I226" s="1">
        <v>24</v>
      </c>
      <c r="J226" s="1">
        <v>24</v>
      </c>
    </row>
    <row r="227" spans="1:10" x14ac:dyDescent="0.3">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3">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3">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3">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3">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3">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255</v>
      </c>
      <c r="D232" s="1" t="s">
        <v>110</v>
      </c>
      <c r="E232" s="1" t="s">
        <v>111</v>
      </c>
      <c r="F232" s="1" t="s">
        <v>112</v>
      </c>
      <c r="G232" s="1" t="s">
        <v>113</v>
      </c>
    </row>
    <row r="233" spans="1:10" x14ac:dyDescent="0.3">
      <c r="A233" s="1" t="str">
        <f t="shared" si="3"/>
        <v>08tam 30.2µg_L</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2169</v>
      </c>
      <c r="D233" s="1" t="s">
        <v>2170</v>
      </c>
      <c r="E233" s="1" t="s">
        <v>2171</v>
      </c>
      <c r="F233" s="1" t="s">
        <v>112</v>
      </c>
      <c r="G233" s="1">
        <v>224367</v>
      </c>
    </row>
    <row r="234" spans="1:10" x14ac:dyDescent="0.3">
      <c r="A234" s="1" t="str">
        <f t="shared" si="3"/>
        <v>08tam 30.2µg_L</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2172</v>
      </c>
      <c r="D234" s="1" t="s">
        <v>348</v>
      </c>
      <c r="E234" s="1" t="s">
        <v>2173</v>
      </c>
      <c r="F234" s="1" t="s">
        <v>112</v>
      </c>
      <c r="G234" s="1">
        <v>53080</v>
      </c>
    </row>
    <row r="235" spans="1:10" x14ac:dyDescent="0.3">
      <c r="A235" s="1" t="str">
        <f t="shared" si="3"/>
        <v>08tam 30.2µg_L</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2174</v>
      </c>
      <c r="D235" s="1" t="s">
        <v>1855</v>
      </c>
      <c r="E235" s="1" t="s">
        <v>2175</v>
      </c>
      <c r="F235" s="1" t="s">
        <v>112</v>
      </c>
      <c r="G235" s="1">
        <v>45509</v>
      </c>
    </row>
    <row r="236" spans="1:10" x14ac:dyDescent="0.3">
      <c r="A236" s="1" t="str">
        <f t="shared" si="3"/>
        <v>08tam 30.2µg_L</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2176</v>
      </c>
      <c r="D236" s="1" t="s">
        <v>394</v>
      </c>
      <c r="E236" s="1" t="s">
        <v>2177</v>
      </c>
      <c r="F236" s="1" t="s">
        <v>112</v>
      </c>
      <c r="G236" s="1">
        <v>60304</v>
      </c>
    </row>
    <row r="237" spans="1:10" x14ac:dyDescent="0.3">
      <c r="A237" s="1" t="str">
        <f t="shared" si="3"/>
        <v>08tam 30.2µg_L</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2178</v>
      </c>
      <c r="D237" s="1" t="s">
        <v>1298</v>
      </c>
      <c r="E237" s="1" t="s">
        <v>2179</v>
      </c>
      <c r="F237" s="1" t="s">
        <v>112</v>
      </c>
      <c r="G237" s="1">
        <v>20613</v>
      </c>
    </row>
    <row r="238" spans="1:10" x14ac:dyDescent="0.3">
      <c r="A238" s="1" t="str">
        <f t="shared" si="3"/>
        <v>08tam 30.2µg_L</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2180</v>
      </c>
      <c r="D238" s="1" t="s">
        <v>348</v>
      </c>
      <c r="E238" s="1" t="s">
        <v>2181</v>
      </c>
      <c r="F238" s="1" t="s">
        <v>112</v>
      </c>
      <c r="G238" s="1">
        <v>53361</v>
      </c>
    </row>
    <row r="239" spans="1:10" x14ac:dyDescent="0.3">
      <c r="A239" s="1" t="str">
        <f t="shared" si="3"/>
        <v>08tam 30.2µg_L</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2182</v>
      </c>
      <c r="D239" s="1" t="s">
        <v>2183</v>
      </c>
      <c r="E239" s="1" t="s">
        <v>2184</v>
      </c>
      <c r="F239" s="1" t="s">
        <v>112</v>
      </c>
      <c r="G239" s="1">
        <v>117191</v>
      </c>
    </row>
    <row r="240" spans="1:10" x14ac:dyDescent="0.3">
      <c r="A240" s="1" t="str">
        <f t="shared" si="3"/>
        <v>08tam 30.2µg_L</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2185</v>
      </c>
      <c r="D240" s="1" t="s">
        <v>205</v>
      </c>
      <c r="E240" s="1" t="s">
        <v>2186</v>
      </c>
      <c r="F240" s="1" t="s">
        <v>112</v>
      </c>
      <c r="G240" s="1">
        <v>12740</v>
      </c>
    </row>
    <row r="241" spans="1:7" x14ac:dyDescent="0.3">
      <c r="A241" s="1" t="str">
        <f t="shared" si="3"/>
        <v>08tam 30.2µg_L</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2187</v>
      </c>
      <c r="D241" s="1" t="s">
        <v>1927</v>
      </c>
      <c r="E241" s="1" t="s">
        <v>2188</v>
      </c>
      <c r="F241" s="1" t="s">
        <v>112</v>
      </c>
      <c r="G241" s="1">
        <v>22127</v>
      </c>
    </row>
    <row r="242" spans="1:7" x14ac:dyDescent="0.3">
      <c r="A242" s="1" t="str">
        <f t="shared" si="3"/>
        <v>08tam 30.2µg_L</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2189</v>
      </c>
      <c r="D242" s="1" t="s">
        <v>910</v>
      </c>
      <c r="E242" s="1" t="s">
        <v>2190</v>
      </c>
      <c r="F242" s="1" t="s">
        <v>112</v>
      </c>
      <c r="G242" s="1">
        <v>66209</v>
      </c>
    </row>
    <row r="243" spans="1:7" x14ac:dyDescent="0.3">
      <c r="A243" s="1" t="str">
        <f t="shared" si="3"/>
        <v>08tam 30.2µg_L</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2191</v>
      </c>
      <c r="D243" s="1" t="s">
        <v>281</v>
      </c>
      <c r="E243" s="1" t="s">
        <v>2192</v>
      </c>
      <c r="F243" s="1" t="s">
        <v>112</v>
      </c>
      <c r="G243" s="1">
        <v>113903</v>
      </c>
    </row>
    <row r="244" spans="1:7" x14ac:dyDescent="0.3">
      <c r="A244" s="1" t="str">
        <f t="shared" si="3"/>
        <v>08tam 30.2µg_L</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2193</v>
      </c>
      <c r="D244" s="1" t="s">
        <v>1266</v>
      </c>
      <c r="E244" s="1" t="s">
        <v>2194</v>
      </c>
      <c r="F244" s="1" t="s">
        <v>112</v>
      </c>
      <c r="G244" s="1">
        <v>149225</v>
      </c>
    </row>
    <row r="245" spans="1:7" x14ac:dyDescent="0.3">
      <c r="A245" s="1" t="str">
        <f t="shared" si="3"/>
        <v>08tam 30.2µg_L</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2195</v>
      </c>
      <c r="D245" s="1" t="s">
        <v>874</v>
      </c>
      <c r="E245" s="1" t="s">
        <v>2196</v>
      </c>
      <c r="F245" s="1" t="s">
        <v>112</v>
      </c>
      <c r="G245" s="1">
        <v>27492</v>
      </c>
    </row>
    <row r="246" spans="1:7" x14ac:dyDescent="0.3">
      <c r="A246" s="1" t="str">
        <f t="shared" si="3"/>
        <v>08tam 30.2µg_L</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2197</v>
      </c>
      <c r="D246" s="1" t="s">
        <v>1301</v>
      </c>
      <c r="E246" s="1" t="s">
        <v>2198</v>
      </c>
      <c r="F246" s="1" t="s">
        <v>112</v>
      </c>
      <c r="G246" s="1">
        <v>17499</v>
      </c>
    </row>
    <row r="247" spans="1:7" x14ac:dyDescent="0.3">
      <c r="A247" s="1" t="str">
        <f t="shared" si="3"/>
        <v>08tam 30.2µg_L</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2199</v>
      </c>
      <c r="D247" s="1" t="s">
        <v>1869</v>
      </c>
      <c r="E247" s="1">
        <v>66</v>
      </c>
      <c r="F247" s="1" t="s">
        <v>112</v>
      </c>
      <c r="G247" s="1">
        <v>7138</v>
      </c>
    </row>
    <row r="248" spans="1:7" x14ac:dyDescent="0.3">
      <c r="A248" s="1" t="str">
        <f t="shared" si="3"/>
        <v>08tam 30.2µg_L</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2200</v>
      </c>
      <c r="D248" s="1" t="s">
        <v>790</v>
      </c>
      <c r="E248" s="1" t="s">
        <v>2201</v>
      </c>
      <c r="F248" s="1" t="s">
        <v>112</v>
      </c>
      <c r="G248" s="1">
        <v>356937</v>
      </c>
    </row>
    <row r="249" spans="1:7" x14ac:dyDescent="0.3">
      <c r="A249" s="1" t="str">
        <f t="shared" si="3"/>
        <v>08tam 30.2µg_L</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2202</v>
      </c>
      <c r="D249" s="1" t="s">
        <v>2203</v>
      </c>
      <c r="E249" s="1" t="s">
        <v>2204</v>
      </c>
      <c r="F249" s="1" t="s">
        <v>112</v>
      </c>
      <c r="G249" s="1">
        <v>468850</v>
      </c>
    </row>
    <row r="250" spans="1:7" x14ac:dyDescent="0.3">
      <c r="A250" s="1" t="str">
        <f t="shared" si="3"/>
        <v>08tam 30.2µg_L</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2205</v>
      </c>
      <c r="D250" s="1" t="s">
        <v>420</v>
      </c>
      <c r="E250" s="1" t="s">
        <v>2206</v>
      </c>
      <c r="F250" s="1" t="s">
        <v>112</v>
      </c>
      <c r="G250" s="1">
        <v>132656</v>
      </c>
    </row>
    <row r="251" spans="1:7" x14ac:dyDescent="0.3">
      <c r="A251" s="1" t="str">
        <f t="shared" si="3"/>
        <v>08tam 30.2µg_L</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2207</v>
      </c>
      <c r="D251" s="1" t="s">
        <v>2208</v>
      </c>
      <c r="E251" s="1" t="s">
        <v>2209</v>
      </c>
      <c r="F251" s="1" t="s">
        <v>112</v>
      </c>
      <c r="G251" s="1">
        <v>170941</v>
      </c>
    </row>
    <row r="252" spans="1:7" x14ac:dyDescent="0.3">
      <c r="A252" s="1" t="str">
        <f t="shared" si="3"/>
        <v>08tam 30.2µg_L</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2210</v>
      </c>
      <c r="D252" s="1" t="s">
        <v>2211</v>
      </c>
      <c r="E252" s="1" t="s">
        <v>2212</v>
      </c>
      <c r="F252" s="1" t="s">
        <v>112</v>
      </c>
      <c r="G252" s="1">
        <v>511114</v>
      </c>
    </row>
    <row r="253" spans="1:7" x14ac:dyDescent="0.3">
      <c r="A253" s="1" t="str">
        <f t="shared" si="3"/>
        <v>08tam 30.2µg_L</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2213</v>
      </c>
      <c r="D253" s="1" t="s">
        <v>793</v>
      </c>
      <c r="E253" s="1" t="s">
        <v>2214</v>
      </c>
      <c r="F253" s="1" t="s">
        <v>112</v>
      </c>
      <c r="G253" s="1">
        <v>162851</v>
      </c>
    </row>
    <row r="254" spans="1:7" x14ac:dyDescent="0.3">
      <c r="A254" s="1" t="str">
        <f t="shared" si="3"/>
        <v>08tam 30.2µg_L</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2215</v>
      </c>
      <c r="D254" s="1" t="s">
        <v>2216</v>
      </c>
      <c r="E254" s="1" t="s">
        <v>2217</v>
      </c>
      <c r="F254" s="1" t="s">
        <v>112</v>
      </c>
      <c r="G254" s="1">
        <v>186623</v>
      </c>
    </row>
    <row r="255" spans="1:7" x14ac:dyDescent="0.3">
      <c r="A255" s="1" t="str">
        <f t="shared" si="3"/>
        <v>08tam 30.2µg_L</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2218</v>
      </c>
      <c r="D255" s="1" t="s">
        <v>756</v>
      </c>
      <c r="E255" s="1" t="s">
        <v>2219</v>
      </c>
      <c r="F255" s="1" t="s">
        <v>112</v>
      </c>
      <c r="G255" s="1">
        <v>153702</v>
      </c>
    </row>
    <row r="256" spans="1:7" x14ac:dyDescent="0.3">
      <c r="A256" s="1" t="str">
        <f t="shared" si="3"/>
        <v>08tam 30.2µg_L</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2220</v>
      </c>
      <c r="D256" s="1" t="s">
        <v>1861</v>
      </c>
      <c r="E256" s="1" t="s">
        <v>2221</v>
      </c>
      <c r="F256" s="1" t="s">
        <v>112</v>
      </c>
      <c r="G256" s="1">
        <v>165469</v>
      </c>
    </row>
    <row r="257" spans="1:10" x14ac:dyDescent="0.3">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3">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243</v>
      </c>
      <c r="D258" s="1" t="s">
        <v>112</v>
      </c>
      <c r="E258" s="1" t="s">
        <v>244</v>
      </c>
      <c r="F258" s="1" t="s">
        <v>245</v>
      </c>
      <c r="G258" s="1" t="s">
        <v>246</v>
      </c>
      <c r="H258" s="1" t="s">
        <v>247</v>
      </c>
      <c r="I258" s="1" t="s">
        <v>248</v>
      </c>
      <c r="J258" s="1" t="s">
        <v>249</v>
      </c>
    </row>
    <row r="259" spans="1:10" x14ac:dyDescent="0.3">
      <c r="A259" s="1" t="str">
        <f t="shared" si="4"/>
        <v>08tam 30.2µg_L</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2222</v>
      </c>
      <c r="D259" s="1" t="s">
        <v>112</v>
      </c>
      <c r="E259" s="1" t="s">
        <v>2223</v>
      </c>
      <c r="F259" s="1" t="s">
        <v>2224</v>
      </c>
      <c r="G259" s="1" t="s">
        <v>2225</v>
      </c>
      <c r="H259" s="1" t="s">
        <v>2226</v>
      </c>
      <c r="I259" s="1">
        <v>24</v>
      </c>
      <c r="J259" s="1">
        <v>24</v>
      </c>
    </row>
    <row r="260" spans="1:10" x14ac:dyDescent="0.3">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3">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3">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3">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3">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3">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255</v>
      </c>
      <c r="D265" s="1" t="s">
        <v>110</v>
      </c>
      <c r="E265" s="1" t="s">
        <v>111</v>
      </c>
      <c r="F265" s="1" t="s">
        <v>112</v>
      </c>
      <c r="G265" s="1" t="s">
        <v>113</v>
      </c>
    </row>
    <row r="266" spans="1:10" x14ac:dyDescent="0.3">
      <c r="A266" s="1" t="str">
        <f t="shared" si="4"/>
        <v>09 tam 60.4µg_L</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2227</v>
      </c>
      <c r="D266" s="1" t="s">
        <v>414</v>
      </c>
      <c r="E266" s="1" t="s">
        <v>2228</v>
      </c>
      <c r="F266" s="1" t="s">
        <v>112</v>
      </c>
      <c r="G266" s="1">
        <v>42611</v>
      </c>
    </row>
    <row r="267" spans="1:10" x14ac:dyDescent="0.3">
      <c r="A267" s="1" t="str">
        <f t="shared" si="4"/>
        <v>09 tam 60.4µg_L</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2229</v>
      </c>
      <c r="D267" s="1" t="s">
        <v>910</v>
      </c>
      <c r="E267" s="1" t="s">
        <v>2230</v>
      </c>
      <c r="F267" s="1" t="s">
        <v>112</v>
      </c>
      <c r="G267" s="1">
        <v>69994</v>
      </c>
    </row>
    <row r="268" spans="1:10" x14ac:dyDescent="0.3">
      <c r="A268" s="1" t="str">
        <f t="shared" si="4"/>
        <v>09 tam 60.4µg_L</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2231</v>
      </c>
      <c r="D268" s="1" t="s">
        <v>2232</v>
      </c>
      <c r="E268" s="1" t="s">
        <v>2233</v>
      </c>
      <c r="F268" s="1" t="s">
        <v>112</v>
      </c>
      <c r="G268" s="1">
        <v>86368</v>
      </c>
    </row>
    <row r="269" spans="1:10" x14ac:dyDescent="0.3">
      <c r="A269" s="1" t="str">
        <f t="shared" si="4"/>
        <v>09 tam 60.4µg_L</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2234</v>
      </c>
      <c r="D269" s="1" t="s">
        <v>1848</v>
      </c>
      <c r="E269" s="1" t="s">
        <v>2235</v>
      </c>
      <c r="F269" s="1" t="s">
        <v>112</v>
      </c>
      <c r="G269" s="1">
        <v>67009</v>
      </c>
    </row>
    <row r="270" spans="1:10" x14ac:dyDescent="0.3">
      <c r="A270" s="1" t="str">
        <f t="shared" si="4"/>
        <v>09 tam 60.4µg_L</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2236</v>
      </c>
      <c r="D270" s="1" t="s">
        <v>910</v>
      </c>
      <c r="E270" s="1" t="s">
        <v>218</v>
      </c>
      <c r="F270" s="1" t="s">
        <v>112</v>
      </c>
      <c r="G270" s="1">
        <v>64306</v>
      </c>
    </row>
    <row r="271" spans="1:10" x14ac:dyDescent="0.3">
      <c r="A271" s="1" t="str">
        <f t="shared" si="4"/>
        <v>09 tam 60.4µg_L</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2237</v>
      </c>
      <c r="D271" s="1" t="s">
        <v>772</v>
      </c>
      <c r="E271" s="1" t="s">
        <v>2238</v>
      </c>
      <c r="F271" s="1" t="s">
        <v>112</v>
      </c>
      <c r="G271" s="1">
        <v>51544</v>
      </c>
    </row>
    <row r="272" spans="1:10" x14ac:dyDescent="0.3">
      <c r="A272" s="1" t="str">
        <f t="shared" si="4"/>
        <v>09 tam 60.4µg_L</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2239</v>
      </c>
      <c r="D272" s="1" t="s">
        <v>885</v>
      </c>
      <c r="E272" s="1" t="s">
        <v>2240</v>
      </c>
      <c r="F272" s="1" t="s">
        <v>112</v>
      </c>
      <c r="G272" s="1">
        <v>204532</v>
      </c>
    </row>
    <row r="273" spans="1:7" x14ac:dyDescent="0.3">
      <c r="A273" s="1" t="str">
        <f t="shared" si="4"/>
        <v>09 tam 60.4µg_L</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2241</v>
      </c>
      <c r="D273" s="1" t="s">
        <v>2242</v>
      </c>
      <c r="E273" s="1" t="s">
        <v>2243</v>
      </c>
      <c r="F273" s="1" t="s">
        <v>112</v>
      </c>
      <c r="G273" s="1">
        <v>165252</v>
      </c>
    </row>
    <row r="274" spans="1:7" x14ac:dyDescent="0.3">
      <c r="A274" s="1" t="str">
        <f t="shared" si="4"/>
        <v>09 tam 60.4µg_L</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2244</v>
      </c>
      <c r="D274" s="1" t="s">
        <v>2245</v>
      </c>
      <c r="E274" s="1" t="s">
        <v>2246</v>
      </c>
      <c r="F274" s="1" t="s">
        <v>112</v>
      </c>
      <c r="G274" s="1">
        <v>179463</v>
      </c>
    </row>
    <row r="275" spans="1:7" x14ac:dyDescent="0.3">
      <c r="A275" s="1" t="str">
        <f t="shared" si="4"/>
        <v>09 tam 60.4µg_L</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2247</v>
      </c>
      <c r="D275" s="1" t="s">
        <v>1936</v>
      </c>
      <c r="E275" s="1" t="s">
        <v>2248</v>
      </c>
      <c r="F275" s="1" t="s">
        <v>112</v>
      </c>
      <c r="G275" s="1">
        <v>330505</v>
      </c>
    </row>
    <row r="276" spans="1:7" x14ac:dyDescent="0.3">
      <c r="A276" s="1" t="str">
        <f t="shared" si="4"/>
        <v>09 tam 60.4µg_L</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2249</v>
      </c>
      <c r="D276" s="1" t="s">
        <v>2250</v>
      </c>
      <c r="E276" s="1" t="s">
        <v>2251</v>
      </c>
      <c r="F276" s="1" t="s">
        <v>112</v>
      </c>
      <c r="G276" s="1">
        <v>793687</v>
      </c>
    </row>
    <row r="277" spans="1:7" x14ac:dyDescent="0.3">
      <c r="A277" s="1" t="str">
        <f t="shared" si="4"/>
        <v>09 tam 60.4µg_L</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2252</v>
      </c>
      <c r="D277" s="1" t="s">
        <v>2253</v>
      </c>
      <c r="E277" s="1" t="s">
        <v>2254</v>
      </c>
      <c r="F277" s="1" t="s">
        <v>112</v>
      </c>
      <c r="G277" s="1">
        <v>727392</v>
      </c>
    </row>
    <row r="278" spans="1:7" x14ac:dyDescent="0.3">
      <c r="A278" s="1" t="str">
        <f t="shared" si="4"/>
        <v>09 tam 60.4µg_L</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2255</v>
      </c>
      <c r="D278" s="1" t="s">
        <v>2256</v>
      </c>
      <c r="E278" s="1" t="s">
        <v>2257</v>
      </c>
      <c r="F278" s="1" t="s">
        <v>112</v>
      </c>
      <c r="G278" s="1">
        <v>244980</v>
      </c>
    </row>
    <row r="279" spans="1:7" x14ac:dyDescent="0.3">
      <c r="A279" s="1" t="str">
        <f t="shared" si="4"/>
        <v>09 tam 60.4µg_L</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2258</v>
      </c>
      <c r="D279" s="1" t="s">
        <v>187</v>
      </c>
      <c r="E279" s="1" t="s">
        <v>188</v>
      </c>
      <c r="F279" s="1" t="s">
        <v>112</v>
      </c>
      <c r="G279" s="1">
        <v>55589</v>
      </c>
    </row>
    <row r="280" spans="1:7" x14ac:dyDescent="0.3">
      <c r="A280" s="1" t="str">
        <f t="shared" si="4"/>
        <v>09 tam 60.4µg_L</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2259</v>
      </c>
      <c r="D280" s="1" t="s">
        <v>199</v>
      </c>
      <c r="E280" s="1" t="s">
        <v>2260</v>
      </c>
      <c r="F280" s="1" t="s">
        <v>112</v>
      </c>
      <c r="G280" s="1">
        <v>36901</v>
      </c>
    </row>
    <row r="281" spans="1:7" x14ac:dyDescent="0.3">
      <c r="A281" s="1" t="str">
        <f t="shared" si="4"/>
        <v>09 tam 60.4µg_L</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2261</v>
      </c>
      <c r="D281" s="1" t="s">
        <v>772</v>
      </c>
      <c r="E281" s="1" t="s">
        <v>2262</v>
      </c>
      <c r="F281" s="1" t="s">
        <v>112</v>
      </c>
      <c r="G281" s="1">
        <v>52582</v>
      </c>
    </row>
    <row r="282" spans="1:7" x14ac:dyDescent="0.3">
      <c r="A282" s="1" t="str">
        <f t="shared" si="4"/>
        <v>09 tam 60.4µg_L</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2263</v>
      </c>
      <c r="D282" s="1" t="s">
        <v>492</v>
      </c>
      <c r="E282" s="1" t="s">
        <v>2264</v>
      </c>
      <c r="F282" s="1" t="s">
        <v>112</v>
      </c>
      <c r="G282" s="1">
        <v>498007</v>
      </c>
    </row>
    <row r="283" spans="1:7" x14ac:dyDescent="0.3">
      <c r="A283" s="1" t="str">
        <f t="shared" si="4"/>
        <v>09 tam 60.4µg_L</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2265</v>
      </c>
      <c r="D283" s="1" t="s">
        <v>2266</v>
      </c>
      <c r="E283" s="1" t="s">
        <v>2267</v>
      </c>
      <c r="F283" s="1" t="s">
        <v>112</v>
      </c>
      <c r="G283" s="1">
        <v>244699</v>
      </c>
    </row>
    <row r="284" spans="1:7" x14ac:dyDescent="0.3">
      <c r="A284" s="1" t="str">
        <f t="shared" si="4"/>
        <v>09 tam 60.4µg_L</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2268</v>
      </c>
      <c r="D284" s="1" t="s">
        <v>1779</v>
      </c>
      <c r="E284" s="1" t="s">
        <v>2269</v>
      </c>
      <c r="F284" s="1" t="s">
        <v>112</v>
      </c>
      <c r="G284" s="1">
        <v>35906</v>
      </c>
    </row>
    <row r="285" spans="1:7" x14ac:dyDescent="0.3">
      <c r="A285" s="1" t="str">
        <f t="shared" si="4"/>
        <v>09 tam 60.4µg_L</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2270</v>
      </c>
      <c r="D285" s="1" t="s">
        <v>879</v>
      </c>
      <c r="E285" s="1" t="s">
        <v>2271</v>
      </c>
      <c r="F285" s="1" t="s">
        <v>112</v>
      </c>
      <c r="G285" s="1">
        <v>31471</v>
      </c>
    </row>
    <row r="286" spans="1:7" x14ac:dyDescent="0.3">
      <c r="A286" s="1" t="str">
        <f t="shared" si="4"/>
        <v>09 tam 60.4µg_L</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2272</v>
      </c>
      <c r="D286" s="1" t="s">
        <v>199</v>
      </c>
      <c r="E286" s="1" t="s">
        <v>2273</v>
      </c>
      <c r="F286" s="1" t="s">
        <v>112</v>
      </c>
      <c r="G286" s="1">
        <v>39085</v>
      </c>
    </row>
    <row r="287" spans="1:7" x14ac:dyDescent="0.3">
      <c r="A287" s="1" t="str">
        <f t="shared" si="4"/>
        <v>09 tam 60.4µg_L</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2274</v>
      </c>
      <c r="D287" s="1" t="s">
        <v>1793</v>
      </c>
      <c r="E287" s="1" t="s">
        <v>2275</v>
      </c>
      <c r="F287" s="1" t="s">
        <v>112</v>
      </c>
      <c r="G287" s="1">
        <v>39777</v>
      </c>
    </row>
    <row r="288" spans="1:7" x14ac:dyDescent="0.3">
      <c r="A288" s="1" t="str">
        <f t="shared" si="4"/>
        <v>09 tam 60.4µg_L</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2276</v>
      </c>
      <c r="D288" s="1" t="s">
        <v>336</v>
      </c>
      <c r="E288" s="1" t="s">
        <v>2277</v>
      </c>
      <c r="F288" s="1" t="s">
        <v>112</v>
      </c>
      <c r="G288" s="1">
        <v>104278</v>
      </c>
    </row>
    <row r="289" spans="1:10" x14ac:dyDescent="0.3">
      <c r="A289" s="1" t="str">
        <f t="shared" si="4"/>
        <v>09 tam 60.4µg_L</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2278</v>
      </c>
      <c r="D289" s="1" t="s">
        <v>2279</v>
      </c>
      <c r="E289" s="1" t="s">
        <v>288</v>
      </c>
      <c r="F289" s="1" t="s">
        <v>112</v>
      </c>
      <c r="G289" s="1">
        <v>77478</v>
      </c>
    </row>
    <row r="290" spans="1:10" x14ac:dyDescent="0.3">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3">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243</v>
      </c>
      <c r="D291" s="1" t="s">
        <v>112</v>
      </c>
      <c r="E291" s="1" t="s">
        <v>244</v>
      </c>
      <c r="F291" s="1" t="s">
        <v>245</v>
      </c>
      <c r="G291" s="1" t="s">
        <v>246</v>
      </c>
      <c r="H291" s="1" t="s">
        <v>247</v>
      </c>
      <c r="I291" s="1" t="s">
        <v>248</v>
      </c>
      <c r="J291" s="1" t="s">
        <v>249</v>
      </c>
    </row>
    <row r="292" spans="1:10" x14ac:dyDescent="0.3">
      <c r="A292" s="1" t="str">
        <f t="shared" si="4"/>
        <v>09 tam 60.4µg_L</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2280</v>
      </c>
      <c r="D292" s="1" t="s">
        <v>112</v>
      </c>
      <c r="E292" s="1" t="s">
        <v>2281</v>
      </c>
      <c r="F292" s="1" t="s">
        <v>2282</v>
      </c>
      <c r="G292" s="1">
        <v>176809</v>
      </c>
      <c r="H292" s="1" t="s">
        <v>2283</v>
      </c>
      <c r="I292" s="1">
        <v>24</v>
      </c>
      <c r="J292" s="1">
        <v>24</v>
      </c>
    </row>
    <row r="293" spans="1:10" x14ac:dyDescent="0.3">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3">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3">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3">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3">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3">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255</v>
      </c>
      <c r="D298" s="1" t="s">
        <v>110</v>
      </c>
      <c r="E298" s="1" t="s">
        <v>111</v>
      </c>
      <c r="F298" s="1" t="s">
        <v>112</v>
      </c>
      <c r="G298" s="1" t="s">
        <v>113</v>
      </c>
    </row>
    <row r="299" spans="1:10" x14ac:dyDescent="0.3">
      <c r="A299" s="1" t="str">
        <f t="shared" si="4"/>
        <v>10 tam 121µg_L</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2284</v>
      </c>
      <c r="D299" s="1" t="s">
        <v>2285</v>
      </c>
      <c r="E299" s="1" t="s">
        <v>2286</v>
      </c>
      <c r="F299" s="1" t="s">
        <v>112</v>
      </c>
      <c r="G299" s="1">
        <v>376814</v>
      </c>
    </row>
    <row r="300" spans="1:10" x14ac:dyDescent="0.3">
      <c r="A300" s="1" t="str">
        <f t="shared" si="4"/>
        <v>10 tam 121µg_L</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2287</v>
      </c>
      <c r="D300" s="1" t="s">
        <v>1927</v>
      </c>
      <c r="E300" s="1" t="s">
        <v>936</v>
      </c>
      <c r="F300" s="1" t="s">
        <v>112</v>
      </c>
      <c r="G300" s="1">
        <v>21933</v>
      </c>
    </row>
    <row r="301" spans="1:10" x14ac:dyDescent="0.3">
      <c r="A301" s="1" t="str">
        <f t="shared" si="4"/>
        <v>10 tam 121µg_L</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2288</v>
      </c>
      <c r="D301" s="1" t="s">
        <v>879</v>
      </c>
      <c r="E301" s="1" t="s">
        <v>2289</v>
      </c>
      <c r="F301" s="1" t="s">
        <v>112</v>
      </c>
      <c r="G301" s="1">
        <v>31082</v>
      </c>
    </row>
    <row r="302" spans="1:10" x14ac:dyDescent="0.3">
      <c r="A302" s="1" t="str">
        <f t="shared" si="4"/>
        <v>10 tam 121µg_L</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2290</v>
      </c>
      <c r="D302" s="1" t="s">
        <v>913</v>
      </c>
      <c r="E302" s="1" t="s">
        <v>2291</v>
      </c>
      <c r="F302" s="1" t="s">
        <v>112</v>
      </c>
      <c r="G302" s="1">
        <v>133694</v>
      </c>
    </row>
    <row r="303" spans="1:10" x14ac:dyDescent="0.3">
      <c r="A303" s="1" t="str">
        <f t="shared" si="4"/>
        <v>10 tam 121µg_L</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2292</v>
      </c>
      <c r="D303" s="1" t="s">
        <v>281</v>
      </c>
      <c r="E303" s="1" t="s">
        <v>2293</v>
      </c>
      <c r="F303" s="1" t="s">
        <v>112</v>
      </c>
      <c r="G303" s="1">
        <v>112346</v>
      </c>
    </row>
    <row r="304" spans="1:10" x14ac:dyDescent="0.3">
      <c r="A304" s="1" t="str">
        <f t="shared" si="4"/>
        <v>10 tam 121µg_L</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2294</v>
      </c>
      <c r="D304" s="1" t="s">
        <v>1793</v>
      </c>
      <c r="E304" s="1" t="s">
        <v>2295</v>
      </c>
      <c r="F304" s="1" t="s">
        <v>112</v>
      </c>
      <c r="G304" s="1">
        <v>39258</v>
      </c>
    </row>
    <row r="305" spans="1:7" x14ac:dyDescent="0.3">
      <c r="A305" s="1" t="str">
        <f t="shared" si="4"/>
        <v>10 tam 121µg_L</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2296</v>
      </c>
      <c r="D305" s="1" t="s">
        <v>953</v>
      </c>
      <c r="E305" s="1" t="s">
        <v>2297</v>
      </c>
      <c r="F305" s="1" t="s">
        <v>112</v>
      </c>
      <c r="G305" s="1">
        <v>163327</v>
      </c>
    </row>
    <row r="306" spans="1:7" x14ac:dyDescent="0.3">
      <c r="A306" s="1" t="str">
        <f t="shared" si="4"/>
        <v>10 tam 121µg_L</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2298</v>
      </c>
      <c r="D306" s="1" t="s">
        <v>2299</v>
      </c>
      <c r="E306" s="1" t="s">
        <v>2300</v>
      </c>
      <c r="F306" s="1" t="s">
        <v>112</v>
      </c>
      <c r="G306" s="1">
        <v>318587</v>
      </c>
    </row>
    <row r="307" spans="1:7" x14ac:dyDescent="0.3">
      <c r="A307" s="1" t="str">
        <f t="shared" si="4"/>
        <v>10 tam 121µg_L</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2301</v>
      </c>
      <c r="D307" s="1" t="s">
        <v>2302</v>
      </c>
      <c r="E307" s="1" t="s">
        <v>2303</v>
      </c>
      <c r="F307" s="1" t="s">
        <v>112</v>
      </c>
      <c r="G307" s="1">
        <v>98719</v>
      </c>
    </row>
    <row r="308" spans="1:7" x14ac:dyDescent="0.3">
      <c r="A308" s="1" t="str">
        <f t="shared" si="4"/>
        <v>10 tam 121µg_L</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2304</v>
      </c>
      <c r="D308" s="1" t="s">
        <v>394</v>
      </c>
      <c r="E308" s="1" t="s">
        <v>2305</v>
      </c>
      <c r="F308" s="1" t="s">
        <v>112</v>
      </c>
      <c r="G308" s="1">
        <v>60758</v>
      </c>
    </row>
    <row r="309" spans="1:7" x14ac:dyDescent="0.3">
      <c r="A309" s="1" t="str">
        <f t="shared" si="4"/>
        <v>10 tam 121µg_L</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2306</v>
      </c>
      <c r="D309" s="1" t="s">
        <v>846</v>
      </c>
      <c r="E309" s="1" t="s">
        <v>2307</v>
      </c>
      <c r="F309" s="1" t="s">
        <v>112</v>
      </c>
      <c r="G309" s="1">
        <v>62532</v>
      </c>
    </row>
    <row r="310" spans="1:7" x14ac:dyDescent="0.3">
      <c r="A310" s="1" t="str">
        <f t="shared" si="4"/>
        <v>10 tam 121µg_L</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2308</v>
      </c>
      <c r="D310" s="1" t="s">
        <v>235</v>
      </c>
      <c r="E310" s="1" t="s">
        <v>2309</v>
      </c>
      <c r="F310" s="1" t="s">
        <v>112</v>
      </c>
      <c r="G310" s="1">
        <v>121668</v>
      </c>
    </row>
    <row r="311" spans="1:7" x14ac:dyDescent="0.3">
      <c r="A311" s="1" t="str">
        <f t="shared" si="4"/>
        <v>10 tam 121µg_L</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2310</v>
      </c>
      <c r="D311" s="1" t="s">
        <v>449</v>
      </c>
      <c r="E311" s="1" t="s">
        <v>2311</v>
      </c>
      <c r="F311" s="1" t="s">
        <v>112</v>
      </c>
      <c r="G311" s="1">
        <v>555110</v>
      </c>
    </row>
    <row r="312" spans="1:7" x14ac:dyDescent="0.3">
      <c r="A312" s="1" t="str">
        <f t="shared" si="4"/>
        <v>10 tam 121µg_L</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2312</v>
      </c>
      <c r="D312" s="1" t="s">
        <v>2313</v>
      </c>
      <c r="E312" s="1" t="s">
        <v>2314</v>
      </c>
      <c r="F312" s="1" t="s">
        <v>112</v>
      </c>
      <c r="G312" s="1">
        <v>551714</v>
      </c>
    </row>
    <row r="313" spans="1:7" x14ac:dyDescent="0.3">
      <c r="A313" s="1" t="str">
        <f t="shared" si="4"/>
        <v>10 tam 121µg_L</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2315</v>
      </c>
      <c r="D313" s="1" t="s">
        <v>2208</v>
      </c>
      <c r="E313" s="1" t="s">
        <v>2316</v>
      </c>
      <c r="F313" s="1" t="s">
        <v>112</v>
      </c>
      <c r="G313" s="1">
        <v>163349</v>
      </c>
    </row>
    <row r="314" spans="1:7" x14ac:dyDescent="0.3">
      <c r="A314" s="1" t="str">
        <f t="shared" si="4"/>
        <v>10 tam 121µg_L</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2317</v>
      </c>
      <c r="D314" s="1" t="s">
        <v>2318</v>
      </c>
      <c r="E314" s="1" t="s">
        <v>2319</v>
      </c>
      <c r="F314" s="1" t="s">
        <v>112</v>
      </c>
      <c r="G314" s="1">
        <v>418041</v>
      </c>
    </row>
    <row r="315" spans="1:7" x14ac:dyDescent="0.3">
      <c r="A315" s="1" t="str">
        <f t="shared" si="4"/>
        <v>10 tam 121µg_L</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2320</v>
      </c>
      <c r="D315" s="1" t="s">
        <v>893</v>
      </c>
      <c r="E315" s="1" t="s">
        <v>2321</v>
      </c>
      <c r="F315" s="1" t="s">
        <v>112</v>
      </c>
      <c r="G315" s="1">
        <v>274375</v>
      </c>
    </row>
    <row r="316" spans="1:7" x14ac:dyDescent="0.3">
      <c r="A316" s="1" t="str">
        <f t="shared" si="4"/>
        <v>10 tam 121µg_L</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2322</v>
      </c>
      <c r="D316" s="1" t="s">
        <v>745</v>
      </c>
      <c r="E316" s="1" t="s">
        <v>2323</v>
      </c>
      <c r="F316" s="1" t="s">
        <v>112</v>
      </c>
      <c r="G316" s="1">
        <v>83989</v>
      </c>
    </row>
    <row r="317" spans="1:7" x14ac:dyDescent="0.3">
      <c r="A317" s="1" t="str">
        <f t="shared" si="4"/>
        <v>10 tam 121µg_L</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2324</v>
      </c>
      <c r="D317" s="1" t="s">
        <v>2256</v>
      </c>
      <c r="E317" s="1" t="s">
        <v>2325</v>
      </c>
      <c r="F317" s="1" t="s">
        <v>112</v>
      </c>
      <c r="G317" s="1">
        <v>250517</v>
      </c>
    </row>
    <row r="318" spans="1:7" x14ac:dyDescent="0.3">
      <c r="A318" s="1" t="str">
        <f t="shared" si="4"/>
        <v>10 tam 121µg_L</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2326</v>
      </c>
      <c r="D318" s="1" t="s">
        <v>2327</v>
      </c>
      <c r="E318" s="1" t="s">
        <v>2328</v>
      </c>
      <c r="F318" s="1" t="s">
        <v>112</v>
      </c>
      <c r="G318" s="1">
        <v>207344</v>
      </c>
    </row>
    <row r="319" spans="1:7" x14ac:dyDescent="0.3">
      <c r="A319" s="1" t="str">
        <f t="shared" si="4"/>
        <v>10 tam 121µg_L</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2329</v>
      </c>
      <c r="D319" s="1" t="s">
        <v>2330</v>
      </c>
      <c r="E319" s="1" t="s">
        <v>2331</v>
      </c>
      <c r="F319" s="1" t="s">
        <v>112</v>
      </c>
      <c r="G319" s="1">
        <v>104862</v>
      </c>
    </row>
    <row r="320" spans="1:7" x14ac:dyDescent="0.3">
      <c r="A320" s="1" t="str">
        <f t="shared" si="4"/>
        <v>10 tam 121µg_L</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2332</v>
      </c>
      <c r="D320" s="1" t="s">
        <v>298</v>
      </c>
      <c r="E320" s="1" t="s">
        <v>2333</v>
      </c>
      <c r="F320" s="1" t="s">
        <v>112</v>
      </c>
      <c r="G320" s="1">
        <v>33332</v>
      </c>
    </row>
    <row r="321" spans="1:10" x14ac:dyDescent="0.3">
      <c r="A321" s="1" t="str">
        <f t="shared" si="4"/>
        <v>10 tam 121µg_L</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2334</v>
      </c>
      <c r="D321" s="1" t="s">
        <v>2335</v>
      </c>
      <c r="E321" s="1" t="s">
        <v>2336</v>
      </c>
      <c r="F321" s="1" t="s">
        <v>112</v>
      </c>
      <c r="G321" s="1">
        <v>34543</v>
      </c>
    </row>
    <row r="322" spans="1:10" x14ac:dyDescent="0.3">
      <c r="A322" s="1" t="str">
        <f t="shared" ref="A322:A385" si="5">IFERROR(LEFT(RIGHT(C322,LEN(C322)-SEARCH("@",C322)),SEARCH("/",RIGHT(C322,LEN(C322)-SEARCH("@",C322)-1))),"")</f>
        <v>10 tam 121µg_L</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2337</v>
      </c>
      <c r="D322" s="1" t="s">
        <v>774</v>
      </c>
      <c r="E322" s="1" t="s">
        <v>2338</v>
      </c>
      <c r="F322" s="1" t="s">
        <v>112</v>
      </c>
      <c r="G322" s="1">
        <v>73217</v>
      </c>
    </row>
    <row r="323" spans="1:10" x14ac:dyDescent="0.3">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3">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243</v>
      </c>
      <c r="D324" s="1" t="s">
        <v>112</v>
      </c>
      <c r="E324" s="1" t="s">
        <v>244</v>
      </c>
      <c r="F324" s="1" t="s">
        <v>245</v>
      </c>
      <c r="G324" s="1" t="s">
        <v>246</v>
      </c>
      <c r="H324" s="1" t="s">
        <v>247</v>
      </c>
      <c r="I324" s="1" t="s">
        <v>248</v>
      </c>
      <c r="J324" s="1" t="s">
        <v>249</v>
      </c>
    </row>
    <row r="325" spans="1:10" x14ac:dyDescent="0.3">
      <c r="A325" s="1" t="str">
        <f t="shared" si="5"/>
        <v>10 tam 121µg_L</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2339</v>
      </c>
      <c r="D325" s="1" t="s">
        <v>112</v>
      </c>
      <c r="E325" s="1" t="s">
        <v>2340</v>
      </c>
      <c r="F325" s="1" t="s">
        <v>2341</v>
      </c>
      <c r="G325" s="1" t="s">
        <v>2342</v>
      </c>
      <c r="H325" s="1" t="s">
        <v>2343</v>
      </c>
      <c r="I325" s="1">
        <v>24</v>
      </c>
      <c r="J325" s="1">
        <v>24</v>
      </c>
    </row>
    <row r="326" spans="1:10" x14ac:dyDescent="0.3">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3">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3">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3">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3">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3">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255</v>
      </c>
      <c r="D331" s="1" t="s">
        <v>110</v>
      </c>
      <c r="E331" s="1" t="s">
        <v>111</v>
      </c>
      <c r="F331" s="1" t="s">
        <v>112</v>
      </c>
      <c r="G331" s="1" t="s">
        <v>113</v>
      </c>
    </row>
    <row r="332" spans="1:10" x14ac:dyDescent="0.3">
      <c r="A332" s="1" t="str">
        <f t="shared" si="5"/>
        <v>11 tam 242µg_L</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2344</v>
      </c>
      <c r="D332" s="1" t="s">
        <v>2345</v>
      </c>
      <c r="E332" s="1" t="s">
        <v>2346</v>
      </c>
      <c r="F332" s="1" t="s">
        <v>112</v>
      </c>
      <c r="G332" s="1">
        <v>286164</v>
      </c>
    </row>
    <row r="333" spans="1:10" x14ac:dyDescent="0.3">
      <c r="A333" s="1" t="str">
        <f t="shared" si="5"/>
        <v>11 tam 242µg_L</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2347</v>
      </c>
      <c r="D333" s="1" t="s">
        <v>2348</v>
      </c>
      <c r="E333" s="1" t="s">
        <v>2349</v>
      </c>
      <c r="F333" s="1" t="s">
        <v>112</v>
      </c>
      <c r="G333" s="1">
        <v>331976</v>
      </c>
    </row>
    <row r="334" spans="1:10" x14ac:dyDescent="0.3">
      <c r="A334" s="1" t="str">
        <f t="shared" si="5"/>
        <v>11 tam 242µg_L</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2350</v>
      </c>
      <c r="D334" s="1" t="s">
        <v>1866</v>
      </c>
      <c r="E334" s="1" t="s">
        <v>2351</v>
      </c>
      <c r="F334" s="1" t="s">
        <v>112</v>
      </c>
      <c r="G334" s="1">
        <v>375214</v>
      </c>
    </row>
    <row r="335" spans="1:10" x14ac:dyDescent="0.3">
      <c r="A335" s="1" t="str">
        <f t="shared" si="5"/>
        <v>11 tam 242µg_L</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2352</v>
      </c>
      <c r="D335" s="1" t="s">
        <v>2353</v>
      </c>
      <c r="E335" s="1" t="s">
        <v>2354</v>
      </c>
      <c r="F335" s="1" t="s">
        <v>112</v>
      </c>
      <c r="G335" s="1">
        <v>89959</v>
      </c>
    </row>
    <row r="336" spans="1:10" x14ac:dyDescent="0.3">
      <c r="A336" s="1" t="str">
        <f t="shared" si="5"/>
        <v>11 tam 242µg_L</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2355</v>
      </c>
      <c r="D336" s="1" t="s">
        <v>2279</v>
      </c>
      <c r="E336" s="1" t="s">
        <v>2356</v>
      </c>
      <c r="F336" s="1" t="s">
        <v>112</v>
      </c>
      <c r="G336" s="1">
        <v>78300</v>
      </c>
    </row>
    <row r="337" spans="1:7" x14ac:dyDescent="0.3">
      <c r="A337" s="1" t="str">
        <f t="shared" si="5"/>
        <v>11 tam 242µg_L</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2357</v>
      </c>
      <c r="D337" s="1" t="s">
        <v>420</v>
      </c>
      <c r="E337" s="1" t="s">
        <v>799</v>
      </c>
      <c r="F337" s="1" t="s">
        <v>112</v>
      </c>
      <c r="G337" s="1">
        <v>130104</v>
      </c>
    </row>
    <row r="338" spans="1:7" x14ac:dyDescent="0.3">
      <c r="A338" s="1" t="str">
        <f t="shared" si="5"/>
        <v>11 tam 242µg_L</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2358</v>
      </c>
      <c r="D338" s="1" t="s">
        <v>196</v>
      </c>
      <c r="E338" s="1" t="s">
        <v>2359</v>
      </c>
      <c r="F338" s="1" t="s">
        <v>112</v>
      </c>
      <c r="G338" s="1">
        <v>212557</v>
      </c>
    </row>
    <row r="339" spans="1:7" x14ac:dyDescent="0.3">
      <c r="A339" s="1" t="str">
        <f t="shared" si="5"/>
        <v>11 tam 242µg_L</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2360</v>
      </c>
      <c r="D339" s="1" t="s">
        <v>2361</v>
      </c>
      <c r="E339" s="1" t="s">
        <v>2362</v>
      </c>
      <c r="F339" s="1" t="s">
        <v>112</v>
      </c>
      <c r="G339" s="1">
        <v>368746</v>
      </c>
    </row>
    <row r="340" spans="1:7" x14ac:dyDescent="0.3">
      <c r="A340" s="1" t="str">
        <f t="shared" si="5"/>
        <v>11 tam 242µg_L</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2363</v>
      </c>
      <c r="D340" s="1" t="s">
        <v>703</v>
      </c>
      <c r="E340" s="1" t="s">
        <v>2364</v>
      </c>
      <c r="F340" s="1" t="s">
        <v>112</v>
      </c>
      <c r="G340" s="1">
        <v>193609</v>
      </c>
    </row>
    <row r="341" spans="1:7" x14ac:dyDescent="0.3">
      <c r="A341" s="1" t="str">
        <f t="shared" si="5"/>
        <v>11 tam 242µg_L</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2365</v>
      </c>
      <c r="D341" s="1" t="s">
        <v>2366</v>
      </c>
      <c r="E341" s="1" t="s">
        <v>2367</v>
      </c>
      <c r="F341" s="1" t="s">
        <v>112</v>
      </c>
      <c r="G341" s="1">
        <v>105576</v>
      </c>
    </row>
    <row r="342" spans="1:7" x14ac:dyDescent="0.3">
      <c r="A342" s="1" t="str">
        <f t="shared" si="5"/>
        <v>11 tam 242µg_L</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2368</v>
      </c>
      <c r="D342" s="1" t="s">
        <v>1927</v>
      </c>
      <c r="E342" s="1" t="s">
        <v>2369</v>
      </c>
      <c r="F342" s="1" t="s">
        <v>112</v>
      </c>
      <c r="G342" s="1">
        <v>21652</v>
      </c>
    </row>
    <row r="343" spans="1:7" x14ac:dyDescent="0.3">
      <c r="A343" s="1" t="str">
        <f t="shared" si="5"/>
        <v>11 tam 242µg_L</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2370</v>
      </c>
      <c r="D343" s="1" t="s">
        <v>199</v>
      </c>
      <c r="E343" s="1" t="s">
        <v>2371</v>
      </c>
      <c r="F343" s="1" t="s">
        <v>112</v>
      </c>
      <c r="G343" s="1">
        <v>36057</v>
      </c>
    </row>
    <row r="344" spans="1:7" x14ac:dyDescent="0.3">
      <c r="A344" s="1" t="str">
        <f t="shared" si="5"/>
        <v>11 tam 242µg_L</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2372</v>
      </c>
      <c r="D344" s="1" t="s">
        <v>391</v>
      </c>
      <c r="E344" s="1" t="s">
        <v>2373</v>
      </c>
      <c r="F344" s="1" t="s">
        <v>112</v>
      </c>
      <c r="G344" s="1">
        <v>404306</v>
      </c>
    </row>
    <row r="345" spans="1:7" x14ac:dyDescent="0.3">
      <c r="A345" s="1" t="str">
        <f t="shared" si="5"/>
        <v>11 tam 242µg_L</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2374</v>
      </c>
      <c r="D345" s="1" t="s">
        <v>241</v>
      </c>
      <c r="E345" s="1" t="s">
        <v>2375</v>
      </c>
      <c r="F345" s="1" t="s">
        <v>112</v>
      </c>
      <c r="G345" s="1">
        <v>74775</v>
      </c>
    </row>
    <row r="346" spans="1:7" x14ac:dyDescent="0.3">
      <c r="A346" s="1" t="str">
        <f t="shared" si="5"/>
        <v>11 tam 242µg_L</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2376</v>
      </c>
      <c r="D346" s="1" t="s">
        <v>2377</v>
      </c>
      <c r="E346" s="1" t="s">
        <v>2378</v>
      </c>
      <c r="F346" s="1" t="s">
        <v>112</v>
      </c>
      <c r="G346" s="1">
        <v>316727</v>
      </c>
    </row>
    <row r="347" spans="1:7" x14ac:dyDescent="0.3">
      <c r="A347" s="1" t="str">
        <f t="shared" si="5"/>
        <v>11 tam 242µg_L</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2379</v>
      </c>
    </row>
    <row r="348" spans="1:7" x14ac:dyDescent="0.3">
      <c r="A348" s="1" t="str">
        <f t="shared" si="5"/>
        <v>11 tam 242µg_L</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2380</v>
      </c>
      <c r="D348" s="1" t="s">
        <v>2381</v>
      </c>
      <c r="E348" s="1" t="s">
        <v>2382</v>
      </c>
      <c r="F348" s="1" t="s">
        <v>112</v>
      </c>
      <c r="G348" s="1">
        <v>703988</v>
      </c>
    </row>
    <row r="349" spans="1:7" x14ac:dyDescent="0.3">
      <c r="A349" s="1" t="str">
        <f t="shared" si="5"/>
        <v>11 tam 242µg_L</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2383</v>
      </c>
    </row>
    <row r="350" spans="1:7" x14ac:dyDescent="0.3">
      <c r="A350" s="1" t="str">
        <f t="shared" si="5"/>
        <v>11 tam 242µg_L</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2384</v>
      </c>
      <c r="D350" s="1" t="s">
        <v>851</v>
      </c>
      <c r="E350" s="1" t="s">
        <v>418</v>
      </c>
      <c r="F350" s="1" t="s">
        <v>112</v>
      </c>
      <c r="G350" s="1">
        <v>90651</v>
      </c>
    </row>
    <row r="351" spans="1:7" x14ac:dyDescent="0.3">
      <c r="A351" s="1" t="str">
        <f t="shared" si="5"/>
        <v>11 tam 242µg_L</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2385</v>
      </c>
      <c r="D351" s="1" t="s">
        <v>2386</v>
      </c>
      <c r="E351" s="1" t="s">
        <v>2387</v>
      </c>
      <c r="F351" s="1" t="s">
        <v>112</v>
      </c>
      <c r="G351" s="1">
        <v>71033</v>
      </c>
    </row>
    <row r="352" spans="1:7" x14ac:dyDescent="0.3">
      <c r="A352" s="1" t="str">
        <f t="shared" si="5"/>
        <v>11 tam 242µg_L</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2388</v>
      </c>
      <c r="D352" s="1" t="s">
        <v>774</v>
      </c>
      <c r="E352" s="1" t="s">
        <v>2389</v>
      </c>
      <c r="F352" s="1" t="s">
        <v>112</v>
      </c>
      <c r="G352" s="1">
        <v>73347</v>
      </c>
    </row>
    <row r="353" spans="1:10" x14ac:dyDescent="0.3">
      <c r="A353" s="1" t="str">
        <f t="shared" si="5"/>
        <v>11 tam 242µg_L</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2390</v>
      </c>
      <c r="D353" s="1" t="s">
        <v>2391</v>
      </c>
      <c r="E353" s="1" t="s">
        <v>2392</v>
      </c>
      <c r="F353" s="1" t="s">
        <v>112</v>
      </c>
      <c r="G353" s="1">
        <v>213660</v>
      </c>
    </row>
    <row r="354" spans="1:10" x14ac:dyDescent="0.3">
      <c r="A354" s="1" t="str">
        <f t="shared" si="5"/>
        <v>11 tam 242µg_L</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2393</v>
      </c>
      <c r="D354" s="1" t="s">
        <v>208</v>
      </c>
      <c r="E354" s="1" t="s">
        <v>2394</v>
      </c>
      <c r="F354" s="1" t="s">
        <v>112</v>
      </c>
      <c r="G354" s="1">
        <v>304073</v>
      </c>
    </row>
    <row r="355" spans="1:10" x14ac:dyDescent="0.3">
      <c r="A355" s="1" t="str">
        <f t="shared" si="5"/>
        <v>11 tam 242µg_L</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2395</v>
      </c>
      <c r="D355" s="1" t="s">
        <v>882</v>
      </c>
      <c r="E355" s="1" t="s">
        <v>2396</v>
      </c>
      <c r="F355" s="1" t="s">
        <v>112</v>
      </c>
      <c r="G355" s="1">
        <v>133673</v>
      </c>
    </row>
    <row r="356" spans="1:10" x14ac:dyDescent="0.3">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3">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243</v>
      </c>
      <c r="D357" s="1" t="s">
        <v>112</v>
      </c>
      <c r="E357" s="1" t="s">
        <v>244</v>
      </c>
      <c r="F357" s="1" t="s">
        <v>245</v>
      </c>
      <c r="G357" s="1" t="s">
        <v>246</v>
      </c>
      <c r="H357" s="1" t="s">
        <v>247</v>
      </c>
      <c r="I357" s="1" t="s">
        <v>248</v>
      </c>
      <c r="J357" s="1" t="s">
        <v>249</v>
      </c>
    </row>
    <row r="358" spans="1:10" x14ac:dyDescent="0.3">
      <c r="A358" s="1" t="str">
        <f t="shared" si="5"/>
        <v>11 tam 242µg_L</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2397</v>
      </c>
      <c r="D358" s="1" t="s">
        <v>112</v>
      </c>
      <c r="E358" s="1" t="s">
        <v>2398</v>
      </c>
      <c r="F358" s="1" t="s">
        <v>2399</v>
      </c>
      <c r="G358" s="1" t="s">
        <v>2400</v>
      </c>
      <c r="H358" s="1" t="s">
        <v>2401</v>
      </c>
      <c r="I358" s="1">
        <v>24</v>
      </c>
      <c r="J358" s="1">
        <v>24</v>
      </c>
    </row>
    <row r="359" spans="1:10" x14ac:dyDescent="0.3">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3">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3">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3">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3">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3">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255</v>
      </c>
      <c r="D364" s="1" t="s">
        <v>110</v>
      </c>
      <c r="E364" s="1" t="s">
        <v>111</v>
      </c>
      <c r="F364" s="1" t="s">
        <v>112</v>
      </c>
      <c r="G364" s="1" t="s">
        <v>113</v>
      </c>
    </row>
    <row r="365" spans="1:10" x14ac:dyDescent="0.3">
      <c r="A365" s="1" t="str">
        <f t="shared" si="5"/>
        <v>12 tam 483µg_L</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2402</v>
      </c>
      <c r="D365" s="1" t="s">
        <v>2403</v>
      </c>
      <c r="E365" s="1" t="s">
        <v>2404</v>
      </c>
      <c r="F365" s="1" t="s">
        <v>112</v>
      </c>
      <c r="G365" s="1">
        <v>1180041</v>
      </c>
    </row>
    <row r="366" spans="1:10" x14ac:dyDescent="0.3">
      <c r="A366" s="1" t="str">
        <f t="shared" si="5"/>
        <v>12 tam 483µg_L</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2405</v>
      </c>
      <c r="D366" s="1" t="s">
        <v>2406</v>
      </c>
      <c r="E366" s="1" t="s">
        <v>2407</v>
      </c>
      <c r="F366" s="1" t="s">
        <v>112</v>
      </c>
      <c r="G366" s="1">
        <v>821395</v>
      </c>
    </row>
    <row r="367" spans="1:10" x14ac:dyDescent="0.3">
      <c r="A367" s="1" t="str">
        <f t="shared" si="5"/>
        <v>12 tam 483µg_L</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2408</v>
      </c>
      <c r="D367" s="1" t="s">
        <v>2409</v>
      </c>
      <c r="E367" s="1" t="s">
        <v>2410</v>
      </c>
      <c r="F367" s="1" t="s">
        <v>112</v>
      </c>
      <c r="G367" s="1">
        <v>859291</v>
      </c>
    </row>
    <row r="368" spans="1:10" x14ac:dyDescent="0.3">
      <c r="A368" s="1" t="str">
        <f t="shared" si="5"/>
        <v>12 tam 483µg_L</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2411</v>
      </c>
      <c r="D368" s="1" t="s">
        <v>2412</v>
      </c>
      <c r="E368" s="1" t="s">
        <v>2413</v>
      </c>
      <c r="F368" s="1" t="s">
        <v>112</v>
      </c>
      <c r="G368" s="1">
        <v>976352</v>
      </c>
    </row>
    <row r="369" spans="1:7" x14ac:dyDescent="0.3">
      <c r="A369" s="1" t="str">
        <f t="shared" si="5"/>
        <v>12 tam 483µg_L</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2414</v>
      </c>
      <c r="D369" s="1" t="s">
        <v>2415</v>
      </c>
      <c r="E369" s="1" t="s">
        <v>2416</v>
      </c>
      <c r="F369" s="1" t="s">
        <v>112</v>
      </c>
      <c r="G369" s="1">
        <v>1000383</v>
      </c>
    </row>
    <row r="370" spans="1:7" x14ac:dyDescent="0.3">
      <c r="A370" s="1" t="str">
        <f t="shared" si="5"/>
        <v>12 tam 483µg_L</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2417</v>
      </c>
      <c r="D370" s="1" t="s">
        <v>2418</v>
      </c>
      <c r="E370" s="1" t="s">
        <v>2419</v>
      </c>
      <c r="F370" s="1" t="s">
        <v>112</v>
      </c>
      <c r="G370" s="1">
        <v>1029518</v>
      </c>
    </row>
    <row r="371" spans="1:7" x14ac:dyDescent="0.3">
      <c r="A371" s="1" t="str">
        <f t="shared" si="5"/>
        <v>12 tam 483µg_L</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2420</v>
      </c>
      <c r="D371" s="1" t="s">
        <v>2421</v>
      </c>
      <c r="E371" s="1" t="s">
        <v>2422</v>
      </c>
      <c r="F371" s="1" t="s">
        <v>112</v>
      </c>
      <c r="G371" s="1">
        <v>1630656</v>
      </c>
    </row>
    <row r="372" spans="1:7" x14ac:dyDescent="0.3">
      <c r="A372" s="1" t="str">
        <f t="shared" si="5"/>
        <v>12 tam 483µg_L</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2423</v>
      </c>
      <c r="D372" s="1" t="s">
        <v>2424</v>
      </c>
      <c r="E372" s="1" t="s">
        <v>2425</v>
      </c>
      <c r="F372" s="1" t="s">
        <v>112</v>
      </c>
      <c r="G372" s="1">
        <v>1607880</v>
      </c>
    </row>
    <row r="373" spans="1:7" x14ac:dyDescent="0.3">
      <c r="A373" s="1" t="str">
        <f t="shared" si="5"/>
        <v>12 tam 483µg_L</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2426</v>
      </c>
      <c r="D373" s="1" t="s">
        <v>2427</v>
      </c>
      <c r="E373" s="1" t="s">
        <v>2428</v>
      </c>
      <c r="F373" s="1" t="s">
        <v>112</v>
      </c>
      <c r="G373" s="1">
        <v>1685553</v>
      </c>
    </row>
    <row r="374" spans="1:7" x14ac:dyDescent="0.3">
      <c r="A374" s="1" t="str">
        <f t="shared" si="5"/>
        <v>12 tam 483µg_L</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2429</v>
      </c>
      <c r="D374" s="1" t="s">
        <v>469</v>
      </c>
      <c r="E374" s="1" t="s">
        <v>2430</v>
      </c>
      <c r="F374" s="1" t="s">
        <v>112</v>
      </c>
      <c r="G374" s="1">
        <v>230056</v>
      </c>
    </row>
    <row r="375" spans="1:7" x14ac:dyDescent="0.3">
      <c r="A375" s="1" t="str">
        <f t="shared" si="5"/>
        <v>12 tam 483µg_L</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2431</v>
      </c>
      <c r="D375" s="1" t="s">
        <v>1843</v>
      </c>
      <c r="E375" s="1" t="s">
        <v>2432</v>
      </c>
      <c r="F375" s="1" t="s">
        <v>112</v>
      </c>
      <c r="G375" s="1">
        <v>85546</v>
      </c>
    </row>
    <row r="376" spans="1:7" x14ac:dyDescent="0.3">
      <c r="A376" s="1" t="str">
        <f t="shared" si="5"/>
        <v>12 tam 483µg_L</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2433</v>
      </c>
      <c r="D376" s="1" t="s">
        <v>2434</v>
      </c>
      <c r="E376" s="1" t="s">
        <v>2435</v>
      </c>
      <c r="F376" s="1" t="s">
        <v>112</v>
      </c>
      <c r="G376" s="1">
        <v>137328</v>
      </c>
    </row>
    <row r="377" spans="1:7" x14ac:dyDescent="0.3">
      <c r="A377" s="1" t="str">
        <f t="shared" si="5"/>
        <v>12 tam 483µg_L</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2436</v>
      </c>
      <c r="D377" s="1" t="s">
        <v>2437</v>
      </c>
      <c r="E377" s="1" t="s">
        <v>2438</v>
      </c>
      <c r="F377" s="1" t="s">
        <v>112</v>
      </c>
      <c r="G377" s="1">
        <v>786225</v>
      </c>
    </row>
    <row r="378" spans="1:7" x14ac:dyDescent="0.3">
      <c r="A378" s="1" t="str">
        <f t="shared" si="5"/>
        <v>12 tam 483µg_L</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2439</v>
      </c>
      <c r="D378" s="1" t="s">
        <v>385</v>
      </c>
      <c r="E378" s="1" t="s">
        <v>2440</v>
      </c>
      <c r="F378" s="1" t="s">
        <v>112</v>
      </c>
      <c r="G378" s="1">
        <v>145504</v>
      </c>
    </row>
    <row r="379" spans="1:7" x14ac:dyDescent="0.3">
      <c r="A379" s="1" t="str">
        <f t="shared" si="5"/>
        <v>12 tam 483µg_L</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2441</v>
      </c>
      <c r="D379" s="1" t="s">
        <v>2442</v>
      </c>
      <c r="E379" s="1" t="s">
        <v>2443</v>
      </c>
      <c r="F379" s="1" t="s">
        <v>112</v>
      </c>
      <c r="G379" s="1">
        <v>601917</v>
      </c>
    </row>
    <row r="380" spans="1:7" x14ac:dyDescent="0.3">
      <c r="A380" s="1" t="str">
        <f t="shared" si="5"/>
        <v>12 tam 483µg_L</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2444</v>
      </c>
      <c r="D380" s="1" t="s">
        <v>2434</v>
      </c>
      <c r="E380" s="1" t="s">
        <v>2445</v>
      </c>
      <c r="F380" s="1" t="s">
        <v>112</v>
      </c>
      <c r="G380" s="1">
        <v>142865</v>
      </c>
    </row>
    <row r="381" spans="1:7" x14ac:dyDescent="0.3">
      <c r="A381" s="1" t="str">
        <f t="shared" si="5"/>
        <v>12 tam 483µg_L</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2446</v>
      </c>
      <c r="D381" s="1" t="s">
        <v>2447</v>
      </c>
      <c r="E381" s="1" t="s">
        <v>2448</v>
      </c>
      <c r="F381" s="1" t="s">
        <v>112</v>
      </c>
      <c r="G381" s="1">
        <v>554655</v>
      </c>
    </row>
    <row r="382" spans="1:7" x14ac:dyDescent="0.3">
      <c r="A382" s="1" t="str">
        <f t="shared" si="5"/>
        <v>12 tam 483µg_L</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2449</v>
      </c>
      <c r="D382" s="1" t="s">
        <v>307</v>
      </c>
      <c r="E382" s="1" t="s">
        <v>2450</v>
      </c>
      <c r="F382" s="1" t="s">
        <v>112</v>
      </c>
      <c r="G382" s="1">
        <v>158201</v>
      </c>
    </row>
    <row r="383" spans="1:7" x14ac:dyDescent="0.3">
      <c r="A383" s="1" t="str">
        <f t="shared" si="5"/>
        <v>12 tam 483µg_L</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2451</v>
      </c>
      <c r="D383" s="1" t="s">
        <v>1415</v>
      </c>
      <c r="E383" s="1" t="s">
        <v>2452</v>
      </c>
      <c r="F383" s="1" t="s">
        <v>112</v>
      </c>
      <c r="G383" s="1">
        <v>672928</v>
      </c>
    </row>
    <row r="384" spans="1:7" x14ac:dyDescent="0.3">
      <c r="A384" s="1" t="str">
        <f t="shared" si="5"/>
        <v>12 tam 483µg_L</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2453</v>
      </c>
      <c r="D384" s="1" t="s">
        <v>2454</v>
      </c>
      <c r="E384" s="1" t="s">
        <v>2455</v>
      </c>
      <c r="F384" s="1" t="s">
        <v>112</v>
      </c>
      <c r="G384" s="1">
        <v>773269</v>
      </c>
    </row>
    <row r="385" spans="1:10" x14ac:dyDescent="0.3">
      <c r="A385" s="1" t="str">
        <f t="shared" si="5"/>
        <v>12 tam 483µg_L</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2456</v>
      </c>
      <c r="D385" s="1" t="s">
        <v>953</v>
      </c>
      <c r="E385" s="1" t="s">
        <v>2457</v>
      </c>
      <c r="F385" s="1" t="s">
        <v>112</v>
      </c>
      <c r="G385" s="1">
        <v>158785</v>
      </c>
    </row>
    <row r="386" spans="1:10" x14ac:dyDescent="0.3">
      <c r="A386" s="1" t="str">
        <f t="shared" ref="A386:A449" si="6">IFERROR(LEFT(RIGHT(C386,LEN(C386)-SEARCH("@",C386)),SEARCH("/",RIGHT(C386,LEN(C386)-SEARCH("@",C386)-1))),"")</f>
        <v>12 tam 483µg_L</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2458</v>
      </c>
      <c r="D386" s="1" t="s">
        <v>2459</v>
      </c>
      <c r="E386" s="1" t="s">
        <v>2460</v>
      </c>
      <c r="F386" s="1" t="s">
        <v>112</v>
      </c>
      <c r="G386" s="1">
        <v>890373</v>
      </c>
    </row>
    <row r="387" spans="1:10" x14ac:dyDescent="0.3">
      <c r="A387" s="1" t="str">
        <f t="shared" si="6"/>
        <v>12 tam 483µg_L</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2461</v>
      </c>
      <c r="D387" s="1" t="s">
        <v>2462</v>
      </c>
      <c r="E387" s="1" t="s">
        <v>2463</v>
      </c>
      <c r="F387" s="1" t="s">
        <v>112</v>
      </c>
      <c r="G387" s="1">
        <v>822066</v>
      </c>
    </row>
    <row r="388" spans="1:10" x14ac:dyDescent="0.3">
      <c r="A388" s="1" t="str">
        <f t="shared" si="6"/>
        <v>12 tam 483µg_L</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2464</v>
      </c>
      <c r="D388" s="1" t="s">
        <v>1914</v>
      </c>
      <c r="E388" s="1" t="s">
        <v>2465</v>
      </c>
      <c r="F388" s="1" t="s">
        <v>112</v>
      </c>
      <c r="G388" s="1">
        <v>501662</v>
      </c>
    </row>
    <row r="389" spans="1:10" x14ac:dyDescent="0.3">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3">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243</v>
      </c>
      <c r="D390" s="1" t="s">
        <v>112</v>
      </c>
      <c r="E390" s="1" t="s">
        <v>244</v>
      </c>
      <c r="F390" s="1" t="s">
        <v>245</v>
      </c>
      <c r="G390" s="1" t="s">
        <v>246</v>
      </c>
      <c r="H390" s="1" t="s">
        <v>247</v>
      </c>
      <c r="I390" s="1" t="s">
        <v>248</v>
      </c>
      <c r="J390" s="1" t="s">
        <v>249</v>
      </c>
    </row>
    <row r="391" spans="1:10" x14ac:dyDescent="0.3">
      <c r="A391" s="1" t="str">
        <f t="shared" si="6"/>
        <v>12 tam 483µg_L</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2466</v>
      </c>
      <c r="D391" s="1" t="s">
        <v>112</v>
      </c>
      <c r="E391" s="1" t="s">
        <v>2467</v>
      </c>
      <c r="F391" s="1" t="s">
        <v>2468</v>
      </c>
      <c r="G391" s="1" t="s">
        <v>2469</v>
      </c>
      <c r="H391" s="1" t="s">
        <v>2470</v>
      </c>
      <c r="I391" s="1">
        <v>24</v>
      </c>
      <c r="J391" s="1">
        <v>24</v>
      </c>
    </row>
    <row r="392" spans="1:10" x14ac:dyDescent="0.3">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3">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3">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3">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3">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3">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255</v>
      </c>
      <c r="D397" s="1" t="s">
        <v>110</v>
      </c>
      <c r="E397" s="1" t="s">
        <v>111</v>
      </c>
      <c r="F397" s="1" t="s">
        <v>112</v>
      </c>
      <c r="G397" s="1" t="s">
        <v>113</v>
      </c>
    </row>
    <row r="398" spans="1:10" x14ac:dyDescent="0.3">
      <c r="A398" s="1" t="str">
        <f t="shared" si="6"/>
        <v>01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2471</v>
      </c>
      <c r="D398" s="1" t="s">
        <v>2472</v>
      </c>
      <c r="E398" s="1" t="s">
        <v>2473</v>
      </c>
      <c r="F398" s="1" t="s">
        <v>112</v>
      </c>
      <c r="G398" s="1">
        <v>2585465</v>
      </c>
    </row>
    <row r="399" spans="1:10" x14ac:dyDescent="0.3">
      <c r="A399" s="1" t="str">
        <f t="shared" si="6"/>
        <v>01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2474</v>
      </c>
      <c r="D399" s="1" t="s">
        <v>2475</v>
      </c>
      <c r="E399" s="1" t="s">
        <v>2476</v>
      </c>
      <c r="F399" s="1" t="s">
        <v>112</v>
      </c>
      <c r="G399" s="1">
        <v>2607354</v>
      </c>
    </row>
    <row r="400" spans="1:10" x14ac:dyDescent="0.3">
      <c r="A400" s="1" t="str">
        <f t="shared" si="6"/>
        <v>01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2477</v>
      </c>
      <c r="D400" s="1" t="s">
        <v>2478</v>
      </c>
      <c r="E400" s="1" t="s">
        <v>2479</v>
      </c>
      <c r="F400" s="1" t="s">
        <v>112</v>
      </c>
      <c r="G400" s="1">
        <v>2562277</v>
      </c>
    </row>
    <row r="401" spans="1:7" x14ac:dyDescent="0.3">
      <c r="A401" s="1" t="str">
        <f t="shared" si="6"/>
        <v>01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2480</v>
      </c>
      <c r="D401" s="1" t="s">
        <v>2481</v>
      </c>
      <c r="E401" s="1" t="s">
        <v>2482</v>
      </c>
      <c r="F401" s="1" t="s">
        <v>112</v>
      </c>
      <c r="G401" s="1">
        <v>2639323</v>
      </c>
    </row>
    <row r="402" spans="1:7" x14ac:dyDescent="0.3">
      <c r="A402" s="1" t="str">
        <f t="shared" si="6"/>
        <v>01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2483</v>
      </c>
      <c r="D402" s="1" t="s">
        <v>2484</v>
      </c>
      <c r="E402" s="1" t="s">
        <v>2485</v>
      </c>
      <c r="F402" s="1" t="s">
        <v>112</v>
      </c>
      <c r="G402" s="1">
        <v>3101900</v>
      </c>
    </row>
    <row r="403" spans="1:7" x14ac:dyDescent="0.3">
      <c r="A403" s="1" t="str">
        <f t="shared" si="6"/>
        <v>01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2486</v>
      </c>
      <c r="D403" s="1" t="s">
        <v>1086</v>
      </c>
      <c r="E403" s="1" t="s">
        <v>2487</v>
      </c>
      <c r="F403" s="1" t="s">
        <v>112</v>
      </c>
      <c r="G403" s="1">
        <v>2988494</v>
      </c>
    </row>
    <row r="404" spans="1:7" x14ac:dyDescent="0.3">
      <c r="A404" s="1" t="str">
        <f t="shared" si="6"/>
        <v>01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2488</v>
      </c>
      <c r="D404" s="1" t="s">
        <v>2489</v>
      </c>
      <c r="E404" s="1" t="s">
        <v>2490</v>
      </c>
      <c r="F404" s="1" t="s">
        <v>112</v>
      </c>
      <c r="G404" s="1">
        <v>1634441</v>
      </c>
    </row>
    <row r="405" spans="1:7" x14ac:dyDescent="0.3">
      <c r="A405" s="1" t="str">
        <f t="shared" si="6"/>
        <v>01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2491</v>
      </c>
      <c r="D405" s="1" t="s">
        <v>2492</v>
      </c>
      <c r="E405" s="1" t="s">
        <v>2493</v>
      </c>
      <c r="F405" s="1" t="s">
        <v>112</v>
      </c>
      <c r="G405" s="1">
        <v>1329525</v>
      </c>
    </row>
    <row r="406" spans="1:7" x14ac:dyDescent="0.3">
      <c r="A406" s="1" t="str">
        <f t="shared" si="6"/>
        <v>01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2494</v>
      </c>
      <c r="D406" s="1" t="s">
        <v>2495</v>
      </c>
      <c r="E406" s="1" t="s">
        <v>2496</v>
      </c>
      <c r="F406" s="1" t="s">
        <v>112</v>
      </c>
      <c r="G406" s="1">
        <v>1384897</v>
      </c>
    </row>
    <row r="407" spans="1:7" x14ac:dyDescent="0.3">
      <c r="A407" s="1" t="str">
        <f t="shared" si="6"/>
        <v>01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2497</v>
      </c>
      <c r="D407" s="1" t="s">
        <v>2498</v>
      </c>
      <c r="E407" s="1" t="s">
        <v>2499</v>
      </c>
      <c r="F407" s="1" t="s">
        <v>112</v>
      </c>
      <c r="G407" s="1">
        <v>2787077</v>
      </c>
    </row>
    <row r="408" spans="1:7" x14ac:dyDescent="0.3">
      <c r="A408" s="1" t="str">
        <f t="shared" si="6"/>
        <v>01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2500</v>
      </c>
      <c r="D408" s="1" t="s">
        <v>2501</v>
      </c>
      <c r="E408" s="1" t="s">
        <v>2502</v>
      </c>
      <c r="F408" s="1" t="s">
        <v>112</v>
      </c>
      <c r="G408" s="1">
        <v>2783097</v>
      </c>
    </row>
    <row r="409" spans="1:7" x14ac:dyDescent="0.3">
      <c r="A409" s="1" t="str">
        <f t="shared" si="6"/>
        <v>01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2503</v>
      </c>
      <c r="D409" s="1" t="s">
        <v>2504</v>
      </c>
      <c r="E409" s="1" t="s">
        <v>2505</v>
      </c>
      <c r="F409" s="1" t="s">
        <v>112</v>
      </c>
      <c r="G409" s="1">
        <v>2932797</v>
      </c>
    </row>
    <row r="410" spans="1:7" x14ac:dyDescent="0.3">
      <c r="A410" s="1" t="str">
        <f t="shared" si="6"/>
        <v>01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2506</v>
      </c>
      <c r="D410" s="1" t="s">
        <v>2507</v>
      </c>
      <c r="E410" s="1" t="s">
        <v>2508</v>
      </c>
      <c r="F410" s="1" t="s">
        <v>112</v>
      </c>
      <c r="G410" s="1">
        <v>4042844</v>
      </c>
    </row>
    <row r="411" spans="1:7" x14ac:dyDescent="0.3">
      <c r="A411" s="1" t="str">
        <f t="shared" si="6"/>
        <v>01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2509</v>
      </c>
      <c r="D411" s="1" t="s">
        <v>2510</v>
      </c>
      <c r="E411" s="1" t="s">
        <v>2511</v>
      </c>
      <c r="F411" s="1" t="s">
        <v>112</v>
      </c>
      <c r="G411" s="1">
        <v>3678639</v>
      </c>
    </row>
    <row r="412" spans="1:7" x14ac:dyDescent="0.3">
      <c r="A412" s="1" t="str">
        <f t="shared" si="6"/>
        <v>01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2512</v>
      </c>
      <c r="D412" s="1" t="s">
        <v>2513</v>
      </c>
      <c r="E412" s="1" t="s">
        <v>2514</v>
      </c>
      <c r="F412" s="1" t="s">
        <v>112</v>
      </c>
      <c r="G412" s="1">
        <v>3812096</v>
      </c>
    </row>
    <row r="413" spans="1:7" x14ac:dyDescent="0.3">
      <c r="A413" s="1" t="str">
        <f t="shared" si="6"/>
        <v>01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2515</v>
      </c>
      <c r="D413" s="1" t="s">
        <v>2516</v>
      </c>
      <c r="E413" s="1" t="s">
        <v>2517</v>
      </c>
      <c r="F413" s="1" t="s">
        <v>112</v>
      </c>
      <c r="G413" s="1">
        <v>2165001</v>
      </c>
    </row>
    <row r="414" spans="1:7" x14ac:dyDescent="0.3">
      <c r="A414" s="1" t="str">
        <f t="shared" si="6"/>
        <v>01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2518</v>
      </c>
      <c r="D414" s="1" t="s">
        <v>2519</v>
      </c>
      <c r="E414" s="1" t="s">
        <v>2520</v>
      </c>
      <c r="F414" s="1" t="s">
        <v>112</v>
      </c>
      <c r="G414" s="1">
        <v>1842867</v>
      </c>
    </row>
    <row r="415" spans="1:7" x14ac:dyDescent="0.3">
      <c r="A415" s="1" t="str">
        <f t="shared" si="6"/>
        <v>01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2521</v>
      </c>
      <c r="D415" s="1" t="s">
        <v>2522</v>
      </c>
      <c r="E415" s="1" t="s">
        <v>2523</v>
      </c>
      <c r="F415" s="1" t="s">
        <v>112</v>
      </c>
      <c r="G415" s="1">
        <v>1936157</v>
      </c>
    </row>
    <row r="416" spans="1:7" x14ac:dyDescent="0.3">
      <c r="A416" s="1" t="str">
        <f t="shared" si="6"/>
        <v>01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2524</v>
      </c>
      <c r="D416" s="1" t="s">
        <v>2525</v>
      </c>
      <c r="E416" s="1" t="s">
        <v>2526</v>
      </c>
      <c r="F416" s="1" t="s">
        <v>112</v>
      </c>
      <c r="G416" s="1">
        <v>957231</v>
      </c>
    </row>
    <row r="417" spans="1:10" x14ac:dyDescent="0.3">
      <c r="A417" s="1" t="str">
        <f t="shared" si="6"/>
        <v>01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2527</v>
      </c>
      <c r="D417" s="1" t="s">
        <v>542</v>
      </c>
      <c r="E417" s="1" t="s">
        <v>2528</v>
      </c>
      <c r="F417" s="1" t="s">
        <v>112</v>
      </c>
      <c r="G417" s="1">
        <v>951045</v>
      </c>
    </row>
    <row r="418" spans="1:10" x14ac:dyDescent="0.3">
      <c r="A418" s="1" t="str">
        <f t="shared" si="6"/>
        <v>01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2529</v>
      </c>
      <c r="D418" s="1" t="s">
        <v>263</v>
      </c>
      <c r="E418" s="1" t="s">
        <v>2530</v>
      </c>
      <c r="F418" s="1" t="s">
        <v>112</v>
      </c>
      <c r="G418" s="1">
        <v>625212</v>
      </c>
    </row>
    <row r="419" spans="1:10" x14ac:dyDescent="0.3">
      <c r="A419" s="1" t="str">
        <f t="shared" si="6"/>
        <v>01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2531</v>
      </c>
      <c r="D419" s="1" t="s">
        <v>2532</v>
      </c>
      <c r="E419" s="1" t="s">
        <v>824</v>
      </c>
      <c r="F419" s="1" t="s">
        <v>112</v>
      </c>
      <c r="G419" s="1">
        <v>1431120</v>
      </c>
    </row>
    <row r="420" spans="1:10" x14ac:dyDescent="0.3">
      <c r="A420" s="1" t="str">
        <f t="shared" si="6"/>
        <v>01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2533</v>
      </c>
      <c r="D420" s="1" t="s">
        <v>2534</v>
      </c>
      <c r="E420" s="1" t="s">
        <v>2535</v>
      </c>
      <c r="F420" s="1" t="s">
        <v>112</v>
      </c>
      <c r="G420" s="1">
        <v>1193624</v>
      </c>
    </row>
    <row r="421" spans="1:10" x14ac:dyDescent="0.3">
      <c r="A421" s="1" t="str">
        <f t="shared" si="6"/>
        <v>01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2536</v>
      </c>
      <c r="D421" s="1" t="s">
        <v>2537</v>
      </c>
      <c r="E421" s="1" t="s">
        <v>2538</v>
      </c>
      <c r="F421" s="1" t="s">
        <v>112</v>
      </c>
      <c r="G421" s="1">
        <v>1004471</v>
      </c>
    </row>
    <row r="422" spans="1:10" x14ac:dyDescent="0.3">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3">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243</v>
      </c>
      <c r="D423" s="1" t="s">
        <v>112</v>
      </c>
      <c r="E423" s="1" t="s">
        <v>244</v>
      </c>
      <c r="F423" s="1" t="s">
        <v>245</v>
      </c>
      <c r="G423" s="1" t="s">
        <v>246</v>
      </c>
      <c r="H423" s="1" t="s">
        <v>247</v>
      </c>
      <c r="I423" s="1" t="s">
        <v>248</v>
      </c>
      <c r="J423" s="1" t="s">
        <v>249</v>
      </c>
    </row>
    <row r="424" spans="1:10" x14ac:dyDescent="0.3">
      <c r="A424" s="1" t="str">
        <f t="shared" si="6"/>
        <v>01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2539</v>
      </c>
      <c r="D424" s="1" t="s">
        <v>112</v>
      </c>
      <c r="E424" s="1" t="s">
        <v>2540</v>
      </c>
      <c r="F424" s="1" t="s">
        <v>2541</v>
      </c>
      <c r="G424" s="1" t="s">
        <v>2542</v>
      </c>
      <c r="H424" s="1" t="s">
        <v>2543</v>
      </c>
      <c r="I424" s="1">
        <v>24</v>
      </c>
      <c r="J424" s="1">
        <v>24</v>
      </c>
    </row>
    <row r="425" spans="1:10" x14ac:dyDescent="0.3">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3">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3">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3">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3">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3">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255</v>
      </c>
      <c r="D430" s="1" t="s">
        <v>110</v>
      </c>
      <c r="E430" s="1" t="s">
        <v>111</v>
      </c>
      <c r="F430" s="1" t="s">
        <v>112</v>
      </c>
      <c r="G430" s="1" t="s">
        <v>113</v>
      </c>
    </row>
    <row r="431" spans="1:10" x14ac:dyDescent="0.3">
      <c r="A431" s="1" t="str">
        <f t="shared" si="6"/>
        <v>02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2544</v>
      </c>
      <c r="D431" s="1" t="s">
        <v>613</v>
      </c>
      <c r="E431" s="1" t="s">
        <v>2545</v>
      </c>
      <c r="F431" s="1" t="s">
        <v>112</v>
      </c>
      <c r="G431" s="1">
        <v>2394948</v>
      </c>
    </row>
    <row r="432" spans="1:10" x14ac:dyDescent="0.3">
      <c r="A432" s="1" t="str">
        <f t="shared" si="6"/>
        <v>02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2546</v>
      </c>
      <c r="D432" s="1" t="s">
        <v>1429</v>
      </c>
      <c r="E432" s="1" t="s">
        <v>2547</v>
      </c>
      <c r="F432" s="1" t="s">
        <v>112</v>
      </c>
      <c r="G432" s="1">
        <v>2437213</v>
      </c>
    </row>
    <row r="433" spans="1:7" x14ac:dyDescent="0.3">
      <c r="A433" s="1" t="str">
        <f t="shared" si="6"/>
        <v>02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2548</v>
      </c>
      <c r="D433" s="1" t="s">
        <v>2549</v>
      </c>
      <c r="E433" s="1" t="s">
        <v>2550</v>
      </c>
      <c r="F433" s="1" t="s">
        <v>112</v>
      </c>
      <c r="G433" s="1">
        <v>2167726</v>
      </c>
    </row>
    <row r="434" spans="1:7" x14ac:dyDescent="0.3">
      <c r="A434" s="1" t="str">
        <f t="shared" si="6"/>
        <v>02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2551</v>
      </c>
      <c r="D434" s="1" t="s">
        <v>2552</v>
      </c>
      <c r="E434" s="1" t="s">
        <v>2553</v>
      </c>
      <c r="F434" s="1" t="s">
        <v>112</v>
      </c>
      <c r="G434" s="1">
        <v>922255</v>
      </c>
    </row>
    <row r="435" spans="1:7" x14ac:dyDescent="0.3">
      <c r="A435" s="1" t="str">
        <f t="shared" si="6"/>
        <v>02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2554</v>
      </c>
      <c r="D435" s="1" t="s">
        <v>2555</v>
      </c>
      <c r="E435" s="1" t="s">
        <v>2556</v>
      </c>
      <c r="F435" s="1" t="s">
        <v>112</v>
      </c>
      <c r="G435" s="1">
        <v>872074</v>
      </c>
    </row>
    <row r="436" spans="1:7" x14ac:dyDescent="0.3">
      <c r="A436" s="1" t="str">
        <f t="shared" si="6"/>
        <v>02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2557</v>
      </c>
      <c r="D436" s="1" t="s">
        <v>150</v>
      </c>
      <c r="E436" s="1" t="s">
        <v>2558</v>
      </c>
      <c r="F436" s="1" t="s">
        <v>112</v>
      </c>
      <c r="G436" s="1">
        <v>226249</v>
      </c>
    </row>
    <row r="437" spans="1:7" x14ac:dyDescent="0.3">
      <c r="A437" s="1" t="str">
        <f t="shared" si="6"/>
        <v>02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2559</v>
      </c>
      <c r="D437" s="1" t="s">
        <v>2560</v>
      </c>
      <c r="E437" s="1" t="s">
        <v>2561</v>
      </c>
      <c r="F437" s="1" t="s">
        <v>112</v>
      </c>
      <c r="G437" s="1">
        <v>1965292</v>
      </c>
    </row>
    <row r="438" spans="1:7" x14ac:dyDescent="0.3">
      <c r="A438" s="1" t="str">
        <f t="shared" si="6"/>
        <v>02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2562</v>
      </c>
      <c r="D438" s="1" t="s">
        <v>2563</v>
      </c>
      <c r="E438" s="1" t="s">
        <v>2564</v>
      </c>
      <c r="F438" s="1" t="s">
        <v>112</v>
      </c>
      <c r="G438" s="1">
        <v>2281175</v>
      </c>
    </row>
    <row r="439" spans="1:7" x14ac:dyDescent="0.3">
      <c r="A439" s="1" t="str">
        <f t="shared" si="6"/>
        <v>02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2565</v>
      </c>
      <c r="D439" s="1" t="s">
        <v>1631</v>
      </c>
      <c r="E439" s="1" t="s">
        <v>2566</v>
      </c>
      <c r="F439" s="1" t="s">
        <v>112</v>
      </c>
      <c r="G439" s="1">
        <v>1233380</v>
      </c>
    </row>
    <row r="440" spans="1:7" x14ac:dyDescent="0.3">
      <c r="A440" s="1" t="str">
        <f t="shared" si="6"/>
        <v>02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2567</v>
      </c>
    </row>
    <row r="441" spans="1:7" x14ac:dyDescent="0.3">
      <c r="A441" s="1" t="str">
        <f t="shared" si="6"/>
        <v>02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2568</v>
      </c>
      <c r="D441" s="1" t="s">
        <v>2569</v>
      </c>
      <c r="E441" s="1" t="s">
        <v>2570</v>
      </c>
      <c r="F441" s="1" t="s">
        <v>112</v>
      </c>
      <c r="G441" s="1">
        <v>2902343</v>
      </c>
    </row>
    <row r="442" spans="1:7" x14ac:dyDescent="0.3">
      <c r="A442" s="1" t="str">
        <f t="shared" si="6"/>
        <v>02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2571</v>
      </c>
    </row>
    <row r="443" spans="1:7" x14ac:dyDescent="0.3">
      <c r="A443" s="1" t="str">
        <f t="shared" si="6"/>
        <v>02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2572</v>
      </c>
      <c r="D443" s="1" t="s">
        <v>356</v>
      </c>
      <c r="E443" s="1" t="s">
        <v>2573</v>
      </c>
      <c r="F443" s="1" t="s">
        <v>112</v>
      </c>
      <c r="G443" s="1">
        <v>962509</v>
      </c>
    </row>
    <row r="444" spans="1:7" x14ac:dyDescent="0.3">
      <c r="A444" s="1" t="str">
        <f t="shared" si="6"/>
        <v>02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2574</v>
      </c>
      <c r="D444" s="1" t="s">
        <v>2575</v>
      </c>
      <c r="E444" s="1" t="s">
        <v>2576</v>
      </c>
      <c r="F444" s="1" t="s">
        <v>112</v>
      </c>
      <c r="G444" s="1">
        <v>1082144</v>
      </c>
    </row>
    <row r="445" spans="1:7" x14ac:dyDescent="0.3">
      <c r="A445" s="1" t="str">
        <f t="shared" si="6"/>
        <v>02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2577</v>
      </c>
      <c r="D445" s="1" t="s">
        <v>2578</v>
      </c>
      <c r="E445" s="1" t="s">
        <v>2579</v>
      </c>
      <c r="F445" s="1" t="s">
        <v>112</v>
      </c>
      <c r="G445" s="1">
        <v>1285962</v>
      </c>
    </row>
    <row r="446" spans="1:7" x14ac:dyDescent="0.3">
      <c r="A446" s="1" t="str">
        <f t="shared" si="6"/>
        <v>02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2580</v>
      </c>
      <c r="D446" s="1" t="s">
        <v>2581</v>
      </c>
      <c r="E446" s="1" t="s">
        <v>2582</v>
      </c>
      <c r="F446" s="1" t="s">
        <v>112</v>
      </c>
      <c r="G446" s="1">
        <v>2751842</v>
      </c>
    </row>
    <row r="447" spans="1:7" x14ac:dyDescent="0.3">
      <c r="A447" s="1" t="str">
        <f t="shared" si="6"/>
        <v>02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2583</v>
      </c>
    </row>
    <row r="448" spans="1:7" x14ac:dyDescent="0.3">
      <c r="A448" s="1" t="str">
        <f t="shared" si="6"/>
        <v>02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2584</v>
      </c>
      <c r="D448" s="1" t="s">
        <v>2585</v>
      </c>
      <c r="E448" s="1" t="s">
        <v>2586</v>
      </c>
      <c r="F448" s="1" t="s">
        <v>112</v>
      </c>
      <c r="G448" s="1">
        <v>2527475</v>
      </c>
    </row>
    <row r="449" spans="1:10" x14ac:dyDescent="0.3">
      <c r="A449" s="1" t="str">
        <f t="shared" si="6"/>
        <v>02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2587</v>
      </c>
      <c r="D449" s="1" t="s">
        <v>2121</v>
      </c>
      <c r="E449" s="1" t="s">
        <v>2588</v>
      </c>
      <c r="F449" s="1" t="s">
        <v>112</v>
      </c>
      <c r="G449" s="1">
        <v>3792110</v>
      </c>
    </row>
    <row r="450" spans="1:10" x14ac:dyDescent="0.3">
      <c r="A450" s="1" t="str">
        <f t="shared" ref="A450:A513" si="7">IFERROR(LEFT(RIGHT(C450,LEN(C450)-SEARCH("@",C450)),SEARCH("/",RIGHT(C450,LEN(C450)-SEARCH("@",C450)-1))),"")</f>
        <v>02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2589</v>
      </c>
      <c r="D450" s="1" t="s">
        <v>2590</v>
      </c>
      <c r="E450" s="1" t="s">
        <v>2591</v>
      </c>
      <c r="F450" s="1" t="s">
        <v>112</v>
      </c>
      <c r="G450" s="1">
        <v>3388518</v>
      </c>
    </row>
    <row r="451" spans="1:10" x14ac:dyDescent="0.3">
      <c r="A451" s="1" t="str">
        <f t="shared" si="7"/>
        <v>02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2592</v>
      </c>
      <c r="D451" s="1" t="s">
        <v>2593</v>
      </c>
      <c r="E451" s="1" t="s">
        <v>2594</v>
      </c>
      <c r="F451" s="1" t="s">
        <v>112</v>
      </c>
      <c r="G451" s="1">
        <v>3194952</v>
      </c>
    </row>
    <row r="452" spans="1:10" x14ac:dyDescent="0.3">
      <c r="A452" s="1" t="str">
        <f t="shared" si="7"/>
        <v>02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2595</v>
      </c>
      <c r="D452" s="1" t="s">
        <v>2596</v>
      </c>
      <c r="E452" s="1" t="s">
        <v>2597</v>
      </c>
      <c r="F452" s="1" t="s">
        <v>112</v>
      </c>
      <c r="G452" s="1">
        <v>4142449</v>
      </c>
    </row>
    <row r="453" spans="1:10" x14ac:dyDescent="0.3">
      <c r="A453" s="1" t="str">
        <f t="shared" si="7"/>
        <v>02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2598</v>
      </c>
      <c r="D453" s="1" t="s">
        <v>2599</v>
      </c>
      <c r="E453" s="1" t="s">
        <v>2600</v>
      </c>
      <c r="F453" s="1" t="s">
        <v>112</v>
      </c>
      <c r="G453" s="1">
        <v>4002179</v>
      </c>
    </row>
    <row r="454" spans="1:10" x14ac:dyDescent="0.3">
      <c r="A454" s="1" t="str">
        <f t="shared" si="7"/>
        <v>02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2601</v>
      </c>
      <c r="D454" s="1" t="s">
        <v>2602</v>
      </c>
      <c r="E454" s="1" t="s">
        <v>2603</v>
      </c>
      <c r="F454" s="1" t="s">
        <v>112</v>
      </c>
      <c r="G454" s="1">
        <v>3831087</v>
      </c>
    </row>
    <row r="455" spans="1:10" x14ac:dyDescent="0.3">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3">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243</v>
      </c>
      <c r="D456" s="1" t="s">
        <v>112</v>
      </c>
      <c r="E456" s="1" t="s">
        <v>244</v>
      </c>
      <c r="F456" s="1" t="s">
        <v>245</v>
      </c>
      <c r="G456" s="1" t="s">
        <v>246</v>
      </c>
      <c r="H456" s="1" t="s">
        <v>247</v>
      </c>
      <c r="I456" s="1" t="s">
        <v>248</v>
      </c>
      <c r="J456" s="1" t="s">
        <v>249</v>
      </c>
    </row>
    <row r="457" spans="1:10" x14ac:dyDescent="0.3">
      <c r="A457" s="1" t="str">
        <f t="shared" si="7"/>
        <v>02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2604</v>
      </c>
      <c r="D457" s="1" t="s">
        <v>112</v>
      </c>
      <c r="E457" s="1" t="s">
        <v>2605</v>
      </c>
      <c r="F457" s="1" t="s">
        <v>2606</v>
      </c>
      <c r="G457" s="1" t="s">
        <v>2607</v>
      </c>
      <c r="H457" s="1" t="s">
        <v>2608</v>
      </c>
      <c r="I457" s="1">
        <v>24</v>
      </c>
      <c r="J457" s="1">
        <v>24</v>
      </c>
    </row>
    <row r="458" spans="1:10" x14ac:dyDescent="0.3">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3">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3">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3">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3">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3">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255</v>
      </c>
      <c r="D463" s="1" t="s">
        <v>110</v>
      </c>
      <c r="E463" s="1" t="s">
        <v>111</v>
      </c>
      <c r="F463" s="1" t="s">
        <v>112</v>
      </c>
      <c r="G463" s="1" t="s">
        <v>113</v>
      </c>
    </row>
    <row r="464" spans="1:10" x14ac:dyDescent="0.3">
      <c r="A464" s="1" t="str">
        <f t="shared" si="7"/>
        <v>03Testo + EE2 64</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2609</v>
      </c>
      <c r="D464" s="1" t="s">
        <v>2610</v>
      </c>
      <c r="E464" s="1" t="s">
        <v>2611</v>
      </c>
      <c r="F464" s="1" t="s">
        <v>112</v>
      </c>
      <c r="G464" s="1">
        <v>1993541</v>
      </c>
    </row>
    <row r="465" spans="1:7" x14ac:dyDescent="0.3">
      <c r="A465" s="1" t="str">
        <f t="shared" si="7"/>
        <v>03Testo + EE2 64</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2612</v>
      </c>
      <c r="D465" s="1" t="s">
        <v>2613</v>
      </c>
      <c r="E465" s="1" t="s">
        <v>2614</v>
      </c>
      <c r="F465" s="1" t="s">
        <v>112</v>
      </c>
      <c r="G465" s="1">
        <v>1832593</v>
      </c>
    </row>
    <row r="466" spans="1:7" x14ac:dyDescent="0.3">
      <c r="A466" s="1" t="str">
        <f t="shared" si="7"/>
        <v>03Testo + EE2 64</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2615</v>
      </c>
      <c r="D466" s="1" t="s">
        <v>2616</v>
      </c>
      <c r="E466" s="1" t="s">
        <v>2617</v>
      </c>
      <c r="F466" s="1" t="s">
        <v>112</v>
      </c>
      <c r="G466" s="1">
        <v>2335747</v>
      </c>
    </row>
    <row r="467" spans="1:7" x14ac:dyDescent="0.3">
      <c r="A467" s="1" t="str">
        <f t="shared" si="7"/>
        <v>03Testo + EE2 64</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2618</v>
      </c>
      <c r="D467" s="1" t="s">
        <v>2619</v>
      </c>
      <c r="E467" s="1" t="s">
        <v>2620</v>
      </c>
      <c r="F467" s="1" t="s">
        <v>112</v>
      </c>
      <c r="G467" s="1">
        <v>1807718</v>
      </c>
    </row>
    <row r="468" spans="1:7" x14ac:dyDescent="0.3">
      <c r="A468" s="1" t="str">
        <f t="shared" si="7"/>
        <v>03Testo + EE2 64</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2621</v>
      </c>
      <c r="D468" s="1" t="s">
        <v>2622</v>
      </c>
      <c r="E468" s="1" t="s">
        <v>2623</v>
      </c>
      <c r="F468" s="1" t="s">
        <v>112</v>
      </c>
      <c r="G468" s="1">
        <v>1349705</v>
      </c>
    </row>
    <row r="469" spans="1:7" x14ac:dyDescent="0.3">
      <c r="A469" s="1" t="str">
        <f t="shared" si="7"/>
        <v>03Testo + EE2 64</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2624</v>
      </c>
      <c r="D469" s="1" t="s">
        <v>2625</v>
      </c>
      <c r="E469" s="1" t="s">
        <v>2626</v>
      </c>
      <c r="F469" s="1" t="s">
        <v>112</v>
      </c>
      <c r="G469" s="1">
        <v>1726066</v>
      </c>
    </row>
    <row r="470" spans="1:7" x14ac:dyDescent="0.3">
      <c r="A470" s="1" t="str">
        <f t="shared" si="7"/>
        <v>03Testo + EE2 64</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2627</v>
      </c>
      <c r="D470" s="1" t="s">
        <v>2074</v>
      </c>
      <c r="E470" s="1" t="s">
        <v>2628</v>
      </c>
      <c r="F470" s="1" t="s">
        <v>112</v>
      </c>
      <c r="G470" s="1">
        <v>3732455</v>
      </c>
    </row>
    <row r="471" spans="1:7" x14ac:dyDescent="0.3">
      <c r="A471" s="1" t="str">
        <f t="shared" si="7"/>
        <v>03Testo + EE2 64</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2629</v>
      </c>
      <c r="D471" s="1" t="s">
        <v>2630</v>
      </c>
      <c r="E471" s="1" t="s">
        <v>2631</v>
      </c>
      <c r="F471" s="1" t="s">
        <v>112</v>
      </c>
      <c r="G471" s="1">
        <v>3812247</v>
      </c>
    </row>
    <row r="472" spans="1:7" x14ac:dyDescent="0.3">
      <c r="A472" s="1" t="str">
        <f t="shared" si="7"/>
        <v>03Testo + EE2 64</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2632</v>
      </c>
      <c r="D472" s="1" t="s">
        <v>483</v>
      </c>
      <c r="E472" s="1" t="s">
        <v>2633</v>
      </c>
      <c r="F472" s="1" t="s">
        <v>112</v>
      </c>
      <c r="G472" s="1">
        <v>3359014</v>
      </c>
    </row>
    <row r="473" spans="1:7" x14ac:dyDescent="0.3">
      <c r="A473" s="1" t="str">
        <f t="shared" si="7"/>
        <v>03Testo + EE2 64</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2634</v>
      </c>
      <c r="D473" s="1" t="s">
        <v>2635</v>
      </c>
      <c r="E473" s="1" t="s">
        <v>2636</v>
      </c>
      <c r="F473" s="1" t="s">
        <v>112</v>
      </c>
      <c r="G473" s="1">
        <v>4361538</v>
      </c>
    </row>
    <row r="474" spans="1:7" x14ac:dyDescent="0.3">
      <c r="A474" s="1" t="str">
        <f t="shared" si="7"/>
        <v>03Testo + EE2 64</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2637</v>
      </c>
      <c r="D474" s="1" t="s">
        <v>2638</v>
      </c>
      <c r="E474" s="1" t="s">
        <v>2639</v>
      </c>
      <c r="F474" s="1" t="s">
        <v>112</v>
      </c>
      <c r="G474" s="1">
        <v>4683824</v>
      </c>
    </row>
    <row r="475" spans="1:7" x14ac:dyDescent="0.3">
      <c r="A475" s="1" t="str">
        <f t="shared" si="7"/>
        <v>03Testo + EE2 64</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2640</v>
      </c>
      <c r="D475" s="1" t="s">
        <v>2641</v>
      </c>
      <c r="E475" s="1" t="s">
        <v>2642</v>
      </c>
      <c r="F475" s="1" t="s">
        <v>112</v>
      </c>
      <c r="G475" s="1">
        <v>4467179</v>
      </c>
    </row>
    <row r="476" spans="1:7" x14ac:dyDescent="0.3">
      <c r="A476" s="1" t="str">
        <f t="shared" si="7"/>
        <v>03Testo + EE2 64</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2643</v>
      </c>
      <c r="D476" s="1" t="s">
        <v>2644</v>
      </c>
      <c r="E476" s="1" t="s">
        <v>2645</v>
      </c>
      <c r="F476" s="1" t="s">
        <v>112</v>
      </c>
      <c r="G476" s="1">
        <v>5094770</v>
      </c>
    </row>
    <row r="477" spans="1:7" x14ac:dyDescent="0.3">
      <c r="A477" s="1" t="str">
        <f t="shared" si="7"/>
        <v>03Testo + EE2 64</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2646</v>
      </c>
      <c r="D477" s="1" t="s">
        <v>2647</v>
      </c>
      <c r="E477" s="1" t="s">
        <v>2648</v>
      </c>
      <c r="F477" s="1" t="s">
        <v>112</v>
      </c>
      <c r="G477" s="1">
        <v>4450135</v>
      </c>
    </row>
    <row r="478" spans="1:7" x14ac:dyDescent="0.3">
      <c r="A478" s="1" t="str">
        <f t="shared" si="7"/>
        <v>03Testo + EE2 64</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2649</v>
      </c>
      <c r="D478" s="1" t="s">
        <v>2650</v>
      </c>
      <c r="E478" s="1" t="s">
        <v>2651</v>
      </c>
      <c r="F478" s="1" t="s">
        <v>112</v>
      </c>
      <c r="G478" s="1">
        <v>4035295</v>
      </c>
    </row>
    <row r="479" spans="1:7" x14ac:dyDescent="0.3">
      <c r="A479" s="1" t="str">
        <f t="shared" si="7"/>
        <v>03Testo + EE2 64</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2652</v>
      </c>
      <c r="D479" s="1" t="s">
        <v>2653</v>
      </c>
      <c r="E479" s="1" t="s">
        <v>2654</v>
      </c>
      <c r="F479" s="1" t="s">
        <v>112</v>
      </c>
      <c r="G479" s="1">
        <v>5286498</v>
      </c>
    </row>
    <row r="480" spans="1:7" x14ac:dyDescent="0.3">
      <c r="A480" s="1" t="str">
        <f t="shared" si="7"/>
        <v>03Testo + EE2 64</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2655</v>
      </c>
      <c r="D480" s="1" t="s">
        <v>2656</v>
      </c>
      <c r="E480" s="1" t="s">
        <v>2657</v>
      </c>
      <c r="F480" s="1" t="s">
        <v>112</v>
      </c>
      <c r="G480" s="1">
        <v>5300384</v>
      </c>
    </row>
    <row r="481" spans="1:10" x14ac:dyDescent="0.3">
      <c r="A481" s="1" t="str">
        <f t="shared" si="7"/>
        <v>03Testo + EE2 64</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2658</v>
      </c>
      <c r="D481" s="1" t="s">
        <v>2097</v>
      </c>
      <c r="E481" s="1" t="s">
        <v>2659</v>
      </c>
      <c r="F481" s="1" t="s">
        <v>112</v>
      </c>
      <c r="G481" s="1">
        <v>5381107</v>
      </c>
    </row>
    <row r="482" spans="1:10" x14ac:dyDescent="0.3">
      <c r="A482" s="1" t="str">
        <f t="shared" si="7"/>
        <v>03Testo + EE2 64</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2660</v>
      </c>
      <c r="D482" s="1" t="s">
        <v>2661</v>
      </c>
      <c r="E482" s="1" t="s">
        <v>2662</v>
      </c>
      <c r="F482" s="1" t="s">
        <v>112</v>
      </c>
      <c r="G482" s="1">
        <v>5969353</v>
      </c>
    </row>
    <row r="483" spans="1:10" x14ac:dyDescent="0.3">
      <c r="A483" s="1" t="str">
        <f t="shared" si="7"/>
        <v>03Testo + EE2 64</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2663</v>
      </c>
      <c r="D483" s="1" t="s">
        <v>2664</v>
      </c>
      <c r="E483" s="1" t="s">
        <v>2665</v>
      </c>
      <c r="F483" s="1" t="s">
        <v>112</v>
      </c>
      <c r="G483" s="1">
        <v>5020472</v>
      </c>
    </row>
    <row r="484" spans="1:10" x14ac:dyDescent="0.3">
      <c r="A484" s="1" t="str">
        <f t="shared" si="7"/>
        <v>03Testo + EE2 64</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2666</v>
      </c>
      <c r="D484" s="1" t="s">
        <v>2667</v>
      </c>
      <c r="E484" s="1" t="s">
        <v>2668</v>
      </c>
      <c r="F484" s="1" t="s">
        <v>112</v>
      </c>
      <c r="G484" s="1">
        <v>5307003</v>
      </c>
    </row>
    <row r="485" spans="1:10" x14ac:dyDescent="0.3">
      <c r="A485" s="1" t="str">
        <f t="shared" si="7"/>
        <v>03Testo + EE2 64</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2669</v>
      </c>
      <c r="D485" s="1" t="s">
        <v>2670</v>
      </c>
      <c r="E485" s="1" t="s">
        <v>2671</v>
      </c>
      <c r="F485" s="1" t="s">
        <v>112</v>
      </c>
      <c r="G485" s="1">
        <v>3125109</v>
      </c>
    </row>
    <row r="486" spans="1:10" x14ac:dyDescent="0.3">
      <c r="A486" s="1" t="str">
        <f t="shared" si="7"/>
        <v>03Testo + EE2 64</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2672</v>
      </c>
      <c r="D486" s="1" t="s">
        <v>2673</v>
      </c>
      <c r="E486" s="1" t="s">
        <v>2674</v>
      </c>
      <c r="F486" s="1" t="s">
        <v>112</v>
      </c>
      <c r="G486" s="1">
        <v>3196120</v>
      </c>
    </row>
    <row r="487" spans="1:10" x14ac:dyDescent="0.3">
      <c r="A487" s="1" t="str">
        <f t="shared" si="7"/>
        <v>03Testo + EE2 64</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2675</v>
      </c>
      <c r="D487" s="1" t="s">
        <v>2676</v>
      </c>
      <c r="E487" s="1" t="s">
        <v>2677</v>
      </c>
      <c r="F487" s="1" t="s">
        <v>112</v>
      </c>
      <c r="G487" s="1">
        <v>3224801</v>
      </c>
    </row>
    <row r="488" spans="1:10" x14ac:dyDescent="0.3">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3">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243</v>
      </c>
      <c r="D489" s="1" t="s">
        <v>112</v>
      </c>
      <c r="E489" s="1" t="s">
        <v>244</v>
      </c>
      <c r="F489" s="1" t="s">
        <v>245</v>
      </c>
      <c r="G489" s="1" t="s">
        <v>246</v>
      </c>
      <c r="H489" s="1" t="s">
        <v>247</v>
      </c>
      <c r="I489" s="1" t="s">
        <v>248</v>
      </c>
      <c r="J489" s="1" t="s">
        <v>249</v>
      </c>
    </row>
    <row r="490" spans="1:10" x14ac:dyDescent="0.3">
      <c r="A490" s="1" t="str">
        <f t="shared" si="7"/>
        <v>03Testo + EE2 64</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2678</v>
      </c>
      <c r="D490" s="1" t="s">
        <v>112</v>
      </c>
      <c r="E490" s="1" t="s">
        <v>2679</v>
      </c>
      <c r="F490" s="1" t="s">
        <v>2680</v>
      </c>
      <c r="G490" s="1" t="s">
        <v>2681</v>
      </c>
      <c r="H490" s="1" t="s">
        <v>2682</v>
      </c>
      <c r="I490" s="1">
        <v>24</v>
      </c>
      <c r="J490" s="1">
        <v>24</v>
      </c>
    </row>
    <row r="491" spans="1:10" x14ac:dyDescent="0.3">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3">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3">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3">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3">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3">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255</v>
      </c>
      <c r="D496" s="1" t="s">
        <v>110</v>
      </c>
      <c r="E496" s="1" t="s">
        <v>111</v>
      </c>
      <c r="F496" s="1" t="s">
        <v>112</v>
      </c>
      <c r="G496" s="1" t="s">
        <v>113</v>
      </c>
    </row>
    <row r="497" spans="1:7" x14ac:dyDescent="0.3">
      <c r="A497" s="1" t="str">
        <f t="shared" si="7"/>
        <v>04 Testo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2683</v>
      </c>
      <c r="D497" s="1" t="s">
        <v>2684</v>
      </c>
      <c r="E497" s="1" t="s">
        <v>2685</v>
      </c>
      <c r="F497" s="1" t="s">
        <v>112</v>
      </c>
      <c r="G497" s="1">
        <v>699879</v>
      </c>
    </row>
    <row r="498" spans="1:7" x14ac:dyDescent="0.3">
      <c r="A498" s="1" t="str">
        <f t="shared" si="7"/>
        <v>04 Testo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2686</v>
      </c>
      <c r="D498" s="1" t="s">
        <v>841</v>
      </c>
      <c r="E498" s="1" t="s">
        <v>2687</v>
      </c>
      <c r="F498" s="1" t="s">
        <v>112</v>
      </c>
      <c r="G498" s="1">
        <v>259472</v>
      </c>
    </row>
    <row r="499" spans="1:7" x14ac:dyDescent="0.3">
      <c r="A499" s="1" t="str">
        <f t="shared" si="7"/>
        <v>04 Testo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2688</v>
      </c>
      <c r="D499" s="1" t="s">
        <v>2689</v>
      </c>
      <c r="E499" s="1" t="s">
        <v>2690</v>
      </c>
      <c r="F499" s="1" t="s">
        <v>112</v>
      </c>
      <c r="G499" s="1">
        <v>333144</v>
      </c>
    </row>
    <row r="500" spans="1:7" x14ac:dyDescent="0.3">
      <c r="A500" s="1" t="str">
        <f t="shared" si="7"/>
        <v>04 Testo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2691</v>
      </c>
      <c r="D500" s="1" t="s">
        <v>935</v>
      </c>
      <c r="E500" s="1" t="s">
        <v>2692</v>
      </c>
      <c r="F500" s="1" t="s">
        <v>112</v>
      </c>
      <c r="G500" s="1">
        <v>66317</v>
      </c>
    </row>
    <row r="501" spans="1:7" x14ac:dyDescent="0.3">
      <c r="A501" s="1" t="str">
        <f t="shared" si="7"/>
        <v>04 Testo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2693</v>
      </c>
      <c r="D501" s="1" t="s">
        <v>373</v>
      </c>
      <c r="E501" s="1" t="s">
        <v>2694</v>
      </c>
      <c r="F501" s="1" t="s">
        <v>112</v>
      </c>
      <c r="G501" s="1">
        <v>82626</v>
      </c>
    </row>
    <row r="502" spans="1:7" x14ac:dyDescent="0.3">
      <c r="A502" s="1" t="str">
        <f t="shared" si="7"/>
        <v>04 Testo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2695</v>
      </c>
      <c r="D502" s="1" t="s">
        <v>376</v>
      </c>
      <c r="E502" s="1" t="s">
        <v>2696</v>
      </c>
      <c r="F502" s="1" t="s">
        <v>112</v>
      </c>
      <c r="G502" s="1">
        <v>45920</v>
      </c>
    </row>
    <row r="503" spans="1:7" x14ac:dyDescent="0.3">
      <c r="A503" s="1" t="str">
        <f t="shared" si="7"/>
        <v>04 Testo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2697</v>
      </c>
      <c r="D503" s="1" t="s">
        <v>1887</v>
      </c>
      <c r="E503" s="1" t="s">
        <v>2698</v>
      </c>
      <c r="F503" s="1" t="s">
        <v>112</v>
      </c>
      <c r="G503" s="1">
        <v>247576</v>
      </c>
    </row>
    <row r="504" spans="1:7" x14ac:dyDescent="0.3">
      <c r="A504" s="1" t="str">
        <f t="shared" si="7"/>
        <v>04 Testo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2699</v>
      </c>
      <c r="D504" s="1" t="s">
        <v>226</v>
      </c>
      <c r="E504" s="1" t="s">
        <v>2700</v>
      </c>
      <c r="F504" s="1" t="s">
        <v>112</v>
      </c>
      <c r="G504" s="1">
        <v>204597</v>
      </c>
    </row>
    <row r="505" spans="1:7" x14ac:dyDescent="0.3">
      <c r="A505" s="1" t="str">
        <f t="shared" si="7"/>
        <v>04 Testo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2701</v>
      </c>
      <c r="D505" s="1" t="s">
        <v>1646</v>
      </c>
      <c r="E505" s="1" t="s">
        <v>715</v>
      </c>
      <c r="F505" s="1" t="s">
        <v>112</v>
      </c>
      <c r="G505" s="1">
        <v>167415</v>
      </c>
    </row>
    <row r="506" spans="1:7" x14ac:dyDescent="0.3">
      <c r="A506" s="1" t="str">
        <f t="shared" si="7"/>
        <v>04 Testo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2702</v>
      </c>
      <c r="D506" s="1" t="s">
        <v>1825</v>
      </c>
      <c r="E506" s="1" t="s">
        <v>2703</v>
      </c>
      <c r="F506" s="1" t="s">
        <v>112</v>
      </c>
      <c r="G506" s="1">
        <v>125540</v>
      </c>
    </row>
    <row r="507" spans="1:7" x14ac:dyDescent="0.3">
      <c r="A507" s="1" t="str">
        <f t="shared" si="7"/>
        <v>04 Testo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2704</v>
      </c>
      <c r="D507" s="1" t="s">
        <v>2705</v>
      </c>
      <c r="E507" s="1" t="s">
        <v>2706</v>
      </c>
      <c r="F507" s="1" t="s">
        <v>112</v>
      </c>
      <c r="G507" s="1">
        <v>41421</v>
      </c>
    </row>
    <row r="508" spans="1:7" x14ac:dyDescent="0.3">
      <c r="A508" s="1" t="str">
        <f t="shared" si="7"/>
        <v>04 Testo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2707</v>
      </c>
      <c r="D508" s="1" t="s">
        <v>745</v>
      </c>
      <c r="E508" s="1" t="s">
        <v>2708</v>
      </c>
      <c r="F508" s="1" t="s">
        <v>112</v>
      </c>
      <c r="G508" s="1">
        <v>87363</v>
      </c>
    </row>
    <row r="509" spans="1:7" x14ac:dyDescent="0.3">
      <c r="A509" s="1" t="str">
        <f t="shared" si="7"/>
        <v>04 Testo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2709</v>
      </c>
      <c r="D509" s="1" t="s">
        <v>2377</v>
      </c>
      <c r="E509" s="1" t="s">
        <v>2710</v>
      </c>
      <c r="F509" s="1" t="s">
        <v>112</v>
      </c>
      <c r="G509" s="1">
        <v>344153</v>
      </c>
    </row>
    <row r="510" spans="1:7" x14ac:dyDescent="0.3">
      <c r="A510" s="1" t="str">
        <f t="shared" si="7"/>
        <v>04 Testo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2711</v>
      </c>
      <c r="D510" s="1" t="s">
        <v>2712</v>
      </c>
      <c r="E510" s="1" t="s">
        <v>2713</v>
      </c>
      <c r="F510" s="1" t="s">
        <v>112</v>
      </c>
      <c r="G510" s="1">
        <v>400153</v>
      </c>
    </row>
    <row r="511" spans="1:7" x14ac:dyDescent="0.3">
      <c r="A511" s="1" t="str">
        <f t="shared" si="7"/>
        <v>04 Testo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2714</v>
      </c>
      <c r="D511" s="1" t="s">
        <v>764</v>
      </c>
      <c r="E511" s="1" t="s">
        <v>2715</v>
      </c>
      <c r="F511" s="1" t="s">
        <v>112</v>
      </c>
      <c r="G511" s="1">
        <v>28768</v>
      </c>
    </row>
    <row r="512" spans="1:7" x14ac:dyDescent="0.3">
      <c r="A512" s="1" t="str">
        <f t="shared" si="7"/>
        <v>04 Testo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2716</v>
      </c>
      <c r="D512" s="1" t="s">
        <v>1927</v>
      </c>
      <c r="E512" s="1" t="s">
        <v>2717</v>
      </c>
      <c r="F512" s="1" t="s">
        <v>112</v>
      </c>
      <c r="G512" s="1">
        <v>21543</v>
      </c>
    </row>
    <row r="513" spans="1:10" x14ac:dyDescent="0.3">
      <c r="A513" s="1" t="str">
        <f t="shared" si="7"/>
        <v>04 Testo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2718</v>
      </c>
      <c r="D513" s="1" t="s">
        <v>1927</v>
      </c>
      <c r="E513" s="1" t="s">
        <v>2719</v>
      </c>
      <c r="F513" s="1" t="s">
        <v>112</v>
      </c>
      <c r="G513" s="1">
        <v>22409</v>
      </c>
    </row>
    <row r="514" spans="1:10" x14ac:dyDescent="0.3">
      <c r="A514" s="1" t="str">
        <f t="shared" ref="A514:A577" si="8">IFERROR(LEFT(RIGHT(C514,LEN(C514)-SEARCH("@",C514)),SEARCH("/",RIGHT(C514,LEN(C514)-SEARCH("@",C514)-1))),"")</f>
        <v>04 Testo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2720</v>
      </c>
      <c r="D514" s="1" t="s">
        <v>1753</v>
      </c>
      <c r="E514" s="1" t="s">
        <v>2721</v>
      </c>
      <c r="F514" s="1" t="s">
        <v>112</v>
      </c>
      <c r="G514" s="1">
        <v>51263</v>
      </c>
    </row>
    <row r="515" spans="1:10" x14ac:dyDescent="0.3">
      <c r="A515" s="1" t="str">
        <f t="shared" si="8"/>
        <v>04 Testo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2722</v>
      </c>
      <c r="D515" s="1" t="s">
        <v>1253</v>
      </c>
      <c r="E515" s="1" t="s">
        <v>2723</v>
      </c>
      <c r="F515" s="1" t="s">
        <v>112</v>
      </c>
      <c r="G515" s="1">
        <v>408935</v>
      </c>
    </row>
    <row r="516" spans="1:10" x14ac:dyDescent="0.3">
      <c r="A516" s="1" t="str">
        <f t="shared" si="8"/>
        <v>04 Testo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2724</v>
      </c>
      <c r="D516" s="1" t="s">
        <v>2725</v>
      </c>
      <c r="E516" s="1" t="s">
        <v>2726</v>
      </c>
      <c r="F516" s="1" t="s">
        <v>112</v>
      </c>
      <c r="G516" s="1">
        <v>201829</v>
      </c>
    </row>
    <row r="517" spans="1:10" x14ac:dyDescent="0.3">
      <c r="A517" s="1" t="str">
        <f t="shared" si="8"/>
        <v>04 Testo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2727</v>
      </c>
      <c r="D517" s="1" t="s">
        <v>2728</v>
      </c>
      <c r="E517" s="1" t="s">
        <v>2729</v>
      </c>
      <c r="F517" s="1" t="s">
        <v>112</v>
      </c>
      <c r="G517" s="1">
        <v>615089</v>
      </c>
    </row>
    <row r="518" spans="1:10" x14ac:dyDescent="0.3">
      <c r="A518" s="1" t="str">
        <f t="shared" si="8"/>
        <v>04 Testo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2730</v>
      </c>
      <c r="D518" s="1" t="s">
        <v>717</v>
      </c>
      <c r="E518" s="1" t="s">
        <v>2731</v>
      </c>
      <c r="F518" s="1" t="s">
        <v>112</v>
      </c>
      <c r="G518" s="1">
        <v>80766</v>
      </c>
    </row>
    <row r="519" spans="1:10" x14ac:dyDescent="0.3">
      <c r="A519" s="1" t="str">
        <f t="shared" si="8"/>
        <v>04 Testo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2732</v>
      </c>
      <c r="D519" s="1" t="s">
        <v>720</v>
      </c>
      <c r="E519" s="1" t="s">
        <v>2733</v>
      </c>
      <c r="F519" s="1" t="s">
        <v>112</v>
      </c>
      <c r="G519" s="1">
        <v>47499</v>
      </c>
    </row>
    <row r="520" spans="1:10" x14ac:dyDescent="0.3">
      <c r="A520" s="1" t="str">
        <f t="shared" si="8"/>
        <v>04 Testo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2734</v>
      </c>
      <c r="D520" s="1" t="s">
        <v>759</v>
      </c>
      <c r="E520" s="1" t="s">
        <v>2735</v>
      </c>
      <c r="F520" s="1" t="s">
        <v>112</v>
      </c>
      <c r="G520" s="1">
        <v>39020</v>
      </c>
    </row>
    <row r="521" spans="1:10" x14ac:dyDescent="0.3">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3">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243</v>
      </c>
      <c r="D522" s="1" t="s">
        <v>112</v>
      </c>
      <c r="E522" s="1" t="s">
        <v>244</v>
      </c>
      <c r="F522" s="1" t="s">
        <v>245</v>
      </c>
      <c r="G522" s="1" t="s">
        <v>246</v>
      </c>
      <c r="H522" s="1" t="s">
        <v>247</v>
      </c>
      <c r="I522" s="1" t="s">
        <v>248</v>
      </c>
      <c r="J522" s="1" t="s">
        <v>249</v>
      </c>
    </row>
    <row r="523" spans="1:10" x14ac:dyDescent="0.3">
      <c r="A523" s="1" t="str">
        <f t="shared" si="8"/>
        <v>04 Testo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2736</v>
      </c>
      <c r="D523" s="1" t="s">
        <v>112</v>
      </c>
      <c r="E523" s="1" t="s">
        <v>2737</v>
      </c>
      <c r="F523" s="1" t="s">
        <v>2738</v>
      </c>
      <c r="G523" s="1" t="s">
        <v>2739</v>
      </c>
      <c r="H523" s="1" t="s">
        <v>2740</v>
      </c>
      <c r="I523" s="1">
        <v>24</v>
      </c>
      <c r="J523" s="1">
        <v>24</v>
      </c>
    </row>
    <row r="524" spans="1:10" x14ac:dyDescent="0.3">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3">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3">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3">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3">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3">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255</v>
      </c>
      <c r="D529" s="1" t="s">
        <v>110</v>
      </c>
      <c r="E529" s="1" t="s">
        <v>111</v>
      </c>
      <c r="F529" s="1" t="s">
        <v>112</v>
      </c>
      <c r="G529" s="1" t="s">
        <v>113</v>
      </c>
    </row>
    <row r="530" spans="1:7" x14ac:dyDescent="0.3">
      <c r="A530" s="1" t="str">
        <f t="shared" si="8"/>
        <v>05 tam 30.2 + testo</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2741</v>
      </c>
      <c r="D530" s="1" t="s">
        <v>2742</v>
      </c>
      <c r="E530" s="1" t="s">
        <v>2743</v>
      </c>
      <c r="F530" s="1" t="s">
        <v>112</v>
      </c>
      <c r="G530" s="1">
        <v>3239769</v>
      </c>
    </row>
    <row r="531" spans="1:7" x14ac:dyDescent="0.3">
      <c r="A531" s="1" t="str">
        <f t="shared" si="8"/>
        <v>05 tam 30.2 + testo</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2744</v>
      </c>
      <c r="D531" s="1" t="s">
        <v>2745</v>
      </c>
      <c r="E531" s="1" t="s">
        <v>2746</v>
      </c>
      <c r="F531" s="1" t="s">
        <v>112</v>
      </c>
      <c r="G531" s="1">
        <v>3186019</v>
      </c>
    </row>
    <row r="532" spans="1:7" x14ac:dyDescent="0.3">
      <c r="A532" s="1" t="str">
        <f t="shared" si="8"/>
        <v>05 tam 30.2 + testo</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2747</v>
      </c>
      <c r="D532" s="1" t="s">
        <v>2748</v>
      </c>
      <c r="E532" s="1" t="s">
        <v>2749</v>
      </c>
      <c r="F532" s="1" t="s">
        <v>112</v>
      </c>
      <c r="G532" s="1">
        <v>3274463</v>
      </c>
    </row>
    <row r="533" spans="1:7" x14ac:dyDescent="0.3">
      <c r="A533" s="1" t="str">
        <f t="shared" si="8"/>
        <v>05 tam 30.2 + testo</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2750</v>
      </c>
      <c r="D533" s="1" t="s">
        <v>2751</v>
      </c>
      <c r="E533" s="1" t="s">
        <v>2752</v>
      </c>
      <c r="F533" s="1" t="s">
        <v>112</v>
      </c>
      <c r="G533" s="1">
        <v>2974673</v>
      </c>
    </row>
    <row r="534" spans="1:7" x14ac:dyDescent="0.3">
      <c r="A534" s="1" t="str">
        <f t="shared" si="8"/>
        <v>05 tam 30.2 + testo</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2753</v>
      </c>
      <c r="D534" s="1" t="s">
        <v>2754</v>
      </c>
      <c r="E534" s="1" t="s">
        <v>2755</v>
      </c>
      <c r="F534" s="1" t="s">
        <v>112</v>
      </c>
      <c r="G534" s="1">
        <v>2662813</v>
      </c>
    </row>
    <row r="535" spans="1:7" x14ac:dyDescent="0.3">
      <c r="A535" s="1" t="str">
        <f t="shared" si="8"/>
        <v>05 tam 30.2 + testo</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2756</v>
      </c>
      <c r="D535" s="1" t="s">
        <v>2757</v>
      </c>
      <c r="E535" s="1" t="s">
        <v>2758</v>
      </c>
      <c r="F535" s="1" t="s">
        <v>112</v>
      </c>
      <c r="G535" s="1">
        <v>2947116</v>
      </c>
    </row>
    <row r="536" spans="1:7" x14ac:dyDescent="0.3">
      <c r="A536" s="1" t="str">
        <f t="shared" si="8"/>
        <v>05 tam 30.2 + testo</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2759</v>
      </c>
      <c r="D536" s="1" t="s">
        <v>2760</v>
      </c>
      <c r="E536" s="1" t="s">
        <v>2761</v>
      </c>
      <c r="F536" s="1" t="s">
        <v>112</v>
      </c>
      <c r="G536" s="1">
        <v>804351</v>
      </c>
    </row>
    <row r="537" spans="1:7" x14ac:dyDescent="0.3">
      <c r="A537" s="1" t="str">
        <f t="shared" si="8"/>
        <v>05 tam 30.2 + testo</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2762</v>
      </c>
      <c r="D537" s="1" t="s">
        <v>2763</v>
      </c>
      <c r="E537" s="1" t="s">
        <v>2764</v>
      </c>
      <c r="F537" s="1" t="s">
        <v>112</v>
      </c>
      <c r="G537" s="1">
        <v>2456615</v>
      </c>
    </row>
    <row r="538" spans="1:7" x14ac:dyDescent="0.3">
      <c r="A538" s="1" t="str">
        <f t="shared" si="8"/>
        <v>05 tam 30.2 + testo</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2765</v>
      </c>
    </row>
    <row r="539" spans="1:7" x14ac:dyDescent="0.3">
      <c r="A539" s="1" t="str">
        <f t="shared" si="8"/>
        <v>05 tam 30.2 + testo</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2766</v>
      </c>
      <c r="D539" s="1" t="s">
        <v>2767</v>
      </c>
      <c r="E539" s="1" t="s">
        <v>2768</v>
      </c>
      <c r="F539" s="1" t="s">
        <v>112</v>
      </c>
      <c r="G539" s="1">
        <v>2825535</v>
      </c>
    </row>
    <row r="540" spans="1:7" x14ac:dyDescent="0.3">
      <c r="A540" s="1" t="str">
        <f t="shared" si="8"/>
        <v>05 tam 30.2 + testo</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2769</v>
      </c>
      <c r="D540" s="1" t="s">
        <v>1353</v>
      </c>
      <c r="E540" s="1" t="s">
        <v>2770</v>
      </c>
      <c r="F540" s="1" t="s">
        <v>112</v>
      </c>
      <c r="G540" s="1">
        <v>2984861</v>
      </c>
    </row>
    <row r="541" spans="1:7" x14ac:dyDescent="0.3">
      <c r="A541" s="1" t="str">
        <f t="shared" si="8"/>
        <v>05 tam 30.2 + testo</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2771</v>
      </c>
      <c r="D541" s="1" t="s">
        <v>2772</v>
      </c>
      <c r="E541" s="1" t="s">
        <v>2773</v>
      </c>
      <c r="F541" s="1" t="s">
        <v>112</v>
      </c>
      <c r="G541" s="1">
        <v>2681090</v>
      </c>
    </row>
    <row r="542" spans="1:7" x14ac:dyDescent="0.3">
      <c r="A542" s="1" t="str">
        <f t="shared" si="8"/>
        <v>05 tam 30.2 + testo</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2774</v>
      </c>
      <c r="D542" s="1" t="s">
        <v>846</v>
      </c>
      <c r="E542" s="1" t="s">
        <v>2775</v>
      </c>
      <c r="F542" s="1" t="s">
        <v>112</v>
      </c>
      <c r="G542" s="1">
        <v>61213</v>
      </c>
    </row>
    <row r="543" spans="1:7" x14ac:dyDescent="0.3">
      <c r="A543" s="1" t="str">
        <f t="shared" si="8"/>
        <v>05 tam 30.2 + testo</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2776</v>
      </c>
      <c r="D543" s="1" t="s">
        <v>2777</v>
      </c>
      <c r="E543" s="1" t="s">
        <v>2778</v>
      </c>
      <c r="F543" s="1" t="s">
        <v>112</v>
      </c>
      <c r="G543" s="1">
        <v>375408</v>
      </c>
    </row>
    <row r="544" spans="1:7" x14ac:dyDescent="0.3">
      <c r="A544" s="1" t="str">
        <f t="shared" si="8"/>
        <v>05 tam 30.2 + testo</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2779</v>
      </c>
      <c r="D544" s="1" t="s">
        <v>266</v>
      </c>
      <c r="E544" s="1" t="s">
        <v>2780</v>
      </c>
      <c r="F544" s="1" t="s">
        <v>112</v>
      </c>
      <c r="G544" s="1">
        <v>146326</v>
      </c>
    </row>
    <row r="545" spans="1:10" x14ac:dyDescent="0.3">
      <c r="A545" s="1" t="str">
        <f t="shared" si="8"/>
        <v>05 tam 30.2 + testo</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2781</v>
      </c>
      <c r="D545" s="1" t="s">
        <v>2782</v>
      </c>
      <c r="E545" s="1" t="s">
        <v>2783</v>
      </c>
      <c r="F545" s="1" t="s">
        <v>112</v>
      </c>
      <c r="G545" s="1">
        <v>2875803</v>
      </c>
    </row>
    <row r="546" spans="1:10" x14ac:dyDescent="0.3">
      <c r="A546" s="1" t="str">
        <f t="shared" si="8"/>
        <v>05 tam 30.2 + testo</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2784</v>
      </c>
      <c r="D546" s="1" t="s">
        <v>2785</v>
      </c>
      <c r="E546" s="1" t="s">
        <v>2786</v>
      </c>
      <c r="F546" s="1" t="s">
        <v>112</v>
      </c>
      <c r="G546" s="1">
        <v>2383917</v>
      </c>
    </row>
    <row r="547" spans="1:10" x14ac:dyDescent="0.3">
      <c r="A547" s="1" t="str">
        <f t="shared" si="8"/>
        <v>05 tam 30.2 + testo</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2787</v>
      </c>
      <c r="D547" s="1" t="s">
        <v>2788</v>
      </c>
      <c r="E547" s="1" t="s">
        <v>2789</v>
      </c>
      <c r="F547" s="1" t="s">
        <v>112</v>
      </c>
      <c r="G547" s="1">
        <v>3020636</v>
      </c>
    </row>
    <row r="548" spans="1:10" x14ac:dyDescent="0.3">
      <c r="A548" s="1" t="str">
        <f t="shared" si="8"/>
        <v>05 tam 30.2 + testo</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2790</v>
      </c>
      <c r="D548" s="1" t="s">
        <v>2791</v>
      </c>
      <c r="E548" s="1" t="s">
        <v>2792</v>
      </c>
      <c r="F548" s="1" t="s">
        <v>112</v>
      </c>
      <c r="G548" s="1">
        <v>3470106</v>
      </c>
    </row>
    <row r="549" spans="1:10" x14ac:dyDescent="0.3">
      <c r="A549" s="1" t="str">
        <f t="shared" si="8"/>
        <v>05 tam 30.2 + testo</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2793</v>
      </c>
      <c r="D549" s="1" t="s">
        <v>2794</v>
      </c>
      <c r="E549" s="1" t="s">
        <v>2795</v>
      </c>
      <c r="F549" s="1" t="s">
        <v>112</v>
      </c>
      <c r="G549" s="1">
        <v>3475232</v>
      </c>
    </row>
    <row r="550" spans="1:10" x14ac:dyDescent="0.3">
      <c r="A550" s="1" t="str">
        <f t="shared" si="8"/>
        <v>05 tam 30.2 + testo</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2796</v>
      </c>
      <c r="D550" s="1" t="s">
        <v>2797</v>
      </c>
      <c r="E550" s="1" t="s">
        <v>2798</v>
      </c>
      <c r="F550" s="1" t="s">
        <v>112</v>
      </c>
      <c r="G550" s="1">
        <v>3734315</v>
      </c>
    </row>
    <row r="551" spans="1:10" x14ac:dyDescent="0.3">
      <c r="A551" s="1" t="str">
        <f t="shared" si="8"/>
        <v>05 tam 30.2 + testo</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2799</v>
      </c>
      <c r="D551" s="1" t="s">
        <v>2036</v>
      </c>
      <c r="E551" s="1" t="s">
        <v>2800</v>
      </c>
      <c r="F551" s="1" t="s">
        <v>112</v>
      </c>
      <c r="G551" s="1">
        <v>1560467</v>
      </c>
    </row>
    <row r="552" spans="1:10" x14ac:dyDescent="0.3">
      <c r="A552" s="1" t="str">
        <f t="shared" si="8"/>
        <v>05 tam 30.2 + testo</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2801</v>
      </c>
      <c r="D552" s="1" t="s">
        <v>2039</v>
      </c>
      <c r="E552" s="1" t="s">
        <v>2802</v>
      </c>
      <c r="F552" s="1" t="s">
        <v>112</v>
      </c>
      <c r="G552" s="1">
        <v>1361083</v>
      </c>
    </row>
    <row r="553" spans="1:10" x14ac:dyDescent="0.3">
      <c r="A553" s="1" t="str">
        <f t="shared" si="8"/>
        <v>05 tam 30.2 + testo</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2803</v>
      </c>
      <c r="D553" s="1" t="s">
        <v>161</v>
      </c>
      <c r="E553" s="1" t="s">
        <v>2804</v>
      </c>
      <c r="F553" s="1" t="s">
        <v>112</v>
      </c>
      <c r="G553" s="1">
        <v>1439599</v>
      </c>
    </row>
    <row r="554" spans="1:10" x14ac:dyDescent="0.3">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3">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243</v>
      </c>
      <c r="D555" s="1" t="s">
        <v>112</v>
      </c>
      <c r="E555" s="1" t="s">
        <v>244</v>
      </c>
      <c r="F555" s="1" t="s">
        <v>245</v>
      </c>
      <c r="G555" s="1" t="s">
        <v>246</v>
      </c>
      <c r="H555" s="1" t="s">
        <v>247</v>
      </c>
      <c r="I555" s="1" t="s">
        <v>248</v>
      </c>
      <c r="J555" s="1" t="s">
        <v>249</v>
      </c>
    </row>
    <row r="556" spans="1:10" x14ac:dyDescent="0.3">
      <c r="A556" s="1" t="str">
        <f t="shared" si="8"/>
        <v>05 tam 30.2 + testo</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2805</v>
      </c>
      <c r="D556" s="1" t="s">
        <v>112</v>
      </c>
      <c r="E556" s="1" t="s">
        <v>2806</v>
      </c>
      <c r="F556" s="1" t="s">
        <v>2807</v>
      </c>
      <c r="G556" s="1" t="s">
        <v>2808</v>
      </c>
      <c r="H556" s="1" t="s">
        <v>2809</v>
      </c>
      <c r="I556" s="1">
        <v>24</v>
      </c>
      <c r="J556" s="1">
        <v>24</v>
      </c>
    </row>
    <row r="557" spans="1:10" x14ac:dyDescent="0.3">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3">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3">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3">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3">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3">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255</v>
      </c>
      <c r="D562" s="1" t="s">
        <v>110</v>
      </c>
      <c r="E562" s="1" t="s">
        <v>111</v>
      </c>
      <c r="F562" s="1" t="s">
        <v>112</v>
      </c>
      <c r="G562" s="1" t="s">
        <v>113</v>
      </c>
    </row>
    <row r="563" spans="1:7" x14ac:dyDescent="0.3">
      <c r="A563" s="1" t="str">
        <f t="shared" si="8"/>
        <v>06  tam 60.4 + testo</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2810</v>
      </c>
      <c r="D563" s="1" t="s">
        <v>1643</v>
      </c>
      <c r="E563" s="1" t="s">
        <v>2811</v>
      </c>
      <c r="F563" s="1" t="s">
        <v>112</v>
      </c>
      <c r="G563" s="1">
        <v>447047</v>
      </c>
    </row>
    <row r="564" spans="1:7" x14ac:dyDescent="0.3">
      <c r="A564" s="1" t="str">
        <f t="shared" si="8"/>
        <v>06  tam 60.4 + testo</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2812</v>
      </c>
      <c r="D564" s="1" t="s">
        <v>2253</v>
      </c>
      <c r="E564" s="1" t="s">
        <v>2813</v>
      </c>
      <c r="F564" s="1" t="s">
        <v>112</v>
      </c>
      <c r="G564" s="1">
        <v>665227</v>
      </c>
    </row>
    <row r="565" spans="1:7" x14ac:dyDescent="0.3">
      <c r="A565" s="1" t="str">
        <f t="shared" si="8"/>
        <v>06  tam 60.4 + testo</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2814</v>
      </c>
      <c r="D565" s="1" t="s">
        <v>1161</v>
      </c>
      <c r="E565" s="1" t="s">
        <v>2815</v>
      </c>
      <c r="F565" s="1" t="s">
        <v>112</v>
      </c>
      <c r="G565" s="1">
        <v>782461</v>
      </c>
    </row>
    <row r="566" spans="1:7" x14ac:dyDescent="0.3">
      <c r="A566" s="1" t="str">
        <f t="shared" si="8"/>
        <v>06  tam 60.4 + testo</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2816</v>
      </c>
      <c r="D566" s="1" t="s">
        <v>1736</v>
      </c>
      <c r="E566" s="1" t="s">
        <v>2817</v>
      </c>
      <c r="F566" s="1" t="s">
        <v>112</v>
      </c>
      <c r="G566" s="1">
        <v>176824</v>
      </c>
    </row>
    <row r="567" spans="1:7" x14ac:dyDescent="0.3">
      <c r="A567" s="1" t="str">
        <f t="shared" si="8"/>
        <v>06  tam 60.4 + testo</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2818</v>
      </c>
      <c r="D567" s="1" t="s">
        <v>241</v>
      </c>
      <c r="E567" s="1" t="s">
        <v>2819</v>
      </c>
      <c r="F567" s="1" t="s">
        <v>112</v>
      </c>
      <c r="G567" s="1">
        <v>76462</v>
      </c>
    </row>
    <row r="568" spans="1:7" x14ac:dyDescent="0.3">
      <c r="A568" s="1" t="str">
        <f t="shared" si="8"/>
        <v>06  tam 60.4 + testo</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2820</v>
      </c>
      <c r="D568" s="1" t="s">
        <v>175</v>
      </c>
      <c r="E568" s="1" t="s">
        <v>2821</v>
      </c>
      <c r="F568" s="1" t="s">
        <v>112</v>
      </c>
      <c r="G568" s="1">
        <v>249263</v>
      </c>
    </row>
    <row r="569" spans="1:7" x14ac:dyDescent="0.3">
      <c r="A569" s="1" t="str">
        <f t="shared" si="8"/>
        <v>06  tam 60.4 + testo</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2822</v>
      </c>
      <c r="D569" s="1" t="s">
        <v>2823</v>
      </c>
      <c r="E569" s="1" t="s">
        <v>2824</v>
      </c>
      <c r="F569" s="1" t="s">
        <v>112</v>
      </c>
      <c r="G569" s="1">
        <v>1115237</v>
      </c>
    </row>
    <row r="570" spans="1:7" x14ac:dyDescent="0.3">
      <c r="A570" s="1" t="str">
        <f t="shared" si="8"/>
        <v>06  tam 60.4 + testo</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2825</v>
      </c>
      <c r="D570" s="1" t="s">
        <v>2826</v>
      </c>
      <c r="E570" s="1" t="s">
        <v>2827</v>
      </c>
      <c r="F570" s="1" t="s">
        <v>112</v>
      </c>
      <c r="G570" s="1">
        <v>1127155</v>
      </c>
    </row>
    <row r="571" spans="1:7" x14ac:dyDescent="0.3">
      <c r="A571" s="1" t="str">
        <f t="shared" si="8"/>
        <v>06  tam 60.4 + testo</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2828</v>
      </c>
      <c r="D571" s="1" t="s">
        <v>2829</v>
      </c>
      <c r="E571" s="1" t="s">
        <v>2830</v>
      </c>
      <c r="F571" s="1" t="s">
        <v>112</v>
      </c>
      <c r="G571" s="1">
        <v>732605</v>
      </c>
    </row>
    <row r="572" spans="1:7" x14ac:dyDescent="0.3">
      <c r="A572" s="1" t="str">
        <f t="shared" si="8"/>
        <v>06  tam 60.4 + testo</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2831</v>
      </c>
      <c r="D572" s="1" t="s">
        <v>2832</v>
      </c>
      <c r="E572" s="1" t="s">
        <v>2833</v>
      </c>
      <c r="F572" s="1" t="s">
        <v>112</v>
      </c>
      <c r="G572" s="1">
        <v>2332741</v>
      </c>
    </row>
    <row r="573" spans="1:7" x14ac:dyDescent="0.3">
      <c r="A573" s="1" t="str">
        <f t="shared" si="8"/>
        <v>06  tam 60.4 + testo</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2834</v>
      </c>
      <c r="D573" s="1" t="s">
        <v>2835</v>
      </c>
      <c r="E573" s="1" t="s">
        <v>2836</v>
      </c>
      <c r="F573" s="1" t="s">
        <v>112</v>
      </c>
      <c r="G573" s="1">
        <v>2540799</v>
      </c>
    </row>
    <row r="574" spans="1:7" x14ac:dyDescent="0.3">
      <c r="A574" s="1" t="str">
        <f t="shared" si="8"/>
        <v>06  tam 60.4 + testo</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2837</v>
      </c>
      <c r="D574" s="1" t="s">
        <v>590</v>
      </c>
      <c r="E574" s="1" t="s">
        <v>2838</v>
      </c>
      <c r="F574" s="1" t="s">
        <v>112</v>
      </c>
      <c r="G574" s="1">
        <v>2365164</v>
      </c>
    </row>
    <row r="575" spans="1:7" x14ac:dyDescent="0.3">
      <c r="A575" s="1" t="str">
        <f t="shared" si="8"/>
        <v>06  tam 60.4 + testo</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2839</v>
      </c>
      <c r="D575" s="1" t="s">
        <v>2840</v>
      </c>
      <c r="E575" s="1" t="s">
        <v>2841</v>
      </c>
      <c r="F575" s="1" t="s">
        <v>112</v>
      </c>
      <c r="G575" s="1">
        <v>631139</v>
      </c>
    </row>
    <row r="576" spans="1:7" x14ac:dyDescent="0.3">
      <c r="A576" s="1" t="str">
        <f t="shared" si="8"/>
        <v>06  tam 60.4 + testo</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2842</v>
      </c>
      <c r="D576" s="1" t="s">
        <v>2843</v>
      </c>
      <c r="E576" s="1" t="s">
        <v>2844</v>
      </c>
      <c r="F576" s="1" t="s">
        <v>112</v>
      </c>
      <c r="G576" s="1">
        <v>652574</v>
      </c>
    </row>
    <row r="577" spans="1:10" x14ac:dyDescent="0.3">
      <c r="A577" s="1" t="str">
        <f t="shared" si="8"/>
        <v>06  tam 60.4 + testo</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2845</v>
      </c>
      <c r="D577" s="1" t="s">
        <v>2846</v>
      </c>
      <c r="E577" s="1" t="s">
        <v>2847</v>
      </c>
      <c r="F577" s="1" t="s">
        <v>112</v>
      </c>
      <c r="G577" s="1">
        <v>426477</v>
      </c>
    </row>
    <row r="578" spans="1:10" x14ac:dyDescent="0.3">
      <c r="A578" s="1" t="str">
        <f t="shared" ref="A578:A641" si="9">IFERROR(LEFT(RIGHT(C578,LEN(C578)-SEARCH("@",C578)),SEARCH("/",RIGHT(C578,LEN(C578)-SEARCH("@",C578)-1))),"")</f>
        <v>06  tam 60.4 + testo</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2848</v>
      </c>
      <c r="D578" s="1" t="s">
        <v>2849</v>
      </c>
      <c r="E578" s="1" t="s">
        <v>2850</v>
      </c>
      <c r="F578" s="1" t="s">
        <v>112</v>
      </c>
      <c r="G578" s="1">
        <v>287959</v>
      </c>
    </row>
    <row r="579" spans="1:10" x14ac:dyDescent="0.3">
      <c r="A579" s="1" t="str">
        <f t="shared" si="9"/>
        <v>06  tam 60.4 + testo</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2851</v>
      </c>
      <c r="D579" s="1" t="s">
        <v>2852</v>
      </c>
      <c r="E579" s="1" t="s">
        <v>2853</v>
      </c>
      <c r="F579" s="1" t="s">
        <v>112</v>
      </c>
      <c r="G579" s="1">
        <v>349258</v>
      </c>
    </row>
    <row r="580" spans="1:10" x14ac:dyDescent="0.3">
      <c r="A580" s="1" t="str">
        <f t="shared" si="9"/>
        <v>06  tam 60.4 + testo</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2854</v>
      </c>
    </row>
    <row r="581" spans="1:10" x14ac:dyDescent="0.3">
      <c r="A581" s="1" t="str">
        <f t="shared" si="9"/>
        <v>06  tam 60.4 + testo</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2855</v>
      </c>
    </row>
    <row r="582" spans="1:10" x14ac:dyDescent="0.3">
      <c r="A582" s="1" t="str">
        <f t="shared" si="9"/>
        <v>06  tam 60.4 + testo</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2856</v>
      </c>
    </row>
    <row r="583" spans="1:10" x14ac:dyDescent="0.3">
      <c r="A583" s="1" t="str">
        <f t="shared" si="9"/>
        <v>06  tam 60.4 + testo</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2857</v>
      </c>
    </row>
    <row r="584" spans="1:10" x14ac:dyDescent="0.3">
      <c r="A584" s="1" t="str">
        <f t="shared" si="9"/>
        <v>06  tam 60.4 + testo</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2858</v>
      </c>
      <c r="D584" s="1" t="s">
        <v>2859</v>
      </c>
      <c r="E584" s="1" t="s">
        <v>2860</v>
      </c>
      <c r="F584" s="1" t="s">
        <v>112</v>
      </c>
      <c r="G584" s="1">
        <v>2254527</v>
      </c>
    </row>
    <row r="585" spans="1:10" x14ac:dyDescent="0.3">
      <c r="A585" s="1" t="str">
        <f t="shared" si="9"/>
        <v>06  tam 60.4 + testo</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2861</v>
      </c>
      <c r="D585" s="1" t="s">
        <v>2862</v>
      </c>
      <c r="E585" s="1" t="s">
        <v>2863</v>
      </c>
      <c r="F585" s="1" t="s">
        <v>112</v>
      </c>
      <c r="G585" s="1">
        <v>2254224</v>
      </c>
    </row>
    <row r="586" spans="1:10" x14ac:dyDescent="0.3">
      <c r="A586" s="1" t="str">
        <f t="shared" si="9"/>
        <v>06  tam 60.4 + testo</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2864</v>
      </c>
      <c r="D586" s="1" t="s">
        <v>2865</v>
      </c>
      <c r="E586" s="1" t="s">
        <v>2866</v>
      </c>
      <c r="F586" s="1" t="s">
        <v>112</v>
      </c>
      <c r="G586" s="1">
        <v>2345978</v>
      </c>
    </row>
    <row r="587" spans="1:10" x14ac:dyDescent="0.3">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3">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243</v>
      </c>
      <c r="D588" s="1" t="s">
        <v>112</v>
      </c>
      <c r="E588" s="1" t="s">
        <v>244</v>
      </c>
      <c r="F588" s="1" t="s">
        <v>245</v>
      </c>
      <c r="G588" s="1" t="s">
        <v>246</v>
      </c>
      <c r="H588" s="1" t="s">
        <v>247</v>
      </c>
      <c r="I588" s="1" t="s">
        <v>248</v>
      </c>
      <c r="J588" s="1" t="s">
        <v>249</v>
      </c>
    </row>
    <row r="589" spans="1:10" x14ac:dyDescent="0.3">
      <c r="A589" s="1" t="str">
        <f t="shared" si="9"/>
        <v>06  tam 60.4 + testo</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2867</v>
      </c>
      <c r="D589" s="1" t="s">
        <v>112</v>
      </c>
      <c r="E589" s="1" t="s">
        <v>2868</v>
      </c>
      <c r="F589" s="1" t="s">
        <v>2869</v>
      </c>
      <c r="G589" s="1" t="s">
        <v>2870</v>
      </c>
      <c r="H589" s="1" t="s">
        <v>2871</v>
      </c>
      <c r="I589" s="1">
        <v>24</v>
      </c>
      <c r="J589" s="1">
        <v>24</v>
      </c>
    </row>
    <row r="590" spans="1:10" x14ac:dyDescent="0.3">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3">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3">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3">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3">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3">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255</v>
      </c>
      <c r="D595" s="1" t="s">
        <v>110</v>
      </c>
      <c r="E595" s="1" t="s">
        <v>111</v>
      </c>
      <c r="F595" s="1" t="s">
        <v>112</v>
      </c>
      <c r="G595" s="1" t="s">
        <v>113</v>
      </c>
    </row>
    <row r="596" spans="1:7" x14ac:dyDescent="0.3">
      <c r="A596" s="1" t="str">
        <f t="shared" si="9"/>
        <v>07 tam 121 + testo</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2872</v>
      </c>
      <c r="D596" s="1" t="s">
        <v>2873</v>
      </c>
      <c r="E596" s="1" t="s">
        <v>2874</v>
      </c>
      <c r="F596" s="1" t="s">
        <v>112</v>
      </c>
      <c r="G596" s="1">
        <v>2207677</v>
      </c>
    </row>
    <row r="597" spans="1:7" x14ac:dyDescent="0.3">
      <c r="A597" s="1" t="str">
        <f t="shared" si="9"/>
        <v>07 tam 121 + testo</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2875</v>
      </c>
      <c r="D597" s="1" t="s">
        <v>2876</v>
      </c>
      <c r="E597" s="1" t="s">
        <v>2877</v>
      </c>
      <c r="F597" s="1" t="s">
        <v>112</v>
      </c>
      <c r="G597" s="1">
        <v>1868325</v>
      </c>
    </row>
    <row r="598" spans="1:7" x14ac:dyDescent="0.3">
      <c r="A598" s="1" t="str">
        <f t="shared" si="9"/>
        <v>07 tam 121 + testo</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2878</v>
      </c>
      <c r="D598" s="1" t="s">
        <v>1974</v>
      </c>
      <c r="E598" s="1" t="s">
        <v>2879</v>
      </c>
      <c r="F598" s="1" t="s">
        <v>112</v>
      </c>
      <c r="G598" s="1">
        <v>2034486</v>
      </c>
    </row>
    <row r="599" spans="1:7" x14ac:dyDescent="0.3">
      <c r="A599" s="1" t="str">
        <f t="shared" si="9"/>
        <v>07 tam 121 + testo</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2880</v>
      </c>
      <c r="D599" s="1" t="s">
        <v>619</v>
      </c>
      <c r="E599" s="1" t="s">
        <v>2881</v>
      </c>
      <c r="F599" s="1" t="s">
        <v>112</v>
      </c>
      <c r="G599" s="1">
        <v>2445281</v>
      </c>
    </row>
    <row r="600" spans="1:7" x14ac:dyDescent="0.3">
      <c r="A600" s="1" t="str">
        <f t="shared" si="9"/>
        <v>07 tam 121 + testo</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2882</v>
      </c>
      <c r="D600" s="1" t="s">
        <v>2883</v>
      </c>
      <c r="E600" s="1" t="s">
        <v>2884</v>
      </c>
      <c r="F600" s="1" t="s">
        <v>112</v>
      </c>
      <c r="G600" s="1">
        <v>2487676</v>
      </c>
    </row>
    <row r="601" spans="1:7" x14ac:dyDescent="0.3">
      <c r="A601" s="1" t="str">
        <f t="shared" si="9"/>
        <v>07 tam 121 + testo</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2885</v>
      </c>
      <c r="D601" s="1" t="s">
        <v>2886</v>
      </c>
      <c r="E601" s="1" t="s">
        <v>2887</v>
      </c>
      <c r="F601" s="1" t="s">
        <v>112</v>
      </c>
      <c r="G601" s="1">
        <v>2078287</v>
      </c>
    </row>
    <row r="602" spans="1:7" x14ac:dyDescent="0.3">
      <c r="A602" s="1" t="str">
        <f t="shared" si="9"/>
        <v>07 tam 121 + testo</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2888</v>
      </c>
      <c r="D602" s="1" t="s">
        <v>2889</v>
      </c>
      <c r="E602" s="1" t="s">
        <v>2890</v>
      </c>
      <c r="F602" s="1" t="s">
        <v>112</v>
      </c>
      <c r="G602" s="1">
        <v>498158</v>
      </c>
    </row>
    <row r="603" spans="1:7" x14ac:dyDescent="0.3">
      <c r="A603" s="1" t="str">
        <f t="shared" si="9"/>
        <v>07 tam 121 + testo</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2891</v>
      </c>
      <c r="D603" s="1" t="s">
        <v>2892</v>
      </c>
      <c r="E603" s="1" t="s">
        <v>2893</v>
      </c>
      <c r="F603" s="1" t="s">
        <v>112</v>
      </c>
      <c r="G603" s="1">
        <v>519831</v>
      </c>
    </row>
    <row r="604" spans="1:7" x14ac:dyDescent="0.3">
      <c r="A604" s="1" t="str">
        <f t="shared" si="9"/>
        <v>07 tam 121 + testo</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2894</v>
      </c>
    </row>
    <row r="605" spans="1:7" x14ac:dyDescent="0.3">
      <c r="A605" s="1" t="str">
        <f t="shared" si="9"/>
        <v>07 tam 121 + testo</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2895</v>
      </c>
      <c r="D605" s="1" t="s">
        <v>2896</v>
      </c>
      <c r="E605" s="1" t="s">
        <v>1395</v>
      </c>
      <c r="F605" s="1" t="s">
        <v>112</v>
      </c>
      <c r="G605" s="1">
        <v>2160675</v>
      </c>
    </row>
    <row r="606" spans="1:7" x14ac:dyDescent="0.3">
      <c r="A606" s="1" t="str">
        <f t="shared" si="9"/>
        <v>07 tam 121 + testo</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2897</v>
      </c>
      <c r="D606" s="1" t="s">
        <v>2898</v>
      </c>
      <c r="E606" s="1" t="s">
        <v>2899</v>
      </c>
      <c r="F606" s="1" t="s">
        <v>112</v>
      </c>
      <c r="G606" s="1">
        <v>1759267</v>
      </c>
    </row>
    <row r="607" spans="1:7" x14ac:dyDescent="0.3">
      <c r="A607" s="1" t="str">
        <f t="shared" si="9"/>
        <v>07 tam 121 + testo</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2900</v>
      </c>
      <c r="D607" s="1" t="s">
        <v>2901</v>
      </c>
      <c r="E607" s="1" t="s">
        <v>2902</v>
      </c>
      <c r="F607" s="1" t="s">
        <v>112</v>
      </c>
      <c r="G607" s="1">
        <v>2126543</v>
      </c>
    </row>
    <row r="608" spans="1:7" x14ac:dyDescent="0.3">
      <c r="A608" s="1" t="str">
        <f t="shared" si="9"/>
        <v>07 tam 121 + testo</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2903</v>
      </c>
      <c r="D608" s="1" t="s">
        <v>581</v>
      </c>
      <c r="E608" s="1" t="s">
        <v>2904</v>
      </c>
      <c r="F608" s="1" t="s">
        <v>112</v>
      </c>
      <c r="G608" s="1">
        <v>1380290</v>
      </c>
    </row>
    <row r="609" spans="1:10" x14ac:dyDescent="0.3">
      <c r="A609" s="1" t="str">
        <f t="shared" si="9"/>
        <v>07 tam 121 + testo</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2905</v>
      </c>
      <c r="D609" s="1" t="s">
        <v>1368</v>
      </c>
      <c r="E609" s="1" t="s">
        <v>2906</v>
      </c>
      <c r="F609" s="1" t="s">
        <v>112</v>
      </c>
      <c r="G609" s="1">
        <v>1035055</v>
      </c>
    </row>
    <row r="610" spans="1:10" x14ac:dyDescent="0.3">
      <c r="A610" s="1" t="str">
        <f t="shared" si="9"/>
        <v>07 tam 121 + testo</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2907</v>
      </c>
      <c r="D610" s="1" t="s">
        <v>423</v>
      </c>
      <c r="E610" s="1" t="s">
        <v>2908</v>
      </c>
      <c r="F610" s="1" t="s">
        <v>112</v>
      </c>
      <c r="G610" s="1">
        <v>912998</v>
      </c>
    </row>
    <row r="611" spans="1:10" x14ac:dyDescent="0.3">
      <c r="A611" s="1" t="str">
        <f t="shared" si="9"/>
        <v>07 tam 121 + testo</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2909</v>
      </c>
      <c r="D611" s="1" t="s">
        <v>382</v>
      </c>
      <c r="E611" s="1" t="s">
        <v>2910</v>
      </c>
      <c r="F611" s="1" t="s">
        <v>112</v>
      </c>
      <c r="G611" s="1">
        <v>123399</v>
      </c>
    </row>
    <row r="612" spans="1:10" x14ac:dyDescent="0.3">
      <c r="A612" s="1" t="str">
        <f t="shared" si="9"/>
        <v>07 tam 121 + testo</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2911</v>
      </c>
      <c r="D612" s="1" t="s">
        <v>1767</v>
      </c>
      <c r="E612" s="1" t="s">
        <v>2912</v>
      </c>
      <c r="F612" s="1" t="s">
        <v>112</v>
      </c>
      <c r="G612" s="1">
        <v>70773</v>
      </c>
    </row>
    <row r="613" spans="1:10" x14ac:dyDescent="0.3">
      <c r="A613" s="1" t="str">
        <f t="shared" si="9"/>
        <v>07 tam 121 + testo</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2913</v>
      </c>
      <c r="D613" s="1" t="s">
        <v>351</v>
      </c>
      <c r="E613" s="1" t="s">
        <v>2914</v>
      </c>
      <c r="F613" s="1" t="s">
        <v>112</v>
      </c>
      <c r="G613" s="1">
        <v>69518</v>
      </c>
    </row>
    <row r="614" spans="1:10" x14ac:dyDescent="0.3">
      <c r="A614" s="1" t="str">
        <f t="shared" si="9"/>
        <v>07 tam 121 + testo</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2915</v>
      </c>
      <c r="D614" s="1" t="s">
        <v>2916</v>
      </c>
      <c r="E614" s="1" t="s">
        <v>2917</v>
      </c>
      <c r="F614" s="1" t="s">
        <v>112</v>
      </c>
      <c r="G614" s="1">
        <v>3151605</v>
      </c>
    </row>
    <row r="615" spans="1:10" x14ac:dyDescent="0.3">
      <c r="A615" s="1" t="str">
        <f t="shared" si="9"/>
        <v>07 tam 121 + testo</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2918</v>
      </c>
      <c r="D615" s="1" t="s">
        <v>2065</v>
      </c>
      <c r="E615" s="1" t="s">
        <v>2919</v>
      </c>
      <c r="F615" s="1" t="s">
        <v>112</v>
      </c>
      <c r="G615" s="1">
        <v>3075836</v>
      </c>
    </row>
    <row r="616" spans="1:10" x14ac:dyDescent="0.3">
      <c r="A616" s="1" t="str">
        <f t="shared" si="9"/>
        <v>07 tam 121 + testo</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2920</v>
      </c>
      <c r="D616" s="1" t="s">
        <v>2921</v>
      </c>
      <c r="E616" s="1" t="s">
        <v>2922</v>
      </c>
      <c r="F616" s="1" t="s">
        <v>112</v>
      </c>
      <c r="G616" s="1">
        <v>3100689</v>
      </c>
    </row>
    <row r="617" spans="1:10" x14ac:dyDescent="0.3">
      <c r="A617" s="1" t="str">
        <f t="shared" si="9"/>
        <v>07 tam 121 + testo</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2923</v>
      </c>
      <c r="D617" s="1" t="s">
        <v>2924</v>
      </c>
      <c r="E617" s="1" t="s">
        <v>2925</v>
      </c>
      <c r="F617" s="1" t="s">
        <v>112</v>
      </c>
      <c r="G617" s="1">
        <v>2827806</v>
      </c>
    </row>
    <row r="618" spans="1:10" x14ac:dyDescent="0.3">
      <c r="A618" s="1" t="str">
        <f t="shared" si="9"/>
        <v>07 tam 121 + testo</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2926</v>
      </c>
      <c r="D618" s="1" t="s">
        <v>2927</v>
      </c>
      <c r="E618" s="1" t="s">
        <v>2928</v>
      </c>
      <c r="F618" s="1" t="s">
        <v>112</v>
      </c>
      <c r="G618" s="1">
        <v>3142953</v>
      </c>
    </row>
    <row r="619" spans="1:10" x14ac:dyDescent="0.3">
      <c r="A619" s="1" t="str">
        <f t="shared" si="9"/>
        <v>07 tam 121 + testo</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2929</v>
      </c>
      <c r="D619" s="1" t="s">
        <v>2930</v>
      </c>
      <c r="E619" s="1" t="s">
        <v>2931</v>
      </c>
      <c r="F619" s="1" t="s">
        <v>112</v>
      </c>
      <c r="G619" s="1">
        <v>2996627</v>
      </c>
    </row>
    <row r="620" spans="1:10" x14ac:dyDescent="0.3">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3">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243</v>
      </c>
      <c r="D621" s="1" t="s">
        <v>112</v>
      </c>
      <c r="E621" s="1" t="s">
        <v>244</v>
      </c>
      <c r="F621" s="1" t="s">
        <v>245</v>
      </c>
      <c r="G621" s="1" t="s">
        <v>246</v>
      </c>
      <c r="H621" s="1" t="s">
        <v>247</v>
      </c>
      <c r="I621" s="1" t="s">
        <v>248</v>
      </c>
      <c r="J621" s="1" t="s">
        <v>249</v>
      </c>
    </row>
    <row r="622" spans="1:10" x14ac:dyDescent="0.3">
      <c r="A622" s="1" t="str">
        <f t="shared" si="9"/>
        <v>07 tam 121 + testo</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2932</v>
      </c>
      <c r="D622" s="1" t="s">
        <v>112</v>
      </c>
      <c r="E622" s="1" t="s">
        <v>2933</v>
      </c>
      <c r="F622" s="1" t="s">
        <v>2934</v>
      </c>
      <c r="G622" s="1" t="s">
        <v>2935</v>
      </c>
      <c r="H622" s="1" t="s">
        <v>2936</v>
      </c>
      <c r="I622" s="1">
        <v>24</v>
      </c>
      <c r="J622" s="1">
        <v>24</v>
      </c>
    </row>
    <row r="623" spans="1:10" x14ac:dyDescent="0.3">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3">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3">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3">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3">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3">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255</v>
      </c>
      <c r="D628" s="1" t="s">
        <v>110</v>
      </c>
      <c r="E628" s="1" t="s">
        <v>111</v>
      </c>
      <c r="F628" s="1" t="s">
        <v>112</v>
      </c>
      <c r="G628" s="1" t="s">
        <v>113</v>
      </c>
    </row>
    <row r="629" spans="1:7" x14ac:dyDescent="0.3">
      <c r="A629" s="1" t="str">
        <f t="shared" si="9"/>
        <v>08 tam 242 + testo</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2937</v>
      </c>
      <c r="D629" s="1" t="s">
        <v>2938</v>
      </c>
      <c r="E629" s="1" t="s">
        <v>2939</v>
      </c>
      <c r="F629" s="1" t="s">
        <v>112</v>
      </c>
      <c r="G629" s="1">
        <v>1623064</v>
      </c>
    </row>
    <row r="630" spans="1:7" x14ac:dyDescent="0.3">
      <c r="A630" s="1" t="str">
        <f t="shared" si="9"/>
        <v>08 tam 242 + testo</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2940</v>
      </c>
      <c r="D630" s="1" t="s">
        <v>2941</v>
      </c>
      <c r="E630" s="1" t="s">
        <v>2942</v>
      </c>
      <c r="F630" s="1" t="s">
        <v>112</v>
      </c>
      <c r="G630" s="1">
        <v>1450652</v>
      </c>
    </row>
    <row r="631" spans="1:7" x14ac:dyDescent="0.3">
      <c r="A631" s="1" t="str">
        <f t="shared" si="9"/>
        <v>08 tam 242 + testo</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2943</v>
      </c>
      <c r="D631" s="1" t="s">
        <v>2944</v>
      </c>
      <c r="E631" s="1" t="s">
        <v>2945</v>
      </c>
      <c r="F631" s="1" t="s">
        <v>112</v>
      </c>
      <c r="G631" s="1">
        <v>1901657</v>
      </c>
    </row>
    <row r="632" spans="1:7" x14ac:dyDescent="0.3">
      <c r="A632" s="1" t="str">
        <f t="shared" si="9"/>
        <v>08 tam 242 + testo</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2946</v>
      </c>
      <c r="D632" s="1" t="s">
        <v>2947</v>
      </c>
      <c r="E632" s="1" t="s">
        <v>2948</v>
      </c>
      <c r="F632" s="1" t="s">
        <v>112</v>
      </c>
      <c r="G632" s="1">
        <v>852261</v>
      </c>
    </row>
    <row r="633" spans="1:7" x14ac:dyDescent="0.3">
      <c r="A633" s="1" t="str">
        <f t="shared" si="9"/>
        <v>08 tam 242 + testo</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2949</v>
      </c>
      <c r="D633" s="1" t="s">
        <v>2950</v>
      </c>
      <c r="E633" s="1" t="s">
        <v>2951</v>
      </c>
      <c r="F633" s="1" t="s">
        <v>112</v>
      </c>
      <c r="G633" s="1">
        <v>1013425</v>
      </c>
    </row>
    <row r="634" spans="1:7" x14ac:dyDescent="0.3">
      <c r="A634" s="1" t="str">
        <f t="shared" si="9"/>
        <v>08 tam 242 + testo</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2952</v>
      </c>
      <c r="D634" s="1" t="s">
        <v>2953</v>
      </c>
      <c r="E634" s="1" t="s">
        <v>2954</v>
      </c>
      <c r="F634" s="1" t="s">
        <v>112</v>
      </c>
      <c r="G634" s="1">
        <v>1044962</v>
      </c>
    </row>
    <row r="635" spans="1:7" x14ac:dyDescent="0.3">
      <c r="A635" s="1" t="str">
        <f t="shared" si="9"/>
        <v>08 tam 242 + testo</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2955</v>
      </c>
      <c r="D635" s="1" t="s">
        <v>1184</v>
      </c>
      <c r="E635" s="1" t="s">
        <v>2956</v>
      </c>
      <c r="F635" s="1" t="s">
        <v>112</v>
      </c>
      <c r="G635" s="1">
        <v>1163818</v>
      </c>
    </row>
    <row r="636" spans="1:7" x14ac:dyDescent="0.3">
      <c r="A636" s="1" t="str">
        <f t="shared" si="9"/>
        <v>08 tam 242 + testo</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2957</v>
      </c>
    </row>
    <row r="637" spans="1:7" x14ac:dyDescent="0.3">
      <c r="A637" s="1" t="str">
        <f t="shared" si="9"/>
        <v>08 tam 242 + testo</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2958</v>
      </c>
      <c r="D637" s="1" t="s">
        <v>2959</v>
      </c>
      <c r="E637" s="1" t="s">
        <v>2960</v>
      </c>
      <c r="F637" s="1" t="s">
        <v>112</v>
      </c>
      <c r="G637" s="1">
        <v>580763</v>
      </c>
    </row>
    <row r="638" spans="1:7" x14ac:dyDescent="0.3">
      <c r="A638" s="1" t="str">
        <f t="shared" si="9"/>
        <v>08 tam 242 + testo</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2961</v>
      </c>
      <c r="D638" s="1" t="s">
        <v>2962</v>
      </c>
      <c r="E638" s="1" t="s">
        <v>2963</v>
      </c>
      <c r="F638" s="1" t="s">
        <v>112</v>
      </c>
      <c r="G638" s="1">
        <v>1396210</v>
      </c>
    </row>
    <row r="639" spans="1:7" x14ac:dyDescent="0.3">
      <c r="A639" s="1" t="str">
        <f t="shared" si="9"/>
        <v>08 tam 242 + testo</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2964</v>
      </c>
      <c r="D639" s="1" t="s">
        <v>2965</v>
      </c>
      <c r="E639" s="1" t="s">
        <v>2966</v>
      </c>
      <c r="F639" s="1" t="s">
        <v>112</v>
      </c>
      <c r="G639" s="1">
        <v>1386757</v>
      </c>
    </row>
    <row r="640" spans="1:7" x14ac:dyDescent="0.3">
      <c r="A640" s="1" t="str">
        <f t="shared" si="9"/>
        <v>08 tam 242 + testo</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2967</v>
      </c>
      <c r="D640" s="1" t="s">
        <v>1595</v>
      </c>
      <c r="E640" s="1" t="s">
        <v>2968</v>
      </c>
      <c r="F640" s="1" t="s">
        <v>112</v>
      </c>
      <c r="G640" s="1">
        <v>1897180</v>
      </c>
    </row>
    <row r="641" spans="1:10" x14ac:dyDescent="0.3">
      <c r="A641" s="1" t="str">
        <f t="shared" si="9"/>
        <v>08 tam 242 + testo</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2969</v>
      </c>
    </row>
    <row r="642" spans="1:10" x14ac:dyDescent="0.3">
      <c r="A642" s="1" t="str">
        <f t="shared" ref="A642:A705" si="10">IFERROR(LEFT(RIGHT(C642,LEN(C642)-SEARCH("@",C642)),SEARCH("/",RIGHT(C642,LEN(C642)-SEARCH("@",C642)-1))),"")</f>
        <v>08 tam 242 + testo</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2970</v>
      </c>
      <c r="D642" s="1" t="s">
        <v>2971</v>
      </c>
      <c r="E642" s="1" t="s">
        <v>2972</v>
      </c>
      <c r="F642" s="1" t="s">
        <v>112</v>
      </c>
      <c r="G642" s="1">
        <v>3040666</v>
      </c>
    </row>
    <row r="643" spans="1:10" x14ac:dyDescent="0.3">
      <c r="A643" s="1" t="str">
        <f t="shared" si="10"/>
        <v>08 tam 242 + testo</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2973</v>
      </c>
      <c r="D643" s="1" t="s">
        <v>2974</v>
      </c>
      <c r="E643" s="1" t="s">
        <v>2975</v>
      </c>
      <c r="F643" s="1" t="s">
        <v>112</v>
      </c>
      <c r="G643" s="1">
        <v>3190950</v>
      </c>
    </row>
    <row r="644" spans="1:10" x14ac:dyDescent="0.3">
      <c r="A644" s="1" t="str">
        <f t="shared" si="10"/>
        <v>08 tam 242 + testo</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2976</v>
      </c>
      <c r="D644" s="1" t="s">
        <v>2977</v>
      </c>
      <c r="E644" s="1" t="s">
        <v>2978</v>
      </c>
      <c r="F644" s="1" t="s">
        <v>112</v>
      </c>
      <c r="G644" s="1">
        <v>2772325</v>
      </c>
    </row>
    <row r="645" spans="1:10" x14ac:dyDescent="0.3">
      <c r="A645" s="1" t="str">
        <f t="shared" si="10"/>
        <v>08 tam 242 + testo</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2979</v>
      </c>
      <c r="D645" s="1" t="s">
        <v>2883</v>
      </c>
      <c r="E645" s="1" t="s">
        <v>2980</v>
      </c>
      <c r="F645" s="1" t="s">
        <v>112</v>
      </c>
      <c r="G645" s="1">
        <v>2672763</v>
      </c>
    </row>
    <row r="646" spans="1:10" x14ac:dyDescent="0.3">
      <c r="A646" s="1" t="str">
        <f t="shared" si="10"/>
        <v>08 tam 242 + testo</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2981</v>
      </c>
      <c r="D646" s="1" t="s">
        <v>2982</v>
      </c>
      <c r="E646" s="1" t="s">
        <v>2983</v>
      </c>
      <c r="F646" s="1" t="s">
        <v>112</v>
      </c>
      <c r="G646" s="1">
        <v>2824021</v>
      </c>
    </row>
    <row r="647" spans="1:10" x14ac:dyDescent="0.3">
      <c r="A647" s="1" t="str">
        <f t="shared" si="10"/>
        <v>08 tam 242 + testo</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2984</v>
      </c>
      <c r="D647" s="1" t="s">
        <v>2985</v>
      </c>
      <c r="E647" s="1" t="s">
        <v>2986</v>
      </c>
      <c r="F647" s="1" t="s">
        <v>112</v>
      </c>
      <c r="G647" s="1">
        <v>883992</v>
      </c>
    </row>
    <row r="648" spans="1:10" x14ac:dyDescent="0.3">
      <c r="A648" s="1" t="str">
        <f t="shared" si="10"/>
        <v>08 tam 242 + testo</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2987</v>
      </c>
      <c r="D648" s="1" t="s">
        <v>2988</v>
      </c>
      <c r="E648" s="1" t="s">
        <v>2989</v>
      </c>
      <c r="F648" s="1" t="s">
        <v>112</v>
      </c>
      <c r="G648" s="1">
        <v>1167949</v>
      </c>
    </row>
    <row r="649" spans="1:10" x14ac:dyDescent="0.3">
      <c r="A649" s="1" t="str">
        <f t="shared" si="10"/>
        <v>08 tam 242 + testo</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2990</v>
      </c>
    </row>
    <row r="650" spans="1:10" x14ac:dyDescent="0.3">
      <c r="A650" s="1" t="str">
        <f t="shared" si="10"/>
        <v>08 tam 242 + testo</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2991</v>
      </c>
      <c r="D650" s="1" t="s">
        <v>2992</v>
      </c>
      <c r="E650" s="1" t="s">
        <v>2993</v>
      </c>
      <c r="F650" s="1" t="s">
        <v>112</v>
      </c>
      <c r="G650" s="1">
        <v>4037696</v>
      </c>
    </row>
    <row r="651" spans="1:10" x14ac:dyDescent="0.3">
      <c r="A651" s="1" t="str">
        <f t="shared" si="10"/>
        <v>08 tam 242 + testo</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2994</v>
      </c>
      <c r="D651" s="1" t="s">
        <v>2995</v>
      </c>
      <c r="E651" s="1" t="s">
        <v>2996</v>
      </c>
      <c r="F651" s="1" t="s">
        <v>112</v>
      </c>
      <c r="G651" s="1">
        <v>4261414</v>
      </c>
    </row>
    <row r="652" spans="1:10" x14ac:dyDescent="0.3">
      <c r="A652" s="1" t="str">
        <f t="shared" si="10"/>
        <v>08 tam 242 + testo</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2997</v>
      </c>
      <c r="D652" s="1" t="s">
        <v>2998</v>
      </c>
      <c r="E652" s="1" t="s">
        <v>2999</v>
      </c>
      <c r="F652" s="1" t="s">
        <v>112</v>
      </c>
      <c r="G652" s="1">
        <v>3378070</v>
      </c>
    </row>
    <row r="653" spans="1:10" x14ac:dyDescent="0.3">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3">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243</v>
      </c>
      <c r="D654" s="1" t="s">
        <v>112</v>
      </c>
      <c r="E654" s="1" t="s">
        <v>244</v>
      </c>
      <c r="F654" s="1" t="s">
        <v>245</v>
      </c>
      <c r="G654" s="1" t="s">
        <v>246</v>
      </c>
      <c r="H654" s="1" t="s">
        <v>247</v>
      </c>
      <c r="I654" s="1" t="s">
        <v>248</v>
      </c>
      <c r="J654" s="1" t="s">
        <v>249</v>
      </c>
    </row>
    <row r="655" spans="1:10" x14ac:dyDescent="0.3">
      <c r="A655" s="1" t="str">
        <f t="shared" si="10"/>
        <v>08 tam 242 + testo</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3000</v>
      </c>
      <c r="D655" s="1" t="s">
        <v>112</v>
      </c>
      <c r="E655" s="1" t="s">
        <v>3001</v>
      </c>
      <c r="F655" s="1" t="s">
        <v>3002</v>
      </c>
      <c r="G655" s="1" t="s">
        <v>3003</v>
      </c>
      <c r="H655" s="1" t="s">
        <v>3004</v>
      </c>
      <c r="I655" s="1">
        <v>24</v>
      </c>
      <c r="J655" s="1">
        <v>24</v>
      </c>
    </row>
    <row r="656" spans="1:10" x14ac:dyDescent="0.3">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3">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3">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3">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3">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3">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255</v>
      </c>
      <c r="D661" s="1" t="s">
        <v>110</v>
      </c>
      <c r="E661" s="1" t="s">
        <v>111</v>
      </c>
      <c r="F661" s="1" t="s">
        <v>112</v>
      </c>
      <c r="G661" s="1" t="s">
        <v>113</v>
      </c>
    </row>
    <row r="662" spans="1:7" x14ac:dyDescent="0.3">
      <c r="A662" s="1" t="str">
        <f t="shared" si="10"/>
        <v>09  tam 483 + testo</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3005</v>
      </c>
    </row>
    <row r="663" spans="1:7" x14ac:dyDescent="0.3">
      <c r="A663" s="1" t="str">
        <f t="shared" si="10"/>
        <v>09  tam 483 + testo</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3006</v>
      </c>
      <c r="D663" s="1" t="s">
        <v>3007</v>
      </c>
      <c r="E663" s="1" t="s">
        <v>3008</v>
      </c>
      <c r="F663" s="1" t="s">
        <v>112</v>
      </c>
      <c r="G663" s="1">
        <v>3554570</v>
      </c>
    </row>
    <row r="664" spans="1:7" x14ac:dyDescent="0.3">
      <c r="A664" s="1" t="str">
        <f t="shared" si="10"/>
        <v>09  tam 483 + testo</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3009</v>
      </c>
      <c r="D664" s="1" t="s">
        <v>3010</v>
      </c>
      <c r="E664" s="1" t="s">
        <v>3011</v>
      </c>
      <c r="F664" s="1" t="s">
        <v>112</v>
      </c>
      <c r="G664" s="1">
        <v>3271370</v>
      </c>
    </row>
    <row r="665" spans="1:7" x14ac:dyDescent="0.3">
      <c r="A665" s="1" t="str">
        <f t="shared" si="10"/>
        <v>09  tam 483 + testo</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3012</v>
      </c>
      <c r="D665" s="1" t="s">
        <v>3013</v>
      </c>
      <c r="E665" s="1" t="s">
        <v>3014</v>
      </c>
      <c r="F665" s="1" t="s">
        <v>112</v>
      </c>
      <c r="G665" s="1">
        <v>2179450</v>
      </c>
    </row>
    <row r="666" spans="1:7" x14ac:dyDescent="0.3">
      <c r="A666" s="1" t="str">
        <f t="shared" si="10"/>
        <v>09  tam 483 + testo</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3015</v>
      </c>
      <c r="D666" s="1" t="s">
        <v>3016</v>
      </c>
      <c r="E666" s="1" t="s">
        <v>3017</v>
      </c>
      <c r="F666" s="1" t="s">
        <v>112</v>
      </c>
      <c r="G666" s="1">
        <v>2074566</v>
      </c>
    </row>
    <row r="667" spans="1:7" x14ac:dyDescent="0.3">
      <c r="A667" s="1" t="str">
        <f t="shared" si="10"/>
        <v>09  tam 483 + testo</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3018</v>
      </c>
      <c r="D667" s="1" t="s">
        <v>3019</v>
      </c>
      <c r="E667" s="1" t="s">
        <v>3020</v>
      </c>
      <c r="F667" s="1" t="s">
        <v>112</v>
      </c>
      <c r="G667" s="1">
        <v>1846631</v>
      </c>
    </row>
    <row r="668" spans="1:7" x14ac:dyDescent="0.3">
      <c r="A668" s="1" t="str">
        <f t="shared" si="10"/>
        <v>09  tam 483 + testo</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3021</v>
      </c>
      <c r="D668" s="1" t="s">
        <v>3022</v>
      </c>
      <c r="E668" s="1" t="s">
        <v>3023</v>
      </c>
      <c r="F668" s="1" t="s">
        <v>112</v>
      </c>
      <c r="G668" s="1">
        <v>2936323</v>
      </c>
    </row>
    <row r="669" spans="1:7" x14ac:dyDescent="0.3">
      <c r="A669" s="1" t="str">
        <f t="shared" si="10"/>
        <v>09  tam 483 + testo</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3024</v>
      </c>
      <c r="D669" s="1" t="s">
        <v>3025</v>
      </c>
      <c r="E669" s="1" t="s">
        <v>3026</v>
      </c>
      <c r="F669" s="1" t="s">
        <v>112</v>
      </c>
      <c r="G669" s="1">
        <v>2420731</v>
      </c>
    </row>
    <row r="670" spans="1:7" x14ac:dyDescent="0.3">
      <c r="A670" s="1" t="str">
        <f t="shared" si="10"/>
        <v>09  tam 483 + testo</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3027</v>
      </c>
    </row>
    <row r="671" spans="1:7" x14ac:dyDescent="0.3">
      <c r="A671" s="1" t="str">
        <f t="shared" si="10"/>
        <v>09  tam 483 + testo</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3028</v>
      </c>
      <c r="D671" s="1" t="s">
        <v>3029</v>
      </c>
      <c r="E671" s="1" t="s">
        <v>3030</v>
      </c>
      <c r="F671" s="1" t="s">
        <v>112</v>
      </c>
      <c r="G671" s="1">
        <v>2037644</v>
      </c>
    </row>
    <row r="672" spans="1:7" x14ac:dyDescent="0.3">
      <c r="A672" s="1" t="str">
        <f t="shared" si="10"/>
        <v>09  tam 483 + testo</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3031</v>
      </c>
      <c r="D672" s="1" t="s">
        <v>2036</v>
      </c>
      <c r="E672" s="1" t="s">
        <v>3032</v>
      </c>
      <c r="F672" s="1" t="s">
        <v>112</v>
      </c>
      <c r="G672" s="1">
        <v>1562479</v>
      </c>
    </row>
    <row r="673" spans="1:10" x14ac:dyDescent="0.3">
      <c r="A673" s="1" t="str">
        <f t="shared" si="10"/>
        <v>09  tam 483 + testo</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3033</v>
      </c>
      <c r="D673" s="1" t="s">
        <v>3034</v>
      </c>
      <c r="E673" s="1" t="s">
        <v>3035</v>
      </c>
      <c r="F673" s="1" t="s">
        <v>112</v>
      </c>
      <c r="G673" s="1">
        <v>2049411</v>
      </c>
    </row>
    <row r="674" spans="1:10" x14ac:dyDescent="0.3">
      <c r="A674" s="1" t="str">
        <f t="shared" si="10"/>
        <v>09  tam 483 + testo</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3036</v>
      </c>
      <c r="D674" s="1" t="s">
        <v>3037</v>
      </c>
      <c r="E674" s="1" t="s">
        <v>3038</v>
      </c>
      <c r="F674" s="1" t="s">
        <v>112</v>
      </c>
      <c r="G674" s="1">
        <v>1114675</v>
      </c>
    </row>
    <row r="675" spans="1:10" x14ac:dyDescent="0.3">
      <c r="A675" s="1" t="str">
        <f t="shared" si="10"/>
        <v>09  tam 483 + testo</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3039</v>
      </c>
      <c r="D675" s="1" t="s">
        <v>3040</v>
      </c>
      <c r="E675" s="1" t="s">
        <v>3041</v>
      </c>
      <c r="F675" s="1" t="s">
        <v>112</v>
      </c>
      <c r="G675" s="1">
        <v>1226307</v>
      </c>
    </row>
    <row r="676" spans="1:10" x14ac:dyDescent="0.3">
      <c r="A676" s="1" t="str">
        <f t="shared" si="10"/>
        <v>09  tam 483 + testo</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3042</v>
      </c>
      <c r="D676" s="1" t="s">
        <v>3043</v>
      </c>
      <c r="E676" s="1" t="s">
        <v>3044</v>
      </c>
      <c r="F676" s="1" t="s">
        <v>112</v>
      </c>
      <c r="G676" s="1">
        <v>1328833</v>
      </c>
    </row>
    <row r="677" spans="1:10" x14ac:dyDescent="0.3">
      <c r="A677" s="1" t="str">
        <f t="shared" si="10"/>
        <v>09  tam 483 + testo</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3045</v>
      </c>
      <c r="D677" s="1" t="s">
        <v>3046</v>
      </c>
      <c r="E677" s="1" t="s">
        <v>3047</v>
      </c>
      <c r="F677" s="1" t="s">
        <v>112</v>
      </c>
      <c r="G677" s="1">
        <v>1841634</v>
      </c>
    </row>
    <row r="678" spans="1:10" x14ac:dyDescent="0.3">
      <c r="A678" s="1" t="str">
        <f t="shared" si="10"/>
        <v>09  tam 483 + testo</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3048</v>
      </c>
      <c r="D678" s="1" t="s">
        <v>3049</v>
      </c>
      <c r="E678" s="1" t="s">
        <v>3050</v>
      </c>
      <c r="F678" s="1" t="s">
        <v>112</v>
      </c>
      <c r="G678" s="1">
        <v>2092757</v>
      </c>
    </row>
    <row r="679" spans="1:10" x14ac:dyDescent="0.3">
      <c r="A679" s="1" t="str">
        <f t="shared" si="10"/>
        <v>09  tam 483 + testo</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3051</v>
      </c>
      <c r="D679" s="1" t="s">
        <v>3052</v>
      </c>
      <c r="E679" s="1" t="s">
        <v>3053</v>
      </c>
      <c r="F679" s="1" t="s">
        <v>112</v>
      </c>
      <c r="G679" s="1">
        <v>1920064</v>
      </c>
    </row>
    <row r="680" spans="1:10" x14ac:dyDescent="0.3">
      <c r="A680" s="1" t="str">
        <f t="shared" si="10"/>
        <v>09  tam 483 + testo</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3054</v>
      </c>
      <c r="D680" s="1" t="s">
        <v>1625</v>
      </c>
      <c r="E680" s="1" t="s">
        <v>3055</v>
      </c>
      <c r="F680" s="1" t="s">
        <v>112</v>
      </c>
      <c r="G680" s="1">
        <v>1826818</v>
      </c>
    </row>
    <row r="681" spans="1:10" x14ac:dyDescent="0.3">
      <c r="A681" s="1" t="str">
        <f t="shared" si="10"/>
        <v>09  tam 483 + testo</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3056</v>
      </c>
      <c r="D681" s="1" t="s">
        <v>3057</v>
      </c>
      <c r="E681" s="1" t="s">
        <v>3058</v>
      </c>
      <c r="F681" s="1" t="s">
        <v>112</v>
      </c>
      <c r="G681" s="1">
        <v>1446283</v>
      </c>
    </row>
    <row r="682" spans="1:10" x14ac:dyDescent="0.3">
      <c r="A682" s="1" t="str">
        <f t="shared" si="10"/>
        <v>09  tam 483 + testo</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3059</v>
      </c>
    </row>
    <row r="683" spans="1:10" x14ac:dyDescent="0.3">
      <c r="A683" s="1" t="str">
        <f t="shared" si="10"/>
        <v>09  tam 483 + testo</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3060</v>
      </c>
      <c r="D683" s="1" t="s">
        <v>3061</v>
      </c>
      <c r="E683" s="1" t="s">
        <v>3062</v>
      </c>
      <c r="F683" s="1" t="s">
        <v>112</v>
      </c>
      <c r="G683" s="1">
        <v>3139449</v>
      </c>
    </row>
    <row r="684" spans="1:10" x14ac:dyDescent="0.3">
      <c r="A684" s="1" t="str">
        <f t="shared" si="10"/>
        <v>09  tam 483 + testo</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3063</v>
      </c>
      <c r="D684" s="1" t="s">
        <v>3064</v>
      </c>
      <c r="E684" s="1" t="s">
        <v>3065</v>
      </c>
      <c r="F684" s="1" t="s">
        <v>112</v>
      </c>
      <c r="G684" s="1">
        <v>3107783</v>
      </c>
    </row>
    <row r="685" spans="1:10" x14ac:dyDescent="0.3">
      <c r="A685" s="1" t="str">
        <f t="shared" si="10"/>
        <v>09  tam 483 + testo</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3066</v>
      </c>
      <c r="D685" s="1" t="s">
        <v>3067</v>
      </c>
      <c r="E685" s="1" t="s">
        <v>3068</v>
      </c>
      <c r="F685" s="1" t="s">
        <v>112</v>
      </c>
      <c r="G685" s="1">
        <v>3008480</v>
      </c>
    </row>
    <row r="686" spans="1:10" x14ac:dyDescent="0.3">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3">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243</v>
      </c>
      <c r="D687" s="1" t="s">
        <v>112</v>
      </c>
      <c r="E687" s="1" t="s">
        <v>244</v>
      </c>
      <c r="F687" s="1" t="s">
        <v>245</v>
      </c>
      <c r="G687" s="1" t="s">
        <v>246</v>
      </c>
      <c r="H687" s="1" t="s">
        <v>247</v>
      </c>
      <c r="I687" s="1" t="s">
        <v>248</v>
      </c>
      <c r="J687" s="1" t="s">
        <v>249</v>
      </c>
    </row>
    <row r="688" spans="1:10" x14ac:dyDescent="0.3">
      <c r="A688" s="1" t="str">
        <f t="shared" si="10"/>
        <v>09  tam 483 + testo</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3069</v>
      </c>
      <c r="D688" s="1" t="s">
        <v>112</v>
      </c>
      <c r="E688" s="1" t="s">
        <v>3070</v>
      </c>
      <c r="F688" s="1" t="s">
        <v>3071</v>
      </c>
      <c r="G688" s="1" t="s">
        <v>3072</v>
      </c>
      <c r="H688" s="1" t="s">
        <v>3073</v>
      </c>
      <c r="I688" s="1">
        <v>24</v>
      </c>
      <c r="J688" s="1">
        <v>24</v>
      </c>
    </row>
    <row r="689" spans="1:3" x14ac:dyDescent="0.3">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3">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112</v>
      </c>
    </row>
    <row r="691" spans="1:3" x14ac:dyDescent="0.3">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1" s="1" t="s">
        <v>112</v>
      </c>
    </row>
    <row r="692" spans="1:3" x14ac:dyDescent="0.3">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3" x14ac:dyDescent="0.3">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3" x14ac:dyDescent="0.3">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3">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3">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3">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3">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3">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3">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3">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3">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3">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3">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6"/>
  <sheetViews>
    <sheetView showGridLines="0" topLeftCell="N20" zoomScale="115" zoomScaleNormal="115" zoomScaleSheetLayoutView="40" zoomScalePageLayoutView="30" workbookViewId="0">
      <selection activeCell="S34" sqref="S34"/>
    </sheetView>
  </sheetViews>
  <sheetFormatPr defaultColWidth="9.109375" defaultRowHeight="14.4" x14ac:dyDescent="0.3"/>
  <cols>
    <col min="1" max="1" width="33.5546875" style="1" customWidth="1"/>
    <col min="2" max="2" width="14.88671875" style="1" customWidth="1"/>
    <col min="3" max="5" width="25.88671875" style="1" bestFit="1" customWidth="1"/>
    <col min="6" max="8" width="26.44140625" style="1" bestFit="1" customWidth="1"/>
    <col min="9" max="9" width="26.44140625" style="1" customWidth="1"/>
    <col min="10" max="10" width="25.88671875" style="1" bestFit="1" customWidth="1"/>
    <col min="11" max="11" width="26.44140625" style="1" bestFit="1" customWidth="1"/>
    <col min="12" max="13" width="26.44140625" style="1" customWidth="1"/>
    <col min="14" max="14" width="11.6640625" style="1" customWidth="1"/>
    <col min="15" max="15" width="14.88671875" style="1" customWidth="1"/>
    <col min="16" max="16" width="17.6640625" style="1" customWidth="1"/>
    <col min="17" max="18" width="25.88671875" style="1" bestFit="1" customWidth="1"/>
    <col min="19" max="22" width="25.88671875" style="1" customWidth="1"/>
    <col min="23" max="16384" width="9.109375" style="1"/>
  </cols>
  <sheetData>
    <row r="1" spans="1:22" ht="26.4" thickBot="1" x14ac:dyDescent="0.55000000000000004">
      <c r="A1" s="215" t="s">
        <v>43</v>
      </c>
      <c r="B1" s="216"/>
      <c r="C1" s="216"/>
      <c r="D1" s="216"/>
      <c r="E1" s="216"/>
      <c r="F1" s="216"/>
      <c r="G1" s="216"/>
      <c r="H1" s="216"/>
      <c r="I1" s="216"/>
      <c r="J1" s="216"/>
      <c r="K1" s="216"/>
      <c r="L1" s="216"/>
      <c r="M1" s="216"/>
      <c r="N1" s="216"/>
      <c r="O1" s="216"/>
      <c r="P1" s="216"/>
      <c r="Q1" s="216"/>
      <c r="R1" s="216"/>
      <c r="S1" s="216"/>
      <c r="T1" s="216"/>
      <c r="U1" s="216"/>
      <c r="V1" s="216"/>
    </row>
    <row r="2" spans="1:22" customFormat="1" ht="15" thickBot="1" x14ac:dyDescent="0.35"/>
    <row r="3" spans="1:22" ht="15" thickBot="1" x14ac:dyDescent="0.35">
      <c r="A3" s="51" t="s">
        <v>18</v>
      </c>
      <c r="B3" s="223" t="s">
        <v>6</v>
      </c>
      <c r="C3" s="224"/>
      <c r="D3" s="224"/>
      <c r="E3" s="224"/>
      <c r="F3" s="224"/>
      <c r="G3" s="224"/>
      <c r="H3" s="224"/>
      <c r="I3" s="224"/>
      <c r="J3" s="224"/>
      <c r="K3" s="224"/>
      <c r="L3" s="224"/>
      <c r="M3" s="224"/>
      <c r="O3" s="223" t="s">
        <v>3</v>
      </c>
      <c r="P3" s="224"/>
      <c r="Q3" s="224"/>
      <c r="R3" s="224"/>
      <c r="S3" s="224"/>
      <c r="T3" s="224"/>
      <c r="U3" s="224"/>
      <c r="V3" s="224"/>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Tamoxifen-30,2µg/L</v>
      </c>
      <c r="J4" s="35" t="str">
        <f>'Page de garde'!A16</f>
        <v>Tamoxifen-60,4µg/L</v>
      </c>
      <c r="K4" s="35" t="str">
        <f>'Page de garde'!A17</f>
        <v>Tamoxifen-121µg/L</v>
      </c>
      <c r="L4" s="35" t="str">
        <f>'Page de garde'!A18</f>
        <v>Tamoxifen-242µg/L</v>
      </c>
      <c r="M4" s="35" t="str">
        <f>'Page de garde'!A19</f>
        <v>Tamoxifen-483µg/L</v>
      </c>
      <c r="N4" s="3"/>
      <c r="O4" s="36" t="str">
        <f>'Page de garde'!A36</f>
        <v>Testo -30µg/L</v>
      </c>
      <c r="P4" s="36" t="str">
        <f>'Page de garde'!A37</f>
        <v>Testo 30µg/L + EE2 -64ng/L</v>
      </c>
      <c r="Q4" s="36" t="str">
        <f>'Page de garde'!A38</f>
        <v>Testo 30µg/L + FAD-10µg/L</v>
      </c>
      <c r="R4" s="36" t="str">
        <f>'Page de garde'!A39</f>
        <v>Tamoxifen-30.2µg/L + Testostérone</v>
      </c>
      <c r="S4" s="36" t="str">
        <f>'Page de garde'!A40</f>
        <v>Tamoxifen-60.4µg/L + Testostérone</v>
      </c>
      <c r="T4" s="36" t="str">
        <f>'Page de garde'!A41</f>
        <v>Tamoxifen-121µg/L + Testostérone</v>
      </c>
      <c r="U4" s="36" t="str">
        <f>'Page de garde'!A42</f>
        <v>Tamoxifen-242µg/L + Testostérone</v>
      </c>
      <c r="V4" s="36" t="str">
        <f>'Page de garde'!A43</f>
        <v>Tamoxifen-483µg/L + Testostérone</v>
      </c>
    </row>
    <row r="5" spans="1:22" x14ac:dyDescent="0.3">
      <c r="A5" s="225" t="s">
        <v>33</v>
      </c>
      <c r="B5" s="195">
        <v>65394.666666666664</v>
      </c>
      <c r="C5" s="195">
        <v>40087.333333333336</v>
      </c>
      <c r="D5" s="195">
        <v>75726</v>
      </c>
      <c r="E5" s="195">
        <v>279876.33333333331</v>
      </c>
      <c r="F5" s="195">
        <v>898058.66666666663</v>
      </c>
      <c r="G5" s="195">
        <v>3863798.3333333335</v>
      </c>
      <c r="H5" s="195">
        <v>6722729.666666667</v>
      </c>
      <c r="I5" s="195">
        <v>107652</v>
      </c>
      <c r="J5" s="195">
        <v>66324.333333333328</v>
      </c>
      <c r="K5" s="195">
        <v>143276.33333333334</v>
      </c>
      <c r="L5" s="195">
        <v>331118</v>
      </c>
      <c r="M5" s="195">
        <v>953575.66666666663</v>
      </c>
      <c r="N5" s="3"/>
      <c r="O5" s="195">
        <v>2585032</v>
      </c>
      <c r="P5" s="195">
        <v>2053960.3333333333</v>
      </c>
      <c r="Q5" s="195">
        <v>430831.66666666669</v>
      </c>
      <c r="R5" s="195">
        <v>3233417</v>
      </c>
      <c r="S5" s="195">
        <v>631578.33333333337</v>
      </c>
      <c r="T5" s="195">
        <v>2036829.3333333333</v>
      </c>
      <c r="U5" s="195">
        <v>1658457.6666666667</v>
      </c>
      <c r="V5" s="195">
        <v>3412970</v>
      </c>
    </row>
    <row r="6" spans="1:22" x14ac:dyDescent="0.3">
      <c r="A6" s="225"/>
      <c r="B6" s="195">
        <v>183659.66666666666</v>
      </c>
      <c r="C6" s="195">
        <v>153918</v>
      </c>
      <c r="D6" s="195">
        <v>165043</v>
      </c>
      <c r="E6" s="195">
        <v>216234</v>
      </c>
      <c r="F6" s="195">
        <v>2641118</v>
      </c>
      <c r="G6" s="195">
        <v>3534469</v>
      </c>
      <c r="H6" s="195">
        <v>5469782.333333333</v>
      </c>
      <c r="I6" s="195">
        <v>44759.333333333336</v>
      </c>
      <c r="J6" s="195">
        <v>60953</v>
      </c>
      <c r="K6" s="195">
        <v>95099.333333333328</v>
      </c>
      <c r="L6" s="195">
        <v>99454.333333333328</v>
      </c>
      <c r="M6" s="195">
        <v>1002084.3333333334</v>
      </c>
      <c r="N6" s="3"/>
      <c r="O6" s="195">
        <v>2909905.6666666665</v>
      </c>
      <c r="P6" s="195">
        <v>1627829.6666666667</v>
      </c>
      <c r="Q6" s="195">
        <v>64954.333333333336</v>
      </c>
      <c r="R6" s="195">
        <v>2861534</v>
      </c>
      <c r="S6" s="195">
        <v>167516.33333333334</v>
      </c>
      <c r="T6" s="195">
        <v>2337081.3333333335</v>
      </c>
      <c r="U6" s="195">
        <v>970216</v>
      </c>
      <c r="V6" s="195">
        <v>2033549</v>
      </c>
    </row>
    <row r="7" spans="1:22" x14ac:dyDescent="0.3">
      <c r="A7" s="225"/>
      <c r="B7" s="195">
        <v>51695.666666666664</v>
      </c>
      <c r="C7" s="195">
        <v>49532.666666666664</v>
      </c>
      <c r="D7" s="195">
        <v>172058.33333333334</v>
      </c>
      <c r="E7" s="195">
        <v>952386</v>
      </c>
      <c r="F7" s="195">
        <v>933870.5</v>
      </c>
      <c r="G7" s="195">
        <v>1563776.3333333333</v>
      </c>
      <c r="H7" s="195">
        <v>2254837.3333333335</v>
      </c>
      <c r="I7" s="195">
        <v>50686</v>
      </c>
      <c r="J7" s="195">
        <v>183082.33333333334</v>
      </c>
      <c r="K7" s="195">
        <v>193544.33333333334</v>
      </c>
      <c r="L7" s="195">
        <v>258304</v>
      </c>
      <c r="M7" s="195">
        <v>1641363</v>
      </c>
      <c r="N7" s="3"/>
      <c r="O7" s="195">
        <v>1449621</v>
      </c>
      <c r="P7" s="195">
        <v>3634572</v>
      </c>
      <c r="Q7" s="195">
        <v>206529.33333333334</v>
      </c>
      <c r="R7" s="195">
        <v>1630483</v>
      </c>
      <c r="S7" s="195">
        <v>991665.66666666663</v>
      </c>
      <c r="T7" s="195">
        <v>508994.5</v>
      </c>
      <c r="U7" s="195">
        <v>872290.5</v>
      </c>
      <c r="V7" s="195">
        <v>2678527</v>
      </c>
    </row>
    <row r="8" spans="1:22" x14ac:dyDescent="0.3">
      <c r="A8" s="225"/>
      <c r="B8" s="195">
        <v>91018.666666666672</v>
      </c>
      <c r="C8" s="195">
        <v>359243.66666666669</v>
      </c>
      <c r="D8" s="195">
        <v>44031.333333333336</v>
      </c>
      <c r="E8" s="195">
        <v>393909</v>
      </c>
      <c r="F8" s="195">
        <v>2137682.3333333335</v>
      </c>
      <c r="G8" s="195">
        <v>2376959.6666666665</v>
      </c>
      <c r="H8" s="195">
        <v>5104893</v>
      </c>
      <c r="I8" s="195">
        <v>109779</v>
      </c>
      <c r="J8" s="195">
        <v>617194.66666666663</v>
      </c>
      <c r="K8" s="195">
        <v>81652.666666666672</v>
      </c>
      <c r="L8" s="195">
        <v>54428.333333333336</v>
      </c>
      <c r="M8" s="195">
        <v>150976.66666666666</v>
      </c>
      <c r="N8" s="3"/>
      <c r="O8" s="195">
        <v>2834323.6666666665</v>
      </c>
      <c r="P8" s="195">
        <v>4504180.333333333</v>
      </c>
      <c r="Q8" s="195">
        <v>84774.666666666672</v>
      </c>
      <c r="R8" s="195">
        <v>2830495.3333333335</v>
      </c>
      <c r="S8" s="195">
        <v>2412901.3333333335</v>
      </c>
      <c r="T8" s="195">
        <v>2015495</v>
      </c>
      <c r="U8" s="195">
        <v>1560049</v>
      </c>
      <c r="V8" s="195">
        <v>1883178</v>
      </c>
    </row>
    <row r="9" spans="1:22" x14ac:dyDescent="0.3">
      <c r="A9" s="225"/>
      <c r="B9" s="195">
        <v>160479.66666666666</v>
      </c>
      <c r="C9" s="195">
        <v>61458</v>
      </c>
      <c r="D9" s="195">
        <v>50145.333333333336</v>
      </c>
      <c r="E9" s="195">
        <v>692466.33333333337</v>
      </c>
      <c r="F9" s="195">
        <v>2484366.3333333335</v>
      </c>
      <c r="G9" s="195">
        <v>3995856</v>
      </c>
      <c r="H9" s="195">
        <v>6632677.333333333</v>
      </c>
      <c r="I9" s="195">
        <v>17376.333333333332</v>
      </c>
      <c r="J9" s="195">
        <v>112490</v>
      </c>
      <c r="K9" s="195">
        <v>423391</v>
      </c>
      <c r="L9" s="195">
        <v>265269.33333333331</v>
      </c>
      <c r="M9" s="195">
        <v>511215.33333333331</v>
      </c>
      <c r="N9" s="3"/>
      <c r="O9" s="195">
        <v>3844526.3333333335</v>
      </c>
      <c r="P9" s="195">
        <v>4526733.333333333</v>
      </c>
      <c r="Q9" s="195">
        <v>257691.33333333334</v>
      </c>
      <c r="R9" s="195">
        <v>194315.66666666666</v>
      </c>
      <c r="S9" s="195">
        <v>570063.33333333337</v>
      </c>
      <c r="T9" s="195">
        <v>1109447.6666666667</v>
      </c>
      <c r="U9" s="195">
        <v>3115808</v>
      </c>
      <c r="V9" s="195">
        <v>1223271.6666666667</v>
      </c>
    </row>
    <row r="10" spans="1:22" x14ac:dyDescent="0.3">
      <c r="A10" s="225"/>
      <c r="B10" s="195">
        <v>144069.33333333334</v>
      </c>
      <c r="C10" s="195">
        <v>36496.666666666664</v>
      </c>
      <c r="D10" s="195">
        <v>42870.5</v>
      </c>
      <c r="E10" s="195">
        <v>1517178.6666666667</v>
      </c>
      <c r="F10" s="195">
        <v>1168245</v>
      </c>
      <c r="G10" s="195">
        <v>3495340.3333333335</v>
      </c>
      <c r="H10" s="195">
        <v>6518594.333333333</v>
      </c>
      <c r="I10" s="195">
        <v>319481</v>
      </c>
      <c r="J10" s="195">
        <v>265096</v>
      </c>
      <c r="K10" s="195">
        <v>258801.66666666666</v>
      </c>
      <c r="L10" s="195">
        <v>703988</v>
      </c>
      <c r="M10" s="195">
        <v>285240.33333333331</v>
      </c>
      <c r="N10" s="3"/>
      <c r="O10" s="195">
        <v>1981341.6666666667</v>
      </c>
      <c r="P10" s="195">
        <v>5322663</v>
      </c>
      <c r="Q10" s="195">
        <v>31738.333333333332</v>
      </c>
      <c r="R10" s="195">
        <v>2760118.6666666665</v>
      </c>
      <c r="S10" s="195">
        <v>318608.5</v>
      </c>
      <c r="T10" s="195">
        <v>87896.666666666672</v>
      </c>
      <c r="U10" s="195">
        <v>2756369.6666666665</v>
      </c>
      <c r="V10" s="195">
        <v>1951485</v>
      </c>
    </row>
    <row r="11" spans="1:22" x14ac:dyDescent="0.3">
      <c r="A11" s="225"/>
      <c r="B11" s="195">
        <v>56663</v>
      </c>
      <c r="C11" s="195">
        <v>58278</v>
      </c>
      <c r="D11" s="195">
        <v>491352</v>
      </c>
      <c r="E11" s="195">
        <v>59439</v>
      </c>
      <c r="F11" s="195">
        <v>2103103.6666666665</v>
      </c>
      <c r="G11" s="195">
        <v>3352698.6666666665</v>
      </c>
      <c r="H11" s="195">
        <v>7004798</v>
      </c>
      <c r="I11" s="195">
        <v>281635.33333333331</v>
      </c>
      <c r="J11" s="195">
        <v>35487.333333333336</v>
      </c>
      <c r="K11" s="195">
        <v>187574.33333333334</v>
      </c>
      <c r="L11" s="195">
        <v>78343.666666666672</v>
      </c>
      <c r="M11" s="195">
        <v>534994</v>
      </c>
      <c r="N11" s="3"/>
      <c r="O11" s="195">
        <v>844496</v>
      </c>
      <c r="P11" s="195">
        <v>5432276</v>
      </c>
      <c r="Q11" s="195">
        <v>408617.66666666669</v>
      </c>
      <c r="R11" s="195">
        <v>3559884.3333333335</v>
      </c>
      <c r="S11" s="195"/>
      <c r="T11" s="195">
        <v>3109376.6666666665</v>
      </c>
      <c r="U11" s="195">
        <v>1025970.5</v>
      </c>
      <c r="V11" s="195">
        <v>1636550.5</v>
      </c>
    </row>
    <row r="12" spans="1:22" x14ac:dyDescent="0.3">
      <c r="A12" s="225"/>
      <c r="B12" s="195">
        <v>27837.5</v>
      </c>
      <c r="C12" s="195">
        <v>19171.333333333332</v>
      </c>
      <c r="D12" s="195">
        <v>13900.666666666666</v>
      </c>
      <c r="E12" s="195">
        <v>329142</v>
      </c>
      <c r="F12" s="195">
        <v>835195</v>
      </c>
      <c r="G12" s="195">
        <v>2489622.6666666665</v>
      </c>
      <c r="H12" s="195">
        <v>3965401.6666666665</v>
      </c>
      <c r="I12" s="195">
        <v>168598</v>
      </c>
      <c r="J12" s="195">
        <v>73844.333333333328</v>
      </c>
      <c r="K12" s="195">
        <v>47030.666666666664</v>
      </c>
      <c r="L12" s="195">
        <v>217135.33333333334</v>
      </c>
      <c r="M12" s="195">
        <v>738033.66666666663</v>
      </c>
      <c r="N12" s="3"/>
      <c r="O12" s="195">
        <v>1209738.3333333333</v>
      </c>
      <c r="P12" s="195">
        <v>3182010</v>
      </c>
      <c r="Q12" s="195">
        <v>55761.666666666664</v>
      </c>
      <c r="R12" s="195">
        <v>1453716.3333333333</v>
      </c>
      <c r="S12" s="195">
        <v>2284909.6666666665</v>
      </c>
      <c r="T12" s="195">
        <v>2989128.6666666665</v>
      </c>
      <c r="U12" s="195">
        <v>3892393.3333333335</v>
      </c>
      <c r="V12" s="195">
        <v>3085237.3333333335</v>
      </c>
    </row>
    <row r="13" spans="1:22" ht="16.8" x14ac:dyDescent="0.3">
      <c r="A13" s="225"/>
      <c r="B13" s="14"/>
      <c r="C13" s="13"/>
      <c r="D13" s="32"/>
      <c r="E13" s="32"/>
      <c r="F13" s="32"/>
      <c r="G13" s="32"/>
      <c r="H13" s="32"/>
      <c r="I13" s="32"/>
      <c r="J13" s="32"/>
      <c r="K13" s="13"/>
      <c r="L13" s="13"/>
      <c r="M13" s="13"/>
      <c r="N13" s="3"/>
      <c r="O13" s="195">
        <v>2333295.6666666665</v>
      </c>
      <c r="P13" s="13"/>
      <c r="Q13" s="13"/>
      <c r="R13" s="32"/>
      <c r="S13" s="32"/>
      <c r="T13" s="32"/>
      <c r="U13" s="32"/>
      <c r="V13" s="32"/>
    </row>
    <row r="14" spans="1:22" ht="16.8" x14ac:dyDescent="0.3">
      <c r="A14" s="225"/>
      <c r="B14" s="14"/>
      <c r="C14" s="32"/>
      <c r="D14" s="32"/>
      <c r="E14" s="32"/>
      <c r="F14" s="32"/>
      <c r="G14" s="32"/>
      <c r="H14" s="32"/>
      <c r="I14" s="32"/>
      <c r="J14" s="32"/>
      <c r="K14" s="13"/>
      <c r="L14" s="13"/>
      <c r="M14" s="13"/>
      <c r="N14" s="3"/>
      <c r="O14" s="195">
        <v>673526</v>
      </c>
      <c r="P14" s="13"/>
      <c r="Q14" s="13"/>
      <c r="R14" s="32"/>
      <c r="S14" s="32"/>
      <c r="T14" s="32"/>
      <c r="U14" s="32"/>
      <c r="V14" s="32"/>
    </row>
    <row r="15" spans="1:22" ht="16.8" x14ac:dyDescent="0.3">
      <c r="A15" s="225"/>
      <c r="B15" s="14"/>
      <c r="C15" s="32"/>
      <c r="D15" s="32"/>
      <c r="E15" s="32"/>
      <c r="F15" s="32"/>
      <c r="G15" s="32"/>
      <c r="H15" s="32"/>
      <c r="I15" s="32"/>
      <c r="J15" s="32"/>
      <c r="K15" s="13"/>
      <c r="L15" s="13"/>
      <c r="M15" s="13"/>
      <c r="N15" s="3"/>
      <c r="O15" s="195">
        <v>1826615.6666666667</v>
      </c>
      <c r="P15" s="13"/>
      <c r="Q15" s="13"/>
      <c r="R15" s="32"/>
      <c r="S15" s="32"/>
      <c r="T15" s="32"/>
      <c r="U15" s="32"/>
      <c r="V15" s="32"/>
    </row>
    <row r="16" spans="1:22" ht="16.8" x14ac:dyDescent="0.3">
      <c r="A16" s="225"/>
      <c r="B16" s="14"/>
      <c r="C16" s="32"/>
      <c r="D16" s="32"/>
      <c r="E16" s="32"/>
      <c r="F16" s="32"/>
      <c r="G16" s="32"/>
      <c r="H16" s="32"/>
      <c r="I16" s="32"/>
      <c r="J16" s="32"/>
      <c r="K16" s="13"/>
      <c r="L16" s="13"/>
      <c r="M16" s="13"/>
      <c r="N16" s="3"/>
      <c r="O16" s="195">
        <v>2902343</v>
      </c>
      <c r="P16" s="13"/>
      <c r="Q16" s="13"/>
      <c r="R16" s="32"/>
      <c r="S16" s="32"/>
      <c r="T16" s="32"/>
      <c r="U16" s="32"/>
      <c r="V16" s="32"/>
    </row>
    <row r="17" spans="1:22" ht="16.8" x14ac:dyDescent="0.3">
      <c r="A17" s="225"/>
      <c r="B17" s="14"/>
      <c r="C17" s="32"/>
      <c r="D17" s="32"/>
      <c r="E17" s="32"/>
      <c r="F17" s="32"/>
      <c r="G17" s="32"/>
      <c r="H17" s="32"/>
      <c r="I17" s="32"/>
      <c r="J17" s="32"/>
      <c r="K17" s="13"/>
      <c r="L17" s="13"/>
      <c r="M17" s="13"/>
      <c r="N17" s="3"/>
      <c r="O17" s="195">
        <v>1110205</v>
      </c>
      <c r="P17" s="13"/>
      <c r="Q17" s="13"/>
      <c r="R17" s="32"/>
      <c r="S17" s="32"/>
      <c r="T17" s="32"/>
      <c r="U17" s="32"/>
      <c r="V17" s="32"/>
    </row>
    <row r="18" spans="1:22" ht="16.8" x14ac:dyDescent="0.3">
      <c r="A18" s="225"/>
      <c r="B18" s="14"/>
      <c r="C18" s="32"/>
      <c r="D18" s="32"/>
      <c r="E18" s="32"/>
      <c r="F18" s="32"/>
      <c r="G18" s="32"/>
      <c r="H18" s="32"/>
      <c r="I18" s="32"/>
      <c r="J18" s="32"/>
      <c r="K18" s="13"/>
      <c r="L18" s="13"/>
      <c r="M18" s="13"/>
      <c r="N18" s="3"/>
      <c r="O18" s="195">
        <v>2639658.5</v>
      </c>
      <c r="P18" s="13"/>
      <c r="Q18" s="13"/>
      <c r="R18" s="32"/>
      <c r="S18" s="32"/>
      <c r="T18" s="32"/>
      <c r="U18" s="32"/>
      <c r="V18" s="32"/>
    </row>
    <row r="19" spans="1:22" ht="16.8" x14ac:dyDescent="0.3">
      <c r="A19" s="225"/>
      <c r="B19" s="14"/>
      <c r="C19" s="32"/>
      <c r="D19" s="32"/>
      <c r="E19" s="32"/>
      <c r="F19" s="32"/>
      <c r="G19" s="32"/>
      <c r="H19" s="32"/>
      <c r="I19" s="32"/>
      <c r="J19" s="32"/>
      <c r="K19" s="13"/>
      <c r="L19" s="13"/>
      <c r="M19" s="13"/>
      <c r="N19" s="3"/>
      <c r="O19" s="195">
        <v>3458526.6666666665</v>
      </c>
      <c r="P19" s="13"/>
      <c r="Q19" s="13"/>
      <c r="R19" s="32"/>
      <c r="S19" s="32"/>
      <c r="T19" s="32"/>
      <c r="U19" s="32"/>
      <c r="V19" s="32"/>
    </row>
    <row r="20" spans="1:22" ht="16.8" x14ac:dyDescent="0.3">
      <c r="A20" s="225"/>
      <c r="B20" s="14"/>
      <c r="C20" s="32"/>
      <c r="D20" s="32"/>
      <c r="E20" s="32"/>
      <c r="F20" s="32"/>
      <c r="G20" s="32"/>
      <c r="H20" s="32"/>
      <c r="I20" s="32"/>
      <c r="J20" s="32"/>
      <c r="K20" s="13"/>
      <c r="L20" s="13"/>
      <c r="M20" s="13"/>
      <c r="N20" s="3"/>
      <c r="O20" s="195">
        <v>3991905</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Tamoxifen-30,2µg/L</v>
      </c>
      <c r="J22" s="3" t="str">
        <f t="shared" si="0"/>
        <v>Tamoxifen-60,4µg/L</v>
      </c>
      <c r="K22" s="3" t="str">
        <f t="shared" si="0"/>
        <v>Tamoxifen-121µg/L</v>
      </c>
      <c r="L22" s="3" t="str">
        <f t="shared" si="0"/>
        <v>Tamoxifen-242µg/L</v>
      </c>
      <c r="M22" s="3" t="str">
        <f t="shared" si="0"/>
        <v>Tamoxifen-483µg/L</v>
      </c>
      <c r="N22" s="3" t="s">
        <v>41</v>
      </c>
      <c r="O22" s="3" t="str">
        <f t="shared" si="0"/>
        <v>Testo -30µg/L</v>
      </c>
      <c r="P22" s="3" t="str">
        <f t="shared" si="0"/>
        <v>Testo 30µg/L + EE2 -64ng/L</v>
      </c>
      <c r="Q22" s="3" t="str">
        <f t="shared" si="0"/>
        <v>Testo 30µg/L + FAD-10µg/L</v>
      </c>
      <c r="R22" s="3" t="str">
        <f t="shared" si="0"/>
        <v>Tamoxifen-30.2µg/L + Testostérone</v>
      </c>
      <c r="S22" s="3" t="str">
        <f t="shared" si="0"/>
        <v>Tamoxifen-60.4µg/L + Testostérone</v>
      </c>
      <c r="T22" s="3" t="str">
        <f t="shared" si="0"/>
        <v>Tamoxifen-121µg/L + Testostérone</v>
      </c>
      <c r="U22" s="3" t="str">
        <f t="shared" si="0"/>
        <v>Tamoxifen-242µg/L + Testostérone</v>
      </c>
      <c r="V22" s="3" t="str">
        <f t="shared" si="0"/>
        <v>Tamoxifen-483µg/L + Testostérone</v>
      </c>
    </row>
    <row r="23" spans="1:22" x14ac:dyDescent="0.3">
      <c r="A23" s="5" t="s">
        <v>0</v>
      </c>
      <c r="B23" s="5">
        <f t="shared" ref="B23:J23" si="1">AVERAGE(B5:B20)</f>
        <v>97602.270833333343</v>
      </c>
      <c r="C23" s="5">
        <f t="shared" si="1"/>
        <v>97273.208333333343</v>
      </c>
      <c r="D23" s="5">
        <f t="shared" si="1"/>
        <v>131890.89583333334</v>
      </c>
      <c r="E23" s="5">
        <f t="shared" si="1"/>
        <v>555078.91666666663</v>
      </c>
      <c r="F23" s="5">
        <f t="shared" si="1"/>
        <v>1650204.9375</v>
      </c>
      <c r="G23" s="5">
        <f t="shared" si="1"/>
        <v>3084065.1250000005</v>
      </c>
      <c r="H23" s="5">
        <f t="shared" si="1"/>
        <v>5459214.208333333</v>
      </c>
      <c r="I23" s="5">
        <f t="shared" si="1"/>
        <v>137495.875</v>
      </c>
      <c r="J23" s="5">
        <f t="shared" si="1"/>
        <v>176808.99999999997</v>
      </c>
      <c r="K23" s="5"/>
      <c r="L23" s="5">
        <f>AVERAGE(L5:L20)</f>
        <v>251005.125</v>
      </c>
      <c r="M23" s="5"/>
      <c r="N23" s="5" t="s">
        <v>0</v>
      </c>
      <c r="O23" s="5">
        <f>AVERAGE(O5:O20)</f>
        <v>2287191.260416667</v>
      </c>
      <c r="P23" s="5">
        <f>AVERAGE(P5:P20)</f>
        <v>3785528.083333333</v>
      </c>
      <c r="Q23" s="5">
        <f>AVERAGE(Q5:Q20)</f>
        <v>192612.37500000003</v>
      </c>
      <c r="R23" s="5">
        <f>AVERAGE(R5:R20)</f>
        <v>2315495.5416666665</v>
      </c>
      <c r="S23" s="5">
        <f>AVERAGE(S5:S20)</f>
        <v>1053891.8809523808</v>
      </c>
      <c r="T23" s="5">
        <f t="shared" ref="T23:V23" si="2">AVERAGE(T5:T20)</f>
        <v>1774281.2291666667</v>
      </c>
      <c r="U23" s="5">
        <f t="shared" si="2"/>
        <v>1981444.3333333335</v>
      </c>
      <c r="V23" s="5">
        <f t="shared" si="2"/>
        <v>2238096.0625</v>
      </c>
    </row>
    <row r="24" spans="1:22" x14ac:dyDescent="0.3">
      <c r="A24" s="3" t="s">
        <v>1</v>
      </c>
      <c r="B24" s="3">
        <f t="shared" ref="B24:J24" si="3">STDEV(B5:B20)</f>
        <v>57631.671902154609</v>
      </c>
      <c r="C24" s="3">
        <f t="shared" si="3"/>
        <v>113378.99994322141</v>
      </c>
      <c r="D24" s="3">
        <f t="shared" si="3"/>
        <v>156445.89696621319</v>
      </c>
      <c r="E24" s="3">
        <f t="shared" si="3"/>
        <v>480416.28502847778</v>
      </c>
      <c r="F24" s="3">
        <f t="shared" si="3"/>
        <v>764934.26615033532</v>
      </c>
      <c r="G24" s="3">
        <f t="shared" si="3"/>
        <v>849214.71109368489</v>
      </c>
      <c r="H24" s="3">
        <f t="shared" si="3"/>
        <v>1652260.9961636565</v>
      </c>
      <c r="I24" s="3">
        <f t="shared" si="3"/>
        <v>111538.40993270199</v>
      </c>
      <c r="J24" s="3">
        <f t="shared" si="3"/>
        <v>193506.52576748718</v>
      </c>
      <c r="K24" s="3"/>
      <c r="L24" s="3">
        <f>STDEV(L5:L20)</f>
        <v>208545.13675795664</v>
      </c>
      <c r="M24" s="3"/>
      <c r="N24" s="3" t="s">
        <v>1</v>
      </c>
      <c r="O24" s="3">
        <f>STDEV(O5:O20)</f>
        <v>1039957.0243083024</v>
      </c>
      <c r="P24" s="3">
        <f>STDEV(P5:P20)</f>
        <v>1423347.1556395849</v>
      </c>
      <c r="Q24" s="3">
        <f>STDEV(Q5:Q20)</f>
        <v>160521.37823419151</v>
      </c>
      <c r="R24" s="3">
        <f>STDEV(R5:R20)</f>
        <v>1125259.6794541129</v>
      </c>
      <c r="S24" s="3">
        <f>STDEV(S5:S20)</f>
        <v>922399.55549511255</v>
      </c>
      <c r="T24" s="3">
        <f t="shared" ref="T24:V24" si="4">STDEV(T5:T20)</f>
        <v>1107702.9473254762</v>
      </c>
      <c r="U24" s="3">
        <f t="shared" si="4"/>
        <v>1133051.8780970401</v>
      </c>
      <c r="V24" s="3">
        <f t="shared" si="4"/>
        <v>749631.75375155697</v>
      </c>
    </row>
    <row r="25" spans="1:22" ht="15" thickBot="1" x14ac:dyDescent="0.35"/>
    <row r="26" spans="1:22" ht="15" thickBot="1" x14ac:dyDescent="0.35">
      <c r="B26" s="223" t="s">
        <v>6</v>
      </c>
      <c r="C26" s="224"/>
      <c r="D26" s="224"/>
      <c r="E26" s="224"/>
      <c r="F26" s="224"/>
      <c r="G26" s="224"/>
      <c r="H26" s="224"/>
      <c r="I26" s="224"/>
      <c r="J26" s="224"/>
      <c r="K26" s="224"/>
      <c r="L26" s="224"/>
      <c r="M26" s="224"/>
      <c r="O26" s="223" t="s">
        <v>3</v>
      </c>
      <c r="P26" s="224"/>
      <c r="Q26" s="224"/>
      <c r="R26" s="224"/>
      <c r="S26" s="224"/>
      <c r="T26" s="224"/>
      <c r="U26" s="224"/>
      <c r="V26" s="224"/>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Tamoxifen-30,2µg/L</v>
      </c>
      <c r="J27" s="35" t="str">
        <f t="shared" si="5"/>
        <v>Tamoxifen-60,4µg/L</v>
      </c>
      <c r="K27" s="35" t="str">
        <f t="shared" si="5"/>
        <v>Tamoxifen-121µg/L</v>
      </c>
      <c r="L27" s="35" t="str">
        <f t="shared" si="5"/>
        <v>Tamoxifen-242µg/L</v>
      </c>
      <c r="M27" s="35" t="str">
        <f t="shared" si="5"/>
        <v>Tamoxifen-483µg/L</v>
      </c>
      <c r="N27" s="3"/>
      <c r="O27" s="36" t="str">
        <f>O4</f>
        <v>Testo -30µg/L</v>
      </c>
      <c r="P27" s="36" t="str">
        <f t="shared" ref="P27:R27" si="6">P4</f>
        <v>Testo 30µg/L + EE2 -64ng/L</v>
      </c>
      <c r="Q27" s="36" t="str">
        <f t="shared" si="6"/>
        <v>Testo 30µg/L + FAD-10µg/L</v>
      </c>
      <c r="R27" s="36" t="str">
        <f t="shared" si="6"/>
        <v>Tamoxifen-30.2µg/L + Testostérone</v>
      </c>
      <c r="S27" s="36" t="str">
        <f t="shared" ref="S27:V27" si="7">S4</f>
        <v>Tamoxifen-60.4µg/L + Testostérone</v>
      </c>
      <c r="T27" s="36" t="str">
        <f t="shared" si="7"/>
        <v>Tamoxifen-121µg/L + Testostérone</v>
      </c>
      <c r="U27" s="36" t="str">
        <f t="shared" si="7"/>
        <v>Tamoxifen-242µg/L + Testostérone</v>
      </c>
      <c r="V27" s="36" t="str">
        <f t="shared" si="7"/>
        <v>Tamoxifen-483µg/L + Testostérone</v>
      </c>
    </row>
    <row r="28" spans="1:22" x14ac:dyDescent="0.3">
      <c r="A28" s="226" t="s">
        <v>34</v>
      </c>
      <c r="B28" s="11">
        <f t="shared" ref="B28:M28" si="8">IF(B5="","",(B5/$O$23))</f>
        <v>2.8591691389531389E-2</v>
      </c>
      <c r="C28" s="11">
        <f t="shared" si="8"/>
        <v>1.7526882874688173E-2</v>
      </c>
      <c r="D28" s="11">
        <f t="shared" si="8"/>
        <v>3.3108730918377453E-2</v>
      </c>
      <c r="E28" s="11">
        <f t="shared" si="8"/>
        <v>0.12236682527474642</v>
      </c>
      <c r="F28" s="11">
        <f t="shared" si="8"/>
        <v>0.39264694746300471</v>
      </c>
      <c r="G28" s="11">
        <f t="shared" si="8"/>
        <v>1.6893201719516231</v>
      </c>
      <c r="H28" s="11">
        <f t="shared" si="8"/>
        <v>2.9392949260578933</v>
      </c>
      <c r="I28" s="11">
        <f t="shared" si="8"/>
        <v>4.7067336196618993E-2</v>
      </c>
      <c r="J28" s="11">
        <f t="shared" si="8"/>
        <v>2.8998157907113877E-2</v>
      </c>
      <c r="K28" s="11">
        <f t="shared" si="8"/>
        <v>6.2642917456423003E-2</v>
      </c>
      <c r="L28" s="11">
        <f t="shared" si="8"/>
        <v>0.14477057766462384</v>
      </c>
      <c r="M28" s="11">
        <f t="shared" si="8"/>
        <v>0.41691995032061718</v>
      </c>
      <c r="N28" s="6"/>
      <c r="O28" s="11">
        <f t="shared" ref="O28:S37" si="9">IF(O5="","",(O5/$O$23))</f>
        <v>1.1302211777116857</v>
      </c>
      <c r="P28" s="11">
        <f t="shared" si="9"/>
        <v>0.89802736171663877</v>
      </c>
      <c r="Q28" s="11">
        <f t="shared" si="9"/>
        <v>0.18836713576291836</v>
      </c>
      <c r="R28" s="11">
        <f t="shared" si="9"/>
        <v>1.4137064337203507</v>
      </c>
      <c r="S28" s="11">
        <f t="shared" si="9"/>
        <v>0.27613708755527344</v>
      </c>
      <c r="T28" s="11">
        <f t="shared" ref="T28:V28" si="10">IF(T5="","",(T5/$O$23))</f>
        <v>0.89053738906044777</v>
      </c>
      <c r="U28" s="11">
        <f t="shared" si="10"/>
        <v>0.72510668231765574</v>
      </c>
      <c r="V28" s="11">
        <f t="shared" si="10"/>
        <v>1.4922101439729378</v>
      </c>
    </row>
    <row r="29" spans="1:22" x14ac:dyDescent="0.3">
      <c r="A29" s="226"/>
      <c r="B29" s="11">
        <f t="shared" ref="B29:M29" si="11">IF(B6="","",(B6/$O$23))</f>
        <v>8.02992167053002E-2</v>
      </c>
      <c r="C29" s="11">
        <f t="shared" si="11"/>
        <v>6.7295640143343383E-2</v>
      </c>
      <c r="D29" s="11">
        <f t="shared" si="11"/>
        <v>7.2159684612441835E-2</v>
      </c>
      <c r="E29" s="11">
        <f t="shared" si="11"/>
        <v>9.4541284649980586E-2</v>
      </c>
      <c r="F29" s="11">
        <f t="shared" si="11"/>
        <v>1.1547429573156276</v>
      </c>
      <c r="G29" s="11">
        <f t="shared" si="11"/>
        <v>1.5453316306202181</v>
      </c>
      <c r="H29" s="11">
        <f t="shared" si="11"/>
        <v>2.3914844499435874</v>
      </c>
      <c r="I29" s="11">
        <f t="shared" si="11"/>
        <v>1.9569562942969337E-2</v>
      </c>
      <c r="J29" s="11">
        <f t="shared" si="11"/>
        <v>2.6649717080895082E-2</v>
      </c>
      <c r="K29" s="11">
        <f t="shared" si="11"/>
        <v>4.1579090904714587E-2</v>
      </c>
      <c r="L29" s="11">
        <f t="shared" si="11"/>
        <v>4.3483173031718968E-2</v>
      </c>
      <c r="M29" s="11">
        <f t="shared" si="11"/>
        <v>0.43812878733664784</v>
      </c>
      <c r="N29" s="6"/>
      <c r="O29" s="11">
        <f t="shared" si="9"/>
        <v>1.2722616236897291</v>
      </c>
      <c r="P29" s="11">
        <f t="shared" si="9"/>
        <v>0.71171558532893242</v>
      </c>
      <c r="Q29" s="11">
        <f t="shared" si="9"/>
        <v>2.8399169959009173E-2</v>
      </c>
      <c r="R29" s="11">
        <f t="shared" si="9"/>
        <v>1.2511126854685088</v>
      </c>
      <c r="S29" s="11">
        <f t="shared" si="9"/>
        <v>7.3241069180553009E-2</v>
      </c>
      <c r="T29" s="11">
        <f t="shared" ref="T29:V29" si="12">IF(T6="","",(T6/$O$23))</f>
        <v>1.0218128119760206</v>
      </c>
      <c r="U29" s="11">
        <f t="shared" si="12"/>
        <v>0.42419539493310754</v>
      </c>
      <c r="V29" s="11">
        <f t="shared" si="12"/>
        <v>0.88910316998567929</v>
      </c>
    </row>
    <row r="30" spans="1:22" x14ac:dyDescent="0.3">
      <c r="A30" s="226"/>
      <c r="B30" s="11">
        <f t="shared" ref="B30:M30" si="13">IF(B7="","",(B7/$O$23))</f>
        <v>2.2602249125964678E-2</v>
      </c>
      <c r="C30" s="11">
        <f t="shared" si="13"/>
        <v>2.1656547715927829E-2</v>
      </c>
      <c r="D30" s="11">
        <f t="shared" si="13"/>
        <v>7.5226910976386285E-2</v>
      </c>
      <c r="E30" s="11">
        <f t="shared" si="13"/>
        <v>0.41639980725813897</v>
      </c>
      <c r="F30" s="11">
        <f t="shared" si="13"/>
        <v>0.40830450700037785</v>
      </c>
      <c r="G30" s="11">
        <f t="shared" si="13"/>
        <v>0.6837103483197351</v>
      </c>
      <c r="H30" s="11">
        <f t="shared" si="13"/>
        <v>0.98585429752060205</v>
      </c>
      <c r="I30" s="11">
        <f t="shared" si="13"/>
        <v>2.2160805209952721E-2</v>
      </c>
      <c r="J30" s="11">
        <f t="shared" si="13"/>
        <v>8.0046796479967527E-2</v>
      </c>
      <c r="K30" s="11">
        <f t="shared" si="13"/>
        <v>8.4620965759581723E-2</v>
      </c>
      <c r="L30" s="11">
        <f t="shared" si="13"/>
        <v>0.11293502404907918</v>
      </c>
      <c r="M30" s="11">
        <f t="shared" si="13"/>
        <v>0.71763259522991807</v>
      </c>
      <c r="N30" s="6"/>
      <c r="O30" s="11">
        <f t="shared" si="9"/>
        <v>0.63379964110912024</v>
      </c>
      <c r="P30" s="11">
        <f t="shared" si="9"/>
        <v>1.589098412057536</v>
      </c>
      <c r="Q30" s="11">
        <f t="shared" si="9"/>
        <v>9.0298234742165404E-2</v>
      </c>
      <c r="R30" s="11">
        <f t="shared" si="9"/>
        <v>0.71287566904350985</v>
      </c>
      <c r="S30" s="11">
        <f t="shared" si="9"/>
        <v>0.43357356414784953</v>
      </c>
      <c r="T30" s="11">
        <f t="shared" ref="T30:V30" si="14">IF(T7="","",(T7/$O$23))</f>
        <v>0.22254129281137355</v>
      </c>
      <c r="U30" s="11">
        <f t="shared" si="14"/>
        <v>0.38138065455929177</v>
      </c>
      <c r="V30" s="11">
        <f t="shared" si="14"/>
        <v>1.1710988260387292</v>
      </c>
    </row>
    <row r="31" spans="1:22" x14ac:dyDescent="0.3">
      <c r="A31" s="226"/>
      <c r="B31" s="11">
        <f t="shared" ref="B31:M31" si="15">IF(B8="","",(B8/$O$23))</f>
        <v>3.9794952106491276E-2</v>
      </c>
      <c r="C31" s="11">
        <f t="shared" si="15"/>
        <v>0.15706761077830536</v>
      </c>
      <c r="D31" s="11">
        <f t="shared" si="15"/>
        <v>1.925126861726114E-2</v>
      </c>
      <c r="E31" s="11">
        <f t="shared" si="15"/>
        <v>0.17222390047443606</v>
      </c>
      <c r="F31" s="11">
        <f t="shared" si="15"/>
        <v>0.93463208360804206</v>
      </c>
      <c r="G31" s="11">
        <f t="shared" si="15"/>
        <v>1.0392483163973116</v>
      </c>
      <c r="H31" s="11">
        <f t="shared" si="15"/>
        <v>2.2319484550102824</v>
      </c>
      <c r="I31" s="11">
        <f t="shared" si="15"/>
        <v>4.7997297777362578E-2</v>
      </c>
      <c r="J31" s="11">
        <f t="shared" si="15"/>
        <v>0.26984829705681446</v>
      </c>
      <c r="K31" s="11">
        <f t="shared" si="15"/>
        <v>3.5699973185360841E-2</v>
      </c>
      <c r="L31" s="11">
        <f t="shared" si="15"/>
        <v>2.3797018760651396E-2</v>
      </c>
      <c r="M31" s="11">
        <f t="shared" si="15"/>
        <v>6.600963779441979E-2</v>
      </c>
      <c r="N31" s="6"/>
      <c r="O31" s="11">
        <f t="shared" si="9"/>
        <v>1.2392158520885246</v>
      </c>
      <c r="P31" s="11">
        <f t="shared" si="9"/>
        <v>1.9693063764648997</v>
      </c>
      <c r="Q31" s="11">
        <f t="shared" si="9"/>
        <v>3.7064966159070983E-2</v>
      </c>
      <c r="R31" s="11">
        <f t="shared" si="9"/>
        <v>1.2375420378345143</v>
      </c>
      <c r="S31" s="11">
        <f t="shared" si="9"/>
        <v>1.0549626413375528</v>
      </c>
      <c r="T31" s="11">
        <f t="shared" ref="T31:V31" si="16">IF(T8="","",(T8/$O$23))</f>
        <v>0.88120964559510828</v>
      </c>
      <c r="U31" s="11">
        <f t="shared" si="16"/>
        <v>0.68208069303124197</v>
      </c>
      <c r="V31" s="11">
        <f t="shared" si="16"/>
        <v>0.8233583402452026</v>
      </c>
    </row>
    <row r="32" spans="1:22" x14ac:dyDescent="0.3">
      <c r="A32" s="226"/>
      <c r="B32" s="11">
        <f t="shared" ref="B32:M32" si="17">IF(B9="","",(B9/$O$23))</f>
        <v>7.0164515510360695E-2</v>
      </c>
      <c r="C32" s="11">
        <f t="shared" si="17"/>
        <v>2.6870511908481123E-2</v>
      </c>
      <c r="D32" s="11">
        <f t="shared" si="17"/>
        <v>2.1924416292233538E-2</v>
      </c>
      <c r="E32" s="11">
        <f t="shared" si="17"/>
        <v>0.30275838549994455</v>
      </c>
      <c r="F32" s="11">
        <f t="shared" si="17"/>
        <v>1.0862083885720806</v>
      </c>
      <c r="G32" s="11">
        <f t="shared" si="17"/>
        <v>1.747058092234953</v>
      </c>
      <c r="H32" s="11">
        <f t="shared" si="17"/>
        <v>2.8999224717765979</v>
      </c>
      <c r="I32" s="11">
        <f t="shared" si="17"/>
        <v>7.5972366780414392E-3</v>
      </c>
      <c r="J32" s="11">
        <f t="shared" si="17"/>
        <v>4.9182594366641311E-2</v>
      </c>
      <c r="K32" s="11">
        <f t="shared" si="17"/>
        <v>0.18511394623065722</v>
      </c>
      <c r="L32" s="11">
        <f t="shared" si="17"/>
        <v>0.11598038953900519</v>
      </c>
      <c r="M32" s="11">
        <f t="shared" si="17"/>
        <v>0.2235122799656917</v>
      </c>
      <c r="N32" s="6"/>
      <c r="O32" s="11">
        <f t="shared" si="9"/>
        <v>1.6808941166699634</v>
      </c>
      <c r="P32" s="11">
        <f t="shared" si="9"/>
        <v>1.9791669422996481</v>
      </c>
      <c r="Q32" s="11">
        <f t="shared" si="9"/>
        <v>0.11266715547277348</v>
      </c>
      <c r="R32" s="11">
        <f t="shared" si="9"/>
        <v>8.4958206176105874E-2</v>
      </c>
      <c r="S32" s="11">
        <f t="shared" si="9"/>
        <v>0.24924165425041131</v>
      </c>
      <c r="T32" s="11">
        <f t="shared" ref="T32:V32" si="18">IF(T9="","",(T9/$O$23))</f>
        <v>0.48506991342060046</v>
      </c>
      <c r="U32" s="11">
        <f t="shared" si="18"/>
        <v>1.3622857230717034</v>
      </c>
      <c r="V32" s="11">
        <f t="shared" si="18"/>
        <v>0.53483575590605326</v>
      </c>
    </row>
    <row r="33" spans="1:22" x14ac:dyDescent="0.3">
      <c r="A33" s="226"/>
      <c r="B33" s="11">
        <f t="shared" ref="B33:M33" si="19">IF(B10="","",(B10/$O$23))</f>
        <v>6.2989630918355133E-2</v>
      </c>
      <c r="C33" s="11">
        <f t="shared" si="19"/>
        <v>1.5956980641845368E-2</v>
      </c>
      <c r="D33" s="11">
        <f t="shared" si="19"/>
        <v>1.874373199213349E-2</v>
      </c>
      <c r="E33" s="11">
        <f t="shared" si="19"/>
        <v>0.66333703390868859</v>
      </c>
      <c r="F33" s="11">
        <f t="shared" si="19"/>
        <v>0.51077713535298142</v>
      </c>
      <c r="G33" s="11">
        <f t="shared" si="19"/>
        <v>1.5282238935700432</v>
      </c>
      <c r="H33" s="11">
        <f t="shared" si="19"/>
        <v>2.8500433899637296</v>
      </c>
      <c r="I33" s="11">
        <f t="shared" si="19"/>
        <v>0.13968267784557678</v>
      </c>
      <c r="J33" s="11">
        <f t="shared" si="19"/>
        <v>0.11590460517574135</v>
      </c>
      <c r="K33" s="11">
        <f t="shared" si="19"/>
        <v>0.11315261261514252</v>
      </c>
      <c r="L33" s="11">
        <f t="shared" si="19"/>
        <v>0.30779585956958916</v>
      </c>
      <c r="M33" s="11">
        <f t="shared" si="19"/>
        <v>0.12471205983944252</v>
      </c>
      <c r="N33" s="6"/>
      <c r="O33" s="11">
        <f t="shared" si="9"/>
        <v>0.8662772112489262</v>
      </c>
      <c r="P33" s="11">
        <f t="shared" si="9"/>
        <v>2.3271613057101086</v>
      </c>
      <c r="Q33" s="11">
        <f t="shared" si="9"/>
        <v>1.38765541310924E-2</v>
      </c>
      <c r="R33" s="11">
        <f t="shared" si="9"/>
        <v>1.2067721289577875</v>
      </c>
      <c r="S33" s="11">
        <f t="shared" si="9"/>
        <v>0.13930120559395534</v>
      </c>
      <c r="T33" s="11">
        <f t="shared" ref="T33:V33" si="20">IF(T10="","",(T10/$O$23))</f>
        <v>3.8429959132781126E-2</v>
      </c>
      <c r="U33" s="11">
        <f t="shared" si="20"/>
        <v>1.2051330006238863</v>
      </c>
      <c r="V33" s="11">
        <f t="shared" si="20"/>
        <v>0.85322335467672694</v>
      </c>
    </row>
    <row r="34" spans="1:22" x14ac:dyDescent="0.3">
      <c r="A34" s="226"/>
      <c r="B34" s="11">
        <f t="shared" ref="B34:M34" si="21">IF(B11="","",(B11/$O$23))</f>
        <v>2.4774054090114645E-2</v>
      </c>
      <c r="C34" s="11">
        <f t="shared" si="21"/>
        <v>2.5480160320909613E-2</v>
      </c>
      <c r="D34" s="11">
        <f t="shared" si="21"/>
        <v>0.21482768341397404</v>
      </c>
      <c r="E34" s="11">
        <f t="shared" si="21"/>
        <v>2.5987769815617325E-2</v>
      </c>
      <c r="F34" s="11">
        <f t="shared" si="21"/>
        <v>0.91951368609354323</v>
      </c>
      <c r="G34" s="11">
        <f t="shared" si="21"/>
        <v>1.465858463474494</v>
      </c>
      <c r="H34" s="11">
        <f t="shared" si="21"/>
        <v>3.0626201320496071</v>
      </c>
      <c r="I34" s="11">
        <f t="shared" si="21"/>
        <v>0.12313589082271444</v>
      </c>
      <c r="J34" s="11">
        <f t="shared" si="21"/>
        <v>1.5515682464993533E-2</v>
      </c>
      <c r="K34" s="11">
        <f t="shared" si="21"/>
        <v>8.2010777401782378E-2</v>
      </c>
      <c r="L34" s="11">
        <f t="shared" si="21"/>
        <v>3.4253220542821802E-2</v>
      </c>
      <c r="M34" s="11">
        <f t="shared" si="21"/>
        <v>0.23390872869221174</v>
      </c>
      <c r="N34" s="6"/>
      <c r="O34" s="11">
        <f t="shared" si="9"/>
        <v>0.36922841330119227</v>
      </c>
      <c r="P34" s="11">
        <f t="shared" si="9"/>
        <v>2.37508602538573</v>
      </c>
      <c r="Q34" s="11">
        <f t="shared" si="9"/>
        <v>0.17865478665401474</v>
      </c>
      <c r="R34" s="11">
        <f t="shared" si="9"/>
        <v>1.5564436586229413</v>
      </c>
      <c r="S34" s="11" t="str">
        <f t="shared" si="9"/>
        <v/>
      </c>
      <c r="T34" s="11">
        <f t="shared" ref="T34:V34" si="22">IF(T11="","",(T11/$O$23))</f>
        <v>1.359473831716294</v>
      </c>
      <c r="U34" s="11">
        <f t="shared" si="22"/>
        <v>0.44857223694230747</v>
      </c>
      <c r="V34" s="11">
        <f t="shared" si="22"/>
        <v>0.71552848610564512</v>
      </c>
    </row>
    <row r="35" spans="1:22" x14ac:dyDescent="0.3">
      <c r="A35" s="226"/>
      <c r="B35" s="11">
        <f t="shared" ref="B35:M35" si="23">IF(B12="","",(B12/$O$23))</f>
        <v>1.2171041609755334E-2</v>
      </c>
      <c r="C35" s="11">
        <f t="shared" si="23"/>
        <v>8.3820420553027183E-3</v>
      </c>
      <c r="D35" s="11">
        <f t="shared" si="23"/>
        <v>6.0776144554410046E-3</v>
      </c>
      <c r="E35" s="11">
        <f t="shared" si="23"/>
        <v>0.1439066359234159</v>
      </c>
      <c r="F35" s="11">
        <f t="shared" si="23"/>
        <v>0.36516185351628577</v>
      </c>
      <c r="G35" s="11">
        <f t="shared" si="23"/>
        <v>1.0885065493880568</v>
      </c>
      <c r="H35" s="11">
        <f t="shared" si="23"/>
        <v>1.7337429253486536</v>
      </c>
      <c r="I35" s="11">
        <f t="shared" si="23"/>
        <v>7.3713992755151489E-2</v>
      </c>
      <c r="J35" s="11">
        <f t="shared" si="23"/>
        <v>3.2286033359484247E-2</v>
      </c>
      <c r="K35" s="11">
        <f t="shared" si="23"/>
        <v>2.0562629580046093E-2</v>
      </c>
      <c r="L35" s="11">
        <f t="shared" si="23"/>
        <v>9.4935363338952652E-2</v>
      </c>
      <c r="M35" s="11">
        <f t="shared" si="23"/>
        <v>0.32268122016705153</v>
      </c>
      <c r="N35" s="6"/>
      <c r="O35" s="11">
        <f t="shared" si="9"/>
        <v>0.5289187460050675</v>
      </c>
      <c r="P35" s="11">
        <f t="shared" si="9"/>
        <v>1.3912303947070523</v>
      </c>
      <c r="Q35" s="11">
        <f t="shared" si="9"/>
        <v>2.4379975401142593E-2</v>
      </c>
      <c r="R35" s="11">
        <f t="shared" si="9"/>
        <v>0.63559019243038894</v>
      </c>
      <c r="S35" s="11">
        <f t="shared" si="9"/>
        <v>0.99900244732940047</v>
      </c>
      <c r="T35" s="11">
        <f t="shared" ref="T35:V35" si="24">IF(T12="","",(T12/$O$23))</f>
        <v>1.3068993041369548</v>
      </c>
      <c r="U35" s="11">
        <f t="shared" si="24"/>
        <v>1.7018224058027576</v>
      </c>
      <c r="V35" s="11">
        <f t="shared" si="24"/>
        <v>1.3489196932185212</v>
      </c>
    </row>
    <row r="36" spans="1:22" x14ac:dyDescent="0.3">
      <c r="A36" s="226"/>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1.0201576523345059</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3">
      <c r="A37" s="226"/>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0.29447734068260695</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3">
      <c r="A38" s="226"/>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0.79862829938144508</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3">
      <c r="A39" s="226"/>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1.268955093624863</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3">
      <c r="A40" s="226"/>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0.48540103279239943</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3">
      <c r="A41" s="226"/>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f t="shared" ref="O41:V41" si="36">IF(O18="","",(O18/$O$23))</f>
        <v>1.1541048384030301</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3">
      <c r="A42" s="226"/>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1.5121283149869209</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3">
      <c r="A43" s="226"/>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1.7453306459700175</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Tamoxifen-30,2µg/L</v>
      </c>
      <c r="J45" s="7" t="str">
        <f t="shared" si="41"/>
        <v>Tamoxifen-60,4µg/L</v>
      </c>
      <c r="K45" s="7" t="str">
        <f t="shared" ref="K45:M45" si="42">K4</f>
        <v>Tamoxifen-121µg/L</v>
      </c>
      <c r="L45" s="7" t="str">
        <f t="shared" si="42"/>
        <v>Tamoxifen-242µg/L</v>
      </c>
      <c r="M45" s="7" t="str">
        <f t="shared" si="42"/>
        <v>Tamoxifen-483µg/L</v>
      </c>
      <c r="N45" s="7"/>
      <c r="O45" s="7" t="str">
        <f t="shared" si="41"/>
        <v>Testo -30µg/L</v>
      </c>
      <c r="P45" s="7" t="str">
        <f t="shared" si="41"/>
        <v>Testo 30µg/L + EE2 -64ng/L</v>
      </c>
      <c r="Q45" s="7" t="str">
        <f t="shared" si="41"/>
        <v>Testo 30µg/L + FAD-10µg/L</v>
      </c>
      <c r="R45" s="7" t="str">
        <f t="shared" si="41"/>
        <v>Tamoxifen-30.2µg/L + Testostérone</v>
      </c>
      <c r="S45" s="7" t="str">
        <f t="shared" ref="S45:V45" si="43">S4</f>
        <v>Tamoxifen-60.4µg/L + Testostérone</v>
      </c>
      <c r="T45" s="7" t="str">
        <f t="shared" si="43"/>
        <v>Tamoxifen-121µg/L + Testostérone</v>
      </c>
      <c r="U45" s="7" t="str">
        <f t="shared" si="43"/>
        <v>Tamoxifen-242µg/L + Testostérone</v>
      </c>
      <c r="V45" s="7" t="str">
        <f t="shared" si="43"/>
        <v>Tamoxifen-483µg/L + Testostérone</v>
      </c>
    </row>
    <row r="46" spans="1:22" x14ac:dyDescent="0.3">
      <c r="A46" s="8" t="s">
        <v>0</v>
      </c>
      <c r="B46" s="10">
        <f t="shared" ref="B46:H46" si="44">AVERAGE(B28:B43)</f>
        <v>4.2673418931984168E-2</v>
      </c>
      <c r="C46" s="10">
        <f t="shared" si="44"/>
        <v>4.2529547054850445E-2</v>
      </c>
      <c r="D46" s="10">
        <f t="shared" si="44"/>
        <v>5.7665005159781103E-2</v>
      </c>
      <c r="E46" s="10">
        <f t="shared" si="44"/>
        <v>0.24269020535062102</v>
      </c>
      <c r="F46" s="10">
        <f t="shared" si="44"/>
        <v>0.72149844486524284</v>
      </c>
      <c r="G46" s="10">
        <f t="shared" si="44"/>
        <v>1.3484071832445543</v>
      </c>
      <c r="H46" s="10">
        <f t="shared" si="44"/>
        <v>2.3868638809588694</v>
      </c>
      <c r="I46" s="10">
        <f>AVERAGE(I28:I43)</f>
        <v>6.0115600028548474E-2</v>
      </c>
      <c r="J46" s="9">
        <f>AVERAGE(J28:J43)</f>
        <v>7.7303985486456422E-2</v>
      </c>
      <c r="K46" s="9">
        <f t="shared" ref="K46:M46" si="45">AVERAGE(K28:K43)</f>
        <v>7.8172864141713552E-2</v>
      </c>
      <c r="L46" s="9">
        <f t="shared" si="45"/>
        <v>0.10974382831205527</v>
      </c>
      <c r="M46" s="9">
        <f t="shared" si="45"/>
        <v>0.31793815741825004</v>
      </c>
      <c r="N46" s="8" t="s">
        <v>0</v>
      </c>
      <c r="O46" s="10">
        <f t="shared" ref="O46:R46" si="46">AVERAGE(O28:O43)</f>
        <v>0.99999999999999989</v>
      </c>
      <c r="P46" s="10">
        <f t="shared" si="46"/>
        <v>1.6550990504588183</v>
      </c>
      <c r="Q46" s="10">
        <f t="shared" si="46"/>
        <v>8.4213497285273387E-2</v>
      </c>
      <c r="R46" s="10">
        <f t="shared" si="46"/>
        <v>1.0123751265317633</v>
      </c>
      <c r="S46" s="10">
        <f t="shared" ref="S46:V46" si="47">AVERAGE(S28:S43)</f>
        <v>0.46077995277071376</v>
      </c>
      <c r="T46" s="10">
        <f t="shared" si="47"/>
        <v>0.77574676848119761</v>
      </c>
      <c r="U46" s="10">
        <f t="shared" si="47"/>
        <v>0.86632209891024392</v>
      </c>
      <c r="V46" s="10">
        <f t="shared" si="47"/>
        <v>0.97853472126868701</v>
      </c>
    </row>
    <row r="47" spans="1:22" x14ac:dyDescent="0.3">
      <c r="A47" s="8" t="s">
        <v>1</v>
      </c>
      <c r="B47" s="8">
        <f t="shared" ref="B47:J47" si="48">STDEV(B28:B43)</f>
        <v>2.5197574378478353E-2</v>
      </c>
      <c r="C47" s="8">
        <f t="shared" si="48"/>
        <v>4.9571280681864234E-2</v>
      </c>
      <c r="D47" s="8">
        <f t="shared" si="48"/>
        <v>6.8400880885542026E-2</v>
      </c>
      <c r="E47" s="8">
        <f t="shared" si="48"/>
        <v>0.2100463976680981</v>
      </c>
      <c r="F47" s="8">
        <f t="shared" si="48"/>
        <v>0.33444263249370076</v>
      </c>
      <c r="G47" s="8">
        <f t="shared" si="48"/>
        <v>0.37129151627616086</v>
      </c>
      <c r="H47" s="8">
        <f t="shared" si="48"/>
        <v>0.7223973896536553</v>
      </c>
      <c r="I47" s="8">
        <f t="shared" si="48"/>
        <v>4.8766542555073671E-2</v>
      </c>
      <c r="J47" s="8">
        <f t="shared" si="48"/>
        <v>8.4604435630903599E-2</v>
      </c>
      <c r="K47" s="8">
        <f t="shared" ref="K47:M47" si="49">STDEV(K28:K43)</f>
        <v>5.2670748876520151E-2</v>
      </c>
      <c r="L47" s="8">
        <f t="shared" si="49"/>
        <v>9.1179579236397204E-2</v>
      </c>
      <c r="M47" s="8">
        <f t="shared" si="49"/>
        <v>0.20729648130094533</v>
      </c>
      <c r="N47" s="8" t="s">
        <v>1</v>
      </c>
      <c r="O47" s="8">
        <f t="shared" ref="O47:R47" si="50">STDEV(O28:O43)</f>
        <v>0.45468738985949531</v>
      </c>
      <c r="P47" s="8">
        <f t="shared" si="50"/>
        <v>0.62231225707826754</v>
      </c>
      <c r="Q47" s="8">
        <f t="shared" si="50"/>
        <v>7.0182752536816134E-2</v>
      </c>
      <c r="R47" s="8">
        <f t="shared" si="50"/>
        <v>0.49198320181108079</v>
      </c>
      <c r="S47" s="8">
        <f t="shared" ref="S47:V47" si="51">STDEV(S28:S43)</f>
        <v>0.40328920954650505</v>
      </c>
      <c r="T47" s="8">
        <f t="shared" si="51"/>
        <v>0.48430709162629515</v>
      </c>
      <c r="U47" s="8">
        <f t="shared" si="51"/>
        <v>0.49539008726827155</v>
      </c>
      <c r="V47" s="8">
        <f t="shared" si="51"/>
        <v>0.32775210657940002</v>
      </c>
    </row>
    <row r="48" spans="1:22" x14ac:dyDescent="0.3">
      <c r="A48" s="8" t="s">
        <v>2</v>
      </c>
      <c r="B48" s="8">
        <f t="shared" ref="B48:J48" si="52" xml:space="preserve"> B47/SQRT(COUNT(B28:B43))</f>
        <v>8.9086878562372237E-3</v>
      </c>
      <c r="C48" s="8">
        <f t="shared" si="52"/>
        <v>1.7526094361123949E-2</v>
      </c>
      <c r="D48" s="8">
        <f t="shared" si="52"/>
        <v>2.4183363356650032E-2</v>
      </c>
      <c r="E48" s="8">
        <f t="shared" si="52"/>
        <v>7.4262616077459195E-2</v>
      </c>
      <c r="F48" s="8">
        <f t="shared" si="52"/>
        <v>0.11824332667708809</v>
      </c>
      <c r="G48" s="8">
        <f t="shared" si="52"/>
        <v>0.13127137447795437</v>
      </c>
      <c r="H48" s="8">
        <f t="shared" si="52"/>
        <v>0.25540604646778015</v>
      </c>
      <c r="I48" s="8">
        <f t="shared" si="52"/>
        <v>1.7241576467857466E-2</v>
      </c>
      <c r="J48" s="8">
        <f t="shared" si="52"/>
        <v>2.9912185076536348E-2</v>
      </c>
      <c r="K48" s="8">
        <f t="shared" ref="K48:M48" si="53" xml:space="preserve"> K47/SQRT(COUNT(K28:K43))</f>
        <v>1.8621921850380564E-2</v>
      </c>
      <c r="L48" s="8">
        <f t="shared" si="53"/>
        <v>3.2236849391896291E-2</v>
      </c>
      <c r="M48" s="8">
        <f t="shared" si="53"/>
        <v>7.3290373822004387E-2</v>
      </c>
      <c r="N48" s="8" t="s">
        <v>2</v>
      </c>
      <c r="O48" s="8">
        <f t="shared" ref="O48:R48" si="54" xml:space="preserve"> O47/SQRT(COUNT(O28:O43))</f>
        <v>0.11367184746487383</v>
      </c>
      <c r="P48" s="8">
        <f t="shared" si="54"/>
        <v>0.22002060849777449</v>
      </c>
      <c r="Q48" s="8">
        <f t="shared" si="54"/>
        <v>2.4813350120560029E-2</v>
      </c>
      <c r="R48" s="8">
        <f t="shared" si="54"/>
        <v>0.17394232911524246</v>
      </c>
      <c r="S48" s="8">
        <f t="shared" ref="S48:V48" si="55" xml:space="preserve"> S47/SQRT(COUNT(S28:S43))</f>
        <v>0.15242899355655259</v>
      </c>
      <c r="T48" s="8">
        <f t="shared" si="55"/>
        <v>0.17122841433284394</v>
      </c>
      <c r="U48" s="8">
        <f t="shared" si="55"/>
        <v>0.17514684501999517</v>
      </c>
      <c r="V48" s="8">
        <f t="shared" si="55"/>
        <v>0.11587786855523489</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7" t="s">
        <v>44</v>
      </c>
      <c r="B50" s="218"/>
      <c r="C50" s="218"/>
      <c r="D50" s="218"/>
      <c r="E50" s="218"/>
      <c r="F50" s="218"/>
      <c r="G50" s="218"/>
      <c r="H50" s="218"/>
      <c r="I50" s="218"/>
      <c r="J50" s="218"/>
      <c r="K50" s="218"/>
      <c r="L50" s="218"/>
      <c r="M50" s="218"/>
      <c r="N50" s="218"/>
      <c r="O50" s="218"/>
      <c r="P50" s="218"/>
      <c r="Q50" s="218"/>
      <c r="R50" s="218"/>
      <c r="S50" s="218"/>
      <c r="T50" s="218"/>
      <c r="U50" s="218"/>
      <c r="V50" s="218"/>
    </row>
    <row r="51" spans="1:22" customFormat="1" ht="15" thickBot="1" x14ac:dyDescent="0.35"/>
    <row r="52" spans="1:22" x14ac:dyDescent="0.3">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Tamoxifen-30,2µg/L</v>
      </c>
      <c r="J52" s="46" t="str">
        <f>J4</f>
        <v>Tamoxifen-60,4µg/L</v>
      </c>
      <c r="K52" s="46" t="str">
        <f t="shared" ref="K52:M52" si="57">K4</f>
        <v>Tamoxifen-121µg/L</v>
      </c>
      <c r="L52" s="46" t="str">
        <f t="shared" si="57"/>
        <v>Tamoxifen-242µg/L</v>
      </c>
      <c r="M52" s="46" t="str">
        <f t="shared" si="57"/>
        <v>Tamoxifen-483µg/L</v>
      </c>
      <c r="N52" s="47"/>
      <c r="O52" s="46" t="str">
        <f>O27</f>
        <v>Testo -30µg/L</v>
      </c>
      <c r="P52" s="46" t="str">
        <f>P27</f>
        <v>Testo 30µg/L + EE2 -64ng/L</v>
      </c>
      <c r="Q52" s="46" t="str">
        <f>Q27</f>
        <v>Testo 30µg/L + FAD-10µg/L</v>
      </c>
      <c r="R52" s="46" t="str">
        <f>R27</f>
        <v>Tamoxifen-30.2µg/L + Testostérone</v>
      </c>
      <c r="S52" s="46" t="str">
        <f t="shared" ref="S52:V52" si="58">S27</f>
        <v>Tamoxifen-60.4µg/L + Testostérone</v>
      </c>
      <c r="T52" s="46" t="str">
        <f t="shared" si="58"/>
        <v>Tamoxifen-121µg/L + Testostérone</v>
      </c>
      <c r="U52" s="46" t="str">
        <f t="shared" si="58"/>
        <v>Tamoxifen-242µg/L + Testostérone</v>
      </c>
      <c r="V52" s="46" t="str">
        <f t="shared" si="58"/>
        <v>Tamoxifen-483µg/L + Testostérone</v>
      </c>
    </row>
    <row r="53" spans="1:22" s="3" customFormat="1" x14ac:dyDescent="0.3">
      <c r="A53" s="61" t="s">
        <v>32</v>
      </c>
      <c r="B53" s="141">
        <f t="shared" ref="B53" si="59">B46</f>
        <v>4.2673418931984168E-2</v>
      </c>
      <c r="C53" s="141">
        <f t="shared" ref="C53:V53" si="60">C46</f>
        <v>4.2529547054850445E-2</v>
      </c>
      <c r="D53" s="141">
        <f t="shared" si="60"/>
        <v>5.7665005159781103E-2</v>
      </c>
      <c r="E53" s="141">
        <f t="shared" si="60"/>
        <v>0.24269020535062102</v>
      </c>
      <c r="F53" s="141">
        <f t="shared" si="60"/>
        <v>0.72149844486524284</v>
      </c>
      <c r="G53" s="141">
        <f t="shared" si="60"/>
        <v>1.3484071832445543</v>
      </c>
      <c r="H53" s="141">
        <f t="shared" si="60"/>
        <v>2.3868638809588694</v>
      </c>
      <c r="I53" s="141">
        <f t="shared" si="60"/>
        <v>6.0115600028548474E-2</v>
      </c>
      <c r="J53" s="141">
        <f t="shared" si="60"/>
        <v>7.7303985486456422E-2</v>
      </c>
      <c r="K53" s="141">
        <f t="shared" si="60"/>
        <v>7.8172864141713552E-2</v>
      </c>
      <c r="L53" s="141">
        <f t="shared" si="60"/>
        <v>0.10974382831205527</v>
      </c>
      <c r="M53" s="141">
        <f t="shared" si="60"/>
        <v>0.31793815741825004</v>
      </c>
      <c r="N53" s="141"/>
      <c r="O53" s="141">
        <f t="shared" si="60"/>
        <v>0.99999999999999989</v>
      </c>
      <c r="P53" s="141">
        <f t="shared" si="60"/>
        <v>1.6550990504588183</v>
      </c>
      <c r="Q53" s="141">
        <f t="shared" si="60"/>
        <v>8.4213497285273387E-2</v>
      </c>
      <c r="R53" s="141">
        <f t="shared" si="60"/>
        <v>1.0123751265317633</v>
      </c>
      <c r="S53" s="141">
        <f t="shared" si="60"/>
        <v>0.46077995277071376</v>
      </c>
      <c r="T53" s="141">
        <f t="shared" si="60"/>
        <v>0.77574676848119761</v>
      </c>
      <c r="U53" s="141">
        <f t="shared" si="60"/>
        <v>0.86632209891024392</v>
      </c>
      <c r="V53" s="141">
        <f t="shared" si="60"/>
        <v>0.97853472126868701</v>
      </c>
    </row>
    <row r="54" spans="1:22" s="3" customFormat="1" x14ac:dyDescent="0.3">
      <c r="A54" s="61" t="s">
        <v>2</v>
      </c>
      <c r="B54" s="141">
        <f t="shared" ref="B54" si="61">B48</f>
        <v>8.9086878562372237E-3</v>
      </c>
      <c r="C54" s="141">
        <f t="shared" ref="C54:V54" si="62">C48</f>
        <v>1.7526094361123949E-2</v>
      </c>
      <c r="D54" s="141">
        <f t="shared" si="62"/>
        <v>2.4183363356650032E-2</v>
      </c>
      <c r="E54" s="141">
        <f t="shared" si="62"/>
        <v>7.4262616077459195E-2</v>
      </c>
      <c r="F54" s="141">
        <f t="shared" si="62"/>
        <v>0.11824332667708809</v>
      </c>
      <c r="G54" s="141">
        <f t="shared" si="62"/>
        <v>0.13127137447795437</v>
      </c>
      <c r="H54" s="141">
        <f t="shared" si="62"/>
        <v>0.25540604646778015</v>
      </c>
      <c r="I54" s="141">
        <f t="shared" si="62"/>
        <v>1.7241576467857466E-2</v>
      </c>
      <c r="J54" s="141">
        <f t="shared" si="62"/>
        <v>2.9912185076536348E-2</v>
      </c>
      <c r="K54" s="141">
        <f t="shared" si="62"/>
        <v>1.8621921850380564E-2</v>
      </c>
      <c r="L54" s="141">
        <f t="shared" si="62"/>
        <v>3.2236849391896291E-2</v>
      </c>
      <c r="M54" s="141">
        <f t="shared" si="62"/>
        <v>7.3290373822004387E-2</v>
      </c>
      <c r="N54" s="141"/>
      <c r="O54" s="141">
        <f t="shared" si="62"/>
        <v>0.11367184746487383</v>
      </c>
      <c r="P54" s="141">
        <f t="shared" si="62"/>
        <v>0.22002060849777449</v>
      </c>
      <c r="Q54" s="141">
        <f t="shared" si="62"/>
        <v>2.4813350120560029E-2</v>
      </c>
      <c r="R54" s="141">
        <f t="shared" si="62"/>
        <v>0.17394232911524246</v>
      </c>
      <c r="S54" s="141">
        <f t="shared" si="62"/>
        <v>0.15242899355655259</v>
      </c>
      <c r="T54" s="141">
        <f t="shared" si="62"/>
        <v>0.17122841433284394</v>
      </c>
      <c r="U54" s="141">
        <f t="shared" si="62"/>
        <v>0.17514684501999517</v>
      </c>
      <c r="V54" s="141">
        <f t="shared" si="62"/>
        <v>0.11587786855523489</v>
      </c>
    </row>
    <row r="55" spans="1:22" s="3" customFormat="1" x14ac:dyDescent="0.3">
      <c r="A55" s="61" t="s">
        <v>79</v>
      </c>
      <c r="B55" s="141">
        <f>(B53*100/$B53)-100</f>
        <v>0</v>
      </c>
      <c r="C55" s="141">
        <f t="shared" ref="C55:M55" si="63">(C53*100/$B53)-100</f>
        <v>-0.33714635652474101</v>
      </c>
      <c r="D55" s="141">
        <f t="shared" si="63"/>
        <v>35.130970526855521</v>
      </c>
      <c r="E55" s="141">
        <f t="shared" si="63"/>
        <v>468.71516607899969</v>
      </c>
      <c r="F55" s="141">
        <f t="shared" si="63"/>
        <v>1590.7444093364461</v>
      </c>
      <c r="G55" s="141">
        <f t="shared" si="63"/>
        <v>3059.8292730979406</v>
      </c>
      <c r="H55" s="141">
        <f t="shared" si="63"/>
        <v>5493.3270422114929</v>
      </c>
      <c r="I55" s="141">
        <f t="shared" si="63"/>
        <v>40.873643436830918</v>
      </c>
      <c r="J55" s="141">
        <f t="shared" si="63"/>
        <v>81.152547466770443</v>
      </c>
      <c r="K55" s="141">
        <f t="shared" si="63"/>
        <v>83.188659587624898</v>
      </c>
      <c r="L55" s="141">
        <f t="shared" si="63"/>
        <v>157.1713986333566</v>
      </c>
      <c r="M55" s="141">
        <f t="shared" si="63"/>
        <v>645.04964770927245</v>
      </c>
      <c r="N55" s="141"/>
      <c r="O55" s="141">
        <f>(O53*100/$O53)-100</f>
        <v>0</v>
      </c>
      <c r="P55" s="141">
        <f t="shared" ref="P55:V55" si="64">(P53*100/$O53)-100</f>
        <v>65.509905045881851</v>
      </c>
      <c r="Q55" s="141">
        <f t="shared" si="64"/>
        <v>-91.578650271472654</v>
      </c>
      <c r="R55" s="141">
        <f t="shared" si="64"/>
        <v>1.2375126531763527</v>
      </c>
      <c r="S55" s="141">
        <f t="shared" si="64"/>
        <v>-53.922004722928619</v>
      </c>
      <c r="T55" s="141">
        <f t="shared" si="64"/>
        <v>-22.425323151880221</v>
      </c>
      <c r="U55" s="141">
        <f t="shared" si="64"/>
        <v>-13.367790108975598</v>
      </c>
      <c r="V55" s="141">
        <f t="shared" si="64"/>
        <v>-2.1465278731312907</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65">IF(C56&gt;0.05,"Oui","Non")</f>
        <v>#NAME?</v>
      </c>
      <c r="D57" s="141" t="e">
        <f t="shared" ca="1" si="65"/>
        <v>#NAME?</v>
      </c>
      <c r="E57" s="141" t="e">
        <f t="shared" ca="1" si="65"/>
        <v>#NAME?</v>
      </c>
      <c r="F57" s="141" t="e">
        <f t="shared" ca="1" si="65"/>
        <v>#NAME?</v>
      </c>
      <c r="G57" s="141" t="e">
        <f t="shared" ca="1" si="65"/>
        <v>#NAME?</v>
      </c>
      <c r="H57" s="141" t="e">
        <f t="shared" ca="1" si="65"/>
        <v>#NAME?</v>
      </c>
      <c r="I57" s="141" t="e">
        <f t="shared" ca="1" si="65"/>
        <v>#NAME?</v>
      </c>
      <c r="J57" s="141" t="e">
        <f t="shared" ca="1" si="65"/>
        <v>#NAME?</v>
      </c>
      <c r="K57" s="141" t="e">
        <f t="shared" ca="1" si="65"/>
        <v>#NAME?</v>
      </c>
      <c r="L57" s="141" t="e">
        <f t="shared" ca="1" si="65"/>
        <v>#NAME?</v>
      </c>
      <c r="M57" s="141" t="e">
        <f t="shared" ca="1" si="65"/>
        <v>#NAME?</v>
      </c>
      <c r="N57" s="141"/>
      <c r="O57" s="141" t="e">
        <f t="shared" ca="1" si="65"/>
        <v>#NAME?</v>
      </c>
      <c r="P57" s="141" t="e">
        <f t="shared" ca="1" si="65"/>
        <v>#NAME?</v>
      </c>
      <c r="Q57" s="141" t="e">
        <f t="shared" ca="1" si="65"/>
        <v>#NAME?</v>
      </c>
      <c r="R57" s="141" t="e">
        <f t="shared" ca="1" si="65"/>
        <v>#NAME?</v>
      </c>
      <c r="S57" s="141" t="e">
        <f t="shared" ca="1" si="65"/>
        <v>#NAME?</v>
      </c>
      <c r="T57" s="141" t="e">
        <f t="shared" ca="1" si="65"/>
        <v>#NAME?</v>
      </c>
      <c r="U57" s="141" t="e">
        <f t="shared" ca="1" si="65"/>
        <v>#NAME?</v>
      </c>
      <c r="V57" s="141" t="e">
        <f t="shared" ca="1" si="65"/>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s">
        <v>3074</v>
      </c>
      <c r="D59" s="150" t="s">
        <v>3074</v>
      </c>
      <c r="E59" s="150" t="s">
        <v>3074</v>
      </c>
      <c r="F59" s="150" t="s">
        <v>3074</v>
      </c>
      <c r="G59" s="150" t="s">
        <v>3074</v>
      </c>
      <c r="H59" s="150" t="s">
        <v>3074</v>
      </c>
      <c r="I59" s="150" t="s">
        <v>3074</v>
      </c>
      <c r="J59" s="150" t="s">
        <v>3074</v>
      </c>
      <c r="K59" s="150" t="s">
        <v>3074</v>
      </c>
      <c r="L59" s="150" t="s">
        <v>3074</v>
      </c>
      <c r="M59" s="150" t="s">
        <v>3074</v>
      </c>
      <c r="N59" s="150"/>
      <c r="O59" s="150" t="e">
        <f t="shared" ref="O59" ca="1" si="66">IF($B57="Non",IF(O57="Non","MW",IF(O57="Oui","MW","")),IF($B57="Oui",IF(O57="Oui","T-Test Welch",IF(O57="Non","MW",""))))</f>
        <v>#NAME?</v>
      </c>
      <c r="P59" s="150" t="e">
        <f ca="1">IF($O57="Non",IF(P57="Non","MW",IF(P57="Oui","MW","")),IF($O57="Oui",IF(P57="Oui","T-Test Welch",IF(P57="Non","MW",""))))</f>
        <v>#NAME?</v>
      </c>
      <c r="Q59" s="150" t="e">
        <f t="shared" ref="Q59" ca="1" si="67">IF($O57="Non",IF(Q57="Non","MW",IF(Q57="Oui","MW","")),IF($O57="Oui",IF(Q57="Oui","T-Test Welch",IF(Q57="Non","MW",""))))</f>
        <v>#NAME?</v>
      </c>
      <c r="R59" s="150" t="s">
        <v>1704</v>
      </c>
      <c r="S59" s="150" t="s">
        <v>1704</v>
      </c>
      <c r="T59" s="150" t="s">
        <v>1704</v>
      </c>
      <c r="U59" s="150" t="s">
        <v>1704</v>
      </c>
      <c r="V59" s="150" t="s">
        <v>1704</v>
      </c>
    </row>
    <row r="60" spans="1:22" s="3" customFormat="1" ht="15.6" x14ac:dyDescent="0.3">
      <c r="A60" s="61" t="s">
        <v>83</v>
      </c>
      <c r="B60" s="151"/>
      <c r="C60" s="196">
        <v>0.99990000000000001</v>
      </c>
      <c r="D60" s="196">
        <v>0.99990000000000001</v>
      </c>
      <c r="E60" s="196">
        <v>0.77480000000000004</v>
      </c>
      <c r="F60" s="196">
        <v>0.04</v>
      </c>
      <c r="G60" s="196">
        <v>1.4E-3</v>
      </c>
      <c r="H60" s="196">
        <v>1E-4</v>
      </c>
      <c r="I60" s="196">
        <v>0.99990000000000001</v>
      </c>
      <c r="J60" s="196">
        <v>0.99990000000000001</v>
      </c>
      <c r="K60" s="196">
        <v>0.99990000000000001</v>
      </c>
      <c r="L60" s="196">
        <v>0.37069999999999997</v>
      </c>
      <c r="M60" s="196">
        <v>8.9999999999999998E-4</v>
      </c>
      <c r="N60" s="151"/>
      <c r="O60" s="196">
        <v>1E-4</v>
      </c>
      <c r="P60" s="196">
        <v>2.3E-2</v>
      </c>
      <c r="Q60" s="196">
        <v>1E-4</v>
      </c>
      <c r="R60" s="196">
        <v>0.99990000000000001</v>
      </c>
      <c r="S60" s="196">
        <v>4.4299999999999999E-2</v>
      </c>
      <c r="T60" s="196">
        <v>0.66920000000000002</v>
      </c>
      <c r="U60" s="196">
        <v>0.93610000000000004</v>
      </c>
      <c r="V60" s="196">
        <v>0.99990000000000001</v>
      </c>
    </row>
    <row r="61" spans="1:22" s="3" customFormat="1" ht="15" thickBot="1" x14ac:dyDescent="0.35">
      <c r="A61" s="62" t="s">
        <v>84</v>
      </c>
      <c r="B61" s="142"/>
      <c r="C61" s="142" t="str">
        <f t="shared" ref="C61:O61" si="68">IF(C60&gt;0.05,"NS",IF(C60&gt;0.01,"*",IF(C60&gt;0.001,"**","***")))</f>
        <v>NS</v>
      </c>
      <c r="D61" s="142" t="str">
        <f t="shared" si="68"/>
        <v>NS</v>
      </c>
      <c r="E61" s="142" t="str">
        <f t="shared" si="68"/>
        <v>NS</v>
      </c>
      <c r="F61" s="142" t="str">
        <f t="shared" si="68"/>
        <v>*</v>
      </c>
      <c r="G61" s="142" t="str">
        <f t="shared" si="68"/>
        <v>**</v>
      </c>
      <c r="H61" s="142" t="str">
        <f t="shared" si="68"/>
        <v>***</v>
      </c>
      <c r="I61" s="142" t="str">
        <f t="shared" si="68"/>
        <v>NS</v>
      </c>
      <c r="J61" s="142" t="str">
        <f t="shared" si="68"/>
        <v>NS</v>
      </c>
      <c r="K61" s="142" t="str">
        <f t="shared" si="68"/>
        <v>NS</v>
      </c>
      <c r="L61" s="142" t="str">
        <f t="shared" si="68"/>
        <v>NS</v>
      </c>
      <c r="M61" s="142" t="str">
        <f t="shared" si="68"/>
        <v>***</v>
      </c>
      <c r="N61" s="142"/>
      <c r="O61" s="142" t="str">
        <f t="shared" si="68"/>
        <v>***</v>
      </c>
      <c r="P61" s="142" t="str">
        <f>IF(P60&gt;0.05,"NS",IF(P60&gt;0.01,"*",IF(P60&gt;0.001,"**","***")))</f>
        <v>*</v>
      </c>
      <c r="Q61" s="142" t="str">
        <f t="shared" ref="Q61:V61" si="69">IF(Q60&gt;0.05,"NS",IF(Q60&gt;0.01,"*",IF(Q60&gt;0.001,"**","***")))</f>
        <v>***</v>
      </c>
      <c r="R61" s="142" t="str">
        <f t="shared" si="69"/>
        <v>NS</v>
      </c>
      <c r="S61" s="142" t="str">
        <f t="shared" si="69"/>
        <v>*</v>
      </c>
      <c r="T61" s="142" t="str">
        <f t="shared" si="69"/>
        <v>NS</v>
      </c>
      <c r="U61" s="142" t="str">
        <f t="shared" si="69"/>
        <v>NS</v>
      </c>
      <c r="V61" s="142" t="str">
        <f t="shared" si="69"/>
        <v>NS</v>
      </c>
    </row>
    <row r="63" spans="1:22" x14ac:dyDescent="0.3">
      <c r="A63" s="2" t="s">
        <v>39</v>
      </c>
    </row>
    <row r="64" spans="1:22" x14ac:dyDescent="0.3">
      <c r="A64" s="1" t="s">
        <v>23</v>
      </c>
      <c r="B64" s="1">
        <f>B46+(3*B47)</f>
        <v>0.11826614206741923</v>
      </c>
    </row>
    <row r="65" spans="1:22" x14ac:dyDescent="0.3">
      <c r="A65" s="1" t="s">
        <v>24</v>
      </c>
      <c r="B65" s="1">
        <f>B46+(10*B47)</f>
        <v>0.29464916271676772</v>
      </c>
    </row>
    <row r="66" spans="1:22" ht="15" thickBot="1" x14ac:dyDescent="0.35"/>
    <row r="67" spans="1:22" ht="26.4" thickBot="1" x14ac:dyDescent="0.55000000000000004">
      <c r="A67" s="217" t="s">
        <v>45</v>
      </c>
      <c r="B67" s="218"/>
      <c r="C67" s="218"/>
      <c r="D67" s="218"/>
      <c r="E67" s="218"/>
      <c r="F67" s="218"/>
      <c r="G67" s="218"/>
      <c r="H67" s="218"/>
      <c r="I67" s="218"/>
      <c r="J67" s="218"/>
      <c r="K67" s="218"/>
      <c r="L67" s="218"/>
      <c r="M67" s="218"/>
      <c r="N67" s="218"/>
      <c r="O67" s="218"/>
      <c r="P67" s="218"/>
      <c r="Q67" s="218"/>
      <c r="R67" s="218"/>
      <c r="S67" s="218"/>
      <c r="T67" s="218"/>
      <c r="U67" s="218"/>
      <c r="V67" s="218"/>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96"/>
      <c r="S69" s="12"/>
      <c r="T69" s="12"/>
      <c r="U69" s="12"/>
      <c r="V69" s="12"/>
    </row>
    <row r="70" spans="1:22" ht="16.8" x14ac:dyDescent="0.3">
      <c r="A70" s="12"/>
      <c r="B70" s="12"/>
      <c r="C70" s="12"/>
      <c r="D70" s="12"/>
      <c r="E70" s="12"/>
      <c r="F70" s="12"/>
      <c r="I70" s="196"/>
      <c r="N70" s="12"/>
      <c r="O70" s="12"/>
      <c r="P70" s="12"/>
      <c r="Q70" s="12"/>
      <c r="R70" s="196"/>
      <c r="S70" s="12"/>
      <c r="T70" s="12"/>
      <c r="U70" s="12"/>
      <c r="V70" s="12"/>
    </row>
    <row r="71" spans="1:22" ht="16.8" x14ac:dyDescent="0.3">
      <c r="A71" s="12"/>
      <c r="B71" s="12"/>
      <c r="C71" s="196"/>
      <c r="D71" s="12"/>
      <c r="E71" s="12"/>
      <c r="F71" s="12"/>
      <c r="I71" s="196"/>
      <c r="N71" s="12"/>
      <c r="O71" s="12"/>
      <c r="P71" s="12"/>
      <c r="Q71" s="12"/>
      <c r="R71" s="196"/>
      <c r="S71" s="12"/>
      <c r="T71" s="12"/>
      <c r="U71" s="12"/>
      <c r="V71" s="12"/>
    </row>
    <row r="72" spans="1:22" ht="16.8" x14ac:dyDescent="0.3">
      <c r="A72" s="12"/>
      <c r="B72" s="12"/>
      <c r="C72" s="196"/>
      <c r="D72" s="12"/>
      <c r="E72" s="12"/>
      <c r="F72" s="12"/>
      <c r="I72" s="196"/>
      <c r="N72" s="12"/>
      <c r="O72" s="12"/>
      <c r="P72" s="12"/>
      <c r="Q72" s="12"/>
      <c r="R72" s="196"/>
      <c r="S72" s="12"/>
      <c r="T72" s="12"/>
      <c r="U72" s="12"/>
      <c r="V72" s="12"/>
    </row>
    <row r="73" spans="1:22" ht="16.8" x14ac:dyDescent="0.3">
      <c r="A73" s="12"/>
      <c r="B73" s="12"/>
      <c r="C73" s="196"/>
      <c r="D73" s="12"/>
      <c r="E73" s="12"/>
      <c r="F73" s="12"/>
      <c r="I73" s="196"/>
      <c r="N73" s="12"/>
      <c r="O73" s="12"/>
      <c r="P73" s="12"/>
      <c r="Q73" s="12"/>
      <c r="R73" s="196"/>
      <c r="S73" s="12"/>
      <c r="T73" s="12"/>
      <c r="U73" s="12"/>
      <c r="V73" s="12"/>
    </row>
    <row r="74" spans="1:22" ht="16.8" x14ac:dyDescent="0.3">
      <c r="A74" s="12"/>
      <c r="B74" s="12"/>
      <c r="C74" s="196"/>
      <c r="D74" s="12"/>
      <c r="E74" s="12"/>
      <c r="F74" s="12"/>
      <c r="I74" s="196"/>
      <c r="N74" s="12"/>
      <c r="O74" s="12"/>
      <c r="P74" s="12"/>
      <c r="Q74" s="12"/>
      <c r="R74" s="12"/>
      <c r="S74" s="12"/>
      <c r="T74" s="12"/>
      <c r="U74" s="12"/>
      <c r="V74" s="12"/>
    </row>
    <row r="75" spans="1:22" ht="15.6" x14ac:dyDescent="0.3">
      <c r="C75" s="196"/>
    </row>
    <row r="76" spans="1:22" ht="15.6" x14ac:dyDescent="0.3">
      <c r="C76" s="196"/>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K1" zoomScale="80" zoomScaleNormal="80" workbookViewId="0">
      <selection activeCell="Z5" sqref="Z5:AF12"/>
    </sheetView>
  </sheetViews>
  <sheetFormatPr defaultColWidth="11.44140625" defaultRowHeight="14.4" x14ac:dyDescent="0.3"/>
  <cols>
    <col min="1" max="2" width="15" style="1" customWidth="1"/>
    <col min="3" max="3" width="25.44140625" style="1" customWidth="1"/>
    <col min="4" max="4" width="14" style="1" customWidth="1"/>
    <col min="5" max="5" width="21.109375" style="1" customWidth="1"/>
    <col min="6" max="6" width="11.44140625" style="1"/>
    <col min="7" max="7" width="21.44140625" style="1" customWidth="1"/>
    <col min="8" max="8" width="12.33203125" style="1" customWidth="1"/>
    <col min="9" max="9" width="17.109375" style="1" customWidth="1"/>
    <col min="10" max="10" width="11.44140625" style="1"/>
    <col min="11" max="11" width="37.44140625" style="1" bestFit="1" customWidth="1"/>
    <col min="12" max="12" width="38.44140625" style="1" bestFit="1" customWidth="1"/>
    <col min="13" max="14" width="12.88671875" style="1" customWidth="1"/>
    <col min="15" max="25" width="12.3320312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J1" s="1" t="s">
        <v>1669</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01 Témoins solvant</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3075</v>
      </c>
      <c r="D2" s="1" t="s">
        <v>3076</v>
      </c>
      <c r="E2" s="1" t="s">
        <v>3077</v>
      </c>
      <c r="F2" s="1" t="s">
        <v>112</v>
      </c>
      <c r="G2" s="1">
        <v>1001616</v>
      </c>
      <c r="K2" s="155" t="s">
        <v>120</v>
      </c>
      <c r="L2" s="155"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01 Témoins solvant</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3078</v>
      </c>
      <c r="D3" s="1" t="s">
        <v>345</v>
      </c>
      <c r="E3" s="1" t="s">
        <v>3079</v>
      </c>
      <c r="F3" s="1" t="s">
        <v>112</v>
      </c>
      <c r="G3" s="1">
        <v>392280</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01 Témoins solvant</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3080</v>
      </c>
      <c r="D4" s="1" t="s">
        <v>604</v>
      </c>
      <c r="E4" s="1" t="s">
        <v>3081</v>
      </c>
      <c r="F4" s="1" t="s">
        <v>112</v>
      </c>
      <c r="G4" s="1">
        <v>726527</v>
      </c>
      <c r="K4" s="118" t="s">
        <v>100</v>
      </c>
      <c r="L4" s="1" t="s">
        <v>1670</v>
      </c>
      <c r="M4" s="1" t="s">
        <v>1671</v>
      </c>
      <c r="N4" s="1" t="s">
        <v>1672</v>
      </c>
      <c r="O4" s="1" t="s">
        <v>1673</v>
      </c>
      <c r="P4" s="1" t="s">
        <v>1674</v>
      </c>
      <c r="Q4" s="1" t="s">
        <v>1675</v>
      </c>
      <c r="R4" s="1" t="s">
        <v>1676</v>
      </c>
      <c r="S4" s="1" t="s">
        <v>1677</v>
      </c>
      <c r="T4" s="1" t="s">
        <v>1678</v>
      </c>
      <c r="U4" s="1" t="s">
        <v>1679</v>
      </c>
      <c r="V4" s="1" t="s">
        <v>1680</v>
      </c>
      <c r="W4" s="1" t="s">
        <v>1681</v>
      </c>
      <c r="X4" s="1" t="s">
        <v>1682</v>
      </c>
      <c r="Y4" s="1" t="s">
        <v>1683</v>
      </c>
      <c r="Z4" s="1" t="s">
        <v>1684</v>
      </c>
      <c r="AA4" s="1" t="s">
        <v>1685</v>
      </c>
      <c r="AB4" s="1" t="s">
        <v>1686</v>
      </c>
      <c r="AC4" s="1" t="s">
        <v>1687</v>
      </c>
      <c r="AD4" s="1" t="s">
        <v>1688</v>
      </c>
      <c r="AE4" s="1" t="s">
        <v>1689</v>
      </c>
      <c r="AF4" s="1" t="s">
        <v>1690</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01 Témoins solvant</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3082</v>
      </c>
      <c r="D5" s="1" t="s">
        <v>3083</v>
      </c>
      <c r="E5" s="1" t="s">
        <v>3084</v>
      </c>
      <c r="F5" s="1" t="s">
        <v>112</v>
      </c>
      <c r="G5" s="1">
        <v>595774</v>
      </c>
      <c r="K5" s="145" t="s">
        <v>163</v>
      </c>
      <c r="L5" s="44">
        <v>706807.66666666663</v>
      </c>
      <c r="M5" s="44">
        <v>478951</v>
      </c>
      <c r="N5" s="44">
        <v>248300</v>
      </c>
      <c r="O5" s="44">
        <v>617440</v>
      </c>
      <c r="P5" s="44">
        <v>3003642.6666666665</v>
      </c>
      <c r="Q5" s="44">
        <v>2433218.6666666665</v>
      </c>
      <c r="R5" s="44">
        <v>5414215</v>
      </c>
      <c r="S5" s="44">
        <v>474257</v>
      </c>
      <c r="T5" s="44">
        <v>586920</v>
      </c>
      <c r="U5" s="44">
        <v>132252.66666666666</v>
      </c>
      <c r="V5" s="44">
        <v>140839.66666666666</v>
      </c>
      <c r="W5" s="44">
        <v>4296400</v>
      </c>
      <c r="X5" s="44">
        <v>3326721</v>
      </c>
      <c r="Y5" s="44">
        <v>4516170.666666667</v>
      </c>
      <c r="Z5" s="44">
        <v>5114727.666666667</v>
      </c>
      <c r="AA5" s="44">
        <v>546133</v>
      </c>
      <c r="AB5" s="44">
        <v>3975192.3333333335</v>
      </c>
      <c r="AC5" s="44">
        <v>2815736.3333333335</v>
      </c>
      <c r="AD5" s="44">
        <v>1950374.6666666667</v>
      </c>
      <c r="AE5" s="44">
        <v>2698892</v>
      </c>
      <c r="AF5" s="44">
        <v>801734</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01 Témoins solvant</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3085</v>
      </c>
      <c r="D6" s="1" t="s">
        <v>3086</v>
      </c>
      <c r="E6" s="1" t="s">
        <v>3087</v>
      </c>
      <c r="F6" s="1" t="s">
        <v>112</v>
      </c>
      <c r="G6" s="1">
        <v>844107</v>
      </c>
      <c r="K6" s="145" t="s">
        <v>1691</v>
      </c>
      <c r="L6" s="44">
        <v>773456.33333333337</v>
      </c>
      <c r="M6" s="44">
        <v>705927.66666666663</v>
      </c>
      <c r="N6" s="44">
        <v>99850.666666666672</v>
      </c>
      <c r="O6" s="44"/>
      <c r="P6" s="44">
        <v>2081322.3333333333</v>
      </c>
      <c r="Q6" s="44">
        <v>2959200.3333333335</v>
      </c>
      <c r="R6" s="44">
        <v>3669915.6666666665</v>
      </c>
      <c r="S6" s="44">
        <v>312544.66666666669</v>
      </c>
      <c r="T6" s="44">
        <v>117688</v>
      </c>
      <c r="U6" s="44">
        <v>309242.66666666669</v>
      </c>
      <c r="V6" s="44">
        <v>413167</v>
      </c>
      <c r="W6" s="44">
        <v>454184.33333333331</v>
      </c>
      <c r="X6" s="44">
        <v>3910959</v>
      </c>
      <c r="Y6" s="44">
        <v>2827409.6666666665</v>
      </c>
      <c r="Z6" s="44">
        <v>5158304.333333333</v>
      </c>
      <c r="AA6" s="44">
        <v>470118.66666666669</v>
      </c>
      <c r="AB6" s="44">
        <v>962076.33333333337</v>
      </c>
      <c r="AC6" s="44">
        <v>2333440</v>
      </c>
      <c r="AD6" s="44">
        <v>1850646.3333333333</v>
      </c>
      <c r="AE6" s="44">
        <v>3087018.6666666665</v>
      </c>
      <c r="AF6" s="44">
        <v>2178837</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01 Témoins solvant</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3088</v>
      </c>
      <c r="D7" s="1" t="s">
        <v>3089</v>
      </c>
      <c r="E7" s="1" t="s">
        <v>3090</v>
      </c>
      <c r="F7" s="1" t="s">
        <v>112</v>
      </c>
      <c r="G7" s="1">
        <v>880488</v>
      </c>
      <c r="K7" s="145" t="s">
        <v>1692</v>
      </c>
      <c r="L7" s="44">
        <v>653619.33333333337</v>
      </c>
      <c r="M7" s="44">
        <v>604216.33333333337</v>
      </c>
      <c r="N7" s="44">
        <v>46144</v>
      </c>
      <c r="O7" s="44">
        <v>2341112</v>
      </c>
      <c r="P7" s="44">
        <v>2991666.6666666665</v>
      </c>
      <c r="Q7" s="44">
        <v>5824245.666666667</v>
      </c>
      <c r="R7" s="44">
        <v>4435426</v>
      </c>
      <c r="S7" s="44">
        <v>674269</v>
      </c>
      <c r="T7" s="44">
        <v>119159</v>
      </c>
      <c r="U7" s="44">
        <v>210646.33333333334</v>
      </c>
      <c r="V7" s="44">
        <v>1253128</v>
      </c>
      <c r="W7" s="44">
        <v>213941.33333333334</v>
      </c>
      <c r="X7" s="44">
        <v>3304002.3333333335</v>
      </c>
      <c r="Y7" s="44">
        <v>4175456.3333333335</v>
      </c>
      <c r="Z7" s="44">
        <v>4405223.666666667</v>
      </c>
      <c r="AA7" s="44">
        <v>37600</v>
      </c>
      <c r="AB7" s="44">
        <v>1881065.3333333333</v>
      </c>
      <c r="AC7" s="44">
        <v>1125064.6666666667</v>
      </c>
      <c r="AD7" s="44">
        <v>759325</v>
      </c>
      <c r="AE7" s="44">
        <v>2628335</v>
      </c>
      <c r="AF7" s="44">
        <v>2479405.6666666665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01 Témoins solvant</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3091</v>
      </c>
      <c r="D8" s="1" t="s">
        <v>3092</v>
      </c>
      <c r="E8" s="1" t="s">
        <v>3093</v>
      </c>
      <c r="F8" s="1" t="s">
        <v>112</v>
      </c>
      <c r="G8" s="1">
        <v>815793</v>
      </c>
      <c r="K8" s="145" t="s">
        <v>1693</v>
      </c>
      <c r="L8" s="44">
        <v>248296.66666666666</v>
      </c>
      <c r="M8" s="44">
        <v>124040.33333333333</v>
      </c>
      <c r="N8" s="44">
        <v>91963.333333333328</v>
      </c>
      <c r="O8" s="44">
        <v>1262969.6666666667</v>
      </c>
      <c r="P8" s="44">
        <v>2524691.6666666665</v>
      </c>
      <c r="Q8" s="44">
        <v>3313519.6666666665</v>
      </c>
      <c r="R8" s="44">
        <v>5030752.666666667</v>
      </c>
      <c r="S8" s="44">
        <v>147789.66666666666</v>
      </c>
      <c r="T8" s="44">
        <v>107356.66666666667</v>
      </c>
      <c r="U8" s="44">
        <v>1024254.6666666666</v>
      </c>
      <c r="V8" s="44"/>
      <c r="W8" s="44">
        <v>1192283</v>
      </c>
      <c r="X8" s="44">
        <v>1658198.3333333333</v>
      </c>
      <c r="Y8" s="44">
        <v>990022</v>
      </c>
      <c r="Z8" s="44">
        <v>3487352</v>
      </c>
      <c r="AA8" s="44">
        <v>484178</v>
      </c>
      <c r="AB8" s="44">
        <v>1394169.3333333333</v>
      </c>
      <c r="AC8" s="44">
        <v>2583777.6666666665</v>
      </c>
      <c r="AD8" s="44">
        <v>731458</v>
      </c>
      <c r="AE8" s="44">
        <v>2246971.3333333335</v>
      </c>
      <c r="AF8" s="44">
        <v>636340.5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01 Témoins solvant</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3094</v>
      </c>
      <c r="D9" s="1" t="s">
        <v>3095</v>
      </c>
      <c r="E9" s="1" t="s">
        <v>3096</v>
      </c>
      <c r="F9" s="1" t="s">
        <v>112</v>
      </c>
      <c r="G9" s="1">
        <v>659777</v>
      </c>
      <c r="K9" s="145" t="s">
        <v>1694</v>
      </c>
      <c r="L9" s="44">
        <v>1041198.3333333334</v>
      </c>
      <c r="M9" s="44">
        <v>804841.33333333337</v>
      </c>
      <c r="N9" s="44">
        <v>245752</v>
      </c>
      <c r="O9" s="44">
        <v>802007.66666666663</v>
      </c>
      <c r="P9" s="44">
        <v>2332698</v>
      </c>
      <c r="Q9" s="44">
        <v>3058950.3333333335</v>
      </c>
      <c r="R9" s="44">
        <v>4864750.666666667</v>
      </c>
      <c r="S9" s="44">
        <v>609134</v>
      </c>
      <c r="T9" s="44">
        <v>204979</v>
      </c>
      <c r="U9" s="44">
        <v>110561</v>
      </c>
      <c r="V9" s="44">
        <v>892175.66666666663</v>
      </c>
      <c r="W9" s="44">
        <v>1896603</v>
      </c>
      <c r="X9" s="44">
        <v>3041931</v>
      </c>
      <c r="Y9" s="44">
        <v>848187.33333333337</v>
      </c>
      <c r="Z9" s="44">
        <v>939537.66666666663</v>
      </c>
      <c r="AA9" s="44">
        <v>511770.66666666669</v>
      </c>
      <c r="AB9" s="44">
        <v>1108683.6666666667</v>
      </c>
      <c r="AC9" s="44">
        <v>1780421.3333333333</v>
      </c>
      <c r="AD9" s="44">
        <v>3947924.6666666665</v>
      </c>
      <c r="AE9" s="44">
        <v>3611586.6666666665</v>
      </c>
      <c r="AF9" s="44">
        <v>1749685.3333333333</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01 Témoins solvant</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3097</v>
      </c>
      <c r="D10" s="1" t="s">
        <v>3098</v>
      </c>
      <c r="E10" s="1" t="s">
        <v>3099</v>
      </c>
      <c r="F10" s="1" t="s">
        <v>112</v>
      </c>
      <c r="G10" s="1">
        <v>485288</v>
      </c>
      <c r="K10" s="145" t="s">
        <v>1695</v>
      </c>
      <c r="L10" s="44">
        <v>586981</v>
      </c>
      <c r="M10" s="44">
        <v>1119484.3333333333</v>
      </c>
      <c r="N10" s="44"/>
      <c r="O10" s="44">
        <v>985357.33333333337</v>
      </c>
      <c r="P10" s="44">
        <v>3027846.3333333335</v>
      </c>
      <c r="Q10" s="44">
        <v>2790783</v>
      </c>
      <c r="R10" s="44">
        <v>6452576</v>
      </c>
      <c r="S10" s="44">
        <v>286898.66666666669</v>
      </c>
      <c r="T10" s="44">
        <v>201965.66666666666</v>
      </c>
      <c r="U10" s="44">
        <v>227748.33333333334</v>
      </c>
      <c r="V10" s="44">
        <v>361890</v>
      </c>
      <c r="W10" s="44">
        <v>1201958.6666666667</v>
      </c>
      <c r="X10" s="44">
        <v>1446766</v>
      </c>
      <c r="Y10" s="44">
        <v>1224468</v>
      </c>
      <c r="Z10" s="44">
        <v>6012570</v>
      </c>
      <c r="AA10" s="44">
        <v>130471.66666666667</v>
      </c>
      <c r="AB10" s="44">
        <v>3398921.6666666665</v>
      </c>
      <c r="AC10" s="44">
        <v>1434148.3333333333</v>
      </c>
      <c r="AD10" s="44">
        <v>914930.33333333337</v>
      </c>
      <c r="AE10" s="44">
        <v>2633454</v>
      </c>
      <c r="AF10" s="44">
        <v>3368892.3333333335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01 Témoins solvant</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3100</v>
      </c>
      <c r="D11" s="1" t="s">
        <v>3101</v>
      </c>
      <c r="E11" s="1" t="s">
        <v>3102</v>
      </c>
      <c r="F11" s="1" t="s">
        <v>112</v>
      </c>
      <c r="G11" s="1">
        <v>222896</v>
      </c>
      <c r="K11" s="145" t="s">
        <v>1696</v>
      </c>
      <c r="L11" s="44">
        <v>348760.33333333331</v>
      </c>
      <c r="M11" s="44">
        <v>292018</v>
      </c>
      <c r="N11" s="44">
        <v>420564.66666666669</v>
      </c>
      <c r="O11" s="44">
        <v>513104.66666666669</v>
      </c>
      <c r="P11" s="44">
        <v>3853639.6666666665</v>
      </c>
      <c r="Q11" s="44">
        <v>4463530.666666667</v>
      </c>
      <c r="R11" s="44">
        <v>5317731.333333333</v>
      </c>
      <c r="S11" s="44">
        <v>643424.33333333337</v>
      </c>
      <c r="T11" s="44">
        <v>767443</v>
      </c>
      <c r="U11" s="44">
        <v>41810.5</v>
      </c>
      <c r="V11" s="44">
        <v>755272.66666666663</v>
      </c>
      <c r="W11" s="44">
        <v>1326554</v>
      </c>
      <c r="X11" s="44">
        <v>1061963</v>
      </c>
      <c r="Y11" s="44">
        <v>2772289.3333333335</v>
      </c>
      <c r="Z11" s="44">
        <v>3124229</v>
      </c>
      <c r="AA11" s="44">
        <v>108308.33333333333</v>
      </c>
      <c r="AB11" s="44">
        <v>1230431</v>
      </c>
      <c r="AC11" s="44">
        <v>1682604</v>
      </c>
      <c r="AD11" s="44">
        <v>2064306.3333333333</v>
      </c>
      <c r="AE11" s="44">
        <v>2970476.6666666665</v>
      </c>
      <c r="AF11" s="44">
        <v>3037176</v>
      </c>
      <c r="AG11"/>
    </row>
    <row r="12" spans="1:144" x14ac:dyDescent="0.3">
      <c r="A12" s="1" t="str">
        <f t="shared" si="0"/>
        <v>01 Témoins solvant</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3103</v>
      </c>
      <c r="D12" s="1" t="s">
        <v>232</v>
      </c>
      <c r="E12" s="1" t="s">
        <v>3104</v>
      </c>
      <c r="F12" s="1" t="s">
        <v>112</v>
      </c>
      <c r="G12" s="1">
        <v>288240</v>
      </c>
      <c r="K12" s="145" t="s">
        <v>1697</v>
      </c>
      <c r="L12" s="44">
        <v>182686</v>
      </c>
      <c r="M12" s="44"/>
      <c r="N12" s="44">
        <v>105222.33333333333</v>
      </c>
      <c r="O12" s="44">
        <v>228822.66666666666</v>
      </c>
      <c r="P12" s="44">
        <v>1430615.6666666667</v>
      </c>
      <c r="Q12" s="44">
        <v>3802103</v>
      </c>
      <c r="R12" s="44">
        <v>5763177.333333333</v>
      </c>
      <c r="S12" s="44">
        <v>447061</v>
      </c>
      <c r="T12" s="44">
        <v>291030.33333333331</v>
      </c>
      <c r="U12" s="44">
        <v>1705063</v>
      </c>
      <c r="V12" s="44">
        <v>640533</v>
      </c>
      <c r="W12" s="44">
        <v>1178407.5</v>
      </c>
      <c r="X12" s="44">
        <v>3106752</v>
      </c>
      <c r="Y12" s="44">
        <v>2335884.3333333335</v>
      </c>
      <c r="Z12" s="44">
        <v>6810864.666666667</v>
      </c>
      <c r="AA12" s="44">
        <v>422453.66666666669</v>
      </c>
      <c r="AB12" s="44">
        <v>3138980.6666666665</v>
      </c>
      <c r="AC12" s="44">
        <v>2681123</v>
      </c>
      <c r="AD12" s="44">
        <v>317180.66666666669</v>
      </c>
      <c r="AE12" s="44">
        <v>1974009</v>
      </c>
      <c r="AF12" s="44">
        <v>1774992.3333333333</v>
      </c>
      <c r="AG12"/>
    </row>
    <row r="13" spans="1:144" x14ac:dyDescent="0.3">
      <c r="A13" s="1" t="str">
        <f t="shared" si="0"/>
        <v>01 Témoins solvant</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3105</v>
      </c>
      <c r="D13" s="1" t="s">
        <v>495</v>
      </c>
      <c r="E13" s="1" t="s">
        <v>3106</v>
      </c>
      <c r="F13" s="1" t="s">
        <v>112</v>
      </c>
      <c r="G13" s="1">
        <v>233754</v>
      </c>
      <c r="K13"/>
      <c r="L13"/>
      <c r="M13"/>
      <c r="N13"/>
      <c r="O13"/>
      <c r="P13"/>
      <c r="Q13"/>
      <c r="R13"/>
      <c r="S13"/>
      <c r="T13"/>
      <c r="U13"/>
      <c r="V13"/>
      <c r="W13"/>
      <c r="X13"/>
      <c r="Y13"/>
      <c r="Z13"/>
      <c r="AA13"/>
      <c r="AB13"/>
      <c r="AC13"/>
      <c r="AD13"/>
      <c r="AE13"/>
      <c r="AF13"/>
      <c r="AG13"/>
    </row>
    <row r="14" spans="1:144" x14ac:dyDescent="0.3">
      <c r="A14" s="1" t="str">
        <f t="shared" si="0"/>
        <v>01 Témoins solvant</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3107</v>
      </c>
      <c r="D14" s="1" t="s">
        <v>1314</v>
      </c>
      <c r="E14" s="1" t="s">
        <v>3108</v>
      </c>
      <c r="F14" s="1" t="s">
        <v>112</v>
      </c>
      <c r="G14" s="1">
        <v>1222565</v>
      </c>
      <c r="K14"/>
      <c r="L14"/>
      <c r="M14"/>
      <c r="N14"/>
      <c r="O14"/>
      <c r="P14"/>
      <c r="Q14"/>
      <c r="R14"/>
      <c r="S14"/>
      <c r="T14"/>
      <c r="U14"/>
      <c r="V14"/>
      <c r="W14"/>
      <c r="X14"/>
      <c r="Y14"/>
      <c r="Z14"/>
      <c r="AA14"/>
      <c r="AB14"/>
      <c r="AC14"/>
      <c r="AD14"/>
      <c r="AE14"/>
      <c r="AF14"/>
      <c r="AG14"/>
    </row>
    <row r="15" spans="1:144" x14ac:dyDescent="0.3">
      <c r="A15" s="1" t="str">
        <f t="shared" si="0"/>
        <v>01 Témoins solvant</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3109</v>
      </c>
      <c r="D15" s="1" t="s">
        <v>2760</v>
      </c>
      <c r="E15" s="1" t="s">
        <v>3110</v>
      </c>
      <c r="F15" s="1" t="s">
        <v>112</v>
      </c>
      <c r="G15" s="1">
        <v>1077926</v>
      </c>
    </row>
    <row r="16" spans="1:144" x14ac:dyDescent="0.3">
      <c r="A16" s="1" t="str">
        <f t="shared" si="0"/>
        <v>01 Témoins solvant</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3111</v>
      </c>
      <c r="D16" s="1" t="s">
        <v>820</v>
      </c>
      <c r="E16" s="1" t="s">
        <v>3112</v>
      </c>
      <c r="F16" s="1" t="s">
        <v>112</v>
      </c>
      <c r="G16" s="1">
        <v>823104</v>
      </c>
    </row>
    <row r="17" spans="1:10" x14ac:dyDescent="0.3">
      <c r="A17" s="1" t="str">
        <f t="shared" si="0"/>
        <v>01 Témoins solvant</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3113</v>
      </c>
      <c r="D17" s="1" t="s">
        <v>3114</v>
      </c>
      <c r="E17" s="1" t="s">
        <v>3115</v>
      </c>
      <c r="F17" s="1" t="s">
        <v>112</v>
      </c>
      <c r="G17" s="1">
        <v>570315</v>
      </c>
    </row>
    <row r="18" spans="1:10" x14ac:dyDescent="0.3">
      <c r="A18" s="1" t="str">
        <f t="shared" si="0"/>
        <v>01 Témoins solvant</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3116</v>
      </c>
      <c r="D18" s="1" t="s">
        <v>284</v>
      </c>
      <c r="E18" s="1" t="s">
        <v>3117</v>
      </c>
      <c r="F18" s="1" t="s">
        <v>112</v>
      </c>
      <c r="G18" s="1">
        <v>603647</v>
      </c>
    </row>
    <row r="19" spans="1:10" x14ac:dyDescent="0.3">
      <c r="A19" s="1" t="str">
        <f t="shared" si="0"/>
        <v>01 Témoins solvant</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3118</v>
      </c>
    </row>
    <row r="20" spans="1:10" x14ac:dyDescent="0.3">
      <c r="A20" s="1" t="str">
        <f t="shared" si="0"/>
        <v>01 Témoins solvant</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3119</v>
      </c>
      <c r="D20" s="1" t="s">
        <v>3086</v>
      </c>
      <c r="E20" s="1" t="s">
        <v>3120</v>
      </c>
      <c r="F20" s="1" t="s">
        <v>112</v>
      </c>
      <c r="G20" s="1">
        <v>715906</v>
      </c>
    </row>
    <row r="21" spans="1:10" x14ac:dyDescent="0.3">
      <c r="A21" s="1" t="str">
        <f t="shared" si="0"/>
        <v>01 Témoins solvant</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3121</v>
      </c>
      <c r="D21" s="1" t="s">
        <v>351</v>
      </c>
      <c r="E21" s="1" t="s">
        <v>1014</v>
      </c>
      <c r="F21" s="1" t="s">
        <v>112</v>
      </c>
      <c r="G21" s="1">
        <v>68653</v>
      </c>
    </row>
    <row r="22" spans="1:10" x14ac:dyDescent="0.3">
      <c r="A22" s="1" t="str">
        <f t="shared" si="0"/>
        <v>01 Témoins solvant</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3122</v>
      </c>
      <c r="D22" s="1" t="s">
        <v>397</v>
      </c>
      <c r="E22" s="1" t="s">
        <v>3123</v>
      </c>
      <c r="F22" s="1" t="s">
        <v>112</v>
      </c>
      <c r="G22" s="1">
        <v>261722</v>
      </c>
    </row>
    <row r="23" spans="1:10" x14ac:dyDescent="0.3">
      <c r="A23" s="1" t="str">
        <f t="shared" si="0"/>
        <v>01 Témoins solvant</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3124</v>
      </c>
      <c r="D23" s="1" t="s">
        <v>888</v>
      </c>
      <c r="E23" s="1" t="s">
        <v>3125</v>
      </c>
      <c r="F23" s="1" t="s">
        <v>112</v>
      </c>
      <c r="G23" s="1">
        <v>178252</v>
      </c>
    </row>
    <row r="24" spans="1:10" x14ac:dyDescent="0.3">
      <c r="A24" s="1" t="str">
        <f t="shared" si="0"/>
        <v>01 Témoins solvant</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3126</v>
      </c>
      <c r="D24" s="1" t="s">
        <v>368</v>
      </c>
      <c r="E24" s="1" t="s">
        <v>3127</v>
      </c>
      <c r="F24" s="1" t="s">
        <v>112</v>
      </c>
      <c r="G24" s="1">
        <v>342639</v>
      </c>
    </row>
    <row r="25" spans="1:10" x14ac:dyDescent="0.3">
      <c r="A25" s="1" t="str">
        <f t="shared" si="0"/>
        <v>01 Témoins solvant</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3128</v>
      </c>
      <c r="D25" s="1" t="s">
        <v>874</v>
      </c>
      <c r="E25" s="1" t="s">
        <v>3129</v>
      </c>
      <c r="F25" s="1" t="s">
        <v>112</v>
      </c>
      <c r="G25" s="1">
        <v>27167</v>
      </c>
    </row>
    <row r="26" spans="1:10" x14ac:dyDescent="0.3">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10" x14ac:dyDescent="0.3">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243</v>
      </c>
      <c r="D27" s="1" t="s">
        <v>112</v>
      </c>
      <c r="E27" s="1" t="s">
        <v>244</v>
      </c>
      <c r="F27" s="1" t="s">
        <v>245</v>
      </c>
      <c r="G27" s="1" t="s">
        <v>246</v>
      </c>
      <c r="H27" s="1" t="s">
        <v>247</v>
      </c>
      <c r="I27" s="1" t="s">
        <v>248</v>
      </c>
      <c r="J27" s="1" t="s">
        <v>249</v>
      </c>
    </row>
    <row r="28" spans="1:10" x14ac:dyDescent="0.3">
      <c r="A28" s="1" t="str">
        <f t="shared" si="0"/>
        <v>01 Témoins solvant</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3130</v>
      </c>
      <c r="D28" s="1" t="s">
        <v>112</v>
      </c>
      <c r="E28" s="1" t="s">
        <v>3131</v>
      </c>
      <c r="F28" s="1" t="s">
        <v>3132</v>
      </c>
      <c r="G28" s="1" t="s">
        <v>3133</v>
      </c>
      <c r="H28" s="1" t="s">
        <v>3134</v>
      </c>
      <c r="I28" s="1">
        <v>24</v>
      </c>
      <c r="J28" s="1">
        <v>24</v>
      </c>
    </row>
    <row r="29" spans="1:10" x14ac:dyDescent="0.3">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10" x14ac:dyDescent="0.3">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10" x14ac:dyDescent="0.3">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10" x14ac:dyDescent="0.3">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3">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3">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255</v>
      </c>
      <c r="D34" s="1" t="s">
        <v>110</v>
      </c>
      <c r="E34" s="1" t="s">
        <v>111</v>
      </c>
      <c r="F34" s="1" t="s">
        <v>112</v>
      </c>
      <c r="G34" s="1" t="s">
        <v>113</v>
      </c>
    </row>
    <row r="35" spans="1:7" x14ac:dyDescent="0.3">
      <c r="A35" s="1" t="str">
        <f t="shared" si="0"/>
        <v>02 EE2 33.8</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3135</v>
      </c>
      <c r="D35" s="1" t="s">
        <v>3136</v>
      </c>
      <c r="E35" s="1" t="s">
        <v>1915</v>
      </c>
      <c r="F35" s="1" t="s">
        <v>112</v>
      </c>
      <c r="G35" s="1">
        <v>407637</v>
      </c>
    </row>
    <row r="36" spans="1:7" x14ac:dyDescent="0.3">
      <c r="A36" s="1" t="str">
        <f t="shared" si="0"/>
        <v>02 EE2 33.8</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3137</v>
      </c>
      <c r="D36" s="1" t="s">
        <v>458</v>
      </c>
      <c r="E36" s="1" t="s">
        <v>3138</v>
      </c>
      <c r="F36" s="1" t="s">
        <v>112</v>
      </c>
      <c r="G36" s="1">
        <v>331500</v>
      </c>
    </row>
    <row r="37" spans="1:7" x14ac:dyDescent="0.3">
      <c r="A37" s="1" t="str">
        <f t="shared" si="0"/>
        <v>02 EE2 33.8</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3139</v>
      </c>
      <c r="D37" s="1" t="s">
        <v>3140</v>
      </c>
      <c r="E37" s="1" t="s">
        <v>3141</v>
      </c>
      <c r="F37" s="1" t="s">
        <v>112</v>
      </c>
      <c r="G37" s="1">
        <v>697716</v>
      </c>
    </row>
    <row r="38" spans="1:7" x14ac:dyDescent="0.3">
      <c r="A38" s="1" t="str">
        <f t="shared" si="0"/>
        <v>02 EE2 33.8</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3142</v>
      </c>
      <c r="D38" s="1" t="s">
        <v>599</v>
      </c>
      <c r="E38" s="1" t="s">
        <v>3143</v>
      </c>
      <c r="F38" s="1" t="s">
        <v>112</v>
      </c>
      <c r="G38" s="1">
        <v>817372</v>
      </c>
    </row>
    <row r="39" spans="1:7" x14ac:dyDescent="0.3">
      <c r="A39" s="1" t="str">
        <f t="shared" si="0"/>
        <v>02 EE2 33.8</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3144</v>
      </c>
      <c r="D39" s="1" t="s">
        <v>3145</v>
      </c>
      <c r="E39" s="1" t="s">
        <v>3146</v>
      </c>
      <c r="F39" s="1" t="s">
        <v>112</v>
      </c>
      <c r="G39" s="1">
        <v>901166</v>
      </c>
    </row>
    <row r="40" spans="1:7" x14ac:dyDescent="0.3">
      <c r="A40" s="1" t="str">
        <f t="shared" si="0"/>
        <v>02 EE2 33.8</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3147</v>
      </c>
      <c r="D40" s="1" t="s">
        <v>1253</v>
      </c>
      <c r="E40" s="1" t="s">
        <v>3148</v>
      </c>
      <c r="F40" s="1" t="s">
        <v>112</v>
      </c>
      <c r="G40" s="1">
        <v>399245</v>
      </c>
    </row>
    <row r="41" spans="1:7" x14ac:dyDescent="0.3">
      <c r="A41" s="1" t="str">
        <f t="shared" si="0"/>
        <v>02 EE2 33.8</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3149</v>
      </c>
      <c r="D41" s="1" t="s">
        <v>3150</v>
      </c>
      <c r="E41" s="1" t="s">
        <v>3151</v>
      </c>
      <c r="F41" s="1" t="s">
        <v>112</v>
      </c>
      <c r="G41" s="1">
        <v>627483</v>
      </c>
    </row>
    <row r="42" spans="1:7" x14ac:dyDescent="0.3">
      <c r="A42" s="1" t="str">
        <f t="shared" si="0"/>
        <v>02 EE2 33.8</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3152</v>
      </c>
      <c r="D42" s="1" t="s">
        <v>3153</v>
      </c>
      <c r="E42" s="1" t="s">
        <v>3154</v>
      </c>
      <c r="F42" s="1" t="s">
        <v>112</v>
      </c>
      <c r="G42" s="1">
        <v>632847</v>
      </c>
    </row>
    <row r="43" spans="1:7" x14ac:dyDescent="0.3">
      <c r="A43" s="1" t="str">
        <f t="shared" si="0"/>
        <v>02 EE2 33.8</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3155</v>
      </c>
      <c r="D43" s="1" t="s">
        <v>3156</v>
      </c>
      <c r="E43" s="1" t="s">
        <v>3157</v>
      </c>
      <c r="F43" s="1" t="s">
        <v>112</v>
      </c>
      <c r="G43" s="1">
        <v>552319</v>
      </c>
    </row>
    <row r="44" spans="1:7" x14ac:dyDescent="0.3">
      <c r="A44" s="1" t="str">
        <f t="shared" si="0"/>
        <v>02 EE2 33.8</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3158</v>
      </c>
      <c r="D44" s="1" t="s">
        <v>2434</v>
      </c>
      <c r="E44" s="1" t="s">
        <v>3159</v>
      </c>
      <c r="F44" s="1" t="s">
        <v>112</v>
      </c>
      <c r="G44" s="1">
        <v>142260</v>
      </c>
    </row>
    <row r="45" spans="1:7" x14ac:dyDescent="0.3">
      <c r="A45" s="1" t="str">
        <f t="shared" si="0"/>
        <v>02 EE2 33.8</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3160</v>
      </c>
      <c r="D45" s="1" t="s">
        <v>339</v>
      </c>
      <c r="E45" s="1" t="s">
        <v>3161</v>
      </c>
      <c r="F45" s="1" t="s">
        <v>112</v>
      </c>
      <c r="G45" s="1">
        <v>105619</v>
      </c>
    </row>
    <row r="46" spans="1:7" x14ac:dyDescent="0.3">
      <c r="A46" s="1" t="str">
        <f t="shared" si="0"/>
        <v>02 EE2 33.8</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3162</v>
      </c>
      <c r="D46" s="1" t="s">
        <v>1733</v>
      </c>
      <c r="E46" s="1" t="s">
        <v>3163</v>
      </c>
      <c r="F46" s="1" t="s">
        <v>112</v>
      </c>
      <c r="G46" s="1">
        <v>124242</v>
      </c>
    </row>
    <row r="47" spans="1:7" x14ac:dyDescent="0.3">
      <c r="A47" s="1" t="str">
        <f t="shared" si="0"/>
        <v>02 EE2 33.8</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3164</v>
      </c>
      <c r="D47" s="1" t="s">
        <v>3165</v>
      </c>
      <c r="E47" s="1" t="s">
        <v>1742</v>
      </c>
      <c r="F47" s="1" t="s">
        <v>112</v>
      </c>
      <c r="G47" s="1">
        <v>886566</v>
      </c>
    </row>
    <row r="48" spans="1:7" x14ac:dyDescent="0.3">
      <c r="A48" s="1" t="str">
        <f t="shared" si="0"/>
        <v>02 EE2 33.8</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3166</v>
      </c>
      <c r="D48" s="1" t="s">
        <v>3167</v>
      </c>
      <c r="E48" s="1" t="s">
        <v>3168</v>
      </c>
      <c r="F48" s="1" t="s">
        <v>112</v>
      </c>
      <c r="G48" s="1">
        <v>765504</v>
      </c>
    </row>
    <row r="49" spans="1:10" x14ac:dyDescent="0.3">
      <c r="A49" s="1" t="str">
        <f t="shared" si="0"/>
        <v>02 EE2 33.8</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3169</v>
      </c>
      <c r="D49" s="1" t="s">
        <v>1896</v>
      </c>
      <c r="E49" s="1" t="s">
        <v>3170</v>
      </c>
      <c r="F49" s="1" t="s">
        <v>112</v>
      </c>
      <c r="G49" s="1">
        <v>762454</v>
      </c>
    </row>
    <row r="50" spans="1:10" x14ac:dyDescent="0.3">
      <c r="A50" s="1" t="str">
        <f t="shared" si="0"/>
        <v>02 EE2 33.8</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3171</v>
      </c>
      <c r="D50" s="1" t="s">
        <v>3172</v>
      </c>
      <c r="E50" s="1" t="s">
        <v>3173</v>
      </c>
      <c r="F50" s="1" t="s">
        <v>112</v>
      </c>
      <c r="G50" s="1">
        <v>1252090</v>
      </c>
    </row>
    <row r="51" spans="1:10" x14ac:dyDescent="0.3">
      <c r="A51" s="1" t="str">
        <f t="shared" si="0"/>
        <v>02 EE2 33.8</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3174</v>
      </c>
      <c r="D51" s="1" t="s">
        <v>3175</v>
      </c>
      <c r="E51" s="1" t="s">
        <v>3176</v>
      </c>
      <c r="F51" s="1" t="s">
        <v>112</v>
      </c>
      <c r="G51" s="1">
        <v>1242573</v>
      </c>
    </row>
    <row r="52" spans="1:10" x14ac:dyDescent="0.3">
      <c r="A52" s="1" t="str">
        <f t="shared" si="0"/>
        <v>02 EE2 33.8</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3177</v>
      </c>
      <c r="D52" s="1" t="s">
        <v>3178</v>
      </c>
      <c r="E52" s="1" t="s">
        <v>3179</v>
      </c>
      <c r="F52" s="1" t="s">
        <v>112</v>
      </c>
      <c r="G52" s="1">
        <v>863790</v>
      </c>
    </row>
    <row r="53" spans="1:10" x14ac:dyDescent="0.3">
      <c r="A53" s="1" t="str">
        <f t="shared" si="0"/>
        <v>02 EE2 33.8</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3180</v>
      </c>
      <c r="D53" s="1" t="s">
        <v>3181</v>
      </c>
      <c r="E53" s="1" t="s">
        <v>3182</v>
      </c>
      <c r="F53" s="1" t="s">
        <v>112</v>
      </c>
      <c r="G53" s="1">
        <v>245845</v>
      </c>
    </row>
    <row r="54" spans="1:10" x14ac:dyDescent="0.3">
      <c r="A54" s="1" t="str">
        <f t="shared" si="0"/>
        <v>02 EE2 33.8</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3183</v>
      </c>
      <c r="D54" s="1" t="s">
        <v>3184</v>
      </c>
      <c r="E54" s="1" t="s">
        <v>3185</v>
      </c>
      <c r="F54" s="1" t="s">
        <v>112</v>
      </c>
      <c r="G54" s="1">
        <v>419555</v>
      </c>
    </row>
    <row r="55" spans="1:10" x14ac:dyDescent="0.3">
      <c r="A55" s="1" t="str">
        <f t="shared" si="0"/>
        <v>02 EE2 33.8</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3186</v>
      </c>
      <c r="D55" s="1" t="s">
        <v>885</v>
      </c>
      <c r="E55" s="1" t="s">
        <v>3187</v>
      </c>
      <c r="F55" s="1" t="s">
        <v>112</v>
      </c>
      <c r="G55" s="1">
        <v>210654</v>
      </c>
    </row>
    <row r="56" spans="1:10" x14ac:dyDescent="0.3">
      <c r="A56" s="1" t="str">
        <f t="shared" si="0"/>
        <v>02 EE2 33.8</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3188</v>
      </c>
    </row>
    <row r="57" spans="1:10" x14ac:dyDescent="0.3">
      <c r="A57" s="1" t="str">
        <f t="shared" si="0"/>
        <v>02 EE2 33.8</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3189</v>
      </c>
    </row>
    <row r="58" spans="1:10" x14ac:dyDescent="0.3">
      <c r="A58" s="1" t="str">
        <f t="shared" si="0"/>
        <v>02 EE2 33.8</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3190</v>
      </c>
    </row>
    <row r="59" spans="1:10" x14ac:dyDescent="0.3">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10" x14ac:dyDescent="0.3">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243</v>
      </c>
      <c r="D60" s="1" t="s">
        <v>112</v>
      </c>
      <c r="E60" s="1" t="s">
        <v>244</v>
      </c>
      <c r="F60" s="1" t="s">
        <v>245</v>
      </c>
      <c r="G60" s="1" t="s">
        <v>246</v>
      </c>
      <c r="H60" s="1" t="s">
        <v>247</v>
      </c>
      <c r="I60" s="1" t="s">
        <v>248</v>
      </c>
      <c r="J60" s="1" t="s">
        <v>249</v>
      </c>
    </row>
    <row r="61" spans="1:10" x14ac:dyDescent="0.3">
      <c r="A61" s="1" t="str">
        <f t="shared" si="0"/>
        <v>02 EE2 33.8</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3191</v>
      </c>
      <c r="D61" s="1" t="s">
        <v>112</v>
      </c>
      <c r="E61" s="1" t="s">
        <v>3192</v>
      </c>
      <c r="F61" s="1" t="s">
        <v>3193</v>
      </c>
      <c r="G61" s="1" t="s">
        <v>3194</v>
      </c>
      <c r="H61" s="1" t="s">
        <v>3195</v>
      </c>
      <c r="I61" s="1">
        <v>24</v>
      </c>
      <c r="J61" s="1">
        <v>24</v>
      </c>
    </row>
    <row r="62" spans="1:10" x14ac:dyDescent="0.3">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10" x14ac:dyDescent="0.3">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10" x14ac:dyDescent="0.3">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3">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3">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3">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255</v>
      </c>
      <c r="D67" s="1" t="s">
        <v>110</v>
      </c>
      <c r="E67" s="1" t="s">
        <v>111</v>
      </c>
      <c r="F67" s="1" t="s">
        <v>112</v>
      </c>
      <c r="G67" s="1" t="s">
        <v>113</v>
      </c>
    </row>
    <row r="68" spans="1:7" x14ac:dyDescent="0.3">
      <c r="A68" s="1" t="str">
        <f t="shared" si="1"/>
        <v>03 EE2 50</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3196</v>
      </c>
    </row>
    <row r="69" spans="1:7" x14ac:dyDescent="0.3">
      <c r="A69" s="1" t="str">
        <f t="shared" si="1"/>
        <v>03 EE2 50</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3197</v>
      </c>
      <c r="D69" s="1" t="s">
        <v>3198</v>
      </c>
      <c r="E69" s="1" t="s">
        <v>3199</v>
      </c>
      <c r="F69" s="1" t="s">
        <v>112</v>
      </c>
      <c r="G69" s="1">
        <v>217272</v>
      </c>
    </row>
    <row r="70" spans="1:7" x14ac:dyDescent="0.3">
      <c r="A70" s="1" t="str">
        <f t="shared" si="1"/>
        <v>03 EE2 50</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3200</v>
      </c>
      <c r="D70" s="1" t="s">
        <v>223</v>
      </c>
      <c r="E70" s="1" t="s">
        <v>3201</v>
      </c>
      <c r="F70" s="1" t="s">
        <v>112</v>
      </c>
      <c r="G70" s="1">
        <v>279328</v>
      </c>
    </row>
    <row r="71" spans="1:7" x14ac:dyDescent="0.3">
      <c r="A71" s="1" t="str">
        <f t="shared" si="1"/>
        <v>03 EE2 50</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3202</v>
      </c>
      <c r="D71" s="1" t="s">
        <v>241</v>
      </c>
      <c r="E71" s="1" t="s">
        <v>3203</v>
      </c>
      <c r="F71" s="1" t="s">
        <v>112</v>
      </c>
      <c r="G71" s="1">
        <v>75834</v>
      </c>
    </row>
    <row r="72" spans="1:7" x14ac:dyDescent="0.3">
      <c r="A72" s="1" t="str">
        <f t="shared" si="1"/>
        <v>03 EE2 50</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3204</v>
      </c>
      <c r="D72" s="1" t="s">
        <v>888</v>
      </c>
      <c r="E72" s="1" t="s">
        <v>3205</v>
      </c>
      <c r="F72" s="1" t="s">
        <v>112</v>
      </c>
      <c r="G72" s="1">
        <v>181734</v>
      </c>
    </row>
    <row r="73" spans="1:7" x14ac:dyDescent="0.3">
      <c r="A73" s="1" t="str">
        <f t="shared" si="1"/>
        <v>03 EE2 50</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3206</v>
      </c>
      <c r="D73" s="1" t="s">
        <v>414</v>
      </c>
      <c r="E73" s="1" t="s">
        <v>3207</v>
      </c>
      <c r="F73" s="1" t="s">
        <v>112</v>
      </c>
      <c r="G73" s="1">
        <v>41984</v>
      </c>
    </row>
    <row r="74" spans="1:7" x14ac:dyDescent="0.3">
      <c r="A74" s="1" t="str">
        <f t="shared" si="1"/>
        <v>03 EE2 50</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3208</v>
      </c>
      <c r="D74" s="1" t="s">
        <v>414</v>
      </c>
      <c r="E74" s="1" t="s">
        <v>3209</v>
      </c>
      <c r="F74" s="1" t="s">
        <v>112</v>
      </c>
      <c r="G74" s="1">
        <v>43325</v>
      </c>
    </row>
    <row r="75" spans="1:7" x14ac:dyDescent="0.3">
      <c r="A75" s="1" t="str">
        <f t="shared" si="1"/>
        <v>03 EE2 50</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3210</v>
      </c>
      <c r="D75" s="1" t="s">
        <v>1927</v>
      </c>
      <c r="E75" s="1" t="s">
        <v>3211</v>
      </c>
      <c r="F75" s="1" t="s">
        <v>112</v>
      </c>
      <c r="G75" s="1">
        <v>21587</v>
      </c>
    </row>
    <row r="76" spans="1:7" x14ac:dyDescent="0.3">
      <c r="A76" s="1" t="str">
        <f t="shared" si="1"/>
        <v>03 EE2 50</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3212</v>
      </c>
      <c r="D76" s="1" t="s">
        <v>774</v>
      </c>
      <c r="E76" s="1" t="s">
        <v>3213</v>
      </c>
      <c r="F76" s="1" t="s">
        <v>112</v>
      </c>
      <c r="G76" s="1">
        <v>73520</v>
      </c>
    </row>
    <row r="77" spans="1:7" x14ac:dyDescent="0.3">
      <c r="A77" s="1" t="str">
        <f t="shared" si="1"/>
        <v>03 EE2 50</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3214</v>
      </c>
      <c r="D77" s="1" t="s">
        <v>269</v>
      </c>
      <c r="E77" s="1" t="s">
        <v>3215</v>
      </c>
      <c r="F77" s="1" t="s">
        <v>112</v>
      </c>
      <c r="G77" s="1">
        <v>129628</v>
      </c>
    </row>
    <row r="78" spans="1:7" x14ac:dyDescent="0.3">
      <c r="A78" s="1" t="str">
        <f t="shared" si="1"/>
        <v>03 EE2 50</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3216</v>
      </c>
      <c r="D78" s="1" t="s">
        <v>935</v>
      </c>
      <c r="E78" s="1" t="s">
        <v>1928</v>
      </c>
      <c r="F78" s="1" t="s">
        <v>112</v>
      </c>
      <c r="G78" s="1">
        <v>65993</v>
      </c>
    </row>
    <row r="79" spans="1:7" x14ac:dyDescent="0.3">
      <c r="A79" s="1" t="str">
        <f t="shared" si="1"/>
        <v>03 EE2 50</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3217</v>
      </c>
      <c r="D79" s="1" t="s">
        <v>3218</v>
      </c>
      <c r="E79" s="1" t="s">
        <v>3219</v>
      </c>
      <c r="F79" s="1" t="s">
        <v>112</v>
      </c>
      <c r="G79" s="1">
        <v>80269</v>
      </c>
    </row>
    <row r="80" spans="1:7" x14ac:dyDescent="0.3">
      <c r="A80" s="1" t="str">
        <f t="shared" si="1"/>
        <v>03 EE2 50</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3220</v>
      </c>
      <c r="D80" s="1" t="s">
        <v>3221</v>
      </c>
      <c r="E80" s="1" t="s">
        <v>3222</v>
      </c>
      <c r="F80" s="1" t="s">
        <v>112</v>
      </c>
      <c r="G80" s="1">
        <v>407248</v>
      </c>
    </row>
    <row r="81" spans="1:10" x14ac:dyDescent="0.3">
      <c r="A81" s="1" t="str">
        <f t="shared" si="1"/>
        <v>03 EE2 50</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3223</v>
      </c>
      <c r="D81" s="1" t="s">
        <v>3224</v>
      </c>
      <c r="E81" s="1" t="s">
        <v>3225</v>
      </c>
      <c r="F81" s="1" t="s">
        <v>112</v>
      </c>
      <c r="G81" s="1">
        <v>161900</v>
      </c>
    </row>
    <row r="82" spans="1:10" x14ac:dyDescent="0.3">
      <c r="A82" s="1" t="str">
        <f t="shared" si="1"/>
        <v>03 EE2 50</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3226</v>
      </c>
      <c r="D82" s="1" t="s">
        <v>2242</v>
      </c>
      <c r="E82" s="1" t="s">
        <v>3227</v>
      </c>
      <c r="F82" s="1" t="s">
        <v>112</v>
      </c>
      <c r="G82" s="1">
        <v>168108</v>
      </c>
    </row>
    <row r="83" spans="1:10" x14ac:dyDescent="0.3">
      <c r="A83" s="1" t="str">
        <f t="shared" si="1"/>
        <v>03 EE2 50</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3228</v>
      </c>
    </row>
    <row r="84" spans="1:10" x14ac:dyDescent="0.3">
      <c r="A84" s="1" t="str">
        <f t="shared" si="1"/>
        <v>03 EE2 50</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3229</v>
      </c>
    </row>
    <row r="85" spans="1:10" x14ac:dyDescent="0.3">
      <c r="A85" s="1" t="str">
        <f t="shared" si="1"/>
        <v>03 EE2 50</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3230</v>
      </c>
    </row>
    <row r="86" spans="1:10" x14ac:dyDescent="0.3">
      <c r="A86" s="1" t="str">
        <f t="shared" si="1"/>
        <v>03 EE2 50</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3231</v>
      </c>
      <c r="D86" s="1" t="s">
        <v>2381</v>
      </c>
      <c r="E86" s="1" t="s">
        <v>3232</v>
      </c>
      <c r="F86" s="1" t="s">
        <v>112</v>
      </c>
      <c r="G86" s="1">
        <v>684738</v>
      </c>
    </row>
    <row r="87" spans="1:10" x14ac:dyDescent="0.3">
      <c r="A87" s="1" t="str">
        <f t="shared" si="1"/>
        <v>03 EE2 50</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3233</v>
      </c>
      <c r="D87" s="1" t="s">
        <v>913</v>
      </c>
      <c r="E87" s="1" t="s">
        <v>3234</v>
      </c>
      <c r="F87" s="1" t="s">
        <v>112</v>
      </c>
      <c r="G87" s="1">
        <v>132051</v>
      </c>
    </row>
    <row r="88" spans="1:10" x14ac:dyDescent="0.3">
      <c r="A88" s="1" t="str">
        <f t="shared" si="1"/>
        <v>03 EE2 50</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3235</v>
      </c>
      <c r="D88" s="1" t="s">
        <v>2318</v>
      </c>
      <c r="E88" s="1" t="s">
        <v>3236</v>
      </c>
      <c r="F88" s="1" t="s">
        <v>112</v>
      </c>
      <c r="G88" s="1">
        <v>444905</v>
      </c>
    </row>
    <row r="89" spans="1:10" x14ac:dyDescent="0.3">
      <c r="A89" s="1" t="str">
        <f t="shared" si="1"/>
        <v>03 EE2 50</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3237</v>
      </c>
      <c r="D89" s="1" t="s">
        <v>1861</v>
      </c>
      <c r="E89" s="1" t="s">
        <v>3238</v>
      </c>
      <c r="F89" s="1" t="s">
        <v>112</v>
      </c>
      <c r="G89" s="1">
        <v>164366</v>
      </c>
    </row>
    <row r="90" spans="1:10" x14ac:dyDescent="0.3">
      <c r="A90" s="1" t="str">
        <f t="shared" si="1"/>
        <v>03 EE2 50</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3239</v>
      </c>
      <c r="D90" s="1" t="s">
        <v>3240</v>
      </c>
      <c r="E90" s="1" t="s">
        <v>3241</v>
      </c>
      <c r="F90" s="1" t="s">
        <v>112</v>
      </c>
      <c r="G90" s="1">
        <v>134862</v>
      </c>
    </row>
    <row r="91" spans="1:10" x14ac:dyDescent="0.3">
      <c r="A91" s="1" t="str">
        <f t="shared" si="1"/>
        <v>03 EE2 50</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3242</v>
      </c>
      <c r="D91" s="1" t="s">
        <v>1811</v>
      </c>
      <c r="E91" s="1" t="s">
        <v>2715</v>
      </c>
      <c r="F91" s="1" t="s">
        <v>112</v>
      </c>
      <c r="G91" s="1">
        <v>16439</v>
      </c>
    </row>
    <row r="92" spans="1:10" x14ac:dyDescent="0.3">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10" x14ac:dyDescent="0.3">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243</v>
      </c>
      <c r="D93" s="1" t="s">
        <v>112</v>
      </c>
      <c r="E93" s="1" t="s">
        <v>244</v>
      </c>
      <c r="F93" s="1" t="s">
        <v>245</v>
      </c>
      <c r="G93" s="1" t="s">
        <v>246</v>
      </c>
      <c r="H93" s="1" t="s">
        <v>247</v>
      </c>
      <c r="I93" s="1" t="s">
        <v>248</v>
      </c>
      <c r="J93" s="1" t="s">
        <v>249</v>
      </c>
    </row>
    <row r="94" spans="1:10" x14ac:dyDescent="0.3">
      <c r="A94" s="1" t="str">
        <f t="shared" si="1"/>
        <v>03 EE2 50</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3243</v>
      </c>
      <c r="D94" s="1" t="s">
        <v>112</v>
      </c>
      <c r="E94" s="1" t="s">
        <v>3244</v>
      </c>
      <c r="F94" s="1" t="s">
        <v>3245</v>
      </c>
      <c r="G94" s="1" t="s">
        <v>3246</v>
      </c>
      <c r="H94" s="1" t="s">
        <v>3247</v>
      </c>
      <c r="I94" s="1">
        <v>24</v>
      </c>
      <c r="J94" s="1">
        <v>24</v>
      </c>
    </row>
    <row r="95" spans="1:10" x14ac:dyDescent="0.3">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10" x14ac:dyDescent="0.3">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3">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3">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3">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3">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255</v>
      </c>
      <c r="D100" s="1" t="s">
        <v>110</v>
      </c>
      <c r="E100" s="1" t="s">
        <v>111</v>
      </c>
      <c r="F100" s="1" t="s">
        <v>112</v>
      </c>
      <c r="G100" s="1" t="s">
        <v>113</v>
      </c>
    </row>
    <row r="101" spans="1:7" x14ac:dyDescent="0.3">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3248</v>
      </c>
      <c r="D101" s="1" t="s">
        <v>3167</v>
      </c>
      <c r="E101" s="1" t="s">
        <v>3249</v>
      </c>
      <c r="F101" s="1" t="s">
        <v>112</v>
      </c>
      <c r="G101" s="1">
        <v>740651</v>
      </c>
    </row>
    <row r="102" spans="1:7" x14ac:dyDescent="0.3">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3250</v>
      </c>
      <c r="D102" s="1" t="s">
        <v>1896</v>
      </c>
      <c r="E102" s="1" t="s">
        <v>3251</v>
      </c>
      <c r="F102" s="1" t="s">
        <v>112</v>
      </c>
      <c r="G102" s="1">
        <v>713419</v>
      </c>
    </row>
    <row r="103" spans="1:7" x14ac:dyDescent="0.3">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3252</v>
      </c>
      <c r="D103" s="1" t="s">
        <v>3253</v>
      </c>
      <c r="E103" s="1" t="s">
        <v>3254</v>
      </c>
      <c r="F103" s="1" t="s">
        <v>112</v>
      </c>
      <c r="G103" s="1">
        <v>398250</v>
      </c>
    </row>
    <row r="104" spans="1:7" x14ac:dyDescent="0.3">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3255</v>
      </c>
    </row>
    <row r="105" spans="1:7" x14ac:dyDescent="0.3">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3256</v>
      </c>
    </row>
    <row r="106" spans="1:7" x14ac:dyDescent="0.3">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3257</v>
      </c>
    </row>
    <row r="107" spans="1:7" x14ac:dyDescent="0.3">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3258</v>
      </c>
    </row>
    <row r="108" spans="1:7" x14ac:dyDescent="0.3">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3259</v>
      </c>
      <c r="D108" s="1" t="s">
        <v>3260</v>
      </c>
      <c r="E108" s="1" t="s">
        <v>3261</v>
      </c>
      <c r="F108" s="1" t="s">
        <v>112</v>
      </c>
      <c r="G108" s="1">
        <v>2341112</v>
      </c>
    </row>
    <row r="109" spans="1:7" x14ac:dyDescent="0.3">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3262</v>
      </c>
    </row>
    <row r="110" spans="1:7" x14ac:dyDescent="0.3">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3263</v>
      </c>
      <c r="D110" s="1" t="s">
        <v>3264</v>
      </c>
      <c r="E110" s="1" t="s">
        <v>3265</v>
      </c>
      <c r="F110" s="1" t="s">
        <v>112</v>
      </c>
      <c r="G110" s="1">
        <v>1317650</v>
      </c>
    </row>
    <row r="111" spans="1:7" x14ac:dyDescent="0.3">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3266</v>
      </c>
      <c r="D111" s="1" t="s">
        <v>2578</v>
      </c>
      <c r="E111" s="1" t="s">
        <v>3267</v>
      </c>
      <c r="F111" s="1" t="s">
        <v>112</v>
      </c>
      <c r="G111" s="1">
        <v>1317347</v>
      </c>
    </row>
    <row r="112" spans="1:7" x14ac:dyDescent="0.3">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3268</v>
      </c>
      <c r="D112" s="1" t="s">
        <v>3269</v>
      </c>
      <c r="E112" s="1" t="s">
        <v>3270</v>
      </c>
      <c r="F112" s="1" t="s">
        <v>112</v>
      </c>
      <c r="G112" s="1">
        <v>1153912</v>
      </c>
    </row>
    <row r="113" spans="1:10" x14ac:dyDescent="0.3">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3271</v>
      </c>
      <c r="D113" s="1" t="s">
        <v>2406</v>
      </c>
      <c r="E113" s="1" t="s">
        <v>3272</v>
      </c>
      <c r="F113" s="1" t="s">
        <v>112</v>
      </c>
      <c r="G113" s="1">
        <v>849903</v>
      </c>
    </row>
    <row r="114" spans="1:10" x14ac:dyDescent="0.3">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3273</v>
      </c>
      <c r="D114" s="1" t="s">
        <v>3274</v>
      </c>
      <c r="E114" s="1" t="s">
        <v>3275</v>
      </c>
      <c r="F114" s="1" t="s">
        <v>112</v>
      </c>
      <c r="G114" s="1">
        <v>672041</v>
      </c>
    </row>
    <row r="115" spans="1:10" x14ac:dyDescent="0.3">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3276</v>
      </c>
      <c r="D115" s="1" t="s">
        <v>3165</v>
      </c>
      <c r="E115" s="1" t="s">
        <v>3277</v>
      </c>
      <c r="F115" s="1" t="s">
        <v>112</v>
      </c>
      <c r="G115" s="1">
        <v>884079</v>
      </c>
    </row>
    <row r="116" spans="1:10" x14ac:dyDescent="0.3">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3278</v>
      </c>
      <c r="D116" s="1" t="s">
        <v>2823</v>
      </c>
      <c r="E116" s="1" t="s">
        <v>3279</v>
      </c>
      <c r="F116" s="1" t="s">
        <v>112</v>
      </c>
      <c r="G116" s="1">
        <v>1148245</v>
      </c>
    </row>
    <row r="117" spans="1:10" x14ac:dyDescent="0.3">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3280</v>
      </c>
      <c r="D117" s="1" t="s">
        <v>3281</v>
      </c>
      <c r="E117" s="1" t="s">
        <v>3282</v>
      </c>
      <c r="F117" s="1" t="s">
        <v>112</v>
      </c>
      <c r="G117" s="1">
        <v>847957</v>
      </c>
    </row>
    <row r="118" spans="1:10" x14ac:dyDescent="0.3">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3283</v>
      </c>
      <c r="D118" s="1" t="s">
        <v>3284</v>
      </c>
      <c r="E118" s="1" t="s">
        <v>3285</v>
      </c>
      <c r="F118" s="1" t="s">
        <v>112</v>
      </c>
      <c r="G118" s="1">
        <v>959870</v>
      </c>
    </row>
    <row r="119" spans="1:10" x14ac:dyDescent="0.3">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3286</v>
      </c>
      <c r="D119" s="1" t="s">
        <v>3287</v>
      </c>
      <c r="E119" s="1" t="s">
        <v>3288</v>
      </c>
      <c r="F119" s="1" t="s">
        <v>112</v>
      </c>
      <c r="G119" s="1">
        <v>540380</v>
      </c>
    </row>
    <row r="120" spans="1:10" x14ac:dyDescent="0.3">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3289</v>
      </c>
      <c r="D120" s="1" t="s">
        <v>3290</v>
      </c>
      <c r="E120" s="1" t="s">
        <v>3291</v>
      </c>
      <c r="F120" s="1" t="s">
        <v>112</v>
      </c>
      <c r="G120" s="1">
        <v>468439</v>
      </c>
    </row>
    <row r="121" spans="1:10" x14ac:dyDescent="0.3">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3292</v>
      </c>
      <c r="D121" s="1" t="s">
        <v>3293</v>
      </c>
      <c r="E121" s="1" t="s">
        <v>3294</v>
      </c>
      <c r="F121" s="1" t="s">
        <v>112</v>
      </c>
      <c r="G121" s="1">
        <v>530495</v>
      </c>
    </row>
    <row r="122" spans="1:10" x14ac:dyDescent="0.3">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3295</v>
      </c>
      <c r="D122" s="1" t="s">
        <v>3296</v>
      </c>
      <c r="E122" s="1" t="s">
        <v>3297</v>
      </c>
      <c r="F122" s="1" t="s">
        <v>112</v>
      </c>
      <c r="G122" s="1">
        <v>453103</v>
      </c>
    </row>
    <row r="123" spans="1:10" x14ac:dyDescent="0.3">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3298</v>
      </c>
      <c r="D123" s="1" t="s">
        <v>3299</v>
      </c>
      <c r="E123" s="1" t="s">
        <v>3300</v>
      </c>
      <c r="F123" s="1" t="s">
        <v>112</v>
      </c>
      <c r="G123" s="1">
        <v>192484</v>
      </c>
    </row>
    <row r="124" spans="1:10" x14ac:dyDescent="0.3">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3301</v>
      </c>
      <c r="D124" s="1" t="s">
        <v>2705</v>
      </c>
      <c r="E124" s="1">
        <v>63</v>
      </c>
      <c r="F124" s="1" t="s">
        <v>112</v>
      </c>
      <c r="G124" s="1">
        <v>40881</v>
      </c>
    </row>
    <row r="125" spans="1:10" x14ac:dyDescent="0.3">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10" x14ac:dyDescent="0.3">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243</v>
      </c>
      <c r="D126" s="1" t="s">
        <v>112</v>
      </c>
      <c r="E126" s="1" t="s">
        <v>244</v>
      </c>
      <c r="F126" s="1" t="s">
        <v>245</v>
      </c>
      <c r="G126" s="1" t="s">
        <v>246</v>
      </c>
      <c r="H126" s="1" t="s">
        <v>247</v>
      </c>
      <c r="I126" s="1" t="s">
        <v>248</v>
      </c>
      <c r="J126" s="1" t="s">
        <v>249</v>
      </c>
    </row>
    <row r="127" spans="1:10" x14ac:dyDescent="0.3">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3302</v>
      </c>
      <c r="D127" s="1" t="s">
        <v>112</v>
      </c>
      <c r="E127" s="1" t="s">
        <v>3303</v>
      </c>
      <c r="F127" s="1" t="s">
        <v>3304</v>
      </c>
      <c r="G127" s="1" t="s">
        <v>3305</v>
      </c>
      <c r="H127" s="1" t="s">
        <v>3306</v>
      </c>
      <c r="I127" s="1">
        <v>24</v>
      </c>
      <c r="J127" s="1">
        <v>24</v>
      </c>
    </row>
    <row r="128" spans="1:10" x14ac:dyDescent="0.3">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3">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3">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3">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3">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3">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255</v>
      </c>
      <c r="D133" s="1" t="s">
        <v>110</v>
      </c>
      <c r="E133" s="1" t="s">
        <v>111</v>
      </c>
      <c r="F133" s="1" t="s">
        <v>112</v>
      </c>
      <c r="G133" s="1" t="s">
        <v>113</v>
      </c>
    </row>
    <row r="134" spans="1:7" x14ac:dyDescent="0.3">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3307</v>
      </c>
      <c r="D134" s="1" t="s">
        <v>480</v>
      </c>
      <c r="E134" s="1" t="s">
        <v>3308</v>
      </c>
      <c r="F134" s="1" t="s">
        <v>112</v>
      </c>
      <c r="G134" s="1">
        <v>2856206</v>
      </c>
    </row>
    <row r="135" spans="1:7" x14ac:dyDescent="0.3">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3309</v>
      </c>
      <c r="D135" s="1" t="s">
        <v>3310</v>
      </c>
      <c r="E135" s="1" t="s">
        <v>3311</v>
      </c>
      <c r="F135" s="1" t="s">
        <v>112</v>
      </c>
      <c r="G135" s="1">
        <v>3120891</v>
      </c>
    </row>
    <row r="136" spans="1:7" x14ac:dyDescent="0.3">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3312</v>
      </c>
      <c r="D136" s="1" t="s">
        <v>3313</v>
      </c>
      <c r="E136" s="1" t="s">
        <v>3314</v>
      </c>
      <c r="F136" s="1" t="s">
        <v>112</v>
      </c>
      <c r="G136" s="1">
        <v>3033831</v>
      </c>
    </row>
    <row r="137" spans="1:7" x14ac:dyDescent="0.3">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3315</v>
      </c>
      <c r="D137" s="1" t="s">
        <v>3316</v>
      </c>
      <c r="E137" s="1" t="s">
        <v>3317</v>
      </c>
      <c r="F137" s="1" t="s">
        <v>112</v>
      </c>
      <c r="G137" s="1">
        <v>2179342</v>
      </c>
    </row>
    <row r="138" spans="1:7" x14ac:dyDescent="0.3">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3318</v>
      </c>
      <c r="D138" s="1" t="s">
        <v>3319</v>
      </c>
      <c r="E138" s="1" t="s">
        <v>3320</v>
      </c>
      <c r="F138" s="1" t="s">
        <v>112</v>
      </c>
      <c r="G138" s="1">
        <v>1626893</v>
      </c>
    </row>
    <row r="139" spans="1:7" x14ac:dyDescent="0.3">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3321</v>
      </c>
      <c r="D139" s="1" t="s">
        <v>3322</v>
      </c>
      <c r="E139" s="1" t="s">
        <v>3323</v>
      </c>
      <c r="F139" s="1" t="s">
        <v>112</v>
      </c>
      <c r="G139" s="1">
        <v>2437732</v>
      </c>
    </row>
    <row r="140" spans="1:7" x14ac:dyDescent="0.3">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3324</v>
      </c>
      <c r="D140" s="1" t="s">
        <v>2484</v>
      </c>
      <c r="E140" s="1" t="s">
        <v>3325</v>
      </c>
      <c r="F140" s="1" t="s">
        <v>112</v>
      </c>
      <c r="G140" s="1">
        <v>2918219</v>
      </c>
    </row>
    <row r="141" spans="1:7" x14ac:dyDescent="0.3">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3326</v>
      </c>
      <c r="D141" s="1" t="s">
        <v>3327</v>
      </c>
      <c r="E141" s="1" t="s">
        <v>3328</v>
      </c>
      <c r="F141" s="1" t="s">
        <v>112</v>
      </c>
      <c r="G141" s="1">
        <v>3109232</v>
      </c>
    </row>
    <row r="142" spans="1:7" x14ac:dyDescent="0.3">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3329</v>
      </c>
      <c r="D142" s="1" t="s">
        <v>3330</v>
      </c>
      <c r="E142" s="1" t="s">
        <v>3331</v>
      </c>
      <c r="F142" s="1" t="s">
        <v>112</v>
      </c>
      <c r="G142" s="1">
        <v>2947549</v>
      </c>
    </row>
    <row r="143" spans="1:7" x14ac:dyDescent="0.3">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3332</v>
      </c>
      <c r="D143" s="1" t="s">
        <v>3333</v>
      </c>
      <c r="E143" s="1" t="s">
        <v>3334</v>
      </c>
      <c r="F143" s="1" t="s">
        <v>112</v>
      </c>
      <c r="G143" s="1">
        <v>1515823</v>
      </c>
    </row>
    <row r="144" spans="1:7" x14ac:dyDescent="0.3">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3335</v>
      </c>
      <c r="D144" s="1" t="s">
        <v>3336</v>
      </c>
      <c r="E144" s="1" t="s">
        <v>3337</v>
      </c>
      <c r="F144" s="1" t="s">
        <v>112</v>
      </c>
      <c r="G144" s="1">
        <v>3654868</v>
      </c>
    </row>
    <row r="145" spans="1:10" x14ac:dyDescent="0.3">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3338</v>
      </c>
      <c r="D145" s="1" t="s">
        <v>3339</v>
      </c>
      <c r="E145" s="1" t="s">
        <v>3340</v>
      </c>
      <c r="F145" s="1" t="s">
        <v>112</v>
      </c>
      <c r="G145" s="1">
        <v>2403384</v>
      </c>
    </row>
    <row r="146" spans="1:10" x14ac:dyDescent="0.3">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3341</v>
      </c>
    </row>
    <row r="147" spans="1:10" x14ac:dyDescent="0.3">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3342</v>
      </c>
    </row>
    <row r="148" spans="1:10" x14ac:dyDescent="0.3">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3343</v>
      </c>
      <c r="D148" s="1" t="s">
        <v>3344</v>
      </c>
      <c r="E148" s="1" t="s">
        <v>3345</v>
      </c>
      <c r="F148" s="1" t="s">
        <v>112</v>
      </c>
      <c r="G148" s="1">
        <v>2332698</v>
      </c>
    </row>
    <row r="149" spans="1:10" x14ac:dyDescent="0.3">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3346</v>
      </c>
      <c r="D149" s="1" t="s">
        <v>2024</v>
      </c>
      <c r="E149" s="1" t="s">
        <v>3347</v>
      </c>
      <c r="F149" s="1" t="s">
        <v>112</v>
      </c>
      <c r="G149" s="1">
        <v>3200121</v>
      </c>
    </row>
    <row r="150" spans="1:10" x14ac:dyDescent="0.3">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3348</v>
      </c>
      <c r="D150" s="1" t="s">
        <v>1403</v>
      </c>
      <c r="E150" s="1" t="s">
        <v>3349</v>
      </c>
      <c r="F150" s="1" t="s">
        <v>112</v>
      </c>
      <c r="G150" s="1">
        <v>2801374</v>
      </c>
    </row>
    <row r="151" spans="1:10" x14ac:dyDescent="0.3">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3350</v>
      </c>
      <c r="D151" s="1" t="s">
        <v>3351</v>
      </c>
      <c r="E151" s="1" t="s">
        <v>3352</v>
      </c>
      <c r="F151" s="1" t="s">
        <v>112</v>
      </c>
      <c r="G151" s="1">
        <v>3082044</v>
      </c>
    </row>
    <row r="152" spans="1:10" x14ac:dyDescent="0.3">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3353</v>
      </c>
      <c r="D152" s="1" t="s">
        <v>3354</v>
      </c>
      <c r="E152" s="1" t="s">
        <v>3355</v>
      </c>
      <c r="F152" s="1" t="s">
        <v>112</v>
      </c>
      <c r="G152" s="1">
        <v>3849862</v>
      </c>
    </row>
    <row r="153" spans="1:10" x14ac:dyDescent="0.3">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3356</v>
      </c>
      <c r="D153" s="1" t="s">
        <v>3357</v>
      </c>
      <c r="E153" s="1" t="s">
        <v>3358</v>
      </c>
      <c r="F153" s="1" t="s">
        <v>112</v>
      </c>
      <c r="G153" s="1">
        <v>3729859</v>
      </c>
    </row>
    <row r="154" spans="1:10" x14ac:dyDescent="0.3">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3359</v>
      </c>
      <c r="D154" s="1" t="s">
        <v>3360</v>
      </c>
      <c r="E154" s="1" t="s">
        <v>3361</v>
      </c>
      <c r="F154" s="1" t="s">
        <v>112</v>
      </c>
      <c r="G154" s="1">
        <v>3981198</v>
      </c>
    </row>
    <row r="155" spans="1:10" x14ac:dyDescent="0.3">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3362</v>
      </c>
      <c r="D155" s="1" t="s">
        <v>3363</v>
      </c>
      <c r="E155" s="1" t="s">
        <v>3364</v>
      </c>
      <c r="F155" s="1" t="s">
        <v>112</v>
      </c>
      <c r="G155" s="1">
        <v>1715727</v>
      </c>
    </row>
    <row r="156" spans="1:10" x14ac:dyDescent="0.3">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3365</v>
      </c>
      <c r="D156" s="1" t="s">
        <v>3366</v>
      </c>
      <c r="E156" s="1" t="s">
        <v>3367</v>
      </c>
      <c r="F156" s="1" t="s">
        <v>112</v>
      </c>
      <c r="G156" s="1">
        <v>959307</v>
      </c>
    </row>
    <row r="157" spans="1:10" x14ac:dyDescent="0.3">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3368</v>
      </c>
      <c r="D157" s="1" t="s">
        <v>3369</v>
      </c>
      <c r="E157" s="1" t="s">
        <v>3370</v>
      </c>
      <c r="F157" s="1" t="s">
        <v>112</v>
      </c>
      <c r="G157" s="1">
        <v>1616813</v>
      </c>
    </row>
    <row r="158" spans="1:10" x14ac:dyDescent="0.3">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10" x14ac:dyDescent="0.3">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243</v>
      </c>
      <c r="D159" s="1" t="s">
        <v>112</v>
      </c>
      <c r="E159" s="1" t="s">
        <v>244</v>
      </c>
      <c r="F159" s="1" t="s">
        <v>245</v>
      </c>
      <c r="G159" s="1" t="s">
        <v>246</v>
      </c>
      <c r="H159" s="1" t="s">
        <v>247</v>
      </c>
      <c r="I159" s="1" t="s">
        <v>248</v>
      </c>
      <c r="J159" s="1" t="s">
        <v>249</v>
      </c>
    </row>
    <row r="160" spans="1:10" x14ac:dyDescent="0.3">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3371</v>
      </c>
      <c r="D160" s="1" t="s">
        <v>112</v>
      </c>
      <c r="E160" s="1" t="s">
        <v>3372</v>
      </c>
      <c r="F160" s="1" t="s">
        <v>3373</v>
      </c>
      <c r="G160" s="1" t="s">
        <v>3374</v>
      </c>
      <c r="H160" s="1" t="s">
        <v>3375</v>
      </c>
      <c r="I160" s="1">
        <v>24</v>
      </c>
      <c r="J160" s="1">
        <v>24</v>
      </c>
    </row>
    <row r="161" spans="1:7" x14ac:dyDescent="0.3">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3">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3">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3">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3">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3">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255</v>
      </c>
      <c r="D166" s="1" t="s">
        <v>110</v>
      </c>
      <c r="E166" s="1" t="s">
        <v>111</v>
      </c>
      <c r="F166" s="1" t="s">
        <v>112</v>
      </c>
      <c r="G166" s="1" t="s">
        <v>113</v>
      </c>
    </row>
    <row r="167" spans="1:7" x14ac:dyDescent="0.3">
      <c r="A167" s="1" t="str">
        <f t="shared" si="2"/>
        <v>06 EE2 170</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3376</v>
      </c>
      <c r="D167" s="1" t="s">
        <v>3377</v>
      </c>
      <c r="E167" s="1" t="s">
        <v>3378</v>
      </c>
      <c r="F167" s="1" t="s">
        <v>112</v>
      </c>
      <c r="G167" s="1">
        <v>4036246</v>
      </c>
    </row>
    <row r="168" spans="1:7" x14ac:dyDescent="0.3">
      <c r="A168" s="1" t="str">
        <f t="shared" si="2"/>
        <v>06 EE2 170</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3379</v>
      </c>
      <c r="D168" s="1" t="s">
        <v>2998</v>
      </c>
      <c r="E168" s="1" t="s">
        <v>3380</v>
      </c>
      <c r="F168" s="1" t="s">
        <v>112</v>
      </c>
      <c r="G168" s="1">
        <v>3015921</v>
      </c>
    </row>
    <row r="169" spans="1:7" x14ac:dyDescent="0.3">
      <c r="A169" s="1" t="str">
        <f t="shared" si="2"/>
        <v>06 EE2 170</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3381</v>
      </c>
      <c r="D169" s="1" t="s">
        <v>469</v>
      </c>
      <c r="E169" s="1" t="s">
        <v>3382</v>
      </c>
      <c r="F169" s="1" t="s">
        <v>112</v>
      </c>
      <c r="G169" s="1">
        <v>247489</v>
      </c>
    </row>
    <row r="170" spans="1:7" x14ac:dyDescent="0.3">
      <c r="A170" s="1" t="str">
        <f t="shared" si="2"/>
        <v>06 EE2 170</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3383</v>
      </c>
      <c r="D170" s="1" t="s">
        <v>3384</v>
      </c>
      <c r="E170" s="1" t="s">
        <v>3385</v>
      </c>
      <c r="F170" s="1" t="s">
        <v>112</v>
      </c>
      <c r="G170" s="1">
        <v>3166681</v>
      </c>
    </row>
    <row r="171" spans="1:7" x14ac:dyDescent="0.3">
      <c r="A171" s="1" t="str">
        <f t="shared" si="2"/>
        <v>06 EE2 170</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3386</v>
      </c>
      <c r="D171" s="1" t="s">
        <v>3387</v>
      </c>
      <c r="E171" s="1" t="s">
        <v>3388</v>
      </c>
      <c r="F171" s="1" t="s">
        <v>112</v>
      </c>
      <c r="G171" s="1">
        <v>2725540</v>
      </c>
    </row>
    <row r="172" spans="1:7" x14ac:dyDescent="0.3">
      <c r="A172" s="1" t="str">
        <f t="shared" si="2"/>
        <v>06 EE2 170</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3389</v>
      </c>
      <c r="D172" s="1" t="s">
        <v>557</v>
      </c>
      <c r="E172" s="1" t="s">
        <v>3390</v>
      </c>
      <c r="F172" s="1" t="s">
        <v>112</v>
      </c>
      <c r="G172" s="1">
        <v>2985380</v>
      </c>
    </row>
    <row r="173" spans="1:7" x14ac:dyDescent="0.3">
      <c r="A173" s="1" t="str">
        <f t="shared" si="2"/>
        <v>06 EE2 170</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3391</v>
      </c>
      <c r="D173" s="1" t="s">
        <v>3392</v>
      </c>
      <c r="E173" s="1" t="s">
        <v>3393</v>
      </c>
      <c r="F173" s="1" t="s">
        <v>112</v>
      </c>
      <c r="G173" s="1">
        <v>5983456</v>
      </c>
    </row>
    <row r="174" spans="1:7" x14ac:dyDescent="0.3">
      <c r="A174" s="1" t="str">
        <f t="shared" si="2"/>
        <v>06 EE2 170</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3394</v>
      </c>
      <c r="D174" s="1" t="s">
        <v>3395</v>
      </c>
      <c r="E174" s="1" t="s">
        <v>3396</v>
      </c>
      <c r="F174" s="1" t="s">
        <v>112</v>
      </c>
      <c r="G174" s="1">
        <v>5548847</v>
      </c>
    </row>
    <row r="175" spans="1:7" x14ac:dyDescent="0.3">
      <c r="A175" s="1" t="str">
        <f t="shared" si="2"/>
        <v>06 EE2 170</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3397</v>
      </c>
      <c r="D175" s="1" t="s">
        <v>3398</v>
      </c>
      <c r="E175" s="1" t="s">
        <v>3399</v>
      </c>
      <c r="F175" s="1" t="s">
        <v>112</v>
      </c>
      <c r="G175" s="1">
        <v>5940434</v>
      </c>
    </row>
    <row r="176" spans="1:7" x14ac:dyDescent="0.3">
      <c r="A176" s="1" t="str">
        <f t="shared" si="2"/>
        <v>06 EE2 170</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3400</v>
      </c>
      <c r="D176" s="1" t="s">
        <v>2630</v>
      </c>
      <c r="E176" s="1" t="s">
        <v>3401</v>
      </c>
      <c r="F176" s="1" t="s">
        <v>112</v>
      </c>
      <c r="G176" s="1">
        <v>3640095</v>
      </c>
    </row>
    <row r="177" spans="1:10" x14ac:dyDescent="0.3">
      <c r="A177" s="1" t="str">
        <f t="shared" si="2"/>
        <v>06 EE2 170</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3402</v>
      </c>
      <c r="D177" s="1" t="s">
        <v>3403</v>
      </c>
      <c r="E177" s="1" t="s">
        <v>3404</v>
      </c>
      <c r="F177" s="1" t="s">
        <v>112</v>
      </c>
      <c r="G177" s="1">
        <v>3218204</v>
      </c>
    </row>
    <row r="178" spans="1:10" x14ac:dyDescent="0.3">
      <c r="A178" s="1" t="str">
        <f t="shared" si="2"/>
        <v>06 EE2 170</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3405</v>
      </c>
      <c r="D178" s="1" t="s">
        <v>3406</v>
      </c>
      <c r="E178" s="1" t="s">
        <v>3407</v>
      </c>
      <c r="F178" s="1" t="s">
        <v>112</v>
      </c>
      <c r="G178" s="1">
        <v>3082260</v>
      </c>
    </row>
    <row r="179" spans="1:10" x14ac:dyDescent="0.3">
      <c r="A179" s="1" t="str">
        <f t="shared" si="2"/>
        <v>06 EE2 170</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3408</v>
      </c>
      <c r="D179" s="1" t="s">
        <v>3409</v>
      </c>
      <c r="E179" s="1" t="s">
        <v>3410</v>
      </c>
      <c r="F179" s="1" t="s">
        <v>112</v>
      </c>
      <c r="G179" s="1">
        <v>2805679</v>
      </c>
    </row>
    <row r="180" spans="1:10" x14ac:dyDescent="0.3">
      <c r="A180" s="1" t="str">
        <f t="shared" si="2"/>
        <v>06 EE2 170</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3411</v>
      </c>
      <c r="D180" s="1" t="s">
        <v>2581</v>
      </c>
      <c r="E180" s="1" t="s">
        <v>3412</v>
      </c>
      <c r="F180" s="1" t="s">
        <v>112</v>
      </c>
      <c r="G180" s="1">
        <v>3022864</v>
      </c>
    </row>
    <row r="181" spans="1:10" x14ac:dyDescent="0.3">
      <c r="A181" s="1" t="str">
        <f t="shared" si="2"/>
        <v>06 EE2 170</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3413</v>
      </c>
      <c r="D181" s="1" t="s">
        <v>2593</v>
      </c>
      <c r="E181" s="1" t="s">
        <v>3414</v>
      </c>
      <c r="F181" s="1" t="s">
        <v>112</v>
      </c>
      <c r="G181" s="1">
        <v>3348308</v>
      </c>
    </row>
    <row r="182" spans="1:10" x14ac:dyDescent="0.3">
      <c r="A182" s="1" t="str">
        <f t="shared" si="2"/>
        <v>06 EE2 170</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3415</v>
      </c>
      <c r="D182" s="1" t="s">
        <v>3416</v>
      </c>
      <c r="E182" s="1" t="s">
        <v>3417</v>
      </c>
      <c r="F182" s="1" t="s">
        <v>112</v>
      </c>
      <c r="G182" s="1">
        <v>2974868</v>
      </c>
    </row>
    <row r="183" spans="1:10" x14ac:dyDescent="0.3">
      <c r="A183" s="1" t="str">
        <f t="shared" si="2"/>
        <v>06 EE2 170</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3418</v>
      </c>
      <c r="D183" s="1" t="s">
        <v>3419</v>
      </c>
      <c r="E183" s="1" t="s">
        <v>3420</v>
      </c>
      <c r="F183" s="1" t="s">
        <v>112</v>
      </c>
      <c r="G183" s="1">
        <v>2628638</v>
      </c>
    </row>
    <row r="184" spans="1:10" x14ac:dyDescent="0.3">
      <c r="A184" s="1" t="str">
        <f t="shared" si="2"/>
        <v>06 EE2 170</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3421</v>
      </c>
      <c r="D184" s="1" t="s">
        <v>3422</v>
      </c>
      <c r="E184" s="1" t="s">
        <v>3423</v>
      </c>
      <c r="F184" s="1" t="s">
        <v>112</v>
      </c>
      <c r="G184" s="1">
        <v>2768843</v>
      </c>
    </row>
    <row r="185" spans="1:10" x14ac:dyDescent="0.3">
      <c r="A185" s="1" t="str">
        <f t="shared" si="2"/>
        <v>06 EE2 170</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3424</v>
      </c>
      <c r="D185" s="1" t="s">
        <v>3425</v>
      </c>
      <c r="E185" s="1" t="s">
        <v>3426</v>
      </c>
      <c r="F185" s="1" t="s">
        <v>112</v>
      </c>
      <c r="G185" s="1">
        <v>4354228</v>
      </c>
    </row>
    <row r="186" spans="1:10" x14ac:dyDescent="0.3">
      <c r="A186" s="1" t="str">
        <f t="shared" si="2"/>
        <v>06 EE2 170</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3427</v>
      </c>
      <c r="D186" s="1" t="s">
        <v>3428</v>
      </c>
      <c r="E186" s="1" t="s">
        <v>3429</v>
      </c>
      <c r="F186" s="1" t="s">
        <v>112</v>
      </c>
      <c r="G186" s="1">
        <v>4350983</v>
      </c>
    </row>
    <row r="187" spans="1:10" x14ac:dyDescent="0.3">
      <c r="A187" s="1" t="str">
        <f t="shared" si="2"/>
        <v>06 EE2 170</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3430</v>
      </c>
      <c r="D187" s="1" t="s">
        <v>3431</v>
      </c>
      <c r="E187" s="1" t="s">
        <v>3432</v>
      </c>
      <c r="F187" s="1" t="s">
        <v>112</v>
      </c>
      <c r="G187" s="1">
        <v>4685381</v>
      </c>
    </row>
    <row r="188" spans="1:10" x14ac:dyDescent="0.3">
      <c r="A188" s="1" t="str">
        <f t="shared" si="2"/>
        <v>06 EE2 170</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3433</v>
      </c>
      <c r="D188" s="1" t="s">
        <v>3434</v>
      </c>
      <c r="E188" s="1" t="s">
        <v>3435</v>
      </c>
      <c r="F188" s="1" t="s">
        <v>112</v>
      </c>
      <c r="G188" s="1">
        <v>3999735</v>
      </c>
    </row>
    <row r="189" spans="1:10" x14ac:dyDescent="0.3">
      <c r="A189" s="1" t="str">
        <f t="shared" si="2"/>
        <v>06 EE2 170</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3436</v>
      </c>
      <c r="D189" s="1" t="s">
        <v>3437</v>
      </c>
      <c r="E189" s="1" t="s">
        <v>3438</v>
      </c>
      <c r="F189" s="1" t="s">
        <v>112</v>
      </c>
      <c r="G189" s="1">
        <v>4144937</v>
      </c>
    </row>
    <row r="190" spans="1:10" x14ac:dyDescent="0.3">
      <c r="A190" s="1" t="str">
        <f t="shared" si="2"/>
        <v>06 EE2 170</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3439</v>
      </c>
      <c r="D190" s="1" t="s">
        <v>3440</v>
      </c>
      <c r="E190" s="1" t="s">
        <v>3441</v>
      </c>
      <c r="F190" s="1" t="s">
        <v>112</v>
      </c>
      <c r="G190" s="1">
        <v>3261637</v>
      </c>
    </row>
    <row r="191" spans="1:10" x14ac:dyDescent="0.3">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10" x14ac:dyDescent="0.3">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243</v>
      </c>
      <c r="D192" s="1" t="s">
        <v>112</v>
      </c>
      <c r="E192" s="1" t="s">
        <v>244</v>
      </c>
      <c r="F192" s="1" t="s">
        <v>245</v>
      </c>
      <c r="G192" s="1" t="s">
        <v>246</v>
      </c>
      <c r="H192" s="1" t="s">
        <v>247</v>
      </c>
      <c r="I192" s="1" t="s">
        <v>248</v>
      </c>
      <c r="J192" s="1" t="s">
        <v>249</v>
      </c>
    </row>
    <row r="193" spans="1:10" x14ac:dyDescent="0.3">
      <c r="A193" s="1" t="str">
        <f t="shared" si="2"/>
        <v>06 EE2 170</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3442</v>
      </c>
      <c r="D193" s="1" t="s">
        <v>112</v>
      </c>
      <c r="E193" s="1" t="s">
        <v>3443</v>
      </c>
      <c r="F193" s="1" t="s">
        <v>3444</v>
      </c>
      <c r="G193" s="1" t="s">
        <v>3445</v>
      </c>
      <c r="H193" s="1" t="s">
        <v>3446</v>
      </c>
      <c r="I193" s="1">
        <v>24</v>
      </c>
      <c r="J193" s="1">
        <v>24</v>
      </c>
    </row>
    <row r="194" spans="1:10" x14ac:dyDescent="0.3">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10" x14ac:dyDescent="0.3">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10" x14ac:dyDescent="0.3">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10" x14ac:dyDescent="0.3">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10" x14ac:dyDescent="0.3">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3">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255</v>
      </c>
      <c r="D199" s="1" t="s">
        <v>110</v>
      </c>
      <c r="E199" s="1" t="s">
        <v>111</v>
      </c>
      <c r="F199" s="1" t="s">
        <v>112</v>
      </c>
      <c r="G199" s="1" t="s">
        <v>113</v>
      </c>
    </row>
    <row r="200" spans="1:10" x14ac:dyDescent="0.3">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3447</v>
      </c>
      <c r="D200" s="1" t="s">
        <v>3448</v>
      </c>
      <c r="E200" s="1" t="s">
        <v>3449</v>
      </c>
      <c r="F200" s="1" t="s">
        <v>112</v>
      </c>
      <c r="G200" s="1">
        <v>4691351</v>
      </c>
    </row>
    <row r="201" spans="1:10" x14ac:dyDescent="0.3">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3450</v>
      </c>
      <c r="D201" s="1" t="s">
        <v>3451</v>
      </c>
      <c r="E201" s="1" t="s">
        <v>3452</v>
      </c>
      <c r="F201" s="1" t="s">
        <v>112</v>
      </c>
      <c r="G201" s="1">
        <v>6111635</v>
      </c>
    </row>
    <row r="202" spans="1:10" x14ac:dyDescent="0.3">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3453</v>
      </c>
      <c r="D202" s="1" t="s">
        <v>3454</v>
      </c>
      <c r="E202" s="1" t="s">
        <v>3455</v>
      </c>
      <c r="F202" s="1" t="s">
        <v>112</v>
      </c>
      <c r="G202" s="1">
        <v>5439659</v>
      </c>
    </row>
    <row r="203" spans="1:10" x14ac:dyDescent="0.3">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3456</v>
      </c>
      <c r="D203" s="1" t="s">
        <v>3457</v>
      </c>
      <c r="E203" s="1" t="s">
        <v>3458</v>
      </c>
      <c r="F203" s="1" t="s">
        <v>112</v>
      </c>
      <c r="G203" s="1">
        <v>3780711</v>
      </c>
    </row>
    <row r="204" spans="1:10" x14ac:dyDescent="0.3">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3459</v>
      </c>
      <c r="D204" s="1" t="s">
        <v>636</v>
      </c>
      <c r="E204" s="1" t="s">
        <v>3460</v>
      </c>
      <c r="F204" s="1" t="s">
        <v>112</v>
      </c>
      <c r="G204" s="1">
        <v>3571507</v>
      </c>
    </row>
    <row r="205" spans="1:10" x14ac:dyDescent="0.3">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3461</v>
      </c>
      <c r="D205" s="1" t="s">
        <v>3462</v>
      </c>
      <c r="E205" s="1" t="s">
        <v>3463</v>
      </c>
      <c r="F205" s="1" t="s">
        <v>112</v>
      </c>
      <c r="G205" s="1">
        <v>3657529</v>
      </c>
    </row>
    <row r="206" spans="1:10" x14ac:dyDescent="0.3">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3464</v>
      </c>
    </row>
    <row r="207" spans="1:10" x14ac:dyDescent="0.3">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3465</v>
      </c>
      <c r="D207" s="1" t="s">
        <v>3466</v>
      </c>
      <c r="E207" s="1" t="s">
        <v>3467</v>
      </c>
      <c r="F207" s="1" t="s">
        <v>112</v>
      </c>
      <c r="G207" s="1">
        <v>4301775</v>
      </c>
    </row>
    <row r="208" spans="1:10" x14ac:dyDescent="0.3">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3468</v>
      </c>
      <c r="D208" s="1" t="s">
        <v>3469</v>
      </c>
      <c r="E208" s="1" t="s">
        <v>3470</v>
      </c>
      <c r="F208" s="1" t="s">
        <v>112</v>
      </c>
      <c r="G208" s="1">
        <v>4569077</v>
      </c>
    </row>
    <row r="209" spans="1:7" x14ac:dyDescent="0.3">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3471</v>
      </c>
      <c r="D209" s="1" t="s">
        <v>3472</v>
      </c>
      <c r="E209" s="1" t="s">
        <v>3473</v>
      </c>
      <c r="F209" s="1" t="s">
        <v>112</v>
      </c>
      <c r="G209" s="1">
        <v>5288509</v>
      </c>
    </row>
    <row r="210" spans="1:7" x14ac:dyDescent="0.3">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3474</v>
      </c>
      <c r="D210" s="1" t="s">
        <v>3475</v>
      </c>
      <c r="E210" s="1" t="s">
        <v>3476</v>
      </c>
      <c r="F210" s="1" t="s">
        <v>112</v>
      </c>
      <c r="G210" s="1">
        <v>4724704</v>
      </c>
    </row>
    <row r="211" spans="1:7" x14ac:dyDescent="0.3">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3477</v>
      </c>
      <c r="D211" s="1" t="s">
        <v>3478</v>
      </c>
      <c r="E211" s="1" t="s">
        <v>3479</v>
      </c>
      <c r="F211" s="1" t="s">
        <v>112</v>
      </c>
      <c r="G211" s="1">
        <v>5079045</v>
      </c>
    </row>
    <row r="212" spans="1:7" x14ac:dyDescent="0.3">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3480</v>
      </c>
      <c r="D212" s="1" t="s">
        <v>3481</v>
      </c>
      <c r="E212" s="1" t="s">
        <v>3482</v>
      </c>
      <c r="F212" s="1" t="s">
        <v>112</v>
      </c>
      <c r="G212" s="1">
        <v>5223555</v>
      </c>
    </row>
    <row r="213" spans="1:7" x14ac:dyDescent="0.3">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3483</v>
      </c>
      <c r="D213" s="1" t="s">
        <v>3484</v>
      </c>
      <c r="E213" s="1" t="s">
        <v>3485</v>
      </c>
      <c r="F213" s="1" t="s">
        <v>112</v>
      </c>
      <c r="G213" s="1">
        <v>4602971</v>
      </c>
    </row>
    <row r="214" spans="1:7" x14ac:dyDescent="0.3">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3486</v>
      </c>
      <c r="D214" s="1" t="s">
        <v>3487</v>
      </c>
      <c r="E214" s="1" t="s">
        <v>3488</v>
      </c>
      <c r="F214" s="1" t="s">
        <v>112</v>
      </c>
      <c r="G214" s="1">
        <v>4767726</v>
      </c>
    </row>
    <row r="215" spans="1:7" x14ac:dyDescent="0.3">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3489</v>
      </c>
      <c r="D215" s="1" t="s">
        <v>3490</v>
      </c>
      <c r="E215" s="1" t="s">
        <v>3491</v>
      </c>
      <c r="F215" s="1" t="s">
        <v>112</v>
      </c>
      <c r="G215" s="1">
        <v>6658698</v>
      </c>
    </row>
    <row r="216" spans="1:7" x14ac:dyDescent="0.3">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3492</v>
      </c>
      <c r="D216" s="1" t="s">
        <v>3493</v>
      </c>
      <c r="E216" s="1" t="s">
        <v>3494</v>
      </c>
      <c r="F216" s="1" t="s">
        <v>112</v>
      </c>
      <c r="G216" s="1">
        <v>6246454</v>
      </c>
    </row>
    <row r="217" spans="1:7" x14ac:dyDescent="0.3">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3495</v>
      </c>
    </row>
    <row r="218" spans="1:7" x14ac:dyDescent="0.3">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3496</v>
      </c>
      <c r="D218" s="1" t="s">
        <v>3497</v>
      </c>
      <c r="E218" s="1" t="s">
        <v>3498</v>
      </c>
      <c r="F218" s="1" t="s">
        <v>112</v>
      </c>
      <c r="G218" s="1">
        <v>5490338</v>
      </c>
    </row>
    <row r="219" spans="1:7" x14ac:dyDescent="0.3">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3499</v>
      </c>
      <c r="D219" s="1" t="s">
        <v>3500</v>
      </c>
      <c r="E219" s="1" t="s">
        <v>3501</v>
      </c>
      <c r="F219" s="1" t="s">
        <v>112</v>
      </c>
      <c r="G219" s="1">
        <v>5051878</v>
      </c>
    </row>
    <row r="220" spans="1:7" x14ac:dyDescent="0.3">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3502</v>
      </c>
      <c r="D220" s="1" t="s">
        <v>1540</v>
      </c>
      <c r="E220" s="1" t="s">
        <v>3503</v>
      </c>
      <c r="F220" s="1" t="s">
        <v>112</v>
      </c>
      <c r="G220" s="1">
        <v>5410978</v>
      </c>
    </row>
    <row r="221" spans="1:7" x14ac:dyDescent="0.3">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3504</v>
      </c>
      <c r="D221" s="1" t="s">
        <v>3505</v>
      </c>
      <c r="E221" s="1" t="s">
        <v>3506</v>
      </c>
      <c r="F221" s="1" t="s">
        <v>112</v>
      </c>
      <c r="G221" s="1">
        <v>5532754</v>
      </c>
    </row>
    <row r="222" spans="1:7" x14ac:dyDescent="0.3">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3507</v>
      </c>
      <c r="D222" s="1" t="s">
        <v>3508</v>
      </c>
      <c r="E222" s="1" t="s">
        <v>3509</v>
      </c>
      <c r="F222" s="1" t="s">
        <v>112</v>
      </c>
      <c r="G222" s="1">
        <v>6242236</v>
      </c>
    </row>
    <row r="223" spans="1:7" x14ac:dyDescent="0.3">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3510</v>
      </c>
      <c r="D223" s="1" t="s">
        <v>3511</v>
      </c>
      <c r="E223" s="1" t="s">
        <v>3512</v>
      </c>
      <c r="F223" s="1" t="s">
        <v>112</v>
      </c>
      <c r="G223" s="1">
        <v>5514542</v>
      </c>
    </row>
    <row r="224" spans="1:7" x14ac:dyDescent="0.3">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10" x14ac:dyDescent="0.3">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243</v>
      </c>
      <c r="D225" s="1" t="s">
        <v>112</v>
      </c>
      <c r="E225" s="1" t="s">
        <v>244</v>
      </c>
      <c r="F225" s="1" t="s">
        <v>245</v>
      </c>
      <c r="G225" s="1" t="s">
        <v>246</v>
      </c>
      <c r="H225" s="1" t="s">
        <v>247</v>
      </c>
      <c r="I225" s="1" t="s">
        <v>248</v>
      </c>
      <c r="J225" s="1" t="s">
        <v>249</v>
      </c>
    </row>
    <row r="226" spans="1:10" x14ac:dyDescent="0.3">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3513</v>
      </c>
      <c r="D226" s="1" t="s">
        <v>112</v>
      </c>
      <c r="E226" s="1" t="s">
        <v>3514</v>
      </c>
      <c r="F226" s="1" t="s">
        <v>3515</v>
      </c>
      <c r="G226" s="1" t="s">
        <v>3516</v>
      </c>
      <c r="H226" s="1" t="s">
        <v>3517</v>
      </c>
      <c r="I226" s="1">
        <v>24</v>
      </c>
      <c r="J226" s="1">
        <v>24</v>
      </c>
    </row>
    <row r="227" spans="1:10" x14ac:dyDescent="0.3">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10" x14ac:dyDescent="0.3">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10" x14ac:dyDescent="0.3">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10" x14ac:dyDescent="0.3">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10" x14ac:dyDescent="0.3">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10" x14ac:dyDescent="0.3">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255</v>
      </c>
      <c r="D232" s="1" t="s">
        <v>110</v>
      </c>
      <c r="E232" s="1" t="s">
        <v>111</v>
      </c>
      <c r="F232" s="1" t="s">
        <v>112</v>
      </c>
      <c r="G232" s="1" t="s">
        <v>113</v>
      </c>
    </row>
    <row r="233" spans="1:10" x14ac:dyDescent="0.3">
      <c r="A233" s="1" t="str">
        <f t="shared" si="3"/>
        <v>08tam 30.2µg_L</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3518</v>
      </c>
      <c r="D233" s="1" t="s">
        <v>362</v>
      </c>
      <c r="E233" s="1" t="s">
        <v>3519</v>
      </c>
      <c r="F233" s="1" t="s">
        <v>112</v>
      </c>
      <c r="G233" s="1">
        <v>620172</v>
      </c>
    </row>
    <row r="234" spans="1:10" x14ac:dyDescent="0.3">
      <c r="A234" s="1" t="str">
        <f t="shared" si="3"/>
        <v>08tam 30.2µg_L</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3520</v>
      </c>
      <c r="D234" s="1" t="s">
        <v>368</v>
      </c>
      <c r="E234" s="1" t="s">
        <v>3521</v>
      </c>
      <c r="F234" s="1" t="s">
        <v>112</v>
      </c>
      <c r="G234" s="1">
        <v>333836</v>
      </c>
    </row>
    <row r="235" spans="1:10" x14ac:dyDescent="0.3">
      <c r="A235" s="1" t="str">
        <f t="shared" si="3"/>
        <v>08tam 30.2µg_L</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3522</v>
      </c>
      <c r="D235" s="1" t="s">
        <v>3523</v>
      </c>
      <c r="E235" s="1" t="s">
        <v>3524</v>
      </c>
      <c r="F235" s="1" t="s">
        <v>112</v>
      </c>
      <c r="G235" s="1">
        <v>468763</v>
      </c>
    </row>
    <row r="236" spans="1:10" x14ac:dyDescent="0.3">
      <c r="A236" s="1" t="str">
        <f t="shared" si="3"/>
        <v>08tam 30.2µg_L</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3525</v>
      </c>
      <c r="D236" s="1" t="s">
        <v>146</v>
      </c>
      <c r="E236" s="1" t="s">
        <v>3526</v>
      </c>
      <c r="F236" s="1" t="s">
        <v>112</v>
      </c>
      <c r="G236" s="1">
        <v>313049</v>
      </c>
    </row>
    <row r="237" spans="1:10" x14ac:dyDescent="0.3">
      <c r="A237" s="1" t="str">
        <f t="shared" si="3"/>
        <v>08tam 30.2µg_L</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3527</v>
      </c>
      <c r="D237" s="1" t="s">
        <v>3528</v>
      </c>
      <c r="E237" s="1" t="s">
        <v>3529</v>
      </c>
      <c r="F237" s="1" t="s">
        <v>112</v>
      </c>
      <c r="G237" s="1">
        <v>339438</v>
      </c>
    </row>
    <row r="238" spans="1:10" x14ac:dyDescent="0.3">
      <c r="A238" s="1" t="str">
        <f t="shared" si="3"/>
        <v>08tam 30.2µg_L</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3530</v>
      </c>
      <c r="D238" s="1" t="s">
        <v>3531</v>
      </c>
      <c r="E238" s="1" t="s">
        <v>3532</v>
      </c>
      <c r="F238" s="1" t="s">
        <v>112</v>
      </c>
      <c r="G238" s="1">
        <v>285147</v>
      </c>
    </row>
    <row r="239" spans="1:10" x14ac:dyDescent="0.3">
      <c r="A239" s="1" t="str">
        <f t="shared" si="3"/>
        <v>08tam 30.2µg_L</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3533</v>
      </c>
      <c r="D239" s="1" t="s">
        <v>1155</v>
      </c>
      <c r="E239" s="1" t="s">
        <v>3534</v>
      </c>
      <c r="F239" s="1" t="s">
        <v>112</v>
      </c>
      <c r="G239" s="1">
        <v>701631</v>
      </c>
    </row>
    <row r="240" spans="1:10" x14ac:dyDescent="0.3">
      <c r="A240" s="1" t="str">
        <f t="shared" si="3"/>
        <v>08tam 30.2µg_L</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3535</v>
      </c>
      <c r="D240" s="1" t="s">
        <v>3536</v>
      </c>
      <c r="E240" s="1" t="s">
        <v>3537</v>
      </c>
      <c r="F240" s="1" t="s">
        <v>112</v>
      </c>
      <c r="G240" s="1">
        <v>784322</v>
      </c>
    </row>
    <row r="241" spans="1:7" x14ac:dyDescent="0.3">
      <c r="A241" s="1" t="str">
        <f t="shared" si="3"/>
        <v>08tam 30.2µg_L</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3538</v>
      </c>
      <c r="D241" s="1" t="s">
        <v>3539</v>
      </c>
      <c r="E241" s="1" t="s">
        <v>3540</v>
      </c>
      <c r="F241" s="1" t="s">
        <v>112</v>
      </c>
      <c r="G241" s="1">
        <v>536854</v>
      </c>
    </row>
    <row r="242" spans="1:7" x14ac:dyDescent="0.3">
      <c r="A242" s="1" t="str">
        <f t="shared" si="3"/>
        <v>08tam 30.2µg_L</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3541</v>
      </c>
      <c r="D242" s="1" t="s">
        <v>1930</v>
      </c>
      <c r="E242" s="1" t="s">
        <v>3542</v>
      </c>
      <c r="F242" s="1" t="s">
        <v>112</v>
      </c>
      <c r="G242" s="1">
        <v>91884</v>
      </c>
    </row>
    <row r="243" spans="1:7" x14ac:dyDescent="0.3">
      <c r="A243" s="1" t="str">
        <f t="shared" si="3"/>
        <v>08tam 30.2µg_L</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3543</v>
      </c>
      <c r="D243" s="1" t="s">
        <v>397</v>
      </c>
      <c r="E243" s="1" t="s">
        <v>3544</v>
      </c>
      <c r="F243" s="1" t="s">
        <v>112</v>
      </c>
      <c r="G243" s="1">
        <v>273250</v>
      </c>
    </row>
    <row r="244" spans="1:7" x14ac:dyDescent="0.3">
      <c r="A244" s="1" t="str">
        <f t="shared" si="3"/>
        <v>08tam 30.2µg_L</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3545</v>
      </c>
      <c r="D244" s="1" t="s">
        <v>717</v>
      </c>
      <c r="E244" s="1" t="s">
        <v>3546</v>
      </c>
      <c r="F244" s="1" t="s">
        <v>112</v>
      </c>
      <c r="G244" s="1">
        <v>78235</v>
      </c>
    </row>
    <row r="245" spans="1:7" x14ac:dyDescent="0.3">
      <c r="A245" s="1" t="str">
        <f t="shared" si="3"/>
        <v>08tam 30.2µg_L</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3547</v>
      </c>
      <c r="D245" s="1" t="s">
        <v>3086</v>
      </c>
      <c r="E245" s="1" t="s">
        <v>3548</v>
      </c>
      <c r="F245" s="1" t="s">
        <v>112</v>
      </c>
      <c r="G245" s="1">
        <v>748524</v>
      </c>
    </row>
    <row r="246" spans="1:7" x14ac:dyDescent="0.3">
      <c r="A246" s="1" t="str">
        <f t="shared" si="3"/>
        <v>08tam 30.2µg_L</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3549</v>
      </c>
      <c r="D246" s="1" t="s">
        <v>3550</v>
      </c>
      <c r="E246" s="1" t="s">
        <v>3551</v>
      </c>
      <c r="F246" s="1" t="s">
        <v>112</v>
      </c>
      <c r="G246" s="1">
        <v>593914</v>
      </c>
    </row>
    <row r="247" spans="1:7" x14ac:dyDescent="0.3">
      <c r="A247" s="1" t="str">
        <f t="shared" si="3"/>
        <v>08tam 30.2µg_L</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3552</v>
      </c>
      <c r="D247" s="1" t="s">
        <v>3553</v>
      </c>
      <c r="E247" s="1" t="s">
        <v>3554</v>
      </c>
      <c r="F247" s="1" t="s">
        <v>112</v>
      </c>
      <c r="G247" s="1">
        <v>484964</v>
      </c>
    </row>
    <row r="248" spans="1:7" x14ac:dyDescent="0.3">
      <c r="A248" s="1" t="str">
        <f t="shared" si="3"/>
        <v>08tam 30.2µg_L</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3555</v>
      </c>
      <c r="D248" s="1" t="s">
        <v>3556</v>
      </c>
      <c r="E248" s="1" t="s">
        <v>3557</v>
      </c>
      <c r="F248" s="1" t="s">
        <v>112</v>
      </c>
      <c r="G248" s="1">
        <v>715192</v>
      </c>
    </row>
    <row r="249" spans="1:7" x14ac:dyDescent="0.3">
      <c r="A249" s="1" t="str">
        <f t="shared" si="3"/>
        <v>08tam 30.2µg_L</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3558</v>
      </c>
      <c r="D249" s="1" t="s">
        <v>298</v>
      </c>
      <c r="E249" s="1" t="s">
        <v>1884</v>
      </c>
      <c r="F249" s="1" t="s">
        <v>112</v>
      </c>
      <c r="G249" s="1">
        <v>32834</v>
      </c>
    </row>
    <row r="250" spans="1:7" x14ac:dyDescent="0.3">
      <c r="A250" s="1" t="str">
        <f t="shared" si="3"/>
        <v>08tam 30.2µg_L</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3559</v>
      </c>
      <c r="D250" s="1" t="s">
        <v>2183</v>
      </c>
      <c r="E250" s="1" t="s">
        <v>3560</v>
      </c>
      <c r="F250" s="1" t="s">
        <v>112</v>
      </c>
      <c r="G250" s="1">
        <v>112670</v>
      </c>
    </row>
    <row r="251" spans="1:7" x14ac:dyDescent="0.3">
      <c r="A251" s="1" t="str">
        <f t="shared" si="3"/>
        <v>08tam 30.2µg_L</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3561</v>
      </c>
      <c r="D251" s="1" t="s">
        <v>1415</v>
      </c>
      <c r="E251" s="1" t="s">
        <v>3562</v>
      </c>
      <c r="F251" s="1" t="s">
        <v>112</v>
      </c>
      <c r="G251" s="1">
        <v>705394</v>
      </c>
    </row>
    <row r="252" spans="1:7" x14ac:dyDescent="0.3">
      <c r="A252" s="1" t="str">
        <f t="shared" si="3"/>
        <v>08tam 30.2µg_L</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3563</v>
      </c>
      <c r="D252" s="1" t="s">
        <v>2313</v>
      </c>
      <c r="E252" s="1" t="s">
        <v>3564</v>
      </c>
      <c r="F252" s="1" t="s">
        <v>112</v>
      </c>
      <c r="G252" s="1">
        <v>534626</v>
      </c>
    </row>
    <row r="253" spans="1:7" x14ac:dyDescent="0.3">
      <c r="A253" s="1" t="str">
        <f t="shared" si="3"/>
        <v>08tam 30.2µg_L</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3565</v>
      </c>
      <c r="D253" s="1" t="s">
        <v>3566</v>
      </c>
      <c r="E253" s="1" t="s">
        <v>3567</v>
      </c>
      <c r="F253" s="1" t="s">
        <v>112</v>
      </c>
      <c r="G253" s="1">
        <v>690253</v>
      </c>
    </row>
    <row r="254" spans="1:7" x14ac:dyDescent="0.3">
      <c r="A254" s="1" t="str">
        <f t="shared" si="3"/>
        <v>08tam 30.2µg_L</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3568</v>
      </c>
      <c r="D254" s="1" t="s">
        <v>3569</v>
      </c>
      <c r="E254" s="1" t="s">
        <v>3570</v>
      </c>
      <c r="F254" s="1" t="s">
        <v>112</v>
      </c>
      <c r="G254" s="1">
        <v>784213</v>
      </c>
    </row>
    <row r="255" spans="1:7" x14ac:dyDescent="0.3">
      <c r="A255" s="1" t="str">
        <f t="shared" si="3"/>
        <v>08tam 30.2µg_L</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3571</v>
      </c>
      <c r="D255" s="1" t="s">
        <v>703</v>
      </c>
      <c r="E255" s="1" t="s">
        <v>3572</v>
      </c>
      <c r="F255" s="1" t="s">
        <v>112</v>
      </c>
      <c r="G255" s="1">
        <v>188375</v>
      </c>
    </row>
    <row r="256" spans="1:7" x14ac:dyDescent="0.3">
      <c r="A256" s="1" t="str">
        <f t="shared" si="3"/>
        <v>08tam 30.2µg_L</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3573</v>
      </c>
      <c r="D256" s="1" t="s">
        <v>272</v>
      </c>
      <c r="E256" s="1" t="s">
        <v>3574</v>
      </c>
      <c r="F256" s="1" t="s">
        <v>112</v>
      </c>
      <c r="G256" s="1">
        <v>368595</v>
      </c>
    </row>
    <row r="257" spans="1:10" x14ac:dyDescent="0.3">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10" x14ac:dyDescent="0.3">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243</v>
      </c>
      <c r="D258" s="1" t="s">
        <v>112</v>
      </c>
      <c r="E258" s="1" t="s">
        <v>244</v>
      </c>
      <c r="F258" s="1" t="s">
        <v>245</v>
      </c>
      <c r="G258" s="1" t="s">
        <v>246</v>
      </c>
      <c r="H258" s="1" t="s">
        <v>247</v>
      </c>
      <c r="I258" s="1" t="s">
        <v>248</v>
      </c>
      <c r="J258" s="1" t="s">
        <v>249</v>
      </c>
    </row>
    <row r="259" spans="1:10" x14ac:dyDescent="0.3">
      <c r="A259" s="1" t="str">
        <f t="shared" si="4"/>
        <v>08tam 30.2µg_L</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3575</v>
      </c>
      <c r="D259" s="1" t="s">
        <v>112</v>
      </c>
      <c r="E259" s="1" t="s">
        <v>3576</v>
      </c>
      <c r="F259" s="1" t="s">
        <v>3577</v>
      </c>
      <c r="G259" s="1" t="s">
        <v>3578</v>
      </c>
      <c r="H259" s="1" t="s">
        <v>3579</v>
      </c>
      <c r="I259" s="1">
        <v>24</v>
      </c>
      <c r="J259" s="1">
        <v>24</v>
      </c>
    </row>
    <row r="260" spans="1:10" x14ac:dyDescent="0.3">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10" x14ac:dyDescent="0.3">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10" x14ac:dyDescent="0.3">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10" x14ac:dyDescent="0.3">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10" x14ac:dyDescent="0.3">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10" x14ac:dyDescent="0.3">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255</v>
      </c>
      <c r="D265" s="1" t="s">
        <v>110</v>
      </c>
      <c r="E265" s="1" t="s">
        <v>111</v>
      </c>
      <c r="F265" s="1" t="s">
        <v>112</v>
      </c>
      <c r="G265" s="1" t="s">
        <v>113</v>
      </c>
    </row>
    <row r="266" spans="1:10" x14ac:dyDescent="0.3">
      <c r="A266" s="1" t="str">
        <f t="shared" si="4"/>
        <v>09 tam 60.4µg_L</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3580</v>
      </c>
      <c r="D266" s="1" t="s">
        <v>988</v>
      </c>
      <c r="E266" s="1" t="s">
        <v>3581</v>
      </c>
      <c r="F266" s="1" t="s">
        <v>112</v>
      </c>
      <c r="G266" s="1">
        <v>611607</v>
      </c>
    </row>
    <row r="267" spans="1:10" x14ac:dyDescent="0.3">
      <c r="A267" s="1" t="str">
        <f t="shared" si="4"/>
        <v>09 tam 60.4µg_L</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3582</v>
      </c>
      <c r="D267" s="1" t="s">
        <v>263</v>
      </c>
      <c r="E267" s="1" t="s">
        <v>3583</v>
      </c>
      <c r="F267" s="1" t="s">
        <v>112</v>
      </c>
      <c r="G267" s="1">
        <v>644095</v>
      </c>
    </row>
    <row r="268" spans="1:10" x14ac:dyDescent="0.3">
      <c r="A268" s="1" t="str">
        <f t="shared" si="4"/>
        <v>09 tam 60.4µg_L</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3584</v>
      </c>
      <c r="D268" s="1" t="s">
        <v>1282</v>
      </c>
      <c r="E268" s="1" t="s">
        <v>3585</v>
      </c>
      <c r="F268" s="1" t="s">
        <v>112</v>
      </c>
      <c r="G268" s="1">
        <v>505058</v>
      </c>
    </row>
    <row r="269" spans="1:10" x14ac:dyDescent="0.3">
      <c r="A269" s="1" t="str">
        <f t="shared" si="4"/>
        <v>09 tam 60.4µg_L</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3586</v>
      </c>
      <c r="D269" s="1" t="s">
        <v>2434</v>
      </c>
      <c r="E269" s="1" t="s">
        <v>3587</v>
      </c>
      <c r="F269" s="1" t="s">
        <v>112</v>
      </c>
      <c r="G269" s="1">
        <v>138020</v>
      </c>
    </row>
    <row r="270" spans="1:10" x14ac:dyDescent="0.3">
      <c r="A270" s="1" t="str">
        <f t="shared" si="4"/>
        <v>09 tam 60.4µg_L</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3588</v>
      </c>
      <c r="D270" s="1" t="s">
        <v>720</v>
      </c>
      <c r="E270" s="1" t="s">
        <v>3589</v>
      </c>
      <c r="F270" s="1" t="s">
        <v>112</v>
      </c>
      <c r="G270" s="1">
        <v>46201</v>
      </c>
    </row>
    <row r="271" spans="1:10" x14ac:dyDescent="0.3">
      <c r="A271" s="1" t="str">
        <f t="shared" si="4"/>
        <v>09 tam 60.4µg_L</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3590</v>
      </c>
      <c r="D271" s="1" t="s">
        <v>1646</v>
      </c>
      <c r="E271" s="1" t="s">
        <v>3591</v>
      </c>
      <c r="F271" s="1" t="s">
        <v>112</v>
      </c>
      <c r="G271" s="1">
        <v>168843</v>
      </c>
    </row>
    <row r="272" spans="1:10" x14ac:dyDescent="0.3">
      <c r="A272" s="1" t="str">
        <f t="shared" si="4"/>
        <v>09 tam 60.4µg_L</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3592</v>
      </c>
      <c r="D272" s="1" t="s">
        <v>3593</v>
      </c>
      <c r="E272" s="1" t="s">
        <v>3594</v>
      </c>
      <c r="F272" s="1" t="s">
        <v>112</v>
      </c>
      <c r="G272" s="1">
        <v>272645</v>
      </c>
    </row>
    <row r="273" spans="1:7" x14ac:dyDescent="0.3">
      <c r="A273" s="1" t="str">
        <f t="shared" si="4"/>
        <v>09 tam 60.4µg_L</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3595</v>
      </c>
      <c r="D273" s="1" t="s">
        <v>1822</v>
      </c>
      <c r="E273" s="1" t="s">
        <v>3596</v>
      </c>
      <c r="F273" s="1" t="s">
        <v>112</v>
      </c>
      <c r="G273" s="1">
        <v>23079</v>
      </c>
    </row>
    <row r="274" spans="1:7" x14ac:dyDescent="0.3">
      <c r="A274" s="1" t="str">
        <f t="shared" si="4"/>
        <v>09 tam 60.4µg_L</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3597</v>
      </c>
      <c r="D274" s="1" t="s">
        <v>1706</v>
      </c>
      <c r="E274" s="1" t="s">
        <v>3598</v>
      </c>
      <c r="F274" s="1" t="s">
        <v>112</v>
      </c>
      <c r="G274" s="1">
        <v>61753</v>
      </c>
    </row>
    <row r="275" spans="1:7" x14ac:dyDescent="0.3">
      <c r="A275" s="1" t="str">
        <f t="shared" si="4"/>
        <v>09 tam 60.4µg_L</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3599</v>
      </c>
      <c r="D275" s="1" t="s">
        <v>935</v>
      </c>
      <c r="E275" s="1" t="s">
        <v>3600</v>
      </c>
      <c r="F275" s="1" t="s">
        <v>112</v>
      </c>
      <c r="G275" s="1">
        <v>66166</v>
      </c>
    </row>
    <row r="276" spans="1:7" x14ac:dyDescent="0.3">
      <c r="A276" s="1" t="str">
        <f t="shared" si="4"/>
        <v>09 tam 60.4µg_L</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3601</v>
      </c>
      <c r="D276" s="1" t="s">
        <v>1122</v>
      </c>
      <c r="E276" s="1" t="s">
        <v>3602</v>
      </c>
      <c r="F276" s="1" t="s">
        <v>112</v>
      </c>
      <c r="G276" s="1">
        <v>179031</v>
      </c>
    </row>
    <row r="277" spans="1:7" x14ac:dyDescent="0.3">
      <c r="A277" s="1" t="str">
        <f t="shared" si="4"/>
        <v>09 tam 60.4µg_L</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3603</v>
      </c>
      <c r="D277" s="1" t="s">
        <v>2279</v>
      </c>
      <c r="E277" s="1" t="s">
        <v>3604</v>
      </c>
      <c r="F277" s="1" t="s">
        <v>112</v>
      </c>
      <c r="G277" s="1">
        <v>76873</v>
      </c>
    </row>
    <row r="278" spans="1:7" x14ac:dyDescent="0.3">
      <c r="A278" s="1" t="str">
        <f t="shared" si="4"/>
        <v>09 tam 60.4µg_L</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3605</v>
      </c>
      <c r="D278" s="1" t="s">
        <v>729</v>
      </c>
      <c r="E278" s="1" t="s">
        <v>3606</v>
      </c>
      <c r="F278" s="1" t="s">
        <v>112</v>
      </c>
      <c r="G278" s="1">
        <v>281794</v>
      </c>
    </row>
    <row r="279" spans="1:7" x14ac:dyDescent="0.3">
      <c r="A279" s="1" t="str">
        <f t="shared" si="4"/>
        <v>09 tam 60.4µg_L</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3607</v>
      </c>
      <c r="D279" s="1" t="s">
        <v>3608</v>
      </c>
      <c r="E279" s="1" t="s">
        <v>3609</v>
      </c>
      <c r="F279" s="1" t="s">
        <v>112</v>
      </c>
      <c r="G279" s="1">
        <v>189564</v>
      </c>
    </row>
    <row r="280" spans="1:7" x14ac:dyDescent="0.3">
      <c r="A280" s="1" t="str">
        <f t="shared" si="4"/>
        <v>09 tam 60.4µg_L</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3610</v>
      </c>
      <c r="D280" s="1" t="s">
        <v>3611</v>
      </c>
      <c r="E280" s="1" t="s">
        <v>3612</v>
      </c>
      <c r="F280" s="1" t="s">
        <v>112</v>
      </c>
      <c r="G280" s="1">
        <v>143579</v>
      </c>
    </row>
    <row r="281" spans="1:7" x14ac:dyDescent="0.3">
      <c r="A281" s="1" t="str">
        <f t="shared" si="4"/>
        <v>09 tam 60.4µg_L</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3613</v>
      </c>
      <c r="D281" s="1" t="s">
        <v>976</v>
      </c>
      <c r="E281" s="1" t="s">
        <v>3614</v>
      </c>
      <c r="F281" s="1" t="s">
        <v>112</v>
      </c>
      <c r="G281" s="1">
        <v>311449</v>
      </c>
    </row>
    <row r="282" spans="1:7" x14ac:dyDescent="0.3">
      <c r="A282" s="1" t="str">
        <f t="shared" si="4"/>
        <v>09 tam 60.4µg_L</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3615</v>
      </c>
      <c r="D282" s="1" t="s">
        <v>922</v>
      </c>
      <c r="E282" s="1" t="s">
        <v>3616</v>
      </c>
      <c r="F282" s="1" t="s">
        <v>112</v>
      </c>
      <c r="G282" s="1">
        <v>234944</v>
      </c>
    </row>
    <row r="283" spans="1:7" x14ac:dyDescent="0.3">
      <c r="A283" s="1" t="str">
        <f t="shared" si="4"/>
        <v>09 tam 60.4µg_L</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3617</v>
      </c>
      <c r="D283" s="1" t="s">
        <v>394</v>
      </c>
      <c r="E283" s="1" t="s">
        <v>3618</v>
      </c>
      <c r="F283" s="1" t="s">
        <v>112</v>
      </c>
      <c r="G283" s="1">
        <v>59504</v>
      </c>
    </row>
    <row r="284" spans="1:7" x14ac:dyDescent="0.3">
      <c r="A284" s="1" t="str">
        <f t="shared" si="4"/>
        <v>09 tam 60.4µg_L</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3619</v>
      </c>
      <c r="D284" s="1" t="s">
        <v>3620</v>
      </c>
      <c r="E284" s="1" t="s">
        <v>3621</v>
      </c>
      <c r="F284" s="1" t="s">
        <v>112</v>
      </c>
      <c r="G284" s="1">
        <v>416029</v>
      </c>
    </row>
    <row r="285" spans="1:7" x14ac:dyDescent="0.3">
      <c r="A285" s="1" t="str">
        <f t="shared" si="4"/>
        <v>09 tam 60.4µg_L</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3622</v>
      </c>
      <c r="D285" s="1" t="s">
        <v>1508</v>
      </c>
      <c r="E285" s="1" t="s">
        <v>3623</v>
      </c>
      <c r="F285" s="1" t="s">
        <v>112</v>
      </c>
      <c r="G285" s="1">
        <v>873567</v>
      </c>
    </row>
    <row r="286" spans="1:7" x14ac:dyDescent="0.3">
      <c r="A286" s="1" t="str">
        <f t="shared" si="4"/>
        <v>09 tam 60.4µg_L</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3624</v>
      </c>
      <c r="D286" s="1" t="s">
        <v>2552</v>
      </c>
      <c r="E286" s="1" t="s">
        <v>3625</v>
      </c>
      <c r="F286" s="1" t="s">
        <v>112</v>
      </c>
      <c r="G286" s="1">
        <v>1012733</v>
      </c>
    </row>
    <row r="287" spans="1:7" x14ac:dyDescent="0.3">
      <c r="A287" s="1" t="str">
        <f t="shared" si="4"/>
        <v>09 tam 60.4µg_L</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3626</v>
      </c>
      <c r="D287" s="1" t="s">
        <v>2327</v>
      </c>
      <c r="E287" s="1" t="s">
        <v>3627</v>
      </c>
      <c r="F287" s="1" t="s">
        <v>112</v>
      </c>
      <c r="G287" s="1">
        <v>203732</v>
      </c>
    </row>
    <row r="288" spans="1:7" x14ac:dyDescent="0.3">
      <c r="A288" s="1" t="str">
        <f t="shared" si="4"/>
        <v>09 tam 60.4µg_L</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3628</v>
      </c>
      <c r="D288" s="1" t="s">
        <v>3629</v>
      </c>
      <c r="E288" s="1" t="s">
        <v>3630</v>
      </c>
      <c r="F288" s="1" t="s">
        <v>112</v>
      </c>
      <c r="G288" s="1">
        <v>338876</v>
      </c>
    </row>
    <row r="289" spans="1:10" x14ac:dyDescent="0.3">
      <c r="A289" s="1" t="str">
        <f t="shared" si="4"/>
        <v>09 tam 60.4µg_L</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3631</v>
      </c>
      <c r="D289" s="1" t="s">
        <v>455</v>
      </c>
      <c r="E289" s="1" t="s">
        <v>3632</v>
      </c>
      <c r="F289" s="1" t="s">
        <v>112</v>
      </c>
      <c r="G289" s="1">
        <v>330483</v>
      </c>
    </row>
    <row r="290" spans="1:10" x14ac:dyDescent="0.3">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10" x14ac:dyDescent="0.3">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243</v>
      </c>
      <c r="D291" s="1" t="s">
        <v>112</v>
      </c>
      <c r="E291" s="1" t="s">
        <v>244</v>
      </c>
      <c r="F291" s="1" t="s">
        <v>245</v>
      </c>
      <c r="G291" s="1" t="s">
        <v>246</v>
      </c>
      <c r="H291" s="1" t="s">
        <v>247</v>
      </c>
      <c r="I291" s="1" t="s">
        <v>248</v>
      </c>
      <c r="J291" s="1" t="s">
        <v>249</v>
      </c>
    </row>
    <row r="292" spans="1:10" x14ac:dyDescent="0.3">
      <c r="A292" s="1" t="str">
        <f t="shared" si="4"/>
        <v>09 tam 60.4µg_L</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3633</v>
      </c>
      <c r="D292" s="1" t="s">
        <v>112</v>
      </c>
      <c r="E292" s="1" t="s">
        <v>3634</v>
      </c>
      <c r="F292" s="1" t="s">
        <v>3635</v>
      </c>
      <c r="G292" s="1" t="s">
        <v>3636</v>
      </c>
      <c r="H292" s="1" t="s">
        <v>3637</v>
      </c>
      <c r="I292" s="1">
        <v>24</v>
      </c>
      <c r="J292" s="1">
        <v>24</v>
      </c>
    </row>
    <row r="293" spans="1:10" x14ac:dyDescent="0.3">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10" x14ac:dyDescent="0.3">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10" x14ac:dyDescent="0.3">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10" x14ac:dyDescent="0.3">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10" x14ac:dyDescent="0.3">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10" x14ac:dyDescent="0.3">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255</v>
      </c>
      <c r="D298" s="1" t="s">
        <v>110</v>
      </c>
      <c r="E298" s="1" t="s">
        <v>111</v>
      </c>
      <c r="F298" s="1" t="s">
        <v>112</v>
      </c>
      <c r="G298" s="1" t="s">
        <v>113</v>
      </c>
    </row>
    <row r="299" spans="1:10" x14ac:dyDescent="0.3">
      <c r="A299" s="1" t="str">
        <f t="shared" si="4"/>
        <v>10 tam 121µg_L</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3638</v>
      </c>
      <c r="D299" s="1" t="s">
        <v>336</v>
      </c>
      <c r="E299" s="1" t="s">
        <v>3639</v>
      </c>
      <c r="F299" s="1" t="s">
        <v>112</v>
      </c>
      <c r="G299" s="1">
        <v>100601</v>
      </c>
    </row>
    <row r="300" spans="1:10" x14ac:dyDescent="0.3">
      <c r="A300" s="1" t="str">
        <f t="shared" si="4"/>
        <v>10 tam 121µg_L</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3640</v>
      </c>
      <c r="D300" s="1" t="s">
        <v>1825</v>
      </c>
      <c r="E300" s="1">
        <v>63</v>
      </c>
      <c r="F300" s="1" t="s">
        <v>112</v>
      </c>
      <c r="G300" s="1">
        <v>122642</v>
      </c>
    </row>
    <row r="301" spans="1:10" x14ac:dyDescent="0.3">
      <c r="A301" s="1" t="str">
        <f t="shared" si="4"/>
        <v>10 tam 121µg_L</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3641</v>
      </c>
      <c r="D301" s="1" t="s">
        <v>1736</v>
      </c>
      <c r="E301" s="1" t="s">
        <v>3642</v>
      </c>
      <c r="F301" s="1" t="s">
        <v>112</v>
      </c>
      <c r="G301" s="1">
        <v>173515</v>
      </c>
    </row>
    <row r="302" spans="1:10" x14ac:dyDescent="0.3">
      <c r="A302" s="1" t="str">
        <f t="shared" si="4"/>
        <v>10 tam 121µg_L</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3643</v>
      </c>
      <c r="D302" s="1" t="s">
        <v>3644</v>
      </c>
      <c r="E302" s="1" t="s">
        <v>3645</v>
      </c>
      <c r="F302" s="1" t="s">
        <v>112</v>
      </c>
      <c r="G302" s="1">
        <v>464113</v>
      </c>
    </row>
    <row r="303" spans="1:10" x14ac:dyDescent="0.3">
      <c r="A303" s="1" t="str">
        <f t="shared" si="4"/>
        <v>10 tam 121µg_L</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3646</v>
      </c>
      <c r="D303" s="1" t="s">
        <v>275</v>
      </c>
      <c r="E303" s="1" t="s">
        <v>3647</v>
      </c>
      <c r="F303" s="1" t="s">
        <v>112</v>
      </c>
      <c r="G303" s="1">
        <v>293561</v>
      </c>
    </row>
    <row r="304" spans="1:10" x14ac:dyDescent="0.3">
      <c r="A304" s="1" t="str">
        <f t="shared" si="4"/>
        <v>10 tam 121µg_L</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3648</v>
      </c>
      <c r="D304" s="1" t="s">
        <v>2242</v>
      </c>
      <c r="E304" s="1" t="s">
        <v>3649</v>
      </c>
      <c r="F304" s="1" t="s">
        <v>112</v>
      </c>
      <c r="G304" s="1">
        <v>170054</v>
      </c>
    </row>
    <row r="305" spans="1:7" x14ac:dyDescent="0.3">
      <c r="A305" s="1" t="str">
        <f t="shared" si="4"/>
        <v>10 tam 121µg_L</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3650</v>
      </c>
      <c r="D305" s="1" t="s">
        <v>2266</v>
      </c>
      <c r="E305" s="1" t="s">
        <v>3651</v>
      </c>
      <c r="F305" s="1" t="s">
        <v>112</v>
      </c>
      <c r="G305" s="1">
        <v>238426</v>
      </c>
    </row>
    <row r="306" spans="1:7" x14ac:dyDescent="0.3">
      <c r="A306" s="1" t="str">
        <f t="shared" si="4"/>
        <v>10 tam 121µg_L</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3652</v>
      </c>
      <c r="D306" s="1" t="s">
        <v>1303</v>
      </c>
      <c r="E306" s="1" t="s">
        <v>2356</v>
      </c>
      <c r="F306" s="1" t="s">
        <v>112</v>
      </c>
      <c r="G306" s="1">
        <v>19575</v>
      </c>
    </row>
    <row r="307" spans="1:7" x14ac:dyDescent="0.3">
      <c r="A307" s="1" t="str">
        <f t="shared" si="4"/>
        <v>10 tam 121µg_L</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3653</v>
      </c>
      <c r="D307" s="1" t="s">
        <v>2777</v>
      </c>
      <c r="E307" s="1" t="s">
        <v>3654</v>
      </c>
      <c r="F307" s="1" t="s">
        <v>112</v>
      </c>
      <c r="G307" s="1">
        <v>373938</v>
      </c>
    </row>
    <row r="308" spans="1:7" x14ac:dyDescent="0.3">
      <c r="A308" s="1" t="str">
        <f t="shared" si="4"/>
        <v>10 tam 121µg_L</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3655</v>
      </c>
      <c r="D308" s="1" t="s">
        <v>3656</v>
      </c>
      <c r="E308" s="1" t="s">
        <v>3657</v>
      </c>
      <c r="F308" s="1" t="s">
        <v>112</v>
      </c>
      <c r="G308" s="1">
        <v>972350</v>
      </c>
    </row>
    <row r="309" spans="1:7" x14ac:dyDescent="0.3">
      <c r="A309" s="1" t="str">
        <f t="shared" si="4"/>
        <v>10 tam 121µg_L</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3658</v>
      </c>
      <c r="D309" s="1" t="s">
        <v>2409</v>
      </c>
      <c r="E309" s="1" t="s">
        <v>3659</v>
      </c>
      <c r="F309" s="1" t="s">
        <v>112</v>
      </c>
      <c r="G309" s="1">
        <v>868592</v>
      </c>
    </row>
    <row r="310" spans="1:7" x14ac:dyDescent="0.3">
      <c r="A310" s="1" t="str">
        <f t="shared" si="4"/>
        <v>10 tam 121µg_L</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3660</v>
      </c>
      <c r="D310" s="1" t="s">
        <v>1631</v>
      </c>
      <c r="E310" s="1" t="s">
        <v>3661</v>
      </c>
      <c r="F310" s="1" t="s">
        <v>112</v>
      </c>
      <c r="G310" s="1">
        <v>1231822</v>
      </c>
    </row>
    <row r="311" spans="1:7" x14ac:dyDescent="0.3">
      <c r="A311" s="1" t="str">
        <f t="shared" si="4"/>
        <v>10 tam 121µg_L</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3662</v>
      </c>
      <c r="D311" s="1" t="s">
        <v>2208</v>
      </c>
      <c r="E311" s="1" t="s">
        <v>3663</v>
      </c>
      <c r="F311" s="1" t="s">
        <v>112</v>
      </c>
      <c r="G311" s="1">
        <v>163846</v>
      </c>
    </row>
    <row r="312" spans="1:7" x14ac:dyDescent="0.3">
      <c r="A312" s="1" t="str">
        <f t="shared" si="4"/>
        <v>10 tam 121µg_L</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3664</v>
      </c>
    </row>
    <row r="313" spans="1:7" x14ac:dyDescent="0.3">
      <c r="A313" s="1" t="str">
        <f t="shared" si="4"/>
        <v>10 tam 121µg_L</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3665</v>
      </c>
      <c r="D313" s="1" t="s">
        <v>417</v>
      </c>
      <c r="E313" s="1" t="s">
        <v>3666</v>
      </c>
      <c r="F313" s="1" t="s">
        <v>112</v>
      </c>
      <c r="G313" s="1">
        <v>57276</v>
      </c>
    </row>
    <row r="314" spans="1:7" x14ac:dyDescent="0.3">
      <c r="A314" s="1" t="str">
        <f t="shared" si="4"/>
        <v>10 tam 121µg_L</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3667</v>
      </c>
      <c r="D314" s="1" t="s">
        <v>175</v>
      </c>
      <c r="E314" s="1" t="s">
        <v>3668</v>
      </c>
      <c r="F314" s="1" t="s">
        <v>112</v>
      </c>
      <c r="G314" s="1">
        <v>256379</v>
      </c>
    </row>
    <row r="315" spans="1:7" x14ac:dyDescent="0.3">
      <c r="A315" s="1" t="str">
        <f t="shared" si="4"/>
        <v>10 tam 121µg_L</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3669</v>
      </c>
      <c r="D315" s="1" t="s">
        <v>710</v>
      </c>
      <c r="E315" s="1" t="s">
        <v>3670</v>
      </c>
      <c r="F315" s="1" t="s">
        <v>112</v>
      </c>
      <c r="G315" s="1">
        <v>345538</v>
      </c>
    </row>
    <row r="316" spans="1:7" x14ac:dyDescent="0.3">
      <c r="A316" s="1" t="str">
        <f t="shared" si="4"/>
        <v>10 tam 121µg_L</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3671</v>
      </c>
      <c r="D316" s="1" t="s">
        <v>373</v>
      </c>
      <c r="E316" s="1" t="s">
        <v>3672</v>
      </c>
      <c r="F316" s="1" t="s">
        <v>112</v>
      </c>
      <c r="G316" s="1">
        <v>81328</v>
      </c>
    </row>
    <row r="317" spans="1:7" x14ac:dyDescent="0.3">
      <c r="A317" s="1" t="str">
        <f t="shared" si="4"/>
        <v>10 tam 121µg_L</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3673</v>
      </c>
    </row>
    <row r="318" spans="1:7" x14ac:dyDescent="0.3">
      <c r="A318" s="1" t="str">
        <f t="shared" si="4"/>
        <v>10 tam 121µg_L</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3674</v>
      </c>
      <c r="D318" s="1" t="s">
        <v>202</v>
      </c>
      <c r="E318" s="1" t="s">
        <v>815</v>
      </c>
      <c r="F318" s="1" t="s">
        <v>112</v>
      </c>
      <c r="G318" s="1">
        <v>15357</v>
      </c>
    </row>
    <row r="319" spans="1:7" x14ac:dyDescent="0.3">
      <c r="A319" s="1" t="str">
        <f t="shared" si="4"/>
        <v>10 tam 121µg_L</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3675</v>
      </c>
      <c r="D319" s="1" t="s">
        <v>1848</v>
      </c>
      <c r="E319" s="1" t="s">
        <v>3676</v>
      </c>
      <c r="F319" s="1" t="s">
        <v>112</v>
      </c>
      <c r="G319" s="1">
        <v>68264</v>
      </c>
    </row>
    <row r="320" spans="1:7" x14ac:dyDescent="0.3">
      <c r="A320" s="1" t="str">
        <f t="shared" si="4"/>
        <v>10 tam 121µg_L</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3677</v>
      </c>
      <c r="D320" s="1" t="s">
        <v>3678</v>
      </c>
      <c r="E320" s="1" t="s">
        <v>3679</v>
      </c>
      <c r="F320" s="1" t="s">
        <v>112</v>
      </c>
      <c r="G320" s="1">
        <v>1998213</v>
      </c>
    </row>
    <row r="321" spans="1:10" x14ac:dyDescent="0.3">
      <c r="A321" s="1" t="str">
        <f t="shared" si="4"/>
        <v>10 tam 121µg_L</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3680</v>
      </c>
      <c r="D321" s="1" t="s">
        <v>3681</v>
      </c>
      <c r="E321" s="1" t="s">
        <v>3682</v>
      </c>
      <c r="F321" s="1" t="s">
        <v>112</v>
      </c>
      <c r="G321" s="1">
        <v>1610108</v>
      </c>
    </row>
    <row r="322" spans="1:10" x14ac:dyDescent="0.3">
      <c r="A322" s="1" t="str">
        <f t="shared" ref="A322:A385" si="5">IFERROR(LEFT(RIGHT(C322,LEN(C322)-SEARCH("@",C322)),SEARCH("/",RIGHT(C322,LEN(C322)-SEARCH("@",C322)-1))),"")</f>
        <v>10 tam 121µg_L</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3683</v>
      </c>
      <c r="D322" s="1" t="s">
        <v>3684</v>
      </c>
      <c r="E322" s="1" t="s">
        <v>3685</v>
      </c>
      <c r="F322" s="1" t="s">
        <v>112</v>
      </c>
      <c r="G322" s="1">
        <v>1506868</v>
      </c>
    </row>
    <row r="323" spans="1:10" x14ac:dyDescent="0.3">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10" x14ac:dyDescent="0.3">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243</v>
      </c>
      <c r="D324" s="1" t="s">
        <v>112</v>
      </c>
      <c r="E324" s="1" t="s">
        <v>244</v>
      </c>
      <c r="F324" s="1" t="s">
        <v>245</v>
      </c>
      <c r="G324" s="1" t="s">
        <v>246</v>
      </c>
      <c r="H324" s="1" t="s">
        <v>247</v>
      </c>
      <c r="I324" s="1" t="s">
        <v>248</v>
      </c>
      <c r="J324" s="1" t="s">
        <v>249</v>
      </c>
    </row>
    <row r="325" spans="1:10" x14ac:dyDescent="0.3">
      <c r="A325" s="1" t="str">
        <f t="shared" si="5"/>
        <v>10 tam 121µg_L</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3686</v>
      </c>
      <c r="D325" s="1" t="s">
        <v>112</v>
      </c>
      <c r="E325" s="1" t="s">
        <v>3687</v>
      </c>
      <c r="F325" s="1" t="s">
        <v>3688</v>
      </c>
      <c r="G325" s="1" t="s">
        <v>3689</v>
      </c>
      <c r="H325" s="1" t="s">
        <v>3690</v>
      </c>
      <c r="I325" s="1">
        <v>24</v>
      </c>
      <c r="J325" s="1">
        <v>24</v>
      </c>
    </row>
    <row r="326" spans="1:10" x14ac:dyDescent="0.3">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3">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3">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3">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10" x14ac:dyDescent="0.3">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10" x14ac:dyDescent="0.3">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255</v>
      </c>
      <c r="D331" s="1" t="s">
        <v>110</v>
      </c>
      <c r="E331" s="1" t="s">
        <v>111</v>
      </c>
      <c r="F331" s="1" t="s">
        <v>112</v>
      </c>
      <c r="G331" s="1" t="s">
        <v>113</v>
      </c>
    </row>
    <row r="332" spans="1:10" x14ac:dyDescent="0.3">
      <c r="A332" s="1" t="str">
        <f t="shared" si="5"/>
        <v>11 tam 242µg_L</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3691</v>
      </c>
      <c r="D332" s="1" t="s">
        <v>3692</v>
      </c>
      <c r="E332" s="1" t="s">
        <v>3693</v>
      </c>
      <c r="F332" s="1" t="s">
        <v>112</v>
      </c>
      <c r="G332" s="1">
        <v>262609</v>
      </c>
    </row>
    <row r="333" spans="1:10" x14ac:dyDescent="0.3">
      <c r="A333" s="1" t="str">
        <f t="shared" si="5"/>
        <v>11 tam 242µg_L</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3694</v>
      </c>
      <c r="D333" s="1" t="s">
        <v>241</v>
      </c>
      <c r="E333" s="1" t="s">
        <v>3695</v>
      </c>
      <c r="F333" s="1" t="s">
        <v>112</v>
      </c>
      <c r="G333" s="1">
        <v>75402</v>
      </c>
    </row>
    <row r="334" spans="1:10" x14ac:dyDescent="0.3">
      <c r="A334" s="1" t="str">
        <f t="shared" si="5"/>
        <v>11 tam 242µg_L</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3696</v>
      </c>
      <c r="D334" s="1" t="s">
        <v>2353</v>
      </c>
      <c r="E334" s="1" t="s">
        <v>3697</v>
      </c>
      <c r="F334" s="1" t="s">
        <v>112</v>
      </c>
      <c r="G334" s="1">
        <v>84508</v>
      </c>
    </row>
    <row r="335" spans="1:10" x14ac:dyDescent="0.3">
      <c r="A335" s="1" t="str">
        <f t="shared" si="5"/>
        <v>11 tam 242µg_L</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3698</v>
      </c>
      <c r="D335" s="1" t="s">
        <v>3523</v>
      </c>
      <c r="E335" s="1" t="s">
        <v>3699</v>
      </c>
      <c r="F335" s="1" t="s">
        <v>112</v>
      </c>
      <c r="G335" s="1">
        <v>497012</v>
      </c>
    </row>
    <row r="336" spans="1:10" x14ac:dyDescent="0.3">
      <c r="A336" s="1" t="str">
        <f t="shared" si="5"/>
        <v>11 tam 242µg_L</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3700</v>
      </c>
      <c r="D336" s="1" t="s">
        <v>826</v>
      </c>
      <c r="E336" s="1" t="s">
        <v>3701</v>
      </c>
      <c r="F336" s="1" t="s">
        <v>112</v>
      </c>
      <c r="G336" s="1">
        <v>403354</v>
      </c>
    </row>
    <row r="337" spans="1:7" x14ac:dyDescent="0.3">
      <c r="A337" s="1" t="str">
        <f t="shared" si="5"/>
        <v>11 tam 242µg_L</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3702</v>
      </c>
      <c r="D337" s="1" t="s">
        <v>3629</v>
      </c>
      <c r="E337" s="1" t="s">
        <v>3703</v>
      </c>
      <c r="F337" s="1" t="s">
        <v>112</v>
      </c>
      <c r="G337" s="1">
        <v>339135</v>
      </c>
    </row>
    <row r="338" spans="1:7" x14ac:dyDescent="0.3">
      <c r="A338" s="1" t="str">
        <f t="shared" si="5"/>
        <v>11 tam 242µg_L</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3704</v>
      </c>
      <c r="D338" s="1" t="s">
        <v>3705</v>
      </c>
      <c r="E338" s="1" t="s">
        <v>3706</v>
      </c>
      <c r="F338" s="1" t="s">
        <v>112</v>
      </c>
      <c r="G338" s="1">
        <v>938348</v>
      </c>
    </row>
    <row r="339" spans="1:7" x14ac:dyDescent="0.3">
      <c r="A339" s="1" t="str">
        <f t="shared" si="5"/>
        <v>11 tam 242µg_L</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3707</v>
      </c>
      <c r="D339" s="1" t="s">
        <v>3708</v>
      </c>
      <c r="E339" s="1" t="s">
        <v>3709</v>
      </c>
      <c r="F339" s="1" t="s">
        <v>112</v>
      </c>
      <c r="G339" s="1">
        <v>1389115</v>
      </c>
    </row>
    <row r="340" spans="1:7" x14ac:dyDescent="0.3">
      <c r="A340" s="1" t="str">
        <f t="shared" si="5"/>
        <v>11 tam 242µg_L</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3710</v>
      </c>
      <c r="D340" s="1" t="s">
        <v>3711</v>
      </c>
      <c r="E340" s="1" t="s">
        <v>3712</v>
      </c>
      <c r="F340" s="1" t="s">
        <v>112</v>
      </c>
      <c r="G340" s="1">
        <v>1431921</v>
      </c>
    </row>
    <row r="341" spans="1:7" x14ac:dyDescent="0.3">
      <c r="A341" s="1" t="str">
        <f t="shared" si="5"/>
        <v>11 tam 242µg_L</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3713</v>
      </c>
    </row>
    <row r="342" spans="1:7" x14ac:dyDescent="0.3">
      <c r="A342" s="1" t="str">
        <f t="shared" si="5"/>
        <v>11 tam 242µg_L</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3714</v>
      </c>
    </row>
    <row r="343" spans="1:7" x14ac:dyDescent="0.3">
      <c r="A343" s="1" t="str">
        <f t="shared" si="5"/>
        <v>11 tam 242µg_L</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3715</v>
      </c>
    </row>
    <row r="344" spans="1:7" x14ac:dyDescent="0.3">
      <c r="A344" s="1" t="str">
        <f t="shared" si="5"/>
        <v>11 tam 242µg_L</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3716</v>
      </c>
      <c r="D344" s="1" t="s">
        <v>3717</v>
      </c>
      <c r="E344" s="1" t="s">
        <v>3718</v>
      </c>
      <c r="F344" s="1" t="s">
        <v>112</v>
      </c>
      <c r="G344" s="1">
        <v>566033</v>
      </c>
    </row>
    <row r="345" spans="1:7" x14ac:dyDescent="0.3">
      <c r="A345" s="1" t="str">
        <f t="shared" si="5"/>
        <v>11 tam 242µg_L</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3719</v>
      </c>
      <c r="D345" s="1" t="s">
        <v>3720</v>
      </c>
      <c r="E345" s="1" t="s">
        <v>3721</v>
      </c>
      <c r="F345" s="1" t="s">
        <v>112</v>
      </c>
      <c r="G345" s="1">
        <v>1197561</v>
      </c>
    </row>
    <row r="346" spans="1:7" x14ac:dyDescent="0.3">
      <c r="A346" s="1" t="str">
        <f t="shared" si="5"/>
        <v>11 tam 242µg_L</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3722</v>
      </c>
      <c r="D346" s="1" t="s">
        <v>973</v>
      </c>
      <c r="E346" s="1" t="s">
        <v>3723</v>
      </c>
      <c r="F346" s="1" t="s">
        <v>112</v>
      </c>
      <c r="G346" s="1">
        <v>912933</v>
      </c>
    </row>
    <row r="347" spans="1:7" x14ac:dyDescent="0.3">
      <c r="A347" s="1" t="str">
        <f t="shared" si="5"/>
        <v>11 tam 242µg_L</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3724</v>
      </c>
      <c r="D347" s="1" t="s">
        <v>2299</v>
      </c>
      <c r="E347" s="1" t="s">
        <v>3725</v>
      </c>
      <c r="F347" s="1" t="s">
        <v>112</v>
      </c>
      <c r="G347" s="1">
        <v>288608</v>
      </c>
    </row>
    <row r="348" spans="1:7" x14ac:dyDescent="0.3">
      <c r="A348" s="1" t="str">
        <f t="shared" si="5"/>
        <v>11 tam 242µg_L</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3726</v>
      </c>
    </row>
    <row r="349" spans="1:7" x14ac:dyDescent="0.3">
      <c r="A349" s="1" t="str">
        <f t="shared" si="5"/>
        <v>11 tam 242µg_L</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3727</v>
      </c>
      <c r="D349" s="1" t="s">
        <v>1643</v>
      </c>
      <c r="E349" s="1" t="s">
        <v>3728</v>
      </c>
      <c r="F349" s="1" t="s">
        <v>112</v>
      </c>
      <c r="G349" s="1">
        <v>435172</v>
      </c>
    </row>
    <row r="350" spans="1:7" x14ac:dyDescent="0.3">
      <c r="A350" s="1" t="str">
        <f t="shared" si="5"/>
        <v>11 tam 242µg_L</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3729</v>
      </c>
      <c r="D350" s="1" t="s">
        <v>3076</v>
      </c>
      <c r="E350" s="1" t="s">
        <v>3730</v>
      </c>
      <c r="F350" s="1" t="s">
        <v>112</v>
      </c>
      <c r="G350" s="1">
        <v>985436</v>
      </c>
    </row>
    <row r="351" spans="1:7" x14ac:dyDescent="0.3">
      <c r="A351" s="1" t="str">
        <f t="shared" si="5"/>
        <v>11 tam 242µg_L</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3731</v>
      </c>
      <c r="D351" s="1" t="s">
        <v>3732</v>
      </c>
      <c r="E351" s="1" t="s">
        <v>3733</v>
      </c>
      <c r="F351" s="1" t="s">
        <v>112</v>
      </c>
      <c r="G351" s="1">
        <v>570597</v>
      </c>
    </row>
    <row r="352" spans="1:7" x14ac:dyDescent="0.3">
      <c r="A352" s="1" t="str">
        <f t="shared" si="5"/>
        <v>11 tam 242µg_L</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3734</v>
      </c>
      <c r="D352" s="1" t="s">
        <v>3735</v>
      </c>
      <c r="E352" s="1" t="s">
        <v>3736</v>
      </c>
      <c r="F352" s="1" t="s">
        <v>112</v>
      </c>
      <c r="G352" s="1">
        <v>709785</v>
      </c>
    </row>
    <row r="353" spans="1:10" x14ac:dyDescent="0.3">
      <c r="A353" s="1" t="str">
        <f t="shared" si="5"/>
        <v>11 tam 242µg_L</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3737</v>
      </c>
      <c r="D353" s="1" t="s">
        <v>3738</v>
      </c>
      <c r="E353" s="1" t="s">
        <v>3739</v>
      </c>
      <c r="F353" s="1" t="s">
        <v>112</v>
      </c>
      <c r="G353" s="1">
        <v>931513</v>
      </c>
    </row>
    <row r="354" spans="1:10" x14ac:dyDescent="0.3">
      <c r="A354" s="1" t="str">
        <f t="shared" si="5"/>
        <v>11 tam 242µg_L</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3740</v>
      </c>
      <c r="D354" s="1" t="s">
        <v>458</v>
      </c>
      <c r="E354" s="1" t="s">
        <v>3741</v>
      </c>
      <c r="F354" s="1" t="s">
        <v>112</v>
      </c>
      <c r="G354" s="1">
        <v>343677</v>
      </c>
    </row>
    <row r="355" spans="1:10" x14ac:dyDescent="0.3">
      <c r="A355" s="1" t="str">
        <f t="shared" si="5"/>
        <v>11 tam 242µg_L</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3742</v>
      </c>
      <c r="D355" s="1" t="s">
        <v>3743</v>
      </c>
      <c r="E355" s="1" t="s">
        <v>3744</v>
      </c>
      <c r="F355" s="1" t="s">
        <v>112</v>
      </c>
      <c r="G355" s="1">
        <v>646409</v>
      </c>
    </row>
    <row r="356" spans="1:10" x14ac:dyDescent="0.3">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10" x14ac:dyDescent="0.3">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243</v>
      </c>
      <c r="D357" s="1" t="s">
        <v>112</v>
      </c>
      <c r="E357" s="1" t="s">
        <v>244</v>
      </c>
      <c r="F357" s="1" t="s">
        <v>245</v>
      </c>
      <c r="G357" s="1" t="s">
        <v>246</v>
      </c>
      <c r="H357" s="1" t="s">
        <v>247</v>
      </c>
      <c r="I357" s="1" t="s">
        <v>248</v>
      </c>
      <c r="J357" s="1" t="s">
        <v>249</v>
      </c>
    </row>
    <row r="358" spans="1:10" x14ac:dyDescent="0.3">
      <c r="A358" s="1" t="str">
        <f t="shared" si="5"/>
        <v>11 tam 242µg_L</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3745</v>
      </c>
      <c r="D358" s="1" t="s">
        <v>112</v>
      </c>
      <c r="E358" s="1" t="s">
        <v>3746</v>
      </c>
      <c r="F358" s="1" t="s">
        <v>3747</v>
      </c>
      <c r="G358" s="1" t="s">
        <v>3748</v>
      </c>
      <c r="H358" s="1" t="s">
        <v>3749</v>
      </c>
      <c r="I358" s="1">
        <v>24</v>
      </c>
      <c r="J358" s="1">
        <v>24</v>
      </c>
    </row>
    <row r="359" spans="1:10" x14ac:dyDescent="0.3">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10" x14ac:dyDescent="0.3">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10" x14ac:dyDescent="0.3">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10" x14ac:dyDescent="0.3">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3">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10" x14ac:dyDescent="0.3">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255</v>
      </c>
      <c r="D364" s="1" t="s">
        <v>110</v>
      </c>
      <c r="E364" s="1" t="s">
        <v>111</v>
      </c>
      <c r="F364" s="1" t="s">
        <v>112</v>
      </c>
      <c r="G364" s="1" t="s">
        <v>113</v>
      </c>
    </row>
    <row r="365" spans="1:10" x14ac:dyDescent="0.3">
      <c r="A365" s="1" t="str">
        <f t="shared" si="5"/>
        <v>12 tam 483µg_L</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3750</v>
      </c>
      <c r="D365" s="1" t="s">
        <v>3751</v>
      </c>
      <c r="E365" s="1" t="s">
        <v>3752</v>
      </c>
      <c r="F365" s="1" t="s">
        <v>112</v>
      </c>
      <c r="G365" s="1">
        <v>4295827</v>
      </c>
    </row>
    <row r="366" spans="1:10" x14ac:dyDescent="0.3">
      <c r="A366" s="1" t="str">
        <f t="shared" si="5"/>
        <v>12 tam 483µg_L</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3753</v>
      </c>
      <c r="D366" s="1" t="s">
        <v>3754</v>
      </c>
      <c r="E366" s="1" t="s">
        <v>3755</v>
      </c>
      <c r="F366" s="1" t="s">
        <v>112</v>
      </c>
      <c r="G366" s="1">
        <v>4296973</v>
      </c>
    </row>
    <row r="367" spans="1:10" x14ac:dyDescent="0.3">
      <c r="A367" s="1" t="str">
        <f t="shared" si="5"/>
        <v>12 tam 483µg_L</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3756</v>
      </c>
    </row>
    <row r="368" spans="1:10" x14ac:dyDescent="0.3">
      <c r="A368" s="1" t="str">
        <f t="shared" si="5"/>
        <v>12 tam 483µg_L</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3757</v>
      </c>
      <c r="D368" s="1" t="s">
        <v>3758</v>
      </c>
      <c r="E368" s="1" t="s">
        <v>3759</v>
      </c>
      <c r="F368" s="1" t="s">
        <v>112</v>
      </c>
      <c r="G368" s="1">
        <v>553660</v>
      </c>
    </row>
    <row r="369" spans="1:7" x14ac:dyDescent="0.3">
      <c r="A369" s="1" t="str">
        <f t="shared" si="5"/>
        <v>12 tam 483µg_L</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3760</v>
      </c>
      <c r="D369" s="1" t="s">
        <v>1292</v>
      </c>
      <c r="E369" s="1" t="s">
        <v>3761</v>
      </c>
      <c r="F369" s="1" t="s">
        <v>112</v>
      </c>
      <c r="G369" s="1">
        <v>466081</v>
      </c>
    </row>
    <row r="370" spans="1:7" x14ac:dyDescent="0.3">
      <c r="A370" s="1" t="str">
        <f t="shared" si="5"/>
        <v>12 tam 483µg_L</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3762</v>
      </c>
      <c r="D370" s="1" t="s">
        <v>458</v>
      </c>
      <c r="E370" s="1" t="s">
        <v>3763</v>
      </c>
      <c r="F370" s="1" t="s">
        <v>112</v>
      </c>
      <c r="G370" s="1">
        <v>342812</v>
      </c>
    </row>
    <row r="371" spans="1:7" x14ac:dyDescent="0.3">
      <c r="A371" s="1" t="str">
        <f t="shared" si="5"/>
        <v>12 tam 483µg_L</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3764</v>
      </c>
      <c r="D371" s="1" t="s">
        <v>3224</v>
      </c>
      <c r="E371" s="1" t="s">
        <v>3765</v>
      </c>
      <c r="F371" s="1" t="s">
        <v>112</v>
      </c>
      <c r="G371" s="1">
        <v>163068</v>
      </c>
    </row>
    <row r="372" spans="1:7" x14ac:dyDescent="0.3">
      <c r="A372" s="1" t="str">
        <f t="shared" si="5"/>
        <v>12 tam 483µg_L</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3766</v>
      </c>
      <c r="D372" s="1" t="s">
        <v>1269</v>
      </c>
      <c r="E372" s="1" t="s">
        <v>3767</v>
      </c>
      <c r="F372" s="1" t="s">
        <v>112</v>
      </c>
      <c r="G372" s="1">
        <v>238599</v>
      </c>
    </row>
    <row r="373" spans="1:7" x14ac:dyDescent="0.3">
      <c r="A373" s="1" t="str">
        <f t="shared" si="5"/>
        <v>12 tam 483µg_L</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3768</v>
      </c>
      <c r="D373" s="1" t="s">
        <v>3769</v>
      </c>
      <c r="E373" s="1" t="s">
        <v>3770</v>
      </c>
      <c r="F373" s="1" t="s">
        <v>112</v>
      </c>
      <c r="G373" s="1">
        <v>240157</v>
      </c>
    </row>
    <row r="374" spans="1:7" x14ac:dyDescent="0.3">
      <c r="A374" s="1" t="str">
        <f t="shared" si="5"/>
        <v>12 tam 483µg_L</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3771</v>
      </c>
    </row>
    <row r="375" spans="1:7" x14ac:dyDescent="0.3">
      <c r="A375" s="1" t="str">
        <f t="shared" si="5"/>
        <v>12 tam 483µg_L</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3772</v>
      </c>
    </row>
    <row r="376" spans="1:7" x14ac:dyDescent="0.3">
      <c r="A376" s="1" t="str">
        <f t="shared" si="5"/>
        <v>12 tam 483µg_L</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3773</v>
      </c>
      <c r="D376" s="1" t="s">
        <v>3774</v>
      </c>
      <c r="E376" s="1" t="s">
        <v>3775</v>
      </c>
      <c r="F376" s="1" t="s">
        <v>112</v>
      </c>
      <c r="G376" s="1">
        <v>1192283</v>
      </c>
    </row>
    <row r="377" spans="1:7" x14ac:dyDescent="0.3">
      <c r="A377" s="1" t="str">
        <f t="shared" si="5"/>
        <v>12 tam 483µg_L</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3776</v>
      </c>
      <c r="D377" s="1" t="s">
        <v>3777</v>
      </c>
      <c r="E377" s="1" t="s">
        <v>3778</v>
      </c>
      <c r="F377" s="1" t="s">
        <v>112</v>
      </c>
      <c r="G377" s="1">
        <v>1956554</v>
      </c>
    </row>
    <row r="378" spans="1:7" x14ac:dyDescent="0.3">
      <c r="A378" s="1" t="str">
        <f t="shared" si="5"/>
        <v>12 tam 483µg_L</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3779</v>
      </c>
      <c r="D378" s="1" t="s">
        <v>3780</v>
      </c>
      <c r="E378" s="1" t="s">
        <v>3781</v>
      </c>
      <c r="F378" s="1" t="s">
        <v>112</v>
      </c>
      <c r="G378" s="1">
        <v>1797855</v>
      </c>
    </row>
    <row r="379" spans="1:7" x14ac:dyDescent="0.3">
      <c r="A379" s="1" t="str">
        <f t="shared" si="5"/>
        <v>12 tam 483µg_L</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3782</v>
      </c>
      <c r="D379" s="1" t="s">
        <v>2118</v>
      </c>
      <c r="E379" s="1" t="s">
        <v>3783</v>
      </c>
      <c r="F379" s="1" t="s">
        <v>112</v>
      </c>
      <c r="G379" s="1">
        <v>1935400</v>
      </c>
    </row>
    <row r="380" spans="1:7" x14ac:dyDescent="0.3">
      <c r="A380" s="1" t="str">
        <f t="shared" si="5"/>
        <v>12 tam 483µg_L</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3784</v>
      </c>
      <c r="D380" s="1" t="s">
        <v>3785</v>
      </c>
      <c r="E380" s="1" t="s">
        <v>3786</v>
      </c>
      <c r="F380" s="1" t="s">
        <v>112</v>
      </c>
      <c r="G380" s="1">
        <v>1149694</v>
      </c>
    </row>
    <row r="381" spans="1:7" x14ac:dyDescent="0.3">
      <c r="A381" s="1" t="str">
        <f t="shared" si="5"/>
        <v>12 tam 483µg_L</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3787</v>
      </c>
      <c r="D381" s="1" t="s">
        <v>3788</v>
      </c>
      <c r="E381" s="1" t="s">
        <v>3789</v>
      </c>
      <c r="F381" s="1" t="s">
        <v>112</v>
      </c>
      <c r="G381" s="1">
        <v>1171994</v>
      </c>
    </row>
    <row r="382" spans="1:7" x14ac:dyDescent="0.3">
      <c r="A382" s="1" t="str">
        <f t="shared" si="5"/>
        <v>12 tam 483µg_L</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3790</v>
      </c>
      <c r="D382" s="1" t="s">
        <v>3791</v>
      </c>
      <c r="E382" s="1" t="s">
        <v>3792</v>
      </c>
      <c r="F382" s="1" t="s">
        <v>112</v>
      </c>
      <c r="G382" s="1">
        <v>1284188</v>
      </c>
    </row>
    <row r="383" spans="1:7" x14ac:dyDescent="0.3">
      <c r="A383" s="1" t="str">
        <f t="shared" si="5"/>
        <v>12 tam 483µg_L</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3793</v>
      </c>
      <c r="D383" s="1" t="s">
        <v>3794</v>
      </c>
      <c r="E383" s="1" t="s">
        <v>3795</v>
      </c>
      <c r="F383" s="1" t="s">
        <v>112</v>
      </c>
      <c r="G383" s="1">
        <v>1842196</v>
      </c>
    </row>
    <row r="384" spans="1:7" x14ac:dyDescent="0.3">
      <c r="A384" s="1" t="str">
        <f t="shared" si="5"/>
        <v>12 tam 483µg_L</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3796</v>
      </c>
      <c r="D384" s="1" t="s">
        <v>3797</v>
      </c>
      <c r="E384" s="1" t="s">
        <v>3798</v>
      </c>
      <c r="F384" s="1" t="s">
        <v>112</v>
      </c>
      <c r="G384" s="1">
        <v>1202038</v>
      </c>
    </row>
    <row r="385" spans="1:10" x14ac:dyDescent="0.3">
      <c r="A385" s="1" t="str">
        <f t="shared" si="5"/>
        <v>12 tam 483µg_L</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3799</v>
      </c>
      <c r="D385" s="1" t="s">
        <v>3656</v>
      </c>
      <c r="E385" s="1" t="s">
        <v>3800</v>
      </c>
      <c r="F385" s="1" t="s">
        <v>112</v>
      </c>
      <c r="G385" s="1">
        <v>935428</v>
      </c>
    </row>
    <row r="386" spans="1:10" x14ac:dyDescent="0.3">
      <c r="A386" s="1" t="str">
        <f t="shared" ref="A386:A449" si="6">IFERROR(LEFT(RIGHT(C386,LEN(C386)-SEARCH("@",C386)),SEARCH("/",RIGHT(C386,LEN(C386)-SEARCH("@",C386)-1))),"")</f>
        <v>12 tam 483µg_L</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3801</v>
      </c>
    </row>
    <row r="387" spans="1:10" x14ac:dyDescent="0.3">
      <c r="A387" s="1" t="str">
        <f t="shared" si="6"/>
        <v>12 tam 483µg_L</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3802</v>
      </c>
      <c r="D387" s="1" t="s">
        <v>3803</v>
      </c>
      <c r="E387" s="1" t="s">
        <v>3804</v>
      </c>
      <c r="F387" s="1" t="s">
        <v>112</v>
      </c>
      <c r="G387" s="1">
        <v>1475289</v>
      </c>
    </row>
    <row r="388" spans="1:10" x14ac:dyDescent="0.3">
      <c r="A388" s="1" t="str">
        <f t="shared" si="6"/>
        <v>12 tam 483µg_L</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3805</v>
      </c>
      <c r="D388" s="1" t="s">
        <v>3806</v>
      </c>
      <c r="E388" s="1" t="s">
        <v>3807</v>
      </c>
      <c r="F388" s="1" t="s">
        <v>112</v>
      </c>
      <c r="G388" s="1">
        <v>881526</v>
      </c>
    </row>
    <row r="389" spans="1:10" x14ac:dyDescent="0.3">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10" x14ac:dyDescent="0.3">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243</v>
      </c>
      <c r="D390" s="1" t="s">
        <v>112</v>
      </c>
      <c r="E390" s="1" t="s">
        <v>244</v>
      </c>
      <c r="F390" s="1" t="s">
        <v>245</v>
      </c>
      <c r="G390" s="1" t="s">
        <v>246</v>
      </c>
      <c r="H390" s="1" t="s">
        <v>247</v>
      </c>
      <c r="I390" s="1" t="s">
        <v>248</v>
      </c>
      <c r="J390" s="1" t="s">
        <v>249</v>
      </c>
    </row>
    <row r="391" spans="1:10" x14ac:dyDescent="0.3">
      <c r="A391" s="1" t="str">
        <f t="shared" si="6"/>
        <v>12 tam 483µg_L</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3808</v>
      </c>
      <c r="D391" s="1" t="s">
        <v>112</v>
      </c>
      <c r="E391" s="1" t="s">
        <v>3809</v>
      </c>
      <c r="F391" s="1" t="s">
        <v>3810</v>
      </c>
      <c r="G391" s="1" t="s">
        <v>3811</v>
      </c>
      <c r="H391" s="1" t="s">
        <v>3812</v>
      </c>
      <c r="I391" s="1">
        <v>24</v>
      </c>
      <c r="J391" s="1">
        <v>24</v>
      </c>
    </row>
    <row r="392" spans="1:10" x14ac:dyDescent="0.3">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10" x14ac:dyDescent="0.3">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10" x14ac:dyDescent="0.3">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10" x14ac:dyDescent="0.3">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10" x14ac:dyDescent="0.3">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10" x14ac:dyDescent="0.3">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255</v>
      </c>
      <c r="D397" s="1" t="s">
        <v>110</v>
      </c>
      <c r="E397" s="1" t="s">
        <v>111</v>
      </c>
      <c r="F397" s="1" t="s">
        <v>112</v>
      </c>
      <c r="G397" s="1" t="s">
        <v>113</v>
      </c>
    </row>
    <row r="398" spans="1:10" x14ac:dyDescent="0.3">
      <c r="A398" s="1" t="str">
        <f t="shared" si="6"/>
        <v>01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3813</v>
      </c>
      <c r="D398" s="1" t="s">
        <v>3814</v>
      </c>
      <c r="E398" s="1" t="s">
        <v>3815</v>
      </c>
      <c r="F398" s="1" t="s">
        <v>112</v>
      </c>
      <c r="G398" s="1">
        <v>3621580</v>
      </c>
    </row>
    <row r="399" spans="1:10" x14ac:dyDescent="0.3">
      <c r="A399" s="1" t="str">
        <f t="shared" si="6"/>
        <v>01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3816</v>
      </c>
      <c r="D399" s="1" t="s">
        <v>2748</v>
      </c>
      <c r="E399" s="1" t="s">
        <v>3817</v>
      </c>
      <c r="F399" s="1" t="s">
        <v>112</v>
      </c>
      <c r="G399" s="1">
        <v>3196812</v>
      </c>
    </row>
    <row r="400" spans="1:10" x14ac:dyDescent="0.3">
      <c r="A400" s="1" t="str">
        <f t="shared" si="6"/>
        <v>01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3818</v>
      </c>
      <c r="D400" s="1" t="s">
        <v>3440</v>
      </c>
      <c r="E400" s="1" t="s">
        <v>3819</v>
      </c>
      <c r="F400" s="1" t="s">
        <v>112</v>
      </c>
      <c r="G400" s="1">
        <v>3161771</v>
      </c>
    </row>
    <row r="401" spans="1:7" x14ac:dyDescent="0.3">
      <c r="A401" s="1" t="str">
        <f t="shared" si="6"/>
        <v>01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3820</v>
      </c>
      <c r="D401" s="1" t="s">
        <v>3821</v>
      </c>
      <c r="E401" s="1" t="s">
        <v>3822</v>
      </c>
      <c r="F401" s="1" t="s">
        <v>112</v>
      </c>
      <c r="G401" s="1">
        <v>4226157</v>
      </c>
    </row>
    <row r="402" spans="1:7" x14ac:dyDescent="0.3">
      <c r="A402" s="1" t="str">
        <f t="shared" si="6"/>
        <v>01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3823</v>
      </c>
      <c r="D402" s="1" t="s">
        <v>2992</v>
      </c>
      <c r="E402" s="1" t="s">
        <v>3824</v>
      </c>
      <c r="F402" s="1" t="s">
        <v>112</v>
      </c>
      <c r="G402" s="1">
        <v>3854880</v>
      </c>
    </row>
    <row r="403" spans="1:7" x14ac:dyDescent="0.3">
      <c r="A403" s="1" t="str">
        <f t="shared" si="6"/>
        <v>01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3825</v>
      </c>
      <c r="D403" s="1" t="s">
        <v>3826</v>
      </c>
      <c r="E403" s="1" t="s">
        <v>3827</v>
      </c>
      <c r="F403" s="1" t="s">
        <v>112</v>
      </c>
      <c r="G403" s="1">
        <v>3651840</v>
      </c>
    </row>
    <row r="404" spans="1:7" x14ac:dyDescent="0.3">
      <c r="A404" s="1" t="str">
        <f t="shared" si="6"/>
        <v>01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3828</v>
      </c>
      <c r="D404" s="1" t="s">
        <v>3829</v>
      </c>
      <c r="E404" s="1" t="s">
        <v>3830</v>
      </c>
      <c r="F404" s="1" t="s">
        <v>112</v>
      </c>
      <c r="G404" s="1">
        <v>3482218</v>
      </c>
    </row>
    <row r="405" spans="1:7" x14ac:dyDescent="0.3">
      <c r="A405" s="1" t="str">
        <f t="shared" si="6"/>
        <v>01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3831</v>
      </c>
      <c r="D405" s="1" t="s">
        <v>3832</v>
      </c>
      <c r="E405" s="1" t="s">
        <v>3833</v>
      </c>
      <c r="F405" s="1" t="s">
        <v>112</v>
      </c>
      <c r="G405" s="1">
        <v>3668863</v>
      </c>
    </row>
    <row r="406" spans="1:7" x14ac:dyDescent="0.3">
      <c r="A406" s="1" t="str">
        <f t="shared" si="6"/>
        <v>01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3834</v>
      </c>
      <c r="D406" s="1" t="s">
        <v>2581</v>
      </c>
      <c r="E406" s="1" t="s">
        <v>3835</v>
      </c>
      <c r="F406" s="1" t="s">
        <v>112</v>
      </c>
      <c r="G406" s="1">
        <v>2760926</v>
      </c>
    </row>
    <row r="407" spans="1:7" x14ac:dyDescent="0.3">
      <c r="A407" s="1" t="str">
        <f t="shared" si="6"/>
        <v>01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3836</v>
      </c>
      <c r="D407" s="1" t="s">
        <v>3837</v>
      </c>
      <c r="E407" s="1" t="s">
        <v>3838</v>
      </c>
      <c r="F407" s="1" t="s">
        <v>112</v>
      </c>
      <c r="G407" s="1">
        <v>1682395</v>
      </c>
    </row>
    <row r="408" spans="1:7" x14ac:dyDescent="0.3">
      <c r="A408" s="1" t="str">
        <f t="shared" si="6"/>
        <v>01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3839</v>
      </c>
      <c r="D408" s="1" t="s">
        <v>3840</v>
      </c>
      <c r="E408" s="1" t="s">
        <v>3841</v>
      </c>
      <c r="F408" s="1" t="s">
        <v>112</v>
      </c>
      <c r="G408" s="1">
        <v>1835708</v>
      </c>
    </row>
    <row r="409" spans="1:7" x14ac:dyDescent="0.3">
      <c r="A409" s="1" t="str">
        <f t="shared" si="6"/>
        <v>01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3842</v>
      </c>
      <c r="D409" s="1" t="s">
        <v>3843</v>
      </c>
      <c r="E409" s="1" t="s">
        <v>3844</v>
      </c>
      <c r="F409" s="1" t="s">
        <v>112</v>
      </c>
      <c r="G409" s="1">
        <v>1456492</v>
      </c>
    </row>
    <row r="410" spans="1:7" x14ac:dyDescent="0.3">
      <c r="A410" s="1" t="str">
        <f t="shared" si="6"/>
        <v>01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3845</v>
      </c>
    </row>
    <row r="411" spans="1:7" x14ac:dyDescent="0.3">
      <c r="A411" s="1" t="str">
        <f t="shared" si="6"/>
        <v>01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3846</v>
      </c>
      <c r="D411" s="1" t="s">
        <v>3847</v>
      </c>
      <c r="E411" s="1" t="s">
        <v>3848</v>
      </c>
      <c r="F411" s="1" t="s">
        <v>112</v>
      </c>
      <c r="G411" s="1">
        <v>3107697</v>
      </c>
    </row>
    <row r="412" spans="1:7" x14ac:dyDescent="0.3">
      <c r="A412" s="1" t="str">
        <f t="shared" si="6"/>
        <v>01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3849</v>
      </c>
      <c r="D412" s="1" t="s">
        <v>3850</v>
      </c>
      <c r="E412" s="1" t="s">
        <v>3851</v>
      </c>
      <c r="F412" s="1" t="s">
        <v>112</v>
      </c>
      <c r="G412" s="1">
        <v>2976165</v>
      </c>
    </row>
    <row r="413" spans="1:7" x14ac:dyDescent="0.3">
      <c r="A413" s="1" t="str">
        <f t="shared" si="6"/>
        <v>01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3852</v>
      </c>
      <c r="D413" s="1" t="s">
        <v>1119</v>
      </c>
      <c r="E413" s="1" t="s">
        <v>3853</v>
      </c>
      <c r="F413" s="1" t="s">
        <v>112</v>
      </c>
      <c r="G413" s="1">
        <v>1760176</v>
      </c>
    </row>
    <row r="414" spans="1:7" x14ac:dyDescent="0.3">
      <c r="A414" s="1" t="str">
        <f t="shared" si="6"/>
        <v>01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3854</v>
      </c>
      <c r="D414" s="1" t="s">
        <v>3855</v>
      </c>
      <c r="E414" s="1" t="s">
        <v>3856</v>
      </c>
      <c r="F414" s="1" t="s">
        <v>112</v>
      </c>
      <c r="G414" s="1">
        <v>1376786</v>
      </c>
    </row>
    <row r="415" spans="1:7" x14ac:dyDescent="0.3">
      <c r="A415" s="1" t="str">
        <f t="shared" si="6"/>
        <v>01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3857</v>
      </c>
      <c r="D415" s="1" t="s">
        <v>3858</v>
      </c>
      <c r="E415" s="1" t="s">
        <v>3859</v>
      </c>
      <c r="F415" s="1" t="s">
        <v>112</v>
      </c>
      <c r="G415" s="1">
        <v>1203336</v>
      </c>
    </row>
    <row r="416" spans="1:7" x14ac:dyDescent="0.3">
      <c r="A416" s="1" t="str">
        <f t="shared" si="6"/>
        <v>01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3860</v>
      </c>
      <c r="D416" s="1" t="s">
        <v>161</v>
      </c>
      <c r="E416" s="1" t="s">
        <v>3861</v>
      </c>
      <c r="F416" s="1" t="s">
        <v>112</v>
      </c>
      <c r="G416" s="1">
        <v>1465382</v>
      </c>
    </row>
    <row r="417" spans="1:10" x14ac:dyDescent="0.3">
      <c r="A417" s="1" t="str">
        <f t="shared" si="6"/>
        <v>01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3862</v>
      </c>
      <c r="D417" s="1" t="s">
        <v>3863</v>
      </c>
      <c r="E417" s="1" t="s">
        <v>3864</v>
      </c>
      <c r="F417" s="1" t="s">
        <v>112</v>
      </c>
      <c r="G417" s="1">
        <v>1477127</v>
      </c>
    </row>
    <row r="418" spans="1:10" x14ac:dyDescent="0.3">
      <c r="A418" s="1" t="str">
        <f t="shared" si="6"/>
        <v>01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3865</v>
      </c>
      <c r="D418" s="1" t="s">
        <v>2256</v>
      </c>
      <c r="E418" s="1" t="s">
        <v>3866</v>
      </c>
      <c r="F418" s="1" t="s">
        <v>112</v>
      </c>
      <c r="G418" s="1">
        <v>243380</v>
      </c>
    </row>
    <row r="419" spans="1:10" x14ac:dyDescent="0.3">
      <c r="A419" s="1" t="str">
        <f t="shared" si="6"/>
        <v>01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3867</v>
      </c>
      <c r="D419" s="1" t="s">
        <v>3868</v>
      </c>
      <c r="E419" s="1" t="s">
        <v>3869</v>
      </c>
      <c r="F419" s="1" t="s">
        <v>112</v>
      </c>
      <c r="G419" s="1">
        <v>3466450</v>
      </c>
    </row>
    <row r="420" spans="1:10" x14ac:dyDescent="0.3">
      <c r="A420" s="1" t="str">
        <f t="shared" si="6"/>
        <v>01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3870</v>
      </c>
      <c r="D420" s="1" t="s">
        <v>692</v>
      </c>
      <c r="E420" s="1" t="s">
        <v>3871</v>
      </c>
      <c r="F420" s="1" t="s">
        <v>112</v>
      </c>
      <c r="G420" s="1">
        <v>3053427</v>
      </c>
    </row>
    <row r="421" spans="1:10" x14ac:dyDescent="0.3">
      <c r="A421" s="1" t="str">
        <f t="shared" si="6"/>
        <v>01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3872</v>
      </c>
      <c r="D421" s="1" t="s">
        <v>1400</v>
      </c>
      <c r="E421" s="1" t="s">
        <v>3873</v>
      </c>
      <c r="F421" s="1" t="s">
        <v>112</v>
      </c>
      <c r="G421" s="1">
        <v>2800379</v>
      </c>
    </row>
    <row r="422" spans="1:10" x14ac:dyDescent="0.3">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10" x14ac:dyDescent="0.3">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243</v>
      </c>
      <c r="D423" s="1" t="s">
        <v>112</v>
      </c>
      <c r="E423" s="1" t="s">
        <v>244</v>
      </c>
      <c r="F423" s="1" t="s">
        <v>245</v>
      </c>
      <c r="G423" s="1" t="s">
        <v>246</v>
      </c>
      <c r="H423" s="1" t="s">
        <v>247</v>
      </c>
      <c r="I423" s="1" t="s">
        <v>248</v>
      </c>
      <c r="J423" s="1" t="s">
        <v>249</v>
      </c>
    </row>
    <row r="424" spans="1:10" x14ac:dyDescent="0.3">
      <c r="A424" s="1" t="str">
        <f t="shared" si="6"/>
        <v>01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3874</v>
      </c>
      <c r="D424" s="1" t="s">
        <v>112</v>
      </c>
      <c r="E424" s="1" t="s">
        <v>3875</v>
      </c>
      <c r="F424" s="1" t="s">
        <v>3876</v>
      </c>
      <c r="G424" s="1" t="s">
        <v>3877</v>
      </c>
      <c r="H424" s="1" t="s">
        <v>3878</v>
      </c>
      <c r="I424" s="1">
        <v>24</v>
      </c>
      <c r="J424" s="1">
        <v>24</v>
      </c>
    </row>
    <row r="425" spans="1:10" x14ac:dyDescent="0.3">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10" x14ac:dyDescent="0.3">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10" x14ac:dyDescent="0.3">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10" x14ac:dyDescent="0.3">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10" x14ac:dyDescent="0.3">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10" x14ac:dyDescent="0.3">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255</v>
      </c>
      <c r="D430" s="1" t="s">
        <v>110</v>
      </c>
      <c r="E430" s="1" t="s">
        <v>111</v>
      </c>
      <c r="F430" s="1" t="s">
        <v>112</v>
      </c>
      <c r="G430" s="1" t="s">
        <v>113</v>
      </c>
    </row>
    <row r="431" spans="1:10" x14ac:dyDescent="0.3">
      <c r="A431" s="1" t="str">
        <f t="shared" si="6"/>
        <v>02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3879</v>
      </c>
      <c r="D431" s="1" t="s">
        <v>3880</v>
      </c>
      <c r="E431" s="1" t="s">
        <v>3881</v>
      </c>
      <c r="F431" s="1" t="s">
        <v>112</v>
      </c>
      <c r="G431" s="1">
        <v>4040010</v>
      </c>
    </row>
    <row r="432" spans="1:10" x14ac:dyDescent="0.3">
      <c r="A432" s="1" t="str">
        <f t="shared" si="6"/>
        <v>02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3882</v>
      </c>
      <c r="D432" s="1" t="s">
        <v>3883</v>
      </c>
      <c r="E432" s="1" t="s">
        <v>3884</v>
      </c>
      <c r="F432" s="1" t="s">
        <v>112</v>
      </c>
      <c r="G432" s="1">
        <v>4734503</v>
      </c>
    </row>
    <row r="433" spans="1:7" x14ac:dyDescent="0.3">
      <c r="A433" s="1" t="str">
        <f t="shared" si="6"/>
        <v>02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3885</v>
      </c>
      <c r="D433" s="1" t="s">
        <v>3886</v>
      </c>
      <c r="E433" s="1" t="s">
        <v>3887</v>
      </c>
      <c r="F433" s="1" t="s">
        <v>112</v>
      </c>
      <c r="G433" s="1">
        <v>4773999</v>
      </c>
    </row>
    <row r="434" spans="1:7" x14ac:dyDescent="0.3">
      <c r="A434" s="1" t="str">
        <f t="shared" si="6"/>
        <v>02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3888</v>
      </c>
      <c r="D434" s="1" t="s">
        <v>3889</v>
      </c>
      <c r="E434" s="1" t="s">
        <v>3890</v>
      </c>
      <c r="F434" s="1" t="s">
        <v>112</v>
      </c>
      <c r="G434" s="1">
        <v>2977896</v>
      </c>
    </row>
    <row r="435" spans="1:7" x14ac:dyDescent="0.3">
      <c r="A435" s="1" t="str">
        <f t="shared" si="6"/>
        <v>02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3891</v>
      </c>
      <c r="D435" s="1" t="s">
        <v>1423</v>
      </c>
      <c r="E435" s="1" t="s">
        <v>3892</v>
      </c>
      <c r="F435" s="1" t="s">
        <v>112</v>
      </c>
      <c r="G435" s="1">
        <v>2764647</v>
      </c>
    </row>
    <row r="436" spans="1:7" x14ac:dyDescent="0.3">
      <c r="A436" s="1" t="str">
        <f t="shared" si="6"/>
        <v>02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3893</v>
      </c>
      <c r="D436" s="1" t="s">
        <v>3894</v>
      </c>
      <c r="E436" s="1" t="s">
        <v>3895</v>
      </c>
      <c r="F436" s="1" t="s">
        <v>112</v>
      </c>
      <c r="G436" s="1">
        <v>2739686</v>
      </c>
    </row>
    <row r="437" spans="1:7" x14ac:dyDescent="0.3">
      <c r="A437" s="1" t="str">
        <f t="shared" si="6"/>
        <v>02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3896</v>
      </c>
      <c r="D437" s="1" t="s">
        <v>3897</v>
      </c>
      <c r="E437" s="1" t="s">
        <v>3898</v>
      </c>
      <c r="F437" s="1" t="s">
        <v>112</v>
      </c>
      <c r="G437" s="1">
        <v>4297536</v>
      </c>
    </row>
    <row r="438" spans="1:7" x14ac:dyDescent="0.3">
      <c r="A438" s="1" t="str">
        <f t="shared" si="6"/>
        <v>02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3899</v>
      </c>
      <c r="D438" s="1" t="s">
        <v>3900</v>
      </c>
      <c r="E438" s="1" t="s">
        <v>3901</v>
      </c>
      <c r="F438" s="1" t="s">
        <v>112</v>
      </c>
      <c r="G438" s="1">
        <v>4484677</v>
      </c>
    </row>
    <row r="439" spans="1:7" x14ac:dyDescent="0.3">
      <c r="A439" s="1" t="str">
        <f t="shared" si="6"/>
        <v>02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3902</v>
      </c>
      <c r="D439" s="1" t="s">
        <v>3903</v>
      </c>
      <c r="E439" s="1" t="s">
        <v>3904</v>
      </c>
      <c r="F439" s="1" t="s">
        <v>112</v>
      </c>
      <c r="G439" s="1">
        <v>3744156</v>
      </c>
    </row>
    <row r="440" spans="1:7" x14ac:dyDescent="0.3">
      <c r="A440" s="1" t="str">
        <f t="shared" si="6"/>
        <v>02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3905</v>
      </c>
      <c r="D440" s="1" t="s">
        <v>3906</v>
      </c>
      <c r="E440" s="1" t="s">
        <v>3907</v>
      </c>
      <c r="F440" s="1" t="s">
        <v>112</v>
      </c>
      <c r="G440" s="1">
        <v>1332380</v>
      </c>
    </row>
    <row r="441" spans="1:7" x14ac:dyDescent="0.3">
      <c r="A441" s="1" t="str">
        <f t="shared" si="6"/>
        <v>02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3908</v>
      </c>
      <c r="D441" s="1" t="s">
        <v>3909</v>
      </c>
      <c r="E441" s="1" t="s">
        <v>3910</v>
      </c>
      <c r="F441" s="1" t="s">
        <v>112</v>
      </c>
      <c r="G441" s="1">
        <v>883062</v>
      </c>
    </row>
    <row r="442" spans="1:7" x14ac:dyDescent="0.3">
      <c r="A442" s="1" t="str">
        <f t="shared" si="6"/>
        <v>02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3911</v>
      </c>
      <c r="D442" s="1" t="s">
        <v>3912</v>
      </c>
      <c r="E442" s="1" t="s">
        <v>3913</v>
      </c>
      <c r="F442" s="1" t="s">
        <v>112</v>
      </c>
      <c r="G442" s="1">
        <v>754624</v>
      </c>
    </row>
    <row r="443" spans="1:7" x14ac:dyDescent="0.3">
      <c r="A443" s="1" t="str">
        <f t="shared" si="6"/>
        <v>02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3914</v>
      </c>
      <c r="D443" s="1" t="s">
        <v>3915</v>
      </c>
      <c r="E443" s="1" t="s">
        <v>3916</v>
      </c>
      <c r="F443" s="1" t="s">
        <v>112</v>
      </c>
      <c r="G443" s="1">
        <v>839759</v>
      </c>
    </row>
    <row r="444" spans="1:7" x14ac:dyDescent="0.3">
      <c r="A444" s="1" t="str">
        <f t="shared" si="6"/>
        <v>02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3917</v>
      </c>
      <c r="D444" s="1" t="s">
        <v>2555</v>
      </c>
      <c r="E444" s="1" t="s">
        <v>3918</v>
      </c>
      <c r="F444" s="1" t="s">
        <v>112</v>
      </c>
      <c r="G444" s="1">
        <v>930410</v>
      </c>
    </row>
    <row r="445" spans="1:7" x14ac:dyDescent="0.3">
      <c r="A445" s="1" t="str">
        <f t="shared" si="6"/>
        <v>02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3919</v>
      </c>
      <c r="D445" s="1" t="s">
        <v>602</v>
      </c>
      <c r="E445" s="1" t="s">
        <v>3920</v>
      </c>
      <c r="F445" s="1" t="s">
        <v>112</v>
      </c>
      <c r="G445" s="1">
        <v>774393</v>
      </c>
    </row>
    <row r="446" spans="1:7" x14ac:dyDescent="0.3">
      <c r="A446" s="1" t="str">
        <f t="shared" si="6"/>
        <v>02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3921</v>
      </c>
      <c r="D446" s="1" t="s">
        <v>521</v>
      </c>
      <c r="E446" s="1" t="s">
        <v>3922</v>
      </c>
      <c r="F446" s="1" t="s">
        <v>112</v>
      </c>
      <c r="G446" s="1">
        <v>692762</v>
      </c>
    </row>
    <row r="447" spans="1:7" x14ac:dyDescent="0.3">
      <c r="A447" s="1" t="str">
        <f t="shared" si="6"/>
        <v>02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3923</v>
      </c>
      <c r="D447" s="1" t="s">
        <v>3924</v>
      </c>
      <c r="E447" s="1" t="s">
        <v>3925</v>
      </c>
      <c r="F447" s="1" t="s">
        <v>112</v>
      </c>
      <c r="G447" s="1">
        <v>1561094</v>
      </c>
    </row>
    <row r="448" spans="1:7" x14ac:dyDescent="0.3">
      <c r="A448" s="1" t="str">
        <f t="shared" si="6"/>
        <v>02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3926</v>
      </c>
      <c r="D448" s="1" t="s">
        <v>3927</v>
      </c>
      <c r="E448" s="1" t="s">
        <v>3928</v>
      </c>
      <c r="F448" s="1" t="s">
        <v>112</v>
      </c>
      <c r="G448" s="1">
        <v>1419548</v>
      </c>
    </row>
    <row r="449" spans="1:10" x14ac:dyDescent="0.3">
      <c r="A449" s="1" t="str">
        <f t="shared" si="6"/>
        <v>02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3929</v>
      </c>
      <c r="D449" s="1" t="s">
        <v>3930</v>
      </c>
      <c r="E449" s="1" t="s">
        <v>3931</v>
      </c>
      <c r="F449" s="1" t="s">
        <v>112</v>
      </c>
      <c r="G449" s="1">
        <v>2880194</v>
      </c>
    </row>
    <row r="450" spans="1:10" x14ac:dyDescent="0.3">
      <c r="A450" s="1" t="str">
        <f t="shared" ref="A450:A513" si="7">IFERROR(LEFT(RIGHT(C450,LEN(C450)-SEARCH("@",C450)),SEARCH("/",RIGHT(C450,LEN(C450)-SEARCH("@",C450)-1))),"")</f>
        <v>02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3932</v>
      </c>
      <c r="D450" s="1" t="s">
        <v>3933</v>
      </c>
      <c r="E450" s="1" t="s">
        <v>3934</v>
      </c>
      <c r="F450" s="1" t="s">
        <v>112</v>
      </c>
      <c r="G450" s="1">
        <v>2696772</v>
      </c>
    </row>
    <row r="451" spans="1:10" x14ac:dyDescent="0.3">
      <c r="A451" s="1" t="str">
        <f t="shared" si="7"/>
        <v>02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3935</v>
      </c>
      <c r="D451" s="1" t="s">
        <v>3936</v>
      </c>
      <c r="E451" s="1" t="s">
        <v>3937</v>
      </c>
      <c r="F451" s="1" t="s">
        <v>112</v>
      </c>
      <c r="G451" s="1">
        <v>2739902</v>
      </c>
    </row>
    <row r="452" spans="1:10" x14ac:dyDescent="0.3">
      <c r="A452" s="1" t="str">
        <f t="shared" si="7"/>
        <v>02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3938</v>
      </c>
      <c r="D452" s="1" t="s">
        <v>2083</v>
      </c>
      <c r="E452" s="1" t="s">
        <v>3939</v>
      </c>
      <c r="F452" s="1" t="s">
        <v>112</v>
      </c>
      <c r="G452" s="1">
        <v>2521829</v>
      </c>
    </row>
    <row r="453" spans="1:10" x14ac:dyDescent="0.3">
      <c r="A453" s="1" t="str">
        <f t="shared" si="7"/>
        <v>02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3940</v>
      </c>
      <c r="D453" s="1" t="s">
        <v>3941</v>
      </c>
      <c r="E453" s="1" t="s">
        <v>3942</v>
      </c>
      <c r="F453" s="1" t="s">
        <v>112</v>
      </c>
      <c r="G453" s="1">
        <v>2445627</v>
      </c>
    </row>
    <row r="454" spans="1:10" x14ac:dyDescent="0.3">
      <c r="A454" s="1" t="str">
        <f t="shared" si="7"/>
        <v>02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3943</v>
      </c>
      <c r="D454" s="1" t="s">
        <v>3944</v>
      </c>
      <c r="E454" s="1" t="s">
        <v>3945</v>
      </c>
      <c r="F454" s="1" t="s">
        <v>112</v>
      </c>
      <c r="G454" s="1">
        <v>2040197</v>
      </c>
    </row>
    <row r="455" spans="1:10" x14ac:dyDescent="0.3">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10" x14ac:dyDescent="0.3">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243</v>
      </c>
      <c r="D456" s="1" t="s">
        <v>112</v>
      </c>
      <c r="E456" s="1" t="s">
        <v>244</v>
      </c>
      <c r="F456" s="1" t="s">
        <v>245</v>
      </c>
      <c r="G456" s="1" t="s">
        <v>246</v>
      </c>
      <c r="H456" s="1" t="s">
        <v>247</v>
      </c>
      <c r="I456" s="1" t="s">
        <v>248</v>
      </c>
      <c r="J456" s="1" t="s">
        <v>249</v>
      </c>
    </row>
    <row r="457" spans="1:10" x14ac:dyDescent="0.3">
      <c r="A457" s="1" t="str">
        <f t="shared" si="7"/>
        <v>02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3946</v>
      </c>
      <c r="D457" s="1" t="s">
        <v>112</v>
      </c>
      <c r="E457" s="1" t="s">
        <v>3947</v>
      </c>
      <c r="F457" s="1" t="s">
        <v>3948</v>
      </c>
      <c r="G457" s="1" t="s">
        <v>3949</v>
      </c>
      <c r="H457" s="1" t="s">
        <v>3950</v>
      </c>
      <c r="I457" s="1">
        <v>24</v>
      </c>
      <c r="J457" s="1">
        <v>24</v>
      </c>
    </row>
    <row r="458" spans="1:10" x14ac:dyDescent="0.3">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10" x14ac:dyDescent="0.3">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10" x14ac:dyDescent="0.3">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10" x14ac:dyDescent="0.3">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10" x14ac:dyDescent="0.3">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10" x14ac:dyDescent="0.3">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255</v>
      </c>
      <c r="D463" s="1" t="s">
        <v>110</v>
      </c>
      <c r="E463" s="1" t="s">
        <v>111</v>
      </c>
      <c r="F463" s="1" t="s">
        <v>112</v>
      </c>
      <c r="G463" s="1" t="s">
        <v>113</v>
      </c>
    </row>
    <row r="464" spans="1:10" x14ac:dyDescent="0.3">
      <c r="A464" s="1" t="str">
        <f t="shared" si="7"/>
        <v>03Testo + EE2 64</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3951</v>
      </c>
      <c r="D464" s="1" t="s">
        <v>3952</v>
      </c>
      <c r="E464" s="1" t="s">
        <v>3953</v>
      </c>
      <c r="F464" s="1" t="s">
        <v>112</v>
      </c>
      <c r="G464" s="1">
        <v>5379658</v>
      </c>
    </row>
    <row r="465" spans="1:7" x14ac:dyDescent="0.3">
      <c r="A465" s="1" t="str">
        <f t="shared" si="7"/>
        <v>03Testo + EE2 64</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3954</v>
      </c>
      <c r="D465" s="1" t="s">
        <v>3955</v>
      </c>
      <c r="E465" s="1" t="s">
        <v>3956</v>
      </c>
      <c r="F465" s="1" t="s">
        <v>112</v>
      </c>
      <c r="G465" s="1">
        <v>5165781</v>
      </c>
    </row>
    <row r="466" spans="1:7" x14ac:dyDescent="0.3">
      <c r="A466" s="1" t="str">
        <f t="shared" si="7"/>
        <v>03Testo + EE2 64</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3957</v>
      </c>
      <c r="D466" s="1" t="s">
        <v>3958</v>
      </c>
      <c r="E466" s="1" t="s">
        <v>3959</v>
      </c>
      <c r="F466" s="1" t="s">
        <v>112</v>
      </c>
      <c r="G466" s="1">
        <v>4798744</v>
      </c>
    </row>
    <row r="467" spans="1:7" x14ac:dyDescent="0.3">
      <c r="A467" s="1" t="str">
        <f t="shared" si="7"/>
        <v>03Testo + EE2 64</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3960</v>
      </c>
      <c r="D467" s="1" t="s">
        <v>3961</v>
      </c>
      <c r="E467" s="1" t="s">
        <v>3962</v>
      </c>
      <c r="F467" s="1" t="s">
        <v>112</v>
      </c>
      <c r="G467" s="1">
        <v>5505500</v>
      </c>
    </row>
    <row r="468" spans="1:7" x14ac:dyDescent="0.3">
      <c r="A468" s="1" t="str">
        <f t="shared" si="7"/>
        <v>03Testo + EE2 64</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3963</v>
      </c>
      <c r="D468" s="1" t="s">
        <v>3964</v>
      </c>
      <c r="E468" s="1" t="s">
        <v>3965</v>
      </c>
      <c r="F468" s="1" t="s">
        <v>112</v>
      </c>
      <c r="G468" s="1">
        <v>4933844</v>
      </c>
    </row>
    <row r="469" spans="1:7" x14ac:dyDescent="0.3">
      <c r="A469" s="1" t="str">
        <f t="shared" si="7"/>
        <v>03Testo + EE2 64</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3966</v>
      </c>
      <c r="D469" s="1" t="s">
        <v>3967</v>
      </c>
      <c r="E469" s="1" t="s">
        <v>3968</v>
      </c>
      <c r="F469" s="1" t="s">
        <v>112</v>
      </c>
      <c r="G469" s="1">
        <v>5035569</v>
      </c>
    </row>
    <row r="470" spans="1:7" x14ac:dyDescent="0.3">
      <c r="A470" s="1" t="str">
        <f t="shared" si="7"/>
        <v>03Testo + EE2 64</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3969</v>
      </c>
      <c r="D470" s="1" t="s">
        <v>3970</v>
      </c>
      <c r="E470" s="1" t="s">
        <v>3971</v>
      </c>
      <c r="F470" s="1" t="s">
        <v>112</v>
      </c>
      <c r="G470" s="1">
        <v>4387667</v>
      </c>
    </row>
    <row r="471" spans="1:7" x14ac:dyDescent="0.3">
      <c r="A471" s="1" t="str">
        <f t="shared" si="7"/>
        <v>03Testo + EE2 64</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3972</v>
      </c>
      <c r="D471" s="1" t="s">
        <v>3973</v>
      </c>
      <c r="E471" s="1" t="s">
        <v>3974</v>
      </c>
      <c r="F471" s="1" t="s">
        <v>112</v>
      </c>
      <c r="G471" s="1">
        <v>4248090</v>
      </c>
    </row>
    <row r="472" spans="1:7" x14ac:dyDescent="0.3">
      <c r="A472" s="1" t="str">
        <f t="shared" si="7"/>
        <v>03Testo + EE2 64</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3975</v>
      </c>
      <c r="D472" s="1" t="s">
        <v>3976</v>
      </c>
      <c r="E472" s="1" t="s">
        <v>3977</v>
      </c>
      <c r="F472" s="1" t="s">
        <v>112</v>
      </c>
      <c r="G472" s="1">
        <v>4579914</v>
      </c>
    </row>
    <row r="473" spans="1:7" x14ac:dyDescent="0.3">
      <c r="A473" s="1" t="str">
        <f t="shared" si="7"/>
        <v>03Testo + EE2 64</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3978</v>
      </c>
      <c r="D473" s="1" t="s">
        <v>3979</v>
      </c>
      <c r="E473" s="1" t="s">
        <v>3980</v>
      </c>
      <c r="F473" s="1" t="s">
        <v>112</v>
      </c>
      <c r="G473" s="1">
        <v>3719066</v>
      </c>
    </row>
    <row r="474" spans="1:7" x14ac:dyDescent="0.3">
      <c r="A474" s="1" t="str">
        <f t="shared" si="7"/>
        <v>03Testo + EE2 64</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3981</v>
      </c>
      <c r="D474" s="1" t="s">
        <v>3982</v>
      </c>
      <c r="E474" s="1" t="s">
        <v>3983</v>
      </c>
      <c r="F474" s="1" t="s">
        <v>112</v>
      </c>
      <c r="G474" s="1">
        <v>3133047</v>
      </c>
    </row>
    <row r="475" spans="1:7" x14ac:dyDescent="0.3">
      <c r="A475" s="1" t="str">
        <f t="shared" si="7"/>
        <v>03Testo + EE2 64</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3984</v>
      </c>
      <c r="D475" s="1" t="s">
        <v>3985</v>
      </c>
      <c r="E475" s="1" t="s">
        <v>3986</v>
      </c>
      <c r="F475" s="1" t="s">
        <v>112</v>
      </c>
      <c r="G475" s="1">
        <v>3609943</v>
      </c>
    </row>
    <row r="476" spans="1:7" x14ac:dyDescent="0.3">
      <c r="A476" s="1" t="str">
        <f t="shared" si="7"/>
        <v>03Testo + EE2 64</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3987</v>
      </c>
      <c r="D476" s="1" t="s">
        <v>3988</v>
      </c>
      <c r="E476" s="1" t="s">
        <v>3989</v>
      </c>
      <c r="F476" s="1" t="s">
        <v>112</v>
      </c>
      <c r="G476" s="1">
        <v>1813818</v>
      </c>
    </row>
    <row r="477" spans="1:7" x14ac:dyDescent="0.3">
      <c r="A477" s="1" t="str">
        <f t="shared" si="7"/>
        <v>03Testo + EE2 64</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3990</v>
      </c>
      <c r="D477" s="1" t="s">
        <v>3991</v>
      </c>
      <c r="E477" s="1" t="s">
        <v>3992</v>
      </c>
      <c r="F477" s="1" t="s">
        <v>112</v>
      </c>
      <c r="G477" s="1">
        <v>590366</v>
      </c>
    </row>
    <row r="478" spans="1:7" x14ac:dyDescent="0.3">
      <c r="A478" s="1" t="str">
        <f t="shared" si="7"/>
        <v>03Testo + EE2 64</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3993</v>
      </c>
      <c r="D478" s="1" t="s">
        <v>3994</v>
      </c>
      <c r="E478" s="1" t="s">
        <v>1798</v>
      </c>
      <c r="F478" s="1" t="s">
        <v>112</v>
      </c>
      <c r="G478" s="1">
        <v>414429</v>
      </c>
    </row>
    <row r="479" spans="1:7" x14ac:dyDescent="0.3">
      <c r="A479" s="1" t="str">
        <f t="shared" si="7"/>
        <v>03Testo + EE2 64</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3995</v>
      </c>
      <c r="D479" s="1" t="s">
        <v>3996</v>
      </c>
      <c r="E479" s="1" t="s">
        <v>3997</v>
      </c>
      <c r="F479" s="1" t="s">
        <v>112</v>
      </c>
      <c r="G479" s="1">
        <v>6505667</v>
      </c>
    </row>
    <row r="480" spans="1:7" x14ac:dyDescent="0.3">
      <c r="A480" s="1" t="str">
        <f t="shared" si="7"/>
        <v>03Testo + EE2 64</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3998</v>
      </c>
      <c r="D480" s="1" t="s">
        <v>3999</v>
      </c>
      <c r="E480" s="1" t="s">
        <v>4000</v>
      </c>
      <c r="F480" s="1" t="s">
        <v>112</v>
      </c>
      <c r="G480" s="1">
        <v>5685353</v>
      </c>
    </row>
    <row r="481" spans="1:10" x14ac:dyDescent="0.3">
      <c r="A481" s="1" t="str">
        <f t="shared" si="7"/>
        <v>03Testo + EE2 64</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4001</v>
      </c>
      <c r="D481" s="1" t="s">
        <v>4002</v>
      </c>
      <c r="E481" s="1" t="s">
        <v>4003</v>
      </c>
      <c r="F481" s="1" t="s">
        <v>112</v>
      </c>
      <c r="G481" s="1">
        <v>5846690</v>
      </c>
    </row>
    <row r="482" spans="1:10" x14ac:dyDescent="0.3">
      <c r="A482" s="1" t="str">
        <f t="shared" si="7"/>
        <v>03Testo + EE2 64</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4004</v>
      </c>
      <c r="D482" s="1" t="s">
        <v>4005</v>
      </c>
      <c r="E482" s="1" t="s">
        <v>4006</v>
      </c>
      <c r="F482" s="1" t="s">
        <v>112</v>
      </c>
      <c r="G482" s="1">
        <v>3176934</v>
      </c>
    </row>
    <row r="483" spans="1:10" x14ac:dyDescent="0.3">
      <c r="A483" s="1" t="str">
        <f t="shared" si="7"/>
        <v>03Testo + EE2 64</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4007</v>
      </c>
      <c r="D483" s="1" t="s">
        <v>4008</v>
      </c>
      <c r="E483" s="1" t="s">
        <v>4009</v>
      </c>
      <c r="F483" s="1" t="s">
        <v>112</v>
      </c>
      <c r="G483" s="1">
        <v>2954319</v>
      </c>
    </row>
    <row r="484" spans="1:10" x14ac:dyDescent="0.3">
      <c r="A484" s="1" t="str">
        <f t="shared" si="7"/>
        <v>03Testo + EE2 64</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4010</v>
      </c>
      <c r="D484" s="1" t="s">
        <v>689</v>
      </c>
      <c r="E484" s="1" t="s">
        <v>4011</v>
      </c>
      <c r="F484" s="1" t="s">
        <v>112</v>
      </c>
      <c r="G484" s="1">
        <v>3241434</v>
      </c>
    </row>
    <row r="485" spans="1:10" x14ac:dyDescent="0.3">
      <c r="A485" s="1" t="str">
        <f t="shared" si="7"/>
        <v>03Testo + EE2 64</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4012</v>
      </c>
      <c r="D485" s="1" t="s">
        <v>4013</v>
      </c>
      <c r="E485" s="1" t="s">
        <v>4014</v>
      </c>
      <c r="F485" s="1" t="s">
        <v>112</v>
      </c>
      <c r="G485" s="1">
        <v>7187398</v>
      </c>
    </row>
    <row r="486" spans="1:10" x14ac:dyDescent="0.3">
      <c r="A486" s="1" t="str">
        <f t="shared" si="7"/>
        <v>03Testo + EE2 64</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4015</v>
      </c>
      <c r="D486" s="1" t="s">
        <v>4016</v>
      </c>
      <c r="E486" s="1" t="s">
        <v>4017</v>
      </c>
      <c r="F486" s="1" t="s">
        <v>112</v>
      </c>
      <c r="G486" s="1">
        <v>6730055</v>
      </c>
    </row>
    <row r="487" spans="1:10" x14ac:dyDescent="0.3">
      <c r="A487" s="1" t="str">
        <f t="shared" si="7"/>
        <v>03Testo + EE2 64</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4018</v>
      </c>
      <c r="D487" s="1" t="s">
        <v>4019</v>
      </c>
      <c r="E487" s="1" t="s">
        <v>4020</v>
      </c>
      <c r="F487" s="1" t="s">
        <v>112</v>
      </c>
      <c r="G487" s="1">
        <v>6515141</v>
      </c>
    </row>
    <row r="488" spans="1:10" x14ac:dyDescent="0.3">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3">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243</v>
      </c>
      <c r="D489" s="1" t="s">
        <v>112</v>
      </c>
      <c r="E489" s="1" t="s">
        <v>244</v>
      </c>
      <c r="F489" s="1" t="s">
        <v>245</v>
      </c>
      <c r="G489" s="1" t="s">
        <v>246</v>
      </c>
      <c r="H489" s="1" t="s">
        <v>247</v>
      </c>
      <c r="I489" s="1" t="s">
        <v>248</v>
      </c>
      <c r="J489" s="1" t="s">
        <v>249</v>
      </c>
    </row>
    <row r="490" spans="1:10" x14ac:dyDescent="0.3">
      <c r="A490" s="1" t="str">
        <f t="shared" si="7"/>
        <v>03Testo + EE2 64</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4021</v>
      </c>
      <c r="D490" s="1" t="s">
        <v>112</v>
      </c>
      <c r="E490" s="1" t="s">
        <v>4022</v>
      </c>
      <c r="F490" s="1" t="s">
        <v>4023</v>
      </c>
      <c r="G490" s="1" t="s">
        <v>4024</v>
      </c>
      <c r="H490" s="1" t="s">
        <v>4025</v>
      </c>
      <c r="I490" s="1">
        <v>24</v>
      </c>
      <c r="J490" s="1">
        <v>24</v>
      </c>
    </row>
    <row r="491" spans="1:10" x14ac:dyDescent="0.3">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3">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3">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10" x14ac:dyDescent="0.3">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10" x14ac:dyDescent="0.3">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10" x14ac:dyDescent="0.3">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255</v>
      </c>
      <c r="D496" s="1" t="s">
        <v>110</v>
      </c>
      <c r="E496" s="1" t="s">
        <v>111</v>
      </c>
      <c r="F496" s="1" t="s">
        <v>112</v>
      </c>
      <c r="G496" s="1" t="s">
        <v>113</v>
      </c>
    </row>
    <row r="497" spans="1:7" x14ac:dyDescent="0.3">
      <c r="A497" s="1" t="str">
        <f t="shared" si="7"/>
        <v>04 Testo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4026</v>
      </c>
      <c r="D497" s="1" t="s">
        <v>4027</v>
      </c>
      <c r="E497" s="1" t="s">
        <v>4028</v>
      </c>
      <c r="F497" s="1" t="s">
        <v>112</v>
      </c>
      <c r="G497" s="1">
        <v>566054</v>
      </c>
    </row>
    <row r="498" spans="1:7" x14ac:dyDescent="0.3">
      <c r="A498" s="1" t="str">
        <f t="shared" si="7"/>
        <v>04 Testo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4029</v>
      </c>
      <c r="D498" s="1" t="s">
        <v>4030</v>
      </c>
      <c r="E498" s="1" t="s">
        <v>4031</v>
      </c>
      <c r="F498" s="1" t="s">
        <v>112</v>
      </c>
      <c r="G498" s="1">
        <v>691421</v>
      </c>
    </row>
    <row r="499" spans="1:7" x14ac:dyDescent="0.3">
      <c r="A499" s="1" t="str">
        <f t="shared" si="7"/>
        <v>04 Testo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4032</v>
      </c>
      <c r="D499" s="1" t="s">
        <v>4033</v>
      </c>
      <c r="E499" s="1" t="s">
        <v>4034</v>
      </c>
      <c r="F499" s="1" t="s">
        <v>112</v>
      </c>
      <c r="G499" s="1">
        <v>380924</v>
      </c>
    </row>
    <row r="500" spans="1:7" x14ac:dyDescent="0.3">
      <c r="A500" s="1" t="str">
        <f t="shared" si="7"/>
        <v>04 Testo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4035</v>
      </c>
      <c r="D500" s="1" t="s">
        <v>4036</v>
      </c>
      <c r="E500" s="1" t="s">
        <v>4037</v>
      </c>
      <c r="F500" s="1" t="s">
        <v>112</v>
      </c>
      <c r="G500" s="1">
        <v>633194</v>
      </c>
    </row>
    <row r="501" spans="1:7" x14ac:dyDescent="0.3">
      <c r="A501" s="1" t="str">
        <f t="shared" si="7"/>
        <v>04 Testo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4038</v>
      </c>
      <c r="D501" s="1" t="s">
        <v>4039</v>
      </c>
      <c r="E501" s="1" t="s">
        <v>4040</v>
      </c>
      <c r="F501" s="1" t="s">
        <v>112</v>
      </c>
      <c r="G501" s="1">
        <v>667563</v>
      </c>
    </row>
    <row r="502" spans="1:7" x14ac:dyDescent="0.3">
      <c r="A502" s="1" t="str">
        <f t="shared" si="7"/>
        <v>04 Testo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4041</v>
      </c>
      <c r="D502" s="1" t="s">
        <v>4042</v>
      </c>
      <c r="E502" s="1" t="s">
        <v>4043</v>
      </c>
      <c r="F502" s="1" t="s">
        <v>112</v>
      </c>
      <c r="G502" s="1">
        <v>109599</v>
      </c>
    </row>
    <row r="503" spans="1:7" x14ac:dyDescent="0.3">
      <c r="A503" s="1" t="str">
        <f t="shared" si="7"/>
        <v>04 Testo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4044</v>
      </c>
      <c r="D503" s="1" t="s">
        <v>2353</v>
      </c>
      <c r="E503" s="1" t="s">
        <v>4045</v>
      </c>
      <c r="F503" s="1" t="s">
        <v>112</v>
      </c>
      <c r="G503" s="1">
        <v>85568</v>
      </c>
    </row>
    <row r="504" spans="1:7" x14ac:dyDescent="0.3">
      <c r="A504" s="1" t="str">
        <f t="shared" si="7"/>
        <v>04 Testo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4046</v>
      </c>
      <c r="D504" s="1" t="s">
        <v>205</v>
      </c>
      <c r="E504" s="1" t="s">
        <v>2432</v>
      </c>
      <c r="F504" s="1" t="s">
        <v>112</v>
      </c>
      <c r="G504" s="1">
        <v>12221</v>
      </c>
    </row>
    <row r="505" spans="1:7" x14ac:dyDescent="0.3">
      <c r="A505" s="1" t="str">
        <f t="shared" si="7"/>
        <v>04 Testo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4047</v>
      </c>
      <c r="D505" s="1" t="s">
        <v>202</v>
      </c>
      <c r="E505" s="1" t="s">
        <v>4048</v>
      </c>
      <c r="F505" s="1" t="s">
        <v>112</v>
      </c>
      <c r="G505" s="1">
        <v>15011</v>
      </c>
    </row>
    <row r="506" spans="1:7" x14ac:dyDescent="0.3">
      <c r="A506" s="1" t="str">
        <f t="shared" si="7"/>
        <v>04 Testo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4049</v>
      </c>
      <c r="D506" s="1" t="s">
        <v>263</v>
      </c>
      <c r="E506" s="1" t="s">
        <v>4050</v>
      </c>
      <c r="F506" s="1" t="s">
        <v>112</v>
      </c>
      <c r="G506" s="1">
        <v>632004</v>
      </c>
    </row>
    <row r="507" spans="1:7" x14ac:dyDescent="0.3">
      <c r="A507" s="1" t="str">
        <f t="shared" si="7"/>
        <v>04 Testo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4051</v>
      </c>
      <c r="D507" s="1" t="s">
        <v>4052</v>
      </c>
      <c r="E507" s="1" t="s">
        <v>4053</v>
      </c>
      <c r="F507" s="1" t="s">
        <v>112</v>
      </c>
      <c r="G507" s="1">
        <v>526104</v>
      </c>
    </row>
    <row r="508" spans="1:7" x14ac:dyDescent="0.3">
      <c r="A508" s="1" t="str">
        <f t="shared" si="7"/>
        <v>04 Testo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4054</v>
      </c>
      <c r="D508" s="1" t="s">
        <v>4055</v>
      </c>
      <c r="E508" s="1" t="s">
        <v>4056</v>
      </c>
      <c r="F508" s="1" t="s">
        <v>112</v>
      </c>
      <c r="G508" s="1">
        <v>294426</v>
      </c>
    </row>
    <row r="509" spans="1:7" x14ac:dyDescent="0.3">
      <c r="A509" s="1" t="str">
        <f t="shared" si="7"/>
        <v>04 Testo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4057</v>
      </c>
      <c r="D509" s="1" t="s">
        <v>4058</v>
      </c>
      <c r="E509" s="1" t="s">
        <v>4059</v>
      </c>
      <c r="F509" s="1" t="s">
        <v>112</v>
      </c>
      <c r="G509" s="1">
        <v>673101</v>
      </c>
    </row>
    <row r="510" spans="1:7" x14ac:dyDescent="0.3">
      <c r="A510" s="1" t="str">
        <f t="shared" si="7"/>
        <v>04 Testo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4060</v>
      </c>
      <c r="D510" s="1" t="s">
        <v>2846</v>
      </c>
      <c r="E510" s="1" t="s">
        <v>4061</v>
      </c>
      <c r="F510" s="1" t="s">
        <v>112</v>
      </c>
      <c r="G510" s="1">
        <v>427493</v>
      </c>
    </row>
    <row r="511" spans="1:7" x14ac:dyDescent="0.3">
      <c r="A511" s="1" t="str">
        <f t="shared" si="7"/>
        <v>04 Testo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4062</v>
      </c>
      <c r="D511" s="1" t="s">
        <v>518</v>
      </c>
      <c r="E511" s="1" t="s">
        <v>4063</v>
      </c>
      <c r="F511" s="1" t="s">
        <v>112</v>
      </c>
      <c r="G511" s="1">
        <v>434718</v>
      </c>
    </row>
    <row r="512" spans="1:7" x14ac:dyDescent="0.3">
      <c r="A512" s="1" t="str">
        <f t="shared" si="7"/>
        <v>04 Testo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4064</v>
      </c>
      <c r="D512" s="1" t="s">
        <v>745</v>
      </c>
      <c r="E512" s="1" t="s">
        <v>4065</v>
      </c>
      <c r="F512" s="1" t="s">
        <v>112</v>
      </c>
      <c r="G512" s="1">
        <v>83773</v>
      </c>
    </row>
    <row r="513" spans="1:10" x14ac:dyDescent="0.3">
      <c r="A513" s="1" t="str">
        <f t="shared" si="7"/>
        <v>04 Testo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4066</v>
      </c>
      <c r="D513" s="1" t="s">
        <v>178</v>
      </c>
      <c r="E513" s="1" t="s">
        <v>4067</v>
      </c>
      <c r="F513" s="1" t="s">
        <v>112</v>
      </c>
      <c r="G513" s="1">
        <v>175029</v>
      </c>
    </row>
    <row r="514" spans="1:10" x14ac:dyDescent="0.3">
      <c r="A514" s="1" t="str">
        <f t="shared" ref="A514:A577" si="8">IFERROR(LEFT(RIGHT(C514,LEN(C514)-SEARCH("@",C514)),SEARCH("/",RIGHT(C514,LEN(C514)-SEARCH("@",C514)-1))),"")</f>
        <v>04 Testo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4068</v>
      </c>
      <c r="D514" s="1" t="s">
        <v>913</v>
      </c>
      <c r="E514" s="1" t="s">
        <v>4069</v>
      </c>
      <c r="F514" s="1" t="s">
        <v>112</v>
      </c>
      <c r="G514" s="1">
        <v>132613</v>
      </c>
    </row>
    <row r="515" spans="1:10" x14ac:dyDescent="0.3">
      <c r="A515" s="1" t="str">
        <f t="shared" si="8"/>
        <v>04 Testo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4070</v>
      </c>
      <c r="D515" s="1" t="s">
        <v>4071</v>
      </c>
      <c r="E515" s="1" t="s">
        <v>4072</v>
      </c>
      <c r="F515" s="1" t="s">
        <v>112</v>
      </c>
      <c r="G515" s="1">
        <v>160083</v>
      </c>
    </row>
    <row r="516" spans="1:10" x14ac:dyDescent="0.3">
      <c r="A516" s="1" t="str">
        <f t="shared" si="8"/>
        <v>04 Testo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4073</v>
      </c>
      <c r="D516" s="1" t="s">
        <v>235</v>
      </c>
      <c r="E516" s="1" t="s">
        <v>4074</v>
      </c>
      <c r="F516" s="1" t="s">
        <v>112</v>
      </c>
      <c r="G516" s="1">
        <v>116564</v>
      </c>
    </row>
    <row r="517" spans="1:10" x14ac:dyDescent="0.3">
      <c r="A517" s="1" t="str">
        <f t="shared" si="8"/>
        <v>04 Testo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4075</v>
      </c>
      <c r="D517" s="1" t="s">
        <v>1753</v>
      </c>
      <c r="E517" s="1">
        <v>62</v>
      </c>
      <c r="F517" s="1" t="s">
        <v>112</v>
      </c>
      <c r="G517" s="1">
        <v>48278</v>
      </c>
    </row>
    <row r="518" spans="1:10" x14ac:dyDescent="0.3">
      <c r="A518" s="1" t="str">
        <f t="shared" si="8"/>
        <v>04 Testo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4076</v>
      </c>
      <c r="D518" s="1" t="s">
        <v>996</v>
      </c>
      <c r="E518" s="1" t="s">
        <v>4077</v>
      </c>
      <c r="F518" s="1" t="s">
        <v>112</v>
      </c>
      <c r="G518" s="1">
        <v>591621</v>
      </c>
    </row>
    <row r="519" spans="1:10" x14ac:dyDescent="0.3">
      <c r="A519" s="1" t="str">
        <f t="shared" si="8"/>
        <v>04 Testo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4078</v>
      </c>
      <c r="D519" s="1" t="s">
        <v>732</v>
      </c>
      <c r="E519" s="1" t="s">
        <v>4079</v>
      </c>
      <c r="F519" s="1" t="s">
        <v>112</v>
      </c>
      <c r="G519" s="1">
        <v>309394</v>
      </c>
    </row>
    <row r="520" spans="1:10" x14ac:dyDescent="0.3">
      <c r="A520" s="1" t="str">
        <f t="shared" si="8"/>
        <v>04 Testo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4080</v>
      </c>
      <c r="D520" s="1" t="s">
        <v>2777</v>
      </c>
      <c r="E520" s="1" t="s">
        <v>4081</v>
      </c>
      <c r="F520" s="1" t="s">
        <v>112</v>
      </c>
      <c r="G520" s="1">
        <v>366346</v>
      </c>
    </row>
    <row r="521" spans="1:10" x14ac:dyDescent="0.3">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10" x14ac:dyDescent="0.3">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243</v>
      </c>
      <c r="D522" s="1" t="s">
        <v>112</v>
      </c>
      <c r="E522" s="1" t="s">
        <v>244</v>
      </c>
      <c r="F522" s="1" t="s">
        <v>245</v>
      </c>
      <c r="G522" s="1" t="s">
        <v>246</v>
      </c>
      <c r="H522" s="1" t="s">
        <v>247</v>
      </c>
      <c r="I522" s="1" t="s">
        <v>248</v>
      </c>
      <c r="J522" s="1" t="s">
        <v>249</v>
      </c>
    </row>
    <row r="523" spans="1:10" x14ac:dyDescent="0.3">
      <c r="A523" s="1" t="str">
        <f t="shared" si="8"/>
        <v>04 Testo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4082</v>
      </c>
      <c r="D523" s="1" t="s">
        <v>112</v>
      </c>
      <c r="E523" s="1" t="s">
        <v>4083</v>
      </c>
      <c r="F523" s="1" t="s">
        <v>4084</v>
      </c>
      <c r="G523" s="1" t="s">
        <v>4085</v>
      </c>
      <c r="H523" s="1" t="s">
        <v>4086</v>
      </c>
      <c r="I523" s="1">
        <v>24</v>
      </c>
      <c r="J523" s="1">
        <v>24</v>
      </c>
    </row>
    <row r="524" spans="1:10" x14ac:dyDescent="0.3">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10" x14ac:dyDescent="0.3">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10" x14ac:dyDescent="0.3">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3">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10" x14ac:dyDescent="0.3">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3">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255</v>
      </c>
      <c r="D529" s="1" t="s">
        <v>110</v>
      </c>
      <c r="E529" s="1" t="s">
        <v>111</v>
      </c>
      <c r="F529" s="1" t="s">
        <v>112</v>
      </c>
      <c r="G529" s="1" t="s">
        <v>113</v>
      </c>
    </row>
    <row r="530" spans="1:7" x14ac:dyDescent="0.3">
      <c r="A530" s="1" t="str">
        <f t="shared" si="8"/>
        <v>05 tam 30.2 + testo</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4087</v>
      </c>
      <c r="D530" s="1" t="s">
        <v>4088</v>
      </c>
      <c r="E530" s="1" t="s">
        <v>4089</v>
      </c>
      <c r="F530" s="1" t="s">
        <v>112</v>
      </c>
      <c r="G530" s="1">
        <v>4113335</v>
      </c>
    </row>
    <row r="531" spans="1:7" x14ac:dyDescent="0.3">
      <c r="A531" s="1" t="str">
        <f t="shared" si="8"/>
        <v>05 tam 30.2 + testo</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4090</v>
      </c>
      <c r="D531" s="1" t="s">
        <v>4091</v>
      </c>
      <c r="E531" s="1" t="s">
        <v>4092</v>
      </c>
      <c r="F531" s="1" t="s">
        <v>112</v>
      </c>
      <c r="G531" s="1">
        <v>3809825</v>
      </c>
    </row>
    <row r="532" spans="1:7" x14ac:dyDescent="0.3">
      <c r="A532" s="1" t="str">
        <f t="shared" si="8"/>
        <v>05 tam 30.2 + testo</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4093</v>
      </c>
      <c r="D532" s="1" t="s">
        <v>4094</v>
      </c>
      <c r="E532" s="1" t="s">
        <v>4095</v>
      </c>
      <c r="F532" s="1" t="s">
        <v>112</v>
      </c>
      <c r="G532" s="1">
        <v>4002417</v>
      </c>
    </row>
    <row r="533" spans="1:7" x14ac:dyDescent="0.3">
      <c r="A533" s="1" t="str">
        <f t="shared" si="8"/>
        <v>05 tam 30.2 + testo</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4096</v>
      </c>
      <c r="D533" s="1" t="s">
        <v>4097</v>
      </c>
      <c r="E533" s="1" t="s">
        <v>4098</v>
      </c>
      <c r="F533" s="1" t="s">
        <v>112</v>
      </c>
      <c r="G533" s="1">
        <v>983425</v>
      </c>
    </row>
    <row r="534" spans="1:7" x14ac:dyDescent="0.3">
      <c r="A534" s="1" t="str">
        <f t="shared" si="8"/>
        <v>05 tam 30.2 + testo</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4099</v>
      </c>
      <c r="D534" s="1" t="s">
        <v>4100</v>
      </c>
      <c r="E534" s="1" t="s">
        <v>4101</v>
      </c>
      <c r="F534" s="1" t="s">
        <v>112</v>
      </c>
      <c r="G534" s="1">
        <v>912003</v>
      </c>
    </row>
    <row r="535" spans="1:7" x14ac:dyDescent="0.3">
      <c r="A535" s="1" t="str">
        <f t="shared" si="8"/>
        <v>05 tam 30.2 + testo</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4102</v>
      </c>
      <c r="D535" s="1" t="s">
        <v>2950</v>
      </c>
      <c r="E535" s="1" t="s">
        <v>4103</v>
      </c>
      <c r="F535" s="1" t="s">
        <v>112</v>
      </c>
      <c r="G535" s="1">
        <v>990801</v>
      </c>
    </row>
    <row r="536" spans="1:7" x14ac:dyDescent="0.3">
      <c r="A536" s="1" t="str">
        <f t="shared" si="8"/>
        <v>05 tam 30.2 + testo</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4104</v>
      </c>
      <c r="D536" s="1" t="s">
        <v>1958</v>
      </c>
      <c r="E536" s="1" t="s">
        <v>4105</v>
      </c>
      <c r="F536" s="1" t="s">
        <v>112</v>
      </c>
      <c r="G536" s="1">
        <v>2394624</v>
      </c>
    </row>
    <row r="537" spans="1:7" x14ac:dyDescent="0.3">
      <c r="A537" s="1" t="str">
        <f t="shared" si="8"/>
        <v>05 tam 30.2 + testo</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4106</v>
      </c>
      <c r="D537" s="1" t="s">
        <v>4107</v>
      </c>
      <c r="E537" s="1" t="s">
        <v>4108</v>
      </c>
      <c r="F537" s="1" t="s">
        <v>112</v>
      </c>
      <c r="G537" s="1">
        <v>1732511</v>
      </c>
    </row>
    <row r="538" spans="1:7" x14ac:dyDescent="0.3">
      <c r="A538" s="1" t="str">
        <f t="shared" si="8"/>
        <v>05 tam 30.2 + testo</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4109</v>
      </c>
      <c r="D538" s="1" t="s">
        <v>2489</v>
      </c>
      <c r="E538" s="1" t="s">
        <v>4110</v>
      </c>
      <c r="F538" s="1" t="s">
        <v>112</v>
      </c>
      <c r="G538" s="1">
        <v>1516061</v>
      </c>
    </row>
    <row r="539" spans="1:7" x14ac:dyDescent="0.3">
      <c r="A539" s="1" t="str">
        <f t="shared" si="8"/>
        <v>05 tam 30.2 + testo</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4111</v>
      </c>
      <c r="D539" s="1" t="s">
        <v>4112</v>
      </c>
      <c r="E539" s="1" t="s">
        <v>4113</v>
      </c>
      <c r="F539" s="1" t="s">
        <v>112</v>
      </c>
      <c r="G539" s="1">
        <v>1526941</v>
      </c>
    </row>
    <row r="540" spans="1:7" x14ac:dyDescent="0.3">
      <c r="A540" s="1" t="str">
        <f t="shared" si="8"/>
        <v>05 tam 30.2 + testo</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4114</v>
      </c>
      <c r="D540" s="1" t="s">
        <v>4115</v>
      </c>
      <c r="E540" s="1" t="s">
        <v>4116</v>
      </c>
      <c r="F540" s="1" t="s">
        <v>112</v>
      </c>
      <c r="G540" s="1">
        <v>1139225</v>
      </c>
    </row>
    <row r="541" spans="1:7" x14ac:dyDescent="0.3">
      <c r="A541" s="1" t="str">
        <f t="shared" si="8"/>
        <v>05 tam 30.2 + testo</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4117</v>
      </c>
      <c r="D541" s="1" t="s">
        <v>4118</v>
      </c>
      <c r="E541" s="1" t="s">
        <v>4119</v>
      </c>
      <c r="F541" s="1" t="s">
        <v>112</v>
      </c>
      <c r="G541" s="1">
        <v>1516342</v>
      </c>
    </row>
    <row r="542" spans="1:7" x14ac:dyDescent="0.3">
      <c r="A542" s="1" t="str">
        <f t="shared" si="8"/>
        <v>05 tam 30.2 + testo</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4120</v>
      </c>
      <c r="D542" s="1" t="s">
        <v>4121</v>
      </c>
      <c r="E542" s="1" t="s">
        <v>4122</v>
      </c>
      <c r="F542" s="1" t="s">
        <v>112</v>
      </c>
      <c r="G542" s="1">
        <v>1172795</v>
      </c>
    </row>
    <row r="543" spans="1:7" x14ac:dyDescent="0.3">
      <c r="A543" s="1" t="str">
        <f t="shared" si="8"/>
        <v>05 tam 30.2 + testo</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4123</v>
      </c>
      <c r="D543" s="1" t="s">
        <v>4124</v>
      </c>
      <c r="E543" s="1" t="s">
        <v>4125</v>
      </c>
      <c r="F543" s="1" t="s">
        <v>112</v>
      </c>
      <c r="G543" s="1">
        <v>1144070</v>
      </c>
    </row>
    <row r="544" spans="1:7" x14ac:dyDescent="0.3">
      <c r="A544" s="1" t="str">
        <f t="shared" si="8"/>
        <v>05 tam 30.2 + testo</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4126</v>
      </c>
      <c r="D544" s="1" t="s">
        <v>4127</v>
      </c>
      <c r="E544" s="1" t="s">
        <v>4128</v>
      </c>
      <c r="F544" s="1" t="s">
        <v>112</v>
      </c>
      <c r="G544" s="1">
        <v>1009186</v>
      </c>
    </row>
    <row r="545" spans="1:10" x14ac:dyDescent="0.3">
      <c r="A545" s="1" t="str">
        <f t="shared" si="8"/>
        <v>05 tam 30.2 + testo</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4129</v>
      </c>
      <c r="D545" s="1" t="s">
        <v>4130</v>
      </c>
      <c r="E545" s="1" t="s">
        <v>4131</v>
      </c>
      <c r="F545" s="1" t="s">
        <v>112</v>
      </c>
      <c r="G545" s="1">
        <v>3777942</v>
      </c>
    </row>
    <row r="546" spans="1:10" x14ac:dyDescent="0.3">
      <c r="A546" s="1" t="str">
        <f t="shared" si="8"/>
        <v>05 tam 30.2 + testo</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4132</v>
      </c>
      <c r="D546" s="1" t="s">
        <v>4133</v>
      </c>
      <c r="E546" s="1" t="s">
        <v>4134</v>
      </c>
      <c r="F546" s="1" t="s">
        <v>112</v>
      </c>
      <c r="G546" s="1">
        <v>3001429</v>
      </c>
    </row>
    <row r="547" spans="1:10" x14ac:dyDescent="0.3">
      <c r="A547" s="1" t="str">
        <f t="shared" si="8"/>
        <v>05 tam 30.2 + testo</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4135</v>
      </c>
      <c r="D547" s="1" t="s">
        <v>4136</v>
      </c>
      <c r="E547" s="1" t="s">
        <v>4137</v>
      </c>
      <c r="F547" s="1" t="s">
        <v>112</v>
      </c>
      <c r="G547" s="1">
        <v>3417394</v>
      </c>
    </row>
    <row r="548" spans="1:10" x14ac:dyDescent="0.3">
      <c r="A548" s="1" t="str">
        <f t="shared" si="8"/>
        <v>05 tam 30.2 + testo</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4138</v>
      </c>
      <c r="D548" s="1" t="s">
        <v>2563</v>
      </c>
      <c r="E548" s="1" t="s">
        <v>4139</v>
      </c>
      <c r="F548" s="1" t="s">
        <v>112</v>
      </c>
      <c r="G548" s="1">
        <v>2064768</v>
      </c>
    </row>
    <row r="549" spans="1:10" x14ac:dyDescent="0.3">
      <c r="A549" s="1" t="str">
        <f t="shared" si="8"/>
        <v>05 tam 30.2 + testo</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4140</v>
      </c>
      <c r="D549" s="1" t="s">
        <v>4141</v>
      </c>
      <c r="E549" s="1" t="s">
        <v>4142</v>
      </c>
      <c r="F549" s="1" t="s">
        <v>112</v>
      </c>
      <c r="G549" s="1">
        <v>941982</v>
      </c>
    </row>
    <row r="550" spans="1:10" x14ac:dyDescent="0.3">
      <c r="A550" s="1" t="str">
        <f t="shared" si="8"/>
        <v>05 tam 30.2 + testo</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4143</v>
      </c>
      <c r="D550" s="1" t="s">
        <v>4144</v>
      </c>
      <c r="E550" s="1" t="s">
        <v>4145</v>
      </c>
      <c r="F550" s="1" t="s">
        <v>112</v>
      </c>
      <c r="G550" s="1">
        <v>684543</v>
      </c>
    </row>
    <row r="551" spans="1:10" x14ac:dyDescent="0.3">
      <c r="A551" s="1" t="str">
        <f t="shared" si="8"/>
        <v>05 tam 30.2 + testo</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4146</v>
      </c>
      <c r="D551" s="1" t="s">
        <v>3440</v>
      </c>
      <c r="E551" s="1" t="s">
        <v>4147</v>
      </c>
      <c r="F551" s="1" t="s">
        <v>112</v>
      </c>
      <c r="G551" s="1">
        <v>3210633</v>
      </c>
    </row>
    <row r="552" spans="1:10" x14ac:dyDescent="0.3">
      <c r="A552" s="1" t="str">
        <f t="shared" si="8"/>
        <v>05 tam 30.2 + testo</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4148</v>
      </c>
      <c r="D552" s="1" t="s">
        <v>4149</v>
      </c>
      <c r="E552" s="1" t="s">
        <v>4150</v>
      </c>
      <c r="F552" s="1" t="s">
        <v>112</v>
      </c>
      <c r="G552" s="1">
        <v>3143083</v>
      </c>
    </row>
    <row r="553" spans="1:10" x14ac:dyDescent="0.3">
      <c r="A553" s="1" t="str">
        <f t="shared" si="8"/>
        <v>05 tam 30.2 + testo</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4151</v>
      </c>
      <c r="D553" s="1" t="s">
        <v>4152</v>
      </c>
      <c r="E553" s="1" t="s">
        <v>4153</v>
      </c>
      <c r="F553" s="1" t="s">
        <v>112</v>
      </c>
      <c r="G553" s="1">
        <v>3063226</v>
      </c>
    </row>
    <row r="554" spans="1:10" x14ac:dyDescent="0.3">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10" x14ac:dyDescent="0.3">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243</v>
      </c>
      <c r="D555" s="1" t="s">
        <v>112</v>
      </c>
      <c r="E555" s="1" t="s">
        <v>244</v>
      </c>
      <c r="F555" s="1" t="s">
        <v>245</v>
      </c>
      <c r="G555" s="1" t="s">
        <v>246</v>
      </c>
      <c r="H555" s="1" t="s">
        <v>247</v>
      </c>
      <c r="I555" s="1" t="s">
        <v>248</v>
      </c>
      <c r="J555" s="1" t="s">
        <v>249</v>
      </c>
    </row>
    <row r="556" spans="1:10" x14ac:dyDescent="0.3">
      <c r="A556" s="1" t="str">
        <f t="shared" si="8"/>
        <v>05 tam 30.2 + testo</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4154</v>
      </c>
      <c r="D556" s="1" t="s">
        <v>112</v>
      </c>
      <c r="E556" s="1" t="s">
        <v>4155</v>
      </c>
      <c r="F556" s="1" t="s">
        <v>4156</v>
      </c>
      <c r="G556" s="1" t="s">
        <v>4157</v>
      </c>
      <c r="H556" s="1" t="s">
        <v>4158</v>
      </c>
      <c r="I556" s="1">
        <v>24</v>
      </c>
      <c r="J556" s="1">
        <v>24</v>
      </c>
    </row>
    <row r="557" spans="1:10" x14ac:dyDescent="0.3">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10" x14ac:dyDescent="0.3">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10" x14ac:dyDescent="0.3">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10" x14ac:dyDescent="0.3">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3">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3">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255</v>
      </c>
      <c r="D562" s="1" t="s">
        <v>110</v>
      </c>
      <c r="E562" s="1" t="s">
        <v>111</v>
      </c>
      <c r="F562" s="1" t="s">
        <v>112</v>
      </c>
      <c r="G562" s="1" t="s">
        <v>113</v>
      </c>
    </row>
    <row r="563" spans="1:7" x14ac:dyDescent="0.3">
      <c r="A563" s="1" t="str">
        <f t="shared" si="8"/>
        <v>06  tam 60.4 + testo</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4159</v>
      </c>
      <c r="D563" s="1" t="s">
        <v>4160</v>
      </c>
      <c r="E563" s="1" t="s">
        <v>4161</v>
      </c>
      <c r="F563" s="1" t="s">
        <v>112</v>
      </c>
      <c r="G563" s="1">
        <v>2822831</v>
      </c>
    </row>
    <row r="564" spans="1:7" x14ac:dyDescent="0.3">
      <c r="A564" s="1" t="str">
        <f t="shared" si="8"/>
        <v>06  tam 60.4 + testo</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4162</v>
      </c>
      <c r="D564" s="1" t="s">
        <v>4163</v>
      </c>
      <c r="E564" s="1" t="s">
        <v>4164</v>
      </c>
      <c r="F564" s="1" t="s">
        <v>112</v>
      </c>
      <c r="G564" s="1">
        <v>3104409</v>
      </c>
    </row>
    <row r="565" spans="1:7" x14ac:dyDescent="0.3">
      <c r="A565" s="1" t="str">
        <f t="shared" si="8"/>
        <v>06  tam 60.4 + testo</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4165</v>
      </c>
      <c r="D565" s="1" t="s">
        <v>1961</v>
      </c>
      <c r="E565" s="1" t="s">
        <v>4166</v>
      </c>
      <c r="F565" s="1" t="s">
        <v>112</v>
      </c>
      <c r="G565" s="1">
        <v>2519969</v>
      </c>
    </row>
    <row r="566" spans="1:7" x14ac:dyDescent="0.3">
      <c r="A566" s="1" t="str">
        <f t="shared" si="8"/>
        <v>06  tam 60.4 + testo</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4167</v>
      </c>
      <c r="D566" s="1" t="s">
        <v>2516</v>
      </c>
      <c r="E566" s="1" t="s">
        <v>4168</v>
      </c>
      <c r="F566" s="1" t="s">
        <v>112</v>
      </c>
      <c r="G566" s="1">
        <v>2116420</v>
      </c>
    </row>
    <row r="567" spans="1:7" x14ac:dyDescent="0.3">
      <c r="A567" s="1" t="str">
        <f t="shared" si="8"/>
        <v>06  tam 60.4 + testo</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4169</v>
      </c>
      <c r="D567" s="1" t="s">
        <v>2772</v>
      </c>
      <c r="E567" s="1" t="s">
        <v>4170</v>
      </c>
      <c r="F567" s="1" t="s">
        <v>112</v>
      </c>
      <c r="G567" s="1">
        <v>2564635</v>
      </c>
    </row>
    <row r="568" spans="1:7" x14ac:dyDescent="0.3">
      <c r="A568" s="1" t="str">
        <f t="shared" si="8"/>
        <v>06  tam 60.4 + testo</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4171</v>
      </c>
      <c r="D568" s="1" t="s">
        <v>3387</v>
      </c>
      <c r="E568" s="1" t="s">
        <v>4172</v>
      </c>
      <c r="F568" s="1" t="s">
        <v>112</v>
      </c>
      <c r="G568" s="1">
        <v>2319265</v>
      </c>
    </row>
    <row r="569" spans="1:7" x14ac:dyDescent="0.3">
      <c r="A569" s="1" t="str">
        <f t="shared" si="8"/>
        <v>06  tam 60.4 + testo</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4173</v>
      </c>
      <c r="D569" s="1" t="s">
        <v>4174</v>
      </c>
      <c r="E569" s="1" t="s">
        <v>4175</v>
      </c>
      <c r="F569" s="1" t="s">
        <v>112</v>
      </c>
      <c r="G569" s="1">
        <v>1190834</v>
      </c>
    </row>
    <row r="570" spans="1:7" x14ac:dyDescent="0.3">
      <c r="A570" s="1" t="str">
        <f t="shared" si="8"/>
        <v>06  tam 60.4 + testo</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4176</v>
      </c>
      <c r="D570" s="1" t="s">
        <v>4177</v>
      </c>
      <c r="E570" s="1" t="s">
        <v>4178</v>
      </c>
      <c r="F570" s="1" t="s">
        <v>112</v>
      </c>
      <c r="G570" s="1">
        <v>1179002</v>
      </c>
    </row>
    <row r="571" spans="1:7" x14ac:dyDescent="0.3">
      <c r="A571" s="1" t="str">
        <f t="shared" si="8"/>
        <v>06  tam 60.4 + testo</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4179</v>
      </c>
      <c r="D571" s="1" t="s">
        <v>3785</v>
      </c>
      <c r="E571" s="1" t="s">
        <v>4180</v>
      </c>
      <c r="F571" s="1" t="s">
        <v>112</v>
      </c>
      <c r="G571" s="1">
        <v>1005358</v>
      </c>
    </row>
    <row r="572" spans="1:7" x14ac:dyDescent="0.3">
      <c r="A572" s="1" t="str">
        <f t="shared" si="8"/>
        <v>06  tam 60.4 + testo</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4181</v>
      </c>
      <c r="D572" s="1" t="s">
        <v>2886</v>
      </c>
      <c r="E572" s="1" t="s">
        <v>4182</v>
      </c>
      <c r="F572" s="1" t="s">
        <v>112</v>
      </c>
      <c r="G572" s="1">
        <v>2087999</v>
      </c>
    </row>
    <row r="573" spans="1:7" x14ac:dyDescent="0.3">
      <c r="A573" s="1" t="str">
        <f t="shared" si="8"/>
        <v>06  tam 60.4 + testo</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4183</v>
      </c>
      <c r="D573" s="1" t="s">
        <v>4184</v>
      </c>
      <c r="E573" s="1" t="s">
        <v>4185</v>
      </c>
      <c r="F573" s="1" t="s">
        <v>112</v>
      </c>
      <c r="G573" s="1">
        <v>3227548</v>
      </c>
    </row>
    <row r="574" spans="1:7" x14ac:dyDescent="0.3">
      <c r="A574" s="1" t="str">
        <f t="shared" si="8"/>
        <v>06  tam 60.4 + testo</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4186</v>
      </c>
      <c r="D574" s="1" t="s">
        <v>3387</v>
      </c>
      <c r="E574" s="1" t="s">
        <v>4187</v>
      </c>
      <c r="F574" s="1" t="s">
        <v>112</v>
      </c>
      <c r="G574" s="1">
        <v>2435786</v>
      </c>
    </row>
    <row r="575" spans="1:7" x14ac:dyDescent="0.3">
      <c r="A575" s="1" t="str">
        <f t="shared" si="8"/>
        <v>06  tam 60.4 + testo</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4188</v>
      </c>
      <c r="D575" s="1" t="s">
        <v>4189</v>
      </c>
      <c r="E575" s="1" t="s">
        <v>4190</v>
      </c>
      <c r="F575" s="1" t="s">
        <v>112</v>
      </c>
      <c r="G575" s="1">
        <v>2048156</v>
      </c>
    </row>
    <row r="576" spans="1:7" x14ac:dyDescent="0.3">
      <c r="A576" s="1" t="str">
        <f t="shared" si="8"/>
        <v>06  tam 60.4 + testo</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4191</v>
      </c>
      <c r="D576" s="1" t="s">
        <v>2003</v>
      </c>
      <c r="E576" s="1" t="s">
        <v>4192</v>
      </c>
      <c r="F576" s="1" t="s">
        <v>112</v>
      </c>
      <c r="G576" s="1">
        <v>1648176</v>
      </c>
    </row>
    <row r="577" spans="1:10" x14ac:dyDescent="0.3">
      <c r="A577" s="1" t="str">
        <f t="shared" si="8"/>
        <v>06  tam 60.4 + testo</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4193</v>
      </c>
      <c r="D577" s="1" t="s">
        <v>4194</v>
      </c>
      <c r="E577" s="1" t="s">
        <v>4195</v>
      </c>
      <c r="F577" s="1" t="s">
        <v>112</v>
      </c>
      <c r="G577" s="1">
        <v>1644932</v>
      </c>
    </row>
    <row r="578" spans="1:10" x14ac:dyDescent="0.3">
      <c r="A578" s="1" t="str">
        <f t="shared" ref="A578:A641" si="9">IFERROR(LEFT(RIGHT(C578,LEN(C578)-SEARCH("@",C578)),SEARCH("/",RIGHT(C578,LEN(C578)-SEARCH("@",C578)-1))),"")</f>
        <v>06  tam 60.4 + testo</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4196</v>
      </c>
      <c r="D578" s="1" t="s">
        <v>4197</v>
      </c>
      <c r="E578" s="1" t="s">
        <v>4198</v>
      </c>
      <c r="F578" s="1" t="s">
        <v>112</v>
      </c>
      <c r="G578" s="1">
        <v>1494128</v>
      </c>
    </row>
    <row r="579" spans="1:10" x14ac:dyDescent="0.3">
      <c r="A579" s="1" t="str">
        <f t="shared" si="9"/>
        <v>06  tam 60.4 + testo</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4199</v>
      </c>
      <c r="D579" s="1" t="s">
        <v>1994</v>
      </c>
      <c r="E579" s="1" t="s">
        <v>4200</v>
      </c>
      <c r="F579" s="1" t="s">
        <v>112</v>
      </c>
      <c r="G579" s="1">
        <v>1271059</v>
      </c>
    </row>
    <row r="580" spans="1:10" x14ac:dyDescent="0.3">
      <c r="A580" s="1" t="str">
        <f t="shared" si="9"/>
        <v>06  tam 60.4 + testo</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4201</v>
      </c>
      <c r="D580" s="1" t="s">
        <v>4202</v>
      </c>
      <c r="E580" s="1" t="s">
        <v>4203</v>
      </c>
      <c r="F580" s="1" t="s">
        <v>112</v>
      </c>
      <c r="G580" s="1">
        <v>1537258</v>
      </c>
    </row>
    <row r="581" spans="1:10" x14ac:dyDescent="0.3">
      <c r="A581" s="1" t="str">
        <f t="shared" si="9"/>
        <v>06  tam 60.4 + testo</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4204</v>
      </c>
      <c r="D581" s="1" t="s">
        <v>2944</v>
      </c>
      <c r="E581" s="1" t="s">
        <v>4205</v>
      </c>
      <c r="F581" s="1" t="s">
        <v>112</v>
      </c>
      <c r="G581" s="1">
        <v>1813061</v>
      </c>
    </row>
    <row r="582" spans="1:10" x14ac:dyDescent="0.3">
      <c r="A582" s="1" t="str">
        <f t="shared" si="9"/>
        <v>06  tam 60.4 + testo</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4206</v>
      </c>
      <c r="D582" s="1" t="s">
        <v>4207</v>
      </c>
      <c r="E582" s="1" t="s">
        <v>4208</v>
      </c>
      <c r="F582" s="1" t="s">
        <v>112</v>
      </c>
      <c r="G582" s="1">
        <v>1594556</v>
      </c>
    </row>
    <row r="583" spans="1:10" x14ac:dyDescent="0.3">
      <c r="A583" s="1" t="str">
        <f t="shared" si="9"/>
        <v>06  tam 60.4 + testo</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4209</v>
      </c>
      <c r="D583" s="1" t="s">
        <v>4210</v>
      </c>
      <c r="E583" s="1" t="s">
        <v>4211</v>
      </c>
      <c r="F583" s="1" t="s">
        <v>112</v>
      </c>
      <c r="G583" s="1">
        <v>1640195</v>
      </c>
    </row>
    <row r="584" spans="1:10" x14ac:dyDescent="0.3">
      <c r="A584" s="1" t="str">
        <f t="shared" si="9"/>
        <v>06  tam 60.4 + testo</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4212</v>
      </c>
      <c r="D584" s="1" t="s">
        <v>4213</v>
      </c>
      <c r="E584" s="1" t="s">
        <v>4214</v>
      </c>
      <c r="F584" s="1" t="s">
        <v>112</v>
      </c>
      <c r="G584" s="1">
        <v>2347406</v>
      </c>
    </row>
    <row r="585" spans="1:10" x14ac:dyDescent="0.3">
      <c r="A585" s="1" t="str">
        <f t="shared" si="9"/>
        <v>06  tam 60.4 + testo</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4215</v>
      </c>
      <c r="D585" s="1" t="s">
        <v>2788</v>
      </c>
      <c r="E585" s="1" t="s">
        <v>4216</v>
      </c>
      <c r="F585" s="1" t="s">
        <v>112</v>
      </c>
      <c r="G585" s="1">
        <v>3014840</v>
      </c>
    </row>
    <row r="586" spans="1:10" x14ac:dyDescent="0.3">
      <c r="A586" s="1" t="str">
        <f t="shared" si="9"/>
        <v>06  tam 60.4 + testo</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4217</v>
      </c>
    </row>
    <row r="587" spans="1:10" x14ac:dyDescent="0.3">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10" x14ac:dyDescent="0.3">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243</v>
      </c>
      <c r="D588" s="1" t="s">
        <v>112</v>
      </c>
      <c r="E588" s="1" t="s">
        <v>244</v>
      </c>
      <c r="F588" s="1" t="s">
        <v>245</v>
      </c>
      <c r="G588" s="1" t="s">
        <v>246</v>
      </c>
      <c r="H588" s="1" t="s">
        <v>247</v>
      </c>
      <c r="I588" s="1" t="s">
        <v>248</v>
      </c>
      <c r="J588" s="1" t="s">
        <v>249</v>
      </c>
    </row>
    <row r="589" spans="1:10" x14ac:dyDescent="0.3">
      <c r="A589" s="1" t="str">
        <f t="shared" si="9"/>
        <v>06  tam 60.4 + testo</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4218</v>
      </c>
      <c r="D589" s="1" t="s">
        <v>112</v>
      </c>
      <c r="E589" s="1" t="s">
        <v>4219</v>
      </c>
      <c r="F589" s="1" t="s">
        <v>4220</v>
      </c>
      <c r="G589" s="1" t="s">
        <v>4221</v>
      </c>
      <c r="H589" s="1" t="s">
        <v>4222</v>
      </c>
      <c r="I589" s="1">
        <v>24</v>
      </c>
      <c r="J589" s="1">
        <v>24</v>
      </c>
    </row>
    <row r="590" spans="1:10" x14ac:dyDescent="0.3">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10" x14ac:dyDescent="0.3">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10" x14ac:dyDescent="0.3">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3">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3">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3">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255</v>
      </c>
      <c r="D595" s="1" t="s">
        <v>110</v>
      </c>
      <c r="E595" s="1" t="s">
        <v>111</v>
      </c>
      <c r="F595" s="1" t="s">
        <v>112</v>
      </c>
      <c r="G595" s="1" t="s">
        <v>113</v>
      </c>
    </row>
    <row r="596" spans="1:7" x14ac:dyDescent="0.3">
      <c r="A596" s="1" t="str">
        <f t="shared" si="9"/>
        <v>07 tam 121 + testo</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4223</v>
      </c>
      <c r="D596" s="1" t="s">
        <v>4224</v>
      </c>
      <c r="E596" s="1" t="s">
        <v>4225</v>
      </c>
      <c r="F596" s="1" t="s">
        <v>112</v>
      </c>
      <c r="G596" s="1">
        <v>2085208</v>
      </c>
    </row>
    <row r="597" spans="1:7" x14ac:dyDescent="0.3">
      <c r="A597" s="1" t="str">
        <f t="shared" si="9"/>
        <v>07 tam 121 + testo</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4226</v>
      </c>
      <c r="D597" s="1" t="s">
        <v>3678</v>
      </c>
      <c r="E597" s="1" t="s">
        <v>4227</v>
      </c>
      <c r="F597" s="1" t="s">
        <v>112</v>
      </c>
      <c r="G597" s="1">
        <v>2018913</v>
      </c>
    </row>
    <row r="598" spans="1:7" x14ac:dyDescent="0.3">
      <c r="A598" s="1" t="str">
        <f t="shared" si="9"/>
        <v>07 tam 121 + testo</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4228</v>
      </c>
      <c r="D598" s="1" t="s">
        <v>4229</v>
      </c>
      <c r="E598" s="1" t="s">
        <v>4230</v>
      </c>
      <c r="F598" s="1" t="s">
        <v>112</v>
      </c>
      <c r="G598" s="1">
        <v>1747003</v>
      </c>
    </row>
    <row r="599" spans="1:7" x14ac:dyDescent="0.3">
      <c r="A599" s="1" t="str">
        <f t="shared" si="9"/>
        <v>07 tam 121 + testo</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4231</v>
      </c>
      <c r="D599" s="1" t="s">
        <v>4232</v>
      </c>
      <c r="E599" s="1" t="s">
        <v>4233</v>
      </c>
      <c r="F599" s="1" t="s">
        <v>112</v>
      </c>
      <c r="G599" s="1">
        <v>1636496</v>
      </c>
    </row>
    <row r="600" spans="1:7" x14ac:dyDescent="0.3">
      <c r="A600" s="1" t="str">
        <f t="shared" si="9"/>
        <v>07 tam 121 + testo</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4234</v>
      </c>
      <c r="D600" s="1" t="s">
        <v>4235</v>
      </c>
      <c r="E600" s="1" t="s">
        <v>4236</v>
      </c>
      <c r="F600" s="1" t="s">
        <v>112</v>
      </c>
      <c r="G600" s="1">
        <v>2016771</v>
      </c>
    </row>
    <row r="601" spans="1:7" x14ac:dyDescent="0.3">
      <c r="A601" s="1" t="str">
        <f t="shared" si="9"/>
        <v>07 tam 121 + testo</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4237</v>
      </c>
      <c r="D601" s="1" t="s">
        <v>3988</v>
      </c>
      <c r="E601" s="1" t="s">
        <v>4238</v>
      </c>
      <c r="F601" s="1" t="s">
        <v>112</v>
      </c>
      <c r="G601" s="1">
        <v>1898672</v>
      </c>
    </row>
    <row r="602" spans="1:7" x14ac:dyDescent="0.3">
      <c r="A602" s="1" t="str">
        <f t="shared" si="9"/>
        <v>07 tam 121 + testo</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4239</v>
      </c>
      <c r="D602" s="1" t="s">
        <v>4240</v>
      </c>
      <c r="E602" s="1" t="s">
        <v>4241</v>
      </c>
      <c r="F602" s="1" t="s">
        <v>112</v>
      </c>
      <c r="G602" s="1">
        <v>785187</v>
      </c>
    </row>
    <row r="603" spans="1:7" x14ac:dyDescent="0.3">
      <c r="A603" s="1" t="str">
        <f t="shared" si="9"/>
        <v>07 tam 121 + testo</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4242</v>
      </c>
      <c r="D603" s="1" t="s">
        <v>4243</v>
      </c>
      <c r="E603" s="1" t="s">
        <v>4244</v>
      </c>
      <c r="F603" s="1" t="s">
        <v>112</v>
      </c>
      <c r="G603" s="1">
        <v>757674</v>
      </c>
    </row>
    <row r="604" spans="1:7" x14ac:dyDescent="0.3">
      <c r="A604" s="1" t="str">
        <f t="shared" si="9"/>
        <v>07 tam 121 + testo</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4245</v>
      </c>
      <c r="D604" s="1" t="s">
        <v>2250</v>
      </c>
      <c r="E604" s="1" t="s">
        <v>4246</v>
      </c>
      <c r="F604" s="1" t="s">
        <v>112</v>
      </c>
      <c r="G604" s="1">
        <v>735114</v>
      </c>
    </row>
    <row r="605" spans="1:7" x14ac:dyDescent="0.3">
      <c r="A605" s="1" t="str">
        <f t="shared" si="9"/>
        <v>07 tam 121 + testo</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4247</v>
      </c>
    </row>
    <row r="606" spans="1:7" x14ac:dyDescent="0.3">
      <c r="A606" s="1" t="str">
        <f t="shared" si="9"/>
        <v>07 tam 121 + testo</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4248</v>
      </c>
      <c r="D606" s="1" t="s">
        <v>4249</v>
      </c>
      <c r="E606" s="1" t="s">
        <v>4250</v>
      </c>
      <c r="F606" s="1" t="s">
        <v>112</v>
      </c>
      <c r="G606" s="1">
        <v>813262</v>
      </c>
    </row>
    <row r="607" spans="1:7" x14ac:dyDescent="0.3">
      <c r="A607" s="1" t="str">
        <f t="shared" si="9"/>
        <v>07 tam 121 + testo</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4251</v>
      </c>
      <c r="D607" s="1" t="s">
        <v>4252</v>
      </c>
      <c r="E607" s="1" t="s">
        <v>4253</v>
      </c>
      <c r="F607" s="1" t="s">
        <v>112</v>
      </c>
      <c r="G607" s="1">
        <v>649654</v>
      </c>
    </row>
    <row r="608" spans="1:7" x14ac:dyDescent="0.3">
      <c r="A608" s="1" t="str">
        <f t="shared" si="9"/>
        <v>07 tam 121 + testo</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4254</v>
      </c>
      <c r="D608" s="1" t="s">
        <v>4255</v>
      </c>
      <c r="E608" s="1" t="s">
        <v>4256</v>
      </c>
      <c r="F608" s="1" t="s">
        <v>112</v>
      </c>
      <c r="G608" s="1">
        <v>3945942</v>
      </c>
    </row>
    <row r="609" spans="1:10" x14ac:dyDescent="0.3">
      <c r="A609" s="1" t="str">
        <f t="shared" si="9"/>
        <v>07 tam 121 + testo</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4257</v>
      </c>
      <c r="D609" s="1" t="s">
        <v>4258</v>
      </c>
      <c r="E609" s="1" t="s">
        <v>4259</v>
      </c>
      <c r="F609" s="1" t="s">
        <v>112</v>
      </c>
      <c r="G609" s="1">
        <v>4182638</v>
      </c>
    </row>
    <row r="610" spans="1:10" x14ac:dyDescent="0.3">
      <c r="A610" s="1" t="str">
        <f t="shared" si="9"/>
        <v>07 tam 121 + testo</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4260</v>
      </c>
      <c r="D610" s="1" t="s">
        <v>2027</v>
      </c>
      <c r="E610" s="1" t="s">
        <v>4261</v>
      </c>
      <c r="F610" s="1" t="s">
        <v>112</v>
      </c>
      <c r="G610" s="1">
        <v>3715194</v>
      </c>
    </row>
    <row r="611" spans="1:10" x14ac:dyDescent="0.3">
      <c r="A611" s="1" t="str">
        <f t="shared" si="9"/>
        <v>07 tam 121 + testo</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4262</v>
      </c>
      <c r="D611" s="1" t="s">
        <v>4263</v>
      </c>
      <c r="E611" s="1" t="s">
        <v>4264</v>
      </c>
      <c r="F611" s="1" t="s">
        <v>112</v>
      </c>
      <c r="G611" s="1">
        <v>925738</v>
      </c>
    </row>
    <row r="612" spans="1:10" x14ac:dyDescent="0.3">
      <c r="A612" s="1" t="str">
        <f t="shared" si="9"/>
        <v>07 tam 121 + testo</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4265</v>
      </c>
      <c r="D612" s="1" t="s">
        <v>4266</v>
      </c>
      <c r="E612" s="1" t="s">
        <v>4267</v>
      </c>
      <c r="F612" s="1" t="s">
        <v>112</v>
      </c>
      <c r="G612" s="1">
        <v>1078748</v>
      </c>
    </row>
    <row r="613" spans="1:10" x14ac:dyDescent="0.3">
      <c r="A613" s="1" t="str">
        <f t="shared" si="9"/>
        <v>07 tam 121 + testo</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4268</v>
      </c>
      <c r="D613" s="1" t="s">
        <v>4269</v>
      </c>
      <c r="E613" s="1" t="s">
        <v>4270</v>
      </c>
      <c r="F613" s="1" t="s">
        <v>112</v>
      </c>
      <c r="G613" s="1">
        <v>740305</v>
      </c>
    </row>
    <row r="614" spans="1:10" x14ac:dyDescent="0.3">
      <c r="A614" s="1" t="str">
        <f t="shared" si="9"/>
        <v>07 tam 121 + testo</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4271</v>
      </c>
      <c r="D614" s="1" t="s">
        <v>1453</v>
      </c>
      <c r="E614" s="1" t="s">
        <v>4272</v>
      </c>
      <c r="F614" s="1" t="s">
        <v>112</v>
      </c>
      <c r="G614" s="1">
        <v>1977383</v>
      </c>
    </row>
    <row r="615" spans="1:10" x14ac:dyDescent="0.3">
      <c r="A615" s="1" t="str">
        <f t="shared" si="9"/>
        <v>07 tam 121 + testo</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4273</v>
      </c>
      <c r="D615" s="1" t="s">
        <v>3034</v>
      </c>
      <c r="E615" s="1" t="s">
        <v>4274</v>
      </c>
      <c r="F615" s="1" t="s">
        <v>112</v>
      </c>
      <c r="G615" s="1">
        <v>2067969</v>
      </c>
    </row>
    <row r="616" spans="1:10" x14ac:dyDescent="0.3">
      <c r="A616" s="1" t="str">
        <f t="shared" si="9"/>
        <v>07 tam 121 + testo</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4275</v>
      </c>
      <c r="D616" s="1" t="s">
        <v>4276</v>
      </c>
      <c r="E616" s="1" t="s">
        <v>4277</v>
      </c>
      <c r="F616" s="1" t="s">
        <v>112</v>
      </c>
      <c r="G616" s="1">
        <v>2147567</v>
      </c>
    </row>
    <row r="617" spans="1:10" x14ac:dyDescent="0.3">
      <c r="A617" s="1" t="str">
        <f t="shared" si="9"/>
        <v>07 tam 121 + testo</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4278</v>
      </c>
      <c r="D617" s="1" t="s">
        <v>4279</v>
      </c>
      <c r="E617" s="1" t="s">
        <v>4280</v>
      </c>
      <c r="F617" s="1" t="s">
        <v>112</v>
      </c>
      <c r="G617" s="1">
        <v>340779</v>
      </c>
    </row>
    <row r="618" spans="1:10" x14ac:dyDescent="0.3">
      <c r="A618" s="1" t="str">
        <f t="shared" si="9"/>
        <v>07 tam 121 + testo</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4281</v>
      </c>
      <c r="D618" s="1" t="s">
        <v>2689</v>
      </c>
      <c r="E618" s="1" t="s">
        <v>4282</v>
      </c>
      <c r="F618" s="1" t="s">
        <v>112</v>
      </c>
      <c r="G618" s="1">
        <v>326503</v>
      </c>
    </row>
    <row r="619" spans="1:10" x14ac:dyDescent="0.3">
      <c r="A619" s="1" t="str">
        <f t="shared" si="9"/>
        <v>07 tam 121 + testo</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4283</v>
      </c>
      <c r="D619" s="1" t="s">
        <v>208</v>
      </c>
      <c r="E619" s="1" t="s">
        <v>4284</v>
      </c>
      <c r="F619" s="1" t="s">
        <v>112</v>
      </c>
      <c r="G619" s="1">
        <v>284260</v>
      </c>
    </row>
    <row r="620" spans="1:10" x14ac:dyDescent="0.3">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10" x14ac:dyDescent="0.3">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243</v>
      </c>
      <c r="D621" s="1" t="s">
        <v>112</v>
      </c>
      <c r="E621" s="1" t="s">
        <v>244</v>
      </c>
      <c r="F621" s="1" t="s">
        <v>245</v>
      </c>
      <c r="G621" s="1" t="s">
        <v>246</v>
      </c>
      <c r="H621" s="1" t="s">
        <v>247</v>
      </c>
      <c r="I621" s="1" t="s">
        <v>248</v>
      </c>
      <c r="J621" s="1" t="s">
        <v>249</v>
      </c>
    </row>
    <row r="622" spans="1:10" x14ac:dyDescent="0.3">
      <c r="A622" s="1" t="str">
        <f t="shared" si="9"/>
        <v>07 tam 121 + testo</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4285</v>
      </c>
      <c r="D622" s="1" t="s">
        <v>112</v>
      </c>
      <c r="E622" s="1" t="s">
        <v>4286</v>
      </c>
      <c r="F622" s="1" t="s">
        <v>4287</v>
      </c>
      <c r="G622" s="1" t="s">
        <v>4288</v>
      </c>
      <c r="H622" s="1" t="s">
        <v>4289</v>
      </c>
      <c r="I622" s="1">
        <v>24</v>
      </c>
      <c r="J622" s="1">
        <v>24</v>
      </c>
    </row>
    <row r="623" spans="1:10" x14ac:dyDescent="0.3">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10" x14ac:dyDescent="0.3">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3">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3">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3">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3">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255</v>
      </c>
      <c r="D628" s="1" t="s">
        <v>110</v>
      </c>
      <c r="E628" s="1" t="s">
        <v>111</v>
      </c>
      <c r="F628" s="1" t="s">
        <v>112</v>
      </c>
      <c r="G628" s="1" t="s">
        <v>113</v>
      </c>
    </row>
    <row r="629" spans="1:7" x14ac:dyDescent="0.3">
      <c r="A629" s="1" t="str">
        <f t="shared" si="9"/>
        <v>08 tam 242 + testo</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4290</v>
      </c>
      <c r="D629" s="1" t="s">
        <v>4291</v>
      </c>
      <c r="E629" s="1" t="s">
        <v>4292</v>
      </c>
      <c r="F629" s="1" t="s">
        <v>112</v>
      </c>
      <c r="G629" s="1">
        <v>2883157</v>
      </c>
    </row>
    <row r="630" spans="1:7" x14ac:dyDescent="0.3">
      <c r="A630" s="1" t="str">
        <f t="shared" si="9"/>
        <v>08 tam 242 + testo</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4293</v>
      </c>
      <c r="D630" s="1" t="s">
        <v>4294</v>
      </c>
      <c r="E630" s="1" t="s">
        <v>4295</v>
      </c>
      <c r="F630" s="1" t="s">
        <v>112</v>
      </c>
      <c r="G630" s="1">
        <v>3395656</v>
      </c>
    </row>
    <row r="631" spans="1:7" x14ac:dyDescent="0.3">
      <c r="A631" s="1" t="str">
        <f t="shared" si="9"/>
        <v>08 tam 242 + testo</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4296</v>
      </c>
      <c r="D631" s="1" t="s">
        <v>4297</v>
      </c>
      <c r="E631" s="1" t="s">
        <v>4298</v>
      </c>
      <c r="F631" s="1" t="s">
        <v>112</v>
      </c>
      <c r="G631" s="1">
        <v>1817863</v>
      </c>
    </row>
    <row r="632" spans="1:7" x14ac:dyDescent="0.3">
      <c r="A632" s="1" t="str">
        <f t="shared" si="9"/>
        <v>08 tam 242 + testo</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4299</v>
      </c>
      <c r="D632" s="1" t="s">
        <v>3930</v>
      </c>
      <c r="E632" s="1" t="s">
        <v>4300</v>
      </c>
      <c r="F632" s="1" t="s">
        <v>112</v>
      </c>
      <c r="G632" s="1">
        <v>3093443</v>
      </c>
    </row>
    <row r="633" spans="1:7" x14ac:dyDescent="0.3">
      <c r="A633" s="1" t="str">
        <f t="shared" si="9"/>
        <v>08 tam 242 + testo</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4301</v>
      </c>
      <c r="D633" s="1" t="s">
        <v>4302</v>
      </c>
      <c r="E633" s="1" t="s">
        <v>4303</v>
      </c>
      <c r="F633" s="1" t="s">
        <v>112</v>
      </c>
      <c r="G633" s="1">
        <v>3304248</v>
      </c>
    </row>
    <row r="634" spans="1:7" x14ac:dyDescent="0.3">
      <c r="A634" s="1" t="str">
        <f t="shared" si="9"/>
        <v>08 tam 242 + testo</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4304</v>
      </c>
      <c r="D634" s="1" t="s">
        <v>4305</v>
      </c>
      <c r="E634" s="1" t="s">
        <v>4306</v>
      </c>
      <c r="F634" s="1" t="s">
        <v>112</v>
      </c>
      <c r="G634" s="1">
        <v>2863365</v>
      </c>
    </row>
    <row r="635" spans="1:7" x14ac:dyDescent="0.3">
      <c r="A635" s="1" t="str">
        <f t="shared" si="9"/>
        <v>08 tam 242 + testo</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4307</v>
      </c>
      <c r="D635" s="1" t="s">
        <v>2757</v>
      </c>
      <c r="E635" s="1" t="s">
        <v>4308</v>
      </c>
      <c r="F635" s="1" t="s">
        <v>112</v>
      </c>
      <c r="G635" s="1">
        <v>2760753</v>
      </c>
    </row>
    <row r="636" spans="1:7" x14ac:dyDescent="0.3">
      <c r="A636" s="1" t="str">
        <f t="shared" si="9"/>
        <v>08 tam 242 + testo</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4309</v>
      </c>
      <c r="D636" s="1" t="s">
        <v>1586</v>
      </c>
      <c r="E636" s="1" t="s">
        <v>4310</v>
      </c>
      <c r="F636" s="1" t="s">
        <v>112</v>
      </c>
      <c r="G636" s="1">
        <v>2595458</v>
      </c>
    </row>
    <row r="637" spans="1:7" x14ac:dyDescent="0.3">
      <c r="A637" s="1" t="str">
        <f t="shared" si="9"/>
        <v>08 tam 242 + testo</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4311</v>
      </c>
      <c r="D637" s="1" t="s">
        <v>2478</v>
      </c>
      <c r="E637" s="1" t="s">
        <v>4312</v>
      </c>
      <c r="F637" s="1" t="s">
        <v>112</v>
      </c>
      <c r="G637" s="1">
        <v>2528794</v>
      </c>
    </row>
    <row r="638" spans="1:7" x14ac:dyDescent="0.3">
      <c r="A638" s="1" t="str">
        <f t="shared" si="9"/>
        <v>08 tam 242 + testo</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4313</v>
      </c>
      <c r="D638" s="1" t="s">
        <v>4314</v>
      </c>
      <c r="E638" s="1" t="s">
        <v>4315</v>
      </c>
      <c r="F638" s="1" t="s">
        <v>112</v>
      </c>
      <c r="G638" s="1">
        <v>2213647</v>
      </c>
    </row>
    <row r="639" spans="1:7" x14ac:dyDescent="0.3">
      <c r="A639" s="1" t="str">
        <f t="shared" si="9"/>
        <v>08 tam 242 + testo</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4316</v>
      </c>
      <c r="D639" s="1" t="s">
        <v>2859</v>
      </c>
      <c r="E639" s="1" t="s">
        <v>4317</v>
      </c>
      <c r="F639" s="1" t="s">
        <v>112</v>
      </c>
      <c r="G639" s="1">
        <v>2317773</v>
      </c>
    </row>
    <row r="640" spans="1:7" x14ac:dyDescent="0.3">
      <c r="A640" s="1" t="str">
        <f t="shared" si="9"/>
        <v>08 tam 242 + testo</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4318</v>
      </c>
      <c r="D640" s="1" t="s">
        <v>4319</v>
      </c>
      <c r="E640" s="1" t="s">
        <v>4320</v>
      </c>
      <c r="F640" s="1" t="s">
        <v>112</v>
      </c>
      <c r="G640" s="1">
        <v>2209494</v>
      </c>
    </row>
    <row r="641" spans="1:10" x14ac:dyDescent="0.3">
      <c r="A641" s="1" t="str">
        <f t="shared" si="9"/>
        <v>08 tam 242 + testo</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4321</v>
      </c>
      <c r="D641" s="1" t="s">
        <v>4322</v>
      </c>
      <c r="E641" s="1" t="s">
        <v>4323</v>
      </c>
      <c r="F641" s="1" t="s">
        <v>112</v>
      </c>
      <c r="G641" s="1">
        <v>3473004</v>
      </c>
    </row>
    <row r="642" spans="1:10" x14ac:dyDescent="0.3">
      <c r="A642" s="1" t="str">
        <f t="shared" ref="A642:A705" si="10">IFERROR(LEFT(RIGHT(C642,LEN(C642)-SEARCH("@",C642)),SEARCH("/",RIGHT(C642,LEN(C642)-SEARCH("@",C642)-1))),"")</f>
        <v>08 tam 242 + testo</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4324</v>
      </c>
      <c r="D642" s="1" t="s">
        <v>4325</v>
      </c>
      <c r="E642" s="1" t="s">
        <v>4326</v>
      </c>
      <c r="F642" s="1" t="s">
        <v>112</v>
      </c>
      <c r="G642" s="1">
        <v>3489464</v>
      </c>
    </row>
    <row r="643" spans="1:10" x14ac:dyDescent="0.3">
      <c r="A643" s="1" t="str">
        <f t="shared" si="10"/>
        <v>08 tam 242 + testo</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4327</v>
      </c>
      <c r="D643" s="1" t="s">
        <v>4328</v>
      </c>
      <c r="E643" s="1" t="s">
        <v>4329</v>
      </c>
      <c r="F643" s="1" t="s">
        <v>112</v>
      </c>
      <c r="G643" s="1">
        <v>3872292</v>
      </c>
    </row>
    <row r="644" spans="1:10" x14ac:dyDescent="0.3">
      <c r="A644" s="1" t="str">
        <f t="shared" si="10"/>
        <v>08 tam 242 + testo</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4330</v>
      </c>
      <c r="D644" s="1" t="s">
        <v>4331</v>
      </c>
      <c r="E644" s="1" t="s">
        <v>4332</v>
      </c>
      <c r="F644" s="1" t="s">
        <v>112</v>
      </c>
      <c r="G644" s="1">
        <v>2690218</v>
      </c>
    </row>
    <row r="645" spans="1:10" x14ac:dyDescent="0.3">
      <c r="A645" s="1" t="str">
        <f t="shared" si="10"/>
        <v>08 tam 242 + testo</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4333</v>
      </c>
      <c r="D645" s="1" t="s">
        <v>4334</v>
      </c>
      <c r="E645" s="1" t="s">
        <v>4335</v>
      </c>
      <c r="F645" s="1" t="s">
        <v>112</v>
      </c>
      <c r="G645" s="1">
        <v>2487135</v>
      </c>
    </row>
    <row r="646" spans="1:10" x14ac:dyDescent="0.3">
      <c r="A646" s="1" t="str">
        <f t="shared" si="10"/>
        <v>08 tam 242 + testo</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4336</v>
      </c>
      <c r="D646" s="1" t="s">
        <v>4337</v>
      </c>
      <c r="E646" s="1" t="s">
        <v>4338</v>
      </c>
      <c r="F646" s="1" t="s">
        <v>112</v>
      </c>
      <c r="G646" s="1">
        <v>2723009</v>
      </c>
    </row>
    <row r="647" spans="1:10" x14ac:dyDescent="0.3">
      <c r="A647" s="1" t="str">
        <f t="shared" si="10"/>
        <v>08 tam 242 + testo</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4339</v>
      </c>
      <c r="D647" s="1" t="s">
        <v>4340</v>
      </c>
      <c r="E647" s="1" t="s">
        <v>4341</v>
      </c>
      <c r="F647" s="1" t="s">
        <v>112</v>
      </c>
      <c r="G647" s="1">
        <v>2910302</v>
      </c>
    </row>
    <row r="648" spans="1:10" x14ac:dyDescent="0.3">
      <c r="A648" s="1" t="str">
        <f t="shared" si="10"/>
        <v>08 tam 242 + testo</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4342</v>
      </c>
      <c r="D648" s="1" t="s">
        <v>4343</v>
      </c>
      <c r="E648" s="1" t="s">
        <v>4344</v>
      </c>
      <c r="F648" s="1" t="s">
        <v>112</v>
      </c>
      <c r="G648" s="1">
        <v>2857071</v>
      </c>
    </row>
    <row r="649" spans="1:10" x14ac:dyDescent="0.3">
      <c r="A649" s="1" t="str">
        <f t="shared" si="10"/>
        <v>08 tam 242 + testo</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4345</v>
      </c>
      <c r="D649" s="1" t="s">
        <v>2162</v>
      </c>
      <c r="E649" s="1" t="s">
        <v>4346</v>
      </c>
      <c r="F649" s="1" t="s">
        <v>112</v>
      </c>
      <c r="G649" s="1">
        <v>3144057</v>
      </c>
    </row>
    <row r="650" spans="1:10" x14ac:dyDescent="0.3">
      <c r="A650" s="1" t="str">
        <f t="shared" si="10"/>
        <v>08 tam 242 + testo</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4347</v>
      </c>
      <c r="D650" s="1" t="s">
        <v>1329</v>
      </c>
      <c r="E650" s="1" t="s">
        <v>4348</v>
      </c>
      <c r="F650" s="1" t="s">
        <v>112</v>
      </c>
      <c r="G650" s="1">
        <v>1766470</v>
      </c>
    </row>
    <row r="651" spans="1:10" x14ac:dyDescent="0.3">
      <c r="A651" s="1" t="str">
        <f t="shared" si="10"/>
        <v>08 tam 242 + testo</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4349</v>
      </c>
      <c r="D651" s="1" t="s">
        <v>4350</v>
      </c>
      <c r="E651" s="1" t="s">
        <v>4351</v>
      </c>
      <c r="F651" s="1" t="s">
        <v>112</v>
      </c>
      <c r="G651" s="1">
        <v>2262227</v>
      </c>
    </row>
    <row r="652" spans="1:10" x14ac:dyDescent="0.3">
      <c r="A652" s="1" t="str">
        <f t="shared" si="10"/>
        <v>08 tam 242 + testo</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4352</v>
      </c>
      <c r="D652" s="1" t="s">
        <v>4353</v>
      </c>
      <c r="E652" s="1" t="s">
        <v>4354</v>
      </c>
      <c r="F652" s="1" t="s">
        <v>112</v>
      </c>
      <c r="G652" s="1">
        <v>1893330</v>
      </c>
    </row>
    <row r="653" spans="1:10" x14ac:dyDescent="0.3">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3">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243</v>
      </c>
      <c r="D654" s="1" t="s">
        <v>112</v>
      </c>
      <c r="E654" s="1" t="s">
        <v>244</v>
      </c>
      <c r="F654" s="1" t="s">
        <v>245</v>
      </c>
      <c r="G654" s="1" t="s">
        <v>246</v>
      </c>
      <c r="H654" s="1" t="s">
        <v>247</v>
      </c>
      <c r="I654" s="1" t="s">
        <v>248</v>
      </c>
      <c r="J654" s="1" t="s">
        <v>249</v>
      </c>
    </row>
    <row r="655" spans="1:10" x14ac:dyDescent="0.3">
      <c r="A655" s="1" t="str">
        <f t="shared" si="10"/>
        <v>08 tam 242 + testo</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4355</v>
      </c>
      <c r="D655" s="1" t="s">
        <v>112</v>
      </c>
      <c r="E655" s="1" t="s">
        <v>4356</v>
      </c>
      <c r="F655" s="1" t="s">
        <v>4357</v>
      </c>
      <c r="G655" s="1" t="s">
        <v>4358</v>
      </c>
      <c r="H655" s="1" t="s">
        <v>4359</v>
      </c>
      <c r="I655" s="1">
        <v>24</v>
      </c>
      <c r="J655" s="1">
        <v>24</v>
      </c>
    </row>
    <row r="656" spans="1:10" x14ac:dyDescent="0.3">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3">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3">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3">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3">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3">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255</v>
      </c>
      <c r="D661" s="1" t="s">
        <v>110</v>
      </c>
      <c r="E661" s="1" t="s">
        <v>111</v>
      </c>
      <c r="F661" s="1" t="s">
        <v>112</v>
      </c>
      <c r="G661" s="1" t="s">
        <v>113</v>
      </c>
    </row>
    <row r="662" spans="1:7" x14ac:dyDescent="0.3">
      <c r="A662" s="1" t="str">
        <f t="shared" si="10"/>
        <v>09  tam 483 + testo</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4360</v>
      </c>
      <c r="D662" s="1" t="s">
        <v>4361</v>
      </c>
      <c r="E662" s="1" t="s">
        <v>4362</v>
      </c>
      <c r="F662" s="1" t="s">
        <v>112</v>
      </c>
      <c r="G662" s="1">
        <v>771279</v>
      </c>
    </row>
    <row r="663" spans="1:7" x14ac:dyDescent="0.3">
      <c r="A663" s="1" t="str">
        <f t="shared" si="10"/>
        <v>09  tam 483 + testo</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4363</v>
      </c>
      <c r="D663" s="1" t="s">
        <v>4364</v>
      </c>
      <c r="E663" s="1" t="s">
        <v>4365</v>
      </c>
      <c r="F663" s="1" t="s">
        <v>112</v>
      </c>
      <c r="G663" s="1">
        <v>746210</v>
      </c>
    </row>
    <row r="664" spans="1:7" x14ac:dyDescent="0.3">
      <c r="A664" s="1" t="str">
        <f t="shared" si="10"/>
        <v>09  tam 483 + testo</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4366</v>
      </c>
      <c r="D664" s="1" t="s">
        <v>4367</v>
      </c>
      <c r="E664" s="1" t="s">
        <v>4368</v>
      </c>
      <c r="F664" s="1" t="s">
        <v>112</v>
      </c>
      <c r="G664" s="1">
        <v>887713</v>
      </c>
    </row>
    <row r="665" spans="1:7" x14ac:dyDescent="0.3">
      <c r="A665" s="1" t="str">
        <f t="shared" si="10"/>
        <v>09  tam 483 + testo</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4369</v>
      </c>
      <c r="D665" s="1" t="s">
        <v>4353</v>
      </c>
      <c r="E665" s="1" t="s">
        <v>4370</v>
      </c>
      <c r="F665" s="1" t="s">
        <v>112</v>
      </c>
      <c r="G665" s="1">
        <v>1827640</v>
      </c>
    </row>
    <row r="666" spans="1:7" x14ac:dyDescent="0.3">
      <c r="A666" s="1" t="str">
        <f t="shared" si="10"/>
        <v>09  tam 483 + testo</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4371</v>
      </c>
      <c r="D666" s="1" t="s">
        <v>4372</v>
      </c>
      <c r="E666" s="1" t="s">
        <v>4373</v>
      </c>
      <c r="F666" s="1" t="s">
        <v>112</v>
      </c>
      <c r="G666" s="1">
        <v>1779059</v>
      </c>
    </row>
    <row r="667" spans="1:7" x14ac:dyDescent="0.3">
      <c r="A667" s="1" t="str">
        <f t="shared" si="10"/>
        <v>09  tam 483 + testo</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4374</v>
      </c>
      <c r="D667" s="1" t="s">
        <v>1356</v>
      </c>
      <c r="E667" s="1" t="s">
        <v>4375</v>
      </c>
      <c r="F667" s="1" t="s">
        <v>112</v>
      </c>
      <c r="G667" s="1">
        <v>2929812</v>
      </c>
    </row>
    <row r="668" spans="1:7" x14ac:dyDescent="0.3">
      <c r="A668" s="1" t="str">
        <f t="shared" si="10"/>
        <v>09  tam 483 + testo</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4376</v>
      </c>
      <c r="D668" s="1" t="s">
        <v>4377</v>
      </c>
      <c r="E668" s="1" t="s">
        <v>4378</v>
      </c>
      <c r="F668" s="1" t="s">
        <v>112</v>
      </c>
      <c r="G668" s="1">
        <v>2471864</v>
      </c>
    </row>
    <row r="669" spans="1:7" x14ac:dyDescent="0.3">
      <c r="A669" s="1" t="str">
        <f t="shared" si="10"/>
        <v>09  tam 483 + testo</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4379</v>
      </c>
      <c r="D669" s="1" t="s">
        <v>4380</v>
      </c>
      <c r="E669" s="1" t="s">
        <v>4381</v>
      </c>
      <c r="F669" s="1" t="s">
        <v>112</v>
      </c>
      <c r="G669" s="1">
        <v>2676310</v>
      </c>
    </row>
    <row r="670" spans="1:7" x14ac:dyDescent="0.3">
      <c r="A670" s="1" t="str">
        <f t="shared" si="10"/>
        <v>09  tam 483 + testo</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4382</v>
      </c>
      <c r="D670" s="1" t="s">
        <v>4383</v>
      </c>
      <c r="E670" s="1" t="s">
        <v>4384</v>
      </c>
      <c r="F670" s="1" t="s">
        <v>112</v>
      </c>
      <c r="G670" s="1">
        <v>2290043</v>
      </c>
    </row>
    <row r="671" spans="1:7" x14ac:dyDescent="0.3">
      <c r="A671" s="1" t="str">
        <f t="shared" si="10"/>
        <v>09  tam 483 + testo</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4385</v>
      </c>
      <c r="D671" s="1" t="s">
        <v>1444</v>
      </c>
      <c r="E671" s="1" t="s">
        <v>4386</v>
      </c>
      <c r="F671" s="1" t="s">
        <v>112</v>
      </c>
      <c r="G671" s="1">
        <v>813327</v>
      </c>
    </row>
    <row r="672" spans="1:7" x14ac:dyDescent="0.3">
      <c r="A672" s="1" t="str">
        <f t="shared" si="10"/>
        <v>09  tam 483 + testo</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4387</v>
      </c>
    </row>
    <row r="673" spans="1:10" x14ac:dyDescent="0.3">
      <c r="A673" s="1" t="str">
        <f t="shared" si="10"/>
        <v>09  tam 483 + testo</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4388</v>
      </c>
      <c r="D673" s="1" t="s">
        <v>4389</v>
      </c>
      <c r="E673" s="1" t="s">
        <v>4390</v>
      </c>
      <c r="F673" s="1" t="s">
        <v>112</v>
      </c>
      <c r="G673" s="1">
        <v>459354</v>
      </c>
    </row>
    <row r="674" spans="1:10" x14ac:dyDescent="0.3">
      <c r="A674" s="1" t="str">
        <f t="shared" si="10"/>
        <v>09  tam 483 + testo</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4391</v>
      </c>
      <c r="D674" s="1" t="s">
        <v>4392</v>
      </c>
      <c r="E674" s="1" t="s">
        <v>4393</v>
      </c>
      <c r="F674" s="1" t="s">
        <v>112</v>
      </c>
      <c r="G674" s="1">
        <v>1712071</v>
      </c>
    </row>
    <row r="675" spans="1:10" x14ac:dyDescent="0.3">
      <c r="A675" s="1" t="str">
        <f t="shared" si="10"/>
        <v>09  tam 483 + testo</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4394</v>
      </c>
      <c r="D675" s="1" t="s">
        <v>4395</v>
      </c>
      <c r="E675" s="1" t="s">
        <v>4396</v>
      </c>
      <c r="F675" s="1" t="s">
        <v>112</v>
      </c>
      <c r="G675" s="1">
        <v>1999532</v>
      </c>
    </row>
    <row r="676" spans="1:10" x14ac:dyDescent="0.3">
      <c r="A676" s="1" t="str">
        <f t="shared" si="10"/>
        <v>09  tam 483 + testo</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4397</v>
      </c>
      <c r="D676" s="1" t="s">
        <v>1655</v>
      </c>
      <c r="E676" s="1" t="s">
        <v>4398</v>
      </c>
      <c r="F676" s="1" t="s">
        <v>112</v>
      </c>
      <c r="G676" s="1">
        <v>1537453</v>
      </c>
    </row>
    <row r="677" spans="1:10" x14ac:dyDescent="0.3">
      <c r="A677" s="1" t="str">
        <f t="shared" si="10"/>
        <v>09  tam 483 + testo</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4399</v>
      </c>
      <c r="D677" s="1" t="s">
        <v>4400</v>
      </c>
      <c r="E677" s="1" t="s">
        <v>4401</v>
      </c>
      <c r="F677" s="1" t="s">
        <v>112</v>
      </c>
      <c r="G677" s="1">
        <v>3298343</v>
      </c>
    </row>
    <row r="678" spans="1:10" x14ac:dyDescent="0.3">
      <c r="A678" s="1" t="str">
        <f t="shared" si="10"/>
        <v>09  tam 483 + testo</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4402</v>
      </c>
      <c r="D678" s="1" t="s">
        <v>3832</v>
      </c>
      <c r="E678" s="1" t="s">
        <v>4403</v>
      </c>
      <c r="F678" s="1" t="s">
        <v>112</v>
      </c>
      <c r="G678" s="1">
        <v>3517151</v>
      </c>
    </row>
    <row r="679" spans="1:10" x14ac:dyDescent="0.3">
      <c r="A679" s="1" t="str">
        <f t="shared" si="10"/>
        <v>09  tam 483 + testo</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4404</v>
      </c>
      <c r="D679" s="1" t="s">
        <v>4405</v>
      </c>
      <c r="E679" s="1" t="s">
        <v>4406</v>
      </c>
      <c r="F679" s="1" t="s">
        <v>112</v>
      </c>
      <c r="G679" s="1">
        <v>3291183</v>
      </c>
    </row>
    <row r="680" spans="1:10" x14ac:dyDescent="0.3">
      <c r="A680" s="1" t="str">
        <f t="shared" si="10"/>
        <v>09  tam 483 + testo</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4407</v>
      </c>
      <c r="D680" s="1" t="s">
        <v>4408</v>
      </c>
      <c r="E680" s="1" t="s">
        <v>4409</v>
      </c>
      <c r="F680" s="1" t="s">
        <v>112</v>
      </c>
      <c r="G680" s="1">
        <v>2684032</v>
      </c>
    </row>
    <row r="681" spans="1:10" x14ac:dyDescent="0.3">
      <c r="A681" s="1" t="str">
        <f t="shared" si="10"/>
        <v>09  tam 483 + testo</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4410</v>
      </c>
      <c r="D681" s="1" t="s">
        <v>4411</v>
      </c>
      <c r="E681" s="1" t="s">
        <v>4412</v>
      </c>
      <c r="F681" s="1" t="s">
        <v>112</v>
      </c>
      <c r="G681" s="1">
        <v>3187338</v>
      </c>
    </row>
    <row r="682" spans="1:10" x14ac:dyDescent="0.3">
      <c r="A682" s="1" t="str">
        <f t="shared" si="10"/>
        <v>09  tam 483 + testo</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4413</v>
      </c>
      <c r="D682" s="1" t="s">
        <v>4414</v>
      </c>
      <c r="E682" s="1" t="s">
        <v>4415</v>
      </c>
      <c r="F682" s="1" t="s">
        <v>112</v>
      </c>
      <c r="G682" s="1">
        <v>3240158</v>
      </c>
    </row>
    <row r="683" spans="1:10" x14ac:dyDescent="0.3">
      <c r="A683" s="1" t="str">
        <f t="shared" si="10"/>
        <v>09  tam 483 + testo</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4416</v>
      </c>
      <c r="D683" s="1" t="s">
        <v>4202</v>
      </c>
      <c r="E683" s="1" t="s">
        <v>4417</v>
      </c>
      <c r="F683" s="1" t="s">
        <v>112</v>
      </c>
      <c r="G683" s="1">
        <v>1647354</v>
      </c>
    </row>
    <row r="684" spans="1:10" x14ac:dyDescent="0.3">
      <c r="A684" s="1" t="str">
        <f t="shared" si="10"/>
        <v>09  tam 483 + testo</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4418</v>
      </c>
      <c r="D684" s="1" t="s">
        <v>4419</v>
      </c>
      <c r="E684" s="1" t="s">
        <v>4420</v>
      </c>
      <c r="F684" s="1" t="s">
        <v>112</v>
      </c>
      <c r="G684" s="1">
        <v>1863351</v>
      </c>
    </row>
    <row r="685" spans="1:10" x14ac:dyDescent="0.3">
      <c r="A685" s="1" t="str">
        <f t="shared" si="10"/>
        <v>09  tam 483 + testo</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4421</v>
      </c>
      <c r="D685" s="1" t="s">
        <v>4422</v>
      </c>
      <c r="E685" s="1" t="s">
        <v>4423</v>
      </c>
      <c r="F685" s="1" t="s">
        <v>112</v>
      </c>
      <c r="G685" s="1">
        <v>1814272</v>
      </c>
    </row>
    <row r="686" spans="1:10" x14ac:dyDescent="0.3">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3">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243</v>
      </c>
      <c r="D687" s="1" t="s">
        <v>112</v>
      </c>
      <c r="E687" s="1" t="s">
        <v>244</v>
      </c>
      <c r="F687" s="1" t="s">
        <v>245</v>
      </c>
      <c r="G687" s="1" t="s">
        <v>246</v>
      </c>
      <c r="H687" s="1" t="s">
        <v>247</v>
      </c>
      <c r="I687" s="1" t="s">
        <v>248</v>
      </c>
      <c r="J687" s="1" t="s">
        <v>249</v>
      </c>
    </row>
    <row r="688" spans="1:10" x14ac:dyDescent="0.3">
      <c r="A688" s="1" t="str">
        <f t="shared" si="10"/>
        <v>09  tam 483 + testo</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4424</v>
      </c>
      <c r="D688" s="1" t="s">
        <v>112</v>
      </c>
      <c r="E688" s="1" t="s">
        <v>4425</v>
      </c>
      <c r="F688" s="1" t="s">
        <v>4426</v>
      </c>
      <c r="G688" s="1" t="s">
        <v>4427</v>
      </c>
      <c r="H688" s="1" t="s">
        <v>4428</v>
      </c>
      <c r="I688" s="1">
        <v>24</v>
      </c>
      <c r="J688" s="1">
        <v>24</v>
      </c>
    </row>
    <row r="689" spans="1:3" x14ac:dyDescent="0.3">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3" x14ac:dyDescent="0.3">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112</v>
      </c>
    </row>
    <row r="691" spans="1:3" x14ac:dyDescent="0.3">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3" x14ac:dyDescent="0.3">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3" x14ac:dyDescent="0.3">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3" x14ac:dyDescent="0.3">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3" x14ac:dyDescent="0.3">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3" x14ac:dyDescent="0.3">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3" x14ac:dyDescent="0.3">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3" x14ac:dyDescent="0.3">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3" x14ac:dyDescent="0.3">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3" x14ac:dyDescent="0.3">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3" x14ac:dyDescent="0.3">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3" x14ac:dyDescent="0.3">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3" x14ac:dyDescent="0.3">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3" x14ac:dyDescent="0.3">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6"/>
  <sheetViews>
    <sheetView showGridLines="0" tabSelected="1" topLeftCell="N1" zoomScaleNormal="100" zoomScaleSheetLayoutView="40" zoomScalePageLayoutView="30" workbookViewId="0">
      <selection activeCell="Q64" sqref="Q64"/>
    </sheetView>
  </sheetViews>
  <sheetFormatPr defaultColWidth="9.109375" defaultRowHeight="14.4" x14ac:dyDescent="0.3"/>
  <cols>
    <col min="1" max="1" width="33.5546875" style="1" customWidth="1"/>
    <col min="2" max="2" width="14.88671875" style="1" customWidth="1"/>
    <col min="3" max="5" width="25.88671875" style="1" bestFit="1" customWidth="1"/>
    <col min="6" max="8" width="26.44140625" style="1" bestFit="1" customWidth="1"/>
    <col min="9" max="9" width="26.44140625" style="1" customWidth="1"/>
    <col min="10" max="10" width="25.88671875" style="1" bestFit="1" customWidth="1"/>
    <col min="11" max="11" width="26.44140625" style="1" bestFit="1" customWidth="1"/>
    <col min="12" max="13" width="26.44140625" style="1" customWidth="1"/>
    <col min="14" max="14" width="11.6640625" style="1" customWidth="1"/>
    <col min="15" max="15" width="14.88671875" style="1" customWidth="1"/>
    <col min="16" max="16" width="17.6640625" style="1" customWidth="1"/>
    <col min="17" max="18" width="25.88671875" style="1" bestFit="1" customWidth="1"/>
    <col min="19" max="22" width="25.88671875" style="1" customWidth="1"/>
    <col min="23" max="16384" width="9.109375" style="1"/>
  </cols>
  <sheetData>
    <row r="1" spans="1:22" ht="26.4" thickBot="1" x14ac:dyDescent="0.55000000000000004">
      <c r="A1" s="215" t="s">
        <v>43</v>
      </c>
      <c r="B1" s="216"/>
      <c r="C1" s="216"/>
      <c r="D1" s="216"/>
      <c r="E1" s="216"/>
      <c r="F1" s="216"/>
      <c r="G1" s="216"/>
      <c r="H1" s="216"/>
      <c r="I1" s="216"/>
      <c r="J1" s="216"/>
      <c r="K1" s="216"/>
      <c r="L1" s="216"/>
      <c r="M1" s="216"/>
      <c r="N1" s="216"/>
      <c r="O1" s="216"/>
      <c r="P1" s="216"/>
      <c r="Q1" s="216"/>
      <c r="R1" s="216"/>
      <c r="S1" s="216"/>
      <c r="T1" s="216"/>
      <c r="U1" s="216"/>
      <c r="V1" s="216"/>
    </row>
    <row r="2" spans="1:22" ht="15" thickBot="1" x14ac:dyDescent="0.35"/>
    <row r="3" spans="1:22" ht="15" thickBot="1" x14ac:dyDescent="0.35">
      <c r="A3" s="152" t="s">
        <v>22</v>
      </c>
      <c r="B3" s="223" t="s">
        <v>6</v>
      </c>
      <c r="C3" s="224"/>
      <c r="D3" s="224"/>
      <c r="E3" s="224"/>
      <c r="F3" s="224"/>
      <c r="G3" s="224"/>
      <c r="H3" s="224"/>
      <c r="I3" s="224"/>
      <c r="J3" s="224"/>
      <c r="K3" s="224"/>
      <c r="L3" s="224"/>
      <c r="M3" s="224"/>
      <c r="O3" s="223" t="s">
        <v>3</v>
      </c>
      <c r="P3" s="224"/>
      <c r="Q3" s="224"/>
      <c r="R3" s="224"/>
      <c r="S3" s="224"/>
      <c r="T3" s="224"/>
      <c r="U3" s="224"/>
      <c r="V3" s="224"/>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Tamoxifen-30,2µg/L</v>
      </c>
      <c r="J4" s="35" t="str">
        <f>'Page de garde'!A16</f>
        <v>Tamoxifen-60,4µg/L</v>
      </c>
      <c r="K4" s="35" t="str">
        <f>'Page de garde'!A17</f>
        <v>Tamoxifen-121µg/L</v>
      </c>
      <c r="L4" s="35" t="str">
        <f>'Page de garde'!A18</f>
        <v>Tamoxifen-242µg/L</v>
      </c>
      <c r="M4" s="35" t="str">
        <f>'Page de garde'!A19</f>
        <v>Tamoxifen-483µg/L</v>
      </c>
      <c r="N4" s="3"/>
      <c r="O4" s="36" t="str">
        <f>'Page de garde'!A36</f>
        <v>Testo -30µg/L</v>
      </c>
      <c r="P4" s="36" t="str">
        <f>'Page de garde'!A37</f>
        <v>Testo 30µg/L + EE2 -64ng/L</v>
      </c>
      <c r="Q4" s="36" t="str">
        <f>'Page de garde'!A38</f>
        <v>Testo 30µg/L + FAD-10µg/L</v>
      </c>
      <c r="R4" s="36" t="str">
        <f>'Page de garde'!A39</f>
        <v>Tamoxifen-30.2µg/L + Testostérone</v>
      </c>
      <c r="S4" s="36" t="str">
        <f>'Page de garde'!A40</f>
        <v>Tamoxifen-60.4µg/L + Testostérone</v>
      </c>
      <c r="T4" s="36" t="str">
        <f>'Page de garde'!A41</f>
        <v>Tamoxifen-121µg/L + Testostérone</v>
      </c>
      <c r="U4" s="36" t="str">
        <f>'Page de garde'!A42</f>
        <v>Tamoxifen-242µg/L + Testostérone</v>
      </c>
      <c r="V4" s="36" t="str">
        <f>'Page de garde'!A43</f>
        <v>Tamoxifen-483µg/L + Testostérone</v>
      </c>
    </row>
    <row r="5" spans="1:22" x14ac:dyDescent="0.3">
      <c r="A5" s="225" t="s">
        <v>33</v>
      </c>
      <c r="B5" s="195">
        <v>706807.66666666663</v>
      </c>
      <c r="C5" s="195">
        <v>478951</v>
      </c>
      <c r="D5" s="195">
        <v>248300</v>
      </c>
      <c r="E5" s="195">
        <v>617440</v>
      </c>
      <c r="F5" s="195">
        <v>3003642.6666666665</v>
      </c>
      <c r="G5" s="195">
        <v>2433218.6666666665</v>
      </c>
      <c r="H5" s="195">
        <v>5414215</v>
      </c>
      <c r="I5" s="195">
        <v>474257</v>
      </c>
      <c r="J5" s="195">
        <v>586920</v>
      </c>
      <c r="K5" s="195">
        <v>132252.66666666666</v>
      </c>
      <c r="L5" s="195">
        <v>140839.66666666666</v>
      </c>
      <c r="M5" s="195">
        <v>4296400</v>
      </c>
      <c r="N5" s="3"/>
      <c r="O5" s="195">
        <v>3326721</v>
      </c>
      <c r="P5" s="195">
        <v>5114727.666666667</v>
      </c>
      <c r="Q5" s="195">
        <v>546133</v>
      </c>
      <c r="R5" s="195">
        <v>3975192.3333333335</v>
      </c>
      <c r="S5" s="195">
        <v>2815736.3333333335</v>
      </c>
      <c r="T5" s="195">
        <v>1950374.6666666667</v>
      </c>
      <c r="U5" s="195">
        <v>2698892</v>
      </c>
      <c r="V5" s="195">
        <v>801734</v>
      </c>
    </row>
    <row r="6" spans="1:22" x14ac:dyDescent="0.3">
      <c r="A6" s="225"/>
      <c r="B6" s="195">
        <v>773456.33333333337</v>
      </c>
      <c r="C6" s="195">
        <v>705927.66666666663</v>
      </c>
      <c r="D6" s="195">
        <v>99850.666666666672</v>
      </c>
      <c r="E6" s="195"/>
      <c r="F6" s="195">
        <v>2081322.3333333333</v>
      </c>
      <c r="G6" s="195">
        <v>2959200.3333333335</v>
      </c>
      <c r="H6" s="195">
        <v>3669915.6666666665</v>
      </c>
      <c r="I6" s="195">
        <v>312544.66666666669</v>
      </c>
      <c r="J6" s="195">
        <v>117688</v>
      </c>
      <c r="K6" s="195">
        <v>309242.66666666669</v>
      </c>
      <c r="L6" s="195">
        <v>413167</v>
      </c>
      <c r="M6" s="195">
        <v>454184.33333333331</v>
      </c>
      <c r="N6" s="3"/>
      <c r="O6" s="195">
        <v>3910959</v>
      </c>
      <c r="P6" s="195">
        <v>5158304.333333333</v>
      </c>
      <c r="Q6" s="195">
        <v>470118.66666666669</v>
      </c>
      <c r="R6" s="195">
        <v>962076.33333333337</v>
      </c>
      <c r="S6" s="195">
        <v>2333440</v>
      </c>
      <c r="T6" s="195">
        <v>1850646.3333333333</v>
      </c>
      <c r="U6" s="195">
        <v>3087018.6666666665</v>
      </c>
      <c r="V6" s="195">
        <v>2178837</v>
      </c>
    </row>
    <row r="7" spans="1:22" x14ac:dyDescent="0.3">
      <c r="A7" s="225"/>
      <c r="B7" s="195">
        <v>653619.33333333337</v>
      </c>
      <c r="C7" s="195">
        <v>604216.33333333337</v>
      </c>
      <c r="D7" s="195">
        <v>46144</v>
      </c>
      <c r="E7" s="195">
        <v>2341112</v>
      </c>
      <c r="F7" s="195">
        <v>2991666.6666666665</v>
      </c>
      <c r="G7" s="195">
        <v>5824245.666666667</v>
      </c>
      <c r="H7" s="195">
        <v>4435426</v>
      </c>
      <c r="I7" s="195">
        <v>674269</v>
      </c>
      <c r="J7" s="195">
        <v>119159</v>
      </c>
      <c r="K7" s="195">
        <v>210646.33333333334</v>
      </c>
      <c r="L7" s="195">
        <v>1253128</v>
      </c>
      <c r="M7" s="195">
        <v>213941.33333333334</v>
      </c>
      <c r="N7" s="3"/>
      <c r="O7" s="195">
        <v>3304002.3333333335</v>
      </c>
      <c r="P7" s="195">
        <v>4405223.666666667</v>
      </c>
      <c r="Q7" s="195">
        <v>37600</v>
      </c>
      <c r="R7" s="195">
        <v>1881065.3333333333</v>
      </c>
      <c r="S7" s="195">
        <v>1125064.6666666667</v>
      </c>
      <c r="T7" s="195">
        <v>759325</v>
      </c>
      <c r="U7" s="195">
        <v>2628335</v>
      </c>
      <c r="V7" s="195">
        <v>2479405.6666666665</v>
      </c>
    </row>
    <row r="8" spans="1:22" x14ac:dyDescent="0.3">
      <c r="A8" s="225"/>
      <c r="B8" s="195">
        <v>248296.66666666666</v>
      </c>
      <c r="C8" s="195">
        <v>124040.33333333333</v>
      </c>
      <c r="D8" s="195">
        <v>91963.333333333328</v>
      </c>
      <c r="E8" s="195">
        <v>1262969.6666666667</v>
      </c>
      <c r="F8" s="195">
        <v>2524691.6666666665</v>
      </c>
      <c r="G8" s="195">
        <v>3313519.6666666665</v>
      </c>
      <c r="H8" s="195">
        <v>5030752.666666667</v>
      </c>
      <c r="I8" s="195">
        <v>147789.66666666666</v>
      </c>
      <c r="J8" s="195">
        <v>107356.66666666667</v>
      </c>
      <c r="K8" s="195">
        <v>1024254.6666666666</v>
      </c>
      <c r="L8" s="195"/>
      <c r="M8" s="195">
        <v>1192283</v>
      </c>
      <c r="N8" s="3"/>
      <c r="O8" s="195">
        <v>1658198.3333333333</v>
      </c>
      <c r="P8" s="195">
        <v>3487352</v>
      </c>
      <c r="Q8" s="195">
        <v>484178</v>
      </c>
      <c r="R8" s="195">
        <v>1394169.3333333333</v>
      </c>
      <c r="S8" s="195">
        <v>2583777.6666666665</v>
      </c>
      <c r="T8" s="195">
        <v>731458</v>
      </c>
      <c r="U8" s="195">
        <v>2246971.3333333335</v>
      </c>
      <c r="V8" s="195">
        <v>636340.5</v>
      </c>
    </row>
    <row r="9" spans="1:22" x14ac:dyDescent="0.3">
      <c r="A9" s="225"/>
      <c r="B9" s="195">
        <v>1041198.3333333334</v>
      </c>
      <c r="C9" s="195">
        <v>804841.33333333337</v>
      </c>
      <c r="D9" s="195">
        <v>245752</v>
      </c>
      <c r="E9" s="195">
        <v>802007.66666666663</v>
      </c>
      <c r="F9" s="195">
        <v>2332698</v>
      </c>
      <c r="G9" s="195">
        <v>3058950.3333333335</v>
      </c>
      <c r="H9" s="195">
        <v>4864750.666666667</v>
      </c>
      <c r="I9" s="195">
        <v>609134</v>
      </c>
      <c r="J9" s="195">
        <v>204979</v>
      </c>
      <c r="K9" s="195">
        <v>110561</v>
      </c>
      <c r="L9" s="195">
        <v>892175.66666666663</v>
      </c>
      <c r="M9" s="195">
        <v>1896603</v>
      </c>
      <c r="N9" s="3"/>
      <c r="O9" s="195">
        <v>3041931</v>
      </c>
      <c r="P9" s="195">
        <v>939537.66666666663</v>
      </c>
      <c r="Q9" s="195">
        <v>511770.66666666669</v>
      </c>
      <c r="R9" s="195">
        <v>1108683.6666666667</v>
      </c>
      <c r="S9" s="195">
        <v>1780421.3333333333</v>
      </c>
      <c r="T9" s="195">
        <v>3947924.6666666665</v>
      </c>
      <c r="U9" s="195">
        <v>3611586.6666666665</v>
      </c>
      <c r="V9" s="195">
        <v>1749685.3333333333</v>
      </c>
    </row>
    <row r="10" spans="1:22" x14ac:dyDescent="0.3">
      <c r="A10" s="225"/>
      <c r="B10" s="195">
        <v>586981</v>
      </c>
      <c r="C10" s="195">
        <v>1119484.3333333333</v>
      </c>
      <c r="D10" s="195"/>
      <c r="E10" s="195">
        <v>985357.33333333337</v>
      </c>
      <c r="F10" s="195">
        <v>3027846.3333333335</v>
      </c>
      <c r="G10" s="195">
        <v>2790783</v>
      </c>
      <c r="H10" s="195">
        <v>6452576</v>
      </c>
      <c r="I10" s="195">
        <v>286898.66666666669</v>
      </c>
      <c r="J10" s="195">
        <v>201965.66666666666</v>
      </c>
      <c r="K10" s="195">
        <v>227748.33333333334</v>
      </c>
      <c r="L10" s="195">
        <v>361890</v>
      </c>
      <c r="M10" s="195">
        <v>1201958.6666666667</v>
      </c>
      <c r="N10" s="3"/>
      <c r="O10" s="195">
        <v>1446766</v>
      </c>
      <c r="P10" s="195">
        <v>6012570</v>
      </c>
      <c r="Q10" s="195">
        <v>130471.66666666667</v>
      </c>
      <c r="R10" s="195">
        <v>3398921.6666666665</v>
      </c>
      <c r="S10" s="195">
        <v>1434148.3333333333</v>
      </c>
      <c r="T10" s="195">
        <v>914930.33333333337</v>
      </c>
      <c r="U10" s="195">
        <v>2633454</v>
      </c>
      <c r="V10" s="195">
        <v>3368892.3333333335</v>
      </c>
    </row>
    <row r="11" spans="1:22" x14ac:dyDescent="0.3">
      <c r="A11" s="225"/>
      <c r="B11" s="195">
        <v>348760.33333333331</v>
      </c>
      <c r="C11" s="195">
        <v>292018</v>
      </c>
      <c r="D11" s="195">
        <v>420564.66666666669</v>
      </c>
      <c r="E11" s="195">
        <v>513104.66666666669</v>
      </c>
      <c r="F11" s="195">
        <v>3853639.6666666665</v>
      </c>
      <c r="G11" s="195">
        <v>4463530.666666667</v>
      </c>
      <c r="H11" s="195">
        <v>5317731.333333333</v>
      </c>
      <c r="I11" s="195">
        <v>643424.33333333337</v>
      </c>
      <c r="J11" s="195">
        <v>767443</v>
      </c>
      <c r="K11" s="195">
        <v>41810.5</v>
      </c>
      <c r="L11" s="195">
        <v>755272.66666666663</v>
      </c>
      <c r="M11" s="195">
        <v>1326554</v>
      </c>
      <c r="N11" s="3"/>
      <c r="O11" s="195">
        <v>1061963</v>
      </c>
      <c r="P11" s="195">
        <v>3124229</v>
      </c>
      <c r="Q11" s="195">
        <v>108308.33333333333</v>
      </c>
      <c r="R11" s="195">
        <v>1230431</v>
      </c>
      <c r="S11" s="195">
        <v>1682604</v>
      </c>
      <c r="T11" s="195">
        <v>2064306.3333333333</v>
      </c>
      <c r="U11" s="195">
        <v>2970476.6666666665</v>
      </c>
      <c r="V11" s="195">
        <v>3037176</v>
      </c>
    </row>
    <row r="12" spans="1:22" x14ac:dyDescent="0.3">
      <c r="A12" s="225"/>
      <c r="B12" s="195">
        <v>182686</v>
      </c>
      <c r="C12" s="195"/>
      <c r="D12" s="195">
        <v>105222.33333333333</v>
      </c>
      <c r="E12" s="195">
        <v>228822.66666666666</v>
      </c>
      <c r="F12" s="195">
        <v>1430615.6666666667</v>
      </c>
      <c r="G12" s="195">
        <v>3802103</v>
      </c>
      <c r="H12" s="195">
        <v>5763177.333333333</v>
      </c>
      <c r="I12" s="195">
        <v>447061</v>
      </c>
      <c r="J12" s="195">
        <v>291030.33333333331</v>
      </c>
      <c r="K12" s="195">
        <v>1705063</v>
      </c>
      <c r="L12" s="195">
        <v>640533</v>
      </c>
      <c r="M12" s="195">
        <v>1178407.5</v>
      </c>
      <c r="N12" s="3"/>
      <c r="O12" s="195">
        <v>3106752</v>
      </c>
      <c r="P12" s="195">
        <v>6810864.666666667</v>
      </c>
      <c r="Q12" s="195">
        <v>422453.66666666669</v>
      </c>
      <c r="R12" s="195">
        <v>3138980.6666666665</v>
      </c>
      <c r="S12" s="195">
        <v>2681123</v>
      </c>
      <c r="T12" s="195">
        <v>317180.66666666669</v>
      </c>
      <c r="U12" s="195">
        <v>1974009</v>
      </c>
      <c r="V12" s="195">
        <v>1774992.3333333333</v>
      </c>
    </row>
    <row r="13" spans="1:22" ht="16.8" x14ac:dyDescent="0.3">
      <c r="A13" s="225"/>
      <c r="B13" s="14"/>
      <c r="C13" s="13"/>
      <c r="D13" s="32"/>
      <c r="E13" s="32"/>
      <c r="F13" s="32"/>
      <c r="G13" s="32"/>
      <c r="H13" s="32"/>
      <c r="I13" s="32"/>
      <c r="J13" s="32"/>
      <c r="K13" s="13"/>
      <c r="L13" s="13"/>
      <c r="M13" s="13"/>
      <c r="N13" s="3"/>
      <c r="O13" s="195">
        <v>4516170.666666667</v>
      </c>
      <c r="P13" s="13"/>
      <c r="Q13" s="13"/>
      <c r="R13" s="32"/>
      <c r="S13" s="32"/>
      <c r="T13" s="32"/>
      <c r="U13" s="32"/>
      <c r="V13" s="32"/>
    </row>
    <row r="14" spans="1:22" ht="16.8" x14ac:dyDescent="0.3">
      <c r="A14" s="225"/>
      <c r="B14" s="14"/>
      <c r="C14" s="32"/>
      <c r="D14" s="32"/>
      <c r="E14" s="32"/>
      <c r="F14" s="32"/>
      <c r="G14" s="32"/>
      <c r="H14" s="32"/>
      <c r="I14" s="32"/>
      <c r="J14" s="32"/>
      <c r="K14" s="13"/>
      <c r="L14" s="13"/>
      <c r="M14" s="13"/>
      <c r="N14" s="3"/>
      <c r="O14" s="195">
        <v>2827409.6666666665</v>
      </c>
      <c r="P14" s="13"/>
      <c r="Q14" s="13"/>
      <c r="R14" s="32"/>
      <c r="S14" s="32"/>
      <c r="T14" s="32"/>
      <c r="U14" s="32"/>
      <c r="V14" s="32"/>
    </row>
    <row r="15" spans="1:22" ht="16.8" x14ac:dyDescent="0.3">
      <c r="A15" s="225"/>
      <c r="B15" s="14"/>
      <c r="C15" s="32"/>
      <c r="D15" s="32"/>
      <c r="E15" s="32"/>
      <c r="F15" s="32"/>
      <c r="G15" s="32"/>
      <c r="H15" s="32"/>
      <c r="I15" s="32"/>
      <c r="J15" s="32"/>
      <c r="K15" s="13"/>
      <c r="L15" s="13"/>
      <c r="M15" s="13"/>
      <c r="N15" s="3"/>
      <c r="O15" s="195">
        <v>4175456.3333333335</v>
      </c>
      <c r="P15" s="13"/>
      <c r="Q15" s="13"/>
      <c r="R15" s="32"/>
      <c r="S15" s="32"/>
      <c r="T15" s="32"/>
      <c r="U15" s="32"/>
      <c r="V15" s="32"/>
    </row>
    <row r="16" spans="1:22" ht="16.8" x14ac:dyDescent="0.3">
      <c r="A16" s="225"/>
      <c r="B16" s="14"/>
      <c r="C16" s="32"/>
      <c r="D16" s="32"/>
      <c r="E16" s="32"/>
      <c r="F16" s="32"/>
      <c r="G16" s="32"/>
      <c r="H16" s="32"/>
      <c r="I16" s="32"/>
      <c r="J16" s="32"/>
      <c r="K16" s="13"/>
      <c r="L16" s="13"/>
      <c r="M16" s="13"/>
      <c r="N16" s="3"/>
      <c r="O16" s="195">
        <v>990022</v>
      </c>
      <c r="P16" s="13"/>
      <c r="Q16" s="13"/>
      <c r="R16" s="32"/>
      <c r="S16" s="32"/>
      <c r="T16" s="32"/>
      <c r="U16" s="32"/>
      <c r="V16" s="32"/>
    </row>
    <row r="17" spans="1:22" ht="16.8" x14ac:dyDescent="0.3">
      <c r="A17" s="225"/>
      <c r="B17" s="14"/>
      <c r="C17" s="32"/>
      <c r="D17" s="32"/>
      <c r="E17" s="32"/>
      <c r="F17" s="32"/>
      <c r="G17" s="32"/>
      <c r="H17" s="32"/>
      <c r="I17" s="32"/>
      <c r="J17" s="32"/>
      <c r="K17" s="13"/>
      <c r="L17" s="13"/>
      <c r="M17" s="13"/>
      <c r="N17" s="3"/>
      <c r="O17" s="195">
        <v>848187.33333333337</v>
      </c>
      <c r="P17" s="13"/>
      <c r="Q17" s="13"/>
      <c r="R17" s="32"/>
      <c r="S17" s="32"/>
      <c r="T17" s="32"/>
      <c r="U17" s="32"/>
      <c r="V17" s="32"/>
    </row>
    <row r="18" spans="1:22" ht="16.8" x14ac:dyDescent="0.3">
      <c r="A18" s="225"/>
      <c r="B18" s="14"/>
      <c r="C18" s="32"/>
      <c r="D18" s="32"/>
      <c r="E18" s="32"/>
      <c r="F18" s="32"/>
      <c r="G18" s="32"/>
      <c r="H18" s="32"/>
      <c r="I18" s="32"/>
      <c r="J18" s="32"/>
      <c r="K18" s="13"/>
      <c r="L18" s="13"/>
      <c r="M18" s="13"/>
      <c r="N18" s="3"/>
      <c r="O18" s="195">
        <v>1224468</v>
      </c>
      <c r="P18" s="13"/>
      <c r="Q18" s="13"/>
      <c r="R18" s="32"/>
      <c r="S18" s="32"/>
      <c r="T18" s="32"/>
      <c r="U18" s="32"/>
      <c r="V18" s="32"/>
    </row>
    <row r="19" spans="1:22" ht="16.8" x14ac:dyDescent="0.3">
      <c r="A19" s="225"/>
      <c r="B19" s="14"/>
      <c r="C19" s="32"/>
      <c r="D19" s="32"/>
      <c r="E19" s="32"/>
      <c r="F19" s="32"/>
      <c r="G19" s="32"/>
      <c r="H19" s="32"/>
      <c r="I19" s="32"/>
      <c r="J19" s="32"/>
      <c r="K19" s="13"/>
      <c r="L19" s="13"/>
      <c r="M19" s="13"/>
      <c r="N19" s="3"/>
      <c r="O19" s="195">
        <v>2772289.3333333335</v>
      </c>
      <c r="P19" s="13"/>
      <c r="Q19" s="13"/>
      <c r="R19" s="32"/>
      <c r="S19" s="32"/>
      <c r="T19" s="32"/>
      <c r="U19" s="32"/>
      <c r="V19" s="32"/>
    </row>
    <row r="20" spans="1:22" ht="16.8" x14ac:dyDescent="0.3">
      <c r="A20" s="225"/>
      <c r="B20" s="14"/>
      <c r="C20" s="32"/>
      <c r="D20" s="32"/>
      <c r="E20" s="32"/>
      <c r="F20" s="32"/>
      <c r="G20" s="32"/>
      <c r="H20" s="32"/>
      <c r="I20" s="32"/>
      <c r="J20" s="32"/>
      <c r="K20" s="13"/>
      <c r="L20" s="13"/>
      <c r="M20" s="13"/>
      <c r="N20" s="3"/>
      <c r="O20" s="195">
        <v>2335884.3333333335</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Tamoxifen-30,2µg/L</v>
      </c>
      <c r="J22" s="3" t="str">
        <f t="shared" si="0"/>
        <v>Tamoxifen-60,4µg/L</v>
      </c>
      <c r="K22" s="3" t="str">
        <f t="shared" si="0"/>
        <v>Tamoxifen-121µg/L</v>
      </c>
      <c r="L22" s="3" t="str">
        <f t="shared" si="0"/>
        <v>Tamoxifen-242µg/L</v>
      </c>
      <c r="M22" s="3" t="str">
        <f t="shared" si="0"/>
        <v>Tamoxifen-483µg/L</v>
      </c>
      <c r="N22" s="3" t="s">
        <v>41</v>
      </c>
      <c r="O22" s="3" t="str">
        <f t="shared" si="0"/>
        <v>Testo -30µg/L</v>
      </c>
      <c r="P22" s="3" t="str">
        <f t="shared" si="0"/>
        <v>Testo 30µg/L + EE2 -64ng/L</v>
      </c>
      <c r="Q22" s="3" t="str">
        <f t="shared" si="0"/>
        <v>Testo 30µg/L + FAD-10µg/L</v>
      </c>
      <c r="R22" s="3" t="str">
        <f t="shared" si="0"/>
        <v>Tamoxifen-30.2µg/L + Testostérone</v>
      </c>
      <c r="S22" s="3" t="str">
        <f t="shared" si="0"/>
        <v>Tamoxifen-60.4µg/L + Testostérone</v>
      </c>
      <c r="T22" s="3" t="str">
        <f t="shared" si="0"/>
        <v>Tamoxifen-121µg/L + Testostérone</v>
      </c>
      <c r="U22" s="3" t="str">
        <f t="shared" si="0"/>
        <v>Tamoxifen-242µg/L + Testostérone</v>
      </c>
      <c r="V22" s="3" t="str">
        <f t="shared" si="0"/>
        <v>Tamoxifen-483µg/L + Testostérone</v>
      </c>
    </row>
    <row r="23" spans="1:22" x14ac:dyDescent="0.3">
      <c r="A23" s="5" t="s">
        <v>0</v>
      </c>
      <c r="B23" s="5">
        <f t="shared" ref="B23:J23" si="1">AVERAGE(B5:B20)</f>
        <v>567725.70833333337</v>
      </c>
      <c r="C23" s="5">
        <f t="shared" si="1"/>
        <v>589925.57142857148</v>
      </c>
      <c r="D23" s="5">
        <f t="shared" si="1"/>
        <v>179685.28571428571</v>
      </c>
      <c r="E23" s="5">
        <f t="shared" si="1"/>
        <v>964402.00000000012</v>
      </c>
      <c r="F23" s="5">
        <f t="shared" si="1"/>
        <v>2655765.375</v>
      </c>
      <c r="G23" s="5">
        <f t="shared" si="1"/>
        <v>3580693.916666667</v>
      </c>
      <c r="H23" s="5">
        <f t="shared" si="1"/>
        <v>5118568.083333334</v>
      </c>
      <c r="I23" s="5">
        <f t="shared" si="1"/>
        <v>449422.29166666669</v>
      </c>
      <c r="J23" s="5">
        <f t="shared" si="1"/>
        <v>299567.70833333331</v>
      </c>
      <c r="K23" s="5"/>
      <c r="L23" s="5">
        <f>AVERAGE(L5:L20)</f>
        <v>636715.14285714284</v>
      </c>
      <c r="M23" s="5"/>
      <c r="N23" s="5" t="s">
        <v>0</v>
      </c>
      <c r="O23" s="5">
        <f>AVERAGE(O5:O20)</f>
        <v>2534198.770833334</v>
      </c>
      <c r="P23" s="5">
        <f>AVERAGE(P5:P20)</f>
        <v>4381601.125</v>
      </c>
      <c r="Q23" s="5">
        <f>AVERAGE(Q5:Q20)</f>
        <v>338879.25</v>
      </c>
      <c r="R23" s="5">
        <f>AVERAGE(R5:R20)</f>
        <v>2136190.0416666665</v>
      </c>
      <c r="S23" s="5">
        <f>AVERAGE(S5:S20)</f>
        <v>2054539.416666667</v>
      </c>
      <c r="T23" s="5">
        <f t="shared" ref="T23:V23" si="2">AVERAGE(T5:T20)</f>
        <v>1567018.25</v>
      </c>
      <c r="U23" s="5">
        <f t="shared" si="2"/>
        <v>2731342.9166666665</v>
      </c>
      <c r="V23" s="5">
        <f t="shared" si="2"/>
        <v>2003382.8958333333</v>
      </c>
    </row>
    <row r="24" spans="1:22" x14ac:dyDescent="0.3">
      <c r="A24" s="3" t="s">
        <v>1</v>
      </c>
      <c r="B24" s="3">
        <f t="shared" ref="B24:J24" si="3">STDEV(B5:B20)</f>
        <v>290769.91738592397</v>
      </c>
      <c r="C24" s="3">
        <f t="shared" si="3"/>
        <v>331259.04030278581</v>
      </c>
      <c r="D24" s="3">
        <f t="shared" si="3"/>
        <v>131998.97696354799</v>
      </c>
      <c r="E24" s="3">
        <f t="shared" si="3"/>
        <v>692388.73827226507</v>
      </c>
      <c r="F24" s="3">
        <f t="shared" si="3"/>
        <v>732873.48428195249</v>
      </c>
      <c r="G24" s="3">
        <f t="shared" si="3"/>
        <v>1104048.3032024808</v>
      </c>
      <c r="H24" s="3">
        <f t="shared" si="3"/>
        <v>841731.46932318818</v>
      </c>
      <c r="I24" s="3">
        <f t="shared" si="3"/>
        <v>189154.00226400196</v>
      </c>
      <c r="J24" s="3">
        <f t="shared" si="3"/>
        <v>245705.19850780515</v>
      </c>
      <c r="K24" s="3"/>
      <c r="L24" s="3">
        <f>STDEV(L5:L20)</f>
        <v>372086.5650556609</v>
      </c>
      <c r="M24" s="3"/>
      <c r="N24" s="3" t="s">
        <v>1</v>
      </c>
      <c r="O24" s="3">
        <f>STDEV(O5:O20)</f>
        <v>1199043.2413475246</v>
      </c>
      <c r="P24" s="3">
        <f>STDEV(P5:P20)</f>
        <v>1848982.2783659645</v>
      </c>
      <c r="Q24" s="3">
        <f>STDEV(Q5:Q20)</f>
        <v>208919.53614788171</v>
      </c>
      <c r="R24" s="3">
        <f>STDEV(R5:R20)</f>
        <v>1186375.3178628208</v>
      </c>
      <c r="S24" s="3">
        <f>STDEV(S5:S20)</f>
        <v>631573.0337182848</v>
      </c>
      <c r="T24" s="3">
        <f t="shared" ref="T24:V24" si="4">STDEV(T5:T20)</f>
        <v>1163815.1416695681</v>
      </c>
      <c r="U24" s="3">
        <f t="shared" si="4"/>
        <v>505390.3263688361</v>
      </c>
      <c r="V24" s="3">
        <f t="shared" si="4"/>
        <v>972479.57821125665</v>
      </c>
    </row>
    <row r="25" spans="1:22" ht="15" thickBot="1" x14ac:dyDescent="0.35"/>
    <row r="26" spans="1:22" ht="15" thickBot="1" x14ac:dyDescent="0.35">
      <c r="B26" s="223" t="s">
        <v>6</v>
      </c>
      <c r="C26" s="224"/>
      <c r="D26" s="224"/>
      <c r="E26" s="224"/>
      <c r="F26" s="224"/>
      <c r="G26" s="224"/>
      <c r="H26" s="224"/>
      <c r="I26" s="224"/>
      <c r="J26" s="224"/>
      <c r="K26" s="224"/>
      <c r="L26" s="224"/>
      <c r="M26" s="224"/>
      <c r="O26" s="223" t="s">
        <v>3</v>
      </c>
      <c r="P26" s="224"/>
      <c r="Q26" s="224"/>
      <c r="R26" s="224"/>
      <c r="S26" s="224"/>
      <c r="T26" s="224"/>
      <c r="U26" s="224"/>
      <c r="V26" s="224"/>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Tamoxifen-30,2µg/L</v>
      </c>
      <c r="J27" s="35" t="str">
        <f t="shared" si="5"/>
        <v>Tamoxifen-60,4µg/L</v>
      </c>
      <c r="K27" s="35" t="str">
        <f t="shared" si="5"/>
        <v>Tamoxifen-121µg/L</v>
      </c>
      <c r="L27" s="35" t="str">
        <f t="shared" si="5"/>
        <v>Tamoxifen-242µg/L</v>
      </c>
      <c r="M27" s="35" t="str">
        <f t="shared" si="5"/>
        <v>Tamoxifen-483µg/L</v>
      </c>
      <c r="N27" s="3"/>
      <c r="O27" s="36" t="str">
        <f>O4</f>
        <v>Testo -30µg/L</v>
      </c>
      <c r="P27" s="36" t="str">
        <f t="shared" ref="P27:V27" si="6">P4</f>
        <v>Testo 30µg/L + EE2 -64ng/L</v>
      </c>
      <c r="Q27" s="36" t="str">
        <f t="shared" si="6"/>
        <v>Testo 30µg/L + FAD-10µg/L</v>
      </c>
      <c r="R27" s="36" t="str">
        <f t="shared" si="6"/>
        <v>Tamoxifen-30.2µg/L + Testostérone</v>
      </c>
      <c r="S27" s="36" t="str">
        <f t="shared" si="6"/>
        <v>Tamoxifen-60.4µg/L + Testostérone</v>
      </c>
      <c r="T27" s="36" t="str">
        <f t="shared" si="6"/>
        <v>Tamoxifen-121µg/L + Testostérone</v>
      </c>
      <c r="U27" s="36" t="str">
        <f t="shared" si="6"/>
        <v>Tamoxifen-242µg/L + Testostérone</v>
      </c>
      <c r="V27" s="36" t="str">
        <f t="shared" si="6"/>
        <v>Tamoxifen-483µg/L + Testostérone</v>
      </c>
    </row>
    <row r="28" spans="1:22" x14ac:dyDescent="0.3">
      <c r="A28" s="226" t="s">
        <v>34</v>
      </c>
      <c r="B28" s="11">
        <f t="shared" ref="B28:M28" si="7">IF(B5="","",(B5/$O$23))</f>
        <v>0.27890774583330863</v>
      </c>
      <c r="C28" s="11">
        <f t="shared" si="7"/>
        <v>0.18899504076489787</v>
      </c>
      <c r="D28" s="11">
        <f t="shared" si="7"/>
        <v>9.7979686067936264E-2</v>
      </c>
      <c r="E28" s="11">
        <f t="shared" si="7"/>
        <v>0.24364308242362692</v>
      </c>
      <c r="F28" s="11">
        <f t="shared" si="7"/>
        <v>1.1852435180840069</v>
      </c>
      <c r="G28" s="11">
        <f t="shared" si="7"/>
        <v>0.96015304508514865</v>
      </c>
      <c r="H28" s="11">
        <f t="shared" si="7"/>
        <v>2.1364602738796274</v>
      </c>
      <c r="I28" s="11">
        <f t="shared" si="7"/>
        <v>0.18714277879791077</v>
      </c>
      <c r="J28" s="11">
        <f t="shared" si="7"/>
        <v>0.23159982821986769</v>
      </c>
      <c r="K28" s="11">
        <f t="shared" si="7"/>
        <v>5.2187171814931203E-2</v>
      </c>
      <c r="L28" s="11">
        <f t="shared" si="7"/>
        <v>5.5575619516362404E-2</v>
      </c>
      <c r="M28" s="11">
        <f t="shared" si="7"/>
        <v>1.6953681966261833</v>
      </c>
      <c r="N28" s="6"/>
      <c r="O28" s="11">
        <f t="shared" ref="O28:V39" si="8">IF(O5="","",(O5/$O$23))</f>
        <v>1.3127308868933185</v>
      </c>
      <c r="P28" s="11">
        <f t="shared" si="8"/>
        <v>2.0182819617518652</v>
      </c>
      <c r="Q28" s="11">
        <f t="shared" si="8"/>
        <v>0.21550519489061712</v>
      </c>
      <c r="R28" s="11">
        <f t="shared" si="8"/>
        <v>1.5686189966962023</v>
      </c>
      <c r="S28" s="11">
        <f t="shared" si="8"/>
        <v>1.1110952959729439</v>
      </c>
      <c r="T28" s="11">
        <f t="shared" si="8"/>
        <v>0.76962181858580681</v>
      </c>
      <c r="U28" s="11">
        <f t="shared" si="8"/>
        <v>1.0649882838955482</v>
      </c>
      <c r="V28" s="11">
        <f t="shared" si="8"/>
        <v>0.31636587043894809</v>
      </c>
    </row>
    <row r="29" spans="1:22" x14ac:dyDescent="0.3">
      <c r="A29" s="226"/>
      <c r="B29" s="11">
        <f t="shared" ref="B29:M29" si="9">IF(B6="","",(B6/$O$23))</f>
        <v>0.30520744553869139</v>
      </c>
      <c r="C29" s="11">
        <f t="shared" si="9"/>
        <v>0.2785604960397533</v>
      </c>
      <c r="D29" s="11">
        <f t="shared" si="9"/>
        <v>3.9401276575409372E-2</v>
      </c>
      <c r="E29" s="11" t="str">
        <f t="shared" si="9"/>
        <v/>
      </c>
      <c r="F29" s="11">
        <f t="shared" si="9"/>
        <v>0.82129403474097695</v>
      </c>
      <c r="G29" s="11">
        <f t="shared" si="9"/>
        <v>1.1677064827713748</v>
      </c>
      <c r="H29" s="11">
        <f t="shared" si="9"/>
        <v>1.4481562018356866</v>
      </c>
      <c r="I29" s="11">
        <f t="shared" si="9"/>
        <v>0.12333076247365196</v>
      </c>
      <c r="J29" s="11">
        <f t="shared" si="9"/>
        <v>4.6439924663565377E-2</v>
      </c>
      <c r="K29" s="11">
        <f t="shared" si="9"/>
        <v>0.12202778654374329</v>
      </c>
      <c r="L29" s="11">
        <f t="shared" si="9"/>
        <v>0.16303654028848577</v>
      </c>
      <c r="M29" s="11">
        <f t="shared" si="9"/>
        <v>0.17922206362051918</v>
      </c>
      <c r="N29" s="6"/>
      <c r="O29" s="11">
        <f t="shared" si="8"/>
        <v>1.5432723924469187</v>
      </c>
      <c r="P29" s="11">
        <f t="shared" si="8"/>
        <v>2.0354774032334886</v>
      </c>
      <c r="Q29" s="11">
        <f t="shared" si="8"/>
        <v>0.18550978403011184</v>
      </c>
      <c r="R29" s="11">
        <f t="shared" si="8"/>
        <v>0.37963728197096741</v>
      </c>
      <c r="S29" s="11">
        <f t="shared" si="8"/>
        <v>0.92078017985648486</v>
      </c>
      <c r="T29" s="11">
        <f t="shared" si="8"/>
        <v>0.73026881499306207</v>
      </c>
      <c r="U29" s="11">
        <f t="shared" si="8"/>
        <v>1.2181438576152201</v>
      </c>
      <c r="V29" s="11">
        <f t="shared" si="8"/>
        <v>0.85977352095531223</v>
      </c>
    </row>
    <row r="30" spans="1:22" x14ac:dyDescent="0.3">
      <c r="A30" s="226"/>
      <c r="B30" s="11">
        <f t="shared" ref="B30:M30" si="10">IF(B7="","",(B7/$O$23))</f>
        <v>0.2579195210951824</v>
      </c>
      <c r="C30" s="11">
        <f t="shared" si="10"/>
        <v>0.23842499660539482</v>
      </c>
      <c r="D30" s="11">
        <f t="shared" si="10"/>
        <v>1.820851644751853E-2</v>
      </c>
      <c r="E30" s="11">
        <f t="shared" si="10"/>
        <v>0.92380756669302611</v>
      </c>
      <c r="F30" s="11">
        <f t="shared" si="10"/>
        <v>1.1805177640753495</v>
      </c>
      <c r="G30" s="11">
        <f t="shared" si="10"/>
        <v>2.2982592106425219</v>
      </c>
      <c r="H30" s="11">
        <f t="shared" si="10"/>
        <v>1.7502281395793888</v>
      </c>
      <c r="I30" s="11">
        <f t="shared" si="10"/>
        <v>0.26606792164857557</v>
      </c>
      <c r="J30" s="11">
        <f t="shared" si="10"/>
        <v>4.7020384261656126E-2</v>
      </c>
      <c r="K30" s="11">
        <f t="shared" si="10"/>
        <v>8.312147245816294E-2</v>
      </c>
      <c r="L30" s="11">
        <f t="shared" si="10"/>
        <v>0.49448686283906895</v>
      </c>
      <c r="M30" s="11">
        <f t="shared" si="10"/>
        <v>8.4421686173804703E-2</v>
      </c>
      <c r="N30" s="6"/>
      <c r="O30" s="11">
        <f t="shared" si="8"/>
        <v>1.3037660547230323</v>
      </c>
      <c r="P30" s="11">
        <f t="shared" si="8"/>
        <v>1.7383102372897428</v>
      </c>
      <c r="Q30" s="11">
        <f t="shared" si="8"/>
        <v>1.4837036633726956E-2</v>
      </c>
      <c r="R30" s="11">
        <f t="shared" si="8"/>
        <v>0.74227221439097002</v>
      </c>
      <c r="S30" s="11">
        <f t="shared" si="8"/>
        <v>0.44395281049588142</v>
      </c>
      <c r="T30" s="11">
        <f t="shared" si="8"/>
        <v>0.29963119260384896</v>
      </c>
      <c r="U30" s="11">
        <f t="shared" si="8"/>
        <v>1.0371463478911367</v>
      </c>
      <c r="V30" s="11">
        <f t="shared" si="8"/>
        <v>0.9783785294203069</v>
      </c>
    </row>
    <row r="31" spans="1:22" x14ac:dyDescent="0.3">
      <c r="A31" s="226"/>
      <c r="B31" s="11">
        <f t="shared" ref="B31:M31" si="11">IF(B8="","",(B8/$O$23))</f>
        <v>9.7978370727809155E-2</v>
      </c>
      <c r="C31" s="11">
        <f t="shared" si="11"/>
        <v>4.8946568343786426E-2</v>
      </c>
      <c r="D31" s="11">
        <f t="shared" si="11"/>
        <v>3.6288918766657179E-2</v>
      </c>
      <c r="E31" s="11">
        <f t="shared" si="11"/>
        <v>0.49837040456434195</v>
      </c>
      <c r="F31" s="11">
        <f t="shared" si="11"/>
        <v>0.99624847731910893</v>
      </c>
      <c r="G31" s="11">
        <f t="shared" si="11"/>
        <v>1.3075216138539378</v>
      </c>
      <c r="H31" s="11">
        <f t="shared" si="11"/>
        <v>1.9851452555998115</v>
      </c>
      <c r="I31" s="11">
        <f t="shared" si="11"/>
        <v>5.8318103681373107E-2</v>
      </c>
      <c r="J31" s="11">
        <f t="shared" si="11"/>
        <v>4.2363159473620932E-2</v>
      </c>
      <c r="K31" s="11">
        <f t="shared" si="11"/>
        <v>0.40417297903189164</v>
      </c>
      <c r="L31" s="11" t="str">
        <f t="shared" si="11"/>
        <v/>
      </c>
      <c r="M31" s="11">
        <f t="shared" si="11"/>
        <v>0.47047730182898606</v>
      </c>
      <c r="N31" s="6"/>
      <c r="O31" s="11">
        <f t="shared" si="8"/>
        <v>0.65432844195882045</v>
      </c>
      <c r="P31" s="11">
        <f t="shared" si="8"/>
        <v>1.376116206880345</v>
      </c>
      <c r="Q31" s="11">
        <f t="shared" si="8"/>
        <v>0.1910576256182088</v>
      </c>
      <c r="R31" s="11">
        <f t="shared" si="8"/>
        <v>0.55014206043312108</v>
      </c>
      <c r="S31" s="11">
        <f t="shared" si="8"/>
        <v>1.0195639333441193</v>
      </c>
      <c r="T31" s="11">
        <f t="shared" si="8"/>
        <v>0.2886348176072514</v>
      </c>
      <c r="U31" s="11">
        <f t="shared" si="8"/>
        <v>0.88665946775534499</v>
      </c>
      <c r="V31" s="11">
        <f t="shared" si="8"/>
        <v>0.25110125824532259</v>
      </c>
    </row>
    <row r="32" spans="1:22" x14ac:dyDescent="0.3">
      <c r="A32" s="226"/>
      <c r="B32" s="11">
        <f t="shared" ref="B32:M32" si="12">IF(B9="","",(B9/$O$23))</f>
        <v>0.41085898443197122</v>
      </c>
      <c r="C32" s="11">
        <f t="shared" si="12"/>
        <v>0.31759203050543394</v>
      </c>
      <c r="D32" s="11">
        <f t="shared" si="12"/>
        <v>9.6974240074778381E-2</v>
      </c>
      <c r="E32" s="11">
        <f t="shared" si="12"/>
        <v>0.31647385986338328</v>
      </c>
      <c r="F32" s="11">
        <f t="shared" si="12"/>
        <v>0.92048738514419159</v>
      </c>
      <c r="G32" s="11">
        <f t="shared" si="12"/>
        <v>1.2070680360749455</v>
      </c>
      <c r="H32" s="11">
        <f t="shared" si="12"/>
        <v>1.9196405280659834</v>
      </c>
      <c r="I32" s="11">
        <f t="shared" si="12"/>
        <v>0.24036551789491054</v>
      </c>
      <c r="J32" s="11">
        <f t="shared" si="12"/>
        <v>8.0885131174061639E-2</v>
      </c>
      <c r="K32" s="11">
        <f t="shared" si="12"/>
        <v>4.3627595937805477E-2</v>
      </c>
      <c r="L32" s="11">
        <f t="shared" si="12"/>
        <v>0.35205433643758249</v>
      </c>
      <c r="M32" s="11">
        <f t="shared" si="12"/>
        <v>0.74840340932543736</v>
      </c>
      <c r="N32" s="6"/>
      <c r="O32" s="11">
        <f t="shared" si="8"/>
        <v>1.2003521724539807</v>
      </c>
      <c r="P32" s="11">
        <f t="shared" si="8"/>
        <v>0.37074347816754466</v>
      </c>
      <c r="Q32" s="11">
        <f t="shared" si="8"/>
        <v>0.20194574812234575</v>
      </c>
      <c r="R32" s="11">
        <f t="shared" si="8"/>
        <v>0.43748883450925691</v>
      </c>
      <c r="S32" s="11">
        <f t="shared" si="8"/>
        <v>0.70255788686531007</v>
      </c>
      <c r="T32" s="11">
        <f t="shared" si="8"/>
        <v>1.5578591198544578</v>
      </c>
      <c r="U32" s="11">
        <f t="shared" si="8"/>
        <v>1.4251394595535414</v>
      </c>
      <c r="V32" s="11">
        <f t="shared" si="8"/>
        <v>0.69042939862131458</v>
      </c>
    </row>
    <row r="33" spans="1:22" x14ac:dyDescent="0.3">
      <c r="A33" s="226"/>
      <c r="B33" s="11">
        <f t="shared" ref="B33:M33" si="13">IF(B10="","",(B10/$O$23))</f>
        <v>0.23162389894419369</v>
      </c>
      <c r="C33" s="11">
        <f t="shared" si="13"/>
        <v>0.44175079958909746</v>
      </c>
      <c r="D33" s="11" t="str">
        <f t="shared" si="13"/>
        <v/>
      </c>
      <c r="E33" s="11">
        <f t="shared" si="13"/>
        <v>0.38882401202069605</v>
      </c>
      <c r="F33" s="11">
        <f t="shared" si="13"/>
        <v>1.1947943342809177</v>
      </c>
      <c r="G33" s="11">
        <f t="shared" si="13"/>
        <v>1.1012486597814473</v>
      </c>
      <c r="H33" s="11">
        <f t="shared" si="13"/>
        <v>2.5461996407954084</v>
      </c>
      <c r="I33" s="11">
        <f t="shared" si="13"/>
        <v>0.11321079860374342</v>
      </c>
      <c r="J33" s="11">
        <f t="shared" si="13"/>
        <v>7.9696063699160116E-2</v>
      </c>
      <c r="K33" s="11">
        <f t="shared" si="13"/>
        <v>8.9869956514279925E-2</v>
      </c>
      <c r="L33" s="11">
        <f t="shared" si="13"/>
        <v>0.14280253157924064</v>
      </c>
      <c r="M33" s="11">
        <f t="shared" si="13"/>
        <v>0.47429533961592929</v>
      </c>
      <c r="N33" s="6"/>
      <c r="O33" s="11">
        <f t="shared" si="8"/>
        <v>0.5708968122986865</v>
      </c>
      <c r="P33" s="11">
        <f t="shared" si="8"/>
        <v>2.3725723764055235</v>
      </c>
      <c r="Q33" s="11">
        <f t="shared" si="8"/>
        <v>5.1484385585019832E-2</v>
      </c>
      <c r="R33" s="11">
        <f t="shared" si="8"/>
        <v>1.3412214171144046</v>
      </c>
      <c r="S33" s="11">
        <f t="shared" si="8"/>
        <v>0.56591785531556182</v>
      </c>
      <c r="T33" s="11">
        <f t="shared" si="8"/>
        <v>0.36103337428124155</v>
      </c>
      <c r="U33" s="11">
        <f t="shared" si="8"/>
        <v>1.0391663157243294</v>
      </c>
      <c r="V33" s="11">
        <f t="shared" si="8"/>
        <v>1.3293717809773551</v>
      </c>
    </row>
    <row r="34" spans="1:22" x14ac:dyDescent="0.3">
      <c r="A34" s="226"/>
      <c r="B34" s="11">
        <f t="shared" ref="B34:M34" si="14">IF(B11="","",(B11/$O$23))</f>
        <v>0.13762153835259283</v>
      </c>
      <c r="C34" s="11">
        <f t="shared" si="14"/>
        <v>0.11523089797094889</v>
      </c>
      <c r="D34" s="11">
        <f t="shared" si="14"/>
        <v>0.1659556746325665</v>
      </c>
      <c r="E34" s="11">
        <f t="shared" si="14"/>
        <v>0.20247214724121257</v>
      </c>
      <c r="F34" s="11">
        <f t="shared" si="14"/>
        <v>1.5206540666892732</v>
      </c>
      <c r="G34" s="11">
        <f t="shared" si="14"/>
        <v>1.761318298327049</v>
      </c>
      <c r="H34" s="11">
        <f t="shared" si="14"/>
        <v>2.0983876223666051</v>
      </c>
      <c r="I34" s="11">
        <f t="shared" si="14"/>
        <v>0.25389655331643646</v>
      </c>
      <c r="J34" s="11">
        <f t="shared" si="14"/>
        <v>0.30283457194939672</v>
      </c>
      <c r="K34" s="11">
        <f t="shared" si="14"/>
        <v>1.6498508515277684E-2</v>
      </c>
      <c r="L34" s="11">
        <f t="shared" si="14"/>
        <v>0.2980321336113293</v>
      </c>
      <c r="M34" s="11">
        <f t="shared" si="14"/>
        <v>0.52346091209087842</v>
      </c>
      <c r="N34" s="6"/>
      <c r="O34" s="11">
        <f t="shared" si="8"/>
        <v>0.41905276421974946</v>
      </c>
      <c r="P34" s="11">
        <f t="shared" si="8"/>
        <v>1.2328271309880887</v>
      </c>
      <c r="Q34" s="11">
        <f t="shared" si="8"/>
        <v>4.2738689079908965E-2</v>
      </c>
      <c r="R34" s="11">
        <f t="shared" si="8"/>
        <v>0.48553058037960883</v>
      </c>
      <c r="S34" s="11">
        <f t="shared" si="8"/>
        <v>0.66395896776743379</v>
      </c>
      <c r="T34" s="11">
        <f t="shared" si="8"/>
        <v>0.81457948646013922</v>
      </c>
      <c r="U34" s="11">
        <f t="shared" si="8"/>
        <v>1.1721561468873529</v>
      </c>
      <c r="V34" s="11">
        <f t="shared" si="8"/>
        <v>1.1984758397626676</v>
      </c>
    </row>
    <row r="35" spans="1:22" x14ac:dyDescent="0.3">
      <c r="A35" s="226"/>
      <c r="B35" s="11">
        <f t="shared" ref="B35:M35" si="15">IF(B12="","",(B12/$O$23))</f>
        <v>7.2088267938006462E-2</v>
      </c>
      <c r="C35" s="11" t="str">
        <f t="shared" si="15"/>
        <v/>
      </c>
      <c r="D35" s="11">
        <f t="shared" si="15"/>
        <v>4.1520947190236586E-2</v>
      </c>
      <c r="E35" s="11">
        <f t="shared" si="15"/>
        <v>9.0293890637245355E-2</v>
      </c>
      <c r="F35" s="11">
        <f t="shared" si="15"/>
        <v>0.56452385784885761</v>
      </c>
      <c r="G35" s="11">
        <f t="shared" si="15"/>
        <v>1.5003175929841266</v>
      </c>
      <c r="H35" s="11">
        <f t="shared" si="15"/>
        <v>2.2741615218439226</v>
      </c>
      <c r="I35" s="11">
        <f t="shared" si="15"/>
        <v>0.17641118176889911</v>
      </c>
      <c r="J35" s="11">
        <f t="shared" si="15"/>
        <v>0.11484116269128813</v>
      </c>
      <c r="K35" s="11">
        <f t="shared" si="15"/>
        <v>0.67282133494181873</v>
      </c>
      <c r="L35" s="11">
        <f t="shared" si="15"/>
        <v>0.25275562729018691</v>
      </c>
      <c r="M35" s="11">
        <f t="shared" si="15"/>
        <v>0.4650020012488989</v>
      </c>
      <c r="N35" s="6"/>
      <c r="O35" s="11">
        <f t="shared" si="8"/>
        <v>1.2259306711676725</v>
      </c>
      <c r="P35" s="11">
        <f t="shared" si="8"/>
        <v>2.6875810789013266</v>
      </c>
      <c r="Q35" s="11">
        <f t="shared" si="8"/>
        <v>0.166701077882596</v>
      </c>
      <c r="R35" s="11">
        <f t="shared" si="8"/>
        <v>1.238648168720585</v>
      </c>
      <c r="S35" s="11">
        <f t="shared" si="8"/>
        <v>1.0579766002799977</v>
      </c>
      <c r="T35" s="11">
        <f t="shared" si="8"/>
        <v>0.12516013752242744</v>
      </c>
      <c r="U35" s="11">
        <f t="shared" si="8"/>
        <v>0.77894797468900845</v>
      </c>
      <c r="V35" s="11">
        <f t="shared" si="8"/>
        <v>0.70041559240029672</v>
      </c>
    </row>
    <row r="36" spans="1:22" x14ac:dyDescent="0.3">
      <c r="A36" s="226"/>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1.7820901496142667</v>
      </c>
      <c r="P36" s="11" t="str">
        <f t="shared" si="8"/>
        <v/>
      </c>
      <c r="Q36" s="11" t="str">
        <f t="shared" si="8"/>
        <v/>
      </c>
      <c r="R36" s="11" t="str">
        <f t="shared" si="8"/>
        <v/>
      </c>
      <c r="S36" s="11" t="str">
        <f t="shared" si="8"/>
        <v/>
      </c>
      <c r="T36" s="11" t="str">
        <f t="shared" si="8"/>
        <v/>
      </c>
      <c r="U36" s="11" t="str">
        <f t="shared" si="8"/>
        <v/>
      </c>
      <c r="V36" s="11" t="str">
        <f t="shared" si="8"/>
        <v/>
      </c>
    </row>
    <row r="37" spans="1:22" x14ac:dyDescent="0.3">
      <c r="A37" s="226"/>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1.11570161709806</v>
      </c>
      <c r="P37" s="11" t="str">
        <f t="shared" si="8"/>
        <v/>
      </c>
      <c r="Q37" s="11" t="str">
        <f t="shared" si="8"/>
        <v/>
      </c>
      <c r="R37" s="11" t="str">
        <f t="shared" si="8"/>
        <v/>
      </c>
      <c r="S37" s="11" t="str">
        <f t="shared" si="8"/>
        <v/>
      </c>
      <c r="T37" s="11" t="str">
        <f t="shared" si="8"/>
        <v/>
      </c>
      <c r="U37" s="11" t="str">
        <f t="shared" si="8"/>
        <v/>
      </c>
      <c r="V37" s="11" t="str">
        <f t="shared" si="8"/>
        <v/>
      </c>
    </row>
    <row r="38" spans="1:22" x14ac:dyDescent="0.3">
      <c r="A38" s="226"/>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1.6476435792604762</v>
      </c>
      <c r="P38" s="11" t="str">
        <f t="shared" si="8"/>
        <v/>
      </c>
      <c r="Q38" s="11" t="str">
        <f t="shared" si="8"/>
        <v/>
      </c>
      <c r="R38" s="11" t="str">
        <f t="shared" si="8"/>
        <v/>
      </c>
      <c r="S38" s="11" t="str">
        <f t="shared" si="8"/>
        <v/>
      </c>
      <c r="T38" s="11" t="str">
        <f t="shared" si="8"/>
        <v/>
      </c>
      <c r="U38" s="11" t="str">
        <f t="shared" si="8"/>
        <v/>
      </c>
      <c r="V38" s="11" t="str">
        <f t="shared" si="8"/>
        <v/>
      </c>
    </row>
    <row r="39" spans="1:22" x14ac:dyDescent="0.3">
      <c r="A39" s="226"/>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0.39066469899456457</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
      <c r="A40" s="226"/>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0.33469645045026181</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
      <c r="A41" s="226"/>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0.48317756842623349</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
      <c r="A42" s="226"/>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1.0939510212222647</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
      <c r="A43" s="226"/>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0.92174471877168984</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Tamoxifen-30,2µg/L</v>
      </c>
      <c r="J45" s="7" t="str">
        <f t="shared" si="26"/>
        <v>Tamoxifen-60,4µg/L</v>
      </c>
      <c r="K45" s="7" t="str">
        <f t="shared" si="26"/>
        <v>Tamoxifen-121µg/L</v>
      </c>
      <c r="L45" s="7" t="str">
        <f t="shared" si="26"/>
        <v>Tamoxifen-242µg/L</v>
      </c>
      <c r="M45" s="7" t="str">
        <f t="shared" si="26"/>
        <v>Tamoxifen-483µg/L</v>
      </c>
      <c r="N45" s="7"/>
      <c r="O45" s="7" t="str">
        <f t="shared" si="26"/>
        <v>Testo -30µg/L</v>
      </c>
      <c r="P45" s="7" t="str">
        <f t="shared" si="26"/>
        <v>Testo 30µg/L + EE2 -64ng/L</v>
      </c>
      <c r="Q45" s="7" t="str">
        <f t="shared" si="26"/>
        <v>Testo 30µg/L + FAD-10µg/L</v>
      </c>
      <c r="R45" s="7" t="str">
        <f t="shared" si="26"/>
        <v>Tamoxifen-30.2µg/L + Testostérone</v>
      </c>
      <c r="S45" s="7" t="str">
        <f t="shared" si="26"/>
        <v>Tamoxifen-60.4µg/L + Testostérone</v>
      </c>
      <c r="T45" s="7" t="str">
        <f t="shared" si="26"/>
        <v>Tamoxifen-121µg/L + Testostérone</v>
      </c>
      <c r="U45" s="7" t="str">
        <f t="shared" si="26"/>
        <v>Tamoxifen-242µg/L + Testostérone</v>
      </c>
      <c r="V45" s="7" t="str">
        <f t="shared" si="26"/>
        <v>Tamoxifen-483µg/L + Testostérone</v>
      </c>
    </row>
    <row r="46" spans="1:22" x14ac:dyDescent="0.3">
      <c r="A46" s="8" t="s">
        <v>0</v>
      </c>
      <c r="B46" s="10">
        <f t="shared" ref="B46:H46" si="27">AVERAGE(B28:B43)</f>
        <v>0.22402572160771944</v>
      </c>
      <c r="C46" s="10">
        <f t="shared" si="27"/>
        <v>0.23278583283133039</v>
      </c>
      <c r="D46" s="10">
        <f t="shared" si="27"/>
        <v>7.0904179965014691E-2</v>
      </c>
      <c r="E46" s="10">
        <f t="shared" si="27"/>
        <v>0.38055499477764748</v>
      </c>
      <c r="F46" s="10">
        <f t="shared" si="27"/>
        <v>1.0479704297728354</v>
      </c>
      <c r="G46" s="10">
        <f t="shared" si="27"/>
        <v>1.412949117440069</v>
      </c>
      <c r="H46" s="10">
        <f t="shared" si="27"/>
        <v>2.0197973979958044</v>
      </c>
      <c r="I46" s="10">
        <f>AVERAGE(I28:I43)</f>
        <v>0.17734295227318761</v>
      </c>
      <c r="J46" s="9">
        <f>AVERAGE(J28:J43)</f>
        <v>0.11821002826657709</v>
      </c>
      <c r="K46" s="9">
        <f t="shared" ref="K46:M46" si="28">AVERAGE(K28:K43)</f>
        <v>0.18554085071973886</v>
      </c>
      <c r="L46" s="9">
        <f t="shared" si="28"/>
        <v>0.25124909308032234</v>
      </c>
      <c r="M46" s="9">
        <f t="shared" si="28"/>
        <v>0.58008136381632969</v>
      </c>
      <c r="N46" s="8" t="s">
        <v>0</v>
      </c>
      <c r="O46" s="10">
        <f t="shared" ref="O46:V46" si="29">AVERAGE(O28:O43)</f>
        <v>0.99999999999999967</v>
      </c>
      <c r="P46" s="10">
        <f t="shared" si="29"/>
        <v>1.7289887342022403</v>
      </c>
      <c r="Q46" s="10">
        <f t="shared" si="29"/>
        <v>0.13372244273031691</v>
      </c>
      <c r="R46" s="10">
        <f t="shared" si="29"/>
        <v>0.84294494427688949</v>
      </c>
      <c r="S46" s="10">
        <f t="shared" si="29"/>
        <v>0.81072544123721668</v>
      </c>
      <c r="T46" s="10">
        <f t="shared" si="29"/>
        <v>0.61834859523852936</v>
      </c>
      <c r="U46" s="10">
        <f t="shared" si="29"/>
        <v>1.0777934817514354</v>
      </c>
      <c r="V46" s="10">
        <f t="shared" si="29"/>
        <v>0.79053897385269045</v>
      </c>
    </row>
    <row r="47" spans="1:22" x14ac:dyDescent="0.3">
      <c r="A47" s="8" t="s">
        <v>1</v>
      </c>
      <c r="B47" s="8">
        <f t="shared" ref="B47:M47" si="30">STDEV(B28:B43)</f>
        <v>0.11473840202767864</v>
      </c>
      <c r="C47" s="8">
        <f t="shared" si="30"/>
        <v>0.13071549245281033</v>
      </c>
      <c r="D47" s="8">
        <f t="shared" si="30"/>
        <v>5.2087065341027722E-2</v>
      </c>
      <c r="E47" s="8">
        <f t="shared" si="30"/>
        <v>0.27321800730121226</v>
      </c>
      <c r="F47" s="8">
        <f t="shared" si="30"/>
        <v>0.28919337058985167</v>
      </c>
      <c r="G47" s="8">
        <f t="shared" si="30"/>
        <v>0.43565971063881137</v>
      </c>
      <c r="H47" s="8">
        <f t="shared" si="30"/>
        <v>0.33214895335396261</v>
      </c>
      <c r="I47" s="8">
        <f t="shared" si="30"/>
        <v>7.4640554814017782E-2</v>
      </c>
      <c r="J47" s="8">
        <f t="shared" si="30"/>
        <v>9.6955772110570729E-2</v>
      </c>
      <c r="K47" s="8">
        <f t="shared" si="30"/>
        <v>0.23158359342788665</v>
      </c>
      <c r="L47" s="8">
        <f t="shared" si="30"/>
        <v>0.14682611693214009</v>
      </c>
      <c r="M47" s="8">
        <f t="shared" si="30"/>
        <v>0.49543870798664669</v>
      </c>
      <c r="N47" s="8" t="s">
        <v>1</v>
      </c>
      <c r="O47" s="8">
        <f t="shared" ref="O47:V47" si="31">STDEV(O28:O43)</f>
        <v>0.47314490684297728</v>
      </c>
      <c r="P47" s="8">
        <f t="shared" si="31"/>
        <v>0.72961217551137714</v>
      </c>
      <c r="Q47" s="8">
        <f t="shared" si="31"/>
        <v>8.2440074769344743E-2</v>
      </c>
      <c r="R47" s="8">
        <f t="shared" si="31"/>
        <v>0.46814611841702497</v>
      </c>
      <c r="S47" s="8">
        <f t="shared" si="31"/>
        <v>0.24922000633383715</v>
      </c>
      <c r="T47" s="8">
        <f t="shared" si="31"/>
        <v>0.45924382691057208</v>
      </c>
      <c r="U47" s="8">
        <f t="shared" si="31"/>
        <v>0.19942805283685125</v>
      </c>
      <c r="V47" s="8">
        <f t="shared" si="31"/>
        <v>0.38374242360297228</v>
      </c>
    </row>
    <row r="48" spans="1:22" x14ac:dyDescent="0.3">
      <c r="A48" s="8" t="s">
        <v>2</v>
      </c>
      <c r="B48" s="8">
        <f t="shared" ref="B48:M48" si="32" xml:space="preserve"> B47/SQRT(COUNT(B28:B43))</f>
        <v>4.056615106813994E-2</v>
      </c>
      <c r="C48" s="8">
        <f t="shared" si="32"/>
        <v>4.9405812219068077E-2</v>
      </c>
      <c r="D48" s="8">
        <f t="shared" si="32"/>
        <v>1.9687060202218727E-2</v>
      </c>
      <c r="E48" s="8">
        <f t="shared" si="32"/>
        <v>0.10326670014623389</v>
      </c>
      <c r="F48" s="8">
        <f t="shared" si="32"/>
        <v>0.10224529670913919</v>
      </c>
      <c r="G48" s="8">
        <f t="shared" si="32"/>
        <v>0.15402896784123629</v>
      </c>
      <c r="H48" s="8">
        <f t="shared" si="32"/>
        <v>0.1174323886403006</v>
      </c>
      <c r="I48" s="8">
        <f t="shared" si="32"/>
        <v>2.6389421230259086E-2</v>
      </c>
      <c r="J48" s="8">
        <f t="shared" si="32"/>
        <v>3.427904196728105E-2</v>
      </c>
      <c r="K48" s="8">
        <f t="shared" si="32"/>
        <v>8.1877164662203503E-2</v>
      </c>
      <c r="L48" s="8">
        <f t="shared" si="32"/>
        <v>5.5495055910247504E-2</v>
      </c>
      <c r="M48" s="8">
        <f t="shared" si="32"/>
        <v>0.17516403503982977</v>
      </c>
      <c r="N48" s="8" t="s">
        <v>2</v>
      </c>
      <c r="O48" s="8">
        <f t="shared" ref="O48:V48" si="33" xml:space="preserve"> O47/SQRT(COUNT(O28:O43))</f>
        <v>0.11828622671074432</v>
      </c>
      <c r="P48" s="8">
        <f t="shared" si="33"/>
        <v>0.25795685847018213</v>
      </c>
      <c r="Q48" s="8">
        <f t="shared" si="33"/>
        <v>2.9146967955464832E-2</v>
      </c>
      <c r="R48" s="8">
        <f t="shared" si="33"/>
        <v>0.16551464745941941</v>
      </c>
      <c r="S48" s="8">
        <f t="shared" si="33"/>
        <v>8.811257824300528E-2</v>
      </c>
      <c r="T48" s="8">
        <f t="shared" si="33"/>
        <v>0.1623672121132633</v>
      </c>
      <c r="U48" s="8">
        <f t="shared" si="33"/>
        <v>7.0508464259883302E-2</v>
      </c>
      <c r="V48" s="8">
        <f t="shared" si="33"/>
        <v>0.13567343497931117</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7" t="s">
        <v>44</v>
      </c>
      <c r="B50" s="218"/>
      <c r="C50" s="218"/>
      <c r="D50" s="218"/>
      <c r="E50" s="218"/>
      <c r="F50" s="218"/>
      <c r="G50" s="218"/>
      <c r="H50" s="218"/>
      <c r="I50" s="218"/>
      <c r="J50" s="218"/>
      <c r="K50" s="218"/>
      <c r="L50" s="218"/>
      <c r="M50" s="218"/>
      <c r="N50" s="218"/>
      <c r="O50" s="218"/>
      <c r="P50" s="218"/>
      <c r="Q50" s="218"/>
      <c r="R50" s="218"/>
      <c r="S50" s="218"/>
      <c r="T50" s="218"/>
      <c r="U50" s="218"/>
      <c r="V50" s="218"/>
    </row>
    <row r="51" spans="1:22" ht="15" thickBot="1" x14ac:dyDescent="0.35"/>
    <row r="52" spans="1:22" x14ac:dyDescent="0.3">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Tamoxifen-30,2µg/L</v>
      </c>
      <c r="J52" s="46" t="str">
        <f>J4</f>
        <v>Tamoxifen-60,4µg/L</v>
      </c>
      <c r="K52" s="46" t="str">
        <f t="shared" ref="K52:M52" si="35">K4</f>
        <v>Tamoxifen-121µg/L</v>
      </c>
      <c r="L52" s="46" t="str">
        <f t="shared" si="35"/>
        <v>Tamoxifen-242µg/L</v>
      </c>
      <c r="M52" s="46" t="str">
        <f t="shared" si="35"/>
        <v>Tamoxifen-483µg/L</v>
      </c>
      <c r="N52" s="47"/>
      <c r="O52" s="46" t="str">
        <f>O27</f>
        <v>Testo -30µg/L</v>
      </c>
      <c r="P52" s="46" t="str">
        <f>P27</f>
        <v>Testo 30µg/L + EE2 -64ng/L</v>
      </c>
      <c r="Q52" s="46" t="str">
        <f>Q27</f>
        <v>Testo 30µg/L + FAD-10µg/L</v>
      </c>
      <c r="R52" s="46" t="str">
        <f>R27</f>
        <v>Tamoxifen-30.2µg/L + Testostérone</v>
      </c>
      <c r="S52" s="46" t="str">
        <f t="shared" ref="S52:V52" si="36">S27</f>
        <v>Tamoxifen-60.4µg/L + Testostérone</v>
      </c>
      <c r="T52" s="46" t="str">
        <f t="shared" si="36"/>
        <v>Tamoxifen-121µg/L + Testostérone</v>
      </c>
      <c r="U52" s="46" t="str">
        <f t="shared" si="36"/>
        <v>Tamoxifen-242µg/L + Testostérone</v>
      </c>
      <c r="V52" s="46" t="str">
        <f t="shared" si="36"/>
        <v>Tamoxifen-483µg/L + Testostérone</v>
      </c>
    </row>
    <row r="53" spans="1:22" s="3" customFormat="1" x14ac:dyDescent="0.3">
      <c r="A53" s="61" t="s">
        <v>32</v>
      </c>
      <c r="B53" s="141">
        <f t="shared" ref="B53:V53" si="37">B46</f>
        <v>0.22402572160771944</v>
      </c>
      <c r="C53" s="141">
        <f t="shared" si="37"/>
        <v>0.23278583283133039</v>
      </c>
      <c r="D53" s="141">
        <f t="shared" si="37"/>
        <v>7.0904179965014691E-2</v>
      </c>
      <c r="E53" s="141">
        <f t="shared" si="37"/>
        <v>0.38055499477764748</v>
      </c>
      <c r="F53" s="141">
        <f t="shared" si="37"/>
        <v>1.0479704297728354</v>
      </c>
      <c r="G53" s="141">
        <f t="shared" si="37"/>
        <v>1.412949117440069</v>
      </c>
      <c r="H53" s="141">
        <f t="shared" si="37"/>
        <v>2.0197973979958044</v>
      </c>
      <c r="I53" s="141">
        <f t="shared" si="37"/>
        <v>0.17734295227318761</v>
      </c>
      <c r="J53" s="141">
        <f t="shared" si="37"/>
        <v>0.11821002826657709</v>
      </c>
      <c r="K53" s="141">
        <f t="shared" si="37"/>
        <v>0.18554085071973886</v>
      </c>
      <c r="L53" s="141">
        <f t="shared" si="37"/>
        <v>0.25124909308032234</v>
      </c>
      <c r="M53" s="141">
        <f t="shared" si="37"/>
        <v>0.58008136381632969</v>
      </c>
      <c r="N53" s="141"/>
      <c r="O53" s="141">
        <f t="shared" si="37"/>
        <v>0.99999999999999967</v>
      </c>
      <c r="P53" s="141">
        <f t="shared" si="37"/>
        <v>1.7289887342022403</v>
      </c>
      <c r="Q53" s="141">
        <f t="shared" si="37"/>
        <v>0.13372244273031691</v>
      </c>
      <c r="R53" s="141">
        <f t="shared" si="37"/>
        <v>0.84294494427688949</v>
      </c>
      <c r="S53" s="141">
        <f t="shared" si="37"/>
        <v>0.81072544123721668</v>
      </c>
      <c r="T53" s="141">
        <f t="shared" si="37"/>
        <v>0.61834859523852936</v>
      </c>
      <c r="U53" s="141">
        <f t="shared" si="37"/>
        <v>1.0777934817514354</v>
      </c>
      <c r="V53" s="141">
        <f t="shared" si="37"/>
        <v>0.79053897385269045</v>
      </c>
    </row>
    <row r="54" spans="1:22" s="3" customFormat="1" x14ac:dyDescent="0.3">
      <c r="A54" s="61" t="s">
        <v>2</v>
      </c>
      <c r="B54" s="141">
        <f t="shared" ref="B54:V54" si="38">B48</f>
        <v>4.056615106813994E-2</v>
      </c>
      <c r="C54" s="141">
        <f t="shared" si="38"/>
        <v>4.9405812219068077E-2</v>
      </c>
      <c r="D54" s="141">
        <f t="shared" si="38"/>
        <v>1.9687060202218727E-2</v>
      </c>
      <c r="E54" s="141">
        <f t="shared" si="38"/>
        <v>0.10326670014623389</v>
      </c>
      <c r="F54" s="141">
        <f t="shared" si="38"/>
        <v>0.10224529670913919</v>
      </c>
      <c r="G54" s="141">
        <f t="shared" si="38"/>
        <v>0.15402896784123629</v>
      </c>
      <c r="H54" s="141">
        <f t="shared" si="38"/>
        <v>0.1174323886403006</v>
      </c>
      <c r="I54" s="141">
        <f t="shared" si="38"/>
        <v>2.6389421230259086E-2</v>
      </c>
      <c r="J54" s="141">
        <f t="shared" si="38"/>
        <v>3.427904196728105E-2</v>
      </c>
      <c r="K54" s="141">
        <f t="shared" si="38"/>
        <v>8.1877164662203503E-2</v>
      </c>
      <c r="L54" s="141">
        <f t="shared" si="38"/>
        <v>5.5495055910247504E-2</v>
      </c>
      <c r="M54" s="141">
        <f t="shared" si="38"/>
        <v>0.17516403503982977</v>
      </c>
      <c r="N54" s="141"/>
      <c r="O54" s="141">
        <f t="shared" si="38"/>
        <v>0.11828622671074432</v>
      </c>
      <c r="P54" s="141">
        <f t="shared" si="38"/>
        <v>0.25795685847018213</v>
      </c>
      <c r="Q54" s="141">
        <f t="shared" si="38"/>
        <v>2.9146967955464832E-2</v>
      </c>
      <c r="R54" s="141">
        <f t="shared" si="38"/>
        <v>0.16551464745941941</v>
      </c>
      <c r="S54" s="141">
        <f t="shared" si="38"/>
        <v>8.811257824300528E-2</v>
      </c>
      <c r="T54" s="141">
        <f t="shared" si="38"/>
        <v>0.1623672121132633</v>
      </c>
      <c r="U54" s="141">
        <f t="shared" si="38"/>
        <v>7.0508464259883302E-2</v>
      </c>
      <c r="V54" s="141">
        <f t="shared" si="38"/>
        <v>0.13567343497931117</v>
      </c>
    </row>
    <row r="55" spans="1:22" s="3" customFormat="1" x14ac:dyDescent="0.3">
      <c r="A55" s="61" t="s">
        <v>79</v>
      </c>
      <c r="B55" s="141">
        <f>(B53*100/$B53)-100</f>
        <v>0</v>
      </c>
      <c r="C55" s="141">
        <f t="shared" ref="C55:M55" si="39">(C53*100/$B53)-100</f>
        <v>3.9103149231008132</v>
      </c>
      <c r="D55" s="141">
        <f t="shared" si="39"/>
        <v>-68.349982557283511</v>
      </c>
      <c r="E55" s="141">
        <f t="shared" si="39"/>
        <v>69.871116605091828</v>
      </c>
      <c r="F55" s="141">
        <f t="shared" si="39"/>
        <v>367.79022616335345</v>
      </c>
      <c r="G55" s="141">
        <f t="shared" si="39"/>
        <v>530.70843262998858</v>
      </c>
      <c r="H55" s="141">
        <f t="shared" si="39"/>
        <v>801.59173844000532</v>
      </c>
      <c r="I55" s="141">
        <f t="shared" si="39"/>
        <v>-20.8381292110179</v>
      </c>
      <c r="J55" s="141">
        <f t="shared" si="39"/>
        <v>-47.233725030213748</v>
      </c>
      <c r="K55" s="141">
        <f t="shared" si="39"/>
        <v>-17.178773317543218</v>
      </c>
      <c r="L55" s="141">
        <f t="shared" si="39"/>
        <v>12.151895450769899</v>
      </c>
      <c r="M55" s="141">
        <f t="shared" si="39"/>
        <v>158.93516139726222</v>
      </c>
      <c r="N55" s="141"/>
      <c r="O55" s="141">
        <f>(O53*100/$O53)-100</f>
        <v>0</v>
      </c>
      <c r="P55" s="141">
        <f t="shared" ref="P55:V55" si="40">(P53*100/$O53)-100</f>
        <v>72.898873420224078</v>
      </c>
      <c r="Q55" s="141">
        <f t="shared" si="40"/>
        <v>-86.627755726968303</v>
      </c>
      <c r="R55" s="141">
        <f t="shared" si="40"/>
        <v>-15.705505572311026</v>
      </c>
      <c r="S55" s="141">
        <f t="shared" si="40"/>
        <v>-18.927455876278302</v>
      </c>
      <c r="T55" s="141">
        <f t="shared" si="40"/>
        <v>-38.165140476147045</v>
      </c>
      <c r="U55" s="141">
        <f t="shared" si="40"/>
        <v>7.779348175143582</v>
      </c>
      <c r="V55" s="141">
        <f t="shared" si="40"/>
        <v>-20.946102614730933</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41">IF(C56&gt;0.05,"Oui","Non")</f>
        <v>#NAME?</v>
      </c>
      <c r="D57" s="141" t="e">
        <f t="shared" ca="1" si="41"/>
        <v>#NAME?</v>
      </c>
      <c r="E57" s="141" t="e">
        <f t="shared" ca="1" si="41"/>
        <v>#NAME?</v>
      </c>
      <c r="F57" s="141" t="e">
        <f t="shared" ca="1" si="41"/>
        <v>#NAME?</v>
      </c>
      <c r="G57" s="141" t="e">
        <f t="shared" ca="1" si="41"/>
        <v>#NAME?</v>
      </c>
      <c r="H57" s="141" t="e">
        <f t="shared" ca="1" si="41"/>
        <v>#NAME?</v>
      </c>
      <c r="I57" s="141" t="e">
        <f t="shared" ca="1" si="41"/>
        <v>#NAME?</v>
      </c>
      <c r="J57" s="141" t="e">
        <f t="shared" ca="1" si="41"/>
        <v>#NAME?</v>
      </c>
      <c r="K57" s="141" t="e">
        <f t="shared" ca="1" si="41"/>
        <v>#NAME?</v>
      </c>
      <c r="L57" s="141" t="e">
        <f t="shared" ca="1" si="41"/>
        <v>#NAME?</v>
      </c>
      <c r="M57" s="141" t="e">
        <f t="shared" ca="1" si="41"/>
        <v>#NAME?</v>
      </c>
      <c r="N57" s="141"/>
      <c r="O57" s="141" t="e">
        <f t="shared" ca="1" si="41"/>
        <v>#NAME?</v>
      </c>
      <c r="P57" s="141" t="e">
        <f t="shared" ca="1" si="41"/>
        <v>#NAME?</v>
      </c>
      <c r="Q57" s="141" t="e">
        <f t="shared" ca="1" si="41"/>
        <v>#NAME?</v>
      </c>
      <c r="R57" s="141" t="e">
        <f t="shared" ca="1" si="41"/>
        <v>#NAME?</v>
      </c>
      <c r="S57" s="141" t="e">
        <f t="shared" ca="1" si="41"/>
        <v>#NAME?</v>
      </c>
      <c r="T57" s="141" t="e">
        <f t="shared" ca="1" si="41"/>
        <v>#NAME?</v>
      </c>
      <c r="U57" s="141" t="e">
        <f t="shared" ca="1" si="41"/>
        <v>#NAME?</v>
      </c>
      <c r="V57" s="141" t="e">
        <f t="shared" ca="1" si="4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s">
        <v>1704</v>
      </c>
      <c r="D59" s="150" t="s">
        <v>1704</v>
      </c>
      <c r="E59" s="150" t="s">
        <v>1704</v>
      </c>
      <c r="F59" s="150" t="s">
        <v>1704</v>
      </c>
      <c r="G59" s="150" t="s">
        <v>1704</v>
      </c>
      <c r="H59" s="150" t="s">
        <v>1704</v>
      </c>
      <c r="I59" s="150" t="s">
        <v>3074</v>
      </c>
      <c r="J59" s="150" t="s">
        <v>3074</v>
      </c>
      <c r="K59" s="150" t="s">
        <v>3074</v>
      </c>
      <c r="L59" s="150" t="s">
        <v>3074</v>
      </c>
      <c r="M59" s="150" t="s">
        <v>3074</v>
      </c>
      <c r="N59" s="150"/>
      <c r="O59" s="150" t="e">
        <f t="shared" ref="O59" ca="1" si="42">IF($B57="Non",IF(O57="Non","MW",IF(O57="Oui","MW","")),IF($B57="Oui",IF(O57="Oui","T-Test Welch",IF(O57="Non","MW",""))))</f>
        <v>#NAME?</v>
      </c>
      <c r="P59" s="150" t="e">
        <f ca="1">IF($O57="Non",IF(P57="Non","MW",IF(P57="Oui","MW","")),IF($O57="Oui",IF(P57="Oui","T-Test Welch",IF(P57="Non","MW",""))))</f>
        <v>#NAME?</v>
      </c>
      <c r="Q59" s="150" t="e">
        <f t="shared" ref="Q59" ca="1" si="43">IF($O57="Non",IF(Q57="Non","MW",IF(Q57="Oui","MW","")),IF($O57="Oui",IF(Q57="Oui","T-Test Welch",IF(Q57="Non","MW",""))))</f>
        <v>#NAME?</v>
      </c>
      <c r="R59" s="150" t="s">
        <v>1704</v>
      </c>
      <c r="S59" s="150" t="s">
        <v>1704</v>
      </c>
      <c r="T59" s="150" t="s">
        <v>1704</v>
      </c>
      <c r="U59" s="150" t="s">
        <v>1704</v>
      </c>
      <c r="V59" s="150" t="s">
        <v>1704</v>
      </c>
    </row>
    <row r="60" spans="1:22" s="3" customFormat="1" ht="15.6" x14ac:dyDescent="0.3">
      <c r="A60" s="61" t="s">
        <v>83</v>
      </c>
      <c r="B60" s="151"/>
      <c r="C60" s="196">
        <v>0.99990000000000001</v>
      </c>
      <c r="D60" s="196">
        <v>0.7581</v>
      </c>
      <c r="E60" s="196">
        <v>0.74150000000000005</v>
      </c>
      <c r="F60" s="196">
        <v>1E-4</v>
      </c>
      <c r="G60" s="196">
        <v>1E-4</v>
      </c>
      <c r="H60" s="196">
        <v>1E-4</v>
      </c>
      <c r="I60" s="196">
        <v>0.99990000000000001</v>
      </c>
      <c r="J60" s="196">
        <v>0.3553</v>
      </c>
      <c r="K60" s="196">
        <v>0.93089999999999995</v>
      </c>
      <c r="L60" s="196">
        <v>0.99990000000000001</v>
      </c>
      <c r="M60" s="196">
        <v>0.55310000000000004</v>
      </c>
      <c r="N60" s="151"/>
      <c r="O60" s="196">
        <v>1E-4</v>
      </c>
      <c r="P60" s="196">
        <v>2.7900000000000001E-2</v>
      </c>
      <c r="Q60" s="196">
        <v>1E-4</v>
      </c>
      <c r="R60" s="196">
        <v>0.83560000000000001</v>
      </c>
      <c r="S60" s="196">
        <v>0.71689999999999998</v>
      </c>
      <c r="T60" s="196">
        <v>0.12520000000000001</v>
      </c>
      <c r="U60" s="196">
        <v>0.98960000000000004</v>
      </c>
      <c r="V60" s="196">
        <v>0.63519999999999999</v>
      </c>
    </row>
    <row r="61" spans="1:22" s="3" customFormat="1" ht="15" thickBot="1" x14ac:dyDescent="0.35">
      <c r="A61" s="62" t="s">
        <v>84</v>
      </c>
      <c r="B61" s="142"/>
      <c r="C61" s="142" t="str">
        <f t="shared" ref="C61:O61" si="44">IF(C60&gt;0.05,"NS",IF(C60&gt;0.01,"*",IF(C60&gt;0.001,"**","***")))</f>
        <v>NS</v>
      </c>
      <c r="D61" s="142" t="str">
        <f t="shared" si="44"/>
        <v>NS</v>
      </c>
      <c r="E61" s="142" t="str">
        <f t="shared" si="44"/>
        <v>NS</v>
      </c>
      <c r="F61" s="142" t="str">
        <f t="shared" si="44"/>
        <v>***</v>
      </c>
      <c r="G61" s="142" t="str">
        <f t="shared" si="44"/>
        <v>***</v>
      </c>
      <c r="H61" s="142" t="str">
        <f t="shared" si="44"/>
        <v>***</v>
      </c>
      <c r="I61" s="142" t="str">
        <f t="shared" si="44"/>
        <v>NS</v>
      </c>
      <c r="J61" s="142" t="str">
        <f t="shared" si="44"/>
        <v>NS</v>
      </c>
      <c r="K61" s="142" t="str">
        <f t="shared" si="44"/>
        <v>NS</v>
      </c>
      <c r="L61" s="142" t="str">
        <f t="shared" si="44"/>
        <v>NS</v>
      </c>
      <c r="M61" s="142" t="str">
        <f t="shared" si="44"/>
        <v>NS</v>
      </c>
      <c r="N61" s="142"/>
      <c r="O61" s="142" t="str">
        <f t="shared" si="44"/>
        <v>***</v>
      </c>
      <c r="P61" s="142" t="str">
        <f>IF(P60&gt;0.05,"NS",IF(P60&gt;0.01,"*",IF(P60&gt;0.001,"**","***")))</f>
        <v>*</v>
      </c>
      <c r="Q61" s="142" t="str">
        <f t="shared" ref="Q61:V61" si="45">IF(Q60&gt;0.05,"NS",IF(Q60&gt;0.01,"*",IF(Q60&gt;0.001,"**","***")))</f>
        <v>***</v>
      </c>
      <c r="R61" s="142" t="str">
        <f t="shared" si="45"/>
        <v>NS</v>
      </c>
      <c r="S61" s="142" t="str">
        <f t="shared" si="45"/>
        <v>NS</v>
      </c>
      <c r="T61" s="142" t="str">
        <f t="shared" si="45"/>
        <v>NS</v>
      </c>
      <c r="U61" s="142" t="str">
        <f t="shared" si="45"/>
        <v>NS</v>
      </c>
      <c r="V61" s="142" t="str">
        <f t="shared" si="45"/>
        <v>NS</v>
      </c>
    </row>
    <row r="63" spans="1:22" x14ac:dyDescent="0.3">
      <c r="A63" s="2" t="s">
        <v>39</v>
      </c>
    </row>
    <row r="64" spans="1:22" x14ac:dyDescent="0.3">
      <c r="A64" s="1" t="s">
        <v>23</v>
      </c>
      <c r="B64" s="1">
        <f>B46+(3*B47)</f>
        <v>0.5682409276907554</v>
      </c>
    </row>
    <row r="65" spans="1:22" x14ac:dyDescent="0.3">
      <c r="A65" s="1" t="s">
        <v>24</v>
      </c>
      <c r="B65" s="1">
        <f>B46+(10*B47)</f>
        <v>1.3714097418845059</v>
      </c>
    </row>
    <row r="66" spans="1:22" ht="15" thickBot="1" x14ac:dyDescent="0.35"/>
    <row r="67" spans="1:22" ht="26.4" thickBot="1" x14ac:dyDescent="0.55000000000000004">
      <c r="A67" s="217" t="s">
        <v>45</v>
      </c>
      <c r="B67" s="218"/>
      <c r="C67" s="218"/>
      <c r="D67" s="218"/>
      <c r="E67" s="218"/>
      <c r="F67" s="218"/>
      <c r="G67" s="218"/>
      <c r="H67" s="218"/>
      <c r="I67" s="218"/>
      <c r="J67" s="218"/>
      <c r="K67" s="218"/>
      <c r="L67" s="218"/>
      <c r="M67" s="218"/>
      <c r="N67" s="218"/>
      <c r="O67" s="218"/>
      <c r="P67" s="218"/>
      <c r="Q67" s="218"/>
      <c r="R67" s="218"/>
      <c r="S67" s="218"/>
      <c r="T67" s="218"/>
      <c r="U67" s="218"/>
      <c r="V67" s="218"/>
    </row>
    <row r="68" spans="1:22" ht="16.8" x14ac:dyDescent="0.3">
      <c r="A68" s="12"/>
      <c r="B68" s="12"/>
      <c r="C68" s="12"/>
      <c r="D68" s="12"/>
      <c r="E68" s="12"/>
      <c r="F68" s="12"/>
      <c r="N68" s="12"/>
      <c r="O68" s="12"/>
      <c r="P68" s="12"/>
      <c r="Q68" s="12"/>
      <c r="R68" s="12"/>
      <c r="S68" s="196"/>
      <c r="T68" s="12"/>
      <c r="U68" s="12"/>
      <c r="V68" s="12"/>
    </row>
    <row r="69" spans="1:22" ht="16.8" x14ac:dyDescent="0.3">
      <c r="A69" s="12"/>
      <c r="B69" s="12"/>
      <c r="C69" s="12"/>
      <c r="D69" s="12"/>
      <c r="E69" s="12"/>
      <c r="F69" s="12"/>
      <c r="N69" s="12"/>
      <c r="O69" s="12"/>
      <c r="P69" s="12"/>
      <c r="Q69" s="12"/>
      <c r="R69" s="12"/>
      <c r="S69" s="196"/>
      <c r="T69" s="12"/>
      <c r="U69" s="12"/>
      <c r="V69" s="12"/>
    </row>
    <row r="70" spans="1:22" ht="16.8" x14ac:dyDescent="0.3">
      <c r="A70" s="12"/>
      <c r="B70" s="12"/>
      <c r="C70" s="12"/>
      <c r="D70" s="12"/>
      <c r="E70" s="12"/>
      <c r="F70" s="12"/>
      <c r="I70" s="196"/>
      <c r="N70" s="12"/>
      <c r="O70" s="12"/>
      <c r="P70" s="12"/>
      <c r="Q70" s="12"/>
      <c r="R70" s="12"/>
      <c r="S70" s="196"/>
      <c r="T70" s="12"/>
      <c r="U70" s="12"/>
      <c r="V70" s="12"/>
    </row>
    <row r="71" spans="1:22" ht="16.8" x14ac:dyDescent="0.3">
      <c r="A71" s="12"/>
      <c r="B71" s="12"/>
      <c r="C71" s="196"/>
      <c r="D71" s="12"/>
      <c r="E71" s="12"/>
      <c r="F71" s="12"/>
      <c r="I71" s="196"/>
      <c r="N71" s="12"/>
      <c r="O71" s="12"/>
      <c r="P71" s="12"/>
      <c r="Q71" s="12"/>
      <c r="R71" s="12"/>
      <c r="S71" s="196"/>
      <c r="T71" s="12"/>
      <c r="U71" s="12"/>
      <c r="V71" s="12"/>
    </row>
    <row r="72" spans="1:22" ht="16.8" x14ac:dyDescent="0.3">
      <c r="A72" s="12"/>
      <c r="B72" s="12"/>
      <c r="C72" s="196"/>
      <c r="D72" s="12"/>
      <c r="E72" s="12"/>
      <c r="F72" s="12"/>
      <c r="I72" s="196"/>
      <c r="N72" s="12"/>
      <c r="O72" s="12"/>
      <c r="P72" s="12"/>
      <c r="Q72" s="12"/>
      <c r="R72" s="12"/>
      <c r="S72" s="196"/>
      <c r="T72" s="12"/>
      <c r="U72" s="12"/>
      <c r="V72" s="12"/>
    </row>
    <row r="73" spans="1:22" ht="16.8" x14ac:dyDescent="0.3">
      <c r="A73" s="12"/>
      <c r="B73" s="12"/>
      <c r="C73" s="196"/>
      <c r="D73" s="12"/>
      <c r="E73" s="12"/>
      <c r="F73" s="12"/>
      <c r="I73" s="196"/>
      <c r="N73" s="12"/>
      <c r="O73" s="12"/>
      <c r="P73" s="12"/>
      <c r="Q73" s="12"/>
      <c r="R73" s="12"/>
      <c r="S73" s="12"/>
      <c r="T73" s="12"/>
      <c r="U73" s="12"/>
      <c r="V73" s="12"/>
    </row>
    <row r="74" spans="1:22" ht="16.8" x14ac:dyDescent="0.3">
      <c r="A74" s="12"/>
      <c r="B74" s="12"/>
      <c r="C74" s="196"/>
      <c r="D74" s="12"/>
      <c r="E74" s="12"/>
      <c r="F74" s="12"/>
      <c r="I74" s="196"/>
      <c r="N74" s="12"/>
      <c r="O74" s="12"/>
      <c r="P74" s="12"/>
      <c r="Q74" s="12"/>
      <c r="R74" s="12"/>
      <c r="S74" s="12"/>
      <c r="T74" s="12"/>
      <c r="U74" s="12"/>
      <c r="V74" s="12"/>
    </row>
    <row r="75" spans="1:22" ht="15.6" x14ac:dyDescent="0.3">
      <c r="C75" s="196"/>
    </row>
    <row r="76" spans="1:22" ht="15.6" x14ac:dyDescent="0.3">
      <c r="C76" s="196"/>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02"/>
  <sheetViews>
    <sheetView showGridLines="0" topLeftCell="P76" zoomScale="115" zoomScaleNormal="115" workbookViewId="0">
      <selection activeCell="S96" sqref="S96"/>
    </sheetView>
  </sheetViews>
  <sheetFormatPr defaultColWidth="11.5546875" defaultRowHeight="14.4" x14ac:dyDescent="0.3"/>
  <cols>
    <col min="1" max="1" width="42.88671875" customWidth="1"/>
    <col min="2" max="2" width="14" bestFit="1" customWidth="1"/>
    <col min="3" max="13" width="22.6640625" bestFit="1" customWidth="1"/>
    <col min="14" max="14" width="8.44140625" customWidth="1"/>
    <col min="15" max="15" width="22.6640625" customWidth="1"/>
    <col min="18" max="22" width="29.109375" customWidth="1"/>
  </cols>
  <sheetData>
    <row r="1" spans="1:22" s="1" customFormat="1" ht="21.6" thickBot="1" x14ac:dyDescent="0.35">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35">
      <c r="A2" s="1"/>
      <c r="B2" s="1"/>
      <c r="C2" s="1"/>
      <c r="D2" s="1"/>
      <c r="E2" s="1"/>
      <c r="F2" s="1"/>
      <c r="G2" s="1"/>
      <c r="H2" s="1"/>
      <c r="I2" s="1"/>
      <c r="J2" s="1"/>
      <c r="K2" s="1"/>
      <c r="L2" s="1"/>
      <c r="M2" s="1"/>
    </row>
    <row r="3" spans="1:22" s="33" customFormat="1" ht="15" thickBot="1" x14ac:dyDescent="0.35">
      <c r="B3" s="223" t="s">
        <v>6</v>
      </c>
      <c r="C3" s="224"/>
      <c r="D3" s="224"/>
      <c r="E3" s="224"/>
      <c r="F3" s="224"/>
      <c r="G3" s="224"/>
      <c r="H3" s="224"/>
      <c r="I3" s="224"/>
      <c r="J3" s="224"/>
      <c r="K3" s="224"/>
      <c r="L3" s="224"/>
      <c r="M3" s="224"/>
      <c r="N3" s="72"/>
      <c r="O3" s="223" t="s">
        <v>3</v>
      </c>
      <c r="P3" s="224"/>
      <c r="Q3" s="224"/>
      <c r="R3" s="224"/>
      <c r="S3" s="224"/>
      <c r="T3" s="224"/>
      <c r="U3" s="224"/>
      <c r="V3" s="224"/>
    </row>
    <row r="4" spans="1:22" x14ac:dyDescent="0.3">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Tamoxifen-30,2µg/L</v>
      </c>
      <c r="J4" s="35" t="str">
        <f>'R1'!J4</f>
        <v>Tamoxifen-60,4µg/L</v>
      </c>
      <c r="K4" s="35" t="str">
        <f>'R1'!K4</f>
        <v>Tamoxifen-121µg/L</v>
      </c>
      <c r="L4" s="35" t="str">
        <f>'R1'!L4</f>
        <v>Tamoxifen-242µg/L</v>
      </c>
      <c r="M4" s="35" t="str">
        <f>'R1'!M4</f>
        <v>Tamoxifen-483µg/L</v>
      </c>
      <c r="O4" s="35" t="str">
        <f>'R1'!O4</f>
        <v>Testo -30µg/L</v>
      </c>
      <c r="P4" s="35" t="str">
        <f>'R1'!P4</f>
        <v>Testo 30µg/L + EE2 -64ng/L</v>
      </c>
      <c r="Q4" s="35" t="str">
        <f>'R1'!Q4</f>
        <v>Testo 30µg/L + FAD-10µg/L</v>
      </c>
      <c r="R4" s="35" t="str">
        <f>'R1'!R4</f>
        <v>Tamoxifen-30.2µg/L + Testostérone</v>
      </c>
      <c r="S4" s="35" t="str">
        <f>'R1'!S4</f>
        <v>Tamoxifen-60.4µg/L + Testostérone</v>
      </c>
      <c r="T4" s="35" t="str">
        <f>'R1'!T4</f>
        <v>Tamoxifen-121µg/L + Testostérone</v>
      </c>
      <c r="U4" s="35" t="str">
        <f>'R1'!U4</f>
        <v>Tamoxifen-242µg/L + Testostérone</v>
      </c>
      <c r="V4" s="35" t="str">
        <f>'R1'!V4</f>
        <v>Tamoxifen-483µg/L + Testostérone</v>
      </c>
    </row>
    <row r="5" spans="1:22" s="1" customFormat="1" x14ac:dyDescent="0.3">
      <c r="A5" s="34"/>
      <c r="B5" s="35"/>
      <c r="C5" s="192" t="s">
        <v>164</v>
      </c>
      <c r="D5" s="35"/>
      <c r="E5" s="35"/>
      <c r="F5" s="35"/>
      <c r="G5" s="35"/>
      <c r="H5" s="35"/>
      <c r="I5" s="35"/>
      <c r="J5" s="35"/>
      <c r="K5" s="35"/>
      <c r="L5" s="35"/>
      <c r="M5" s="35"/>
      <c r="O5" s="35"/>
      <c r="P5" s="35"/>
      <c r="Q5" s="35"/>
      <c r="R5" s="35"/>
      <c r="S5" s="35"/>
      <c r="T5" s="35"/>
      <c r="U5" s="35"/>
      <c r="V5" s="35"/>
    </row>
    <row r="6" spans="1:22" s="1" customFormat="1" x14ac:dyDescent="0.3">
      <c r="A6" s="71" t="s">
        <v>4</v>
      </c>
      <c r="B6" s="53">
        <f>'R1'!B28</f>
        <v>9.4355394527515679E-2</v>
      </c>
      <c r="C6" s="53">
        <f>'R1'!C28</f>
        <v>0.34402104627098384</v>
      </c>
      <c r="D6" s="53">
        <f>'R1'!D28</f>
        <v>9.5928112128538079E-2</v>
      </c>
      <c r="E6" s="53">
        <f>'R1'!E28</f>
        <v>0.69199349105755581</v>
      </c>
      <c r="F6" s="53">
        <f>'R1'!F28</f>
        <v>1.4439901621211073</v>
      </c>
      <c r="G6" s="53">
        <f>'R1'!G28</f>
        <v>1.2534483415941051</v>
      </c>
      <c r="H6" s="53">
        <f>'R1'!H28</f>
        <v>1.5027291890453756</v>
      </c>
      <c r="I6" s="53">
        <f>'R1'!I28</f>
        <v>0.1477881332577527</v>
      </c>
      <c r="J6" s="53">
        <f>'R1'!J28</f>
        <v>2.696980088607798E-2</v>
      </c>
      <c r="K6" s="53">
        <f>'R1'!K28</f>
        <v>0.13375070102212983</v>
      </c>
      <c r="L6" s="53" t="str">
        <f>'R1'!L28</f>
        <v/>
      </c>
      <c r="M6" s="53">
        <f>'R1'!M28</f>
        <v>9.1190429925515487E-2</v>
      </c>
      <c r="N6"/>
      <c r="O6" s="53">
        <f>'R1'!O28</f>
        <v>1.1050218222970418</v>
      </c>
      <c r="P6" s="53">
        <f>'R1'!P28</f>
        <v>0.60906955568084731</v>
      </c>
      <c r="Q6" s="53">
        <f>'R1'!Q28</f>
        <v>0.1248278684086685</v>
      </c>
      <c r="R6" s="53">
        <f>'R1'!R28</f>
        <v>0.46006278786587868</v>
      </c>
      <c r="S6" s="53">
        <f>'R1'!S28</f>
        <v>0.66495563772394106</v>
      </c>
      <c r="T6" s="53">
        <f>'R1'!T28</f>
        <v>1.1143800103033545</v>
      </c>
      <c r="U6" s="53">
        <f>'R1'!U28</f>
        <v>0.18162229288891779</v>
      </c>
      <c r="V6" s="53" t="str">
        <f>'R1'!V28</f>
        <v/>
      </c>
    </row>
    <row r="7" spans="1:22" s="1" customFormat="1" x14ac:dyDescent="0.3">
      <c r="A7" s="227" t="s">
        <v>34</v>
      </c>
      <c r="B7" s="53">
        <f>'R1'!B29</f>
        <v>0.10088993175258709</v>
      </c>
      <c r="C7" s="53">
        <f>'R1'!C29</f>
        <v>9.9300989726986352E-2</v>
      </c>
      <c r="D7" s="53">
        <f>'R1'!D29</f>
        <v>0.13789378810958774</v>
      </c>
      <c r="E7" s="53">
        <f>'R1'!E29</f>
        <v>3.4371894147628944E-2</v>
      </c>
      <c r="F7" s="53">
        <f>'R1'!F29</f>
        <v>0.21191472072509734</v>
      </c>
      <c r="G7" s="53">
        <f>'R1'!G29</f>
        <v>1.1971544706573278</v>
      </c>
      <c r="H7" s="53">
        <f>'R1'!H29</f>
        <v>2.077007569384167</v>
      </c>
      <c r="I7" s="53">
        <f>'R1'!I29</f>
        <v>8.6089050204862239E-2</v>
      </c>
      <c r="J7" s="53">
        <f>'R1'!J29</f>
        <v>0.41096467456881586</v>
      </c>
      <c r="K7" s="53">
        <f>'R1'!K29</f>
        <v>3.0069867789764899E-2</v>
      </c>
      <c r="L7" s="53">
        <f>'R1'!L29</f>
        <v>2.4989444617525315E-2</v>
      </c>
      <c r="M7" s="53">
        <f>'R1'!M29</f>
        <v>0.25560559385297493</v>
      </c>
      <c r="N7"/>
      <c r="O7" s="53">
        <f>'R1'!O29</f>
        <v>1.0347149308745855</v>
      </c>
      <c r="P7" s="53">
        <f>'R1'!P29</f>
        <v>1.6160479313818759</v>
      </c>
      <c r="Q7" s="53">
        <f>'R1'!Q29</f>
        <v>4.8555346204456659E-2</v>
      </c>
      <c r="R7" s="53">
        <f>'R1'!R29</f>
        <v>0.90763517242490788</v>
      </c>
      <c r="S7" s="53">
        <f>'R1'!S29</f>
        <v>1.4292576334732261</v>
      </c>
      <c r="T7" s="53">
        <f>'R1'!T29</f>
        <v>1.3420800445600818</v>
      </c>
      <c r="U7" s="53">
        <f>'R1'!U29</f>
        <v>1.9472890885482101</v>
      </c>
      <c r="V7" s="53">
        <f>'R1'!V29</f>
        <v>0.63788818983808604</v>
      </c>
    </row>
    <row r="8" spans="1:22" s="1" customFormat="1" x14ac:dyDescent="0.3">
      <c r="A8" s="228"/>
      <c r="B8" s="53">
        <f>'R1'!B30</f>
        <v>7.4462597506808267E-2</v>
      </c>
      <c r="C8" s="53">
        <f>'R1'!C30</f>
        <v>0.11141132086547334</v>
      </c>
      <c r="D8" s="53">
        <f>'R1'!D30</f>
        <v>2.3986910382123364E-2</v>
      </c>
      <c r="E8" s="53">
        <f>'R1'!E30</f>
        <v>0.32921370499865832</v>
      </c>
      <c r="F8" s="53">
        <f>'R1'!F30</f>
        <v>0.3822630665851558</v>
      </c>
      <c r="G8" s="53">
        <f>'R1'!G30</f>
        <v>1.0154461732955296</v>
      </c>
      <c r="H8" s="53">
        <f>'R1'!H30</f>
        <v>2.4905427636655721</v>
      </c>
      <c r="I8" s="53">
        <f>'R1'!I30</f>
        <v>2.6241955172356179E-2</v>
      </c>
      <c r="J8" s="53">
        <f>'R1'!J30</f>
        <v>0.13082639871804136</v>
      </c>
      <c r="K8" s="53">
        <f>'R1'!K30</f>
        <v>9.2759992777314323E-2</v>
      </c>
      <c r="L8" s="53">
        <f>'R1'!L30</f>
        <v>6.1091418261971009E-2</v>
      </c>
      <c r="M8" s="53">
        <f>'R1'!M30</f>
        <v>0.29435117223368878</v>
      </c>
      <c r="N8"/>
      <c r="O8" s="53">
        <f>'R1'!O30</f>
        <v>1.459226323948607</v>
      </c>
      <c r="P8" s="53">
        <f>'R1'!P30</f>
        <v>2.5802806569128673</v>
      </c>
      <c r="Q8" s="53">
        <f>'R1'!Q30</f>
        <v>0.10681034446213843</v>
      </c>
      <c r="R8" s="53">
        <f>'R1'!R30</f>
        <v>0.39450033882335278</v>
      </c>
      <c r="S8" s="53">
        <f>'R1'!S30</f>
        <v>1.3952040685448701</v>
      </c>
      <c r="T8" s="53">
        <f>'R1'!T30</f>
        <v>0.96598406202852893</v>
      </c>
      <c r="U8" s="53">
        <f>'R1'!U30</f>
        <v>1.9917893801911615</v>
      </c>
      <c r="V8" s="53">
        <f>'R1'!V30</f>
        <v>0.70680413730525837</v>
      </c>
    </row>
    <row r="9" spans="1:22" s="1" customFormat="1" x14ac:dyDescent="0.3">
      <c r="A9" s="228"/>
      <c r="B9" s="53">
        <f>'R1'!B31</f>
        <v>1.0076269020057009E-2</v>
      </c>
      <c r="C9" s="53">
        <f>'R1'!C31</f>
        <v>0.13085554259182092</v>
      </c>
      <c r="D9" s="53">
        <f>'R1'!D31</f>
        <v>0.41013617733224705</v>
      </c>
      <c r="E9" s="53">
        <f>'R1'!E31</f>
        <v>0.13316271585731929</v>
      </c>
      <c r="F9" s="53">
        <f>'R1'!F31</f>
        <v>0.97361690266186052</v>
      </c>
      <c r="G9" s="53">
        <f>'R1'!G31</f>
        <v>0.63024242975555334</v>
      </c>
      <c r="H9" s="53">
        <f>'R1'!H31</f>
        <v>4.0012002881882189</v>
      </c>
      <c r="I9" s="53">
        <f>'R1'!I31</f>
        <v>0.1614484978480831</v>
      </c>
      <c r="J9" s="53">
        <f>'R1'!J31</f>
        <v>5.5687783520469818E-2</v>
      </c>
      <c r="K9" s="53">
        <f>'R1'!K31</f>
        <v>0.10997200408876157</v>
      </c>
      <c r="L9" s="53">
        <f>'R1'!L31</f>
        <v>9.0228682090789589E-2</v>
      </c>
      <c r="M9" s="53">
        <f>'R1'!M31</f>
        <v>0.21866678542044102</v>
      </c>
      <c r="N9"/>
      <c r="O9" s="53">
        <f>'R1'!O31</f>
        <v>1.0547798870672074</v>
      </c>
      <c r="P9" s="53">
        <f>'R1'!P31</f>
        <v>1.960816352766537</v>
      </c>
      <c r="Q9" s="53">
        <f>'R1'!Q31</f>
        <v>0.19544347457657316</v>
      </c>
      <c r="R9" s="53">
        <f>'R1'!R31</f>
        <v>0.68822116211694317</v>
      </c>
      <c r="S9" s="53">
        <f>'R1'!S31</f>
        <v>0.22802812817597745</v>
      </c>
      <c r="T9" s="53">
        <f>'R1'!T31</f>
        <v>1.9179895804736085</v>
      </c>
      <c r="U9" s="53">
        <f>'R1'!U31</f>
        <v>1.5412016562790209</v>
      </c>
      <c r="V9" s="53">
        <f>'R1'!V31</f>
        <v>0.66082562031183789</v>
      </c>
    </row>
    <row r="10" spans="1:22" s="1" customFormat="1" x14ac:dyDescent="0.3">
      <c r="A10" s="228"/>
      <c r="B10" s="53">
        <f>'R1'!B32</f>
        <v>0.20510391760373398</v>
      </c>
      <c r="C10" s="53">
        <f>'R1'!C32</f>
        <v>8.4454589654750112E-2</v>
      </c>
      <c r="D10" s="53">
        <f>'R1'!D32</f>
        <v>0.12735602434596965</v>
      </c>
      <c r="E10" s="53">
        <f>'R1'!E32</f>
        <v>1.4645359922310921</v>
      </c>
      <c r="F10" s="53">
        <f>'R1'!F32</f>
        <v>0.23619066622656038</v>
      </c>
      <c r="G10" s="53">
        <f>'R1'!G32</f>
        <v>1.0237613411180715</v>
      </c>
      <c r="H10" s="53">
        <f>'R1'!H32</f>
        <v>1.9511853540654627</v>
      </c>
      <c r="I10" s="53">
        <f>'R1'!I32</f>
        <v>0.23494949774631899</v>
      </c>
      <c r="J10" s="53">
        <f>'R1'!J32</f>
        <v>0.10516596898589511</v>
      </c>
      <c r="K10" s="53">
        <f>'R1'!K32</f>
        <v>5.3582063526818942E-2</v>
      </c>
      <c r="L10" s="53">
        <f>'R1'!L32</f>
        <v>0.17292517507109464</v>
      </c>
      <c r="M10" s="53">
        <f>'R1'!M32</f>
        <v>0.59510693606966891</v>
      </c>
      <c r="N10"/>
      <c r="O10" s="53">
        <f>'R1'!O32</f>
        <v>1.9622460550694243</v>
      </c>
      <c r="P10" s="53">
        <f>'R1'!P32</f>
        <v>1.5858515731708616</v>
      </c>
      <c r="Q10" s="53">
        <f>'R1'!Q32</f>
        <v>0.18400555570116539</v>
      </c>
      <c r="R10" s="53">
        <f>'R1'!R32</f>
        <v>1.4331014700629063</v>
      </c>
      <c r="S10" s="53">
        <f>'R1'!S32</f>
        <v>1.1074781701329683</v>
      </c>
      <c r="T10" s="53">
        <f>'R1'!T32</f>
        <v>1.1806153222874203</v>
      </c>
      <c r="U10" s="53">
        <f>'R1'!U32</f>
        <v>0.56753938531880266</v>
      </c>
      <c r="V10" s="53">
        <f>'R1'!V32</f>
        <v>0.62412386874953163</v>
      </c>
    </row>
    <row r="11" spans="1:22" s="1" customFormat="1" x14ac:dyDescent="0.3">
      <c r="A11" s="228"/>
      <c r="B11" s="53">
        <f>'R1'!B33</f>
        <v>0.12605296269048505</v>
      </c>
      <c r="C11" s="53">
        <f>'R1'!C33</f>
        <v>9.2971210749139471E-2</v>
      </c>
      <c r="D11" s="53">
        <f>'R1'!D33</f>
        <v>3.2786106871251774E-2</v>
      </c>
      <c r="E11" s="53">
        <f>'R1'!E33</f>
        <v>0.18070088077640745</v>
      </c>
      <c r="F11" s="53">
        <f>'R1'!F33</f>
        <v>0.24944797404704241</v>
      </c>
      <c r="G11" s="53">
        <f>'R1'!G33</f>
        <v>0.34154516903510168</v>
      </c>
      <c r="H11" s="53">
        <f>'R1'!H33</f>
        <v>2.032175878846588</v>
      </c>
      <c r="I11" s="53">
        <f>'R1'!I33</f>
        <v>4.5894240121305364E-2</v>
      </c>
      <c r="J11" s="53">
        <f>'R1'!J33</f>
        <v>3.0657852954575456E-2</v>
      </c>
      <c r="K11" s="53">
        <f>'R1'!K33</f>
        <v>1.3192410122168742E-2</v>
      </c>
      <c r="L11" s="53">
        <f>'R1'!L33</f>
        <v>4.364565505567318E-2</v>
      </c>
      <c r="M11" s="53">
        <f>'R1'!M33</f>
        <v>6.8932322117904093E-2</v>
      </c>
      <c r="N11"/>
      <c r="O11" s="53">
        <f>'R1'!O33</f>
        <v>0.81935282037890256</v>
      </c>
      <c r="P11" s="53">
        <f>'R1'!P33</f>
        <v>1.5761359220322884</v>
      </c>
      <c r="Q11" s="53">
        <f>'R1'!Q33</f>
        <v>0.19817293355956828</v>
      </c>
      <c r="R11" s="53">
        <f>'R1'!R33</f>
        <v>0.24467799322101666</v>
      </c>
      <c r="S11" s="53">
        <f>'R1'!S33</f>
        <v>1.0657920650235879</v>
      </c>
      <c r="T11" s="53">
        <f>'R1'!T33</f>
        <v>0.33265148029541991</v>
      </c>
      <c r="U11" s="53">
        <f>'R1'!U33</f>
        <v>1.3955224728772195</v>
      </c>
      <c r="V11" s="53">
        <f>'R1'!V33</f>
        <v>0.14250467943905384</v>
      </c>
    </row>
    <row r="12" spans="1:22" s="1" customFormat="1" x14ac:dyDescent="0.3">
      <c r="A12" s="228"/>
      <c r="B12" s="53">
        <f>'R1'!B34</f>
        <v>8.022722569517704E-2</v>
      </c>
      <c r="C12" s="53">
        <f>'R1'!C34</f>
        <v>0.22205738970500263</v>
      </c>
      <c r="D12" s="53">
        <f>'R1'!D34</f>
        <v>9.6509637568748002E-2</v>
      </c>
      <c r="E12" s="53">
        <f>'R1'!E34</f>
        <v>0.10901010602788215</v>
      </c>
      <c r="F12" s="53">
        <f>'R1'!F34</f>
        <v>0.53997483909100652</v>
      </c>
      <c r="G12" s="53">
        <f>'R1'!G34</f>
        <v>1.1685599739211152</v>
      </c>
      <c r="H12" s="53">
        <f>'R1'!H34</f>
        <v>2.0121564411784778</v>
      </c>
      <c r="I12" s="53">
        <f>'R1'!I34</f>
        <v>5.2968089237452373E-2</v>
      </c>
      <c r="J12" s="53">
        <f>'R1'!J34</f>
        <v>0.33555339890263641</v>
      </c>
      <c r="K12" s="53">
        <f>'R1'!K34</f>
        <v>7.779641630534577E-2</v>
      </c>
      <c r="L12" s="53">
        <f>'R1'!L34</f>
        <v>0.15077417851093083</v>
      </c>
      <c r="M12" s="53">
        <f>'R1'!M34</f>
        <v>0.5826359870496981</v>
      </c>
      <c r="N12"/>
      <c r="O12" s="53">
        <f>'R1'!O34</f>
        <v>1.6186180004160045</v>
      </c>
      <c r="P12" s="53">
        <f>'R1'!P34</f>
        <v>1.4600421270752046</v>
      </c>
      <c r="Q12" s="53">
        <f>'R1'!Q34</f>
        <v>8.636802017191721E-3</v>
      </c>
      <c r="R12" s="53">
        <f>'R1'!R34</f>
        <v>0.5446279439696069</v>
      </c>
      <c r="S12" s="53">
        <f>'R1'!S34</f>
        <v>0.35118923741153069</v>
      </c>
      <c r="T12" s="53">
        <f>'R1'!T34</f>
        <v>0.1450717439501123</v>
      </c>
      <c r="U12" s="53">
        <f>'R1'!U34</f>
        <v>1.1197674206202775</v>
      </c>
      <c r="V12" s="53">
        <f>'R1'!V34</f>
        <v>0.886523891073138</v>
      </c>
    </row>
    <row r="13" spans="1:22" s="1" customFormat="1" x14ac:dyDescent="0.3">
      <c r="A13" s="228"/>
      <c r="B13" s="53">
        <f>'R1'!B35</f>
        <v>3.9050988150785386E-2</v>
      </c>
      <c r="C13" s="53">
        <f>'R1'!C35</f>
        <v>0.10575094962763561</v>
      </c>
      <c r="D13" s="53">
        <f>'R1'!D35</f>
        <v>0.11481664731307825</v>
      </c>
      <c r="E13" s="53">
        <f>'R1'!E35</f>
        <v>0.2047789784337071</v>
      </c>
      <c r="F13" s="53">
        <f>'R1'!F35</f>
        <v>0.41052946940211782</v>
      </c>
      <c r="G13" s="53">
        <f>'R1'!G35</f>
        <v>1.0936292717199918</v>
      </c>
      <c r="H13" s="53">
        <f>'R1'!H35</f>
        <v>1.5325939981356089</v>
      </c>
      <c r="I13" s="53">
        <f>'R1'!I35</f>
        <v>1.2412586159334918E-2</v>
      </c>
      <c r="J13" s="53">
        <f>'R1'!J35</f>
        <v>0.13763690138709769</v>
      </c>
      <c r="K13" s="53">
        <f>'R1'!K35</f>
        <v>7.4355636485514159E-2</v>
      </c>
      <c r="L13" s="53">
        <f>'R1'!L35</f>
        <v>0.10550728280665382</v>
      </c>
      <c r="M13" s="53">
        <f>'R1'!M35</f>
        <v>7.4426843682274563E-2</v>
      </c>
      <c r="N13"/>
      <c r="O13" s="53">
        <f>'R1'!O35</f>
        <v>1.0485022365646262</v>
      </c>
      <c r="P13" s="53">
        <f>'R1'!P35</f>
        <v>1.4500534399026399</v>
      </c>
      <c r="Q13" s="53" t="str">
        <f>'R1'!Q35</f>
        <v/>
      </c>
      <c r="R13" s="53" t="str">
        <f>'R1'!R35</f>
        <v/>
      </c>
      <c r="S13" s="53">
        <f>'R1'!S35</f>
        <v>0.97127412579798189</v>
      </c>
      <c r="T13" s="53">
        <f>'R1'!T35</f>
        <v>1.0226011445345682</v>
      </c>
      <c r="U13" s="53">
        <f>'R1'!U35</f>
        <v>0.81610658342785725</v>
      </c>
      <c r="V13" s="53">
        <f>'R1'!V35</f>
        <v>0.93745130824140632</v>
      </c>
    </row>
    <row r="14" spans="1:22" s="1" customFormat="1" x14ac:dyDescent="0.3">
      <c r="A14" s="228"/>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0.3440438806463163</v>
      </c>
      <c r="P14" s="53" t="str">
        <f>'R1'!P36</f>
        <v/>
      </c>
      <c r="Q14" s="53" t="str">
        <f>'R1'!Q36</f>
        <v/>
      </c>
      <c r="R14" s="53" t="str">
        <f>'R1'!R36</f>
        <v/>
      </c>
      <c r="S14" s="53" t="str">
        <f>'R1'!S36</f>
        <v/>
      </c>
      <c r="T14" s="53" t="str">
        <f>'R1'!T36</f>
        <v/>
      </c>
      <c r="U14" s="53" t="str">
        <f>'R1'!U36</f>
        <v/>
      </c>
      <c r="V14" s="53" t="str">
        <f>'R1'!V36</f>
        <v/>
      </c>
    </row>
    <row r="15" spans="1:22" s="1" customFormat="1" x14ac:dyDescent="0.3">
      <c r="A15" s="228"/>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0.87936891983409937</v>
      </c>
      <c r="P15" s="53" t="str">
        <f>'R1'!P37</f>
        <v/>
      </c>
      <c r="Q15" s="53" t="str">
        <f>'R1'!Q37</f>
        <v/>
      </c>
      <c r="R15" s="53" t="str">
        <f>'R1'!R37</f>
        <v/>
      </c>
      <c r="S15" s="53" t="str">
        <f>'R1'!S37</f>
        <v/>
      </c>
      <c r="T15" s="53" t="str">
        <f>'R1'!T37</f>
        <v/>
      </c>
      <c r="U15" s="53" t="str">
        <f>'R1'!U37</f>
        <v/>
      </c>
      <c r="V15" s="53" t="str">
        <f>'R1'!V37</f>
        <v/>
      </c>
    </row>
    <row r="16" spans="1:22" s="1" customFormat="1" x14ac:dyDescent="0.3">
      <c r="A16" s="228"/>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9.0267590664546843E-2</v>
      </c>
      <c r="P16" s="53" t="str">
        <f>'R1'!P38</f>
        <v/>
      </c>
      <c r="Q16" s="53" t="str">
        <f>'R1'!Q38</f>
        <v/>
      </c>
      <c r="R16" s="53" t="str">
        <f>'R1'!R38</f>
        <v/>
      </c>
      <c r="S16" s="53" t="str">
        <f>'R1'!S38</f>
        <v/>
      </c>
      <c r="T16" s="53" t="str">
        <f>'R1'!T38</f>
        <v/>
      </c>
      <c r="U16" s="53" t="str">
        <f>'R1'!U38</f>
        <v/>
      </c>
      <c r="V16" s="53" t="str">
        <f>'R1'!V38</f>
        <v/>
      </c>
    </row>
    <row r="17" spans="1:22" s="1" customFormat="1" x14ac:dyDescent="0.3">
      <c r="A17" s="228"/>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0.93245238275744213</v>
      </c>
      <c r="P17" s="53" t="str">
        <f>'R1'!P39</f>
        <v/>
      </c>
      <c r="Q17" s="53" t="str">
        <f>'R1'!Q39</f>
        <v/>
      </c>
      <c r="R17" s="53" t="str">
        <f>'R1'!R39</f>
        <v/>
      </c>
      <c r="S17" s="53" t="str">
        <f>'R1'!S39</f>
        <v/>
      </c>
      <c r="T17" s="53" t="str">
        <f>'R1'!T39</f>
        <v/>
      </c>
      <c r="U17" s="53" t="str">
        <f>'R1'!U39</f>
        <v/>
      </c>
      <c r="V17" s="53" t="str">
        <f>'R1'!V39</f>
        <v/>
      </c>
    </row>
    <row r="18" spans="1:22" s="1" customFormat="1" x14ac:dyDescent="0.3">
      <c r="A18" s="228"/>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0.99024092880849712</v>
      </c>
      <c r="P18" s="53" t="str">
        <f>'R1'!P40</f>
        <v/>
      </c>
      <c r="Q18" s="53" t="str">
        <f>'R1'!Q40</f>
        <v/>
      </c>
      <c r="R18" s="53" t="str">
        <f>'R1'!R40</f>
        <v/>
      </c>
      <c r="S18" s="53" t="str">
        <f>'R1'!S40</f>
        <v/>
      </c>
      <c r="T18" s="53" t="str">
        <f>'R1'!T40</f>
        <v/>
      </c>
      <c r="U18" s="53" t="str">
        <f>'R1'!U40</f>
        <v/>
      </c>
      <c r="V18" s="53" t="str">
        <f>'R1'!V40</f>
        <v/>
      </c>
    </row>
    <row r="19" spans="1:22" s="1" customFormat="1" x14ac:dyDescent="0.3">
      <c r="A19" s="228"/>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1.9301682645119393</v>
      </c>
      <c r="P19" s="53" t="str">
        <f>'R1'!P41</f>
        <v/>
      </c>
      <c r="Q19" s="53" t="str">
        <f>'R1'!Q41</f>
        <v/>
      </c>
      <c r="R19" s="53" t="str">
        <f>'R1'!R41</f>
        <v/>
      </c>
      <c r="S19" s="53" t="str">
        <f>'R1'!S41</f>
        <v/>
      </c>
      <c r="T19" s="53" t="str">
        <f>'R1'!T41</f>
        <v/>
      </c>
      <c r="U19" s="53" t="str">
        <f>'R1'!U41</f>
        <v/>
      </c>
      <c r="V19" s="53" t="str">
        <f>'R1'!V41</f>
        <v/>
      </c>
    </row>
    <row r="20" spans="1:22" s="1" customFormat="1" x14ac:dyDescent="0.3">
      <c r="A20" s="228"/>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0.31704493588645871</v>
      </c>
      <c r="P20" s="53" t="str">
        <f>'R1'!P42</f>
        <v/>
      </c>
      <c r="Q20" s="53" t="str">
        <f>'R1'!Q42</f>
        <v/>
      </c>
      <c r="R20" s="53" t="str">
        <f>'R1'!R42</f>
        <v/>
      </c>
      <c r="S20" s="53" t="str">
        <f>'R1'!S42</f>
        <v/>
      </c>
      <c r="T20" s="53" t="str">
        <f>'R1'!T42</f>
        <v/>
      </c>
      <c r="U20" s="53" t="str">
        <f>'R1'!U42</f>
        <v/>
      </c>
      <c r="V20" s="53" t="str">
        <f>'R1'!V42</f>
        <v/>
      </c>
    </row>
    <row r="21" spans="1:22" s="1" customFormat="1" x14ac:dyDescent="0.3">
      <c r="A21" s="229"/>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0.41395102027430103</v>
      </c>
      <c r="P21" s="53" t="str">
        <f>'R1'!P43</f>
        <v/>
      </c>
      <c r="Q21" s="53" t="str">
        <f>'R1'!Q43</f>
        <v/>
      </c>
      <c r="R21" s="53" t="str">
        <f>'R1'!R43</f>
        <v/>
      </c>
      <c r="S21" s="53" t="str">
        <f>'R1'!S43</f>
        <v/>
      </c>
      <c r="T21" s="53" t="str">
        <f>'R1'!T43</f>
        <v/>
      </c>
      <c r="U21" s="53" t="str">
        <f>'R1'!U43</f>
        <v/>
      </c>
      <c r="V21" s="53" t="str">
        <f>'R1'!V43</f>
        <v/>
      </c>
    </row>
    <row r="22" spans="1:22" x14ac:dyDescent="0.3">
      <c r="A22" s="39" t="s">
        <v>5</v>
      </c>
      <c r="B22" s="54">
        <f>'R2'!B28</f>
        <v>2.8591691389531389E-2</v>
      </c>
      <c r="C22" s="54">
        <f>'R2'!C28</f>
        <v>1.7526882874688173E-2</v>
      </c>
      <c r="D22" s="54">
        <f>'R2'!D28</f>
        <v>3.3108730918377453E-2</v>
      </c>
      <c r="E22" s="54">
        <f>'R2'!E28</f>
        <v>0.12236682527474642</v>
      </c>
      <c r="F22" s="54">
        <f>'R2'!F28</f>
        <v>0.39264694746300471</v>
      </c>
      <c r="G22" s="54">
        <f>'R2'!G28</f>
        <v>1.6893201719516231</v>
      </c>
      <c r="H22" s="54">
        <f>'R2'!H28</f>
        <v>2.9392949260578933</v>
      </c>
      <c r="I22" s="54">
        <f>'R2'!I28</f>
        <v>4.7067336196618993E-2</v>
      </c>
      <c r="J22" s="54">
        <f>'R2'!J28</f>
        <v>2.8998157907113877E-2</v>
      </c>
      <c r="K22" s="54">
        <f>'R2'!K28</f>
        <v>6.2642917456423003E-2</v>
      </c>
      <c r="L22" s="54">
        <f>'R2'!L28</f>
        <v>0.14477057766462384</v>
      </c>
      <c r="M22" s="54">
        <f>'R2'!M28</f>
        <v>0.41691995032061718</v>
      </c>
      <c r="O22" s="54">
        <f>'R2'!O28</f>
        <v>1.1302211777116857</v>
      </c>
      <c r="P22" s="54">
        <f>'R2'!P28</f>
        <v>0.89802736171663877</v>
      </c>
      <c r="Q22" s="54">
        <f>'R2'!Q28</f>
        <v>0.18836713576291836</v>
      </c>
      <c r="R22" s="54">
        <f>'R2'!R28</f>
        <v>1.4137064337203507</v>
      </c>
      <c r="S22" s="54">
        <f>'R2'!S28</f>
        <v>0.27613708755527344</v>
      </c>
      <c r="T22" s="54">
        <f>'R2'!T28</f>
        <v>0.89053738906044777</v>
      </c>
      <c r="U22" s="54">
        <f>'R2'!U28</f>
        <v>0.72510668231765574</v>
      </c>
      <c r="V22" s="54">
        <f>'R2'!V28</f>
        <v>1.4922101439729378</v>
      </c>
    </row>
    <row r="23" spans="1:22" x14ac:dyDescent="0.3">
      <c r="A23" s="227" t="s">
        <v>34</v>
      </c>
      <c r="B23" s="54">
        <f>'R2'!B29</f>
        <v>8.02992167053002E-2</v>
      </c>
      <c r="C23" s="54">
        <f>'R2'!C29</f>
        <v>6.7295640143343383E-2</v>
      </c>
      <c r="D23" s="54">
        <f>'R2'!D29</f>
        <v>7.2159684612441835E-2</v>
      </c>
      <c r="E23" s="54">
        <f>'R2'!E29</f>
        <v>9.4541284649980586E-2</v>
      </c>
      <c r="F23" s="54">
        <f>'R2'!F29</f>
        <v>1.1547429573156276</v>
      </c>
      <c r="G23" s="54">
        <f>'R2'!G29</f>
        <v>1.5453316306202181</v>
      </c>
      <c r="H23" s="54">
        <f>'R2'!H29</f>
        <v>2.3914844499435874</v>
      </c>
      <c r="I23" s="54">
        <f>'R2'!I29</f>
        <v>1.9569562942969337E-2</v>
      </c>
      <c r="J23" s="54">
        <f>'R2'!J29</f>
        <v>2.6649717080895082E-2</v>
      </c>
      <c r="K23" s="54">
        <f>'R2'!K29</f>
        <v>4.1579090904714587E-2</v>
      </c>
      <c r="L23" s="54">
        <f>'R2'!L29</f>
        <v>4.3483173031718968E-2</v>
      </c>
      <c r="M23" s="54">
        <f>'R2'!M29</f>
        <v>0.43812878733664784</v>
      </c>
      <c r="O23" s="54">
        <f>'R2'!O29</f>
        <v>1.2722616236897291</v>
      </c>
      <c r="P23" s="54">
        <f>'R2'!P29</f>
        <v>0.71171558532893242</v>
      </c>
      <c r="Q23" s="54">
        <f>'R2'!Q29</f>
        <v>2.8399169959009173E-2</v>
      </c>
      <c r="R23" s="54">
        <f>'R2'!R29</f>
        <v>1.2511126854685088</v>
      </c>
      <c r="S23" s="54">
        <f>'R2'!S29</f>
        <v>7.3241069180553009E-2</v>
      </c>
      <c r="T23" s="54">
        <f>'R2'!T29</f>
        <v>1.0218128119760206</v>
      </c>
      <c r="U23" s="54">
        <f>'R2'!U29</f>
        <v>0.42419539493310754</v>
      </c>
      <c r="V23" s="54">
        <f>'R2'!V29</f>
        <v>0.88910316998567929</v>
      </c>
    </row>
    <row r="24" spans="1:22" x14ac:dyDescent="0.3">
      <c r="A24" s="228"/>
      <c r="B24" s="54">
        <f>'R2'!B30</f>
        <v>2.2602249125964678E-2</v>
      </c>
      <c r="C24" s="54">
        <f>'R2'!C30</f>
        <v>2.1656547715927829E-2</v>
      </c>
      <c r="D24" s="54">
        <f>'R2'!D30</f>
        <v>7.5226910976386285E-2</v>
      </c>
      <c r="E24" s="54">
        <f>'R2'!E30</f>
        <v>0.41639980725813897</v>
      </c>
      <c r="F24" s="54">
        <f>'R2'!F30</f>
        <v>0.40830450700037785</v>
      </c>
      <c r="G24" s="54">
        <f>'R2'!G30</f>
        <v>0.6837103483197351</v>
      </c>
      <c r="H24" s="54">
        <f>'R2'!H30</f>
        <v>0.98585429752060205</v>
      </c>
      <c r="I24" s="54">
        <f>'R2'!I30</f>
        <v>2.2160805209952721E-2</v>
      </c>
      <c r="J24" s="54">
        <f>'R2'!J30</f>
        <v>8.0046796479967527E-2</v>
      </c>
      <c r="K24" s="54">
        <f>'R2'!K30</f>
        <v>8.4620965759581723E-2</v>
      </c>
      <c r="L24" s="54">
        <f>'R2'!L30</f>
        <v>0.11293502404907918</v>
      </c>
      <c r="M24" s="54">
        <f>'R2'!M30</f>
        <v>0.71763259522991807</v>
      </c>
      <c r="O24" s="54">
        <f>'R2'!O30</f>
        <v>0.63379964110912024</v>
      </c>
      <c r="P24" s="54">
        <f>'R2'!P30</f>
        <v>1.589098412057536</v>
      </c>
      <c r="Q24" s="54">
        <f>'R2'!Q30</f>
        <v>9.0298234742165404E-2</v>
      </c>
      <c r="R24" s="54">
        <f>'R2'!R30</f>
        <v>0.71287566904350985</v>
      </c>
      <c r="S24" s="54">
        <f>'R2'!S30</f>
        <v>0.43357356414784953</v>
      </c>
      <c r="T24" s="54">
        <f>'R2'!T30</f>
        <v>0.22254129281137355</v>
      </c>
      <c r="U24" s="54">
        <f>'R2'!U30</f>
        <v>0.38138065455929177</v>
      </c>
      <c r="V24" s="54">
        <f>'R2'!V30</f>
        <v>1.1710988260387292</v>
      </c>
    </row>
    <row r="25" spans="1:22" x14ac:dyDescent="0.3">
      <c r="A25" s="228"/>
      <c r="B25" s="54">
        <f>'R2'!B31</f>
        <v>3.9794952106491276E-2</v>
      </c>
      <c r="C25" s="54">
        <f>'R2'!C31</f>
        <v>0.15706761077830536</v>
      </c>
      <c r="D25" s="54">
        <f>'R2'!D31</f>
        <v>1.925126861726114E-2</v>
      </c>
      <c r="E25" s="54">
        <f>'R2'!E31</f>
        <v>0.17222390047443606</v>
      </c>
      <c r="F25" s="54">
        <f>'R2'!F31</f>
        <v>0.93463208360804206</v>
      </c>
      <c r="G25" s="54">
        <f>'R2'!G31</f>
        <v>1.0392483163973116</v>
      </c>
      <c r="H25" s="54">
        <f>'R2'!H31</f>
        <v>2.2319484550102824</v>
      </c>
      <c r="I25" s="54">
        <f>'R2'!I31</f>
        <v>4.7997297777362578E-2</v>
      </c>
      <c r="J25" s="54">
        <f>'R2'!J31</f>
        <v>0.26984829705681446</v>
      </c>
      <c r="K25" s="54">
        <f>'R2'!K31</f>
        <v>3.5699973185360841E-2</v>
      </c>
      <c r="L25" s="54">
        <f>'R2'!L31</f>
        <v>2.3797018760651396E-2</v>
      </c>
      <c r="M25" s="54">
        <f>'R2'!M31</f>
        <v>6.600963779441979E-2</v>
      </c>
      <c r="O25" s="54">
        <f>'R2'!O31</f>
        <v>1.2392158520885246</v>
      </c>
      <c r="P25" s="54">
        <f>'R2'!P31</f>
        <v>1.9693063764648997</v>
      </c>
      <c r="Q25" s="54">
        <f>'R2'!Q31</f>
        <v>3.7064966159070983E-2</v>
      </c>
      <c r="R25" s="54">
        <f>'R2'!R31</f>
        <v>1.2375420378345143</v>
      </c>
      <c r="S25" s="54">
        <f>'R2'!S31</f>
        <v>1.0549626413375528</v>
      </c>
      <c r="T25" s="54">
        <f>'R2'!T31</f>
        <v>0.88120964559510828</v>
      </c>
      <c r="U25" s="54">
        <f>'R2'!U31</f>
        <v>0.68208069303124197</v>
      </c>
      <c r="V25" s="54">
        <f>'R2'!V31</f>
        <v>0.8233583402452026</v>
      </c>
    </row>
    <row r="26" spans="1:22" x14ac:dyDescent="0.3">
      <c r="A26" s="228"/>
      <c r="B26" s="54">
        <f>'R2'!B32</f>
        <v>7.0164515510360695E-2</v>
      </c>
      <c r="C26" s="54">
        <f>'R2'!C32</f>
        <v>2.6870511908481123E-2</v>
      </c>
      <c r="D26" s="54">
        <f>'R2'!D32</f>
        <v>2.1924416292233538E-2</v>
      </c>
      <c r="E26" s="54">
        <f>'R2'!E32</f>
        <v>0.30275838549994455</v>
      </c>
      <c r="F26" s="54">
        <f>'R2'!F32</f>
        <v>1.0862083885720806</v>
      </c>
      <c r="G26" s="54">
        <f>'R2'!G32</f>
        <v>1.747058092234953</v>
      </c>
      <c r="H26" s="54">
        <f>'R2'!H32</f>
        <v>2.8999224717765979</v>
      </c>
      <c r="I26" s="54">
        <f>'R2'!I32</f>
        <v>7.5972366780414392E-3</v>
      </c>
      <c r="J26" s="54">
        <f>'R2'!J32</f>
        <v>4.9182594366641311E-2</v>
      </c>
      <c r="K26" s="54">
        <f>'R2'!K32</f>
        <v>0.18511394623065722</v>
      </c>
      <c r="L26" s="54">
        <f>'R2'!L32</f>
        <v>0.11598038953900519</v>
      </c>
      <c r="M26" s="54">
        <f>'R2'!M32</f>
        <v>0.2235122799656917</v>
      </c>
      <c r="O26" s="54">
        <f>'R2'!O32</f>
        <v>1.6808941166699634</v>
      </c>
      <c r="P26" s="54">
        <f>'R2'!P32</f>
        <v>1.9791669422996481</v>
      </c>
      <c r="Q26" s="54">
        <f>'R2'!Q32</f>
        <v>0.11266715547277348</v>
      </c>
      <c r="R26" s="54">
        <f>'R2'!R32</f>
        <v>8.4958206176105874E-2</v>
      </c>
      <c r="S26" s="54">
        <f>'R2'!S32</f>
        <v>0.24924165425041131</v>
      </c>
      <c r="T26" s="54">
        <f>'R2'!T32</f>
        <v>0.48506991342060046</v>
      </c>
      <c r="U26" s="54">
        <f>'R2'!U32</f>
        <v>1.3622857230717034</v>
      </c>
      <c r="V26" s="54">
        <f>'R2'!V32</f>
        <v>0.53483575590605326</v>
      </c>
    </row>
    <row r="27" spans="1:22" x14ac:dyDescent="0.3">
      <c r="A27" s="228"/>
      <c r="B27" s="54">
        <f>'R2'!B33</f>
        <v>6.2989630918355133E-2</v>
      </c>
      <c r="C27" s="54">
        <f>'R2'!C33</f>
        <v>1.5956980641845368E-2</v>
      </c>
      <c r="D27" s="54">
        <f>'R2'!D33</f>
        <v>1.874373199213349E-2</v>
      </c>
      <c r="E27" s="54">
        <f>'R2'!E33</f>
        <v>0.66333703390868859</v>
      </c>
      <c r="F27" s="54">
        <f>'R2'!F33</f>
        <v>0.51077713535298142</v>
      </c>
      <c r="G27" s="54">
        <f>'R2'!G33</f>
        <v>1.5282238935700432</v>
      </c>
      <c r="H27" s="54">
        <f>'R2'!H33</f>
        <v>2.8500433899637296</v>
      </c>
      <c r="I27" s="54">
        <f>'R2'!I33</f>
        <v>0.13968267784557678</v>
      </c>
      <c r="J27" s="54">
        <f>'R2'!J33</f>
        <v>0.11590460517574135</v>
      </c>
      <c r="K27" s="54">
        <f>'R2'!K33</f>
        <v>0.11315261261514252</v>
      </c>
      <c r="L27" s="54">
        <f>'R2'!L33</f>
        <v>0.30779585956958916</v>
      </c>
      <c r="M27" s="54">
        <f>'R2'!M33</f>
        <v>0.12471205983944252</v>
      </c>
      <c r="O27" s="54">
        <f>'R2'!O33</f>
        <v>0.8662772112489262</v>
      </c>
      <c r="P27" s="54">
        <f>'R2'!P33</f>
        <v>2.3271613057101086</v>
      </c>
      <c r="Q27" s="54">
        <f>'R2'!Q33</f>
        <v>1.38765541310924E-2</v>
      </c>
      <c r="R27" s="54">
        <f>'R2'!R33</f>
        <v>1.2067721289577875</v>
      </c>
      <c r="S27" s="54">
        <f>'R2'!S33</f>
        <v>0.13930120559395534</v>
      </c>
      <c r="T27" s="54">
        <f>'R2'!T33</f>
        <v>3.8429959132781126E-2</v>
      </c>
      <c r="U27" s="54">
        <f>'R2'!U33</f>
        <v>1.2051330006238863</v>
      </c>
      <c r="V27" s="54">
        <f>'R2'!V33</f>
        <v>0.85322335467672694</v>
      </c>
    </row>
    <row r="28" spans="1:22" x14ac:dyDescent="0.3">
      <c r="A28" s="228"/>
      <c r="B28" s="54">
        <f>'R2'!B34</f>
        <v>2.4774054090114645E-2</v>
      </c>
      <c r="C28" s="54">
        <f>'R2'!C34</f>
        <v>2.5480160320909613E-2</v>
      </c>
      <c r="D28" s="54">
        <f>'R2'!D34</f>
        <v>0.21482768341397404</v>
      </c>
      <c r="E28" s="54">
        <f>'R2'!E34</f>
        <v>2.5987769815617325E-2</v>
      </c>
      <c r="F28" s="54">
        <f>'R2'!F34</f>
        <v>0.91951368609354323</v>
      </c>
      <c r="G28" s="54">
        <f>'R2'!G34</f>
        <v>1.465858463474494</v>
      </c>
      <c r="H28" s="54">
        <f>'R2'!H34</f>
        <v>3.0626201320496071</v>
      </c>
      <c r="I28" s="54">
        <f>'R2'!I34</f>
        <v>0.12313589082271444</v>
      </c>
      <c r="J28" s="54">
        <f>'R2'!J34</f>
        <v>1.5515682464993533E-2</v>
      </c>
      <c r="K28" s="54">
        <f>'R2'!K34</f>
        <v>8.2010777401782378E-2</v>
      </c>
      <c r="L28" s="54">
        <f>'R2'!L34</f>
        <v>3.4253220542821802E-2</v>
      </c>
      <c r="M28" s="54">
        <f>'R2'!M34</f>
        <v>0.23390872869221174</v>
      </c>
      <c r="O28" s="54">
        <f>'R2'!O34</f>
        <v>0.36922841330119227</v>
      </c>
      <c r="P28" s="54">
        <f>'R2'!P34</f>
        <v>2.37508602538573</v>
      </c>
      <c r="Q28" s="54">
        <f>'R2'!Q34</f>
        <v>0.17865478665401474</v>
      </c>
      <c r="R28" s="54">
        <f>'R2'!R34</f>
        <v>1.5564436586229413</v>
      </c>
      <c r="S28" s="54" t="str">
        <f>'R2'!S34</f>
        <v/>
      </c>
      <c r="T28" s="54">
        <f>'R2'!T34</f>
        <v>1.359473831716294</v>
      </c>
      <c r="U28" s="54">
        <f>'R2'!U34</f>
        <v>0.44857223694230747</v>
      </c>
      <c r="V28" s="54">
        <f>'R2'!V34</f>
        <v>0.71552848610564512</v>
      </c>
    </row>
    <row r="29" spans="1:22" x14ac:dyDescent="0.3">
      <c r="A29" s="228"/>
      <c r="B29" s="54">
        <f>'R2'!B35</f>
        <v>1.2171041609755334E-2</v>
      </c>
      <c r="C29" s="54">
        <f>'R2'!C35</f>
        <v>8.3820420553027183E-3</v>
      </c>
      <c r="D29" s="54">
        <f>'R2'!D35</f>
        <v>6.0776144554410046E-3</v>
      </c>
      <c r="E29" s="54">
        <f>'R2'!E35</f>
        <v>0.1439066359234159</v>
      </c>
      <c r="F29" s="54">
        <f>'R2'!F35</f>
        <v>0.36516185351628577</v>
      </c>
      <c r="G29" s="54">
        <f>'R2'!G35</f>
        <v>1.0885065493880568</v>
      </c>
      <c r="H29" s="54">
        <f>'R2'!H35</f>
        <v>1.7337429253486536</v>
      </c>
      <c r="I29" s="54">
        <f>'R2'!I35</f>
        <v>7.3713992755151489E-2</v>
      </c>
      <c r="J29" s="54">
        <f>'R2'!J35</f>
        <v>3.2286033359484247E-2</v>
      </c>
      <c r="K29" s="54">
        <f>'R2'!K35</f>
        <v>2.0562629580046093E-2</v>
      </c>
      <c r="L29" s="54">
        <f>'R2'!L35</f>
        <v>9.4935363338952652E-2</v>
      </c>
      <c r="M29" s="54">
        <f>'R2'!M35</f>
        <v>0.32268122016705153</v>
      </c>
      <c r="O29" s="54">
        <f>'R2'!O35</f>
        <v>0.5289187460050675</v>
      </c>
      <c r="P29" s="54">
        <f>'R2'!P35</f>
        <v>1.3912303947070523</v>
      </c>
      <c r="Q29" s="54">
        <f>'R2'!Q35</f>
        <v>2.4379975401142593E-2</v>
      </c>
      <c r="R29" s="54">
        <f>'R2'!R35</f>
        <v>0.63559019243038894</v>
      </c>
      <c r="S29" s="54">
        <f>'R2'!S35</f>
        <v>0.99900244732940047</v>
      </c>
      <c r="T29" s="54">
        <f>'R2'!T35</f>
        <v>1.3068993041369548</v>
      </c>
      <c r="U29" s="54">
        <f>'R2'!U35</f>
        <v>1.7018224058027576</v>
      </c>
      <c r="V29" s="54">
        <f>'R2'!V35</f>
        <v>1.3489196932185212</v>
      </c>
    </row>
    <row r="30" spans="1:22" x14ac:dyDescent="0.3">
      <c r="A30" s="228"/>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1.0201576523345059</v>
      </c>
      <c r="P30" s="54" t="str">
        <f>'R2'!P36</f>
        <v/>
      </c>
      <c r="Q30" s="54" t="str">
        <f>'R2'!Q36</f>
        <v/>
      </c>
      <c r="R30" s="54" t="str">
        <f>'R2'!R36</f>
        <v/>
      </c>
      <c r="S30" s="54" t="str">
        <f>'R2'!S36</f>
        <v/>
      </c>
      <c r="T30" s="54" t="str">
        <f>'R2'!T36</f>
        <v/>
      </c>
      <c r="U30" s="54" t="str">
        <f>'R2'!U36</f>
        <v/>
      </c>
      <c r="V30" s="54" t="str">
        <f>'R2'!V36</f>
        <v/>
      </c>
    </row>
    <row r="31" spans="1:22" s="1" customFormat="1" x14ac:dyDescent="0.3">
      <c r="A31" s="228"/>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0.29447734068260695</v>
      </c>
      <c r="P31" s="54" t="str">
        <f>'R2'!P37</f>
        <v/>
      </c>
      <c r="Q31" s="54" t="str">
        <f>'R2'!Q37</f>
        <v/>
      </c>
      <c r="R31" s="54" t="str">
        <f>'R2'!R37</f>
        <v/>
      </c>
      <c r="S31" s="54" t="str">
        <f>'R2'!S37</f>
        <v/>
      </c>
      <c r="T31" s="54" t="str">
        <f>'R2'!T37</f>
        <v/>
      </c>
      <c r="U31" s="54" t="str">
        <f>'R2'!U37</f>
        <v/>
      </c>
      <c r="V31" s="54" t="str">
        <f>'R2'!V37</f>
        <v/>
      </c>
    </row>
    <row r="32" spans="1:22" s="1" customFormat="1" x14ac:dyDescent="0.3">
      <c r="A32" s="228"/>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0.79862829938144508</v>
      </c>
      <c r="P32" s="54" t="str">
        <f>'R2'!P38</f>
        <v/>
      </c>
      <c r="Q32" s="54" t="str">
        <f>'R2'!Q38</f>
        <v/>
      </c>
      <c r="R32" s="54" t="str">
        <f>'R2'!R38</f>
        <v/>
      </c>
      <c r="S32" s="54" t="str">
        <f>'R2'!S38</f>
        <v/>
      </c>
      <c r="T32" s="54" t="str">
        <f>'R2'!T38</f>
        <v/>
      </c>
      <c r="U32" s="54" t="str">
        <f>'R2'!U38</f>
        <v/>
      </c>
      <c r="V32" s="54" t="str">
        <f>'R2'!V38</f>
        <v/>
      </c>
    </row>
    <row r="33" spans="1:22" s="1" customFormat="1" x14ac:dyDescent="0.3">
      <c r="A33" s="228"/>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1.268955093624863</v>
      </c>
      <c r="P33" s="54" t="str">
        <f>'R2'!P39</f>
        <v/>
      </c>
      <c r="Q33" s="54" t="str">
        <f>'R2'!Q39</f>
        <v/>
      </c>
      <c r="R33" s="54" t="str">
        <f>'R2'!R39</f>
        <v/>
      </c>
      <c r="S33" s="54" t="str">
        <f>'R2'!S39</f>
        <v/>
      </c>
      <c r="T33" s="54" t="str">
        <f>'R2'!T39</f>
        <v/>
      </c>
      <c r="U33" s="54" t="str">
        <f>'R2'!U39</f>
        <v/>
      </c>
      <c r="V33" s="54" t="str">
        <f>'R2'!V39</f>
        <v/>
      </c>
    </row>
    <row r="34" spans="1:22" s="1" customFormat="1" x14ac:dyDescent="0.3">
      <c r="A34" s="228"/>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0.48540103279239943</v>
      </c>
      <c r="P34" s="54" t="str">
        <f>'R2'!P40</f>
        <v/>
      </c>
      <c r="Q34" s="54" t="str">
        <f>'R2'!Q40</f>
        <v/>
      </c>
      <c r="R34" s="54" t="str">
        <f>'R2'!R40</f>
        <v/>
      </c>
      <c r="S34" s="54" t="str">
        <f>'R2'!S40</f>
        <v/>
      </c>
      <c r="T34" s="54" t="str">
        <f>'R2'!T40</f>
        <v/>
      </c>
      <c r="U34" s="54" t="str">
        <f>'R2'!U40</f>
        <v/>
      </c>
      <c r="V34" s="54" t="str">
        <f>'R2'!V40</f>
        <v/>
      </c>
    </row>
    <row r="35" spans="1:22" s="1" customFormat="1" x14ac:dyDescent="0.3">
      <c r="A35" s="228"/>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1.1541048384030301</v>
      </c>
      <c r="P35" s="54" t="str">
        <f>'R2'!P41</f>
        <v/>
      </c>
      <c r="Q35" s="54" t="str">
        <f>'R2'!Q41</f>
        <v/>
      </c>
      <c r="R35" s="54" t="str">
        <f>'R2'!R41</f>
        <v/>
      </c>
      <c r="S35" s="54" t="str">
        <f>'R2'!S41</f>
        <v/>
      </c>
      <c r="T35" s="54" t="str">
        <f>'R2'!T41</f>
        <v/>
      </c>
      <c r="U35" s="54" t="str">
        <f>'R2'!U41</f>
        <v/>
      </c>
      <c r="V35" s="54" t="str">
        <f>'R2'!V41</f>
        <v/>
      </c>
    </row>
    <row r="36" spans="1:22" x14ac:dyDescent="0.3">
      <c r="A36" s="228"/>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1.5121283149869209</v>
      </c>
      <c r="P36" s="54" t="str">
        <f>'R2'!P42</f>
        <v/>
      </c>
      <c r="Q36" s="54" t="str">
        <f>'R2'!Q42</f>
        <v/>
      </c>
      <c r="R36" s="54" t="str">
        <f>'R2'!R42</f>
        <v/>
      </c>
      <c r="S36" s="54" t="str">
        <f>'R2'!S42</f>
        <v/>
      </c>
      <c r="T36" s="54" t="str">
        <f>'R2'!T42</f>
        <v/>
      </c>
      <c r="U36" s="54" t="str">
        <f>'R2'!U42</f>
        <v/>
      </c>
      <c r="V36" s="54" t="str">
        <f>'R2'!V42</f>
        <v/>
      </c>
    </row>
    <row r="37" spans="1:22" x14ac:dyDescent="0.3">
      <c r="A37" s="229"/>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1.7453306459700175</v>
      </c>
      <c r="P37" s="54" t="str">
        <f>'R2'!P43</f>
        <v/>
      </c>
      <c r="Q37" s="54" t="str">
        <f>'R2'!Q43</f>
        <v/>
      </c>
      <c r="R37" s="54" t="str">
        <f>'R2'!R43</f>
        <v/>
      </c>
      <c r="S37" s="54" t="str">
        <f>'R2'!S43</f>
        <v/>
      </c>
      <c r="T37" s="54" t="str">
        <f>'R2'!T43</f>
        <v/>
      </c>
      <c r="U37" s="54" t="str">
        <f>'R2'!U43</f>
        <v/>
      </c>
      <c r="V37" s="54" t="str">
        <f>'R2'!V43</f>
        <v/>
      </c>
    </row>
    <row r="38" spans="1:22" s="1" customFormat="1" x14ac:dyDescent="0.3">
      <c r="A38" s="153" t="s">
        <v>116</v>
      </c>
      <c r="B38" s="154">
        <f>'R3'!B28</f>
        <v>0.27890774583330863</v>
      </c>
      <c r="C38" s="154">
        <f>'R3'!C28</f>
        <v>0.18899504076489787</v>
      </c>
      <c r="D38" s="154">
        <f>'R3'!D28</f>
        <v>9.7979686067936264E-2</v>
      </c>
      <c r="E38" s="154">
        <f>'R3'!E28</f>
        <v>0.24364308242362692</v>
      </c>
      <c r="F38" s="154">
        <f>'R3'!F28</f>
        <v>1.1852435180840069</v>
      </c>
      <c r="G38" s="154">
        <f>'R3'!G28</f>
        <v>0.96015304508514865</v>
      </c>
      <c r="H38" s="154">
        <f>'R3'!H28</f>
        <v>2.1364602738796274</v>
      </c>
      <c r="I38" s="154">
        <f>'R3'!I28</f>
        <v>0.18714277879791077</v>
      </c>
      <c r="J38" s="154">
        <f>'R3'!J28</f>
        <v>0.23159982821986769</v>
      </c>
      <c r="K38" s="154">
        <f>'R3'!K28</f>
        <v>5.2187171814931203E-2</v>
      </c>
      <c r="L38" s="154">
        <f>'R3'!L28</f>
        <v>5.5575619516362404E-2</v>
      </c>
      <c r="M38" s="154">
        <f>'R3'!M28</f>
        <v>1.6953681966261833</v>
      </c>
      <c r="N38"/>
      <c r="O38" s="154">
        <f>'R3'!O28</f>
        <v>1.3127308868933185</v>
      </c>
      <c r="P38" s="154">
        <f>'R3'!P28</f>
        <v>2.0182819617518652</v>
      </c>
      <c r="Q38" s="154">
        <f>'R3'!Q28</f>
        <v>0.21550519489061712</v>
      </c>
      <c r="R38" s="154">
        <f>'R3'!R28</f>
        <v>1.5686189966962023</v>
      </c>
      <c r="S38" s="154">
        <f>'R3'!S28</f>
        <v>1.1110952959729439</v>
      </c>
      <c r="T38" s="154">
        <f>'R3'!T28</f>
        <v>0.76962181858580681</v>
      </c>
      <c r="U38" s="154">
        <f>'R3'!U28</f>
        <v>1.0649882838955482</v>
      </c>
      <c r="V38" s="154">
        <f>'R3'!V28</f>
        <v>0.31636587043894809</v>
      </c>
    </row>
    <row r="39" spans="1:22" s="1" customFormat="1" x14ac:dyDescent="0.3">
      <c r="A39" s="227" t="s">
        <v>34</v>
      </c>
      <c r="B39" s="154">
        <f>'R3'!B29</f>
        <v>0.30520744553869139</v>
      </c>
      <c r="C39" s="154">
        <f>'R3'!C29</f>
        <v>0.2785604960397533</v>
      </c>
      <c r="D39" s="154">
        <f>'R3'!D29</f>
        <v>3.9401276575409372E-2</v>
      </c>
      <c r="E39" s="154" t="str">
        <f>'R3'!E29</f>
        <v/>
      </c>
      <c r="F39" s="154">
        <f>'R3'!F29</f>
        <v>0.82129403474097695</v>
      </c>
      <c r="G39" s="154">
        <f>'R3'!G29</f>
        <v>1.1677064827713748</v>
      </c>
      <c r="H39" s="154">
        <f>'R3'!H29</f>
        <v>1.4481562018356866</v>
      </c>
      <c r="I39" s="154">
        <f>'R3'!I29</f>
        <v>0.12333076247365196</v>
      </c>
      <c r="J39" s="154">
        <f>'R3'!J29</f>
        <v>4.6439924663565377E-2</v>
      </c>
      <c r="K39" s="154">
        <f>'R3'!K29</f>
        <v>0.12202778654374329</v>
      </c>
      <c r="L39" s="154">
        <f>'R3'!L29</f>
        <v>0.16303654028848577</v>
      </c>
      <c r="M39" s="154">
        <f>'R3'!M29</f>
        <v>0.17922206362051918</v>
      </c>
      <c r="N39"/>
      <c r="O39" s="154">
        <f>'R3'!O29</f>
        <v>1.5432723924469187</v>
      </c>
      <c r="P39" s="154">
        <f>'R3'!P29</f>
        <v>2.0354774032334886</v>
      </c>
      <c r="Q39" s="154">
        <f>'R3'!Q29</f>
        <v>0.18550978403011184</v>
      </c>
      <c r="R39" s="154">
        <f>'R3'!R29</f>
        <v>0.37963728197096741</v>
      </c>
      <c r="S39" s="154">
        <f>'R3'!S29</f>
        <v>0.92078017985648486</v>
      </c>
      <c r="T39" s="154">
        <f>'R3'!T29</f>
        <v>0.73026881499306207</v>
      </c>
      <c r="U39" s="154">
        <f>'R3'!U29</f>
        <v>1.2181438576152201</v>
      </c>
      <c r="V39" s="154">
        <f>'R3'!V29</f>
        <v>0.85977352095531223</v>
      </c>
    </row>
    <row r="40" spans="1:22" s="1" customFormat="1" x14ac:dyDescent="0.3">
      <c r="A40" s="228"/>
      <c r="B40" s="154">
        <f>'R3'!B30</f>
        <v>0.2579195210951824</v>
      </c>
      <c r="C40" s="154">
        <f>'R3'!C30</f>
        <v>0.23842499660539482</v>
      </c>
      <c r="D40" s="154">
        <f>'R3'!D30</f>
        <v>1.820851644751853E-2</v>
      </c>
      <c r="E40" s="154">
        <f>'R3'!E30</f>
        <v>0.92380756669302611</v>
      </c>
      <c r="F40" s="154">
        <f>'R3'!F30</f>
        <v>1.1805177640753495</v>
      </c>
      <c r="G40" s="154">
        <f>'R3'!G30</f>
        <v>2.2982592106425219</v>
      </c>
      <c r="H40" s="154">
        <f>'R3'!H30</f>
        <v>1.7502281395793888</v>
      </c>
      <c r="I40" s="154">
        <f>'R3'!I30</f>
        <v>0.26606792164857557</v>
      </c>
      <c r="J40" s="154">
        <f>'R3'!J30</f>
        <v>4.7020384261656126E-2</v>
      </c>
      <c r="K40" s="154">
        <f>'R3'!K30</f>
        <v>8.312147245816294E-2</v>
      </c>
      <c r="L40" s="154">
        <f>'R3'!L30</f>
        <v>0.49448686283906895</v>
      </c>
      <c r="M40" s="154">
        <f>'R3'!M30</f>
        <v>8.4421686173804703E-2</v>
      </c>
      <c r="N40"/>
      <c r="O40" s="154">
        <f>'R3'!O30</f>
        <v>1.3037660547230323</v>
      </c>
      <c r="P40" s="154">
        <f>'R3'!P30</f>
        <v>1.7383102372897428</v>
      </c>
      <c r="Q40" s="154">
        <f>'R3'!Q30</f>
        <v>1.4837036633726956E-2</v>
      </c>
      <c r="R40" s="154">
        <f>'R3'!R30</f>
        <v>0.74227221439097002</v>
      </c>
      <c r="S40" s="154">
        <f>'R3'!S30</f>
        <v>0.44395281049588142</v>
      </c>
      <c r="T40" s="154">
        <f>'R3'!T30</f>
        <v>0.29963119260384896</v>
      </c>
      <c r="U40" s="154">
        <f>'R3'!U30</f>
        <v>1.0371463478911367</v>
      </c>
      <c r="V40" s="154">
        <f>'R3'!V30</f>
        <v>0.9783785294203069</v>
      </c>
    </row>
    <row r="41" spans="1:22" s="1" customFormat="1" x14ac:dyDescent="0.3">
      <c r="A41" s="228"/>
      <c r="B41" s="154">
        <f>'R3'!B31</f>
        <v>9.7978370727809155E-2</v>
      </c>
      <c r="C41" s="154">
        <f>'R3'!C31</f>
        <v>4.8946568343786426E-2</v>
      </c>
      <c r="D41" s="154">
        <f>'R3'!D31</f>
        <v>3.6288918766657179E-2</v>
      </c>
      <c r="E41" s="154">
        <f>'R3'!E31</f>
        <v>0.49837040456434195</v>
      </c>
      <c r="F41" s="154">
        <f>'R3'!F31</f>
        <v>0.99624847731910893</v>
      </c>
      <c r="G41" s="154">
        <f>'R3'!G31</f>
        <v>1.3075216138539378</v>
      </c>
      <c r="H41" s="154">
        <f>'R3'!H31</f>
        <v>1.9851452555998115</v>
      </c>
      <c r="I41" s="154">
        <f>'R3'!I31</f>
        <v>5.8318103681373107E-2</v>
      </c>
      <c r="J41" s="154">
        <f>'R3'!J31</f>
        <v>4.2363159473620932E-2</v>
      </c>
      <c r="K41" s="154">
        <f>'R3'!K31</f>
        <v>0.40417297903189164</v>
      </c>
      <c r="L41" s="154" t="str">
        <f>'R3'!L31</f>
        <v/>
      </c>
      <c r="M41" s="154">
        <f>'R3'!M31</f>
        <v>0.47047730182898606</v>
      </c>
      <c r="N41"/>
      <c r="O41" s="154">
        <f>'R3'!O31</f>
        <v>0.65432844195882045</v>
      </c>
      <c r="P41" s="154">
        <f>'R3'!P31</f>
        <v>1.376116206880345</v>
      </c>
      <c r="Q41" s="154">
        <f>'R3'!Q31</f>
        <v>0.1910576256182088</v>
      </c>
      <c r="R41" s="154">
        <f>'R3'!R31</f>
        <v>0.55014206043312108</v>
      </c>
      <c r="S41" s="154">
        <f>'R3'!S31</f>
        <v>1.0195639333441193</v>
      </c>
      <c r="T41" s="154">
        <f>'R3'!T31</f>
        <v>0.2886348176072514</v>
      </c>
      <c r="U41" s="154">
        <f>'R3'!U31</f>
        <v>0.88665946775534499</v>
      </c>
      <c r="V41" s="154">
        <f>'R3'!V31</f>
        <v>0.25110125824532259</v>
      </c>
    </row>
    <row r="42" spans="1:22" s="1" customFormat="1" x14ac:dyDescent="0.3">
      <c r="A42" s="228"/>
      <c r="B42" s="154">
        <f>'R3'!B32</f>
        <v>0.41085898443197122</v>
      </c>
      <c r="C42" s="154">
        <f>'R3'!C32</f>
        <v>0.31759203050543394</v>
      </c>
      <c r="D42" s="154">
        <f>'R3'!D32</f>
        <v>9.6974240074778381E-2</v>
      </c>
      <c r="E42" s="154">
        <f>'R3'!E32</f>
        <v>0.31647385986338328</v>
      </c>
      <c r="F42" s="154">
        <f>'R3'!F32</f>
        <v>0.92048738514419159</v>
      </c>
      <c r="G42" s="154">
        <f>'R3'!G32</f>
        <v>1.2070680360749455</v>
      </c>
      <c r="H42" s="154">
        <f>'R3'!H32</f>
        <v>1.9196405280659834</v>
      </c>
      <c r="I42" s="154">
        <f>'R3'!I32</f>
        <v>0.24036551789491054</v>
      </c>
      <c r="J42" s="154">
        <f>'R3'!J32</f>
        <v>8.0885131174061639E-2</v>
      </c>
      <c r="K42" s="154">
        <f>'R3'!K32</f>
        <v>4.3627595937805477E-2</v>
      </c>
      <c r="L42" s="154">
        <f>'R3'!L32</f>
        <v>0.35205433643758249</v>
      </c>
      <c r="M42" s="154">
        <f>'R3'!M32</f>
        <v>0.74840340932543736</v>
      </c>
      <c r="N42"/>
      <c r="O42" s="154">
        <f>'R3'!O32</f>
        <v>1.2003521724539807</v>
      </c>
      <c r="P42" s="154">
        <f>'R3'!P32</f>
        <v>0.37074347816754466</v>
      </c>
      <c r="Q42" s="154">
        <f>'R3'!Q32</f>
        <v>0.20194574812234575</v>
      </c>
      <c r="R42" s="154">
        <f>'R3'!R32</f>
        <v>0.43748883450925691</v>
      </c>
      <c r="S42" s="154">
        <f>'R3'!S32</f>
        <v>0.70255788686531007</v>
      </c>
      <c r="T42" s="154">
        <f>'R3'!T32</f>
        <v>1.5578591198544578</v>
      </c>
      <c r="U42" s="154">
        <f>'R3'!U32</f>
        <v>1.4251394595535414</v>
      </c>
      <c r="V42" s="154">
        <f>'R3'!V32</f>
        <v>0.69042939862131458</v>
      </c>
    </row>
    <row r="43" spans="1:22" s="1" customFormat="1" x14ac:dyDescent="0.3">
      <c r="A43" s="228"/>
      <c r="B43" s="154">
        <f>'R3'!B33</f>
        <v>0.23162389894419369</v>
      </c>
      <c r="C43" s="154">
        <f>'R3'!C33</f>
        <v>0.44175079958909746</v>
      </c>
      <c r="D43" s="154" t="str">
        <f>'R3'!D33</f>
        <v/>
      </c>
      <c r="E43" s="154">
        <f>'R3'!E33</f>
        <v>0.38882401202069605</v>
      </c>
      <c r="F43" s="154">
        <f>'R3'!F33</f>
        <v>1.1947943342809177</v>
      </c>
      <c r="G43" s="154">
        <f>'R3'!G33</f>
        <v>1.1012486597814473</v>
      </c>
      <c r="H43" s="154">
        <f>'R3'!H33</f>
        <v>2.5461996407954084</v>
      </c>
      <c r="I43" s="154">
        <f>'R3'!I33</f>
        <v>0.11321079860374342</v>
      </c>
      <c r="J43" s="154">
        <f>'R3'!J33</f>
        <v>7.9696063699160116E-2</v>
      </c>
      <c r="K43" s="154">
        <f>'R3'!K33</f>
        <v>8.9869956514279925E-2</v>
      </c>
      <c r="L43" s="154">
        <f>'R3'!L33</f>
        <v>0.14280253157924064</v>
      </c>
      <c r="M43" s="154">
        <f>'R3'!M33</f>
        <v>0.47429533961592929</v>
      </c>
      <c r="N43"/>
      <c r="O43" s="154">
        <f>'R3'!O33</f>
        <v>0.5708968122986865</v>
      </c>
      <c r="P43" s="154">
        <f>'R3'!P33</f>
        <v>2.3725723764055235</v>
      </c>
      <c r="Q43" s="154">
        <f>'R3'!Q33</f>
        <v>5.1484385585019832E-2</v>
      </c>
      <c r="R43" s="154">
        <f>'R3'!R33</f>
        <v>1.3412214171144046</v>
      </c>
      <c r="S43" s="154">
        <f>'R3'!S33</f>
        <v>0.56591785531556182</v>
      </c>
      <c r="T43" s="154">
        <f>'R3'!T33</f>
        <v>0.36103337428124155</v>
      </c>
      <c r="U43" s="154">
        <f>'R3'!U33</f>
        <v>1.0391663157243294</v>
      </c>
      <c r="V43" s="154">
        <f>'R3'!V33</f>
        <v>1.3293717809773551</v>
      </c>
    </row>
    <row r="44" spans="1:22" s="1" customFormat="1" x14ac:dyDescent="0.3">
      <c r="A44" s="228"/>
      <c r="B44" s="154">
        <f>'R3'!B34</f>
        <v>0.13762153835259283</v>
      </c>
      <c r="C44" s="154">
        <f>'R3'!C34</f>
        <v>0.11523089797094889</v>
      </c>
      <c r="D44" s="154">
        <f>'R3'!D34</f>
        <v>0.1659556746325665</v>
      </c>
      <c r="E44" s="154">
        <f>'R3'!E34</f>
        <v>0.20247214724121257</v>
      </c>
      <c r="F44" s="154">
        <f>'R3'!F34</f>
        <v>1.5206540666892732</v>
      </c>
      <c r="G44" s="154">
        <f>'R3'!G34</f>
        <v>1.761318298327049</v>
      </c>
      <c r="H44" s="154">
        <f>'R3'!H34</f>
        <v>2.0983876223666051</v>
      </c>
      <c r="I44" s="154">
        <f>'R3'!I34</f>
        <v>0.25389655331643646</v>
      </c>
      <c r="J44" s="154">
        <f>'R3'!J34</f>
        <v>0.30283457194939672</v>
      </c>
      <c r="K44" s="154">
        <f>'R3'!K34</f>
        <v>1.6498508515277684E-2</v>
      </c>
      <c r="L44" s="154">
        <f>'R3'!L34</f>
        <v>0.2980321336113293</v>
      </c>
      <c r="M44" s="154">
        <f>'R3'!M34</f>
        <v>0.52346091209087842</v>
      </c>
      <c r="N44"/>
      <c r="O44" s="154">
        <f>'R3'!O34</f>
        <v>0.41905276421974946</v>
      </c>
      <c r="P44" s="154">
        <f>'R3'!P34</f>
        <v>1.2328271309880887</v>
      </c>
      <c r="Q44" s="154">
        <f>'R3'!Q34</f>
        <v>4.2738689079908965E-2</v>
      </c>
      <c r="R44" s="154">
        <f>'R3'!R34</f>
        <v>0.48553058037960883</v>
      </c>
      <c r="S44" s="154">
        <f>'R3'!S34</f>
        <v>0.66395896776743379</v>
      </c>
      <c r="T44" s="154">
        <f>'R3'!T34</f>
        <v>0.81457948646013922</v>
      </c>
      <c r="U44" s="154">
        <f>'R3'!U34</f>
        <v>1.1721561468873529</v>
      </c>
      <c r="V44" s="154">
        <f>'R3'!V34</f>
        <v>1.1984758397626676</v>
      </c>
    </row>
    <row r="45" spans="1:22" s="1" customFormat="1" x14ac:dyDescent="0.3">
      <c r="A45" s="228"/>
      <c r="B45" s="154">
        <f>'R3'!B35</f>
        <v>7.2088267938006462E-2</v>
      </c>
      <c r="C45" s="154" t="str">
        <f>'R3'!C35</f>
        <v/>
      </c>
      <c r="D45" s="154">
        <f>'R3'!D35</f>
        <v>4.1520947190236586E-2</v>
      </c>
      <c r="E45" s="154">
        <f>'R3'!E35</f>
        <v>9.0293890637245355E-2</v>
      </c>
      <c r="F45" s="154">
        <f>'R3'!F35</f>
        <v>0.56452385784885761</v>
      </c>
      <c r="G45" s="154">
        <f>'R3'!G35</f>
        <v>1.5003175929841266</v>
      </c>
      <c r="H45" s="154">
        <f>'R3'!H35</f>
        <v>2.2741615218439226</v>
      </c>
      <c r="I45" s="154">
        <f>'R3'!I35</f>
        <v>0.17641118176889911</v>
      </c>
      <c r="J45" s="154">
        <f>'R3'!J35</f>
        <v>0.11484116269128813</v>
      </c>
      <c r="K45" s="154">
        <f>'R3'!K35</f>
        <v>0.67282133494181873</v>
      </c>
      <c r="L45" s="154">
        <f>'R3'!L35</f>
        <v>0.25275562729018691</v>
      </c>
      <c r="M45" s="154">
        <f>'R3'!M35</f>
        <v>0.4650020012488989</v>
      </c>
      <c r="N45"/>
      <c r="O45" s="154">
        <f>'R3'!O35</f>
        <v>1.2259306711676725</v>
      </c>
      <c r="P45" s="154">
        <f>'R3'!P35</f>
        <v>2.6875810789013266</v>
      </c>
      <c r="Q45" s="154">
        <f>'R3'!Q35</f>
        <v>0.166701077882596</v>
      </c>
      <c r="R45" s="154">
        <f>'R3'!R35</f>
        <v>1.238648168720585</v>
      </c>
      <c r="S45" s="154">
        <f>'R3'!S35</f>
        <v>1.0579766002799977</v>
      </c>
      <c r="T45" s="154">
        <f>'R3'!T35</f>
        <v>0.12516013752242744</v>
      </c>
      <c r="U45" s="154">
        <f>'R3'!U35</f>
        <v>0.77894797468900845</v>
      </c>
      <c r="V45" s="154">
        <f>'R3'!V35</f>
        <v>0.70041559240029672</v>
      </c>
    </row>
    <row r="46" spans="1:22" s="1" customFormat="1" x14ac:dyDescent="0.3">
      <c r="A46" s="228"/>
      <c r="B46" s="154" t="str">
        <f>'R3'!B36</f>
        <v/>
      </c>
      <c r="C46" s="154" t="str">
        <f>'R3'!C36</f>
        <v/>
      </c>
      <c r="D46" s="154" t="str">
        <f>'R3'!D36</f>
        <v/>
      </c>
      <c r="E46" s="154" t="str">
        <f>'R3'!E36</f>
        <v/>
      </c>
      <c r="F46" s="154" t="str">
        <f>'R3'!F36</f>
        <v/>
      </c>
      <c r="G46" s="154" t="str">
        <f>'R3'!G36</f>
        <v/>
      </c>
      <c r="H46" s="154" t="str">
        <f>'R3'!H36</f>
        <v/>
      </c>
      <c r="I46" s="154" t="str">
        <f>'R3'!I36</f>
        <v/>
      </c>
      <c r="J46" s="154" t="str">
        <f>'R3'!J36</f>
        <v/>
      </c>
      <c r="K46" s="154" t="str">
        <f>'R3'!K36</f>
        <v/>
      </c>
      <c r="L46" s="154" t="str">
        <f>'R3'!L36</f>
        <v/>
      </c>
      <c r="M46" s="154" t="str">
        <f>'R3'!M36</f>
        <v/>
      </c>
      <c r="N46"/>
      <c r="O46" s="154">
        <f>'R3'!O36</f>
        <v>1.7820901496142667</v>
      </c>
      <c r="P46" s="154" t="str">
        <f>'R3'!P36</f>
        <v/>
      </c>
      <c r="Q46" s="154" t="str">
        <f>'R3'!Q36</f>
        <v/>
      </c>
      <c r="R46" s="154" t="str">
        <f>'R3'!R36</f>
        <v/>
      </c>
      <c r="S46" s="154" t="str">
        <f>'R3'!S36</f>
        <v/>
      </c>
      <c r="T46" s="154" t="str">
        <f>'R3'!T36</f>
        <v/>
      </c>
      <c r="U46" s="154" t="str">
        <f>'R3'!U36</f>
        <v/>
      </c>
      <c r="V46" s="154" t="str">
        <f>'R3'!V36</f>
        <v/>
      </c>
    </row>
    <row r="47" spans="1:22" s="1" customFormat="1" x14ac:dyDescent="0.3">
      <c r="A47" s="228"/>
      <c r="B47" s="154" t="str">
        <f>'R3'!B37</f>
        <v/>
      </c>
      <c r="C47" s="154" t="str">
        <f>'R3'!C37</f>
        <v/>
      </c>
      <c r="D47" s="154" t="str">
        <f>'R3'!D37</f>
        <v/>
      </c>
      <c r="E47" s="154" t="str">
        <f>'R3'!E37</f>
        <v/>
      </c>
      <c r="F47" s="154" t="str">
        <f>'R3'!F37</f>
        <v/>
      </c>
      <c r="G47" s="154" t="str">
        <f>'R3'!G37</f>
        <v/>
      </c>
      <c r="H47" s="154" t="str">
        <f>'R3'!H37</f>
        <v/>
      </c>
      <c r="I47" s="154" t="str">
        <f>'R3'!I37</f>
        <v/>
      </c>
      <c r="J47" s="154" t="str">
        <f>'R3'!J37</f>
        <v/>
      </c>
      <c r="K47" s="154" t="str">
        <f>'R3'!K37</f>
        <v/>
      </c>
      <c r="L47" s="154" t="str">
        <f>'R3'!L37</f>
        <v/>
      </c>
      <c r="M47" s="154" t="str">
        <f>'R3'!M37</f>
        <v/>
      </c>
      <c r="N47"/>
      <c r="O47" s="154">
        <f>'R3'!O37</f>
        <v>1.11570161709806</v>
      </c>
      <c r="P47" s="154" t="str">
        <f>'R3'!P37</f>
        <v/>
      </c>
      <c r="Q47" s="154" t="str">
        <f>'R3'!Q37</f>
        <v/>
      </c>
      <c r="R47" s="154" t="str">
        <f>'R3'!R37</f>
        <v/>
      </c>
      <c r="S47" s="154" t="str">
        <f>'R3'!S37</f>
        <v/>
      </c>
      <c r="T47" s="154" t="str">
        <f>'R3'!T37</f>
        <v/>
      </c>
      <c r="U47" s="154" t="str">
        <f>'R3'!U37</f>
        <v/>
      </c>
      <c r="V47" s="154" t="str">
        <f>'R3'!V37</f>
        <v/>
      </c>
    </row>
    <row r="48" spans="1:22" s="1" customFormat="1" x14ac:dyDescent="0.3">
      <c r="A48" s="228"/>
      <c r="B48" s="154" t="str">
        <f>'R3'!B38</f>
        <v/>
      </c>
      <c r="C48" s="154" t="str">
        <f>'R3'!C38</f>
        <v/>
      </c>
      <c r="D48" s="154" t="str">
        <f>'R3'!D38</f>
        <v/>
      </c>
      <c r="E48" s="154" t="str">
        <f>'R3'!E38</f>
        <v/>
      </c>
      <c r="F48" s="154" t="str">
        <f>'R3'!F38</f>
        <v/>
      </c>
      <c r="G48" s="154" t="str">
        <f>'R3'!G38</f>
        <v/>
      </c>
      <c r="H48" s="154" t="str">
        <f>'R3'!H38</f>
        <v/>
      </c>
      <c r="I48" s="154" t="str">
        <f>'R3'!I38</f>
        <v/>
      </c>
      <c r="J48" s="154" t="str">
        <f>'R3'!J38</f>
        <v/>
      </c>
      <c r="K48" s="154" t="str">
        <f>'R3'!K38</f>
        <v/>
      </c>
      <c r="L48" s="154" t="str">
        <f>'R3'!L38</f>
        <v/>
      </c>
      <c r="M48" s="154" t="str">
        <f>'R3'!M38</f>
        <v/>
      </c>
      <c r="N48"/>
      <c r="O48" s="154">
        <f>'R3'!O38</f>
        <v>1.6476435792604762</v>
      </c>
      <c r="P48" s="154" t="str">
        <f>'R3'!P38</f>
        <v/>
      </c>
      <c r="Q48" s="154" t="str">
        <f>'R3'!Q38</f>
        <v/>
      </c>
      <c r="R48" s="154" t="str">
        <f>'R3'!R38</f>
        <v/>
      </c>
      <c r="S48" s="154" t="str">
        <f>'R3'!S38</f>
        <v/>
      </c>
      <c r="T48" s="154" t="str">
        <f>'R3'!T38</f>
        <v/>
      </c>
      <c r="U48" s="154" t="str">
        <f>'R3'!U38</f>
        <v/>
      </c>
      <c r="V48" s="154" t="str">
        <f>'R3'!V38</f>
        <v/>
      </c>
    </row>
    <row r="49" spans="1:24" s="1" customFormat="1" x14ac:dyDescent="0.3">
      <c r="A49" s="228"/>
      <c r="B49" s="154" t="str">
        <f>'R3'!B39</f>
        <v/>
      </c>
      <c r="C49" s="154" t="str">
        <f>'R3'!C39</f>
        <v/>
      </c>
      <c r="D49" s="154" t="str">
        <f>'R3'!D39</f>
        <v/>
      </c>
      <c r="E49" s="154" t="str">
        <f>'R3'!E39</f>
        <v/>
      </c>
      <c r="F49" s="154" t="str">
        <f>'R3'!F39</f>
        <v/>
      </c>
      <c r="G49" s="154" t="str">
        <f>'R3'!G39</f>
        <v/>
      </c>
      <c r="H49" s="154" t="str">
        <f>'R3'!H39</f>
        <v/>
      </c>
      <c r="I49" s="154" t="str">
        <f>'R3'!I39</f>
        <v/>
      </c>
      <c r="J49" s="154" t="str">
        <f>'R3'!J39</f>
        <v/>
      </c>
      <c r="K49" s="154" t="str">
        <f>'R3'!K39</f>
        <v/>
      </c>
      <c r="L49" s="154" t="str">
        <f>'R3'!L39</f>
        <v/>
      </c>
      <c r="M49" s="154" t="str">
        <f>'R3'!M39</f>
        <v/>
      </c>
      <c r="N49"/>
      <c r="O49" s="154">
        <f>'R3'!O39</f>
        <v>0.39066469899456457</v>
      </c>
      <c r="P49" s="154" t="str">
        <f>'R3'!P39</f>
        <v/>
      </c>
      <c r="Q49" s="154" t="str">
        <f>'R3'!Q39</f>
        <v/>
      </c>
      <c r="R49" s="154" t="str">
        <f>'R3'!R39</f>
        <v/>
      </c>
      <c r="S49" s="154" t="str">
        <f>'R3'!S39</f>
        <v/>
      </c>
      <c r="T49" s="154" t="str">
        <f>'R3'!T39</f>
        <v/>
      </c>
      <c r="U49" s="154" t="str">
        <f>'R3'!U39</f>
        <v/>
      </c>
      <c r="V49" s="154" t="str">
        <f>'R3'!V39</f>
        <v/>
      </c>
    </row>
    <row r="50" spans="1:24" s="1" customFormat="1" x14ac:dyDescent="0.3">
      <c r="A50" s="228"/>
      <c r="B50" s="154" t="str">
        <f>'R3'!B40</f>
        <v/>
      </c>
      <c r="C50" s="154" t="str">
        <f>'R3'!C40</f>
        <v/>
      </c>
      <c r="D50" s="154" t="str">
        <f>'R3'!D40</f>
        <v/>
      </c>
      <c r="E50" s="154" t="str">
        <f>'R3'!E40</f>
        <v/>
      </c>
      <c r="F50" s="154" t="str">
        <f>'R3'!F40</f>
        <v/>
      </c>
      <c r="G50" s="154" t="str">
        <f>'R3'!G40</f>
        <v/>
      </c>
      <c r="H50" s="154" t="str">
        <f>'R3'!H40</f>
        <v/>
      </c>
      <c r="I50" s="154" t="str">
        <f>'R3'!I40</f>
        <v/>
      </c>
      <c r="J50" s="154" t="str">
        <f>'R3'!J40</f>
        <v/>
      </c>
      <c r="K50" s="154" t="str">
        <f>'R3'!K40</f>
        <v/>
      </c>
      <c r="L50" s="154" t="str">
        <f>'R3'!L40</f>
        <v/>
      </c>
      <c r="M50" s="154" t="str">
        <f>'R3'!M40</f>
        <v/>
      </c>
      <c r="N50"/>
      <c r="O50" s="154">
        <f>'R3'!O40</f>
        <v>0.33469645045026181</v>
      </c>
      <c r="P50" s="154" t="str">
        <f>'R3'!P40</f>
        <v/>
      </c>
      <c r="Q50" s="154" t="str">
        <f>'R3'!Q40</f>
        <v/>
      </c>
      <c r="R50" s="154" t="str">
        <f>'R3'!R40</f>
        <v/>
      </c>
      <c r="S50" s="154" t="str">
        <f>'R3'!S40</f>
        <v/>
      </c>
      <c r="T50" s="154" t="str">
        <f>'R3'!T40</f>
        <v/>
      </c>
      <c r="U50" s="154" t="str">
        <f>'R3'!U40</f>
        <v/>
      </c>
      <c r="V50" s="154" t="str">
        <f>'R3'!V40</f>
        <v/>
      </c>
    </row>
    <row r="51" spans="1:24" s="1" customFormat="1" x14ac:dyDescent="0.3">
      <c r="A51" s="228"/>
      <c r="B51" s="154" t="str">
        <f>'R3'!B41</f>
        <v/>
      </c>
      <c r="C51" s="154" t="str">
        <f>'R3'!C41</f>
        <v/>
      </c>
      <c r="D51" s="154" t="str">
        <f>'R3'!D41</f>
        <v/>
      </c>
      <c r="E51" s="154" t="str">
        <f>'R3'!E41</f>
        <v/>
      </c>
      <c r="F51" s="154" t="str">
        <f>'R3'!F41</f>
        <v/>
      </c>
      <c r="G51" s="154" t="str">
        <f>'R3'!G41</f>
        <v/>
      </c>
      <c r="H51" s="154" t="str">
        <f>'R3'!H41</f>
        <v/>
      </c>
      <c r="I51" s="154" t="str">
        <f>'R3'!I41</f>
        <v/>
      </c>
      <c r="J51" s="154" t="str">
        <f>'R3'!J41</f>
        <v/>
      </c>
      <c r="K51" s="154" t="str">
        <f>'R3'!K41</f>
        <v/>
      </c>
      <c r="L51" s="154" t="str">
        <f>'R3'!L41</f>
        <v/>
      </c>
      <c r="M51" s="154" t="str">
        <f>'R3'!M41</f>
        <v/>
      </c>
      <c r="N51"/>
      <c r="O51" s="154">
        <f>'R3'!O41</f>
        <v>0.48317756842623349</v>
      </c>
      <c r="P51" s="154" t="str">
        <f>'R3'!P41</f>
        <v/>
      </c>
      <c r="Q51" s="154" t="str">
        <f>'R3'!Q41</f>
        <v/>
      </c>
      <c r="R51" s="154" t="str">
        <f>'R3'!R41</f>
        <v/>
      </c>
      <c r="S51" s="154" t="str">
        <f>'R3'!S41</f>
        <v/>
      </c>
      <c r="T51" s="154" t="str">
        <f>'R3'!T41</f>
        <v/>
      </c>
      <c r="U51" s="154" t="str">
        <f>'R3'!U41</f>
        <v/>
      </c>
      <c r="V51" s="154" t="str">
        <f>'R3'!V41</f>
        <v/>
      </c>
    </row>
    <row r="52" spans="1:24" s="1" customFormat="1" x14ac:dyDescent="0.3">
      <c r="A52" s="228"/>
      <c r="B52" s="154" t="str">
        <f>'R3'!B42</f>
        <v/>
      </c>
      <c r="C52" s="154" t="str">
        <f>'R3'!C42</f>
        <v/>
      </c>
      <c r="D52" s="154" t="str">
        <f>'R3'!D42</f>
        <v/>
      </c>
      <c r="E52" s="154" t="str">
        <f>'R3'!E42</f>
        <v/>
      </c>
      <c r="F52" s="154" t="str">
        <f>'R3'!F42</f>
        <v/>
      </c>
      <c r="G52" s="154" t="str">
        <f>'R3'!G42</f>
        <v/>
      </c>
      <c r="H52" s="154" t="str">
        <f>'R3'!H42</f>
        <v/>
      </c>
      <c r="I52" s="154" t="str">
        <f>'R3'!I42</f>
        <v/>
      </c>
      <c r="J52" s="154" t="str">
        <f>'R3'!J42</f>
        <v/>
      </c>
      <c r="K52" s="154" t="str">
        <f>'R3'!K42</f>
        <v/>
      </c>
      <c r="L52" s="154" t="str">
        <f>'R3'!L42</f>
        <v/>
      </c>
      <c r="M52" s="154" t="str">
        <f>'R3'!M42</f>
        <v/>
      </c>
      <c r="N52"/>
      <c r="O52" s="154">
        <f>'R3'!O42</f>
        <v>1.0939510212222647</v>
      </c>
      <c r="P52" s="154" t="str">
        <f>'R3'!P42</f>
        <v/>
      </c>
      <c r="Q52" s="154" t="str">
        <f>'R3'!Q42</f>
        <v/>
      </c>
      <c r="R52" s="154" t="str">
        <f>'R3'!R42</f>
        <v/>
      </c>
      <c r="S52" s="154" t="str">
        <f>'R3'!S42</f>
        <v/>
      </c>
      <c r="T52" s="154" t="str">
        <f>'R3'!T42</f>
        <v/>
      </c>
      <c r="U52" s="154" t="str">
        <f>'R3'!U42</f>
        <v/>
      </c>
      <c r="V52" s="154" t="str">
        <f>'R3'!V42</f>
        <v/>
      </c>
    </row>
    <row r="53" spans="1:24" s="1" customFormat="1" x14ac:dyDescent="0.3">
      <c r="A53" s="229"/>
      <c r="B53" s="154" t="str">
        <f>'R3'!B43</f>
        <v/>
      </c>
      <c r="C53" s="154" t="str">
        <f>'R3'!C43</f>
        <v/>
      </c>
      <c r="D53" s="154" t="str">
        <f>'R3'!D43</f>
        <v/>
      </c>
      <c r="E53" s="154" t="str">
        <f>'R3'!E43</f>
        <v/>
      </c>
      <c r="F53" s="154" t="str">
        <f>'R3'!F43</f>
        <v/>
      </c>
      <c r="G53" s="154" t="str">
        <f>'R3'!G43</f>
        <v/>
      </c>
      <c r="H53" s="154" t="str">
        <f>'R3'!H43</f>
        <v/>
      </c>
      <c r="I53" s="154" t="str">
        <f>'R3'!I43</f>
        <v/>
      </c>
      <c r="J53" s="154" t="str">
        <f>'R3'!J43</f>
        <v/>
      </c>
      <c r="K53" s="154" t="str">
        <f>'R3'!K43</f>
        <v/>
      </c>
      <c r="L53" s="154" t="str">
        <f>'R3'!L43</f>
        <v/>
      </c>
      <c r="M53" s="154" t="str">
        <f>'R3'!M43</f>
        <v/>
      </c>
      <c r="N53"/>
      <c r="O53" s="154">
        <f>'R3'!O43</f>
        <v>0.92174471877168984</v>
      </c>
      <c r="P53" s="154" t="str">
        <f>'R3'!P43</f>
        <v/>
      </c>
      <c r="Q53" s="154" t="str">
        <f>'R3'!Q43</f>
        <v/>
      </c>
      <c r="R53" s="154" t="str">
        <f>'R3'!R43</f>
        <v/>
      </c>
      <c r="S53" s="154" t="str">
        <f>'R3'!S43</f>
        <v/>
      </c>
      <c r="T53" s="154" t="str">
        <f>'R3'!T43</f>
        <v/>
      </c>
      <c r="U53" s="154" t="str">
        <f>'R3'!U43</f>
        <v/>
      </c>
      <c r="V53" s="154" t="str">
        <f>'R3'!V43</f>
        <v/>
      </c>
    </row>
    <row r="54" spans="1:24" s="60" customFormat="1" x14ac:dyDescent="0.3">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Tamoxifen-30,2µg/L</v>
      </c>
      <c r="J55" s="15" t="str">
        <f t="shared" si="0"/>
        <v>Tamoxifen-60,4µg/L</v>
      </c>
      <c r="K55" s="15" t="str">
        <f t="shared" si="0"/>
        <v>Tamoxifen-121µg/L</v>
      </c>
      <c r="L55" s="15" t="str">
        <f t="shared" si="0"/>
        <v>Tamoxifen-242µg/L</v>
      </c>
      <c r="M55" s="15" t="str">
        <f t="shared" si="0"/>
        <v>Tamoxifen-483µg/L</v>
      </c>
      <c r="O55" s="15" t="str">
        <f t="shared" ref="O55:V55" si="1">O4</f>
        <v>Testo -30µg/L</v>
      </c>
      <c r="P55" s="15" t="str">
        <f t="shared" si="1"/>
        <v>Testo 30µg/L + EE2 -64ng/L</v>
      </c>
      <c r="Q55" s="15" t="str">
        <f t="shared" si="1"/>
        <v>Testo 30µg/L + FAD-10µg/L</v>
      </c>
      <c r="R55" s="15" t="str">
        <f t="shared" si="1"/>
        <v>Tamoxifen-30.2µg/L + Testostérone</v>
      </c>
      <c r="S55" s="15" t="str">
        <f t="shared" si="1"/>
        <v>Tamoxifen-60.4µg/L + Testostérone</v>
      </c>
      <c r="T55" s="15" t="str">
        <f t="shared" si="1"/>
        <v>Tamoxifen-121µg/L + Testostérone</v>
      </c>
      <c r="U55" s="15" t="str">
        <f t="shared" si="1"/>
        <v>Tamoxifen-242µg/L + Testostérone</v>
      </c>
      <c r="V55" s="15" t="str">
        <f t="shared" si="1"/>
        <v>Tamoxifen-483µg/L + Testostérone</v>
      </c>
    </row>
    <row r="56" spans="1:24" x14ac:dyDescent="0.3">
      <c r="A56" t="s">
        <v>48</v>
      </c>
      <c r="B56" s="9">
        <f t="shared" ref="B56:V56" si="2">AVERAGE(B6:B53)</f>
        <v>0.11932551713603246</v>
      </c>
      <c r="C56" s="9">
        <f t="shared" si="2"/>
        <v>0.13741566284564821</v>
      </c>
      <c r="D56" s="9">
        <f t="shared" si="2"/>
        <v>8.6828813264560697E-2</v>
      </c>
      <c r="E56" s="9">
        <f t="shared" si="2"/>
        <v>0.33709453781646742</v>
      </c>
      <c r="F56" s="9">
        <f t="shared" si="2"/>
        <v>0.77515328324852384</v>
      </c>
      <c r="G56" s="9">
        <f t="shared" si="2"/>
        <v>1.2422765656905745</v>
      </c>
      <c r="H56" s="9">
        <f t="shared" si="2"/>
        <v>2.2022034047561192</v>
      </c>
      <c r="I56" s="9">
        <f t="shared" si="2"/>
        <v>0.11114418617338977</v>
      </c>
      <c r="J56" s="9">
        <f t="shared" si="2"/>
        <v>0.11656562041449491</v>
      </c>
      <c r="K56" s="9">
        <f t="shared" si="2"/>
        <v>0.11229953379205988</v>
      </c>
      <c r="L56" s="9">
        <f t="shared" si="2"/>
        <v>0.14935709611242443</v>
      </c>
      <c r="M56" s="9">
        <f t="shared" si="2"/>
        <v>0.39021134334286672</v>
      </c>
      <c r="N56" s="9"/>
      <c r="O56" s="9">
        <f t="shared" si="2"/>
        <v>1.0000000000000002</v>
      </c>
      <c r="P56" s="9">
        <f t="shared" si="2"/>
        <v>1.6629583265088164</v>
      </c>
      <c r="Q56" s="9">
        <f t="shared" si="2"/>
        <v>0.1134756454371515</v>
      </c>
      <c r="R56" s="9">
        <f t="shared" si="2"/>
        <v>0.84849510586755794</v>
      </c>
      <c r="S56" s="9">
        <f t="shared" si="2"/>
        <v>0.73584531589464408</v>
      </c>
      <c r="T56" s="9">
        <f t="shared" si="2"/>
        <v>0.79892234575795473</v>
      </c>
      <c r="U56" s="9">
        <f t="shared" si="2"/>
        <v>1.0464067885602042</v>
      </c>
      <c r="V56" s="9">
        <f t="shared" si="2"/>
        <v>0.8151613589534491</v>
      </c>
    </row>
    <row r="57" spans="1:24" x14ac:dyDescent="0.3">
      <c r="A57" t="s">
        <v>1</v>
      </c>
      <c r="B57" s="3">
        <f>STDEV(B6:B53)</f>
        <v>0.10664599564342885</v>
      </c>
      <c r="C57" s="3">
        <f t="shared" ref="C57:V57" si="3">STDEV(C6:C53)</f>
        <v>0.11932014655657396</v>
      </c>
      <c r="D57" s="3">
        <f t="shared" si="3"/>
        <v>8.898820364168572E-2</v>
      </c>
      <c r="E57" s="3">
        <f t="shared" si="3"/>
        <v>0.33477276488183044</v>
      </c>
      <c r="F57" s="3">
        <f t="shared" si="3"/>
        <v>0.40110143124834469</v>
      </c>
      <c r="G57" s="3">
        <f t="shared" si="3"/>
        <v>0.41344442698168876</v>
      </c>
      <c r="H57" s="3">
        <f t="shared" si="3"/>
        <v>0.63810587672694952</v>
      </c>
      <c r="I57" s="3">
        <f t="shared" si="3"/>
        <v>8.23466721680505E-2</v>
      </c>
      <c r="J57" s="3">
        <f t="shared" si="3"/>
        <v>0.11088168463480452</v>
      </c>
      <c r="K57" s="3">
        <f t="shared" si="3"/>
        <v>0.14303796847092401</v>
      </c>
      <c r="L57" s="3">
        <f t="shared" si="3"/>
        <v>0.12212025531314137</v>
      </c>
      <c r="M57" s="3">
        <f t="shared" si="3"/>
        <v>0.34749476978792887</v>
      </c>
      <c r="N57" s="3"/>
      <c r="O57" s="3">
        <f t="shared" si="3"/>
        <v>0.48336172317763104</v>
      </c>
      <c r="P57" s="3">
        <f t="shared" si="3"/>
        <v>0.61204178642534213</v>
      </c>
      <c r="Q57" s="3">
        <f t="shared" si="3"/>
        <v>7.5807619282637476E-2</v>
      </c>
      <c r="R57" s="3">
        <f t="shared" si="3"/>
        <v>0.45867539990206507</v>
      </c>
      <c r="S57" s="3">
        <f t="shared" si="3"/>
        <v>0.40530299842775197</v>
      </c>
      <c r="T57" s="3">
        <f t="shared" si="3"/>
        <v>0.50642675913736479</v>
      </c>
      <c r="U57" s="3">
        <f t="shared" si="3"/>
        <v>0.48325131787348513</v>
      </c>
      <c r="V57" s="3">
        <f t="shared" si="3"/>
        <v>0.34226060872176262</v>
      </c>
      <c r="W57" s="3"/>
      <c r="X57" s="3"/>
    </row>
    <row r="58" spans="1:24" x14ac:dyDescent="0.3">
      <c r="A58" t="s">
        <v>2</v>
      </c>
      <c r="B58" s="3">
        <f xml:space="preserve"> B57/SQRT(COUNT(B6:B53))</f>
        <v>2.1769022703123208E-2</v>
      </c>
      <c r="C58" s="3">
        <f t="shared" ref="C58:V58" si="4" xml:space="preserve"> C57/SQRT(COUNT(C6:C53))</f>
        <v>2.4879970444448306E-2</v>
      </c>
      <c r="D58" s="3">
        <f t="shared" si="4"/>
        <v>1.8555323140337747E-2</v>
      </c>
      <c r="E58" s="3">
        <f t="shared" si="4"/>
        <v>6.9804946911601731E-2</v>
      </c>
      <c r="F58" s="3">
        <f t="shared" si="4"/>
        <v>8.1874486804872706E-2</v>
      </c>
      <c r="G58" s="3">
        <f t="shared" si="4"/>
        <v>8.4393990258542953E-2</v>
      </c>
      <c r="H58" s="3">
        <f t="shared" si="4"/>
        <v>0.13025281665436084</v>
      </c>
      <c r="I58" s="3">
        <f t="shared" si="4"/>
        <v>1.6808944068997394E-2</v>
      </c>
      <c r="J58" s="3">
        <f t="shared" si="4"/>
        <v>2.2633629097956069E-2</v>
      </c>
      <c r="K58" s="3">
        <f t="shared" si="4"/>
        <v>2.9197503049839334E-2</v>
      </c>
      <c r="L58" s="3">
        <f t="shared" si="4"/>
        <v>2.6036125914291781E-2</v>
      </c>
      <c r="M58" s="3">
        <f t="shared" si="4"/>
        <v>7.09320728555278E-2</v>
      </c>
      <c r="N58" s="3"/>
      <c r="O58" s="3">
        <f t="shared" si="4"/>
        <v>6.9767255248141674E-2</v>
      </c>
      <c r="P58" s="3">
        <f t="shared" si="4"/>
        <v>0.12493250650029736</v>
      </c>
      <c r="Q58" s="3">
        <f t="shared" si="4"/>
        <v>1.5806981315780958E-2</v>
      </c>
      <c r="R58" s="3">
        <f t="shared" si="4"/>
        <v>9.5640432252973556E-2</v>
      </c>
      <c r="S58" s="3">
        <f t="shared" si="4"/>
        <v>8.4511517232738198E-2</v>
      </c>
      <c r="T58" s="3">
        <f t="shared" si="4"/>
        <v>0.10337392933149185</v>
      </c>
      <c r="U58" s="3">
        <f t="shared" si="4"/>
        <v>9.8643262193129591E-2</v>
      </c>
      <c r="V58" s="3">
        <f t="shared" si="4"/>
        <v>7.136627028243607E-2</v>
      </c>
      <c r="W58" s="3"/>
      <c r="X58" s="3"/>
    </row>
    <row r="59" spans="1:24" s="1" customFormat="1" ht="15" thickBot="1" x14ac:dyDescent="0.35">
      <c r="B59" s="3"/>
      <c r="C59" s="3"/>
      <c r="D59" s="3"/>
      <c r="E59" s="3"/>
      <c r="F59" s="3"/>
      <c r="G59" s="3"/>
      <c r="H59" s="3"/>
      <c r="I59" s="3"/>
      <c r="J59" s="3"/>
      <c r="K59" s="3"/>
      <c r="L59" s="3"/>
      <c r="M59" s="3"/>
      <c r="N59" s="3"/>
      <c r="O59" s="3"/>
      <c r="P59" s="3"/>
      <c r="Q59" s="3"/>
      <c r="R59" s="3"/>
      <c r="S59" s="3"/>
      <c r="T59" s="3"/>
      <c r="U59" s="3"/>
      <c r="V59" s="3"/>
    </row>
    <row r="60" spans="1:24" s="48" customFormat="1" ht="26.4" thickBot="1" x14ac:dyDescent="0.35">
      <c r="A60" s="230" t="s">
        <v>46</v>
      </c>
      <c r="B60" s="231"/>
      <c r="C60" s="231"/>
      <c r="D60" s="231"/>
      <c r="E60" s="231"/>
      <c r="F60" s="231"/>
      <c r="G60" s="231"/>
      <c r="H60" s="231"/>
      <c r="I60" s="231"/>
      <c r="J60" s="231"/>
      <c r="K60" s="231"/>
      <c r="L60" s="231"/>
      <c r="M60" s="231"/>
      <c r="N60" s="231"/>
      <c r="O60" s="231"/>
      <c r="P60" s="231"/>
      <c r="Q60" s="231"/>
      <c r="R60" s="231"/>
      <c r="S60" s="231"/>
      <c r="T60" s="231"/>
      <c r="U60" s="231"/>
      <c r="V60" s="231"/>
    </row>
    <row r="61" spans="1:24" s="1" customFormat="1" x14ac:dyDescent="0.3">
      <c r="B61" s="3"/>
      <c r="C61" s="3"/>
      <c r="D61" s="3"/>
      <c r="E61" s="3"/>
      <c r="F61" s="3"/>
      <c r="G61" s="3"/>
      <c r="H61" s="3"/>
      <c r="I61" s="3"/>
      <c r="J61" s="3"/>
      <c r="K61" s="3"/>
      <c r="L61" s="3"/>
      <c r="M61" s="3"/>
      <c r="N61" s="3"/>
      <c r="O61" s="3"/>
      <c r="P61" s="3"/>
      <c r="Q61" s="3"/>
      <c r="R61" s="3"/>
      <c r="S61" s="3"/>
      <c r="T61" s="3"/>
      <c r="U61" s="3"/>
      <c r="V61" s="3"/>
    </row>
    <row r="62" spans="1:24" s="1" customFormat="1" x14ac:dyDescent="0.3">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Tamoxifen-30,2µg/L</v>
      </c>
      <c r="J62" s="3" t="str">
        <f t="shared" si="6"/>
        <v>Tamoxifen-60,4µg/L</v>
      </c>
      <c r="K62" s="3" t="str">
        <f t="shared" si="6"/>
        <v>Tamoxifen-121µg/L</v>
      </c>
      <c r="L62" s="3" t="str">
        <f t="shared" si="6"/>
        <v>Tamoxifen-242µg/L</v>
      </c>
      <c r="M62" s="3" t="str">
        <f t="shared" si="6"/>
        <v>Tamoxifen-483µg/L</v>
      </c>
      <c r="N62" s="3"/>
      <c r="O62" s="3" t="str">
        <f t="shared" si="6"/>
        <v>Testo -30µg/L</v>
      </c>
      <c r="P62" s="3" t="str">
        <f t="shared" si="6"/>
        <v>Testo 30µg/L + EE2 -64ng/L</v>
      </c>
      <c r="Q62" s="3" t="str">
        <f t="shared" si="6"/>
        <v>Testo 30µg/L + FAD-10µg/L</v>
      </c>
      <c r="R62" s="3" t="str">
        <f t="shared" si="6"/>
        <v>Tamoxifen-30.2µg/L + Testostérone</v>
      </c>
      <c r="S62" s="3" t="str">
        <f t="shared" si="6"/>
        <v>Tamoxifen-60.4µg/L + Testostérone</v>
      </c>
      <c r="T62" s="3" t="str">
        <f t="shared" si="6"/>
        <v>Tamoxifen-121µg/L + Testostérone</v>
      </c>
      <c r="U62" s="3" t="str">
        <f t="shared" si="6"/>
        <v>Tamoxifen-242µg/L + Testostérone</v>
      </c>
      <c r="V62" s="3" t="str">
        <f t="shared" si="6"/>
        <v>Tamoxifen-483µg/L + Testostérone</v>
      </c>
    </row>
    <row r="63" spans="1:24" s="1" customFormat="1" x14ac:dyDescent="0.3">
      <c r="A63" s="1" t="s">
        <v>49</v>
      </c>
      <c r="B63" s="3">
        <f>COUNT(B6:B53)</f>
        <v>24</v>
      </c>
      <c r="C63" s="3">
        <f t="shared" ref="C63:V63" si="7">COUNT(C6:C53)</f>
        <v>23</v>
      </c>
      <c r="D63" s="3">
        <f t="shared" si="7"/>
        <v>23</v>
      </c>
      <c r="E63" s="3">
        <f t="shared" si="7"/>
        <v>23</v>
      </c>
      <c r="F63" s="3">
        <f t="shared" si="7"/>
        <v>24</v>
      </c>
      <c r="G63" s="3">
        <f t="shared" si="7"/>
        <v>24</v>
      </c>
      <c r="H63" s="3">
        <f t="shared" si="7"/>
        <v>24</v>
      </c>
      <c r="I63" s="3">
        <f t="shared" si="7"/>
        <v>24</v>
      </c>
      <c r="J63" s="3">
        <f t="shared" si="7"/>
        <v>24</v>
      </c>
      <c r="K63" s="3">
        <f t="shared" si="7"/>
        <v>24</v>
      </c>
      <c r="L63" s="3">
        <f t="shared" si="7"/>
        <v>22</v>
      </c>
      <c r="M63" s="3">
        <f t="shared" si="7"/>
        <v>24</v>
      </c>
      <c r="N63" s="3"/>
      <c r="O63" s="3">
        <f t="shared" si="7"/>
        <v>48</v>
      </c>
      <c r="P63" s="3">
        <f t="shared" si="7"/>
        <v>24</v>
      </c>
      <c r="Q63" s="3">
        <f t="shared" si="7"/>
        <v>23</v>
      </c>
      <c r="R63" s="3">
        <f t="shared" si="7"/>
        <v>23</v>
      </c>
      <c r="S63" s="3">
        <f t="shared" si="7"/>
        <v>23</v>
      </c>
      <c r="T63" s="3">
        <f t="shared" si="7"/>
        <v>24</v>
      </c>
      <c r="U63" s="3">
        <f t="shared" si="7"/>
        <v>24</v>
      </c>
      <c r="V63" s="3">
        <f t="shared" si="7"/>
        <v>23</v>
      </c>
    </row>
    <row r="64" spans="1:24" s="1" customFormat="1" ht="15" thickBot="1" x14ac:dyDescent="0.35">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4" thickBot="1" x14ac:dyDescent="0.35">
      <c r="A65" s="230" t="s">
        <v>58</v>
      </c>
      <c r="B65" s="231"/>
      <c r="C65" s="231"/>
      <c r="D65" s="231"/>
      <c r="E65" s="231"/>
      <c r="F65" s="231"/>
      <c r="G65" s="231"/>
      <c r="H65" s="231"/>
      <c r="I65" s="231"/>
      <c r="J65" s="231"/>
      <c r="K65" s="231"/>
      <c r="L65" s="231"/>
      <c r="M65" s="231"/>
      <c r="N65" s="231"/>
      <c r="O65" s="231"/>
      <c r="P65" s="231"/>
      <c r="Q65" s="231"/>
      <c r="R65" s="231"/>
      <c r="S65" s="231"/>
      <c r="T65" s="231"/>
      <c r="U65" s="231"/>
      <c r="V65" s="231"/>
    </row>
    <row r="66" spans="1:22" s="1" customFormat="1" x14ac:dyDescent="0.3">
      <c r="B66" s="1" t="s">
        <v>61</v>
      </c>
      <c r="C66" s="3"/>
      <c r="D66" s="3"/>
      <c r="E66" s="3"/>
      <c r="F66" s="3"/>
      <c r="G66" s="3"/>
      <c r="H66" s="3"/>
      <c r="I66" s="3"/>
      <c r="J66" s="3"/>
      <c r="K66" s="3"/>
      <c r="L66" s="3"/>
      <c r="M66" s="3"/>
      <c r="N66" s="3"/>
      <c r="O66" s="3"/>
      <c r="P66" s="3"/>
      <c r="Q66" s="3"/>
      <c r="R66" s="3"/>
      <c r="S66" s="3"/>
      <c r="T66" s="3"/>
      <c r="U66" s="3"/>
      <c r="V66" s="3"/>
    </row>
    <row r="67" spans="1:22" s="1" customFormat="1" x14ac:dyDescent="0.3">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35">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4" thickBot="1" x14ac:dyDescent="0.35">
      <c r="A70" s="230" t="s">
        <v>53</v>
      </c>
      <c r="B70" s="231"/>
      <c r="C70" s="231"/>
      <c r="D70" s="231"/>
      <c r="E70" s="231"/>
      <c r="F70" s="231"/>
      <c r="G70" s="231"/>
      <c r="H70" s="231"/>
      <c r="I70" s="231"/>
      <c r="J70" s="231"/>
      <c r="K70" s="231"/>
      <c r="L70" s="231"/>
      <c r="M70" s="231"/>
      <c r="N70" s="231"/>
      <c r="O70" s="231"/>
      <c r="P70" s="231"/>
      <c r="Q70" s="231"/>
      <c r="R70" s="231"/>
      <c r="S70" s="231"/>
      <c r="T70" s="231"/>
      <c r="U70" s="231"/>
      <c r="V70" s="231"/>
    </row>
    <row r="71" spans="1:22" ht="15" thickBot="1" x14ac:dyDescent="0.35"/>
    <row r="72" spans="1:22" s="48" customFormat="1" ht="26.4" thickBot="1" x14ac:dyDescent="0.35">
      <c r="A72" s="230" t="s">
        <v>54</v>
      </c>
      <c r="B72" s="231"/>
      <c r="C72" s="231"/>
      <c r="D72" s="231"/>
      <c r="E72" s="231"/>
      <c r="F72" s="231"/>
      <c r="G72" s="231"/>
      <c r="H72" s="231"/>
      <c r="I72" s="231"/>
      <c r="J72" s="231"/>
      <c r="K72" s="231"/>
      <c r="L72" s="231"/>
      <c r="M72" s="231"/>
      <c r="N72" s="231"/>
      <c r="O72" s="231"/>
      <c r="P72" s="231"/>
      <c r="Q72" s="231"/>
      <c r="R72" s="231"/>
      <c r="S72" s="231"/>
      <c r="T72" s="231"/>
      <c r="U72" s="231"/>
      <c r="V72" s="231"/>
    </row>
    <row r="73" spans="1:22" ht="15" thickBot="1" x14ac:dyDescent="0.35">
      <c r="J73" s="3">
        <v>1</v>
      </c>
      <c r="K73" s="3">
        <v>2</v>
      </c>
      <c r="L73" s="3">
        <v>3</v>
      </c>
      <c r="M73" s="3">
        <v>4</v>
      </c>
      <c r="R73" s="3">
        <v>1</v>
      </c>
      <c r="S73" s="3">
        <v>2</v>
      </c>
      <c r="T73" s="3">
        <v>3</v>
      </c>
      <c r="U73" s="3">
        <v>4</v>
      </c>
      <c r="V73" s="3">
        <v>5</v>
      </c>
    </row>
    <row r="74" spans="1:22" s="1" customFormat="1" x14ac:dyDescent="0.3">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Tamoxifen-30,2µg/L</v>
      </c>
      <c r="J74" s="46" t="str">
        <f t="shared" si="9"/>
        <v>Tamoxifen-60,4µg/L</v>
      </c>
      <c r="K74" s="46" t="str">
        <f t="shared" si="9"/>
        <v>Tamoxifen-121µg/L</v>
      </c>
      <c r="L74" s="46" t="str">
        <f t="shared" si="9"/>
        <v>Tamoxifen-242µg/L</v>
      </c>
      <c r="M74" s="46" t="str">
        <f t="shared" si="9"/>
        <v>Tamoxifen-483µg/L</v>
      </c>
      <c r="N74" s="46"/>
      <c r="O74" s="46" t="str">
        <f t="shared" ref="O74:V74" si="10">O4</f>
        <v>Testo -30µg/L</v>
      </c>
      <c r="P74" s="46" t="str">
        <f t="shared" si="10"/>
        <v>Testo 30µg/L + EE2 -64ng/L</v>
      </c>
      <c r="Q74" s="46" t="str">
        <f t="shared" si="10"/>
        <v>Testo 30µg/L + FAD-10µg/L</v>
      </c>
      <c r="R74" s="46" t="str">
        <f t="shared" si="10"/>
        <v>Tamoxifen-30.2µg/L + Testostérone</v>
      </c>
      <c r="S74" s="46" t="str">
        <f t="shared" si="10"/>
        <v>Tamoxifen-60.4µg/L + Testostérone</v>
      </c>
      <c r="T74" s="46" t="str">
        <f t="shared" si="10"/>
        <v>Tamoxifen-121µg/L + Testostérone</v>
      </c>
      <c r="U74" s="46" t="str">
        <f t="shared" si="10"/>
        <v>Tamoxifen-242µg/L + Testostérone</v>
      </c>
      <c r="V74" s="46" t="str">
        <f t="shared" si="10"/>
        <v>Tamoxifen-483µg/L + Testostérone</v>
      </c>
    </row>
    <row r="75" spans="1:22" s="3" customFormat="1" x14ac:dyDescent="0.3">
      <c r="A75" s="61" t="s">
        <v>32</v>
      </c>
      <c r="B75" s="141">
        <f>B56</f>
        <v>0.11932551713603246</v>
      </c>
      <c r="C75" s="141">
        <f t="shared" ref="C75:V75" si="11">C56</f>
        <v>0.13741566284564821</v>
      </c>
      <c r="D75" s="141">
        <f t="shared" si="11"/>
        <v>8.6828813264560697E-2</v>
      </c>
      <c r="E75" s="141">
        <f t="shared" si="11"/>
        <v>0.33709453781646742</v>
      </c>
      <c r="F75" s="141">
        <f t="shared" si="11"/>
        <v>0.77515328324852384</v>
      </c>
      <c r="G75" s="141">
        <f t="shared" si="11"/>
        <v>1.2422765656905745</v>
      </c>
      <c r="H75" s="141">
        <f t="shared" si="11"/>
        <v>2.2022034047561192</v>
      </c>
      <c r="I75" s="141">
        <f t="shared" si="11"/>
        <v>0.11114418617338977</v>
      </c>
      <c r="J75" s="141">
        <f t="shared" si="11"/>
        <v>0.11656562041449491</v>
      </c>
      <c r="K75" s="141">
        <f t="shared" si="11"/>
        <v>0.11229953379205988</v>
      </c>
      <c r="L75" s="141">
        <f t="shared" si="11"/>
        <v>0.14935709611242443</v>
      </c>
      <c r="M75" s="141">
        <f t="shared" si="11"/>
        <v>0.39021134334286672</v>
      </c>
      <c r="N75" s="141"/>
      <c r="O75" s="141">
        <f t="shared" si="11"/>
        <v>1.0000000000000002</v>
      </c>
      <c r="P75" s="141">
        <f t="shared" si="11"/>
        <v>1.6629583265088164</v>
      </c>
      <c r="Q75" s="141">
        <f t="shared" si="11"/>
        <v>0.1134756454371515</v>
      </c>
      <c r="R75" s="141">
        <f t="shared" si="11"/>
        <v>0.84849510586755794</v>
      </c>
      <c r="S75" s="141">
        <f t="shared" si="11"/>
        <v>0.73584531589464408</v>
      </c>
      <c r="T75" s="141">
        <f t="shared" si="11"/>
        <v>0.79892234575795473</v>
      </c>
      <c r="U75" s="141">
        <f t="shared" si="11"/>
        <v>1.0464067885602042</v>
      </c>
      <c r="V75" s="141">
        <f t="shared" si="11"/>
        <v>0.8151613589534491</v>
      </c>
    </row>
    <row r="76" spans="1:22" s="3" customFormat="1" x14ac:dyDescent="0.3">
      <c r="A76" s="61" t="s">
        <v>2</v>
      </c>
      <c r="B76" s="141">
        <f>B58</f>
        <v>2.1769022703123208E-2</v>
      </c>
      <c r="C76" s="141">
        <f t="shared" ref="C76:V76" si="12">C58</f>
        <v>2.4879970444448306E-2</v>
      </c>
      <c r="D76" s="141">
        <f t="shared" si="12"/>
        <v>1.8555323140337747E-2</v>
      </c>
      <c r="E76" s="141">
        <f t="shared" si="12"/>
        <v>6.9804946911601731E-2</v>
      </c>
      <c r="F76" s="141">
        <f t="shared" si="12"/>
        <v>8.1874486804872706E-2</v>
      </c>
      <c r="G76" s="141">
        <f t="shared" si="12"/>
        <v>8.4393990258542953E-2</v>
      </c>
      <c r="H76" s="141">
        <f t="shared" si="12"/>
        <v>0.13025281665436084</v>
      </c>
      <c r="I76" s="141">
        <f t="shared" si="12"/>
        <v>1.6808944068997394E-2</v>
      </c>
      <c r="J76" s="141">
        <f t="shared" si="12"/>
        <v>2.2633629097956069E-2</v>
      </c>
      <c r="K76" s="141">
        <f t="shared" si="12"/>
        <v>2.9197503049839334E-2</v>
      </c>
      <c r="L76" s="141">
        <f t="shared" si="12"/>
        <v>2.6036125914291781E-2</v>
      </c>
      <c r="M76" s="141">
        <f t="shared" si="12"/>
        <v>7.09320728555278E-2</v>
      </c>
      <c r="N76" s="141"/>
      <c r="O76" s="141">
        <f t="shared" si="12"/>
        <v>6.9767255248141674E-2</v>
      </c>
      <c r="P76" s="141">
        <f t="shared" si="12"/>
        <v>0.12493250650029736</v>
      </c>
      <c r="Q76" s="141">
        <f t="shared" si="12"/>
        <v>1.5806981315780958E-2</v>
      </c>
      <c r="R76" s="141">
        <f t="shared" si="12"/>
        <v>9.5640432252973556E-2</v>
      </c>
      <c r="S76" s="141">
        <f t="shared" si="12"/>
        <v>8.4511517232738198E-2</v>
      </c>
      <c r="T76" s="141">
        <f t="shared" si="12"/>
        <v>0.10337392933149185</v>
      </c>
      <c r="U76" s="141">
        <f t="shared" si="12"/>
        <v>9.8643262193129591E-2</v>
      </c>
      <c r="V76" s="141">
        <f t="shared" si="12"/>
        <v>7.136627028243607E-2</v>
      </c>
    </row>
    <row r="77" spans="1:22" s="3" customFormat="1" x14ac:dyDescent="0.3">
      <c r="A77" s="61" t="s">
        <v>79</v>
      </c>
      <c r="B77" s="141">
        <f>(B75*100/$B$75)-100</f>
        <v>0</v>
      </c>
      <c r="C77" s="141">
        <f t="shared" ref="C77:M77" si="13">(C75*100/$B$75)-100</f>
        <v>15.160332964652312</v>
      </c>
      <c r="D77" s="141">
        <f t="shared" si="13"/>
        <v>-27.23365852621879</v>
      </c>
      <c r="E77" s="141">
        <f t="shared" si="13"/>
        <v>182.49995969611075</v>
      </c>
      <c r="F77" s="141">
        <f t="shared" si="13"/>
        <v>549.61233929943103</v>
      </c>
      <c r="G77" s="141">
        <f t="shared" si="13"/>
        <v>941.08207155252899</v>
      </c>
      <c r="H77" s="141">
        <f t="shared" si="13"/>
        <v>1745.5427285059088</v>
      </c>
      <c r="I77" s="141">
        <f t="shared" si="13"/>
        <v>-6.856313015862213</v>
      </c>
      <c r="J77" s="141">
        <f t="shared" si="13"/>
        <v>-2.3129141090511638</v>
      </c>
      <c r="K77" s="141">
        <f t="shared" si="13"/>
        <v>-5.8880812022485287</v>
      </c>
      <c r="L77" s="141">
        <f t="shared" si="13"/>
        <v>25.167776094492538</v>
      </c>
      <c r="M77" s="141">
        <f t="shared" si="13"/>
        <v>227.01416487306847</v>
      </c>
      <c r="N77" s="141"/>
      <c r="O77" s="141">
        <f>(O75*100/$O$75)-100</f>
        <v>0</v>
      </c>
      <c r="P77" s="141">
        <f t="shared" ref="P77:V77" si="14">(P75*100/$O$75)-100</f>
        <v>66.295832650881607</v>
      </c>
      <c r="Q77" s="141">
        <f t="shared" si="14"/>
        <v>-88.652435456284849</v>
      </c>
      <c r="R77" s="141">
        <f t="shared" si="14"/>
        <v>-15.150489413244216</v>
      </c>
      <c r="S77" s="141">
        <f t="shared" si="14"/>
        <v>-26.41546841053561</v>
      </c>
      <c r="T77" s="141">
        <f t="shared" si="14"/>
        <v>-20.107765424204544</v>
      </c>
      <c r="U77" s="141">
        <f t="shared" si="14"/>
        <v>4.6406788560203864</v>
      </c>
      <c r="V77" s="141">
        <f t="shared" si="14"/>
        <v>-18.483864104655098</v>
      </c>
    </row>
    <row r="78" spans="1:22" s="3" customFormat="1" x14ac:dyDescent="0.3">
      <c r="A78" s="61" t="s">
        <v>81</v>
      </c>
      <c r="B78" s="141" t="e">
        <f ca="1">[1]!DPTEST(B6:B53)</f>
        <v>#NAME?</v>
      </c>
      <c r="C78" s="141" t="e">
        <f ca="1">[1]!DPTEST(C6:C53)</f>
        <v>#NAME?</v>
      </c>
      <c r="D78" s="141" t="e">
        <f ca="1">[1]!DPTEST(D6:D53)</f>
        <v>#NAME?</v>
      </c>
      <c r="E78" s="141" t="e">
        <f ca="1">[1]!DPTEST(E6:E53)</f>
        <v>#NAME?</v>
      </c>
      <c r="F78" s="141" t="e">
        <f ca="1">[1]!DPTEST(F6:F53)</f>
        <v>#NAME?</v>
      </c>
      <c r="G78" s="141" t="e">
        <f ca="1">[1]!DPTEST(G6:G53)</f>
        <v>#NAME?</v>
      </c>
      <c r="H78" s="141" t="e">
        <f ca="1">[1]!DPTEST(H6:H53)</f>
        <v>#NAME?</v>
      </c>
      <c r="I78" s="141" t="e">
        <f ca="1">[1]!DPTEST(I6:I53)</f>
        <v>#NAME?</v>
      </c>
      <c r="J78" s="141" t="e">
        <f ca="1">[1]!DPTEST(J6:J53)</f>
        <v>#NAME?</v>
      </c>
      <c r="K78" s="141" t="e">
        <f ca="1">[1]!DPTEST(K6:K53)</f>
        <v>#NAME?</v>
      </c>
      <c r="L78" s="141" t="e">
        <f ca="1">[1]!DPTEST(L6:L53)</f>
        <v>#NAME?</v>
      </c>
      <c r="M78" s="141" t="e">
        <f ca="1">[1]!DPTEST(M6:M53)</f>
        <v>#NAME?</v>
      </c>
      <c r="N78" s="141"/>
      <c r="O78" s="141" t="e">
        <f ca="1">[1]!DPTEST(O6:O53)</f>
        <v>#NAME?</v>
      </c>
      <c r="P78" s="141" t="e">
        <f ca="1">[1]!DPTEST(P6:P53)</f>
        <v>#NAME?</v>
      </c>
      <c r="Q78" s="141" t="e">
        <f ca="1">[1]!DPTEST(Q6:Q53)</f>
        <v>#NAME?</v>
      </c>
      <c r="R78" s="141" t="e">
        <f ca="1">[1]!DPTEST(R6:R53)</f>
        <v>#NAME?</v>
      </c>
      <c r="S78" s="141" t="e">
        <f ca="1">[1]!DPTEST(S6:S53)</f>
        <v>#NAME?</v>
      </c>
      <c r="T78" s="141" t="e">
        <f ca="1">[1]!DPTEST(T6:T53)</f>
        <v>#NAME?</v>
      </c>
      <c r="U78" s="141" t="e">
        <f ca="1">[1]!DPTEST(U6:U53)</f>
        <v>#NAME?</v>
      </c>
      <c r="V78" s="141" t="e">
        <f ca="1">[1]!DPTEST(V6:V53)</f>
        <v>#NAME?</v>
      </c>
    </row>
    <row r="79" spans="1:22" s="3" customFormat="1" x14ac:dyDescent="0.3">
      <c r="A79" s="61" t="s">
        <v>85</v>
      </c>
      <c r="B79" s="141" t="e">
        <f ca="1">IF(B78&gt;0.05,"Oui","Non")</f>
        <v>#NAME?</v>
      </c>
      <c r="C79" s="141" t="e">
        <f t="shared" ref="C79:V79" ca="1" si="15">IF(C78&gt;0.05,"Oui","Non")</f>
        <v>#NAME?</v>
      </c>
      <c r="D79" s="141" t="e">
        <f t="shared" ca="1" si="15"/>
        <v>#NAME?</v>
      </c>
      <c r="E79" s="141" t="e">
        <f t="shared" ca="1" si="15"/>
        <v>#NAME?</v>
      </c>
      <c r="F79" s="141" t="e">
        <f t="shared" ca="1" si="15"/>
        <v>#NAME?</v>
      </c>
      <c r="G79" s="141" t="e">
        <f t="shared" ca="1" si="15"/>
        <v>#NAME?</v>
      </c>
      <c r="H79" s="141" t="e">
        <f t="shared" ca="1" si="15"/>
        <v>#NAME?</v>
      </c>
      <c r="I79" s="141" t="e">
        <f t="shared" ca="1" si="15"/>
        <v>#NAME?</v>
      </c>
      <c r="J79" s="141" t="e">
        <f t="shared" ca="1" si="15"/>
        <v>#NAME?</v>
      </c>
      <c r="K79" s="141" t="e">
        <f t="shared" ca="1" si="15"/>
        <v>#NAME?</v>
      </c>
      <c r="L79" s="141" t="e">
        <f t="shared" ca="1" si="15"/>
        <v>#NAME?</v>
      </c>
      <c r="M79" s="141" t="e">
        <f t="shared" ca="1" si="15"/>
        <v>#NAME?</v>
      </c>
      <c r="N79" s="141"/>
      <c r="O79" s="141" t="e">
        <f t="shared" ca="1" si="15"/>
        <v>#NAME?</v>
      </c>
      <c r="P79" s="141" t="e">
        <f t="shared" ca="1" si="15"/>
        <v>#NAME?</v>
      </c>
      <c r="Q79" s="141" t="e">
        <f t="shared" ca="1" si="15"/>
        <v>#NAME?</v>
      </c>
      <c r="R79" s="141" t="e">
        <f t="shared" ca="1" si="15"/>
        <v>#NAME?</v>
      </c>
      <c r="S79" s="141" t="e">
        <f t="shared" ca="1" si="15"/>
        <v>#NAME?</v>
      </c>
      <c r="T79" s="141" t="e">
        <f t="shared" ca="1" si="15"/>
        <v>#NAME?</v>
      </c>
      <c r="U79" s="141" t="e">
        <f t="shared" ca="1" si="15"/>
        <v>#NAME?</v>
      </c>
      <c r="V79" s="141" t="e">
        <f t="shared" ca="1" si="15"/>
        <v>#NAME?</v>
      </c>
    </row>
    <row r="80" spans="1:22" s="3" customFormat="1" x14ac:dyDescent="0.3">
      <c r="A80" s="61" t="s">
        <v>122</v>
      </c>
      <c r="B80" s="141" t="str">
        <f ca="1">IF(COUNTIF(B79:I79, "Non")=0, "Oui","Non")</f>
        <v>Oui</v>
      </c>
      <c r="C80" s="141"/>
      <c r="D80" s="141"/>
      <c r="E80" s="141"/>
      <c r="F80" s="141"/>
      <c r="G80" s="141"/>
      <c r="H80" s="141"/>
      <c r="I80" s="141"/>
      <c r="J80" s="141" t="str">
        <f ca="1">IF(COUNTIF(J79:M79, "Non")&gt;0, "Oui","Non")</f>
        <v>Non</v>
      </c>
      <c r="K80" s="141"/>
      <c r="L80" s="141"/>
      <c r="M80" s="141"/>
      <c r="N80" s="141"/>
      <c r="O80" s="141"/>
      <c r="P80" s="141"/>
      <c r="Q80" s="141"/>
      <c r="R80" s="141" t="str">
        <f ca="1">IF(COUNTIF(R79:V79, "Non")&gt;0, "Oui","Non")</f>
        <v>Non</v>
      </c>
      <c r="S80" s="141"/>
      <c r="T80" s="141"/>
      <c r="U80" s="141"/>
      <c r="V80" s="141"/>
    </row>
    <row r="81" spans="1:22" s="3" customFormat="1" x14ac:dyDescent="0.3">
      <c r="A81" s="61" t="s">
        <v>82</v>
      </c>
      <c r="B81" s="141"/>
      <c r="C81" s="141" t="str">
        <f t="shared" ref="C81:M81" ca="1" si="16">IF($B80="Non","Kruskal-Wallis","ANOVA")</f>
        <v>ANOVA</v>
      </c>
      <c r="D81" s="141" t="str">
        <f t="shared" ca="1" si="16"/>
        <v>ANOVA</v>
      </c>
      <c r="E81" s="141" t="str">
        <f t="shared" ca="1" si="16"/>
        <v>ANOVA</v>
      </c>
      <c r="F81" s="141" t="str">
        <f t="shared" ca="1" si="16"/>
        <v>ANOVA</v>
      </c>
      <c r="G81" s="141" t="str">
        <f t="shared" ca="1" si="16"/>
        <v>ANOVA</v>
      </c>
      <c r="H81" s="141" t="str">
        <f t="shared" ca="1" si="16"/>
        <v>ANOVA</v>
      </c>
      <c r="I81" s="141" t="str">
        <f t="shared" ca="1" si="16"/>
        <v>ANOVA</v>
      </c>
      <c r="J81" s="141" t="str">
        <f t="shared" ca="1" si="16"/>
        <v>ANOVA</v>
      </c>
      <c r="K81" s="141" t="str">
        <f t="shared" ca="1" si="16"/>
        <v>ANOVA</v>
      </c>
      <c r="L81" s="141" t="str">
        <f t="shared" ca="1" si="16"/>
        <v>ANOVA</v>
      </c>
      <c r="M81" s="141" t="str">
        <f t="shared" ca="1" si="16"/>
        <v>ANOVA</v>
      </c>
      <c r="N81" s="141"/>
      <c r="O81" s="141" t="e">
        <f ca="1">IF($B79="Non",IF(O79="Non","Mann Withney",IF(O79="Oui","Mann Withney","")),IF($B79="Oui",IF(O79="Oui","T-Test Welch",IF(O79="Non","Mann Withney",""))))</f>
        <v>#NAME?</v>
      </c>
      <c r="P81" s="141" t="e">
        <f t="shared" ref="P81:Q81" ca="1" si="17">IF($O79="Non",IF(P79="Non","Mann Withney",IF(P$79="Oui","Mann Withney","")),IF($O79="Oui",IF(P79="Oui","T-Test Welch",IF(P79="Non","Mann Withney",""))))</f>
        <v>#NAME?</v>
      </c>
      <c r="Q81" s="141" t="e">
        <f t="shared" ca="1" si="17"/>
        <v>#NAME?</v>
      </c>
      <c r="R81" s="141" t="s">
        <v>3074</v>
      </c>
      <c r="S81" s="141" t="s">
        <v>3074</v>
      </c>
      <c r="T81" s="141" t="s">
        <v>3074</v>
      </c>
      <c r="U81" s="141" t="s">
        <v>3074</v>
      </c>
      <c r="V81" s="141" t="s">
        <v>3074</v>
      </c>
    </row>
    <row r="82" spans="1:22" s="3" customFormat="1" ht="15.6" x14ac:dyDescent="0.3">
      <c r="A82" s="61" t="s">
        <v>83</v>
      </c>
      <c r="B82" s="141"/>
      <c r="C82" s="196">
        <v>0.99990000000000001</v>
      </c>
      <c r="D82" s="196">
        <v>0.99990000000000001</v>
      </c>
      <c r="E82" s="196">
        <v>0.19009999999999999</v>
      </c>
      <c r="F82" s="196">
        <v>1E-4</v>
      </c>
      <c r="G82" s="196">
        <v>1E-4</v>
      </c>
      <c r="H82" s="196">
        <v>1E-4</v>
      </c>
      <c r="I82" s="196">
        <v>0.99990000000000001</v>
      </c>
      <c r="J82" s="196">
        <v>0.99990000000000001</v>
      </c>
      <c r="K82" s="196">
        <v>0.99990000000000001</v>
      </c>
      <c r="L82" s="196">
        <v>0.99990000000000001</v>
      </c>
      <c r="M82" s="196">
        <v>2.9999999999999997E-4</v>
      </c>
      <c r="N82" s="141"/>
      <c r="O82" s="196">
        <v>1E-4</v>
      </c>
      <c r="P82" s="196">
        <v>1E-4</v>
      </c>
      <c r="Q82" s="196">
        <v>1E-4</v>
      </c>
      <c r="R82" s="196">
        <v>0.99990000000000001</v>
      </c>
      <c r="S82" s="196">
        <v>0.16919999999999999</v>
      </c>
      <c r="T82" s="196">
        <v>0.46500000000000002</v>
      </c>
      <c r="U82" s="196">
        <v>0.99990000000000001</v>
      </c>
      <c r="V82" s="196">
        <v>0.65280000000000005</v>
      </c>
    </row>
    <row r="83" spans="1:22" s="3" customFormat="1" ht="15" thickBot="1" x14ac:dyDescent="0.35">
      <c r="A83" s="62" t="s">
        <v>84</v>
      </c>
      <c r="B83" s="142"/>
      <c r="C83" s="142" t="str">
        <f t="shared" ref="C83:O83" si="18">IF(C82&gt;0.05,"NS",IF(C82&gt;0.01,"*",IF(C82&gt;0.001,"**","***")))</f>
        <v>NS</v>
      </c>
      <c r="D83" s="142" t="str">
        <f t="shared" si="18"/>
        <v>NS</v>
      </c>
      <c r="E83" s="142" t="str">
        <f t="shared" si="18"/>
        <v>NS</v>
      </c>
      <c r="F83" s="142" t="str">
        <f t="shared" si="18"/>
        <v>***</v>
      </c>
      <c r="G83" s="142" t="str">
        <f t="shared" si="18"/>
        <v>***</v>
      </c>
      <c r="H83" s="142" t="str">
        <f t="shared" si="18"/>
        <v>***</v>
      </c>
      <c r="I83" s="142" t="str">
        <f t="shared" si="18"/>
        <v>NS</v>
      </c>
      <c r="J83" s="142" t="str">
        <f t="shared" si="18"/>
        <v>NS</v>
      </c>
      <c r="K83" s="142" t="str">
        <f t="shared" si="18"/>
        <v>NS</v>
      </c>
      <c r="L83" s="142" t="str">
        <f t="shared" si="18"/>
        <v>NS</v>
      </c>
      <c r="M83" s="142" t="str">
        <f t="shared" si="18"/>
        <v>***</v>
      </c>
      <c r="N83" s="142"/>
      <c r="O83" s="142" t="str">
        <f t="shared" si="18"/>
        <v>***</v>
      </c>
      <c r="P83" s="142" t="str">
        <f t="shared" ref="P83" si="19">IF(P82&gt;0.05,"NS",IF(P82&gt;0.01,"*",IF(P82&gt;0.001,"**","***")))</f>
        <v>***</v>
      </c>
      <c r="Q83" s="142" t="str">
        <f t="shared" ref="Q83:V83" si="20">IF(Q82&gt;0.05,"NS",IF(Q82&gt;0.01,"*",IF(Q82&gt;0.001,"**","***")))</f>
        <v>***</v>
      </c>
      <c r="R83" s="142" t="str">
        <f t="shared" si="20"/>
        <v>NS</v>
      </c>
      <c r="S83" s="142" t="str">
        <f t="shared" si="20"/>
        <v>NS</v>
      </c>
      <c r="T83" s="142" t="str">
        <f t="shared" si="20"/>
        <v>NS</v>
      </c>
      <c r="U83" s="142" t="str">
        <f t="shared" si="20"/>
        <v>NS</v>
      </c>
      <c r="V83" s="142" t="str">
        <f t="shared" si="20"/>
        <v>NS</v>
      </c>
    </row>
    <row r="84" spans="1:22" s="1" customFormat="1" x14ac:dyDescent="0.3"/>
    <row r="85" spans="1:22" s="1" customFormat="1" x14ac:dyDescent="0.3">
      <c r="A85" s="2" t="s">
        <v>39</v>
      </c>
    </row>
    <row r="86" spans="1:22" x14ac:dyDescent="0.3">
      <c r="A86" s="1" t="s">
        <v>23</v>
      </c>
      <c r="B86" s="1">
        <f>B56+(3*B57)</f>
        <v>0.43926350406631898</v>
      </c>
    </row>
    <row r="87" spans="1:22" x14ac:dyDescent="0.3">
      <c r="A87" s="1" t="s">
        <v>24</v>
      </c>
      <c r="B87" s="1">
        <f>B56+(10*B57)</f>
        <v>1.1857854735703208</v>
      </c>
    </row>
    <row r="88" spans="1:22" ht="15" thickBot="1" x14ac:dyDescent="0.35"/>
    <row r="89" spans="1:22" s="48" customFormat="1" ht="26.4" thickBot="1" x14ac:dyDescent="0.35">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35"/>
    <row r="91" spans="1:22" s="48" customFormat="1" ht="26.4" thickBot="1" x14ac:dyDescent="0.35">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35"/>
    <row r="93" spans="1:22" s="48" customFormat="1" ht="26.4" thickBot="1" x14ac:dyDescent="0.35">
      <c r="A93" s="230" t="s">
        <v>57</v>
      </c>
      <c r="B93" s="231"/>
      <c r="C93" s="231"/>
      <c r="D93" s="231"/>
      <c r="E93" s="231"/>
      <c r="F93" s="231"/>
      <c r="G93" s="231"/>
      <c r="H93" s="231"/>
      <c r="I93" s="231"/>
      <c r="J93" s="231"/>
      <c r="K93" s="231"/>
      <c r="L93" s="231"/>
      <c r="M93" s="231"/>
      <c r="N93" s="231"/>
      <c r="O93" s="231"/>
      <c r="P93" s="231"/>
      <c r="Q93" s="231"/>
      <c r="R93" s="231"/>
      <c r="S93" s="231"/>
      <c r="T93" s="231"/>
      <c r="U93" s="231"/>
      <c r="V93" s="231"/>
    </row>
    <row r="96" spans="1:22" ht="15.6" x14ac:dyDescent="0.3">
      <c r="I96" s="196"/>
      <c r="R96" s="196"/>
    </row>
    <row r="97" spans="4:18" ht="15.6" x14ac:dyDescent="0.3">
      <c r="D97" s="196"/>
      <c r="I97" s="196"/>
      <c r="R97" s="196"/>
    </row>
    <row r="98" spans="4:18" ht="15.6" x14ac:dyDescent="0.3">
      <c r="D98" s="196"/>
      <c r="I98" s="196"/>
      <c r="R98" s="196"/>
    </row>
    <row r="99" spans="4:18" ht="15.6" x14ac:dyDescent="0.3">
      <c r="D99" s="196"/>
      <c r="I99" s="196"/>
      <c r="R99" s="196"/>
    </row>
    <row r="100" spans="4:18" ht="15.6" x14ac:dyDescent="0.3">
      <c r="D100" s="196"/>
      <c r="I100" s="196"/>
      <c r="R100" s="196"/>
    </row>
    <row r="101" spans="4:18" ht="15.6" x14ac:dyDescent="0.3">
      <c r="D101" s="196"/>
    </row>
    <row r="102" spans="4:18" ht="15.6" x14ac:dyDescent="0.3">
      <c r="D102" s="196"/>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109375" defaultRowHeight="14.4" x14ac:dyDescent="0.3"/>
  <cols>
    <col min="1" max="1" width="33.6640625" style="41" bestFit="1" customWidth="1"/>
    <col min="2" max="3" width="14" style="41" bestFit="1" customWidth="1"/>
    <col min="4" max="4" width="14" style="41" customWidth="1"/>
    <col min="5" max="5" width="16" style="15" bestFit="1" customWidth="1"/>
    <col min="6" max="8" width="16" style="15" customWidth="1"/>
    <col min="9" max="13" width="19.109375" style="15" customWidth="1"/>
    <col min="14" max="14" width="32.109375" style="15" bestFit="1" customWidth="1"/>
    <col min="15" max="15" width="19.5546875" style="41" customWidth="1"/>
    <col min="16" max="16384" width="9.109375" style="41"/>
  </cols>
  <sheetData>
    <row r="1" spans="1:15" s="48" customFormat="1" ht="26.4" thickBot="1" x14ac:dyDescent="0.35">
      <c r="A1" s="230" t="s">
        <v>104</v>
      </c>
      <c r="B1" s="231"/>
      <c r="C1" s="231"/>
      <c r="D1" s="231"/>
      <c r="E1" s="231"/>
      <c r="F1" s="231"/>
      <c r="G1" s="231"/>
      <c r="H1" s="231"/>
      <c r="I1" s="231"/>
      <c r="J1" s="231"/>
      <c r="K1" s="231"/>
      <c r="L1" s="231"/>
      <c r="M1" s="231"/>
      <c r="N1" s="231"/>
      <c r="O1" s="232"/>
    </row>
    <row r="2" spans="1:15" s="48" customFormat="1" ht="26.4" thickBot="1" x14ac:dyDescent="0.35">
      <c r="A2" s="230" t="s">
        <v>105</v>
      </c>
      <c r="B2" s="231"/>
      <c r="C2" s="231"/>
      <c r="D2" s="231"/>
      <c r="E2" s="231"/>
      <c r="F2" s="231"/>
      <c r="G2" s="231"/>
      <c r="H2" s="231"/>
      <c r="I2" s="231"/>
      <c r="J2" s="231"/>
      <c r="K2" s="231"/>
      <c r="L2" s="231"/>
      <c r="M2" s="231"/>
      <c r="N2" s="231"/>
      <c r="O2" s="232"/>
    </row>
    <row r="3" spans="1:15" s="76" customFormat="1" ht="15.6" x14ac:dyDescent="0.3">
      <c r="H3" s="77"/>
      <c r="I3" s="77"/>
      <c r="J3" s="77"/>
      <c r="K3" s="77"/>
      <c r="L3" s="77"/>
      <c r="M3" s="77"/>
      <c r="N3" s="77"/>
    </row>
    <row r="4" spans="1:15" s="76" customFormat="1" ht="15.6" x14ac:dyDescent="0.3">
      <c r="O4"/>
    </row>
    <row r="5" spans="1:15" s="76" customFormat="1" ht="45.75" customHeight="1" thickBot="1" x14ac:dyDescent="0.35">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6" x14ac:dyDescent="0.3">
      <c r="A6" s="79" t="s">
        <v>28</v>
      </c>
      <c r="B6" s="99">
        <v>64</v>
      </c>
      <c r="C6" s="79"/>
      <c r="D6" s="79"/>
      <c r="E6" s="89"/>
      <c r="F6" s="90"/>
      <c r="G6" s="128">
        <f>IF(F6="NS","NC",ROUND(B6,2-(1+INT(LOG10(ABS(B6))))))</f>
        <v>64</v>
      </c>
      <c r="H6" s="120"/>
      <c r="I6" s="120"/>
      <c r="J6" s="121"/>
      <c r="K6" s="122"/>
      <c r="L6" s="124"/>
      <c r="M6" s="121"/>
      <c r="N6" s="91"/>
      <c r="O6"/>
    </row>
    <row r="7" spans="1:15" s="76" customFormat="1" ht="15.6" x14ac:dyDescent="0.3">
      <c r="A7" s="79" t="str">
        <f>'Page de garde'!A15</f>
        <v>Tamoxifen-30,2µg/L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Tamoxifen-30.2µg/L : 0%</v>
      </c>
      <c r="O7"/>
    </row>
    <row r="8" spans="1:15" s="76" customFormat="1" ht="15.6" x14ac:dyDescent="0.3">
      <c r="A8" s="79" t="str">
        <f>'Page de garde'!A16</f>
        <v>Tamoxifen-60,4µg/L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Tamoxifen-60.4µg/L : 0%</v>
      </c>
      <c r="O8"/>
    </row>
    <row r="9" spans="1:15" s="76" customFormat="1" ht="15.6" x14ac:dyDescent="0.3">
      <c r="A9" s="79" t="str">
        <f>'Page de garde'!A17</f>
        <v>Tamoxifen-121µg/L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Tamoxifen-121µg/L : 0%</v>
      </c>
      <c r="O9"/>
    </row>
    <row r="10" spans="1:15" s="76" customFormat="1" ht="15.6" x14ac:dyDescent="0.3">
      <c r="A10" s="79" t="str">
        <f>'Page de garde'!A18</f>
        <v>Tamoxifen-242µg/L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Tamoxifen-242µg/L : 0%</v>
      </c>
      <c r="O10"/>
    </row>
    <row r="11" spans="1:15" s="76" customFormat="1" ht="15.6" x14ac:dyDescent="0.3">
      <c r="A11" s="79" t="str">
        <f>'Page de garde'!A19</f>
        <v>Tamoxifen-483µg/L</v>
      </c>
      <c r="B11" s="99"/>
      <c r="C11" s="79"/>
      <c r="D11" s="84"/>
      <c r="E11" s="81"/>
      <c r="F11" s="97" t="str">
        <f>HLOOKUP(A11,'pooled normalised values'!$B$74:$V$83,10,FALSE)</f>
        <v>***</v>
      </c>
      <c r="G11" s="128" t="e">
        <f t="shared" si="0"/>
        <v>#NUM!</v>
      </c>
      <c r="H11" s="119" t="str">
        <f>IF(VLOOKUP(A11,liste_groupe[],4,FALSE)="%",VLOOKUP(A11,liste_groupe[],3,FALSE)/100,IF(ISBLANK(VLOOKUP(A11,liste_groupe[],4,FALSE)),"Non","Non"))</f>
        <v>Non</v>
      </c>
      <c r="I11" s="128" t="e">
        <f t="shared" si="1"/>
        <v>#NUM!</v>
      </c>
      <c r="J11" s="129">
        <v>64</v>
      </c>
      <c r="K11" s="130" t="e">
        <f t="shared" si="2"/>
        <v>#NUM!</v>
      </c>
      <c r="L11" s="125"/>
      <c r="M11" s="131" t="e">
        <f t="shared" si="3"/>
        <v>#NUM!</v>
      </c>
      <c r="N11" s="92" t="e">
        <f>IF(H11="Non",CONCATENATE(VLOOKUP(A11,liste_groupe[],5,FALSE),"-",VLOOKUP(A11,liste_groupe[],3,FALSE),VLOOKUP(A11,liste_groupe[],4,FALSE)," : ",ROUND(K11,0),"%"),CONCATENATE(VLOOKUP(A11,liste_groupe[],5,FALSE)," : ",ROUND(K11,0),"%"))</f>
        <v>#NUM!</v>
      </c>
      <c r="O11"/>
    </row>
    <row r="12" spans="1:15" s="76" customFormat="1" ht="15.6" x14ac:dyDescent="0.3">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6" x14ac:dyDescent="0.3">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6" x14ac:dyDescent="0.3">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6" x14ac:dyDescent="0.3">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6" x14ac:dyDescent="0.3">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6" x14ac:dyDescent="0.3">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6" x14ac:dyDescent="0.3">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6" x14ac:dyDescent="0.3">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6" x14ac:dyDescent="0.3">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6" x14ac:dyDescent="0.3">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6" x14ac:dyDescent="0.3">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6" x14ac:dyDescent="0.3">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6" x14ac:dyDescent="0.3">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6" x14ac:dyDescent="0.3">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6" x14ac:dyDescent="0.3">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6" x14ac:dyDescent="0.3">
      <c r="A27"/>
      <c r="B27"/>
      <c r="C27"/>
      <c r="D27"/>
      <c r="E27"/>
      <c r="F27"/>
      <c r="G27"/>
      <c r="H27"/>
      <c r="I27"/>
      <c r="J27"/>
      <c r="K27"/>
      <c r="L27"/>
      <c r="M27"/>
      <c r="N27"/>
      <c r="O27" s="1"/>
    </row>
    <row r="28" spans="1:15" s="76" customFormat="1" ht="31.8" thickBot="1" x14ac:dyDescent="0.35">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6" x14ac:dyDescent="0.3">
      <c r="A29" s="83" t="s">
        <v>29</v>
      </c>
      <c r="B29" s="99"/>
      <c r="C29" s="79"/>
      <c r="D29" s="79"/>
      <c r="E29" s="81"/>
      <c r="F29" s="90"/>
      <c r="G29" s="133"/>
      <c r="H29" s="120"/>
      <c r="I29" s="120"/>
      <c r="J29" s="121"/>
      <c r="K29" s="122"/>
      <c r="L29" s="124"/>
      <c r="M29" s="121"/>
      <c r="N29" s="91"/>
      <c r="O29"/>
    </row>
    <row r="30" spans="1:15" s="76" customFormat="1" ht="15.6" x14ac:dyDescent="0.3">
      <c r="A30" s="83" t="s">
        <v>31</v>
      </c>
      <c r="B30" s="99"/>
      <c r="C30" s="79"/>
      <c r="D30" s="79"/>
      <c r="E30" s="81"/>
      <c r="F30" s="90"/>
      <c r="G30" s="132" t="e">
        <f>IF(F30="NS","NC",ROUND(B30-$B$29,2-(1+INT(LOG10(ABS(B30-$B$29))))))</f>
        <v>#NUM!</v>
      </c>
      <c r="H30" s="120"/>
      <c r="I30" s="133"/>
      <c r="J30" s="134"/>
      <c r="K30" s="135"/>
      <c r="L30" s="134"/>
      <c r="M30" s="134"/>
      <c r="N30" s="136"/>
      <c r="O30"/>
    </row>
    <row r="31" spans="1:15" s="76" customFormat="1" ht="15.6" x14ac:dyDescent="0.3">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6" x14ac:dyDescent="0.3">
      <c r="A32" s="127" t="str">
        <f>'Page de garde'!A39</f>
        <v>Tamoxifen-30.2µg/L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Tamoxifen-30.2µg/L : 0%</v>
      </c>
    </row>
    <row r="33" spans="1:14" s="76" customFormat="1" ht="15.6" x14ac:dyDescent="0.3">
      <c r="A33" s="127" t="str">
        <f>'Page de garde'!A40</f>
        <v>Tamoxifen-60.4µg/L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Tamoxifen-60.4µg/L : 0%</v>
      </c>
    </row>
    <row r="34" spans="1:14" s="76" customFormat="1" ht="15.6" x14ac:dyDescent="0.3">
      <c r="A34" s="127" t="str">
        <f>'Page de garde'!A41</f>
        <v>Tamoxifen-121µg/L + Testostérone</v>
      </c>
      <c r="B34" s="99"/>
      <c r="C34" s="79"/>
      <c r="D34" s="79"/>
      <c r="E34" s="81"/>
      <c r="F34" s="93" t="str">
        <f>HLOOKUP(A34,'pooled normalised values'!$B$74:$V$83,10,FALSE)</f>
        <v>NS</v>
      </c>
      <c r="G34" s="132" t="str">
        <f t="shared" si="6"/>
        <v>NC</v>
      </c>
      <c r="H34" s="123" t="str">
        <f>IF(VLOOKUP(A34,liste_groupe[],4,FALSE)="%",VLOOKUP(A34,liste_groupe[],3,FALSE)/100,IF(ISBLANK(VLOOKUP(A34,liste_groupe[],4,FALSE)),"Non","Non"))</f>
        <v>Non</v>
      </c>
      <c r="I34" s="132" t="str">
        <f t="shared" si="7"/>
        <v>NC</v>
      </c>
      <c r="J34" s="137" t="e">
        <f t="shared" si="8"/>
        <v>#NUM!</v>
      </c>
      <c r="K34" s="138">
        <f t="shared" si="9"/>
        <v>0</v>
      </c>
      <c r="L34" s="139"/>
      <c r="M34" s="131">
        <f t="shared" si="10"/>
        <v>0</v>
      </c>
      <c r="N34" s="140" t="str">
        <f>IF(H34="Non",CONCATENATE(VLOOKUP(A34,liste_groupe[],5,FALSE),"-",VLOOKUP(A34,liste_groupe[],3,FALSE),VLOOKUP(A34,liste_groupe[],4,FALSE)," : ",ROUND(K34,0),"%"),CONCATENATE(VLOOKUP(A34,liste_groupe[],5,FALSE)," : ",ROUND(K34,0),"%"))</f>
        <v>Tamoxifen-121µg/L : 0%</v>
      </c>
    </row>
    <row r="35" spans="1:14" s="76" customFormat="1" ht="15.6" x14ac:dyDescent="0.3">
      <c r="A35" s="127" t="str">
        <f>'Page de garde'!A42</f>
        <v>Tamoxifen-242µg/L + Testostérone</v>
      </c>
      <c r="B35" s="98"/>
      <c r="C35" s="86"/>
      <c r="D35" s="86"/>
      <c r="E35" s="81"/>
      <c r="F35" s="93" t="str">
        <f>HLOOKUP(A35,'pooled normalised values'!$B$74:$V$83,10,FALSE)</f>
        <v>NS</v>
      </c>
      <c r="G35" s="132" t="str">
        <f t="shared" si="6"/>
        <v>NC</v>
      </c>
      <c r="H35" s="123" t="str">
        <f>IF(VLOOKUP(A35,liste_groupe[],4,FALSE)="%",VLOOKUP(A35,liste_groupe[],3,FALSE)/100,IF(ISBLANK(VLOOKUP(A35,liste_groupe[],4,FALSE)),"Non","Non"))</f>
        <v>Non</v>
      </c>
      <c r="I35" s="132" t="str">
        <f t="shared" si="7"/>
        <v>NC</v>
      </c>
      <c r="J35" s="137" t="e">
        <f t="shared" si="8"/>
        <v>#NUM!</v>
      </c>
      <c r="K35" s="138">
        <f t="shared" si="9"/>
        <v>0</v>
      </c>
      <c r="L35" s="139"/>
      <c r="M35" s="131">
        <f t="shared" si="10"/>
        <v>0</v>
      </c>
      <c r="N35" s="140" t="str">
        <f>IF(H35="Non",CONCATENATE(VLOOKUP(A35,liste_groupe[],5,FALSE),"-",VLOOKUP(A35,liste_groupe[],3,FALSE),VLOOKUP(A35,liste_groupe[],4,FALSE)," : ",ROUND(K35,0),"%"),CONCATENATE(VLOOKUP(A35,liste_groupe[],5,FALSE)," : ",ROUND(K35,0),"%"))</f>
        <v>Tamoxifen-242µg/L : 0%</v>
      </c>
    </row>
    <row r="36" spans="1:14" s="76" customFormat="1" ht="15.6" x14ac:dyDescent="0.3">
      <c r="A36" s="127" t="str">
        <f>'Page de garde'!A43</f>
        <v>Tamoxifen-483µg/L + Testostérone</v>
      </c>
      <c r="B36" s="98"/>
      <c r="C36" s="86"/>
      <c r="D36" s="86"/>
      <c r="E36" s="81"/>
      <c r="F36" s="93" t="str">
        <f>HLOOKUP(A36,'pooled normalised values'!$B$74:$V$83,10,FALSE)</f>
        <v>NS</v>
      </c>
      <c r="G36" s="132" t="str">
        <f t="shared" si="6"/>
        <v>NC</v>
      </c>
      <c r="H36" s="123" t="str">
        <f>IF(VLOOKUP(A36,liste_groupe[],4,FALSE)="%",VLOOKUP(A36,liste_groupe[],3,FALSE)/100,IF(ISBLANK(VLOOKUP(A36,liste_groupe[],4,FALSE)),"Non","Non"))</f>
        <v>Non</v>
      </c>
      <c r="I36" s="132" t="str">
        <f t="shared" si="7"/>
        <v>NC</v>
      </c>
      <c r="J36" s="137" t="e">
        <f t="shared" si="8"/>
        <v>#NUM!</v>
      </c>
      <c r="K36" s="138">
        <f t="shared" si="9"/>
        <v>0</v>
      </c>
      <c r="L36" s="139"/>
      <c r="M36" s="131">
        <f t="shared" si="10"/>
        <v>0</v>
      </c>
      <c r="N36" s="140" t="str">
        <f>IF(H36="Non",CONCATENATE(VLOOKUP(A36,liste_groupe[],5,FALSE),"-",VLOOKUP(A36,liste_groupe[],3,FALSE),VLOOKUP(A36,liste_groupe[],4,FALSE)," : ",ROUND(K36,0),"%"),CONCATENATE(VLOOKUP(A36,liste_groupe[],5,FALSE)," : ",ROUND(K36,0),"%"))</f>
        <v>Tamoxifen-483µg/L : 0%</v>
      </c>
    </row>
    <row r="37" spans="1:14" s="76" customFormat="1" ht="15.6" x14ac:dyDescent="0.3">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6" x14ac:dyDescent="0.3">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6" x14ac:dyDescent="0.3">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6" x14ac:dyDescent="0.3">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6" x14ac:dyDescent="0.3">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6" x14ac:dyDescent="0.3">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6" x14ac:dyDescent="0.3">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6" x14ac:dyDescent="0.3">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6" x14ac:dyDescent="0.3">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6" x14ac:dyDescent="0.3">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6" x14ac:dyDescent="0.3">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6" x14ac:dyDescent="0.3">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6" x14ac:dyDescent="0.3">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6" x14ac:dyDescent="0.3">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6" x14ac:dyDescent="0.3">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2" thickBot="1" x14ac:dyDescent="0.35">
      <c r="E52" s="77"/>
      <c r="F52" s="77"/>
      <c r="G52" s="77"/>
      <c r="H52" s="77"/>
      <c r="I52" s="77"/>
      <c r="J52" s="77"/>
      <c r="K52" s="77"/>
      <c r="L52" s="77"/>
      <c r="M52" s="77"/>
      <c r="N52" s="77"/>
    </row>
    <row r="53" spans="1:15" s="48" customFormat="1" ht="26.4" thickBot="1" x14ac:dyDescent="0.35">
      <c r="A53" s="230" t="s">
        <v>60</v>
      </c>
      <c r="B53" s="231"/>
      <c r="C53" s="231"/>
      <c r="D53" s="231"/>
      <c r="E53" s="231"/>
      <c r="F53" s="231"/>
      <c r="G53" s="231"/>
      <c r="H53" s="231"/>
      <c r="I53" s="231"/>
      <c r="J53" s="231"/>
      <c r="K53" s="231"/>
      <c r="L53" s="231"/>
      <c r="M53" s="231"/>
      <c r="N53" s="231"/>
      <c r="O53" s="232"/>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4140625" defaultRowHeight="14.4" x14ac:dyDescent="0.3"/>
  <cols>
    <col min="1" max="1" width="22.88671875" style="178" customWidth="1"/>
    <col min="2" max="2" width="46.33203125" style="178" customWidth="1"/>
    <col min="3" max="3" width="15.33203125" style="178" customWidth="1"/>
    <col min="4" max="4" width="24.6640625" style="178" customWidth="1"/>
    <col min="5" max="5" width="24.44140625" style="178" customWidth="1"/>
    <col min="6" max="6" width="23.109375" style="178" customWidth="1"/>
    <col min="7" max="7" width="21.33203125" style="178" customWidth="1"/>
    <col min="8" max="16384" width="11.44140625" style="178"/>
  </cols>
  <sheetData>
    <row r="1" spans="1:7" ht="29.4" thickBot="1" x14ac:dyDescent="0.35">
      <c r="A1" s="183" t="s">
        <v>131</v>
      </c>
      <c r="B1" s="184" t="s">
        <v>132</v>
      </c>
      <c r="C1" s="184" t="s">
        <v>138</v>
      </c>
      <c r="D1" s="184" t="s">
        <v>137</v>
      </c>
      <c r="E1" s="184" t="s">
        <v>139</v>
      </c>
      <c r="F1" s="185" t="s">
        <v>140</v>
      </c>
      <c r="G1" s="186" t="s">
        <v>141</v>
      </c>
    </row>
    <row r="2" spans="1:7" ht="57.6" x14ac:dyDescent="0.3">
      <c r="A2" s="179" t="s">
        <v>133</v>
      </c>
      <c r="B2" s="180" t="s">
        <v>134</v>
      </c>
      <c r="C2" s="180" t="s">
        <v>135</v>
      </c>
      <c r="D2" s="180" t="s">
        <v>142</v>
      </c>
      <c r="E2" s="180" t="s">
        <v>136</v>
      </c>
      <c r="F2" s="181" t="s">
        <v>135</v>
      </c>
      <c r="G2" s="182" t="s">
        <v>135</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5546875" defaultRowHeight="13.2" x14ac:dyDescent="0.25"/>
  <cols>
    <col min="1" max="1" width="18.88671875" style="17" customWidth="1"/>
    <col min="2" max="2" width="7.33203125" style="17" bestFit="1" customWidth="1"/>
    <col min="3" max="3" width="10.5546875" style="17" customWidth="1"/>
    <col min="4" max="4" width="13.6640625" style="17" bestFit="1" customWidth="1"/>
    <col min="5" max="5" width="12" style="17" bestFit="1" customWidth="1"/>
    <col min="6" max="19" width="14.88671875" style="17" customWidth="1"/>
    <col min="20" max="21" width="11.44140625" style="17"/>
    <col min="22" max="22" width="13.5546875" style="17" bestFit="1" customWidth="1"/>
    <col min="23" max="34" width="13.5546875" style="17" customWidth="1"/>
    <col min="35" max="35" width="13.5546875" style="17" bestFit="1" customWidth="1"/>
    <col min="36" max="282" width="11.44140625" style="17"/>
    <col min="283" max="283" width="18.6640625" style="17" customWidth="1"/>
    <col min="284" max="284" width="13.6640625" style="17" bestFit="1" customWidth="1"/>
    <col min="285" max="285" width="17.33203125" style="17" customWidth="1"/>
    <col min="286" max="286" width="11" style="17" customWidth="1"/>
    <col min="287" max="287" width="12" style="17" bestFit="1" customWidth="1"/>
    <col min="288" max="288" width="14.88671875" style="17" customWidth="1"/>
    <col min="289" max="538" width="11.44140625" style="17"/>
    <col min="539" max="539" width="18.6640625" style="17" customWidth="1"/>
    <col min="540" max="540" width="13.6640625" style="17" bestFit="1" customWidth="1"/>
    <col min="541" max="541" width="17.33203125" style="17" customWidth="1"/>
    <col min="542" max="542" width="11" style="17" customWidth="1"/>
    <col min="543" max="543" width="12" style="17" bestFit="1" customWidth="1"/>
    <col min="544" max="544" width="14.88671875" style="17" customWidth="1"/>
    <col min="545" max="794" width="11.44140625" style="17"/>
    <col min="795" max="795" width="18.6640625" style="17" customWidth="1"/>
    <col min="796" max="796" width="13.6640625" style="17" bestFit="1" customWidth="1"/>
    <col min="797" max="797" width="17.33203125" style="17" customWidth="1"/>
    <col min="798" max="798" width="11" style="17" customWidth="1"/>
    <col min="799" max="799" width="12" style="17" bestFit="1" customWidth="1"/>
    <col min="800" max="800" width="14.88671875" style="17" customWidth="1"/>
    <col min="801" max="1050" width="11.44140625" style="17"/>
    <col min="1051" max="1051" width="18.6640625" style="17" customWidth="1"/>
    <col min="1052" max="1052" width="13.6640625" style="17" bestFit="1" customWidth="1"/>
    <col min="1053" max="1053" width="17.33203125" style="17" customWidth="1"/>
    <col min="1054" max="1054" width="11" style="17" customWidth="1"/>
    <col min="1055" max="1055" width="12" style="17" bestFit="1" customWidth="1"/>
    <col min="1056" max="1056" width="14.88671875" style="17" customWidth="1"/>
    <col min="1057" max="1306" width="11.44140625" style="17"/>
    <col min="1307" max="1307" width="18.6640625" style="17" customWidth="1"/>
    <col min="1308" max="1308" width="13.6640625" style="17" bestFit="1" customWidth="1"/>
    <col min="1309" max="1309" width="17.33203125" style="17" customWidth="1"/>
    <col min="1310" max="1310" width="11" style="17" customWidth="1"/>
    <col min="1311" max="1311" width="12" style="17" bestFit="1" customWidth="1"/>
    <col min="1312" max="1312" width="14.88671875" style="17" customWidth="1"/>
    <col min="1313" max="1562" width="11.44140625" style="17"/>
    <col min="1563" max="1563" width="18.6640625" style="17" customWidth="1"/>
    <col min="1564" max="1564" width="13.6640625" style="17" bestFit="1" customWidth="1"/>
    <col min="1565" max="1565" width="17.33203125" style="17" customWidth="1"/>
    <col min="1566" max="1566" width="11" style="17" customWidth="1"/>
    <col min="1567" max="1567" width="12" style="17" bestFit="1" customWidth="1"/>
    <col min="1568" max="1568" width="14.88671875" style="17" customWidth="1"/>
    <col min="1569" max="1818" width="11.44140625" style="17"/>
    <col min="1819" max="1819" width="18.6640625" style="17" customWidth="1"/>
    <col min="1820" max="1820" width="13.6640625" style="17" bestFit="1" customWidth="1"/>
    <col min="1821" max="1821" width="17.33203125" style="17" customWidth="1"/>
    <col min="1822" max="1822" width="11" style="17" customWidth="1"/>
    <col min="1823" max="1823" width="12" style="17" bestFit="1" customWidth="1"/>
    <col min="1824" max="1824" width="14.88671875" style="17" customWidth="1"/>
    <col min="1825" max="2074" width="11.44140625" style="17"/>
    <col min="2075" max="2075" width="18.6640625" style="17" customWidth="1"/>
    <col min="2076" max="2076" width="13.6640625" style="17" bestFit="1" customWidth="1"/>
    <col min="2077" max="2077" width="17.33203125" style="17" customWidth="1"/>
    <col min="2078" max="2078" width="11" style="17" customWidth="1"/>
    <col min="2079" max="2079" width="12" style="17" bestFit="1" customWidth="1"/>
    <col min="2080" max="2080" width="14.88671875" style="17" customWidth="1"/>
    <col min="2081" max="2330" width="11.44140625" style="17"/>
    <col min="2331" max="2331" width="18.6640625" style="17" customWidth="1"/>
    <col min="2332" max="2332" width="13.6640625" style="17" bestFit="1" customWidth="1"/>
    <col min="2333" max="2333" width="17.33203125" style="17" customWidth="1"/>
    <col min="2334" max="2334" width="11" style="17" customWidth="1"/>
    <col min="2335" max="2335" width="12" style="17" bestFit="1" customWidth="1"/>
    <col min="2336" max="2336" width="14.88671875" style="17" customWidth="1"/>
    <col min="2337" max="2586" width="11.44140625" style="17"/>
    <col min="2587" max="2587" width="18.6640625" style="17" customWidth="1"/>
    <col min="2588" max="2588" width="13.6640625" style="17" bestFit="1" customWidth="1"/>
    <col min="2589" max="2589" width="17.33203125" style="17" customWidth="1"/>
    <col min="2590" max="2590" width="11" style="17" customWidth="1"/>
    <col min="2591" max="2591" width="12" style="17" bestFit="1" customWidth="1"/>
    <col min="2592" max="2592" width="14.88671875" style="17" customWidth="1"/>
    <col min="2593" max="2842" width="11.44140625" style="17"/>
    <col min="2843" max="2843" width="18.6640625" style="17" customWidth="1"/>
    <col min="2844" max="2844" width="13.6640625" style="17" bestFit="1" customWidth="1"/>
    <col min="2845" max="2845" width="17.33203125" style="17" customWidth="1"/>
    <col min="2846" max="2846" width="11" style="17" customWidth="1"/>
    <col min="2847" max="2847" width="12" style="17" bestFit="1" customWidth="1"/>
    <col min="2848" max="2848" width="14.88671875" style="17" customWidth="1"/>
    <col min="2849" max="3098" width="11.44140625" style="17"/>
    <col min="3099" max="3099" width="18.6640625" style="17" customWidth="1"/>
    <col min="3100" max="3100" width="13.6640625" style="17" bestFit="1" customWidth="1"/>
    <col min="3101" max="3101" width="17.33203125" style="17" customWidth="1"/>
    <col min="3102" max="3102" width="11" style="17" customWidth="1"/>
    <col min="3103" max="3103" width="12" style="17" bestFit="1" customWidth="1"/>
    <col min="3104" max="3104" width="14.88671875" style="17" customWidth="1"/>
    <col min="3105" max="3354" width="11.44140625" style="17"/>
    <col min="3355" max="3355" width="18.6640625" style="17" customWidth="1"/>
    <col min="3356" max="3356" width="13.6640625" style="17" bestFit="1" customWidth="1"/>
    <col min="3357" max="3357" width="17.33203125" style="17" customWidth="1"/>
    <col min="3358" max="3358" width="11" style="17" customWidth="1"/>
    <col min="3359" max="3359" width="12" style="17" bestFit="1" customWidth="1"/>
    <col min="3360" max="3360" width="14.88671875" style="17" customWidth="1"/>
    <col min="3361" max="3610" width="11.44140625" style="17"/>
    <col min="3611" max="3611" width="18.6640625" style="17" customWidth="1"/>
    <col min="3612" max="3612" width="13.6640625" style="17" bestFit="1" customWidth="1"/>
    <col min="3613" max="3613" width="17.33203125" style="17" customWidth="1"/>
    <col min="3614" max="3614" width="11" style="17" customWidth="1"/>
    <col min="3615" max="3615" width="12" style="17" bestFit="1" customWidth="1"/>
    <col min="3616" max="3616" width="14.88671875" style="17" customWidth="1"/>
    <col min="3617" max="3866" width="11.44140625" style="17"/>
    <col min="3867" max="3867" width="18.6640625" style="17" customWidth="1"/>
    <col min="3868" max="3868" width="13.6640625" style="17" bestFit="1" customWidth="1"/>
    <col min="3869" max="3869" width="17.33203125" style="17" customWidth="1"/>
    <col min="3870" max="3870" width="11" style="17" customWidth="1"/>
    <col min="3871" max="3871" width="12" style="17" bestFit="1" customWidth="1"/>
    <col min="3872" max="3872" width="14.88671875" style="17" customWidth="1"/>
    <col min="3873" max="4122" width="11.44140625" style="17"/>
    <col min="4123" max="4123" width="18.6640625" style="17" customWidth="1"/>
    <col min="4124" max="4124" width="13.6640625" style="17" bestFit="1" customWidth="1"/>
    <col min="4125" max="4125" width="17.33203125" style="17" customWidth="1"/>
    <col min="4126" max="4126" width="11" style="17" customWidth="1"/>
    <col min="4127" max="4127" width="12" style="17" bestFit="1" customWidth="1"/>
    <col min="4128" max="4128" width="14.88671875" style="17" customWidth="1"/>
    <col min="4129" max="4378" width="11.44140625" style="17"/>
    <col min="4379" max="4379" width="18.6640625" style="17" customWidth="1"/>
    <col min="4380" max="4380" width="13.6640625" style="17" bestFit="1" customWidth="1"/>
    <col min="4381" max="4381" width="17.33203125" style="17" customWidth="1"/>
    <col min="4382" max="4382" width="11" style="17" customWidth="1"/>
    <col min="4383" max="4383" width="12" style="17" bestFit="1" customWidth="1"/>
    <col min="4384" max="4384" width="14.88671875" style="17" customWidth="1"/>
    <col min="4385" max="4634" width="11.44140625" style="17"/>
    <col min="4635" max="4635" width="18.6640625" style="17" customWidth="1"/>
    <col min="4636" max="4636" width="13.6640625" style="17" bestFit="1" customWidth="1"/>
    <col min="4637" max="4637" width="17.33203125" style="17" customWidth="1"/>
    <col min="4638" max="4638" width="11" style="17" customWidth="1"/>
    <col min="4639" max="4639" width="12" style="17" bestFit="1" customWidth="1"/>
    <col min="4640" max="4640" width="14.88671875" style="17" customWidth="1"/>
    <col min="4641" max="4890" width="11.44140625" style="17"/>
    <col min="4891" max="4891" width="18.6640625" style="17" customWidth="1"/>
    <col min="4892" max="4892" width="13.6640625" style="17" bestFit="1" customWidth="1"/>
    <col min="4893" max="4893" width="17.33203125" style="17" customWidth="1"/>
    <col min="4894" max="4894" width="11" style="17" customWidth="1"/>
    <col min="4895" max="4895" width="12" style="17" bestFit="1" customWidth="1"/>
    <col min="4896" max="4896" width="14.88671875" style="17" customWidth="1"/>
    <col min="4897" max="5146" width="11.44140625" style="17"/>
    <col min="5147" max="5147" width="18.6640625" style="17" customWidth="1"/>
    <col min="5148" max="5148" width="13.6640625" style="17" bestFit="1" customWidth="1"/>
    <col min="5149" max="5149" width="17.33203125" style="17" customWidth="1"/>
    <col min="5150" max="5150" width="11" style="17" customWidth="1"/>
    <col min="5151" max="5151" width="12" style="17" bestFit="1" customWidth="1"/>
    <col min="5152" max="5152" width="14.88671875" style="17" customWidth="1"/>
    <col min="5153" max="5402" width="11.44140625" style="17"/>
    <col min="5403" max="5403" width="18.6640625" style="17" customWidth="1"/>
    <col min="5404" max="5404" width="13.6640625" style="17" bestFit="1" customWidth="1"/>
    <col min="5405" max="5405" width="17.33203125" style="17" customWidth="1"/>
    <col min="5406" max="5406" width="11" style="17" customWidth="1"/>
    <col min="5407" max="5407" width="12" style="17" bestFit="1" customWidth="1"/>
    <col min="5408" max="5408" width="14.88671875" style="17" customWidth="1"/>
    <col min="5409" max="5658" width="11.44140625" style="17"/>
    <col min="5659" max="5659" width="18.6640625" style="17" customWidth="1"/>
    <col min="5660" max="5660" width="13.6640625" style="17" bestFit="1" customWidth="1"/>
    <col min="5661" max="5661" width="17.33203125" style="17" customWidth="1"/>
    <col min="5662" max="5662" width="11" style="17" customWidth="1"/>
    <col min="5663" max="5663" width="12" style="17" bestFit="1" customWidth="1"/>
    <col min="5664" max="5664" width="14.88671875" style="17" customWidth="1"/>
    <col min="5665" max="5914" width="11.44140625" style="17"/>
    <col min="5915" max="5915" width="18.6640625" style="17" customWidth="1"/>
    <col min="5916" max="5916" width="13.6640625" style="17" bestFit="1" customWidth="1"/>
    <col min="5917" max="5917" width="17.33203125" style="17" customWidth="1"/>
    <col min="5918" max="5918" width="11" style="17" customWidth="1"/>
    <col min="5919" max="5919" width="12" style="17" bestFit="1" customWidth="1"/>
    <col min="5920" max="5920" width="14.88671875" style="17" customWidth="1"/>
    <col min="5921" max="6170" width="11.44140625" style="17"/>
    <col min="6171" max="6171" width="18.6640625" style="17" customWidth="1"/>
    <col min="6172" max="6172" width="13.6640625" style="17" bestFit="1" customWidth="1"/>
    <col min="6173" max="6173" width="17.33203125" style="17" customWidth="1"/>
    <col min="6174" max="6174" width="11" style="17" customWidth="1"/>
    <col min="6175" max="6175" width="12" style="17" bestFit="1" customWidth="1"/>
    <col min="6176" max="6176" width="14.88671875" style="17" customWidth="1"/>
    <col min="6177" max="6426" width="11.44140625" style="17"/>
    <col min="6427" max="6427" width="18.6640625" style="17" customWidth="1"/>
    <col min="6428" max="6428" width="13.6640625" style="17" bestFit="1" customWidth="1"/>
    <col min="6429" max="6429" width="17.33203125" style="17" customWidth="1"/>
    <col min="6430" max="6430" width="11" style="17" customWidth="1"/>
    <col min="6431" max="6431" width="12" style="17" bestFit="1" customWidth="1"/>
    <col min="6432" max="6432" width="14.88671875" style="17" customWidth="1"/>
    <col min="6433" max="6682" width="11.44140625" style="17"/>
    <col min="6683" max="6683" width="18.6640625" style="17" customWidth="1"/>
    <col min="6684" max="6684" width="13.6640625" style="17" bestFit="1" customWidth="1"/>
    <col min="6685" max="6685" width="17.33203125" style="17" customWidth="1"/>
    <col min="6686" max="6686" width="11" style="17" customWidth="1"/>
    <col min="6687" max="6687" width="12" style="17" bestFit="1" customWidth="1"/>
    <col min="6688" max="6688" width="14.88671875" style="17" customWidth="1"/>
    <col min="6689" max="6938" width="11.44140625" style="17"/>
    <col min="6939" max="6939" width="18.6640625" style="17" customWidth="1"/>
    <col min="6940" max="6940" width="13.6640625" style="17" bestFit="1" customWidth="1"/>
    <col min="6941" max="6941" width="17.33203125" style="17" customWidth="1"/>
    <col min="6942" max="6942" width="11" style="17" customWidth="1"/>
    <col min="6943" max="6943" width="12" style="17" bestFit="1" customWidth="1"/>
    <col min="6944" max="6944" width="14.88671875" style="17" customWidth="1"/>
    <col min="6945" max="7194" width="11.44140625" style="17"/>
    <col min="7195" max="7195" width="18.6640625" style="17" customWidth="1"/>
    <col min="7196" max="7196" width="13.6640625" style="17" bestFit="1" customWidth="1"/>
    <col min="7197" max="7197" width="17.33203125" style="17" customWidth="1"/>
    <col min="7198" max="7198" width="11" style="17" customWidth="1"/>
    <col min="7199" max="7199" width="12" style="17" bestFit="1" customWidth="1"/>
    <col min="7200" max="7200" width="14.88671875" style="17" customWidth="1"/>
    <col min="7201" max="7450" width="11.44140625" style="17"/>
    <col min="7451" max="7451" width="18.6640625" style="17" customWidth="1"/>
    <col min="7452" max="7452" width="13.6640625" style="17" bestFit="1" customWidth="1"/>
    <col min="7453" max="7453" width="17.33203125" style="17" customWidth="1"/>
    <col min="7454" max="7454" width="11" style="17" customWidth="1"/>
    <col min="7455" max="7455" width="12" style="17" bestFit="1" customWidth="1"/>
    <col min="7456" max="7456" width="14.88671875" style="17" customWidth="1"/>
    <col min="7457" max="7706" width="11.44140625" style="17"/>
    <col min="7707" max="7707" width="18.6640625" style="17" customWidth="1"/>
    <col min="7708" max="7708" width="13.6640625" style="17" bestFit="1" customWidth="1"/>
    <col min="7709" max="7709" width="17.33203125" style="17" customWidth="1"/>
    <col min="7710" max="7710" width="11" style="17" customWidth="1"/>
    <col min="7711" max="7711" width="12" style="17" bestFit="1" customWidth="1"/>
    <col min="7712" max="7712" width="14.88671875" style="17" customWidth="1"/>
    <col min="7713" max="7962" width="11.44140625" style="17"/>
    <col min="7963" max="7963" width="18.6640625" style="17" customWidth="1"/>
    <col min="7964" max="7964" width="13.6640625" style="17" bestFit="1" customWidth="1"/>
    <col min="7965" max="7965" width="17.33203125" style="17" customWidth="1"/>
    <col min="7966" max="7966" width="11" style="17" customWidth="1"/>
    <col min="7967" max="7967" width="12" style="17" bestFit="1" customWidth="1"/>
    <col min="7968" max="7968" width="14.88671875" style="17" customWidth="1"/>
    <col min="7969" max="8218" width="11.44140625" style="17"/>
    <col min="8219" max="8219" width="18.6640625" style="17" customWidth="1"/>
    <col min="8220" max="8220" width="13.6640625" style="17" bestFit="1" customWidth="1"/>
    <col min="8221" max="8221" width="17.33203125" style="17" customWidth="1"/>
    <col min="8222" max="8222" width="11" style="17" customWidth="1"/>
    <col min="8223" max="8223" width="12" style="17" bestFit="1" customWidth="1"/>
    <col min="8224" max="8224" width="14.88671875" style="17" customWidth="1"/>
    <col min="8225" max="8474" width="11.44140625" style="17"/>
    <col min="8475" max="8475" width="18.6640625" style="17" customWidth="1"/>
    <col min="8476" max="8476" width="13.6640625" style="17" bestFit="1" customWidth="1"/>
    <col min="8477" max="8477" width="17.33203125" style="17" customWidth="1"/>
    <col min="8478" max="8478" width="11" style="17" customWidth="1"/>
    <col min="8479" max="8479" width="12" style="17" bestFit="1" customWidth="1"/>
    <col min="8480" max="8480" width="14.88671875" style="17" customWidth="1"/>
    <col min="8481" max="8730" width="11.44140625" style="17"/>
    <col min="8731" max="8731" width="18.6640625" style="17" customWidth="1"/>
    <col min="8732" max="8732" width="13.6640625" style="17" bestFit="1" customWidth="1"/>
    <col min="8733" max="8733" width="17.33203125" style="17" customWidth="1"/>
    <col min="8734" max="8734" width="11" style="17" customWidth="1"/>
    <col min="8735" max="8735" width="12" style="17" bestFit="1" customWidth="1"/>
    <col min="8736" max="8736" width="14.88671875" style="17" customWidth="1"/>
    <col min="8737" max="8986" width="11.44140625" style="17"/>
    <col min="8987" max="8987" width="18.6640625" style="17" customWidth="1"/>
    <col min="8988" max="8988" width="13.6640625" style="17" bestFit="1" customWidth="1"/>
    <col min="8989" max="8989" width="17.33203125" style="17" customWidth="1"/>
    <col min="8990" max="8990" width="11" style="17" customWidth="1"/>
    <col min="8991" max="8991" width="12" style="17" bestFit="1" customWidth="1"/>
    <col min="8992" max="8992" width="14.88671875" style="17" customWidth="1"/>
    <col min="8993" max="9242" width="11.44140625" style="17"/>
    <col min="9243" max="9243" width="18.6640625" style="17" customWidth="1"/>
    <col min="9244" max="9244" width="13.6640625" style="17" bestFit="1" customWidth="1"/>
    <col min="9245" max="9245" width="17.33203125" style="17" customWidth="1"/>
    <col min="9246" max="9246" width="11" style="17" customWidth="1"/>
    <col min="9247" max="9247" width="12" style="17" bestFit="1" customWidth="1"/>
    <col min="9248" max="9248" width="14.88671875" style="17" customWidth="1"/>
    <col min="9249" max="9498" width="11.44140625" style="17"/>
    <col min="9499" max="9499" width="18.6640625" style="17" customWidth="1"/>
    <col min="9500" max="9500" width="13.6640625" style="17" bestFit="1" customWidth="1"/>
    <col min="9501" max="9501" width="17.33203125" style="17" customWidth="1"/>
    <col min="9502" max="9502" width="11" style="17" customWidth="1"/>
    <col min="9503" max="9503" width="12" style="17" bestFit="1" customWidth="1"/>
    <col min="9504" max="9504" width="14.88671875" style="17" customWidth="1"/>
    <col min="9505" max="9754" width="11.44140625" style="17"/>
    <col min="9755" max="9755" width="18.6640625" style="17" customWidth="1"/>
    <col min="9756" max="9756" width="13.6640625" style="17" bestFit="1" customWidth="1"/>
    <col min="9757" max="9757" width="17.33203125" style="17" customWidth="1"/>
    <col min="9758" max="9758" width="11" style="17" customWidth="1"/>
    <col min="9759" max="9759" width="12" style="17" bestFit="1" customWidth="1"/>
    <col min="9760" max="9760" width="14.88671875" style="17" customWidth="1"/>
    <col min="9761" max="10010" width="11.44140625" style="17"/>
    <col min="10011" max="10011" width="18.6640625" style="17" customWidth="1"/>
    <col min="10012" max="10012" width="13.6640625" style="17" bestFit="1" customWidth="1"/>
    <col min="10013" max="10013" width="17.33203125" style="17" customWidth="1"/>
    <col min="10014" max="10014" width="11" style="17" customWidth="1"/>
    <col min="10015" max="10015" width="12" style="17" bestFit="1" customWidth="1"/>
    <col min="10016" max="10016" width="14.88671875" style="17" customWidth="1"/>
    <col min="10017" max="10266" width="11.44140625" style="17"/>
    <col min="10267" max="10267" width="18.6640625" style="17" customWidth="1"/>
    <col min="10268" max="10268" width="13.6640625" style="17" bestFit="1" customWidth="1"/>
    <col min="10269" max="10269" width="17.33203125" style="17" customWidth="1"/>
    <col min="10270" max="10270" width="11" style="17" customWidth="1"/>
    <col min="10271" max="10271" width="12" style="17" bestFit="1" customWidth="1"/>
    <col min="10272" max="10272" width="14.88671875" style="17" customWidth="1"/>
    <col min="10273" max="10522" width="11.44140625" style="17"/>
    <col min="10523" max="10523" width="18.6640625" style="17" customWidth="1"/>
    <col min="10524" max="10524" width="13.6640625" style="17" bestFit="1" customWidth="1"/>
    <col min="10525" max="10525" width="17.33203125" style="17" customWidth="1"/>
    <col min="10526" max="10526" width="11" style="17" customWidth="1"/>
    <col min="10527" max="10527" width="12" style="17" bestFit="1" customWidth="1"/>
    <col min="10528" max="10528" width="14.88671875" style="17" customWidth="1"/>
    <col min="10529" max="10778" width="11.44140625" style="17"/>
    <col min="10779" max="10779" width="18.6640625" style="17" customWidth="1"/>
    <col min="10780" max="10780" width="13.6640625" style="17" bestFit="1" customWidth="1"/>
    <col min="10781" max="10781" width="17.33203125" style="17" customWidth="1"/>
    <col min="10782" max="10782" width="11" style="17" customWidth="1"/>
    <col min="10783" max="10783" width="12" style="17" bestFit="1" customWidth="1"/>
    <col min="10784" max="10784" width="14.88671875" style="17" customWidth="1"/>
    <col min="10785" max="11034" width="11.44140625" style="17"/>
    <col min="11035" max="11035" width="18.6640625" style="17" customWidth="1"/>
    <col min="11036" max="11036" width="13.6640625" style="17" bestFit="1" customWidth="1"/>
    <col min="11037" max="11037" width="17.33203125" style="17" customWidth="1"/>
    <col min="11038" max="11038" width="11" style="17" customWidth="1"/>
    <col min="11039" max="11039" width="12" style="17" bestFit="1" customWidth="1"/>
    <col min="11040" max="11040" width="14.88671875" style="17" customWidth="1"/>
    <col min="11041" max="11290" width="11.44140625" style="17"/>
    <col min="11291" max="11291" width="18.6640625" style="17" customWidth="1"/>
    <col min="11292" max="11292" width="13.6640625" style="17" bestFit="1" customWidth="1"/>
    <col min="11293" max="11293" width="17.33203125" style="17" customWidth="1"/>
    <col min="11294" max="11294" width="11" style="17" customWidth="1"/>
    <col min="11295" max="11295" width="12" style="17" bestFit="1" customWidth="1"/>
    <col min="11296" max="11296" width="14.88671875" style="17" customWidth="1"/>
    <col min="11297" max="11546" width="11.44140625" style="17"/>
    <col min="11547" max="11547" width="18.6640625" style="17" customWidth="1"/>
    <col min="11548" max="11548" width="13.6640625" style="17" bestFit="1" customWidth="1"/>
    <col min="11549" max="11549" width="17.33203125" style="17" customWidth="1"/>
    <col min="11550" max="11550" width="11" style="17" customWidth="1"/>
    <col min="11551" max="11551" width="12" style="17" bestFit="1" customWidth="1"/>
    <col min="11552" max="11552" width="14.88671875" style="17" customWidth="1"/>
    <col min="11553" max="11802" width="11.44140625" style="17"/>
    <col min="11803" max="11803" width="18.6640625" style="17" customWidth="1"/>
    <col min="11804" max="11804" width="13.6640625" style="17" bestFit="1" customWidth="1"/>
    <col min="11805" max="11805" width="17.33203125" style="17" customWidth="1"/>
    <col min="11806" max="11806" width="11" style="17" customWidth="1"/>
    <col min="11807" max="11807" width="12" style="17" bestFit="1" customWidth="1"/>
    <col min="11808" max="11808" width="14.88671875" style="17" customWidth="1"/>
    <col min="11809" max="12058" width="11.44140625" style="17"/>
    <col min="12059" max="12059" width="18.6640625" style="17" customWidth="1"/>
    <col min="12060" max="12060" width="13.6640625" style="17" bestFit="1" customWidth="1"/>
    <col min="12061" max="12061" width="17.33203125" style="17" customWidth="1"/>
    <col min="12062" max="12062" width="11" style="17" customWidth="1"/>
    <col min="12063" max="12063" width="12" style="17" bestFit="1" customWidth="1"/>
    <col min="12064" max="12064" width="14.88671875" style="17" customWidth="1"/>
    <col min="12065" max="12314" width="11.44140625" style="17"/>
    <col min="12315" max="12315" width="18.6640625" style="17" customWidth="1"/>
    <col min="12316" max="12316" width="13.6640625" style="17" bestFit="1" customWidth="1"/>
    <col min="12317" max="12317" width="17.33203125" style="17" customWidth="1"/>
    <col min="12318" max="12318" width="11" style="17" customWidth="1"/>
    <col min="12319" max="12319" width="12" style="17" bestFit="1" customWidth="1"/>
    <col min="12320" max="12320" width="14.88671875" style="17" customWidth="1"/>
    <col min="12321" max="12570" width="11.44140625" style="17"/>
    <col min="12571" max="12571" width="18.6640625" style="17" customWidth="1"/>
    <col min="12572" max="12572" width="13.6640625" style="17" bestFit="1" customWidth="1"/>
    <col min="12573" max="12573" width="17.33203125" style="17" customWidth="1"/>
    <col min="12574" max="12574" width="11" style="17" customWidth="1"/>
    <col min="12575" max="12575" width="12" style="17" bestFit="1" customWidth="1"/>
    <col min="12576" max="12576" width="14.88671875" style="17" customWidth="1"/>
    <col min="12577" max="12826" width="11.44140625" style="17"/>
    <col min="12827" max="12827" width="18.6640625" style="17" customWidth="1"/>
    <col min="12828" max="12828" width="13.6640625" style="17" bestFit="1" customWidth="1"/>
    <col min="12829" max="12829" width="17.33203125" style="17" customWidth="1"/>
    <col min="12830" max="12830" width="11" style="17" customWidth="1"/>
    <col min="12831" max="12831" width="12" style="17" bestFit="1" customWidth="1"/>
    <col min="12832" max="12832" width="14.88671875" style="17" customWidth="1"/>
    <col min="12833" max="13082" width="11.44140625" style="17"/>
    <col min="13083" max="13083" width="18.6640625" style="17" customWidth="1"/>
    <col min="13084" max="13084" width="13.6640625" style="17" bestFit="1" customWidth="1"/>
    <col min="13085" max="13085" width="17.33203125" style="17" customWidth="1"/>
    <col min="13086" max="13086" width="11" style="17" customWidth="1"/>
    <col min="13087" max="13087" width="12" style="17" bestFit="1" customWidth="1"/>
    <col min="13088" max="13088" width="14.88671875" style="17" customWidth="1"/>
    <col min="13089" max="13338" width="11.44140625" style="17"/>
    <col min="13339" max="13339" width="18.6640625" style="17" customWidth="1"/>
    <col min="13340" max="13340" width="13.6640625" style="17" bestFit="1" customWidth="1"/>
    <col min="13341" max="13341" width="17.33203125" style="17" customWidth="1"/>
    <col min="13342" max="13342" width="11" style="17" customWidth="1"/>
    <col min="13343" max="13343" width="12" style="17" bestFit="1" customWidth="1"/>
    <col min="13344" max="13344" width="14.88671875" style="17" customWidth="1"/>
    <col min="13345" max="13594" width="11.44140625" style="17"/>
    <col min="13595" max="13595" width="18.6640625" style="17" customWidth="1"/>
    <col min="13596" max="13596" width="13.6640625" style="17" bestFit="1" customWidth="1"/>
    <col min="13597" max="13597" width="17.33203125" style="17" customWidth="1"/>
    <col min="13598" max="13598" width="11" style="17" customWidth="1"/>
    <col min="13599" max="13599" width="12" style="17" bestFit="1" customWidth="1"/>
    <col min="13600" max="13600" width="14.88671875" style="17" customWidth="1"/>
    <col min="13601" max="13850" width="11.44140625" style="17"/>
    <col min="13851" max="13851" width="18.6640625" style="17" customWidth="1"/>
    <col min="13852" max="13852" width="13.6640625" style="17" bestFit="1" customWidth="1"/>
    <col min="13853" max="13853" width="17.33203125" style="17" customWidth="1"/>
    <col min="13854" max="13854" width="11" style="17" customWidth="1"/>
    <col min="13855" max="13855" width="12" style="17" bestFit="1" customWidth="1"/>
    <col min="13856" max="13856" width="14.88671875" style="17" customWidth="1"/>
    <col min="13857" max="14106" width="11.44140625" style="17"/>
    <col min="14107" max="14107" width="18.6640625" style="17" customWidth="1"/>
    <col min="14108" max="14108" width="13.6640625" style="17" bestFit="1" customWidth="1"/>
    <col min="14109" max="14109" width="17.33203125" style="17" customWidth="1"/>
    <col min="14110" max="14110" width="11" style="17" customWidth="1"/>
    <col min="14111" max="14111" width="12" style="17" bestFit="1" customWidth="1"/>
    <col min="14112" max="14112" width="14.88671875" style="17" customWidth="1"/>
    <col min="14113" max="14362" width="11.44140625" style="17"/>
    <col min="14363" max="14363" width="18.6640625" style="17" customWidth="1"/>
    <col min="14364" max="14364" width="13.6640625" style="17" bestFit="1" customWidth="1"/>
    <col min="14365" max="14365" width="17.33203125" style="17" customWidth="1"/>
    <col min="14366" max="14366" width="11" style="17" customWidth="1"/>
    <col min="14367" max="14367" width="12" style="17" bestFit="1" customWidth="1"/>
    <col min="14368" max="14368" width="14.88671875" style="17" customWidth="1"/>
    <col min="14369" max="14618" width="11.44140625" style="17"/>
    <col min="14619" max="14619" width="18.6640625" style="17" customWidth="1"/>
    <col min="14620" max="14620" width="13.6640625" style="17" bestFit="1" customWidth="1"/>
    <col min="14621" max="14621" width="17.33203125" style="17" customWidth="1"/>
    <col min="14622" max="14622" width="11" style="17" customWidth="1"/>
    <col min="14623" max="14623" width="12" style="17" bestFit="1" customWidth="1"/>
    <col min="14624" max="14624" width="14.88671875" style="17" customWidth="1"/>
    <col min="14625" max="14874" width="11.44140625" style="17"/>
    <col min="14875" max="14875" width="18.6640625" style="17" customWidth="1"/>
    <col min="14876" max="14876" width="13.6640625" style="17" bestFit="1" customWidth="1"/>
    <col min="14877" max="14877" width="17.33203125" style="17" customWidth="1"/>
    <col min="14878" max="14878" width="11" style="17" customWidth="1"/>
    <col min="14879" max="14879" width="12" style="17" bestFit="1" customWidth="1"/>
    <col min="14880" max="14880" width="14.88671875" style="17" customWidth="1"/>
    <col min="14881" max="15130" width="11.44140625" style="17"/>
    <col min="15131" max="15131" width="18.6640625" style="17" customWidth="1"/>
    <col min="15132" max="15132" width="13.6640625" style="17" bestFit="1" customWidth="1"/>
    <col min="15133" max="15133" width="17.33203125" style="17" customWidth="1"/>
    <col min="15134" max="15134" width="11" style="17" customWidth="1"/>
    <col min="15135" max="15135" width="12" style="17" bestFit="1" customWidth="1"/>
    <col min="15136" max="15136" width="14.88671875" style="17" customWidth="1"/>
    <col min="15137" max="15386" width="11.44140625" style="17"/>
    <col min="15387" max="15387" width="18.6640625" style="17" customWidth="1"/>
    <col min="15388" max="15388" width="13.6640625" style="17" bestFit="1" customWidth="1"/>
    <col min="15389" max="15389" width="17.33203125" style="17" customWidth="1"/>
    <col min="15390" max="15390" width="11" style="17" customWidth="1"/>
    <col min="15391" max="15391" width="12" style="17" bestFit="1" customWidth="1"/>
    <col min="15392" max="15392" width="14.88671875" style="17" customWidth="1"/>
    <col min="15393" max="15642" width="11.44140625" style="17"/>
    <col min="15643" max="15643" width="18.6640625" style="17" customWidth="1"/>
    <col min="15644" max="15644" width="13.6640625" style="17" bestFit="1" customWidth="1"/>
    <col min="15645" max="15645" width="17.33203125" style="17" customWidth="1"/>
    <col min="15646" max="15646" width="11" style="17" customWidth="1"/>
    <col min="15647" max="15647" width="12" style="17" bestFit="1" customWidth="1"/>
    <col min="15648" max="15648" width="14.88671875" style="17" customWidth="1"/>
    <col min="15649" max="15898" width="11.44140625" style="17"/>
    <col min="15899" max="15899" width="18.6640625" style="17" customWidth="1"/>
    <col min="15900" max="15900" width="13.6640625" style="17" bestFit="1" customWidth="1"/>
    <col min="15901" max="15901" width="17.33203125" style="17" customWidth="1"/>
    <col min="15902" max="15902" width="11" style="17" customWidth="1"/>
    <col min="15903" max="15903" width="12" style="17" bestFit="1" customWidth="1"/>
    <col min="15904" max="15904" width="14.88671875" style="17" customWidth="1"/>
    <col min="15905" max="16154" width="11.44140625" style="17"/>
    <col min="16155" max="16155" width="18.6640625" style="17" customWidth="1"/>
    <col min="16156" max="16156" width="13.6640625" style="17" bestFit="1" customWidth="1"/>
    <col min="16157" max="16157" width="17.33203125" style="17" customWidth="1"/>
    <col min="16158" max="16158" width="11" style="17" customWidth="1"/>
    <col min="16159" max="16159" width="12" style="17" bestFit="1" customWidth="1"/>
    <col min="16160" max="16160" width="14.88671875" style="17" customWidth="1"/>
    <col min="16161" max="16384" width="11.44140625" style="17"/>
  </cols>
  <sheetData>
    <row r="2" spans="1:37" x14ac:dyDescent="0.25">
      <c r="A2" s="17" t="s">
        <v>70</v>
      </c>
      <c r="B2" s="63">
        <f>'pooled normalised values'!B75</f>
        <v>0.11932551713603246</v>
      </c>
      <c r="D2" s="17" t="s">
        <v>9</v>
      </c>
      <c r="E2" s="18"/>
      <c r="F2" s="19" t="str">
        <f>'pooled normalised values'!J74</f>
        <v>Tamoxifen-60,4µg/L</v>
      </c>
      <c r="G2" s="19" t="str">
        <f>'pooled normalised values'!K74</f>
        <v>Tamoxifen-121µg/L</v>
      </c>
      <c r="H2" s="19" t="str">
        <f>'pooled normalised values'!L74</f>
        <v>Tamoxifen-242µg/L</v>
      </c>
      <c r="I2" s="19" t="str">
        <f>'pooled normalised values'!M74</f>
        <v>Tamoxifen-483µg/L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Tamoxifen-30.2µg/L + Testostérone</v>
      </c>
      <c r="W2" s="19" t="str">
        <f>'pooled normalised values'!S74</f>
        <v>Tamoxifen-60.4µg/L + Testostérone</v>
      </c>
      <c r="X2" s="19" t="str">
        <f>'pooled normalised values'!T74</f>
        <v>Tamoxifen-121µg/L + Testostérone</v>
      </c>
      <c r="Y2" s="19" t="str">
        <f>'pooled normalised values'!U74</f>
        <v>Tamoxifen-242µg/L + Testostérone</v>
      </c>
      <c r="Z2" s="19" t="str">
        <f>'pooled normalised values'!V74</f>
        <v>Tamoxifen-483µg/L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0.11656562041449491</v>
      </c>
      <c r="G3" s="19">
        <f>HLOOKUP(G2,'pooled normalised values'!C74:W83,2,FALSE)</f>
        <v>0.11229953379205988</v>
      </c>
      <c r="H3" s="19">
        <f>HLOOKUP(H2,'pooled normalised values'!C74:X83,2,FALSE)</f>
        <v>0.14935709611242443</v>
      </c>
      <c r="I3" s="19">
        <f>HLOOKUP(I2,'pooled normalised values'!D74:Y83,2,FALSE)</f>
        <v>0.39021134334286672</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0.84849510586755794</v>
      </c>
      <c r="W3" s="19">
        <f>HLOOKUP(W2,'pooled normalised values'!N74:AM83,2,FALSE)</f>
        <v>0.73584531589464408</v>
      </c>
      <c r="X3" s="19">
        <f>HLOOKUP(X2,'pooled normalised values'!N74:AN83,2,FALSE)</f>
        <v>0.79892234575795473</v>
      </c>
      <c r="Y3" s="19">
        <f>HLOOKUP(Y2,'pooled normalised values'!N74:AO83,2,FALSE)</f>
        <v>1.0464067885602042</v>
      </c>
      <c r="Z3" s="19">
        <f>HLOOKUP(Z2,'pooled normalised values'!N74:AP83,2,FALSE)</f>
        <v>0.8151613589534491</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1.0000000000000002</v>
      </c>
      <c r="D4" s="21" t="s">
        <v>2</v>
      </c>
      <c r="E4" s="22"/>
      <c r="F4" s="19">
        <f>HLOOKUP(F2,'pooled normalised values'!B74:V83,3,FALSE)</f>
        <v>2.2633629097956069E-2</v>
      </c>
      <c r="G4" s="19">
        <f>HLOOKUP(G2,'pooled normalised values'!C74:W83,3,FALSE)</f>
        <v>2.9197503049839334E-2</v>
      </c>
      <c r="H4" s="19">
        <f>HLOOKUP(H2,'pooled normalised values'!C74:X83,3,FALSE)</f>
        <v>2.6036125914291781E-2</v>
      </c>
      <c r="I4" s="19">
        <f>HLOOKUP(I2,'pooled normalised values'!D74:Y83,3,FALSE)</f>
        <v>7.09320728555278E-2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9.5640432252973556E-2</v>
      </c>
      <c r="W4" s="19">
        <f>HLOOKUP(W2,'pooled normalised values'!N74:AM83,3,FALSE)</f>
        <v>8.4511517232738198E-2</v>
      </c>
      <c r="X4" s="19">
        <f>HLOOKUP(X2,'pooled normalised values'!N74:AN83,3,FALSE)</f>
        <v>0.10337392933149185</v>
      </c>
      <c r="Y4" s="19">
        <f>HLOOKUP(Y2,'pooled normalised values'!N74:AO83,3,FALSE)</f>
        <v>9.8643262193129591E-2</v>
      </c>
      <c r="Z4" s="19">
        <f>HLOOKUP(Z2,'pooled normalised values'!N74:AP83,3,FALSE)</f>
        <v>7.136627028243607E-2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1.6629583265088164</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0.1134756454371515</v>
      </c>
      <c r="D6" s="21" t="s">
        <v>12</v>
      </c>
      <c r="E6" s="24">
        <f>$B$2</f>
        <v>0.11932551713603246</v>
      </c>
      <c r="F6" s="24">
        <f>$B$2</f>
        <v>0.11932551713603246</v>
      </c>
      <c r="G6" s="24">
        <f t="shared" ref="G6:R6" si="0">$B$2</f>
        <v>0.11932551713603246</v>
      </c>
      <c r="H6" s="24">
        <f t="shared" si="0"/>
        <v>0.11932551713603246</v>
      </c>
      <c r="I6" s="24">
        <f t="shared" si="0"/>
        <v>0.11932551713603246</v>
      </c>
      <c r="J6" s="24">
        <f t="shared" si="0"/>
        <v>0.11932551713603246</v>
      </c>
      <c r="K6" s="24">
        <f t="shared" si="0"/>
        <v>0.11932551713603246</v>
      </c>
      <c r="L6" s="24">
        <f t="shared" si="0"/>
        <v>0.11932551713603246</v>
      </c>
      <c r="M6" s="24">
        <f t="shared" si="0"/>
        <v>0.11932551713603246</v>
      </c>
      <c r="N6" s="24">
        <f t="shared" si="0"/>
        <v>0.11932551713603246</v>
      </c>
      <c r="O6" s="24">
        <f t="shared" si="0"/>
        <v>0.11932551713603246</v>
      </c>
      <c r="P6" s="24">
        <f t="shared" si="0"/>
        <v>0.11932551713603246</v>
      </c>
      <c r="Q6" s="24">
        <f t="shared" si="0"/>
        <v>0.11932551713603246</v>
      </c>
      <c r="R6" s="24">
        <f t="shared" si="0"/>
        <v>0.11932551713603246</v>
      </c>
      <c r="S6" s="24">
        <f>$B$2</f>
        <v>0.11932551713603246</v>
      </c>
      <c r="T6" s="24">
        <f>$B$2</f>
        <v>0.11932551713603246</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0.1134756454371515</v>
      </c>
      <c r="V8" s="25">
        <f t="shared" ref="V8:AJ8" si="2">$B$6</f>
        <v>0.1134756454371515</v>
      </c>
      <c r="W8" s="25">
        <f t="shared" si="2"/>
        <v>0.1134756454371515</v>
      </c>
      <c r="X8" s="25">
        <f t="shared" si="2"/>
        <v>0.1134756454371515</v>
      </c>
      <c r="Y8" s="25">
        <f t="shared" si="2"/>
        <v>0.1134756454371515</v>
      </c>
      <c r="Z8" s="25">
        <f t="shared" si="2"/>
        <v>0.1134756454371515</v>
      </c>
      <c r="AA8" s="25">
        <f t="shared" si="2"/>
        <v>0.1134756454371515</v>
      </c>
      <c r="AB8" s="25">
        <f t="shared" si="2"/>
        <v>0.1134756454371515</v>
      </c>
      <c r="AC8" s="25">
        <f t="shared" si="2"/>
        <v>0.1134756454371515</v>
      </c>
      <c r="AD8" s="25">
        <f t="shared" si="2"/>
        <v>0.1134756454371515</v>
      </c>
      <c r="AE8" s="25">
        <f t="shared" si="2"/>
        <v>0.1134756454371515</v>
      </c>
      <c r="AF8" s="25">
        <f t="shared" si="2"/>
        <v>0.1134756454371515</v>
      </c>
      <c r="AG8" s="25">
        <f t="shared" si="2"/>
        <v>0.1134756454371515</v>
      </c>
      <c r="AH8" s="25">
        <f t="shared" si="2"/>
        <v>0.1134756454371515</v>
      </c>
      <c r="AI8" s="25">
        <f t="shared" si="2"/>
        <v>0.1134756454371515</v>
      </c>
      <c r="AJ8" s="25">
        <f t="shared" si="2"/>
        <v>0.1134756454371515</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1.5494826810716649</v>
      </c>
      <c r="V9" s="25">
        <f>$B$5-V8</f>
        <v>1.5494826810716649</v>
      </c>
      <c r="W9" s="25">
        <f t="shared" ref="W9:AH9" si="4">$B$5-W8</f>
        <v>1.5494826810716649</v>
      </c>
      <c r="X9" s="25">
        <f t="shared" si="4"/>
        <v>1.5494826810716649</v>
      </c>
      <c r="Y9" s="25">
        <f t="shared" si="4"/>
        <v>1.5494826810716649</v>
      </c>
      <c r="Z9" s="25">
        <f t="shared" si="4"/>
        <v>1.5494826810716649</v>
      </c>
      <c r="AA9" s="25">
        <f t="shared" si="4"/>
        <v>1.5494826810716649</v>
      </c>
      <c r="AB9" s="25">
        <f t="shared" si="4"/>
        <v>1.5494826810716649</v>
      </c>
      <c r="AC9" s="25">
        <f t="shared" si="4"/>
        <v>1.5494826810716649</v>
      </c>
      <c r="AD9" s="25">
        <f t="shared" si="4"/>
        <v>1.5494826810716649</v>
      </c>
      <c r="AE9" s="25">
        <f t="shared" si="4"/>
        <v>1.5494826810716649</v>
      </c>
      <c r="AF9" s="25">
        <f t="shared" si="4"/>
        <v>1.5494826810716649</v>
      </c>
      <c r="AG9" s="25">
        <f t="shared" si="4"/>
        <v>1.5494826810716649</v>
      </c>
      <c r="AH9" s="25">
        <f t="shared" si="4"/>
        <v>1.5494826810716649</v>
      </c>
      <c r="AI9" s="25">
        <f>$B$5-AI8</f>
        <v>1.5494826810716649</v>
      </c>
      <c r="AJ9" s="25">
        <f>$B$5-AJ8</f>
        <v>1.5494826810716649</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0.95051731892833513</v>
      </c>
      <c r="V10" s="25">
        <f>2.5-V9</f>
        <v>0.95051731892833513</v>
      </c>
      <c r="W10" s="25">
        <f t="shared" ref="W10:AH10" si="6">2.5-W9</f>
        <v>0.95051731892833513</v>
      </c>
      <c r="X10" s="25">
        <f t="shared" si="6"/>
        <v>0.95051731892833513</v>
      </c>
      <c r="Y10" s="25">
        <f t="shared" si="6"/>
        <v>0.95051731892833513</v>
      </c>
      <c r="Z10" s="25">
        <f t="shared" si="6"/>
        <v>0.95051731892833513</v>
      </c>
      <c r="AA10" s="25">
        <f t="shared" si="6"/>
        <v>0.95051731892833513</v>
      </c>
      <c r="AB10" s="25">
        <f t="shared" si="6"/>
        <v>0.95051731892833513</v>
      </c>
      <c r="AC10" s="25">
        <f t="shared" si="6"/>
        <v>0.95051731892833513</v>
      </c>
      <c r="AD10" s="25">
        <f t="shared" si="6"/>
        <v>0.95051731892833513</v>
      </c>
      <c r="AE10" s="25">
        <f t="shared" si="6"/>
        <v>0.95051731892833513</v>
      </c>
      <c r="AF10" s="25">
        <f t="shared" si="6"/>
        <v>0.95051731892833513</v>
      </c>
      <c r="AG10" s="25">
        <f t="shared" si="6"/>
        <v>0.95051731892833513</v>
      </c>
      <c r="AH10" s="25">
        <f t="shared" si="6"/>
        <v>0.95051731892833513</v>
      </c>
      <c r="AI10" s="25">
        <f>2.5-AI9</f>
        <v>0.95051731892833513</v>
      </c>
      <c r="AJ10" s="25">
        <f>2.5-AJ9</f>
        <v>0.95051731892833513</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pageSetup paperSize="9" orientation="portrait" horizontalDpi="300" verticalDpi="300" r:id="rId1"/>
  <headerFooter>
    <oddFooter>&amp;C&amp;1#&amp;"Arial"&amp;10&amp;K000000Internal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5546875" defaultRowHeight="13.2" x14ac:dyDescent="0.25"/>
  <cols>
    <col min="1" max="1" width="18.88671875" style="17" customWidth="1"/>
    <col min="2" max="2" width="7.33203125" style="17" bestFit="1" customWidth="1"/>
    <col min="3" max="3" width="10.5546875" style="17" customWidth="1"/>
    <col min="4" max="4" width="13.6640625" style="17" bestFit="1" customWidth="1"/>
    <col min="5" max="5" width="12" style="17" bestFit="1" customWidth="1"/>
    <col min="6" max="6" width="14.88671875" style="17" customWidth="1"/>
    <col min="7" max="8" width="11.44140625" style="17"/>
    <col min="9" max="9" width="13.5546875" style="17" bestFit="1" customWidth="1"/>
    <col min="10" max="256" width="11.44140625" style="17"/>
    <col min="257" max="257" width="18.6640625" style="17" customWidth="1"/>
    <col min="258" max="258" width="13.6640625" style="17" bestFit="1" customWidth="1"/>
    <col min="259" max="259" width="17.33203125" style="17" customWidth="1"/>
    <col min="260" max="260" width="11" style="17" customWidth="1"/>
    <col min="261" max="261" width="12" style="17" bestFit="1" customWidth="1"/>
    <col min="262" max="262" width="14.88671875" style="17" customWidth="1"/>
    <col min="263" max="512" width="11.44140625" style="17"/>
    <col min="513" max="513" width="18.6640625" style="17" customWidth="1"/>
    <col min="514" max="514" width="13.6640625" style="17" bestFit="1" customWidth="1"/>
    <col min="515" max="515" width="17.33203125" style="17" customWidth="1"/>
    <col min="516" max="516" width="11" style="17" customWidth="1"/>
    <col min="517" max="517" width="12" style="17" bestFit="1" customWidth="1"/>
    <col min="518" max="518" width="14.88671875" style="17" customWidth="1"/>
    <col min="519" max="768" width="11.44140625" style="17"/>
    <col min="769" max="769" width="18.6640625" style="17" customWidth="1"/>
    <col min="770" max="770" width="13.6640625" style="17" bestFit="1" customWidth="1"/>
    <col min="771" max="771" width="17.33203125" style="17" customWidth="1"/>
    <col min="772" max="772" width="11" style="17" customWidth="1"/>
    <col min="773" max="773" width="12" style="17" bestFit="1" customWidth="1"/>
    <col min="774" max="774" width="14.88671875" style="17" customWidth="1"/>
    <col min="775" max="1024" width="11.44140625" style="17"/>
    <col min="1025" max="1025" width="18.6640625" style="17" customWidth="1"/>
    <col min="1026" max="1026" width="13.6640625" style="17" bestFit="1" customWidth="1"/>
    <col min="1027" max="1027" width="17.33203125" style="17" customWidth="1"/>
    <col min="1028" max="1028" width="11" style="17" customWidth="1"/>
    <col min="1029" max="1029" width="12" style="17" bestFit="1" customWidth="1"/>
    <col min="1030" max="1030" width="14.88671875" style="17" customWidth="1"/>
    <col min="1031" max="1280" width="11.44140625" style="17"/>
    <col min="1281" max="1281" width="18.6640625" style="17" customWidth="1"/>
    <col min="1282" max="1282" width="13.6640625" style="17" bestFit="1" customWidth="1"/>
    <col min="1283" max="1283" width="17.33203125" style="17" customWidth="1"/>
    <col min="1284" max="1284" width="11" style="17" customWidth="1"/>
    <col min="1285" max="1285" width="12" style="17" bestFit="1" customWidth="1"/>
    <col min="1286" max="1286" width="14.88671875" style="17" customWidth="1"/>
    <col min="1287" max="1536" width="11.44140625" style="17"/>
    <col min="1537" max="1537" width="18.6640625" style="17" customWidth="1"/>
    <col min="1538" max="1538" width="13.6640625" style="17" bestFit="1" customWidth="1"/>
    <col min="1539" max="1539" width="17.33203125" style="17" customWidth="1"/>
    <col min="1540" max="1540" width="11" style="17" customWidth="1"/>
    <col min="1541" max="1541" width="12" style="17" bestFit="1" customWidth="1"/>
    <col min="1542" max="1542" width="14.88671875" style="17" customWidth="1"/>
    <col min="1543" max="1792" width="11.44140625" style="17"/>
    <col min="1793" max="1793" width="18.6640625" style="17" customWidth="1"/>
    <col min="1794" max="1794" width="13.6640625" style="17" bestFit="1" customWidth="1"/>
    <col min="1795" max="1795" width="17.33203125" style="17" customWidth="1"/>
    <col min="1796" max="1796" width="11" style="17" customWidth="1"/>
    <col min="1797" max="1797" width="12" style="17" bestFit="1" customWidth="1"/>
    <col min="1798" max="1798" width="14.88671875" style="17" customWidth="1"/>
    <col min="1799" max="2048" width="11.44140625" style="17"/>
    <col min="2049" max="2049" width="18.6640625" style="17" customWidth="1"/>
    <col min="2050" max="2050" width="13.6640625" style="17" bestFit="1" customWidth="1"/>
    <col min="2051" max="2051" width="17.33203125" style="17" customWidth="1"/>
    <col min="2052" max="2052" width="11" style="17" customWidth="1"/>
    <col min="2053" max="2053" width="12" style="17" bestFit="1" customWidth="1"/>
    <col min="2054" max="2054" width="14.88671875" style="17" customWidth="1"/>
    <col min="2055" max="2304" width="11.44140625" style="17"/>
    <col min="2305" max="2305" width="18.6640625" style="17" customWidth="1"/>
    <col min="2306" max="2306" width="13.6640625" style="17" bestFit="1" customWidth="1"/>
    <col min="2307" max="2307" width="17.33203125" style="17" customWidth="1"/>
    <col min="2308" max="2308" width="11" style="17" customWidth="1"/>
    <col min="2309" max="2309" width="12" style="17" bestFit="1" customWidth="1"/>
    <col min="2310" max="2310" width="14.88671875" style="17" customWidth="1"/>
    <col min="2311" max="2560" width="11.44140625" style="17"/>
    <col min="2561" max="2561" width="18.6640625" style="17" customWidth="1"/>
    <col min="2562" max="2562" width="13.6640625" style="17" bestFit="1" customWidth="1"/>
    <col min="2563" max="2563" width="17.33203125" style="17" customWidth="1"/>
    <col min="2564" max="2564" width="11" style="17" customWidth="1"/>
    <col min="2565" max="2565" width="12" style="17" bestFit="1" customWidth="1"/>
    <col min="2566" max="2566" width="14.88671875" style="17" customWidth="1"/>
    <col min="2567" max="2816" width="11.44140625" style="17"/>
    <col min="2817" max="2817" width="18.6640625" style="17" customWidth="1"/>
    <col min="2818" max="2818" width="13.6640625" style="17" bestFit="1" customWidth="1"/>
    <col min="2819" max="2819" width="17.33203125" style="17" customWidth="1"/>
    <col min="2820" max="2820" width="11" style="17" customWidth="1"/>
    <col min="2821" max="2821" width="12" style="17" bestFit="1" customWidth="1"/>
    <col min="2822" max="2822" width="14.88671875" style="17" customWidth="1"/>
    <col min="2823" max="3072" width="11.44140625" style="17"/>
    <col min="3073" max="3073" width="18.6640625" style="17" customWidth="1"/>
    <col min="3074" max="3074" width="13.6640625" style="17" bestFit="1" customWidth="1"/>
    <col min="3075" max="3075" width="17.33203125" style="17" customWidth="1"/>
    <col min="3076" max="3076" width="11" style="17" customWidth="1"/>
    <col min="3077" max="3077" width="12" style="17" bestFit="1" customWidth="1"/>
    <col min="3078" max="3078" width="14.88671875" style="17" customWidth="1"/>
    <col min="3079" max="3328" width="11.44140625" style="17"/>
    <col min="3329" max="3329" width="18.6640625" style="17" customWidth="1"/>
    <col min="3330" max="3330" width="13.6640625" style="17" bestFit="1" customWidth="1"/>
    <col min="3331" max="3331" width="17.33203125" style="17" customWidth="1"/>
    <col min="3332" max="3332" width="11" style="17" customWidth="1"/>
    <col min="3333" max="3333" width="12" style="17" bestFit="1" customWidth="1"/>
    <col min="3334" max="3334" width="14.88671875" style="17" customWidth="1"/>
    <col min="3335" max="3584" width="11.44140625" style="17"/>
    <col min="3585" max="3585" width="18.6640625" style="17" customWidth="1"/>
    <col min="3586" max="3586" width="13.6640625" style="17" bestFit="1" customWidth="1"/>
    <col min="3587" max="3587" width="17.33203125" style="17" customWidth="1"/>
    <col min="3588" max="3588" width="11" style="17" customWidth="1"/>
    <col min="3589" max="3589" width="12" style="17" bestFit="1" customWidth="1"/>
    <col min="3590" max="3590" width="14.88671875" style="17" customWidth="1"/>
    <col min="3591" max="3840" width="11.44140625" style="17"/>
    <col min="3841" max="3841" width="18.6640625" style="17" customWidth="1"/>
    <col min="3842" max="3842" width="13.6640625" style="17" bestFit="1" customWidth="1"/>
    <col min="3843" max="3843" width="17.33203125" style="17" customWidth="1"/>
    <col min="3844" max="3844" width="11" style="17" customWidth="1"/>
    <col min="3845" max="3845" width="12" style="17" bestFit="1" customWidth="1"/>
    <col min="3846" max="3846" width="14.88671875" style="17" customWidth="1"/>
    <col min="3847" max="4096" width="11.44140625" style="17"/>
    <col min="4097" max="4097" width="18.6640625" style="17" customWidth="1"/>
    <col min="4098" max="4098" width="13.6640625" style="17" bestFit="1" customWidth="1"/>
    <col min="4099" max="4099" width="17.33203125" style="17" customWidth="1"/>
    <col min="4100" max="4100" width="11" style="17" customWidth="1"/>
    <col min="4101" max="4101" width="12" style="17" bestFit="1" customWidth="1"/>
    <col min="4102" max="4102" width="14.88671875" style="17" customWidth="1"/>
    <col min="4103" max="4352" width="11.44140625" style="17"/>
    <col min="4353" max="4353" width="18.6640625" style="17" customWidth="1"/>
    <col min="4354" max="4354" width="13.6640625" style="17" bestFit="1" customWidth="1"/>
    <col min="4355" max="4355" width="17.33203125" style="17" customWidth="1"/>
    <col min="4356" max="4356" width="11" style="17" customWidth="1"/>
    <col min="4357" max="4357" width="12" style="17" bestFit="1" customWidth="1"/>
    <col min="4358" max="4358" width="14.88671875" style="17" customWidth="1"/>
    <col min="4359" max="4608" width="11.44140625" style="17"/>
    <col min="4609" max="4609" width="18.6640625" style="17" customWidth="1"/>
    <col min="4610" max="4610" width="13.6640625" style="17" bestFit="1" customWidth="1"/>
    <col min="4611" max="4611" width="17.33203125" style="17" customWidth="1"/>
    <col min="4612" max="4612" width="11" style="17" customWidth="1"/>
    <col min="4613" max="4613" width="12" style="17" bestFit="1" customWidth="1"/>
    <col min="4614" max="4614" width="14.88671875" style="17" customWidth="1"/>
    <col min="4615" max="4864" width="11.44140625" style="17"/>
    <col min="4865" max="4865" width="18.6640625" style="17" customWidth="1"/>
    <col min="4866" max="4866" width="13.6640625" style="17" bestFit="1" customWidth="1"/>
    <col min="4867" max="4867" width="17.33203125" style="17" customWidth="1"/>
    <col min="4868" max="4868" width="11" style="17" customWidth="1"/>
    <col min="4869" max="4869" width="12" style="17" bestFit="1" customWidth="1"/>
    <col min="4870" max="4870" width="14.88671875" style="17" customWidth="1"/>
    <col min="4871" max="5120" width="11.44140625" style="17"/>
    <col min="5121" max="5121" width="18.6640625" style="17" customWidth="1"/>
    <col min="5122" max="5122" width="13.6640625" style="17" bestFit="1" customWidth="1"/>
    <col min="5123" max="5123" width="17.33203125" style="17" customWidth="1"/>
    <col min="5124" max="5124" width="11" style="17" customWidth="1"/>
    <col min="5125" max="5125" width="12" style="17" bestFit="1" customWidth="1"/>
    <col min="5126" max="5126" width="14.88671875" style="17" customWidth="1"/>
    <col min="5127" max="5376" width="11.44140625" style="17"/>
    <col min="5377" max="5377" width="18.6640625" style="17" customWidth="1"/>
    <col min="5378" max="5378" width="13.6640625" style="17" bestFit="1" customWidth="1"/>
    <col min="5379" max="5379" width="17.33203125" style="17" customWidth="1"/>
    <col min="5380" max="5380" width="11" style="17" customWidth="1"/>
    <col min="5381" max="5381" width="12" style="17" bestFit="1" customWidth="1"/>
    <col min="5382" max="5382" width="14.88671875" style="17" customWidth="1"/>
    <col min="5383" max="5632" width="11.44140625" style="17"/>
    <col min="5633" max="5633" width="18.6640625" style="17" customWidth="1"/>
    <col min="5634" max="5634" width="13.6640625" style="17" bestFit="1" customWidth="1"/>
    <col min="5635" max="5635" width="17.33203125" style="17" customWidth="1"/>
    <col min="5636" max="5636" width="11" style="17" customWidth="1"/>
    <col min="5637" max="5637" width="12" style="17" bestFit="1" customWidth="1"/>
    <col min="5638" max="5638" width="14.88671875" style="17" customWidth="1"/>
    <col min="5639" max="5888" width="11.44140625" style="17"/>
    <col min="5889" max="5889" width="18.6640625" style="17" customWidth="1"/>
    <col min="5890" max="5890" width="13.6640625" style="17" bestFit="1" customWidth="1"/>
    <col min="5891" max="5891" width="17.33203125" style="17" customWidth="1"/>
    <col min="5892" max="5892" width="11" style="17" customWidth="1"/>
    <col min="5893" max="5893" width="12" style="17" bestFit="1" customWidth="1"/>
    <col min="5894" max="5894" width="14.88671875" style="17" customWidth="1"/>
    <col min="5895" max="6144" width="11.44140625" style="17"/>
    <col min="6145" max="6145" width="18.6640625" style="17" customWidth="1"/>
    <col min="6146" max="6146" width="13.6640625" style="17" bestFit="1" customWidth="1"/>
    <col min="6147" max="6147" width="17.33203125" style="17" customWidth="1"/>
    <col min="6148" max="6148" width="11" style="17" customWidth="1"/>
    <col min="6149" max="6149" width="12" style="17" bestFit="1" customWidth="1"/>
    <col min="6150" max="6150" width="14.88671875" style="17" customWidth="1"/>
    <col min="6151" max="6400" width="11.44140625" style="17"/>
    <col min="6401" max="6401" width="18.6640625" style="17" customWidth="1"/>
    <col min="6402" max="6402" width="13.6640625" style="17" bestFit="1" customWidth="1"/>
    <col min="6403" max="6403" width="17.33203125" style="17" customWidth="1"/>
    <col min="6404" max="6404" width="11" style="17" customWidth="1"/>
    <col min="6405" max="6405" width="12" style="17" bestFit="1" customWidth="1"/>
    <col min="6406" max="6406" width="14.88671875" style="17" customWidth="1"/>
    <col min="6407" max="6656" width="11.44140625" style="17"/>
    <col min="6657" max="6657" width="18.6640625" style="17" customWidth="1"/>
    <col min="6658" max="6658" width="13.6640625" style="17" bestFit="1" customWidth="1"/>
    <col min="6659" max="6659" width="17.33203125" style="17" customWidth="1"/>
    <col min="6660" max="6660" width="11" style="17" customWidth="1"/>
    <col min="6661" max="6661" width="12" style="17" bestFit="1" customWidth="1"/>
    <col min="6662" max="6662" width="14.88671875" style="17" customWidth="1"/>
    <col min="6663" max="6912" width="11.44140625" style="17"/>
    <col min="6913" max="6913" width="18.6640625" style="17" customWidth="1"/>
    <col min="6914" max="6914" width="13.6640625" style="17" bestFit="1" customWidth="1"/>
    <col min="6915" max="6915" width="17.33203125" style="17" customWidth="1"/>
    <col min="6916" max="6916" width="11" style="17" customWidth="1"/>
    <col min="6917" max="6917" width="12" style="17" bestFit="1" customWidth="1"/>
    <col min="6918" max="6918" width="14.88671875" style="17" customWidth="1"/>
    <col min="6919" max="7168" width="11.44140625" style="17"/>
    <col min="7169" max="7169" width="18.6640625" style="17" customWidth="1"/>
    <col min="7170" max="7170" width="13.6640625" style="17" bestFit="1" customWidth="1"/>
    <col min="7171" max="7171" width="17.33203125" style="17" customWidth="1"/>
    <col min="7172" max="7172" width="11" style="17" customWidth="1"/>
    <col min="7173" max="7173" width="12" style="17" bestFit="1" customWidth="1"/>
    <col min="7174" max="7174" width="14.88671875" style="17" customWidth="1"/>
    <col min="7175" max="7424" width="11.44140625" style="17"/>
    <col min="7425" max="7425" width="18.6640625" style="17" customWidth="1"/>
    <col min="7426" max="7426" width="13.6640625" style="17" bestFit="1" customWidth="1"/>
    <col min="7427" max="7427" width="17.33203125" style="17" customWidth="1"/>
    <col min="7428" max="7428" width="11" style="17" customWidth="1"/>
    <col min="7429" max="7429" width="12" style="17" bestFit="1" customWidth="1"/>
    <col min="7430" max="7430" width="14.88671875" style="17" customWidth="1"/>
    <col min="7431" max="7680" width="11.44140625" style="17"/>
    <col min="7681" max="7681" width="18.6640625" style="17" customWidth="1"/>
    <col min="7682" max="7682" width="13.6640625" style="17" bestFit="1" customWidth="1"/>
    <col min="7683" max="7683" width="17.33203125" style="17" customWidth="1"/>
    <col min="7684" max="7684" width="11" style="17" customWidth="1"/>
    <col min="7685" max="7685" width="12" style="17" bestFit="1" customWidth="1"/>
    <col min="7686" max="7686" width="14.88671875" style="17" customWidth="1"/>
    <col min="7687" max="7936" width="11.44140625" style="17"/>
    <col min="7937" max="7937" width="18.6640625" style="17" customWidth="1"/>
    <col min="7938" max="7938" width="13.6640625" style="17" bestFit="1" customWidth="1"/>
    <col min="7939" max="7939" width="17.33203125" style="17" customWidth="1"/>
    <col min="7940" max="7940" width="11" style="17" customWidth="1"/>
    <col min="7941" max="7941" width="12" style="17" bestFit="1" customWidth="1"/>
    <col min="7942" max="7942" width="14.88671875" style="17" customWidth="1"/>
    <col min="7943" max="8192" width="11.44140625" style="17"/>
    <col min="8193" max="8193" width="18.6640625" style="17" customWidth="1"/>
    <col min="8194" max="8194" width="13.6640625" style="17" bestFit="1" customWidth="1"/>
    <col min="8195" max="8195" width="17.33203125" style="17" customWidth="1"/>
    <col min="8196" max="8196" width="11" style="17" customWidth="1"/>
    <col min="8197" max="8197" width="12" style="17" bestFit="1" customWidth="1"/>
    <col min="8198" max="8198" width="14.88671875" style="17" customWidth="1"/>
    <col min="8199" max="8448" width="11.44140625" style="17"/>
    <col min="8449" max="8449" width="18.6640625" style="17" customWidth="1"/>
    <col min="8450" max="8450" width="13.6640625" style="17" bestFit="1" customWidth="1"/>
    <col min="8451" max="8451" width="17.33203125" style="17" customWidth="1"/>
    <col min="8452" max="8452" width="11" style="17" customWidth="1"/>
    <col min="8453" max="8453" width="12" style="17" bestFit="1" customWidth="1"/>
    <col min="8454" max="8454" width="14.88671875" style="17" customWidth="1"/>
    <col min="8455" max="8704" width="11.44140625" style="17"/>
    <col min="8705" max="8705" width="18.6640625" style="17" customWidth="1"/>
    <col min="8706" max="8706" width="13.6640625" style="17" bestFit="1" customWidth="1"/>
    <col min="8707" max="8707" width="17.33203125" style="17" customWidth="1"/>
    <col min="8708" max="8708" width="11" style="17" customWidth="1"/>
    <col min="8709" max="8709" width="12" style="17" bestFit="1" customWidth="1"/>
    <col min="8710" max="8710" width="14.88671875" style="17" customWidth="1"/>
    <col min="8711" max="8960" width="11.44140625" style="17"/>
    <col min="8961" max="8961" width="18.6640625" style="17" customWidth="1"/>
    <col min="8962" max="8962" width="13.6640625" style="17" bestFit="1" customWidth="1"/>
    <col min="8963" max="8963" width="17.33203125" style="17" customWidth="1"/>
    <col min="8964" max="8964" width="11" style="17" customWidth="1"/>
    <col min="8965" max="8965" width="12" style="17" bestFit="1" customWidth="1"/>
    <col min="8966" max="8966" width="14.88671875" style="17" customWidth="1"/>
    <col min="8967" max="9216" width="11.44140625" style="17"/>
    <col min="9217" max="9217" width="18.6640625" style="17" customWidth="1"/>
    <col min="9218" max="9218" width="13.6640625" style="17" bestFit="1" customWidth="1"/>
    <col min="9219" max="9219" width="17.33203125" style="17" customWidth="1"/>
    <col min="9220" max="9220" width="11" style="17" customWidth="1"/>
    <col min="9221" max="9221" width="12" style="17" bestFit="1" customWidth="1"/>
    <col min="9222" max="9222" width="14.88671875" style="17" customWidth="1"/>
    <col min="9223" max="9472" width="11.44140625" style="17"/>
    <col min="9473" max="9473" width="18.6640625" style="17" customWidth="1"/>
    <col min="9474" max="9474" width="13.6640625" style="17" bestFit="1" customWidth="1"/>
    <col min="9475" max="9475" width="17.33203125" style="17" customWidth="1"/>
    <col min="9476" max="9476" width="11" style="17" customWidth="1"/>
    <col min="9477" max="9477" width="12" style="17" bestFit="1" customWidth="1"/>
    <col min="9478" max="9478" width="14.88671875" style="17" customWidth="1"/>
    <col min="9479" max="9728" width="11.44140625" style="17"/>
    <col min="9729" max="9729" width="18.6640625" style="17" customWidth="1"/>
    <col min="9730" max="9730" width="13.6640625" style="17" bestFit="1" customWidth="1"/>
    <col min="9731" max="9731" width="17.33203125" style="17" customWidth="1"/>
    <col min="9732" max="9732" width="11" style="17" customWidth="1"/>
    <col min="9733" max="9733" width="12" style="17" bestFit="1" customWidth="1"/>
    <col min="9734" max="9734" width="14.88671875" style="17" customWidth="1"/>
    <col min="9735" max="9984" width="11.44140625" style="17"/>
    <col min="9985" max="9985" width="18.6640625" style="17" customWidth="1"/>
    <col min="9986" max="9986" width="13.6640625" style="17" bestFit="1" customWidth="1"/>
    <col min="9987" max="9987" width="17.33203125" style="17" customWidth="1"/>
    <col min="9988" max="9988" width="11" style="17" customWidth="1"/>
    <col min="9989" max="9989" width="12" style="17" bestFit="1" customWidth="1"/>
    <col min="9990" max="9990" width="14.88671875" style="17" customWidth="1"/>
    <col min="9991" max="10240" width="11.44140625" style="17"/>
    <col min="10241" max="10241" width="18.6640625" style="17" customWidth="1"/>
    <col min="10242" max="10242" width="13.6640625" style="17" bestFit="1" customWidth="1"/>
    <col min="10243" max="10243" width="17.33203125" style="17" customWidth="1"/>
    <col min="10244" max="10244" width="11" style="17" customWidth="1"/>
    <col min="10245" max="10245" width="12" style="17" bestFit="1" customWidth="1"/>
    <col min="10246" max="10246" width="14.88671875" style="17" customWidth="1"/>
    <col min="10247" max="10496" width="11.44140625" style="17"/>
    <col min="10497" max="10497" width="18.6640625" style="17" customWidth="1"/>
    <col min="10498" max="10498" width="13.6640625" style="17" bestFit="1" customWidth="1"/>
    <col min="10499" max="10499" width="17.33203125" style="17" customWidth="1"/>
    <col min="10500" max="10500" width="11" style="17" customWidth="1"/>
    <col min="10501" max="10501" width="12" style="17" bestFit="1" customWidth="1"/>
    <col min="10502" max="10502" width="14.88671875" style="17" customWidth="1"/>
    <col min="10503" max="10752" width="11.44140625" style="17"/>
    <col min="10753" max="10753" width="18.6640625" style="17" customWidth="1"/>
    <col min="10754" max="10754" width="13.6640625" style="17" bestFit="1" customWidth="1"/>
    <col min="10755" max="10755" width="17.33203125" style="17" customWidth="1"/>
    <col min="10756" max="10756" width="11" style="17" customWidth="1"/>
    <col min="10757" max="10757" width="12" style="17" bestFit="1" customWidth="1"/>
    <col min="10758" max="10758" width="14.88671875" style="17" customWidth="1"/>
    <col min="10759" max="11008" width="11.44140625" style="17"/>
    <col min="11009" max="11009" width="18.6640625" style="17" customWidth="1"/>
    <col min="11010" max="11010" width="13.6640625" style="17" bestFit="1" customWidth="1"/>
    <col min="11011" max="11011" width="17.33203125" style="17" customWidth="1"/>
    <col min="11012" max="11012" width="11" style="17" customWidth="1"/>
    <col min="11013" max="11013" width="12" style="17" bestFit="1" customWidth="1"/>
    <col min="11014" max="11014" width="14.88671875" style="17" customWidth="1"/>
    <col min="11015" max="11264" width="11.44140625" style="17"/>
    <col min="11265" max="11265" width="18.6640625" style="17" customWidth="1"/>
    <col min="11266" max="11266" width="13.6640625" style="17" bestFit="1" customWidth="1"/>
    <col min="11267" max="11267" width="17.33203125" style="17" customWidth="1"/>
    <col min="11268" max="11268" width="11" style="17" customWidth="1"/>
    <col min="11269" max="11269" width="12" style="17" bestFit="1" customWidth="1"/>
    <col min="11270" max="11270" width="14.88671875" style="17" customWidth="1"/>
    <col min="11271" max="11520" width="11.44140625" style="17"/>
    <col min="11521" max="11521" width="18.6640625" style="17" customWidth="1"/>
    <col min="11522" max="11522" width="13.6640625" style="17" bestFit="1" customWidth="1"/>
    <col min="11523" max="11523" width="17.33203125" style="17" customWidth="1"/>
    <col min="11524" max="11524" width="11" style="17" customWidth="1"/>
    <col min="11525" max="11525" width="12" style="17" bestFit="1" customWidth="1"/>
    <col min="11526" max="11526" width="14.88671875" style="17" customWidth="1"/>
    <col min="11527" max="11776" width="11.44140625" style="17"/>
    <col min="11777" max="11777" width="18.6640625" style="17" customWidth="1"/>
    <col min="11778" max="11778" width="13.6640625" style="17" bestFit="1" customWidth="1"/>
    <col min="11779" max="11779" width="17.33203125" style="17" customWidth="1"/>
    <col min="11780" max="11780" width="11" style="17" customWidth="1"/>
    <col min="11781" max="11781" width="12" style="17" bestFit="1" customWidth="1"/>
    <col min="11782" max="11782" width="14.88671875" style="17" customWidth="1"/>
    <col min="11783" max="12032" width="11.44140625" style="17"/>
    <col min="12033" max="12033" width="18.6640625" style="17" customWidth="1"/>
    <col min="12034" max="12034" width="13.6640625" style="17" bestFit="1" customWidth="1"/>
    <col min="12035" max="12035" width="17.33203125" style="17" customWidth="1"/>
    <col min="12036" max="12036" width="11" style="17" customWidth="1"/>
    <col min="12037" max="12037" width="12" style="17" bestFit="1" customWidth="1"/>
    <col min="12038" max="12038" width="14.88671875" style="17" customWidth="1"/>
    <col min="12039" max="12288" width="11.44140625" style="17"/>
    <col min="12289" max="12289" width="18.6640625" style="17" customWidth="1"/>
    <col min="12290" max="12290" width="13.6640625" style="17" bestFit="1" customWidth="1"/>
    <col min="12291" max="12291" width="17.33203125" style="17" customWidth="1"/>
    <col min="12292" max="12292" width="11" style="17" customWidth="1"/>
    <col min="12293" max="12293" width="12" style="17" bestFit="1" customWidth="1"/>
    <col min="12294" max="12294" width="14.88671875" style="17" customWidth="1"/>
    <col min="12295" max="12544" width="11.44140625" style="17"/>
    <col min="12545" max="12545" width="18.6640625" style="17" customWidth="1"/>
    <col min="12546" max="12546" width="13.6640625" style="17" bestFit="1" customWidth="1"/>
    <col min="12547" max="12547" width="17.33203125" style="17" customWidth="1"/>
    <col min="12548" max="12548" width="11" style="17" customWidth="1"/>
    <col min="12549" max="12549" width="12" style="17" bestFit="1" customWidth="1"/>
    <col min="12550" max="12550" width="14.88671875" style="17" customWidth="1"/>
    <col min="12551" max="12800" width="11.44140625" style="17"/>
    <col min="12801" max="12801" width="18.6640625" style="17" customWidth="1"/>
    <col min="12802" max="12802" width="13.6640625" style="17" bestFit="1" customWidth="1"/>
    <col min="12803" max="12803" width="17.33203125" style="17" customWidth="1"/>
    <col min="12804" max="12804" width="11" style="17" customWidth="1"/>
    <col min="12805" max="12805" width="12" style="17" bestFit="1" customWidth="1"/>
    <col min="12806" max="12806" width="14.88671875" style="17" customWidth="1"/>
    <col min="12807" max="13056" width="11.44140625" style="17"/>
    <col min="13057" max="13057" width="18.6640625" style="17" customWidth="1"/>
    <col min="13058" max="13058" width="13.6640625" style="17" bestFit="1" customWidth="1"/>
    <col min="13059" max="13059" width="17.33203125" style="17" customWidth="1"/>
    <col min="13060" max="13060" width="11" style="17" customWidth="1"/>
    <col min="13061" max="13061" width="12" style="17" bestFit="1" customWidth="1"/>
    <col min="13062" max="13062" width="14.88671875" style="17" customWidth="1"/>
    <col min="13063" max="13312" width="11.44140625" style="17"/>
    <col min="13313" max="13313" width="18.6640625" style="17" customWidth="1"/>
    <col min="13314" max="13314" width="13.6640625" style="17" bestFit="1" customWidth="1"/>
    <col min="13315" max="13315" width="17.33203125" style="17" customWidth="1"/>
    <col min="13316" max="13316" width="11" style="17" customWidth="1"/>
    <col min="13317" max="13317" width="12" style="17" bestFit="1" customWidth="1"/>
    <col min="13318" max="13318" width="14.88671875" style="17" customWidth="1"/>
    <col min="13319" max="13568" width="11.44140625" style="17"/>
    <col min="13569" max="13569" width="18.6640625" style="17" customWidth="1"/>
    <col min="13570" max="13570" width="13.6640625" style="17" bestFit="1" customWidth="1"/>
    <col min="13571" max="13571" width="17.33203125" style="17" customWidth="1"/>
    <col min="13572" max="13572" width="11" style="17" customWidth="1"/>
    <col min="13573" max="13573" width="12" style="17" bestFit="1" customWidth="1"/>
    <col min="13574" max="13574" width="14.88671875" style="17" customWidth="1"/>
    <col min="13575" max="13824" width="11.44140625" style="17"/>
    <col min="13825" max="13825" width="18.6640625" style="17" customWidth="1"/>
    <col min="13826" max="13826" width="13.6640625" style="17" bestFit="1" customWidth="1"/>
    <col min="13827" max="13827" width="17.33203125" style="17" customWidth="1"/>
    <col min="13828" max="13828" width="11" style="17" customWidth="1"/>
    <col min="13829" max="13829" width="12" style="17" bestFit="1" customWidth="1"/>
    <col min="13830" max="13830" width="14.88671875" style="17" customWidth="1"/>
    <col min="13831" max="14080" width="11.44140625" style="17"/>
    <col min="14081" max="14081" width="18.6640625" style="17" customWidth="1"/>
    <col min="14082" max="14082" width="13.6640625" style="17" bestFit="1" customWidth="1"/>
    <col min="14083" max="14083" width="17.33203125" style="17" customWidth="1"/>
    <col min="14084" max="14084" width="11" style="17" customWidth="1"/>
    <col min="14085" max="14085" width="12" style="17" bestFit="1" customWidth="1"/>
    <col min="14086" max="14086" width="14.88671875" style="17" customWidth="1"/>
    <col min="14087" max="14336" width="11.44140625" style="17"/>
    <col min="14337" max="14337" width="18.6640625" style="17" customWidth="1"/>
    <col min="14338" max="14338" width="13.6640625" style="17" bestFit="1" customWidth="1"/>
    <col min="14339" max="14339" width="17.33203125" style="17" customWidth="1"/>
    <col min="14340" max="14340" width="11" style="17" customWidth="1"/>
    <col min="14341" max="14341" width="12" style="17" bestFit="1" customWidth="1"/>
    <col min="14342" max="14342" width="14.88671875" style="17" customWidth="1"/>
    <col min="14343" max="14592" width="11.44140625" style="17"/>
    <col min="14593" max="14593" width="18.6640625" style="17" customWidth="1"/>
    <col min="14594" max="14594" width="13.6640625" style="17" bestFit="1" customWidth="1"/>
    <col min="14595" max="14595" width="17.33203125" style="17" customWidth="1"/>
    <col min="14596" max="14596" width="11" style="17" customWidth="1"/>
    <col min="14597" max="14597" width="12" style="17" bestFit="1" customWidth="1"/>
    <col min="14598" max="14598" width="14.88671875" style="17" customWidth="1"/>
    <col min="14599" max="14848" width="11.44140625" style="17"/>
    <col min="14849" max="14849" width="18.6640625" style="17" customWidth="1"/>
    <col min="14850" max="14850" width="13.6640625" style="17" bestFit="1" customWidth="1"/>
    <col min="14851" max="14851" width="17.33203125" style="17" customWidth="1"/>
    <col min="14852" max="14852" width="11" style="17" customWidth="1"/>
    <col min="14853" max="14853" width="12" style="17" bestFit="1" customWidth="1"/>
    <col min="14854" max="14854" width="14.88671875" style="17" customWidth="1"/>
    <col min="14855" max="15104" width="11.44140625" style="17"/>
    <col min="15105" max="15105" width="18.6640625" style="17" customWidth="1"/>
    <col min="15106" max="15106" width="13.6640625" style="17" bestFit="1" customWidth="1"/>
    <col min="15107" max="15107" width="17.33203125" style="17" customWidth="1"/>
    <col min="15108" max="15108" width="11" style="17" customWidth="1"/>
    <col min="15109" max="15109" width="12" style="17" bestFit="1" customWidth="1"/>
    <col min="15110" max="15110" width="14.88671875" style="17" customWidth="1"/>
    <col min="15111" max="15360" width="11.44140625" style="17"/>
    <col min="15361" max="15361" width="18.6640625" style="17" customWidth="1"/>
    <col min="15362" max="15362" width="13.6640625" style="17" bestFit="1" customWidth="1"/>
    <col min="15363" max="15363" width="17.33203125" style="17" customWidth="1"/>
    <col min="15364" max="15364" width="11" style="17" customWidth="1"/>
    <col min="15365" max="15365" width="12" style="17" bestFit="1" customWidth="1"/>
    <col min="15366" max="15366" width="14.88671875" style="17" customWidth="1"/>
    <col min="15367" max="15616" width="11.44140625" style="17"/>
    <col min="15617" max="15617" width="18.6640625" style="17" customWidth="1"/>
    <col min="15618" max="15618" width="13.6640625" style="17" bestFit="1" customWidth="1"/>
    <col min="15619" max="15619" width="17.33203125" style="17" customWidth="1"/>
    <col min="15620" max="15620" width="11" style="17" customWidth="1"/>
    <col min="15621" max="15621" width="12" style="17" bestFit="1" customWidth="1"/>
    <col min="15622" max="15622" width="14.88671875" style="17" customWidth="1"/>
    <col min="15623" max="15872" width="11.44140625" style="17"/>
    <col min="15873" max="15873" width="18.6640625" style="17" customWidth="1"/>
    <col min="15874" max="15874" width="13.6640625" style="17" bestFit="1" customWidth="1"/>
    <col min="15875" max="15875" width="17.33203125" style="17" customWidth="1"/>
    <col min="15876" max="15876" width="11" style="17" customWidth="1"/>
    <col min="15877" max="15877" width="12" style="17" bestFit="1" customWidth="1"/>
    <col min="15878" max="15878" width="14.88671875" style="17" customWidth="1"/>
    <col min="15879" max="16128" width="11.44140625" style="17"/>
    <col min="16129" max="16129" width="18.6640625" style="17" customWidth="1"/>
    <col min="16130" max="16130" width="13.6640625" style="17" bestFit="1" customWidth="1"/>
    <col min="16131" max="16131" width="17.33203125" style="17" customWidth="1"/>
    <col min="16132" max="16132" width="11" style="17" customWidth="1"/>
    <col min="16133" max="16133" width="12" style="17" bestFit="1" customWidth="1"/>
    <col min="16134" max="16134" width="14.88671875" style="17" customWidth="1"/>
    <col min="16135" max="16384" width="11.44140625" style="17"/>
  </cols>
  <sheetData>
    <row r="2" spans="1:11" x14ac:dyDescent="0.25">
      <c r="A2" s="17" t="s">
        <v>70</v>
      </c>
      <c r="B2" s="63">
        <f>'pooled normalised values'!B75</f>
        <v>0.11932551713603246</v>
      </c>
      <c r="D2" s="17" t="s">
        <v>9</v>
      </c>
      <c r="E2" s="18"/>
      <c r="F2" s="19" t="str">
        <f>'pooled normalised values'!J74</f>
        <v>Tamoxifen-60,4µg/L</v>
      </c>
      <c r="G2" s="18"/>
      <c r="H2" s="20"/>
      <c r="I2" s="19" t="str">
        <f>'pooled normalised values'!R74</f>
        <v>Tamoxifen-30.2µg/L + Testostérone</v>
      </c>
      <c r="J2" s="20"/>
      <c r="K2" s="17" t="s">
        <v>9</v>
      </c>
    </row>
    <row r="3" spans="1:11" x14ac:dyDescent="0.25">
      <c r="A3" s="17" t="s">
        <v>71</v>
      </c>
      <c r="B3" s="63">
        <f>'summary results'!E6</f>
        <v>0</v>
      </c>
      <c r="D3" s="21" t="s">
        <v>10</v>
      </c>
      <c r="E3" s="22"/>
      <c r="F3" s="19">
        <f>HLOOKUP(F2,'pooled normalised values'!B74:V83,2,FALSE)</f>
        <v>0.11656562041449491</v>
      </c>
      <c r="G3" s="22"/>
      <c r="H3" s="20"/>
      <c r="I3" s="19">
        <f>HLOOKUP(I2,'pooled normalised values'!N74:AL83,2,FALSE)</f>
        <v>0.84849510586755794</v>
      </c>
      <c r="J3" s="20"/>
      <c r="K3" s="21" t="s">
        <v>10</v>
      </c>
    </row>
    <row r="4" spans="1:11" x14ac:dyDescent="0.25">
      <c r="A4" s="17" t="s">
        <v>72</v>
      </c>
      <c r="B4" s="63">
        <f>'pooled normalised values'!O75</f>
        <v>1.0000000000000002</v>
      </c>
      <c r="D4" s="21" t="s">
        <v>2</v>
      </c>
      <c r="E4" s="22"/>
      <c r="F4" s="19">
        <f>HLOOKUP(F2,'pooled normalised values'!B74:V83,3,FALSE)</f>
        <v>2.2633629097956069E-2</v>
      </c>
      <c r="G4" s="22"/>
      <c r="H4" s="20"/>
      <c r="I4" s="19">
        <f>HLOOKUP(I2,'pooled normalised values'!N74:AL83,3,FALSE)</f>
        <v>9.5640432252973556E-2</v>
      </c>
      <c r="J4" s="20"/>
      <c r="K4" s="21" t="s">
        <v>2</v>
      </c>
    </row>
    <row r="5" spans="1:11" x14ac:dyDescent="0.25">
      <c r="A5" s="17" t="s">
        <v>73</v>
      </c>
      <c r="B5" s="63">
        <f>'pooled normalised values'!P75</f>
        <v>1.6629583265088164</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0.1134756454371515</v>
      </c>
      <c r="D6" s="21" t="s">
        <v>12</v>
      </c>
      <c r="E6" s="24">
        <f>$B$2</f>
        <v>0.11932551713603246</v>
      </c>
      <c r="F6" s="24">
        <f>$B$2</f>
        <v>0.11932551713603246</v>
      </c>
      <c r="G6" s="24">
        <f>$B$2</f>
        <v>0.11932551713603246</v>
      </c>
      <c r="H6" s="25"/>
      <c r="I6" s="25"/>
      <c r="J6" s="25"/>
      <c r="K6" s="21" t="s">
        <v>12</v>
      </c>
    </row>
    <row r="7" spans="1:11" x14ac:dyDescent="0.25">
      <c r="B7" s="26"/>
      <c r="D7" s="26" t="s">
        <v>13</v>
      </c>
      <c r="E7" s="24"/>
      <c r="F7" s="24"/>
      <c r="G7" s="27"/>
      <c r="H7" s="25">
        <f t="shared" ref="H7:J7" si="0">$B$4</f>
        <v>1.0000000000000002</v>
      </c>
      <c r="I7" s="25">
        <f t="shared" si="0"/>
        <v>1.0000000000000002</v>
      </c>
      <c r="J7" s="25">
        <f t="shared" si="0"/>
        <v>1.0000000000000002</v>
      </c>
      <c r="K7" s="26" t="s">
        <v>13</v>
      </c>
    </row>
    <row r="8" spans="1:11" x14ac:dyDescent="0.25">
      <c r="D8" s="28" t="s">
        <v>14</v>
      </c>
      <c r="E8" s="24">
        <v>0</v>
      </c>
      <c r="F8" s="24">
        <v>0</v>
      </c>
      <c r="G8" s="27">
        <v>0</v>
      </c>
      <c r="H8" s="25">
        <f>$B$6</f>
        <v>0.1134756454371515</v>
      </c>
      <c r="I8" s="25">
        <f t="shared" ref="I8:J8" si="1">$B$6</f>
        <v>0.1134756454371515</v>
      </c>
      <c r="J8" s="25">
        <f t="shared" si="1"/>
        <v>0.1134756454371515</v>
      </c>
      <c r="K8" s="28" t="s">
        <v>14</v>
      </c>
    </row>
    <row r="9" spans="1:11" x14ac:dyDescent="0.25">
      <c r="D9" s="28" t="s">
        <v>15</v>
      </c>
      <c r="E9" s="29">
        <f>$B$3-E8</f>
        <v>0</v>
      </c>
      <c r="F9" s="29">
        <f>$B$3-F8</f>
        <v>0</v>
      </c>
      <c r="G9" s="29">
        <f>$B$3-G8</f>
        <v>0</v>
      </c>
      <c r="H9" s="25">
        <f>$B$5-H8</f>
        <v>1.5494826810716649</v>
      </c>
      <c r="I9" s="25">
        <f>$B$5-I8</f>
        <v>1.5494826810716649</v>
      </c>
      <c r="J9" s="25">
        <f>$B$5-J8</f>
        <v>1.5494826810716649</v>
      </c>
      <c r="K9" s="28" t="s">
        <v>15</v>
      </c>
    </row>
    <row r="10" spans="1:11" x14ac:dyDescent="0.25">
      <c r="D10" s="28" t="s">
        <v>16</v>
      </c>
      <c r="E10" s="27">
        <f t="shared" ref="E10:J10" si="2">2.5-E9</f>
        <v>2.5</v>
      </c>
      <c r="F10" s="27">
        <f t="shared" si="2"/>
        <v>2.5</v>
      </c>
      <c r="G10" s="27">
        <f t="shared" si="2"/>
        <v>2.5</v>
      </c>
      <c r="H10" s="25">
        <f t="shared" si="2"/>
        <v>0.95051731892833513</v>
      </c>
      <c r="I10" s="25">
        <f t="shared" si="2"/>
        <v>0.95051731892833513</v>
      </c>
      <c r="J10" s="25">
        <f t="shared" si="2"/>
        <v>0.95051731892833513</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pageSetup paperSize="9" orientation="portrait" horizontalDpi="300" verticalDpi="300" r:id="rId1"/>
  <headerFooter>
    <oddFooter>&amp;C&amp;1#&amp;"Arial"&amp;10&amp;K000000Internal</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5546875" defaultRowHeight="14.4" x14ac:dyDescent="0.3"/>
  <cols>
    <col min="1" max="1" width="11.44140625" style="1"/>
    <col min="3" max="3" width="15.33203125" customWidth="1"/>
    <col min="4" max="4" width="13.6640625" customWidth="1"/>
    <col min="5" max="5" width="18.33203125" customWidth="1"/>
    <col min="6" max="6" width="14" customWidth="1"/>
    <col min="7" max="7" width="14.44140625" customWidth="1"/>
    <col min="8" max="8" width="14.33203125" customWidth="1"/>
    <col min="9" max="9" width="17" customWidth="1"/>
    <col min="10" max="10" width="12.5546875" customWidth="1"/>
    <col min="11" max="11" width="13.109375" customWidth="1"/>
    <col min="12" max="12" width="15.6640625" customWidth="1"/>
    <col min="13" max="14" width="16.109375" customWidth="1"/>
    <col min="17" max="23" width="9.6640625" customWidth="1"/>
  </cols>
  <sheetData>
    <row r="1" spans="1:23" ht="29.4" thickBot="1" x14ac:dyDescent="0.35">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3" t="s">
        <v>99</v>
      </c>
      <c r="R1" s="233"/>
      <c r="S1" s="233"/>
      <c r="U1" s="233" t="s">
        <v>98</v>
      </c>
      <c r="V1" s="233"/>
      <c r="W1" s="233"/>
    </row>
    <row r="2" spans="1:23" x14ac:dyDescent="0.3">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3">
      <c r="A3" s="1" t="str">
        <f>Q7</f>
        <v>Tamoxifen-30,2µg/L</v>
      </c>
      <c r="B3" t="str">
        <f t="shared" si="0"/>
        <v>Tamoxifen-30,2µg/L + Testostérone</v>
      </c>
      <c r="D3" t="str">
        <f>CONCATENATE(VLOOKUP(Tableau3[[#This Row],[Nom ND]],liste_groupe[],3,FALSE),VLOOKUP(Tableau3[[#This Row],[Nom ND]],liste_groupe[],4,FALSE))</f>
        <v>30.2µg/L</v>
      </c>
      <c r="E3">
        <f>HLOOKUP(Tableau3[[#This Row],[Nom ND]],'pooled normalised values'!$B$74:$V$83,4,FALSE)</f>
        <v>-6.856313015862213</v>
      </c>
      <c r="F3" t="str">
        <f ca="1">HLOOKUP(Tableau3[[#This Row],[Nom ND]],'pooled normalised values'!$B$74:$V$83,8,FALSE)</f>
        <v>ANOVA</v>
      </c>
      <c r="G3" t="str">
        <f>VLOOKUP(Tableau3[[#This Row],[Nom ND]],'summary results'!$A$6:$N$26,9,FALSE)</f>
        <v>NC</v>
      </c>
      <c r="H3">
        <f>VLOOKUP(Tableau3[[#This Row],[Nom ND]],'summary results'!$A$6:$N$26,11,FALSE)</f>
        <v>0</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
      <c r="A4" s="1" t="str">
        <f t="shared" ref="A4:A15" si="1">Q8</f>
        <v>Tamoxifen-60,4µg/L</v>
      </c>
      <c r="B4" s="44" t="str">
        <f t="shared" ref="B4:B15" si="2">U8</f>
        <v>Tamoxifen-60,4µg/L + Testostérone</v>
      </c>
      <c r="D4" s="44" t="str">
        <f>CONCATENATE(VLOOKUP(Tableau3[[#This Row],[Nom ND]],liste_groupe[],3,FALSE),VLOOKUP(Tableau3[[#This Row],[Nom ND]],liste_groupe[],4,FALSE))</f>
        <v>60.4µg/L</v>
      </c>
      <c r="E4" s="44">
        <f>HLOOKUP(Tableau3[[#This Row],[Nom ND]],'pooled normalised values'!$B$74:$V$83,4,FALSE)</f>
        <v>-2.3129141090511638</v>
      </c>
      <c r="F4" s="44" t="str">
        <f ca="1">HLOOKUP(Tableau3[[#This Row],[Nom ND]],'pooled normalised values'!$B$74:$V$83,8,FALSE)</f>
        <v>ANOVA</v>
      </c>
      <c r="G4" s="44" t="str">
        <f>VLOOKUP(Tableau3[[#This Row],[Nom ND]],'summary results'!$A$6:$N$26,9,FALSE)</f>
        <v>NC</v>
      </c>
      <c r="H4" s="44">
        <f>VLOOKUP(Tableau3[[#This Row],[Nom ND]],'summary results'!$A$6:$N$26,11,FALSE)</f>
        <v>0</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
      <c r="A5" s="1" t="str">
        <f t="shared" si="1"/>
        <v>Tamoxifen-121µg/L</v>
      </c>
      <c r="B5" s="44" t="str">
        <f t="shared" si="2"/>
        <v>Tamoxifen-121µg/L + Testostérone</v>
      </c>
      <c r="D5" s="44" t="str">
        <f>CONCATENATE(VLOOKUP(Tableau3[[#This Row],[Nom ND]],liste_groupe[],3,FALSE),VLOOKUP(Tableau3[[#This Row],[Nom ND]],liste_groupe[],4,FALSE))</f>
        <v>121µg/L</v>
      </c>
      <c r="E5" s="44">
        <f>HLOOKUP(Tableau3[[#This Row],[Nom ND]],'pooled normalised values'!$B$74:$V$83,4,FALSE)</f>
        <v>-5.8880812022485287</v>
      </c>
      <c r="F5" s="44" t="str">
        <f ca="1">HLOOKUP(Tableau3[[#This Row],[Nom ND]],'pooled normalised values'!$B$74:$V$83,8,FALSE)</f>
        <v>ANOVA</v>
      </c>
      <c r="G5" s="44" t="str">
        <f>VLOOKUP(Tableau3[[#This Row],[Nom ND]],'summary results'!$A$6:$N$26,9,FALSE)</f>
        <v>NC</v>
      </c>
      <c r="H5" s="44">
        <f>VLOOKUP(Tableau3[[#This Row],[Nom ND]],'summary results'!$A$6:$N$26,11,FALSE)</f>
        <v>0</v>
      </c>
      <c r="I5" s="44">
        <f>HLOOKUP(Tableau3[[#This Row],[Nom D]],'pooled normalised values'!$B$74:$V$83,4,FALSE)</f>
        <v>-20.107765424204544</v>
      </c>
      <c r="J5" s="44" t="str">
        <f>HLOOKUP(Tableau3[[#This Row],[Nom D]],'pooled normalised values'!$B$74:$V$83,8,FALSE)</f>
        <v>Krustall Wallis</v>
      </c>
      <c r="K5" s="44" t="str">
        <f>VLOOKUP(Tableau3[[#This Row],[Nom D]],'summary results'!$A$29:$N$51,9,FALSE)</f>
        <v>NC</v>
      </c>
      <c r="L5" s="44">
        <f>VLOOKUP(Tableau3[[#This Row],[Nom D]],'summary results'!$A$29:$N$51,11,FALSE)</f>
        <v>0</v>
      </c>
      <c r="M5" t="e">
        <f>'summary results'!$G$30</f>
        <v>#NUM!</v>
      </c>
      <c r="N5" t="e">
        <f>'summary results'!$G$31</f>
        <v>#NUM!</v>
      </c>
      <c r="Q5" s="118" t="s">
        <v>100</v>
      </c>
      <c r="U5" s="118" t="s">
        <v>100</v>
      </c>
    </row>
    <row r="6" spans="1:23" x14ac:dyDescent="0.3">
      <c r="A6" s="1" t="str">
        <f t="shared" si="1"/>
        <v>Tamoxifen-242µg/L</v>
      </c>
      <c r="B6" s="44" t="str">
        <f t="shared" si="2"/>
        <v>Tamoxifen-242µg/L + Testostérone</v>
      </c>
      <c r="D6" s="44" t="str">
        <f>CONCATENATE(VLOOKUP(Tableau3[[#This Row],[Nom ND]],liste_groupe[],3,FALSE),VLOOKUP(Tableau3[[#This Row],[Nom ND]],liste_groupe[],4,FALSE))</f>
        <v>242µg/L</v>
      </c>
      <c r="E6" s="44">
        <f>HLOOKUP(Tableau3[[#This Row],[Nom ND]],'pooled normalised values'!$B$74:$V$83,4,FALSE)</f>
        <v>25.167776094492538</v>
      </c>
      <c r="F6" s="44" t="str">
        <f ca="1">HLOOKUP(Tableau3[[#This Row],[Nom ND]],'pooled normalised values'!$B$74:$V$83,8,FALSE)</f>
        <v>ANOVA</v>
      </c>
      <c r="G6" s="44" t="str">
        <f>VLOOKUP(Tableau3[[#This Row],[Nom ND]],'summary results'!$A$6:$N$26,9,FALSE)</f>
        <v>NC</v>
      </c>
      <c r="H6" s="44">
        <f>VLOOKUP(Tableau3[[#This Row],[Nom ND]],'summary results'!$A$6:$N$26,11,FALSE)</f>
        <v>0</v>
      </c>
      <c r="I6" s="44">
        <f>HLOOKUP(Tableau3[[#This Row],[Nom D]],'pooled normalised values'!$B$74:$V$83,4,FALSE)</f>
        <v>4.6406788560203864</v>
      </c>
      <c r="J6" s="44" t="str">
        <f>HLOOKUP(Tableau3[[#This Row],[Nom D]],'pooled normalised values'!$B$74:$V$83,8,FALSE)</f>
        <v>Krustall Wallis</v>
      </c>
      <c r="K6" s="44" t="str">
        <f>VLOOKUP(Tableau3[[#This Row],[Nom D]],'summary results'!$A$29:$N$51,9,FALSE)</f>
        <v>NC</v>
      </c>
      <c r="L6" s="44">
        <f>VLOOKUP(Tableau3[[#This Row],[Nom D]],'summary results'!$A$29:$N$51,11,FALSE)</f>
        <v>0</v>
      </c>
      <c r="M6" t="e">
        <f>'summary results'!$G$30</f>
        <v>#NUM!</v>
      </c>
      <c r="N6" t="e">
        <f>'summary results'!$G$31</f>
        <v>#NUM!</v>
      </c>
      <c r="Q6" s="145" t="s">
        <v>112</v>
      </c>
      <c r="U6" s="145" t="s">
        <v>101</v>
      </c>
    </row>
    <row r="7" spans="1:23" x14ac:dyDescent="0.3">
      <c r="A7" s="1" t="str">
        <f t="shared" si="1"/>
        <v>Tamoxifen-483µg/L</v>
      </c>
      <c r="B7" s="44" t="str">
        <f t="shared" si="2"/>
        <v>Tamoxifen-483µg/L + Testostérone</v>
      </c>
      <c r="D7" s="44" t="str">
        <f>CONCATENATE(VLOOKUP(Tableau3[[#This Row],[Nom ND]],liste_groupe[],3,FALSE),VLOOKUP(Tableau3[[#This Row],[Nom ND]],liste_groupe[],4,FALSE))</f>
        <v>483µg/L</v>
      </c>
      <c r="E7" s="44">
        <f>HLOOKUP(Tableau3[[#This Row],[Nom ND]],'pooled normalised values'!$B$74:$V$83,4,FALSE)</f>
        <v>227.01416487306847</v>
      </c>
      <c r="F7" s="44" t="str">
        <f ca="1">HLOOKUP(Tableau3[[#This Row],[Nom ND]],'pooled normalised values'!$B$74:$V$83,8,FALSE)</f>
        <v>ANOVA</v>
      </c>
      <c r="G7" s="44" t="e">
        <f>VLOOKUP(Tableau3[[#This Row],[Nom ND]],'summary results'!$A$6:$N$26,9,FALSE)</f>
        <v>#NUM!</v>
      </c>
      <c r="H7" s="44" t="e">
        <f>VLOOKUP(Tableau3[[#This Row],[Nom ND]],'summary results'!$A$6:$N$26,11,FALSE)</f>
        <v>#NUM!</v>
      </c>
      <c r="I7" s="44">
        <f>HLOOKUP(Tableau3[[#This Row],[Nom D]],'pooled normalised values'!$B$74:$V$83,4,FALSE)</f>
        <v>-18.483864104655098</v>
      </c>
      <c r="J7" s="44" t="str">
        <f>HLOOKUP(Tableau3[[#This Row],[Nom D]],'pooled normalised values'!$B$74:$V$83,8,FALSE)</f>
        <v>Krustall Wallis</v>
      </c>
      <c r="K7" s="44" t="str">
        <f>VLOOKUP(Tableau3[[#This Row],[Nom D]],'summary results'!$A$29:$N$51,9,FALSE)</f>
        <v>NC</v>
      </c>
      <c r="L7" s="44">
        <f>VLOOKUP(Tableau3[[#This Row],[Nom D]],'summary results'!$A$29:$N$51,11,FALSE)</f>
        <v>0</v>
      </c>
      <c r="M7" t="e">
        <f>'summary results'!$G$30</f>
        <v>#NUM!</v>
      </c>
      <c r="N7" t="e">
        <f>'summary results'!$G$31</f>
        <v>#NUM!</v>
      </c>
      <c r="Q7" s="145" t="s">
        <v>165</v>
      </c>
      <c r="U7" s="145" t="s">
        <v>1698</v>
      </c>
    </row>
    <row r="8" spans="1:23" x14ac:dyDescent="0.3">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c r="Q8" s="145" t="s">
        <v>166</v>
      </c>
      <c r="U8" s="145" t="s">
        <v>1699</v>
      </c>
    </row>
    <row r="9" spans="1:23" x14ac:dyDescent="0.3">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c r="Q9" s="145" t="s">
        <v>167</v>
      </c>
      <c r="U9" s="145" t="s">
        <v>1700</v>
      </c>
    </row>
    <row r="10" spans="1:23" x14ac:dyDescent="0.3">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c r="Q10" s="145" t="s">
        <v>168</v>
      </c>
      <c r="U10" s="145" t="s">
        <v>1701</v>
      </c>
    </row>
    <row r="11" spans="1:23" x14ac:dyDescent="0.3">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c r="Q11" s="145" t="s">
        <v>169</v>
      </c>
      <c r="U11" s="145" t="s">
        <v>1702</v>
      </c>
    </row>
    <row r="12" spans="1:23" x14ac:dyDescent="0.3">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pageSetup paperSize="9" orientation="portrait" horizontalDpi="300" verticalDpi="300" r:id="rId3"/>
  <headerFooter>
    <oddFooter>&amp;C&amp;1#&amp;"Arial"&amp;10&amp;K000000Internal</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1636BA-E1C9-4D18-9FA9-05F07F030C0C}">
  <ds:schemaRefs>
    <ds:schemaRef ds:uri="http://schemas.microsoft.com/sharepoint/v3/contenttype/forms"/>
  </ds:schemaRefs>
</ds:datastoreItem>
</file>

<file path=customXml/itemProps2.xml><?xml version="1.0" encoding="utf-8"?>
<ds:datastoreItem xmlns:ds="http://schemas.openxmlformats.org/officeDocument/2006/customXml" ds:itemID="{EFEEF885-92B4-40A0-8B70-5FA172A76A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14</vt:i4>
      </vt:variant>
      <vt:variant>
        <vt:lpstr>Charts</vt:lpstr>
      </vt:variant>
      <vt:variant>
        <vt:i4>4</vt:i4>
      </vt:variant>
      <vt:variant>
        <vt:lpstr>Named Ranges</vt:lpstr>
      </vt:variant>
      <vt:variant>
        <vt:i4>1</vt:i4>
      </vt:variant>
    </vt:vector>
  </HeadingPairs>
  <TitlesOfParts>
    <vt:vector size="19" baseType="lpstr">
      <vt:lpstr>Page de garde</vt:lpstr>
      <vt:lpstr>Feuil1</vt:lpstr>
      <vt:lpstr>Raw data R4</vt:lpstr>
      <vt:lpstr>R1</vt:lpstr>
      <vt:lpstr>Raw data R5</vt:lpstr>
      <vt:lpstr>R2</vt:lpstr>
      <vt:lpstr>Raw data R6</vt:lpstr>
      <vt:lpstr>R3</vt:lpstr>
      <vt:lpstr>pooled normalised values</vt:lpstr>
      <vt:lpstr>summary results</vt:lpstr>
      <vt:lpstr>Notice</vt:lpstr>
      <vt:lpstr>Graph format rapport CHG</vt:lpstr>
      <vt:lpstr>Graph format rapport CHG 1éch</vt:lpstr>
      <vt:lpstr>Récap</vt:lpstr>
      <vt:lpstr>Graph R4</vt:lpstr>
      <vt:lpstr>Graph R5</vt:lpstr>
      <vt:lpstr>Graph R6</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2022-12-22T16:33:25Z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2022-12-22T16:33:23Z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81e0dd4e-6ba3-4698-81c7-50699731719c</vt:lpwstr>
  </property>
  <property fmtid="{D5CDD505-2E9C-101B-9397-08002B2CF9AE}" pid="8" name="MSIP_Label_06530cf4-8573-4c29-a912-bbcdac835909_ContentBits">
    <vt:lpwstr>2</vt:lpwstr>
  </property>
</Properties>
</file>