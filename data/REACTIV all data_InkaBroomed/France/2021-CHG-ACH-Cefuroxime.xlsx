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hidePivotFieldList="1" defaultThemeVersion="124226"/>
  <xr:revisionPtr revIDLastSave="0" documentId="13_ncr:1_{DEA826B3-6A65-4B26-9CF6-62DFAE216C2D}" xr6:coauthVersionLast="46" xr6:coauthVersionMax="46" xr10:uidLastSave="{00000000-0000-0000-0000-000000000000}"/>
  <bookViews>
    <workbookView xWindow="-110" yWindow="-110" windowWidth="19420" windowHeight="10420" firstSheet="9" activeTab="12"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81029"/>
  <pivotCaches>
    <pivotCache cacheId="0" r:id="rId20"/>
    <pivotCache cacheId="1" r:id="rId21"/>
    <pivotCache cacheId="2" r:id="rId22"/>
    <pivotCache cacheId="3" r:id="rId23"/>
  </pivotCaches>
</workbook>
</file>

<file path=xl/calcChain.xml><?xml version="1.0" encoding="utf-8"?>
<calcChain xmlns="http://schemas.openxmlformats.org/spreadsheetml/2006/main">
  <c r="V4" i="33" l="1"/>
  <c r="U4" i="33"/>
  <c r="T4" i="33"/>
  <c r="S4" i="33"/>
  <c r="R4" i="33"/>
  <c r="M4" i="33"/>
  <c r="L4" i="33"/>
  <c r="K4" i="33"/>
  <c r="J4" i="33"/>
  <c r="I4" i="33"/>
  <c r="V4" i="23"/>
  <c r="U4" i="23"/>
  <c r="T4" i="23"/>
  <c r="S4" i="23"/>
  <c r="R4" i="23"/>
  <c r="M4" i="23"/>
  <c r="L4" i="23"/>
  <c r="K4" i="23"/>
  <c r="J4" i="23"/>
  <c r="I4" i="23"/>
  <c r="V4" i="1"/>
  <c r="U4" i="1"/>
  <c r="T4" i="1"/>
  <c r="S4" i="1"/>
  <c r="R4" i="1"/>
  <c r="M4" i="1"/>
  <c r="L4" i="1"/>
  <c r="K4" i="1"/>
  <c r="J4" i="1"/>
  <c r="I4" i="1"/>
  <c r="C83" i="4"/>
  <c r="D83" i="4"/>
  <c r="E83" i="4"/>
  <c r="F83" i="4"/>
  <c r="G83" i="4"/>
  <c r="H83" i="4"/>
  <c r="U61" i="33"/>
  <c r="V61" i="33"/>
  <c r="R61" i="33"/>
  <c r="S61" i="33"/>
  <c r="T61" i="33"/>
  <c r="I61" i="33"/>
  <c r="C61" i="33"/>
  <c r="D61" i="33"/>
  <c r="E61" i="33"/>
  <c r="F61" i="33"/>
  <c r="G61" i="33"/>
  <c r="H61" i="33"/>
  <c r="M61" i="23"/>
  <c r="I61" i="23"/>
  <c r="J61" i="23"/>
  <c r="K61" i="23"/>
  <c r="L61" i="23"/>
  <c r="D61" i="23"/>
  <c r="H61" i="23"/>
  <c r="C61" i="23"/>
  <c r="E61" i="23"/>
  <c r="F61" i="23"/>
  <c r="G61" i="23"/>
  <c r="V61" i="1"/>
  <c r="R61" i="1"/>
  <c r="S61" i="1"/>
  <c r="T61" i="1"/>
  <c r="U61" i="1"/>
  <c r="I61" i="1"/>
  <c r="J61" i="1"/>
  <c r="K61" i="1"/>
  <c r="L61" i="1"/>
  <c r="M61" i="1"/>
  <c r="B56" i="33"/>
  <c r="H56" i="33"/>
  <c r="G56" i="33"/>
  <c r="D56" i="33"/>
  <c r="L56" i="33"/>
  <c r="F56" i="33"/>
  <c r="K56" i="33"/>
  <c r="E56" i="33"/>
  <c r="C56" i="33"/>
  <c r="I56" i="33"/>
  <c r="J56" i="33"/>
  <c r="M56" i="33"/>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12" i="22"/>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Q4" i="1" s="1"/>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T35" i="33"/>
  <c r="T45" i="4" s="1"/>
  <c r="G35" i="33"/>
  <c r="G45" i="4" s="1"/>
  <c r="G34" i="33"/>
  <c r="G44" i="4" s="1"/>
  <c r="M31" i="33"/>
  <c r="M41" i="4" s="1"/>
  <c r="S30" i="33"/>
  <c r="S40" i="4" s="1"/>
  <c r="J29" i="33"/>
  <c r="J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J35" i="33" s="1"/>
  <c r="J45" i="4" s="1"/>
  <c r="L23" i="33"/>
  <c r="J23" i="33"/>
  <c r="I23" i="33"/>
  <c r="H23" i="33"/>
  <c r="G23" i="33"/>
  <c r="F23" i="33"/>
  <c r="E23" i="33"/>
  <c r="D23" i="33"/>
  <c r="C23" i="33"/>
  <c r="B23" i="33"/>
  <c r="A22" i="33"/>
  <c r="H22" i="33"/>
  <c r="G45" i="33"/>
  <c r="F27" i="33"/>
  <c r="F52" i="33" s="1"/>
  <c r="E45" i="33"/>
  <c r="D22" i="33"/>
  <c r="C45" i="33"/>
  <c r="B45" i="33"/>
  <c r="T28" i="33" l="1"/>
  <c r="T38" i="4" s="1"/>
  <c r="V30" i="33"/>
  <c r="V40" i="4" s="1"/>
  <c r="P33" i="33"/>
  <c r="P43" i="4" s="1"/>
  <c r="T34" i="33"/>
  <c r="T44" i="4" s="1"/>
  <c r="P35" i="33"/>
  <c r="P45" i="4" s="1"/>
  <c r="Q28" i="33"/>
  <c r="Q38" i="4" s="1"/>
  <c r="U28" i="33"/>
  <c r="R29" i="33"/>
  <c r="R39" i="4" s="1"/>
  <c r="V29" i="33"/>
  <c r="V39" i="4" s="1"/>
  <c r="S31" i="33"/>
  <c r="S41" i="4" s="1"/>
  <c r="P32" i="33"/>
  <c r="P42" i="4" s="1"/>
  <c r="T32" i="33"/>
  <c r="T42" i="4" s="1"/>
  <c r="Q33" i="33"/>
  <c r="Q43" i="4" s="1"/>
  <c r="U33" i="33"/>
  <c r="U43" i="4" s="1"/>
  <c r="Q34" i="33"/>
  <c r="Q44" i="4" s="1"/>
  <c r="U34" i="33"/>
  <c r="U44" i="4" s="1"/>
  <c r="Q35" i="33"/>
  <c r="Q45" i="4" s="1"/>
  <c r="U35" i="33"/>
  <c r="U45" i="4" s="1"/>
  <c r="U29" i="33"/>
  <c r="U39" i="4" s="1"/>
  <c r="R30" i="33"/>
  <c r="R40" i="4" s="1"/>
  <c r="T33" i="33"/>
  <c r="T43" i="4" s="1"/>
  <c r="P34" i="33"/>
  <c r="P44" i="4" s="1"/>
  <c r="V28" i="33"/>
  <c r="P28" i="33"/>
  <c r="Q29" i="33"/>
  <c r="Q39" i="4" s="1"/>
  <c r="R31" i="33"/>
  <c r="R41" i="4" s="1"/>
  <c r="V31" i="33"/>
  <c r="V41" i="4" s="1"/>
  <c r="S32" i="33"/>
  <c r="S42" i="4" s="1"/>
  <c r="R28" i="33"/>
  <c r="R38" i="4" s="1"/>
  <c r="S29" i="33"/>
  <c r="S39" i="4" s="1"/>
  <c r="P30" i="33"/>
  <c r="P40" i="4" s="1"/>
  <c r="T30" i="33"/>
  <c r="T40" i="4" s="1"/>
  <c r="P31" i="33"/>
  <c r="P41" i="4" s="1"/>
  <c r="T31" i="33"/>
  <c r="T41" i="4" s="1"/>
  <c r="Q32" i="33"/>
  <c r="Q42" i="4" s="1"/>
  <c r="U32" i="33"/>
  <c r="U42" i="4" s="1"/>
  <c r="R33" i="33"/>
  <c r="R43" i="4" s="1"/>
  <c r="V33" i="33"/>
  <c r="V43" i="4" s="1"/>
  <c r="R34" i="33"/>
  <c r="R44" i="4" s="1"/>
  <c r="V34" i="33"/>
  <c r="V44" i="4" s="1"/>
  <c r="R35" i="33"/>
  <c r="R45" i="4" s="1"/>
  <c r="V35" i="33"/>
  <c r="V45" i="4" s="1"/>
  <c r="S28" i="33"/>
  <c r="P29" i="33"/>
  <c r="P39" i="4" s="1"/>
  <c r="T29" i="33"/>
  <c r="T39" i="4" s="1"/>
  <c r="Q30" i="33"/>
  <c r="Q40" i="4" s="1"/>
  <c r="U30" i="33"/>
  <c r="U40" i="4" s="1"/>
  <c r="Q31" i="33"/>
  <c r="Q41" i="4" s="1"/>
  <c r="U31" i="33"/>
  <c r="U41" i="4" s="1"/>
  <c r="R32" i="33"/>
  <c r="R42" i="4" s="1"/>
  <c r="V32" i="33"/>
  <c r="V42" i="4" s="1"/>
  <c r="S33" i="33"/>
  <c r="S43" i="4" s="1"/>
  <c r="S34" i="33"/>
  <c r="S44" i="4" s="1"/>
  <c r="S35" i="33"/>
  <c r="S45" i="4" s="1"/>
  <c r="O29" i="33"/>
  <c r="O39" i="4" s="1"/>
  <c r="C30" i="33"/>
  <c r="C40" i="4" s="1"/>
  <c r="G31" i="33"/>
  <c r="G41" i="4" s="1"/>
  <c r="G32" i="33"/>
  <c r="G42" i="4" s="1"/>
  <c r="K33" i="33"/>
  <c r="K43" i="4" s="1"/>
  <c r="I28" i="33"/>
  <c r="I38" i="4" s="1"/>
  <c r="O28" i="33"/>
  <c r="C29" i="33"/>
  <c r="C39" i="4" s="1"/>
  <c r="O34" i="33"/>
  <c r="O44" i="4" s="1"/>
  <c r="C35" i="33"/>
  <c r="C45" i="4" s="1"/>
  <c r="O36" i="33"/>
  <c r="O46" i="4" s="1"/>
  <c r="O37" i="33"/>
  <c r="O47" i="4" s="1"/>
  <c r="O38" i="33"/>
  <c r="O48" i="4" s="1"/>
  <c r="O39" i="33"/>
  <c r="O49" i="4" s="1"/>
  <c r="O40" i="33"/>
  <c r="O50" i="4" s="1"/>
  <c r="O41" i="33"/>
  <c r="O51" i="4" s="1"/>
  <c r="O42" i="33"/>
  <c r="O52" i="4" s="1"/>
  <c r="O43" i="33"/>
  <c r="O53" i="4" s="1"/>
  <c r="G29" i="33"/>
  <c r="G39" i="4" s="1"/>
  <c r="G30" i="33"/>
  <c r="G40" i="4" s="1"/>
  <c r="K31" i="33"/>
  <c r="K41" i="4" s="1"/>
  <c r="K32" i="33"/>
  <c r="K42" i="4" s="1"/>
  <c r="O33" i="33"/>
  <c r="O43" i="4" s="1"/>
  <c r="C34" i="33"/>
  <c r="C44" i="4" s="1"/>
  <c r="M28" i="33"/>
  <c r="M38" i="4" s="1"/>
  <c r="K30" i="33"/>
  <c r="K40" i="4" s="1"/>
  <c r="O32" i="33"/>
  <c r="O42" i="4" s="1"/>
  <c r="C33" i="33"/>
  <c r="C43" i="4" s="1"/>
  <c r="K35" i="33"/>
  <c r="K45" i="4" s="1"/>
  <c r="E28" i="33"/>
  <c r="E38" i="4" s="1"/>
  <c r="K29" i="33"/>
  <c r="K39" i="4" s="1"/>
  <c r="O30" i="33"/>
  <c r="C31" i="33"/>
  <c r="C41" i="4" s="1"/>
  <c r="O31" i="33"/>
  <c r="O41" i="4" s="1"/>
  <c r="C32" i="33"/>
  <c r="C42" i="4" s="1"/>
  <c r="G33" i="33"/>
  <c r="G43" i="4" s="1"/>
  <c r="K34" i="33"/>
  <c r="K44" i="4" s="1"/>
  <c r="O35" i="33"/>
  <c r="O45" i="4" s="1"/>
  <c r="B28" i="33"/>
  <c r="B38" i="4" s="1"/>
  <c r="J28" i="33"/>
  <c r="J38" i="4" s="1"/>
  <c r="D29" i="33"/>
  <c r="D39" i="4" s="1"/>
  <c r="L29" i="33"/>
  <c r="L39" i="4" s="1"/>
  <c r="H30" i="33"/>
  <c r="H40" i="4" s="1"/>
  <c r="H31" i="33"/>
  <c r="H41" i="4" s="1"/>
  <c r="H32" i="33"/>
  <c r="H42" i="4" s="1"/>
  <c r="D33" i="33"/>
  <c r="D43" i="4" s="1"/>
  <c r="L33" i="33"/>
  <c r="L43" i="4" s="1"/>
  <c r="D34" i="33"/>
  <c r="D44" i="4" s="1"/>
  <c r="L34" i="33"/>
  <c r="L44" i="4" s="1"/>
  <c r="D35" i="33"/>
  <c r="D45" i="4" s="1"/>
  <c r="H35" i="33"/>
  <c r="H45" i="4" s="1"/>
  <c r="C28" i="33"/>
  <c r="C38" i="4" s="1"/>
  <c r="G28" i="33"/>
  <c r="K28" i="33"/>
  <c r="K38" i="4" s="1"/>
  <c r="B29" i="33"/>
  <c r="B39" i="4" s="1"/>
  <c r="E29" i="33"/>
  <c r="E39" i="4" s="1"/>
  <c r="I29" i="33"/>
  <c r="I39" i="4" s="1"/>
  <c r="M29" i="33"/>
  <c r="M39" i="4" s="1"/>
  <c r="B30" i="33"/>
  <c r="B40" i="4" s="1"/>
  <c r="E30" i="33"/>
  <c r="E40" i="4" s="1"/>
  <c r="I30" i="33"/>
  <c r="I40" i="4" s="1"/>
  <c r="M30" i="33"/>
  <c r="M40" i="4" s="1"/>
  <c r="B31" i="33"/>
  <c r="B41" i="4" s="1"/>
  <c r="E31" i="33"/>
  <c r="E41" i="4" s="1"/>
  <c r="I31" i="33"/>
  <c r="I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F28" i="33"/>
  <c r="H29" i="33"/>
  <c r="H39" i="4" s="1"/>
  <c r="D30" i="33"/>
  <c r="D40" i="4" s="1"/>
  <c r="L30" i="33"/>
  <c r="L40" i="4" s="1"/>
  <c r="D31" i="33"/>
  <c r="D41" i="4" s="1"/>
  <c r="L31" i="33"/>
  <c r="L41" i="4" s="1"/>
  <c r="D32" i="33"/>
  <c r="D42" i="4" s="1"/>
  <c r="L32" i="33"/>
  <c r="L42" i="4" s="1"/>
  <c r="H33" i="33"/>
  <c r="H43" i="4" s="1"/>
  <c r="H34" i="33"/>
  <c r="H44" i="4" s="1"/>
  <c r="L35" i="33"/>
  <c r="L45" i="4" s="1"/>
  <c r="D28" i="33"/>
  <c r="D38" i="4" s="1"/>
  <c r="H28" i="33"/>
  <c r="H38" i="4" s="1"/>
  <c r="L28" i="33"/>
  <c r="L38" i="4" s="1"/>
  <c r="F29" i="33"/>
  <c r="F39" i="4" s="1"/>
  <c r="F30" i="33"/>
  <c r="F40" i="4" s="1"/>
  <c r="J30" i="33"/>
  <c r="J40" i="4" s="1"/>
  <c r="F31" i="33"/>
  <c r="F41" i="4" s="1"/>
  <c r="J31" i="33"/>
  <c r="J41" i="4" s="1"/>
  <c r="F32" i="33"/>
  <c r="F42" i="4" s="1"/>
  <c r="J32" i="33"/>
  <c r="J42" i="4" s="1"/>
  <c r="F33" i="33"/>
  <c r="F43" i="4" s="1"/>
  <c r="J33" i="33"/>
  <c r="J43" i="4" s="1"/>
  <c r="F34" i="33"/>
  <c r="F44" i="4" s="1"/>
  <c r="J34" i="33"/>
  <c r="J44" i="4" s="1"/>
  <c r="F35" i="33"/>
  <c r="F45" i="4" s="1"/>
  <c r="V38" i="4"/>
  <c r="U38" i="4"/>
  <c r="B22" i="33"/>
  <c r="E22" i="33"/>
  <c r="I45" i="33"/>
  <c r="I52" i="33"/>
  <c r="I27" i="33"/>
  <c r="P38" i="4"/>
  <c r="P47" i="33"/>
  <c r="P48" i="33" s="1"/>
  <c r="P54" i="33" s="1"/>
  <c r="B27" i="33"/>
  <c r="B52" i="33" s="1"/>
  <c r="Q47" i="33"/>
  <c r="Q48" i="33" s="1"/>
  <c r="Q54" i="33" s="1"/>
  <c r="D27" i="33"/>
  <c r="D52" i="33" s="1"/>
  <c r="I22" i="33"/>
  <c r="E27" i="33"/>
  <c r="E52" i="33" s="1"/>
  <c r="O38" i="4"/>
  <c r="S38" i="4"/>
  <c r="D45" i="33"/>
  <c r="G57" i="33"/>
  <c r="H57" i="33"/>
  <c r="C57" i="33"/>
  <c r="J57" i="33"/>
  <c r="D57" i="33"/>
  <c r="L57" i="33"/>
  <c r="F57" i="33"/>
  <c r="K57" i="33"/>
  <c r="B57" i="33"/>
  <c r="E57" i="33"/>
  <c r="I57" i="33"/>
  <c r="M57" i="33"/>
  <c r="U46" i="33"/>
  <c r="U53" i="33" s="1"/>
  <c r="Q46" i="33"/>
  <c r="Q53" i="33" s="1"/>
  <c r="F22" i="33"/>
  <c r="B47" i="33"/>
  <c r="B46" i="33"/>
  <c r="R46" i="33"/>
  <c r="R53" i="33" s="1"/>
  <c r="F45" i="33"/>
  <c r="G22" i="33"/>
  <c r="G27" i="33"/>
  <c r="G52" i="33" s="1"/>
  <c r="C22" i="33"/>
  <c r="C27" i="33"/>
  <c r="C52" i="33" s="1"/>
  <c r="H27" i="33"/>
  <c r="H52" i="33" s="1"/>
  <c r="H45" i="33"/>
  <c r="R56" i="33"/>
  <c r="T56" i="33"/>
  <c r="O56" i="33"/>
  <c r="P56" i="33"/>
  <c r="V56" i="33"/>
  <c r="S56" i="33"/>
  <c r="Q56" i="33"/>
  <c r="U56" i="33"/>
  <c r="P57" i="33" l="1"/>
  <c r="S57" i="33"/>
  <c r="V57" i="33"/>
  <c r="U57" i="33"/>
  <c r="Q57" i="33"/>
  <c r="R57" i="33"/>
  <c r="T57" i="33"/>
  <c r="R47" i="33"/>
  <c r="R48" i="33" s="1"/>
  <c r="R54" i="33" s="1"/>
  <c r="V46" i="33"/>
  <c r="V53" i="33" s="1"/>
  <c r="I47" i="33"/>
  <c r="I48" i="33" s="1"/>
  <c r="I54" i="33" s="1"/>
  <c r="S47" i="33"/>
  <c r="S48" i="33" s="1"/>
  <c r="S54" i="33" s="1"/>
  <c r="J47" i="33"/>
  <c r="J48" i="33" s="1"/>
  <c r="J54" i="33" s="1"/>
  <c r="T46" i="33"/>
  <c r="T53" i="33" s="1"/>
  <c r="P46" i="33"/>
  <c r="P53" i="33" s="1"/>
  <c r="V47" i="33"/>
  <c r="V48" i="33" s="1"/>
  <c r="V54" i="33" s="1"/>
  <c r="E46" i="33"/>
  <c r="E53" i="33" s="1"/>
  <c r="U47" i="33"/>
  <c r="U48" i="33" s="1"/>
  <c r="U54" i="33" s="1"/>
  <c r="S46" i="33"/>
  <c r="S53" i="33" s="1"/>
  <c r="J46" i="33"/>
  <c r="J53" i="33" s="1"/>
  <c r="C47" i="33"/>
  <c r="C48" i="33" s="1"/>
  <c r="C54" i="33" s="1"/>
  <c r="G46" i="33"/>
  <c r="G53" i="33" s="1"/>
  <c r="D46" i="33"/>
  <c r="D53" i="33" s="1"/>
  <c r="T47" i="33"/>
  <c r="T48" i="33" s="1"/>
  <c r="T54" i="33" s="1"/>
  <c r="L46" i="33"/>
  <c r="L53" i="33" s="1"/>
  <c r="K47" i="33"/>
  <c r="K48" i="33" s="1"/>
  <c r="K54" i="33" s="1"/>
  <c r="O47" i="33"/>
  <c r="O48" i="33" s="1"/>
  <c r="O54" i="33" s="1"/>
  <c r="M46" i="33"/>
  <c r="M53" i="33" s="1"/>
  <c r="L47" i="33"/>
  <c r="L48" i="33" s="1"/>
  <c r="L54" i="33" s="1"/>
  <c r="G38" i="4"/>
  <c r="I46" i="33"/>
  <c r="I53" i="33" s="1"/>
  <c r="D47" i="33"/>
  <c r="D48" i="33" s="1"/>
  <c r="D54" i="33" s="1"/>
  <c r="O46" i="33"/>
  <c r="O53" i="33" s="1"/>
  <c r="O55" i="33" s="1"/>
  <c r="C46" i="33"/>
  <c r="C53" i="33" s="1"/>
  <c r="O57" i="33"/>
  <c r="P59" i="33" s="1"/>
  <c r="P61" i="33" s="1"/>
  <c r="F46" i="33"/>
  <c r="F53" i="33" s="1"/>
  <c r="M47" i="33"/>
  <c r="M48" i="33" s="1"/>
  <c r="M54" i="33" s="1"/>
  <c r="E47" i="33"/>
  <c r="E48" i="33" s="1"/>
  <c r="E54" i="33" s="1"/>
  <c r="G47" i="33"/>
  <c r="G48" i="33" s="1"/>
  <c r="G54" i="33" s="1"/>
  <c r="O40" i="4"/>
  <c r="B48" i="33"/>
  <c r="B54" i="33" s="1"/>
  <c r="H47" i="33"/>
  <c r="H48" i="33" s="1"/>
  <c r="H54" i="33" s="1"/>
  <c r="H46" i="33"/>
  <c r="H53" i="33" s="1"/>
  <c r="F47" i="33"/>
  <c r="F48" i="33" s="1"/>
  <c r="F54" i="33" s="1"/>
  <c r="K46" i="33"/>
  <c r="K53" i="33" s="1"/>
  <c r="F38" i="4"/>
  <c r="O59" i="33"/>
  <c r="B53" i="33"/>
  <c r="M55" i="33" s="1"/>
  <c r="B65" i="33"/>
  <c r="B64" i="33"/>
  <c r="Q59" i="33" l="1"/>
  <c r="Q61" i="33" s="1"/>
  <c r="K61" i="33"/>
  <c r="O61" i="33"/>
  <c r="S55" i="33"/>
  <c r="R55" i="33"/>
  <c r="V55" i="33"/>
  <c r="T55" i="33"/>
  <c r="P55" i="33"/>
  <c r="U55" i="33"/>
  <c r="Q55" i="33"/>
  <c r="D55" i="33"/>
  <c r="B55" i="33"/>
  <c r="K55" i="33"/>
  <c r="L55" i="33"/>
  <c r="G55" i="33"/>
  <c r="F55" i="33"/>
  <c r="C55" i="33"/>
  <c r="J55" i="33"/>
  <c r="H55" i="33"/>
  <c r="I55" i="33"/>
  <c r="E55" i="33"/>
  <c r="J61" i="33" l="1"/>
  <c r="L61" i="33"/>
  <c r="M61" i="33"/>
  <c r="L22" i="33"/>
  <c r="K22" i="33"/>
  <c r="J52" i="33"/>
  <c r="M45" i="33"/>
  <c r="M52" i="33"/>
  <c r="M27" i="33"/>
  <c r="M22" i="33"/>
  <c r="K52" i="33"/>
  <c r="K45" i="33" l="1"/>
  <c r="K27" i="33"/>
  <c r="O4" i="33"/>
  <c r="O4" i="23"/>
  <c r="O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R28" i="23"/>
  <c r="S28" i="23"/>
  <c r="S22" i="4" s="1"/>
  <c r="T28" i="23"/>
  <c r="T22" i="4" s="1"/>
  <c r="U28" i="23"/>
  <c r="U22" i="4" s="1"/>
  <c r="V28" i="23"/>
  <c r="R29" i="23"/>
  <c r="R23" i="4" s="1"/>
  <c r="S29" i="23"/>
  <c r="S23" i="4" s="1"/>
  <c r="T29" i="23"/>
  <c r="T23" i="4" s="1"/>
  <c r="U29" i="23"/>
  <c r="U23" i="4" s="1"/>
  <c r="V29" i="23"/>
  <c r="V23" i="4" s="1"/>
  <c r="R30" i="23"/>
  <c r="R24" i="4" s="1"/>
  <c r="S30" i="23"/>
  <c r="T30" i="23"/>
  <c r="T24" i="4" s="1"/>
  <c r="U30" i="23"/>
  <c r="U24" i="4" s="1"/>
  <c r="V30" i="23"/>
  <c r="V24" i="4" s="1"/>
  <c r="R31" i="23"/>
  <c r="R25" i="4" s="1"/>
  <c r="S31" i="23"/>
  <c r="S25" i="4" s="1"/>
  <c r="T31" i="23"/>
  <c r="T25" i="4" s="1"/>
  <c r="U31" i="23"/>
  <c r="V31" i="23"/>
  <c r="V25" i="4" s="1"/>
  <c r="R32" i="23"/>
  <c r="R26" i="4" s="1"/>
  <c r="S32" i="23"/>
  <c r="S26" i="4" s="1"/>
  <c r="T32" i="23"/>
  <c r="T26" i="4" s="1"/>
  <c r="U32" i="23"/>
  <c r="U26" i="4" s="1"/>
  <c r="V32" i="23"/>
  <c r="V26" i="4" s="1"/>
  <c r="R33" i="23"/>
  <c r="R27" i="4" s="1"/>
  <c r="S33" i="23"/>
  <c r="S27" i="4" s="1"/>
  <c r="T33" i="23"/>
  <c r="U33" i="23"/>
  <c r="U27" i="4" s="1"/>
  <c r="V33" i="23"/>
  <c r="V27" i="4" s="1"/>
  <c r="R34" i="23"/>
  <c r="R28" i="4" s="1"/>
  <c r="S34" i="23"/>
  <c r="S28" i="4" s="1"/>
  <c r="T34" i="23"/>
  <c r="T28" i="4" s="1"/>
  <c r="U34" i="23"/>
  <c r="U28" i="4" s="1"/>
  <c r="V34" i="23"/>
  <c r="V28" i="4" s="1"/>
  <c r="R35" i="23"/>
  <c r="R29" i="4" s="1"/>
  <c r="S35" i="23"/>
  <c r="S29" i="4" s="1"/>
  <c r="T35" i="23"/>
  <c r="T29" i="4" s="1"/>
  <c r="U35" i="23"/>
  <c r="V35" i="23"/>
  <c r="V29"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V43" i="23"/>
  <c r="L33" i="23"/>
  <c r="L27"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Q35" i="4"/>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U25" i="4"/>
  <c r="S24"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H30" i="23"/>
  <c r="H24" i="4" s="1"/>
  <c r="J28" i="23"/>
  <c r="J42" i="23"/>
  <c r="J36" i="4" s="1"/>
  <c r="J38" i="23"/>
  <c r="J32" i="4" s="1"/>
  <c r="J34" i="23"/>
  <c r="J28" i="4" s="1"/>
  <c r="C33" i="23"/>
  <c r="C27" i="4" s="1"/>
  <c r="H32" i="23"/>
  <c r="H26" i="4" s="1"/>
  <c r="J30" i="23"/>
  <c r="J24" i="4" s="1"/>
  <c r="F30" i="23"/>
  <c r="F24" i="4" s="1"/>
  <c r="D28" i="23"/>
  <c r="J41" i="23"/>
  <c r="J35" i="4" s="1"/>
  <c r="J37" i="23"/>
  <c r="J31" i="4" s="1"/>
  <c r="H35" i="23"/>
  <c r="H29" i="4" s="1"/>
  <c r="I34" i="23"/>
  <c r="I28" i="4" s="1"/>
  <c r="C32" i="23"/>
  <c r="C26" i="4" s="1"/>
  <c r="J43" i="23"/>
  <c r="J39" i="23"/>
  <c r="J33" i="4" s="1"/>
  <c r="J35" i="23"/>
  <c r="J29" i="4" s="1"/>
  <c r="F35" i="23"/>
  <c r="F29" i="4" s="1"/>
  <c r="H33" i="23"/>
  <c r="H27" i="4" s="1"/>
  <c r="D33" i="23"/>
  <c r="D27" i="4" s="1"/>
  <c r="J31" i="23"/>
  <c r="J25" i="4" s="1"/>
  <c r="F31" i="23"/>
  <c r="F25" i="4" s="1"/>
  <c r="H29" i="23"/>
  <c r="H23" i="4" s="1"/>
  <c r="D29" i="23"/>
  <c r="D23" i="4" s="1"/>
  <c r="I35" i="23"/>
  <c r="I29" i="4" s="1"/>
  <c r="E35" i="23"/>
  <c r="E29" i="4" s="1"/>
  <c r="G29" i="23"/>
  <c r="G23" i="4" s="1"/>
  <c r="H28" i="23"/>
  <c r="J33" i="23"/>
  <c r="J27" i="4" s="1"/>
  <c r="F33" i="23"/>
  <c r="F27" i="4" s="1"/>
  <c r="G32" i="23"/>
  <c r="G26" i="4" s="1"/>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F35" i="1"/>
  <c r="F13" i="4" s="1"/>
  <c r="Q34" i="1"/>
  <c r="Q12" i="4" s="1"/>
  <c r="Q27" i="1"/>
  <c r="Q52" i="1" s="1"/>
  <c r="K24" i="1"/>
  <c r="J24" i="1"/>
  <c r="H24" i="1"/>
  <c r="G24" i="1"/>
  <c r="F24" i="1"/>
  <c r="E24" i="1"/>
  <c r="D24" i="1"/>
  <c r="C24" i="1"/>
  <c r="B24" i="1"/>
  <c r="K23" i="1"/>
  <c r="J23" i="1"/>
  <c r="H23" i="1"/>
  <c r="G23" i="1"/>
  <c r="F23" i="1"/>
  <c r="E23" i="1"/>
  <c r="D23" i="1"/>
  <c r="C23" i="1"/>
  <c r="R24" i="1"/>
  <c r="R23" i="1"/>
  <c r="K4" i="4"/>
  <c r="K62" i="4" s="1"/>
  <c r="L4" i="4"/>
  <c r="K52" i="23"/>
  <c r="L27" i="23"/>
  <c r="U56" i="1"/>
  <c r="S56" i="23"/>
  <c r="T56" i="23"/>
  <c r="U56" i="23"/>
  <c r="V56" i="23"/>
  <c r="S56" i="1"/>
  <c r="T56" i="1"/>
  <c r="R56" i="23"/>
  <c r="V56" i="1"/>
  <c r="O9" i="12" l="1"/>
  <c r="O10" i="12" s="1"/>
  <c r="Q35" i="23"/>
  <c r="Q29" i="4" s="1"/>
  <c r="Q33" i="23"/>
  <c r="Q27" i="4" s="1"/>
  <c r="Q29" i="23"/>
  <c r="Q23" i="4" s="1"/>
  <c r="Q28" i="23"/>
  <c r="O43" i="23"/>
  <c r="Q32" i="23"/>
  <c r="Q26" i="4" s="1"/>
  <c r="O39" i="23"/>
  <c r="O33" i="4" s="1"/>
  <c r="P35" i="23"/>
  <c r="P29" i="4" s="1"/>
  <c r="Q34" i="23"/>
  <c r="Q28" i="4" s="1"/>
  <c r="P33" i="23"/>
  <c r="P27" i="4" s="1"/>
  <c r="P32" i="23"/>
  <c r="P26" i="4" s="1"/>
  <c r="Q31" i="23"/>
  <c r="Q25" i="4" s="1"/>
  <c r="Q30" i="23"/>
  <c r="P29" i="23"/>
  <c r="P28" i="23"/>
  <c r="P34" i="23"/>
  <c r="P28" i="4" s="1"/>
  <c r="P31" i="23"/>
  <c r="P25" i="4" s="1"/>
  <c r="P30" i="23"/>
  <c r="P24" i="4" s="1"/>
  <c r="O36" i="23"/>
  <c r="O30" i="4" s="1"/>
  <c r="G28" i="23"/>
  <c r="G22" i="4" s="1"/>
  <c r="D32" i="23"/>
  <c r="D26" i="4" s="1"/>
  <c r="C30" i="23"/>
  <c r="C24" i="4" s="1"/>
  <c r="C34" i="23"/>
  <c r="C28" i="4" s="1"/>
  <c r="D34" i="23"/>
  <c r="D28" i="4" s="1"/>
  <c r="O41" i="23"/>
  <c r="O35" i="4" s="1"/>
  <c r="E29" i="23"/>
  <c r="E23" i="4" s="1"/>
  <c r="G31" i="23"/>
  <c r="G25" i="4" s="1"/>
  <c r="E33" i="23"/>
  <c r="E27" i="4" s="1"/>
  <c r="O42" i="23"/>
  <c r="O36" i="4" s="1"/>
  <c r="E28" i="23"/>
  <c r="E32" i="23"/>
  <c r="E26" i="4" s="1"/>
  <c r="C29" i="23"/>
  <c r="C23" i="4" s="1"/>
  <c r="E31" i="23"/>
  <c r="E25" i="4" s="1"/>
  <c r="I29" i="23"/>
  <c r="I23" i="4" s="1"/>
  <c r="F32" i="23"/>
  <c r="F26" i="4" s="1"/>
  <c r="J29" i="23"/>
  <c r="H31" i="23"/>
  <c r="H25" i="4" s="1"/>
  <c r="D35" i="23"/>
  <c r="D29" i="4" s="1"/>
  <c r="G33" i="23"/>
  <c r="G27" i="4" s="1"/>
  <c r="I28" i="23"/>
  <c r="I22" i="4" s="1"/>
  <c r="G30" i="23"/>
  <c r="G24" i="4" s="1"/>
  <c r="I32" i="23"/>
  <c r="I26" i="4" s="1"/>
  <c r="G34" i="23"/>
  <c r="G28" i="4" s="1"/>
  <c r="E34" i="23"/>
  <c r="E28" i="4" s="1"/>
  <c r="I31" i="23"/>
  <c r="I25" i="4" s="1"/>
  <c r="F34" i="23"/>
  <c r="F28" i="4" s="1"/>
  <c r="F28" i="23"/>
  <c r="D30" i="23"/>
  <c r="J32" i="23"/>
  <c r="J26" i="4" s="1"/>
  <c r="C35" i="23"/>
  <c r="C29" i="4" s="1"/>
  <c r="D31" i="23"/>
  <c r="D25" i="4" s="1"/>
  <c r="O40" i="23"/>
  <c r="O34" i="4" s="1"/>
  <c r="O33" i="23"/>
  <c r="O27" i="4" s="1"/>
  <c r="I33" i="23"/>
  <c r="G35" i="23"/>
  <c r="C28" i="23"/>
  <c r="C46" i="23" s="1"/>
  <c r="C53" i="23" s="1"/>
  <c r="E30" i="23"/>
  <c r="O29" i="23"/>
  <c r="O23" i="4" s="1"/>
  <c r="C31" i="23"/>
  <c r="C25" i="4" s="1"/>
  <c r="H34" i="23"/>
  <c r="H46" i="23" s="1"/>
  <c r="H53" i="23" s="1"/>
  <c r="F29" i="23"/>
  <c r="O35" i="23"/>
  <c r="O29" i="4" s="1"/>
  <c r="M35" i="23"/>
  <c r="M29" i="4" s="1"/>
  <c r="L34" i="23"/>
  <c r="L28" i="4" s="1"/>
  <c r="K33" i="23"/>
  <c r="K27" i="4" s="1"/>
  <c r="K31" i="23"/>
  <c r="K25" i="4" s="1"/>
  <c r="M30" i="23"/>
  <c r="M24" i="4" s="1"/>
  <c r="L29" i="23"/>
  <c r="L23" i="4" s="1"/>
  <c r="K28" i="23"/>
  <c r="L35" i="23"/>
  <c r="L29" i="4" s="1"/>
  <c r="K34" i="23"/>
  <c r="K28" i="4" s="1"/>
  <c r="M32" i="23"/>
  <c r="M26" i="4" s="1"/>
  <c r="L30" i="23"/>
  <c r="L24" i="4" s="1"/>
  <c r="K29" i="23"/>
  <c r="K23" i="4" s="1"/>
  <c r="K35" i="23"/>
  <c r="K29" i="4" s="1"/>
  <c r="M33" i="23"/>
  <c r="M27" i="4" s="1"/>
  <c r="L32" i="23"/>
  <c r="L26" i="4" s="1"/>
  <c r="M31" i="23"/>
  <c r="M25" i="4" s="1"/>
  <c r="K30" i="23"/>
  <c r="K24" i="4" s="1"/>
  <c r="M28" i="23"/>
  <c r="M22" i="4" s="1"/>
  <c r="M34" i="23"/>
  <c r="M28" i="4" s="1"/>
  <c r="K32" i="23"/>
  <c r="K26" i="4" s="1"/>
  <c r="L31" i="23"/>
  <c r="L25" i="4" s="1"/>
  <c r="M29" i="23"/>
  <c r="M23" i="4" s="1"/>
  <c r="L28" i="23"/>
  <c r="L22" i="4" s="1"/>
  <c r="P34" i="1"/>
  <c r="P12" i="4" s="1"/>
  <c r="O40" i="1"/>
  <c r="O18" i="4" s="1"/>
  <c r="Q35" i="1"/>
  <c r="Q13" i="4" s="1"/>
  <c r="O43" i="1"/>
  <c r="O21" i="4" s="1"/>
  <c r="O39" i="1"/>
  <c r="O17" i="4" s="1"/>
  <c r="Q33" i="1"/>
  <c r="Q11" i="4" s="1"/>
  <c r="O42" i="1"/>
  <c r="O20" i="4" s="1"/>
  <c r="Q28" i="1"/>
  <c r="Q6" i="4" s="1"/>
  <c r="P30" i="1"/>
  <c r="P8" i="4" s="1"/>
  <c r="C35" i="1"/>
  <c r="C13" i="4" s="1"/>
  <c r="P33" i="1"/>
  <c r="P11" i="4" s="1"/>
  <c r="O38" i="1"/>
  <c r="O16" i="4" s="1"/>
  <c r="O41" i="1"/>
  <c r="O19" i="4" s="1"/>
  <c r="P28" i="1"/>
  <c r="P6" i="4" s="1"/>
  <c r="Q31" i="1"/>
  <c r="Q9" i="4" s="1"/>
  <c r="H32" i="1"/>
  <c r="H10" i="4" s="1"/>
  <c r="F33" i="1"/>
  <c r="F11" i="4" s="1"/>
  <c r="D33" i="1"/>
  <c r="D11" i="4" s="1"/>
  <c r="E32" i="1"/>
  <c r="E10" i="4" s="1"/>
  <c r="F32" i="1"/>
  <c r="F10" i="4" s="1"/>
  <c r="O32" i="1"/>
  <c r="O10" i="4" s="1"/>
  <c r="G30" i="1"/>
  <c r="G8" i="4" s="1"/>
  <c r="F30" i="1"/>
  <c r="F8" i="4" s="1"/>
  <c r="H30" i="1"/>
  <c r="H8" i="4" s="1"/>
  <c r="J34" i="1"/>
  <c r="J12" i="4" s="1"/>
  <c r="K30" i="1"/>
  <c r="K8" i="4" s="1"/>
  <c r="B33" i="1"/>
  <c r="B11" i="4" s="1"/>
  <c r="F29" i="1"/>
  <c r="F7" i="4" s="1"/>
  <c r="I33" i="1"/>
  <c r="I11" i="4" s="1"/>
  <c r="I29" i="1"/>
  <c r="I34" i="1"/>
  <c r="I12" i="4" s="1"/>
  <c r="E30" i="1"/>
  <c r="E8" i="4" s="1"/>
  <c r="E35" i="1"/>
  <c r="E13" i="4" s="1"/>
  <c r="J30" i="1"/>
  <c r="J8" i="4" s="1"/>
  <c r="K35" i="1"/>
  <c r="K13" i="4" s="1"/>
  <c r="M28" i="1"/>
  <c r="F34" i="1"/>
  <c r="F12" i="4" s="1"/>
  <c r="I30" i="1"/>
  <c r="I8" i="4" s="1"/>
  <c r="H31" i="1"/>
  <c r="G34" i="1"/>
  <c r="G12" i="4" s="1"/>
  <c r="G35" i="1"/>
  <c r="G13" i="4" s="1"/>
  <c r="E33" i="1"/>
  <c r="E11" i="4" s="1"/>
  <c r="E29" i="1"/>
  <c r="H33" i="1"/>
  <c r="H11" i="4" s="1"/>
  <c r="H35" i="1"/>
  <c r="H13" i="4" s="1"/>
  <c r="C33" i="1"/>
  <c r="C11" i="4" s="1"/>
  <c r="M33" i="1"/>
  <c r="M11" i="4" s="1"/>
  <c r="J33" i="1"/>
  <c r="J11" i="4" s="1"/>
  <c r="J29" i="1"/>
  <c r="J7" i="4" s="1"/>
  <c r="J28" i="1"/>
  <c r="J6" i="4" s="1"/>
  <c r="M34" i="1"/>
  <c r="M12" i="4" s="1"/>
  <c r="L33" i="1"/>
  <c r="L11" i="4" s="1"/>
  <c r="M32" i="1"/>
  <c r="M10" i="4" s="1"/>
  <c r="M31" i="1"/>
  <c r="M9" i="4" s="1"/>
  <c r="M29" i="1"/>
  <c r="L28" i="1"/>
  <c r="L6" i="4" s="1"/>
  <c r="J32" i="1"/>
  <c r="J10" i="4" s="1"/>
  <c r="M35" i="1"/>
  <c r="M13" i="4" s="1"/>
  <c r="L34" i="1"/>
  <c r="L12" i="4" s="1"/>
  <c r="K33" i="1"/>
  <c r="K11" i="4" s="1"/>
  <c r="L32" i="1"/>
  <c r="L10" i="4" s="1"/>
  <c r="L31" i="1"/>
  <c r="L9" i="4" s="1"/>
  <c r="M30" i="1"/>
  <c r="M8" i="4" s="1"/>
  <c r="L29" i="1"/>
  <c r="L7" i="4" s="1"/>
  <c r="K28" i="1"/>
  <c r="K6" i="4" s="1"/>
  <c r="D35" i="1"/>
  <c r="D13" i="4" s="1"/>
  <c r="H34" i="1"/>
  <c r="H12" i="4" s="1"/>
  <c r="G29" i="1"/>
  <c r="G7" i="4" s="1"/>
  <c r="J35" i="1"/>
  <c r="J13" i="4" s="1"/>
  <c r="J31" i="1"/>
  <c r="J9" i="4" s="1"/>
  <c r="L35" i="1"/>
  <c r="L13" i="4" s="1"/>
  <c r="K34" i="1"/>
  <c r="K12" i="4" s="1"/>
  <c r="K32" i="1"/>
  <c r="K10" i="4" s="1"/>
  <c r="K31" i="1"/>
  <c r="L30" i="1"/>
  <c r="L8" i="4" s="1"/>
  <c r="K29" i="1"/>
  <c r="K7" i="4" s="1"/>
  <c r="F22" i="4"/>
  <c r="T6" i="4"/>
  <c r="E22" i="4"/>
  <c r="H22" i="4"/>
  <c r="D22" i="4"/>
  <c r="J22" i="4"/>
  <c r="S6" i="4"/>
  <c r="U6" i="4"/>
  <c r="P22" i="4"/>
  <c r="T22" i="33"/>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V37" i="4"/>
  <c r="R37" i="4"/>
  <c r="K37" i="4"/>
  <c r="I45" i="23"/>
  <c r="R21" i="4"/>
  <c r="Q21" i="4"/>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4"/>
  <c r="J45" i="23"/>
  <c r="M27" i="23"/>
  <c r="H10" i="22"/>
  <c r="M4" i="4"/>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P37" i="1"/>
  <c r="F22" i="23"/>
  <c r="O36" i="1"/>
  <c r="H45" i="23"/>
  <c r="U46" i="23"/>
  <c r="U53" i="23" s="1"/>
  <c r="T46" i="23"/>
  <c r="T53" i="23" s="1"/>
  <c r="R31" i="1"/>
  <c r="R9" i="4" s="1"/>
  <c r="R22" i="4"/>
  <c r="V22" i="4"/>
  <c r="U29" i="4"/>
  <c r="T47" i="23"/>
  <c r="T48" i="23" s="1"/>
  <c r="T54" i="23" s="1"/>
  <c r="T27" i="4"/>
  <c r="V57" i="1"/>
  <c r="U57" i="23"/>
  <c r="U57" i="1"/>
  <c r="T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H9" i="4"/>
  <c r="C4" i="4"/>
  <c r="U47" i="23"/>
  <c r="U48" i="23" s="1"/>
  <c r="U54" i="23" s="1"/>
  <c r="A47" i="22"/>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Q56" i="1"/>
  <c r="R56" i="1"/>
  <c r="T78" i="4"/>
  <c r="I56" i="1"/>
  <c r="D56" i="1"/>
  <c r="F56" i="1"/>
  <c r="O56" i="1"/>
  <c r="L56" i="23"/>
  <c r="L56" i="1"/>
  <c r="V78" i="4"/>
  <c r="S78" i="4"/>
  <c r="M56" i="1"/>
  <c r="L78" i="4"/>
  <c r="O56" i="23"/>
  <c r="P56" i="1"/>
  <c r="C56" i="1"/>
  <c r="U78" i="4"/>
  <c r="D56" i="23"/>
  <c r="B56" i="23"/>
  <c r="P56" i="23"/>
  <c r="I56" i="23"/>
  <c r="J56" i="23"/>
  <c r="B56" i="1"/>
  <c r="G56" i="23"/>
  <c r="F56" i="23"/>
  <c r="E56" i="23"/>
  <c r="H56" i="1"/>
  <c r="Q56" i="23"/>
  <c r="K56" i="1"/>
  <c r="G56" i="1"/>
  <c r="J56" i="1"/>
  <c r="H56" i="23"/>
  <c r="E56" i="1"/>
  <c r="K56" i="23"/>
  <c r="C56" i="23"/>
  <c r="Q46" i="23" l="1"/>
  <c r="Q53" i="23" s="1"/>
  <c r="Q22" i="4"/>
  <c r="E47" i="23"/>
  <c r="E48" i="23" s="1"/>
  <c r="E54" i="23" s="1"/>
  <c r="Q47" i="23"/>
  <c r="Q48" i="23" s="1"/>
  <c r="Q54" i="23" s="1"/>
  <c r="C22" i="4"/>
  <c r="P46" i="23"/>
  <c r="P53" i="23" s="1"/>
  <c r="P47" i="23"/>
  <c r="P48" i="23" s="1"/>
  <c r="P54" i="23" s="1"/>
  <c r="H47" i="23"/>
  <c r="H48" i="23" s="1"/>
  <c r="H54" i="23" s="1"/>
  <c r="Q57" i="23"/>
  <c r="P57" i="23"/>
  <c r="F47" i="23"/>
  <c r="F48" i="23" s="1"/>
  <c r="F54" i="23" s="1"/>
  <c r="Q24" i="4"/>
  <c r="G46" i="23"/>
  <c r="G53" i="23" s="1"/>
  <c r="D57" i="23"/>
  <c r="J57" i="23"/>
  <c r="D47" i="23"/>
  <c r="D48" i="23" s="1"/>
  <c r="D54" i="23" s="1"/>
  <c r="K46" i="23"/>
  <c r="K53" i="23" s="1"/>
  <c r="E46" i="23"/>
  <c r="E53" i="23" s="1"/>
  <c r="J46" i="23"/>
  <c r="J53" i="23" s="1"/>
  <c r="J47" i="23"/>
  <c r="J48" i="23" s="1"/>
  <c r="J54" i="23" s="1"/>
  <c r="L47" i="23"/>
  <c r="L48" i="23" s="1"/>
  <c r="L54" i="23" s="1"/>
  <c r="G47" i="23"/>
  <c r="G48" i="23" s="1"/>
  <c r="G54" i="23" s="1"/>
  <c r="D24" i="4"/>
  <c r="J23" i="4"/>
  <c r="J63" i="4" s="1"/>
  <c r="J64" i="4" s="1"/>
  <c r="I47" i="23"/>
  <c r="I48" i="23" s="1"/>
  <c r="I54" i="23" s="1"/>
  <c r="F46" i="23"/>
  <c r="F53" i="23" s="1"/>
  <c r="I46" i="23"/>
  <c r="I53" i="23" s="1"/>
  <c r="C47" i="23"/>
  <c r="C48" i="23" s="1"/>
  <c r="C54" i="23" s="1"/>
  <c r="D46" i="23"/>
  <c r="D53" i="23" s="1"/>
  <c r="K47" i="23"/>
  <c r="K48" i="23" s="1"/>
  <c r="K54" i="23" s="1"/>
  <c r="H57" i="23"/>
  <c r="C57" i="23"/>
  <c r="G57" i="23"/>
  <c r="I57" i="23"/>
  <c r="F57" i="23"/>
  <c r="E57" i="23"/>
  <c r="L46" i="23"/>
  <c r="L53" i="23" s="1"/>
  <c r="M46" i="23"/>
  <c r="M53" i="23" s="1"/>
  <c r="H28" i="4"/>
  <c r="M47" i="23"/>
  <c r="M48" i="23" s="1"/>
  <c r="M54" i="23" s="1"/>
  <c r="G29" i="4"/>
  <c r="I27" i="4"/>
  <c r="F23" i="4"/>
  <c r="E24" i="4"/>
  <c r="L57" i="23"/>
  <c r="K57" i="23"/>
  <c r="M57" i="23"/>
  <c r="K22" i="4"/>
  <c r="S63" i="4"/>
  <c r="S64" i="4" s="1"/>
  <c r="M46" i="1"/>
  <c r="M53" i="1" s="1"/>
  <c r="M6" i="4"/>
  <c r="K47" i="1"/>
  <c r="K48" i="1" s="1"/>
  <c r="K54" i="1" s="1"/>
  <c r="K46" i="1"/>
  <c r="K53" i="1" s="1"/>
  <c r="J46" i="1"/>
  <c r="J53" i="1" s="1"/>
  <c r="J47" i="1"/>
  <c r="J48" i="1" s="1"/>
  <c r="J54" i="1" s="1"/>
  <c r="F46" i="1"/>
  <c r="F53" i="1" s="1"/>
  <c r="M47" i="1"/>
  <c r="M48" i="1" s="1"/>
  <c r="M54" i="1" s="1"/>
  <c r="L47" i="1"/>
  <c r="L48" i="1" s="1"/>
  <c r="L54" i="1" s="1"/>
  <c r="L46" i="1"/>
  <c r="L53" i="1" s="1"/>
  <c r="J57" i="1"/>
  <c r="M57" i="1"/>
  <c r="K57" i="1"/>
  <c r="L57" i="1"/>
  <c r="P47" i="1"/>
  <c r="P48" i="1" s="1"/>
  <c r="P54" i="1" s="1"/>
  <c r="M7" i="4"/>
  <c r="B6" i="4"/>
  <c r="R6" i="4"/>
  <c r="C6" i="4"/>
  <c r="B22" i="4"/>
  <c r="I6" i="4"/>
  <c r="P7" i="4"/>
  <c r="E6" i="4"/>
  <c r="O6" i="4"/>
  <c r="D6" i="4"/>
  <c r="L63" i="4"/>
  <c r="L64" i="4" s="1"/>
  <c r="H6" i="4"/>
  <c r="F6" i="4"/>
  <c r="G6" i="4"/>
  <c r="Q7" i="4"/>
  <c r="U63" i="4"/>
  <c r="U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S57" i="4"/>
  <c r="S58" i="4" s="1"/>
  <c r="S76" i="4" s="1"/>
  <c r="Q55" i="4"/>
  <c r="V45" i="1"/>
  <c r="O32" i="4"/>
  <c r="Q10" i="4"/>
  <c r="B32" i="4"/>
  <c r="H55" i="4"/>
  <c r="R10" i="4"/>
  <c r="R63" i="4" s="1"/>
  <c r="R64" i="4" s="1"/>
  <c r="O14" i="4"/>
  <c r="P15" i="4"/>
  <c r="V45" i="23"/>
  <c r="B10" i="4"/>
  <c r="A32" i="22"/>
  <c r="H32" i="22" s="1"/>
  <c r="D13" i="28"/>
  <c r="D9" i="28"/>
  <c r="D5" i="28"/>
  <c r="D14" i="28"/>
  <c r="D10" i="28"/>
  <c r="D6" i="28"/>
  <c r="D15" i="28"/>
  <c r="D11" i="28"/>
  <c r="D7" i="28"/>
  <c r="D3" i="28"/>
  <c r="D12" i="28"/>
  <c r="D8" i="28"/>
  <c r="D4" i="28"/>
  <c r="L79" i="4"/>
  <c r="V79" i="4"/>
  <c r="U79" i="4"/>
  <c r="T79" i="4"/>
  <c r="S79" i="4"/>
  <c r="O26" i="4"/>
  <c r="P46" i="1"/>
  <c r="P53" i="1" s="1"/>
  <c r="A37" i="22"/>
  <c r="H37" i="22" s="1"/>
  <c r="U22" i="1"/>
  <c r="M74" i="4"/>
  <c r="I2" i="12" s="1"/>
  <c r="M27" i="1"/>
  <c r="M52" i="1" s="1"/>
  <c r="M22" i="1"/>
  <c r="J52" i="1"/>
  <c r="J74" i="4"/>
  <c r="F2" i="12" s="1"/>
  <c r="J27" i="1"/>
  <c r="J45" i="1"/>
  <c r="A48" i="22"/>
  <c r="H48" i="22" s="1"/>
  <c r="A33" i="22"/>
  <c r="H33" i="22" s="1"/>
  <c r="A43" i="22"/>
  <c r="H43" i="22" s="1"/>
  <c r="A41" i="22"/>
  <c r="H41" i="22" s="1"/>
  <c r="A39" i="22"/>
  <c r="H39" i="22" s="1"/>
  <c r="C55" i="4"/>
  <c r="U22" i="23"/>
  <c r="J22" i="23"/>
  <c r="J52" i="23"/>
  <c r="J22" i="1"/>
  <c r="J27" i="23"/>
  <c r="R22" i="1"/>
  <c r="R22" i="23"/>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C55" i="23"/>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F74" i="4"/>
  <c r="I74" i="4"/>
  <c r="O74" i="4"/>
  <c r="P74" i="4"/>
  <c r="AD2" i="12"/>
  <c r="O78" i="4"/>
  <c r="H78" i="4"/>
  <c r="K78" i="4"/>
  <c r="I78" i="4"/>
  <c r="J78" i="4"/>
  <c r="M78" i="4"/>
  <c r="P78" i="4"/>
  <c r="E78" i="4"/>
  <c r="B78" i="4"/>
  <c r="R78" i="4"/>
  <c r="C78" i="4"/>
  <c r="D78" i="4"/>
  <c r="Q78" i="4"/>
  <c r="F78" i="4"/>
  <c r="G78" i="4"/>
  <c r="J57" i="4" l="1"/>
  <c r="J58" i="4" s="1"/>
  <c r="J76" i="4" s="1"/>
  <c r="M63" i="4"/>
  <c r="M64" i="4" s="1"/>
  <c r="C63" i="4"/>
  <c r="C64" i="4" s="1"/>
  <c r="M56" i="4"/>
  <c r="M75" i="4" s="1"/>
  <c r="I63" i="4"/>
  <c r="I64" i="4" s="1"/>
  <c r="F55" i="23"/>
  <c r="F63" i="4"/>
  <c r="F64" i="4" s="1"/>
  <c r="J56" i="4"/>
  <c r="J75" i="4" s="1"/>
  <c r="F3" i="12" s="1"/>
  <c r="J79" i="4"/>
  <c r="K79" i="4"/>
  <c r="K57" i="4"/>
  <c r="K58" i="4" s="1"/>
  <c r="K76" i="4" s="1"/>
  <c r="G4" i="12" s="1"/>
  <c r="K63" i="4"/>
  <c r="K64" i="4" s="1"/>
  <c r="K56" i="4"/>
  <c r="K75" i="4" s="1"/>
  <c r="G3" i="12" s="1"/>
  <c r="M57" i="4"/>
  <c r="M58" i="4" s="1"/>
  <c r="M76" i="4" s="1"/>
  <c r="I4" i="12" s="1"/>
  <c r="G55" i="1"/>
  <c r="I57" i="4"/>
  <c r="I58" i="4" s="1"/>
  <c r="I76" i="4" s="1"/>
  <c r="M79" i="4"/>
  <c r="V4" i="4"/>
  <c r="V55" i="4" s="1"/>
  <c r="H56" i="4"/>
  <c r="H75" i="4" s="1"/>
  <c r="P55" i="23"/>
  <c r="U55" i="1"/>
  <c r="R55" i="23"/>
  <c r="S55" i="1"/>
  <c r="U55" i="23"/>
  <c r="T55" i="1"/>
  <c r="R55" i="1"/>
  <c r="P55" i="1"/>
  <c r="V55" i="1"/>
  <c r="Q55" i="23"/>
  <c r="Q55" i="1"/>
  <c r="S55" i="23"/>
  <c r="V55" i="23"/>
  <c r="T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H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R80" i="4" s="1"/>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H3" i="12"/>
  <c r="O59" i="1"/>
  <c r="M55" i="1"/>
  <c r="P59" i="1"/>
  <c r="Q59" i="1"/>
  <c r="B65" i="1"/>
  <c r="B64" i="1"/>
  <c r="B55" i="1"/>
  <c r="T27" i="23"/>
  <c r="T52" i="23" s="1"/>
  <c r="T45" i="23"/>
  <c r="T22" i="23"/>
  <c r="J3" i="12"/>
  <c r="I3" i="12"/>
  <c r="T27" i="1"/>
  <c r="T52" i="1" s="1"/>
  <c r="T45" i="1"/>
  <c r="T4" i="4"/>
  <c r="T62" i="4" s="1"/>
  <c r="T22" i="1"/>
  <c r="AA2" i="12" l="1"/>
  <c r="J80" i="4"/>
  <c r="AH2" i="12"/>
  <c r="V62" i="4"/>
  <c r="V74" i="4"/>
  <c r="Z2" i="12" s="1"/>
  <c r="B80" i="4"/>
  <c r="H81" i="4" s="1"/>
  <c r="P75" i="4"/>
  <c r="B5" i="27" s="1"/>
  <c r="O81" i="4"/>
  <c r="AE2" i="12"/>
  <c r="U74" i="4"/>
  <c r="Y2" i="12" s="1"/>
  <c r="U62" i="4"/>
  <c r="B5" i="12"/>
  <c r="B6" i="12"/>
  <c r="B6" i="27"/>
  <c r="R61" i="23"/>
  <c r="U55" i="4"/>
  <c r="F3" i="27"/>
  <c r="V77" i="4"/>
  <c r="U77" i="4"/>
  <c r="O77" i="4"/>
  <c r="S77" i="4"/>
  <c r="Q77" i="4"/>
  <c r="R77" i="4"/>
  <c r="B86" i="4"/>
  <c r="B87" i="4"/>
  <c r="B75" i="4"/>
  <c r="Q61" i="23"/>
  <c r="U61" i="23"/>
  <c r="P61" i="23"/>
  <c r="S61" i="23"/>
  <c r="T61" i="23"/>
  <c r="V61" i="23"/>
  <c r="D61" i="1"/>
  <c r="G61" i="1"/>
  <c r="E61" i="1"/>
  <c r="F61" i="1"/>
  <c r="H61" i="1"/>
  <c r="O3" i="12"/>
  <c r="R3" i="12"/>
  <c r="S3" i="12"/>
  <c r="N3" i="12"/>
  <c r="M3" i="12"/>
  <c r="L3" i="12"/>
  <c r="AC2" i="12"/>
  <c r="S55" i="4"/>
  <c r="S74" i="4"/>
  <c r="W2" i="12" s="1"/>
  <c r="AG2" i="12"/>
  <c r="R55" i="4"/>
  <c r="R74" i="4"/>
  <c r="P3" i="12"/>
  <c r="Q3" i="12"/>
  <c r="K2" i="12"/>
  <c r="K4" i="12" s="1"/>
  <c r="B4" i="27"/>
  <c r="B4" i="12"/>
  <c r="O61" i="1"/>
  <c r="Q61" i="1"/>
  <c r="P61" i="1"/>
  <c r="C61" i="1"/>
  <c r="AB2" i="12"/>
  <c r="AF2" i="12"/>
  <c r="T55" i="4"/>
  <c r="T74" i="4"/>
  <c r="AB4" i="12" l="1"/>
  <c r="AD4" i="12"/>
  <c r="P77" i="4"/>
  <c r="AE4" i="12"/>
  <c r="Z4" i="12"/>
  <c r="W4" i="12"/>
  <c r="AG4" i="12"/>
  <c r="AC4" i="12"/>
  <c r="AH4" i="12"/>
  <c r="AF4" i="12"/>
  <c r="Y4" i="12"/>
  <c r="AA4" i="12"/>
  <c r="I81" i="4"/>
  <c r="F81" i="4"/>
  <c r="G81" i="4"/>
  <c r="D81" i="4"/>
  <c r="E81" i="4"/>
  <c r="C81" i="4"/>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L83" i="4"/>
  <c r="Q5" i="12" s="1"/>
  <c r="V83" i="4"/>
  <c r="T83" i="4"/>
  <c r="M83" i="4"/>
  <c r="R5" i="12" s="1"/>
  <c r="P83" i="4"/>
  <c r="U83" i="4"/>
  <c r="S5" i="12"/>
  <c r="Q83" i="4"/>
  <c r="K83" i="4"/>
  <c r="P5" i="12" s="1"/>
  <c r="J83" i="4"/>
  <c r="R83" i="4"/>
  <c r="S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I83" i="4" l="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G12" i="22" s="1"/>
  <c r="F16" i="22"/>
  <c r="G16" i="22" s="1"/>
  <c r="F22" i="22"/>
  <c r="I22" i="22" s="1"/>
  <c r="J5" i="12"/>
  <c r="F15" i="22"/>
  <c r="G15" i="22" s="1"/>
  <c r="L5" i="12"/>
  <c r="F21" i="22"/>
  <c r="G21" i="22" s="1"/>
  <c r="F5" i="12"/>
  <c r="F24" i="22"/>
  <c r="I24" i="22" s="1"/>
  <c r="F10" i="22"/>
  <c r="K10" i="22" s="1"/>
  <c r="F11" i="22"/>
  <c r="I11" i="22" s="1"/>
  <c r="F13" i="22"/>
  <c r="I13" i="22" s="1"/>
  <c r="F14" i="22"/>
  <c r="K14" i="22" s="1"/>
  <c r="M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I33" i="22"/>
  <c r="M33" i="22" s="1"/>
  <c r="K33" i="22"/>
  <c r="N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K35" i="22"/>
  <c r="N35" i="22" s="1"/>
  <c r="G42" i="22"/>
  <c r="J42" i="22" s="1"/>
  <c r="I42" i="22"/>
  <c r="M42" i="22" s="1"/>
  <c r="K42" i="22"/>
  <c r="N42" i="22" s="1"/>
  <c r="G47" i="22"/>
  <c r="J47" i="22" s="1"/>
  <c r="I47" i="22"/>
  <c r="M47" i="22" s="1"/>
  <c r="K47" i="22"/>
  <c r="N47" i="22" s="1"/>
  <c r="G49" i="22"/>
  <c r="J49" i="22" s="1"/>
  <c r="I49" i="22"/>
  <c r="M49" i="22" s="1"/>
  <c r="K49" i="22"/>
  <c r="N49" i="22" s="1"/>
  <c r="G34" i="22"/>
  <c r="J34" i="22" s="1"/>
  <c r="I34" i="22"/>
  <c r="K34" i="22"/>
  <c r="N34" i="22" s="1"/>
  <c r="G39" i="22"/>
  <c r="J39" i="22" s="1"/>
  <c r="I39" i="22"/>
  <c r="M39" i="22" s="1"/>
  <c r="K39" i="22"/>
  <c r="N39" i="22" s="1"/>
  <c r="G32" i="22"/>
  <c r="J32" i="22" s="1"/>
  <c r="I32" i="22"/>
  <c r="K32" i="22"/>
  <c r="G45" i="22"/>
  <c r="J45" i="22" s="1"/>
  <c r="I45" i="22"/>
  <c r="M45" i="22" s="1"/>
  <c r="K45" i="22"/>
  <c r="N45" i="22" s="1"/>
  <c r="G36" i="22"/>
  <c r="J36" i="22" s="1"/>
  <c r="I36" i="22"/>
  <c r="K36" i="22"/>
  <c r="N36" i="22" s="1"/>
  <c r="G48" i="22"/>
  <c r="J48" i="22" s="1"/>
  <c r="I48" i="22"/>
  <c r="M48" i="22" s="1"/>
  <c r="K48" i="22"/>
  <c r="N48" i="22" s="1"/>
  <c r="G43" i="22"/>
  <c r="J43" i="22" s="1"/>
  <c r="I43" i="22"/>
  <c r="M43" i="22" s="1"/>
  <c r="K43" i="22"/>
  <c r="N43" i="22" s="1"/>
  <c r="L3" i="28"/>
  <c r="M32" i="22" l="1"/>
  <c r="M36" i="22"/>
  <c r="M35" i="22"/>
  <c r="M34" i="22"/>
  <c r="I12" i="22"/>
  <c r="K26" i="22"/>
  <c r="M26" i="22" s="1"/>
  <c r="K12" i="22"/>
  <c r="M12" i="22" s="1"/>
  <c r="G25" i="22"/>
  <c r="K24" i="22"/>
  <c r="M24" i="22" s="1"/>
  <c r="G9" i="22"/>
  <c r="I19" i="22"/>
  <c r="K15" i="22"/>
  <c r="M15" i="22" s="1"/>
  <c r="G14" i="22"/>
  <c r="I15" i="22"/>
  <c r="G13" i="22"/>
  <c r="I25" i="22"/>
  <c r="I10" i="22"/>
  <c r="K18" i="22"/>
  <c r="M18" i="22" s="1"/>
  <c r="K19" i="22"/>
  <c r="M19" i="22" s="1"/>
  <c r="I18" i="22"/>
  <c r="G10" i="22"/>
  <c r="K21" i="22"/>
  <c r="M21" i="22" s="1"/>
  <c r="G22" i="22"/>
  <c r="G11" i="22"/>
  <c r="K16" i="22"/>
  <c r="M16" i="22" s="1"/>
  <c r="I14" i="22"/>
  <c r="G24" i="22"/>
  <c r="I7" i="22"/>
  <c r="G3" i="28" s="1"/>
  <c r="G7" i="22"/>
  <c r="I17" i="22"/>
  <c r="I26" i="22"/>
  <c r="G17" i="22"/>
  <c r="K13" i="22"/>
  <c r="M13" i="22" s="1"/>
  <c r="K9" i="22"/>
  <c r="M9" i="22" s="1"/>
  <c r="M10" i="22"/>
  <c r="N10" i="22"/>
  <c r="I16" i="22"/>
  <c r="G20" i="22"/>
  <c r="K8" i="22"/>
  <c r="M8" i="22" s="1"/>
  <c r="K23" i="22"/>
  <c r="M23" i="22" s="1"/>
  <c r="I21" i="22"/>
  <c r="K22" i="22"/>
  <c r="M22" i="22" s="1"/>
  <c r="I8" i="22"/>
  <c r="I23" i="22"/>
  <c r="K20" i="22"/>
  <c r="M20" i="22" s="1"/>
  <c r="K11" i="22"/>
  <c r="M11" i="22" s="1"/>
  <c r="M7" i="22"/>
  <c r="H3" i="28"/>
  <c r="N7" i="22"/>
  <c r="N25" i="22"/>
  <c r="N17" i="22"/>
  <c r="N14"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l="1"/>
  <c r="N26" i="22"/>
  <c r="N12" i="22"/>
  <c r="N24" i="22"/>
  <c r="N16" i="22"/>
  <c r="N15" i="22"/>
  <c r="N19" i="22"/>
  <c r="G2" i="28"/>
  <c r="N18" i="22"/>
  <c r="N13" i="22"/>
  <c r="N21" i="22"/>
  <c r="N20" i="22"/>
  <c r="N8"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<sst xmlns="http://schemas.openxmlformats.org/spreadsheetml/2006/main" count="7818" uniqueCount="4269">
  <si>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</si>
  <si>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</si>
  <si>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</si>
  <si>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</si>
  <si>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</si>
  <si>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</si>
  <si>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</si>
  <si>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</si>
  <si>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</si>
  <si>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</si>
  <si>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</si>
  <si>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</si>
  <si>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</si>
  <si>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</si>
  <si>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</si>
  <si>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</si>
  <si>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</si>
  <si>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</si>
  <si>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</si>
  <si>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</si>
  <si>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</si>
  <si>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</si>
  <si>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</si>
  <si>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</si>
  <si>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</si>
  <si>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</si>
  <si>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</si>
  <si>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</si>
  <si>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</si>
  <si>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</si>
  <si>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</si>
  <si>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</si>
  <si>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</si>
  <si>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</si>
  <si>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</si>
  <si>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</si>
  <si>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</si>
  <si>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</si>
  <si>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</si>
  <si>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</si>
  <si>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</si>
  <si>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</si>
  <si>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</si>
  <si>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</si>
  <si>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</si>
  <si>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</si>
  <si>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</si>
  <si>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</si>
  <si>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</si>
  <si>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</si>
  <si>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</si>
  <si>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</si>
  <si>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</si>
  <si>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</si>
  <si>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</si>
  <si>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</si>
  <si>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</si>
  <si>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</si>
  <si>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</si>
  <si>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</si>
  <si>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</si>
  <si>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</si>
  <si>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</si>
  <si>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</si>
  <si>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</si>
  <si>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</si>
  <si>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</si>
  <si>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</si>
  <si>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</si>
  <si>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</si>
  <si>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</si>
  <si>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</si>
  <si>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</si>
  <si>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</si>
  <si>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</si>
  <si>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</si>
  <si>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</si>
  <si>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</si>
  <si>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</si>
  <si>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</si>
  <si>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</si>
  <si>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</si>
  <si>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</si>
  <si>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</si>
  <si>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</si>
  <si>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</si>
  <si>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</si>
  <si>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</si>
  <si>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</si>
  <si>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</si>
  <si>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</si>
  <si>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</si>
  <si>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</si>
  <si>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</si>
  <si>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</si>
  <si>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</si>
  <si>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</si>
  <si>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</si>
  <si>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</si>
  <si>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</si>
  <si>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</si>
  <si>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</si>
  <si>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</si>
  <si>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</si>
  <si>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</si>
  <si>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</si>
  <si>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</si>
  <si>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</si>
  <si>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</si>
  <si>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</si>
  <si>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</si>
  <si>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</si>
  <si>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</si>
  <si>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</si>
  <si>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</si>
  <si>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</si>
  <si>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</si>
  <si>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</si>
  <si>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</si>
  <si>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</si>
  <si>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</si>
  <si>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</si>
  <si>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</si>
  <si>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</si>
  <si>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</si>
  <si>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</si>
  <si>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</si>
  <si>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</si>
  <si>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</si>
  <si>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</si>
  <si>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</si>
  <si>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</si>
  <si>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</si>
  <si>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</si>
  <si>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</si>
  <si>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</si>
  <si>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</si>
  <si>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</si>
  <si>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</si>
  <si>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</si>
  <si>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</si>
  <si>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</si>
  <si>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</si>
  <si>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</si>
  <si>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</si>
  <si>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</si>
  <si>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</si>
  <si>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</si>
  <si>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</si>
  <si>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</si>
  <si>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</si>
  <si>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</si>
  <si>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</si>
  <si>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</si>
  <si>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</si>
  <si>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</si>
  <si>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</si>
  <si>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</si>
  <si>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</si>
  <si>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</si>
  <si>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</si>
  <si>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</si>
  <si>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</si>
  <si>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</si>
  <si>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</si>
  <si>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</si>
  <si>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 xml:space="preserve">F:\images\20210225\plaque 1/@01 Evian + 0.2% DMSO/A1_01.tif </t>
  </si>
  <si>
    <t xml:space="preserve"> 3979.9006 </t>
  </si>
  <si>
    <t xml:space="preserve"> 68.288 </t>
  </si>
  <si>
    <t xml:space="preserve">F:\images\20210225\plaque 1/@01 Evian + 0.2% DMSO/A1_02.tif </t>
  </si>
  <si>
    <t xml:space="preserve"> 562.3773 </t>
  </si>
  <si>
    <t xml:space="preserve"> 63.3077 </t>
  </si>
  <si>
    <t xml:space="preserve">F:\images\20210225\plaque 1/@01 Evian + 0.2% DMSO/A1_03.tif </t>
  </si>
  <si>
    <t xml:space="preserve"> 973.3453 </t>
  </si>
  <si>
    <t xml:space="preserve"> 65.3333 </t>
  </si>
  <si>
    <t xml:space="preserve">F:\images\20210225\plaque 1/@01 Evian + 0.2% DMSO/B1_01.tif </t>
  </si>
  <si>
    <t xml:space="preserve"> 994.9752 </t>
  </si>
  <si>
    <t xml:space="preserve">F:\images\20210225\plaque 1/@01 Evian + 0.2% DMSO/B1_02.tif </t>
  </si>
  <si>
    <t xml:space="preserve"> 173.0392 </t>
  </si>
  <si>
    <t xml:space="preserve"> 65.5 </t>
  </si>
  <si>
    <t xml:space="preserve">F:\images\20210225\plaque 1/@01 Evian + 0.2% DMSO/B1_03.tif </t>
  </si>
  <si>
    <t xml:space="preserve"> 410.968 </t>
  </si>
  <si>
    <t xml:space="preserve"> 62.4211 </t>
  </si>
  <si>
    <t xml:space="preserve">F:\images\20210225\plaque 1/@01 Evian + 0.2% DMSO/C1_01.tif </t>
  </si>
  <si>
    <t xml:space="preserve"> 346.0783 </t>
  </si>
  <si>
    <t xml:space="preserve"> 64.625 </t>
  </si>
  <si>
    <t xml:space="preserve">F:\images\20210225\plaque 1/@01 Evian + 0.2% DMSO/C1_02.tif </t>
  </si>
  <si>
    <t xml:space="preserve"> 324.4484 </t>
  </si>
  <si>
    <t xml:space="preserve"> 62.0667 </t>
  </si>
  <si>
    <t xml:space="preserve">F:\images\20210225\plaque 1/@01 Evian + 0.2% DMSO/C1_03.tif </t>
  </si>
  <si>
    <t xml:space="preserve"> 302.8185 </t>
  </si>
  <si>
    <t xml:space="preserve"> 63.8571 </t>
  </si>
  <si>
    <t xml:space="preserve">F:\images\20210225\plaque 1/@01 Evian + 0.2% DMSO/D1_01.tif </t>
  </si>
  <si>
    <t xml:space="preserve"> 65.8444 </t>
  </si>
  <si>
    <t xml:space="preserve">F:\images\20210225\plaque 1/@01 Evian + 0.2% DMSO/D1_02.tif </t>
  </si>
  <si>
    <t xml:space="preserve"> 1297.7937 </t>
  </si>
  <si>
    <t xml:space="preserve"> 64.8333 </t>
  </si>
  <si>
    <t xml:space="preserve">F:\images\20210225\plaque 1/@01 Evian + 0.2% DMSO/D1_03.tif </t>
  </si>
  <si>
    <t xml:space="preserve"> 2379.2884 </t>
  </si>
  <si>
    <t xml:space="preserve"> 65.3636 </t>
  </si>
  <si>
    <t xml:space="preserve">F:\images\20210225\plaque 1/@01 Evian + 0.2% DMSO/E1_01.tif </t>
  </si>
  <si>
    <t xml:space="preserve"> 1232.904 </t>
  </si>
  <si>
    <t xml:space="preserve"> 65.5439 </t>
  </si>
  <si>
    <t xml:space="preserve">F:\images\20210225\plaque 1/@01 Evian + 0.2% DMSO/E1_02.tif </t>
  </si>
  <si>
    <t xml:space="preserve"> 86.5196 </t>
  </si>
  <si>
    <t xml:space="preserve">F:\images\20210225\plaque 1/@01 Evian + 0.2% DMSO/E1_03.tif </t>
  </si>
  <si>
    <t xml:space="preserve"> 194.6691 </t>
  </si>
  <si>
    <t xml:space="preserve"> 63.8889 </t>
  </si>
  <si>
    <t xml:space="preserve">F:\images\20210225\plaque 1/@01 Evian + 0.2% DMSO/F1_01.tif </t>
  </si>
  <si>
    <t xml:space="preserve"> 5191.1747 </t>
  </si>
  <si>
    <t xml:space="preserve"> 68.325 </t>
  </si>
  <si>
    <t xml:space="preserve">F:\images\20210225\plaque 1/@01 Evian + 0.2% DMSO/F1_02.tif </t>
  </si>
  <si>
    <t xml:space="preserve"> 5429.1036 </t>
  </si>
  <si>
    <t xml:space="preserve"> 70.1514 </t>
  </si>
  <si>
    <t xml:space="preserve">F:\images\20210225\plaque 1/@01 Evian + 0.2% DMSO/F1_03.tif </t>
  </si>
  <si>
    <t xml:space="preserve"> 2876.776 </t>
  </si>
  <si>
    <t xml:space="preserve"> 65.6692 </t>
  </si>
  <si>
    <t xml:space="preserve">F:\images\20210225\plaque 1/@01 Evian + 0.2% DMSO/G1_01.tif </t>
  </si>
  <si>
    <t xml:space="preserve"> 670.5267 </t>
  </si>
  <si>
    <t xml:space="preserve"> 65.0645 </t>
  </si>
  <si>
    <t xml:space="preserve">F:\images\20210225\plaque 1/@01 Evian + 0.2% DMSO/G1_02.tif </t>
  </si>
  <si>
    <t xml:space="preserve"> 65.4286 </t>
  </si>
  <si>
    <t xml:space="preserve">F:\images\20210225\plaque 1/@01 Evian + 0.2% DMSO/G1_03.tif </t>
  </si>
  <si>
    <t xml:space="preserve"> 432.5979 </t>
  </si>
  <si>
    <t xml:space="preserve"> 62.7 </t>
  </si>
  <si>
    <t xml:space="preserve">F:\images\20210225\plaque 1/@01 Evian + 0.2% DMSO/H1_01.tif </t>
  </si>
  <si>
    <t xml:space="preserve"> 1081.4947 </t>
  </si>
  <si>
    <t xml:space="preserve"> 64.14 </t>
  </si>
  <si>
    <t xml:space="preserve">F:\images\20210225\plaque 1/@01 Evian + 0.2% DMSO/H1_02.tif </t>
  </si>
  <si>
    <t xml:space="preserve"> 1427.573 </t>
  </si>
  <si>
    <t xml:space="preserve"> 66.0455 </t>
  </si>
  <si>
    <t xml:space="preserve">F:\images\20210225\plaque 1/@01 Evian + 0.2% DMSO/H1_03.tif </t>
  </si>
  <si>
    <t xml:space="preserve"> 1276.1638 </t>
  </si>
  <si>
    <t xml:space="preserve"> 64.339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</si>
  <si>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</si>
  <si>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</si>
  <si>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</si>
  <si>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</si>
  <si>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</si>
  <si>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</si>
  <si>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</si>
  <si>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F:\images\20210225\plaque 1/@01 Evian + 0.2% DMSO/ </t>
  </si>
  <si>
    <t xml:space="preserve"> 64.864 </t>
  </si>
  <si>
    <t xml:space="preserve"> 2.1314 </t>
  </si>
  <si>
    <t xml:space="preserve"> 91518.6667 </t>
  </si>
  <si>
    <t xml:space="preserve"> 105580.312 </t>
  </si>
  <si>
    <t xml:space="preserve">file name </t>
  </si>
  <si>
    <t xml:space="preserve">F:\images\20210225\plaque 1/@02 EE2 33.8/A2_01.tif </t>
  </si>
  <si>
    <t xml:space="preserve"> 3677.0821 </t>
  </si>
  <si>
    <t xml:space="preserve"> 67.0059 </t>
  </si>
  <si>
    <t xml:space="preserve">F:\images\20210225\plaque 1/@02 EE2 33.8/A2_02.tif </t>
  </si>
  <si>
    <t xml:space="preserve"> 497.4876 </t>
  </si>
  <si>
    <t xml:space="preserve"> 62.913 </t>
  </si>
  <si>
    <t xml:space="preserve">F:\images\20210225\plaque 1/@02 EE2 33.8/A2_03.tif </t>
  </si>
  <si>
    <t xml:space="preserve"> 1600.6122 </t>
  </si>
  <si>
    <t xml:space="preserve"> 65.4595 </t>
  </si>
  <si>
    <t xml:space="preserve">F:\images\20210225\plaque 1/@02 EE2 33.8/B2_01.tif </t>
  </si>
  <si>
    <t xml:space="preserve"> 8132.8404 </t>
  </si>
  <si>
    <t xml:space="preserve"> 72.3537 </t>
  </si>
  <si>
    <t xml:space="preserve">F:\images\20210225\plaque 1/@02 EE2 33.8/B2_02.tif </t>
  </si>
  <si>
    <t xml:space="preserve"> 6878.3065 </t>
  </si>
  <si>
    <t xml:space="preserve"> 76.4245 </t>
  </si>
  <si>
    <t xml:space="preserve">F:\images\20210225\plaque 1/@02 EE2 33.8/B2_03.tif </t>
  </si>
  <si>
    <t xml:space="preserve">F:\images\20210225\plaque 1/@02 EE2 33.8/C2_01.tif </t>
  </si>
  <si>
    <t xml:space="preserve"> 5385.8438 </t>
  </si>
  <si>
    <t xml:space="preserve"> 67.1245 </t>
  </si>
  <si>
    <t xml:space="preserve">F:\images\20210225\plaque 1/@02 EE2 33.8/C2_02.tif </t>
  </si>
  <si>
    <t xml:space="preserve"> 1816.9111 </t>
  </si>
  <si>
    <t xml:space="preserve"> 64.7619 </t>
  </si>
  <si>
    <t xml:space="preserve">F:\images\20210225\plaque 1/@02 EE2 33.8/C2_03.tif </t>
  </si>
  <si>
    <t xml:space="preserve"> 65.2281 </t>
  </si>
  <si>
    <t xml:space="preserve">F:\images\20210225\plaque 1/@02 EE2 33.8/D2_01.tif </t>
  </si>
  <si>
    <t xml:space="preserve"> 6099.6303 </t>
  </si>
  <si>
    <t xml:space="preserve"> 72.766 </t>
  </si>
  <si>
    <t xml:space="preserve">F:\images\20210225\plaque 1/@02 EE2 33.8/D2_02.tif </t>
  </si>
  <si>
    <t xml:space="preserve"> 6402.4488 </t>
  </si>
  <si>
    <t xml:space="preserve"> 73.7297 </t>
  </si>
  <si>
    <t xml:space="preserve">F:\images\20210225\plaque 1/@02 EE2 33.8/D2_03.tif </t>
  </si>
  <si>
    <t xml:space="preserve"> 475.8577 </t>
  </si>
  <si>
    <t xml:space="preserve"> 63.0909 </t>
  </si>
  <si>
    <t xml:space="preserve">F:\images\20210225\plaque 1/@02 EE2 33.8/E2_01.tif </t>
  </si>
  <si>
    <t xml:space="preserve"> 5775.1819 </t>
  </si>
  <si>
    <t xml:space="preserve"> 66.3895 </t>
  </si>
  <si>
    <t xml:space="preserve">F:\images\20210225\plaque 1/@02 EE2 33.8/E2_02.tif </t>
  </si>
  <si>
    <t xml:space="preserve"> 7548.8332 </t>
  </si>
  <si>
    <t xml:space="preserve"> 68.5387 </t>
  </si>
  <si>
    <t>F:\images\20210225\plaque 1/@02 EE2 33.8/E2_03- exclu.tif</t>
  </si>
  <si>
    <t xml:space="preserve">F:\images\20210225\plaque 1/@02 EE2 33.8/F2_01.tif </t>
  </si>
  <si>
    <t xml:space="preserve"> 7310.9044 </t>
  </si>
  <si>
    <t xml:space="preserve"> 69.7663 </t>
  </si>
  <si>
    <t xml:space="preserve">F:\images\20210225\plaque 1/@02 EE2 33.8/F2_02.tif </t>
  </si>
  <si>
    <t xml:space="preserve"> 6142.8901 </t>
  </si>
  <si>
    <t xml:space="preserve"> 68.662 </t>
  </si>
  <si>
    <t xml:space="preserve">F:\images\20210225\plaque 1/@02 EE2 33.8/F2_03.tif </t>
  </si>
  <si>
    <t xml:space="preserve"> 4499.0181 </t>
  </si>
  <si>
    <t xml:space="preserve"> 68.0817 </t>
  </si>
  <si>
    <t xml:space="preserve">F:\images\20210225\plaque 1/@02 EE2 33.8/G2_01.tif </t>
  </si>
  <si>
    <t xml:space="preserve"> 65.4231 </t>
  </si>
  <si>
    <t xml:space="preserve">F:\images\20210225\plaque 1/@02 EE2 33.8/G2_02.tif </t>
  </si>
  <si>
    <t xml:space="preserve"> 627.2669 </t>
  </si>
  <si>
    <t xml:space="preserve"> 66.8276 </t>
  </si>
  <si>
    <t xml:space="preserve">F:\images\20210225\plaque 1/@02 EE2 33.8/G2_03.tif </t>
  </si>
  <si>
    <t xml:space="preserve"> 367.7082 </t>
  </si>
  <si>
    <t xml:space="preserve"> 64.1176 </t>
  </si>
  <si>
    <t xml:space="preserve">F:\images\20210225\plaque 1/@02 EE2 33.8/H2_01.tif </t>
  </si>
  <si>
    <t xml:space="preserve"> 63.4839 </t>
  </si>
  <si>
    <t xml:space="preserve">F:\images\20210225\plaque 1/@02 EE2 33.8/H2_02.tif </t>
  </si>
  <si>
    <t xml:space="preserve"> 713.7865 </t>
  </si>
  <si>
    <t xml:space="preserve"> 61.7879 </t>
  </si>
  <si>
    <t xml:space="preserve">F:\images\20210225\plaque 1/@02 EE2 33.8/H2_03.tif </t>
  </si>
  <si>
    <t xml:space="preserve"> 62.6538 </t>
  </si>
  <si>
    <t xml:space="preserve">F:\images\20210225\plaque 1/@02 EE2 33.8/ </t>
  </si>
  <si>
    <t xml:space="preserve"> 67.0188 </t>
  </si>
  <si>
    <t xml:space="preserve"> 3.7984 </t>
  </si>
  <si>
    <t xml:space="preserve"> 239773.667 </t>
  </si>
  <si>
    <t xml:space="preserve"> 202116.783 </t>
  </si>
  <si>
    <t xml:space="preserve">F:\images\20210225\plaque 1/@03 EE2 50.6/A3_01.tif </t>
  </si>
  <si>
    <t xml:space="preserve"> 6921.5663 </t>
  </si>
  <si>
    <t xml:space="preserve"> 67.5875 </t>
  </si>
  <si>
    <t xml:space="preserve">F:\images\20210225\plaque 1/@03 EE2 50.6/A3_02.tif </t>
  </si>
  <si>
    <t xml:space="preserve"> 1535.7225 </t>
  </si>
  <si>
    <t xml:space="preserve"> 62.662 </t>
  </si>
  <si>
    <t xml:space="preserve">F:\images\20210225\plaque 1/@03 EE2 50.6/A3_03.tif </t>
  </si>
  <si>
    <t xml:space="preserve"> 63.5652 </t>
  </si>
  <si>
    <t xml:space="preserve">F:\images\20210225\plaque 1/@03 EE2 50.6/B3_01.tif </t>
  </si>
  <si>
    <t xml:space="preserve"> 3806.8615 </t>
  </si>
  <si>
    <t xml:space="preserve"> 67.5114 </t>
  </si>
  <si>
    <t xml:space="preserve">F:\images\20210225\plaque 1/@03 EE2 50.6/B3_02.tif </t>
  </si>
  <si>
    <t xml:space="preserve"> 63.2353 </t>
  </si>
  <si>
    <t xml:space="preserve">F:\images\20210225\plaque 1/@03 EE2 50.6/B3_03.tif </t>
  </si>
  <si>
    <t xml:space="preserve"> 3222.8543 </t>
  </si>
  <si>
    <t xml:space="preserve"> 65.2081 </t>
  </si>
  <si>
    <t xml:space="preserve">F:\images\20210225\plaque 1/@03 EE2 50.6/C3_01.tif </t>
  </si>
  <si>
    <t xml:space="preserve"> 5320.9541 </t>
  </si>
  <si>
    <t xml:space="preserve"> 66.1341 </t>
  </si>
  <si>
    <t xml:space="preserve">F:\images\20210225\plaque 1/@03 EE2 50.6/C3_02.tif </t>
  </si>
  <si>
    <t xml:space="preserve"> 1946.6905 </t>
  </si>
  <si>
    <t xml:space="preserve"> 63.5111 </t>
  </si>
  <si>
    <t xml:space="preserve">F:\images\20210225\plaque 1/@03 EE2 50.6/C3_03.tif </t>
  </si>
  <si>
    <t xml:space="preserve"> 6294.2993 </t>
  </si>
  <si>
    <t xml:space="preserve"> 68.6014 </t>
  </si>
  <si>
    <t xml:space="preserve">F:\images\20210225\plaque 1/@03 EE2 50.6/D3_01.tif </t>
  </si>
  <si>
    <t xml:space="preserve"> 1665.5019 </t>
  </si>
  <si>
    <t xml:space="preserve"> 65.026 </t>
  </si>
  <si>
    <t xml:space="preserve">F:\images\20210225\plaque 1/@03 EE2 50.6/D3_02.tif </t>
  </si>
  <si>
    <t xml:space="preserve"> 778.6762 </t>
  </si>
  <si>
    <t xml:space="preserve"> 65.9167 </t>
  </si>
  <si>
    <t xml:space="preserve">F:\images\20210225\plaque 1/@03 EE2 50.6/D3_03.tif </t>
  </si>
  <si>
    <t xml:space="preserve"> 886.8257 </t>
  </si>
  <si>
    <t xml:space="preserve"> 67.8049 </t>
  </si>
  <si>
    <t xml:space="preserve">F:\images\20210225\plaque 1/@03 EE2 50.6/E3_01.tif </t>
  </si>
  <si>
    <t xml:space="preserve"> 13994.5418 </t>
  </si>
  <si>
    <t xml:space="preserve"> 65.456 </t>
  </si>
  <si>
    <t xml:space="preserve">F:\images\20210225\plaque 1/@03 EE2 50.6/E3_02.tif </t>
  </si>
  <si>
    <t xml:space="preserve"> 10966.3566 </t>
  </si>
  <si>
    <t xml:space="preserve"> 64.4694 </t>
  </si>
  <si>
    <t xml:space="preserve">F:\images\20210225\plaque 1/@03 EE2 50.6/E3_03.tif </t>
  </si>
  <si>
    <t xml:space="preserve"> 5061.3953 </t>
  </si>
  <si>
    <t xml:space="preserve"> 63.8718 </t>
  </si>
  <si>
    <t xml:space="preserve">F:\images\20210225\plaque 1/@03 EE2 50.6/F3_01.tif </t>
  </si>
  <si>
    <t xml:space="preserve">F:\images\20210225\plaque 1/@03 EE2 50.6/F3_02.tif </t>
  </si>
  <si>
    <t xml:space="preserve"> 1254.5339 </t>
  </si>
  <si>
    <t xml:space="preserve"> 67.9828 </t>
  </si>
  <si>
    <t xml:space="preserve">F:\images\20210225\plaque 1/@03 EE2 50.6/F3_03.tif </t>
  </si>
  <si>
    <t xml:space="preserve"> 2833.5162 </t>
  </si>
  <si>
    <t xml:space="preserve"> 64.1985 </t>
  </si>
  <si>
    <t xml:space="preserve">F:\images\20210225\plaque 1/@03 EE2 50.6/G3_01.tif </t>
  </si>
  <si>
    <t xml:space="preserve"> 1730.3916 </t>
  </si>
  <si>
    <t xml:space="preserve"> 68.025 </t>
  </si>
  <si>
    <t xml:space="preserve">F:\images\20210225\plaque 1/@03 EE2 50.6/G3_02.tif </t>
  </si>
  <si>
    <t xml:space="preserve">F:\images\20210225\plaque 1/@03 EE2 50.6/G3_03.tif </t>
  </si>
  <si>
    <t xml:space="preserve"> 1059.8648 </t>
  </si>
  <si>
    <t xml:space="preserve"> 65.5102 </t>
  </si>
  <si>
    <t xml:space="preserve">F:\images\20210225\plaque 1/@03 EE2 50.6/H3_01.tif </t>
  </si>
  <si>
    <t xml:space="preserve"> 7181.125 </t>
  </si>
  <si>
    <t xml:space="preserve"> 73.1084 </t>
  </si>
  <si>
    <t xml:space="preserve">F:\images\20210225\plaque 1/@03 EE2 50.6/H3_02.tif </t>
  </si>
  <si>
    <t xml:space="preserve"> 6943.1962 </t>
  </si>
  <si>
    <t xml:space="preserve"> 72.8941 </t>
  </si>
  <si>
    <t xml:space="preserve">F:\images\20210225\plaque 1/@03 EE2 50.6/H3_03.tif </t>
  </si>
  <si>
    <t xml:space="preserve"> 5039.7654 </t>
  </si>
  <si>
    <t xml:space="preserve"> 68.4077 </t>
  </si>
  <si>
    <t xml:space="preserve">F:\images\20210225\plaque 1/@03 EE2 50.6/ </t>
  </si>
  <si>
    <t xml:space="preserve"> 66.3828 </t>
  </si>
  <si>
    <t xml:space="preserve"> 2.6995 </t>
  </si>
  <si>
    <t xml:space="preserve"> 256353.875 </t>
  </si>
  <si>
    <t xml:space="preserve"> 235214.616 </t>
  </si>
  <si>
    <t xml:space="preserve">F:\images\20210225\plaque 1/@04 EE2 76/A4_01.tif </t>
  </si>
  <si>
    <t xml:space="preserve"> 2682.1069 </t>
  </si>
  <si>
    <t xml:space="preserve"> 64.5968 </t>
  </si>
  <si>
    <t xml:space="preserve">F:\images\20210225\plaque 1/@04 EE2 76/A4_02.tif </t>
  </si>
  <si>
    <t xml:space="preserve"> 62.3636 </t>
  </si>
  <si>
    <t xml:space="preserve">F:\images\20210225\plaque 1/@04 EE2 76/A4_03.tif </t>
  </si>
  <si>
    <t xml:space="preserve"> 2054.84 </t>
  </si>
  <si>
    <t xml:space="preserve"> 64.7684 </t>
  </si>
  <si>
    <t xml:space="preserve">F:\images\20210225\plaque 1/@04 EE2 76/B4_01.tif </t>
  </si>
  <si>
    <t xml:space="preserve"> 9452.264 </t>
  </si>
  <si>
    <t xml:space="preserve"> 65.9359 </t>
  </si>
  <si>
    <t xml:space="preserve">F:\images\20210225\plaque 1/@04 EE2 76/B4_02.tif </t>
  </si>
  <si>
    <t xml:space="preserve"> 5948.221 </t>
  </si>
  <si>
    <t xml:space="preserve"> 64.8982 </t>
  </si>
  <si>
    <t xml:space="preserve">F:\images\20210225\plaque 1/@04 EE2 76/B4_03.tif </t>
  </si>
  <si>
    <t xml:space="preserve"> 9928.1216 </t>
  </si>
  <si>
    <t xml:space="preserve"> 65.5817 </t>
  </si>
  <si>
    <t xml:space="preserve">F:\images\20210225\plaque 1/@04 EE2 76/C4_01.tif </t>
  </si>
  <si>
    <t xml:space="preserve"> 25588.1653 </t>
  </si>
  <si>
    <t xml:space="preserve"> 66.885 </t>
  </si>
  <si>
    <t xml:space="preserve">F:\images\20210225\plaque 1/@04 EE2 76/C4_02.tif </t>
  </si>
  <si>
    <t xml:space="preserve"> 25242.087 </t>
  </si>
  <si>
    <t xml:space="preserve"> 67.0968 </t>
  </si>
  <si>
    <t xml:space="preserve">F:\images\20210225\plaque 1/@04 EE2 76/C4_03.tif </t>
  </si>
  <si>
    <t xml:space="preserve"> 26842.6992 </t>
  </si>
  <si>
    <t xml:space="preserve"> 66.8985 </t>
  </si>
  <si>
    <t xml:space="preserve">F:\images\20210225\plaque 1/@04 EE2 76/D4_01.tif </t>
  </si>
  <si>
    <t xml:space="preserve"> 63.2712 </t>
  </si>
  <si>
    <t xml:space="preserve">F:\images\20210225\plaque 1/@04 EE2 76/D4_02.tif </t>
  </si>
  <si>
    <t xml:space="preserve"> 64.2222 </t>
  </si>
  <si>
    <t xml:space="preserve">F:\images\20210225\plaque 1/@04 EE2 76/D4_03.tif </t>
  </si>
  <si>
    <t xml:space="preserve"> 1016.605 </t>
  </si>
  <si>
    <t xml:space="preserve"> 62.4894 </t>
  </si>
  <si>
    <t xml:space="preserve">F:\images\20210225\plaque 1/@04 EE2 76/E4_01.tif </t>
  </si>
  <si>
    <t xml:space="preserve"> 28508.2011 </t>
  </si>
  <si>
    <t xml:space="preserve"> 67.1153 </t>
  </si>
  <si>
    <t xml:space="preserve">F:\images\20210225\plaque 1/@04 EE2 76/E4_02.tif </t>
  </si>
  <si>
    <t xml:space="preserve"> 25955.8736 </t>
  </si>
  <si>
    <t xml:space="preserve"> 66.2475 </t>
  </si>
  <si>
    <t xml:space="preserve">F:\images\20210225\plaque 1/@04 EE2 76/E4_03.tif </t>
  </si>
  <si>
    <t xml:space="preserve"> 27383.4466 </t>
  </si>
  <si>
    <t xml:space="preserve"> 66.6754 </t>
  </si>
  <si>
    <t xml:space="preserve">F:\images\20210225\plaque 1/@04 EE2 76/F4_01.tif </t>
  </si>
  <si>
    <t xml:space="preserve"> 16395.4601 </t>
  </si>
  <si>
    <t xml:space="preserve"> 65.0092 </t>
  </si>
  <si>
    <t xml:space="preserve">F:\images\20210225\plaque 1/@04 EE2 76/F4_02.tif </t>
  </si>
  <si>
    <t xml:space="preserve"> 18212.3713 </t>
  </si>
  <si>
    <t xml:space="preserve"> 65.962 </t>
  </si>
  <si>
    <t xml:space="preserve">F:\images\20210225\plaque 1/@04 EE2 76/F4_03.tif </t>
  </si>
  <si>
    <t xml:space="preserve"> 10079.5309 </t>
  </si>
  <si>
    <t xml:space="preserve"> 64.3948 </t>
  </si>
  <si>
    <t xml:space="preserve">F:\images\20210225\plaque 1/@04 EE2 76/G4_01.tif </t>
  </si>
  <si>
    <t xml:space="preserve"> 14362.25 </t>
  </si>
  <si>
    <t xml:space="preserve"> 68.8825 </t>
  </si>
  <si>
    <t xml:space="preserve">F:\images\20210225\plaque 1/@04 EE2 76/G4_02.tif </t>
  </si>
  <si>
    <t xml:space="preserve"> 18428.6702 </t>
  </si>
  <si>
    <t xml:space="preserve"> 68.7653 </t>
  </si>
  <si>
    <t xml:space="preserve">F:\images\20210225\plaque 1/@04 EE2 76/G4_03.tif </t>
  </si>
  <si>
    <t xml:space="preserve"> 17325.5456 </t>
  </si>
  <si>
    <t xml:space="preserve"> 69.578 </t>
  </si>
  <si>
    <t xml:space="preserve">F:\images\20210225\plaque 1/@04 EE2 76/H4_01.tif </t>
  </si>
  <si>
    <t xml:space="preserve"> 4996.5057 </t>
  </si>
  <si>
    <t xml:space="preserve"> 64.7359 </t>
  </si>
  <si>
    <t xml:space="preserve">F:\images\20210225\plaque 1/@04 EE2 76/H4_02.tif </t>
  </si>
  <si>
    <t xml:space="preserve"> 6315.9292 </t>
  </si>
  <si>
    <t xml:space="preserve"> 63.524 </t>
  </si>
  <si>
    <t xml:space="preserve">F:\images\20210225\plaque 1/@04 EE2 76/H4_03.tif </t>
  </si>
  <si>
    <t xml:space="preserve"> 4174.5697 </t>
  </si>
  <si>
    <t xml:space="preserve"> 63.7565 </t>
  </si>
  <si>
    <t xml:space="preserve">F:\images\20210225\plaque 1/@04 EE2 76/ </t>
  </si>
  <si>
    <t xml:space="preserve"> 65.5689 </t>
  </si>
  <si>
    <t xml:space="preserve"> 1.936 </t>
  </si>
  <si>
    <t xml:space="preserve"> 846214.542 </t>
  </si>
  <si>
    <t xml:space="preserve"> 665927.785 </t>
  </si>
  <si>
    <t xml:space="preserve">F:\images\20210225\plaque 1/@05 EE2 114/A5_01.tif </t>
  </si>
  <si>
    <t xml:space="preserve"> 21197.2967 </t>
  </si>
  <si>
    <t xml:space="preserve"> 67.3163 </t>
  </si>
  <si>
    <t xml:space="preserve">F:\images\20210225\plaque 1/@05 EE2 114/A5_02.tif </t>
  </si>
  <si>
    <t xml:space="preserve"> 19510.165 </t>
  </si>
  <si>
    <t xml:space="preserve"> 67.5155 </t>
  </si>
  <si>
    <t xml:space="preserve">F:\images\20210225\plaque 1/@05 EE2 114/A5_03.tif </t>
  </si>
  <si>
    <t xml:space="preserve"> 13064.4564 </t>
  </si>
  <si>
    <t xml:space="preserve"> 65.3146 </t>
  </si>
  <si>
    <t xml:space="preserve">F:\images\20210225\plaque 1/@05 EE2 114/B5_01.tif </t>
  </si>
  <si>
    <t xml:space="preserve"> 56410.7652 </t>
  </si>
  <si>
    <t xml:space="preserve"> 78.5498 </t>
  </si>
  <si>
    <t xml:space="preserve">F:\images\20210225\plaque 1/@05 EE2 114/B5_02.tif </t>
  </si>
  <si>
    <t xml:space="preserve"> 56691.9538 </t>
  </si>
  <si>
    <t xml:space="preserve"> 77.462 </t>
  </si>
  <si>
    <t xml:space="preserve">F:\images\20210225\plaque 1/@05 EE2 114/B5_03.tif </t>
  </si>
  <si>
    <t xml:space="preserve"> 49813.6473 </t>
  </si>
  <si>
    <t xml:space="preserve"> 77.8068 </t>
  </si>
  <si>
    <t xml:space="preserve">F:\images\20210225\plaque 1/@05 EE2 114/C5_01.tif </t>
  </si>
  <si>
    <t xml:space="preserve"> 38090.2444 </t>
  </si>
  <si>
    <t xml:space="preserve"> 69.3799 </t>
  </si>
  <si>
    <t xml:space="preserve">F:\images\20210225\plaque 1/@05 EE2 114/C5_02.tif </t>
  </si>
  <si>
    <t xml:space="preserve"> 32877.4398 </t>
  </si>
  <si>
    <t xml:space="preserve"> 68.7533 </t>
  </si>
  <si>
    <t xml:space="preserve">F:\images\20210225\plaque 1/@05 EE2 114/C5_03.tif </t>
  </si>
  <si>
    <t xml:space="preserve"> 31601.2761 </t>
  </si>
  <si>
    <t xml:space="preserve"> 69.4497 </t>
  </si>
  <si>
    <t xml:space="preserve">F:\images\20210225\plaque 1/@05 EE2 114/D5_01.tif </t>
  </si>
  <si>
    <t xml:space="preserve"> 53079.7614 </t>
  </si>
  <si>
    <t xml:space="preserve"> 70.1206 </t>
  </si>
  <si>
    <t xml:space="preserve">F:\images\20210225\plaque 1/@05 EE2 114/D5_02.tif </t>
  </si>
  <si>
    <t xml:space="preserve"> 51587.2987 </t>
  </si>
  <si>
    <t xml:space="preserve"> 70.6298 </t>
  </si>
  <si>
    <t xml:space="preserve">F:\images\20210225\plaque 1/@05 EE2 114/D5_03.tif </t>
  </si>
  <si>
    <t xml:space="preserve"> 52257.8254 </t>
  </si>
  <si>
    <t xml:space="preserve"> 70.5691 </t>
  </si>
  <si>
    <t xml:space="preserve">F:\images\20210225\plaque 1/@05 EE2 114/E5_01.tif </t>
  </si>
  <si>
    <t xml:space="preserve"> 27945.8239 </t>
  </si>
  <si>
    <t xml:space="preserve"> 67.6029 </t>
  </si>
  <si>
    <t xml:space="preserve">F:\images\20210225\plaque 1/@05 EE2 114/E5_02.tif </t>
  </si>
  <si>
    <t xml:space="preserve"> 27513.226 </t>
  </si>
  <si>
    <t xml:space="preserve"> 66.9921 </t>
  </si>
  <si>
    <t xml:space="preserve">F:\images\20210225\plaque 1/@05 EE2 114/E5_03.tif </t>
  </si>
  <si>
    <t xml:space="preserve"> 27167.1477 </t>
  </si>
  <si>
    <t xml:space="preserve"> 66.5088 </t>
  </si>
  <si>
    <t xml:space="preserve">F:\images\20210225\plaque 1/@05 EE2 114/F5_01.tif </t>
  </si>
  <si>
    <t xml:space="preserve"> 21716.4142 </t>
  </si>
  <si>
    <t xml:space="preserve"> 67.4851 </t>
  </si>
  <si>
    <t xml:space="preserve">F:\images\20210225\plaque 1/@05 EE2 114/F5_02.tif </t>
  </si>
  <si>
    <t xml:space="preserve"> 18471.93 </t>
  </si>
  <si>
    <t xml:space="preserve"> 66.2974 </t>
  </si>
  <si>
    <t xml:space="preserve">F:\images\20210225\plaque 1/@05 EE2 114/F5_03.tif </t>
  </si>
  <si>
    <t xml:space="preserve"> 20591.6597 </t>
  </si>
  <si>
    <t xml:space="preserve"> 66.4664 </t>
  </si>
  <si>
    <t xml:space="preserve">F:\images\20210225\plaque 1/@05 EE2 114/G5_01.tif </t>
  </si>
  <si>
    <t xml:space="preserve"> 58270.9361 </t>
  </si>
  <si>
    <t xml:space="preserve"> 98.3051 </t>
  </si>
  <si>
    <t xml:space="preserve">F:\images\20210225\plaque 1/@05 EE2 114/G5_02.tif </t>
  </si>
  <si>
    <t xml:space="preserve"> 53750.2882 </t>
  </si>
  <si>
    <t xml:space="preserve"> 97.2829 </t>
  </si>
  <si>
    <t xml:space="preserve">F:\images\20210225\plaque 1/@05 EE2 114/G5_03.tif </t>
  </si>
  <si>
    <t xml:space="preserve"> 58249.3062 </t>
  </si>
  <si>
    <t xml:space="preserve"> 95.9001 </t>
  </si>
  <si>
    <t xml:space="preserve">F:\images\20210225\plaque 1/@05 EE2 114/H5_01.tif </t>
  </si>
  <si>
    <t xml:space="preserve"> 37873.9455 </t>
  </si>
  <si>
    <t xml:space="preserve"> 68.0879 </t>
  </si>
  <si>
    <t xml:space="preserve">F:\images\20210225\plaque 1/@05 EE2 114/H5_02.tif </t>
  </si>
  <si>
    <t xml:space="preserve"> 30281.8525 </t>
  </si>
  <si>
    <t xml:space="preserve"> 67.7507 </t>
  </si>
  <si>
    <t xml:space="preserve">F:\images\20210225\plaque 1/@05 EE2 114/H5_03.tif </t>
  </si>
  <si>
    <t xml:space="preserve"> 32661.1409 </t>
  </si>
  <si>
    <t xml:space="preserve"> 68.0709 </t>
  </si>
  <si>
    <t xml:space="preserve">F:\images\20210225\plaque 1/@05 EE2 114/ </t>
  </si>
  <si>
    <t xml:space="preserve"> 72.9007 </t>
  </si>
  <si>
    <t xml:space="preserve"> 10.0312 </t>
  </si>
  <si>
    <t xml:space="preserve"> 1466668.83 </t>
  </si>
  <si>
    <t xml:space="preserve">F:\images\20210225\plaque 1/@06 EE2 170.9/A6_01.tif </t>
  </si>
  <si>
    <t xml:space="preserve"> 43519.348 </t>
  </si>
  <si>
    <t xml:space="preserve"> 79.5601 </t>
  </si>
  <si>
    <t xml:space="preserve">F:\images\20210225\plaque 1/@06 EE2 170.9/A6_02.tif </t>
  </si>
  <si>
    <t xml:space="preserve"> 39972.0453 </t>
  </si>
  <si>
    <t xml:space="preserve"> 78.4021 </t>
  </si>
  <si>
    <t xml:space="preserve">F:\images\20210225\plaque 1/@06 EE2 170.9/A6_03.tif </t>
  </si>
  <si>
    <t xml:space="preserve"> 36684.3013 </t>
  </si>
  <si>
    <t xml:space="preserve"> 80.6822 </t>
  </si>
  <si>
    <t xml:space="preserve">F:\images\20210225\plaque 1/@06 EE2 170.9/B6_01.tif </t>
  </si>
  <si>
    <t xml:space="preserve"> 49489.1989 </t>
  </si>
  <si>
    <t xml:space="preserve"> 96.7605 </t>
  </si>
  <si>
    <t xml:space="preserve">F:\images\20210225\plaque 1/@06 EE2 170.9/B6_02.tif </t>
  </si>
  <si>
    <t xml:space="preserve"> 49229.6402 </t>
  </si>
  <si>
    <t xml:space="preserve"> 94.8453 </t>
  </si>
  <si>
    <t xml:space="preserve">F:\images\20210225\plaque 1/@06 EE2 170.9/B6_03.tif </t>
  </si>
  <si>
    <t xml:space="preserve"> 44600.8427 </t>
  </si>
  <si>
    <t xml:space="preserve"> 98.7236 </t>
  </si>
  <si>
    <t xml:space="preserve">F:\images\20210225\plaque 1/@06 EE2 170.9/C6_01.tif </t>
  </si>
  <si>
    <t xml:space="preserve"> 63894.7087 </t>
  </si>
  <si>
    <t xml:space="preserve"> 77.1083 </t>
  </si>
  <si>
    <t xml:space="preserve">F:\images\20210225\plaque 1/@06 EE2 170.9/C6_02.tif </t>
  </si>
  <si>
    <t xml:space="preserve"> 63570.2603 </t>
  </si>
  <si>
    <t xml:space="preserve"> 76.1119 </t>
  </si>
  <si>
    <t xml:space="preserve">F:\images\20210225\plaque 1/@06 EE2 170.9/C6_03.tif </t>
  </si>
  <si>
    <t xml:space="preserve"> 60520.4452 </t>
  </si>
  <si>
    <t xml:space="preserve"> 73.9793 </t>
  </si>
  <si>
    <t xml:space="preserve">F:\images\20210225\plaque 1/@06 EE2 170.9/D6_01.tif </t>
  </si>
  <si>
    <t xml:space="preserve"> 55221.121 </t>
  </si>
  <si>
    <t xml:space="preserve"> 80.2107 </t>
  </si>
  <si>
    <t xml:space="preserve">F:\images\20210225\plaque 1/@06 EE2 170.9/D6_02.tif </t>
  </si>
  <si>
    <t xml:space="preserve"> 56908.2528 </t>
  </si>
  <si>
    <t xml:space="preserve"> 81.1912 </t>
  </si>
  <si>
    <t xml:space="preserve">F:\images\20210225\plaque 1/@06 EE2 170.9/D6_03.tif </t>
  </si>
  <si>
    <t xml:space="preserve"> 54961.5623 </t>
  </si>
  <si>
    <t xml:space="preserve"> 81.5266 </t>
  </si>
  <si>
    <t xml:space="preserve">F:\images\20210225\plaque 1/@06 EE2 170.9/E6_01.tif </t>
  </si>
  <si>
    <t xml:space="preserve"> 62121.0574 </t>
  </si>
  <si>
    <t xml:space="preserve"> 77.1361 </t>
  </si>
  <si>
    <t xml:space="preserve">F:\images\20210225\plaque 1/@06 EE2 170.9/E6_02.tif </t>
  </si>
  <si>
    <t xml:space="preserve"> 57989.7475 </t>
  </si>
  <si>
    <t xml:space="preserve"> 77.2536 </t>
  </si>
  <si>
    <t xml:space="preserve">F:\images\20210225\plaque 1/@06 EE2 170.9/E6_03.tif </t>
  </si>
  <si>
    <t xml:space="preserve"> 59330.801 </t>
  </si>
  <si>
    <t xml:space="preserve"> 77.0809 </t>
  </si>
  <si>
    <t xml:space="preserve">F:\images\20210225\plaque 1/@06 EE2 170.9/F6_01.tif </t>
  </si>
  <si>
    <t xml:space="preserve"> 66641.7054 </t>
  </si>
  <si>
    <t xml:space="preserve"> 80.5359 </t>
  </si>
  <si>
    <t xml:space="preserve">F:\images\20210225\plaque 1/@06 EE2 170.9/F6_02.tif </t>
  </si>
  <si>
    <t xml:space="preserve"> 66338.8868 </t>
  </si>
  <si>
    <t xml:space="preserve"> 78.5174 </t>
  </si>
  <si>
    <t xml:space="preserve">F:\images\20210225\plaque 1/@06 EE2 170.9/F6_03.tif </t>
  </si>
  <si>
    <t xml:space="preserve"> 74579.8767 </t>
  </si>
  <si>
    <t xml:space="preserve"> 74.2387 </t>
  </si>
  <si>
    <t xml:space="preserve">F:\images\20210225\plaque 1/@06 EE2 170.9/G6_01.tif </t>
  </si>
  <si>
    <t xml:space="preserve"> 692.1566 </t>
  </si>
  <si>
    <t xml:space="preserve"> 63.0938 </t>
  </si>
  <si>
    <t xml:space="preserve">F:\images\20210225\plaque 1/@06 EE2 170.9/G6_02.tif </t>
  </si>
  <si>
    <t xml:space="preserve"> 1124.7545 </t>
  </si>
  <si>
    <t xml:space="preserve"> 64.75 </t>
  </si>
  <si>
    <t xml:space="preserve">F:\images\20210225\plaque 1/@06 EE2 170.9/G6_03.tif </t>
  </si>
  <si>
    <t xml:space="preserve"> 237.9288 </t>
  </si>
  <si>
    <t xml:space="preserve"> 63.8182 </t>
  </si>
  <si>
    <t>F:\images\20210225\plaque 1/@06 EE2 170.9/H6_01- exclu.tif</t>
  </si>
  <si>
    <t xml:space="preserve">F:\images\20210225\plaque 1/@06 EE2 170.9/H6_02.tif </t>
  </si>
  <si>
    <t xml:space="preserve"> 41961.9956 </t>
  </si>
  <si>
    <t xml:space="preserve"> 81.0639 </t>
  </si>
  <si>
    <t xml:space="preserve">F:\images\20210225\plaque 1/@06 EE2 170.9/H6_03.tif </t>
  </si>
  <si>
    <t xml:space="preserve"> 42913.7109 </t>
  </si>
  <si>
    <t xml:space="preserve"> 78.5872 </t>
  </si>
  <si>
    <t xml:space="preserve">F:\images\20210225\plaque 1/@06 EE2 170.9/ </t>
  </si>
  <si>
    <t xml:space="preserve"> 78.9749 </t>
  </si>
  <si>
    <t xml:space="preserve"> 8.6897 </t>
  </si>
  <si>
    <t xml:space="preserve"> 3817393.38 </t>
  </si>
  <si>
    <t xml:space="preserve"> 1614023.2 </t>
  </si>
  <si>
    <t xml:space="preserve">F:\images\20210225\plaque 1/@07 EE2 488/A7_01.tif </t>
  </si>
  <si>
    <t xml:space="preserve"> 74839.4354 </t>
  </si>
  <si>
    <t xml:space="preserve"> 98.7942 </t>
  </si>
  <si>
    <t xml:space="preserve">F:\images\20210225\plaque 1/@07 EE2 488/A7_02.tif </t>
  </si>
  <si>
    <t xml:space="preserve"> 84875.7065 </t>
  </si>
  <si>
    <t xml:space="preserve"> 95.356 </t>
  </si>
  <si>
    <t xml:space="preserve">F:\images\20210225\plaque 1/@07 EE2 488/A7_03.tif </t>
  </si>
  <si>
    <t xml:space="preserve"> 74428.4674 </t>
  </si>
  <si>
    <t xml:space="preserve"> 98.7524 </t>
  </si>
  <si>
    <t xml:space="preserve">F:\images\20210225\plaque 1/@07 EE2 488/B7_01.tif </t>
  </si>
  <si>
    <t xml:space="preserve"> 75661.3714 </t>
  </si>
  <si>
    <t xml:space="preserve"> 94.1595 </t>
  </si>
  <si>
    <t xml:space="preserve">F:\images\20210225\plaque 1/@07 EE2 488/B7_02.tif </t>
  </si>
  <si>
    <t xml:space="preserve"> 75034.1045 </t>
  </si>
  <si>
    <t xml:space="preserve"> 98.2073 </t>
  </si>
  <si>
    <t xml:space="preserve">F:\images\20210225\plaque 1/@07 EE2 488/B7_03.tif </t>
  </si>
  <si>
    <t xml:space="preserve"> 65971.1786 </t>
  </si>
  <si>
    <t xml:space="preserve"> 99.2361 </t>
  </si>
  <si>
    <t xml:space="preserve">F:\images\20210225\plaque 1/@07 EE2 488/C7_01.tif </t>
  </si>
  <si>
    <t xml:space="preserve"> 75120.624 </t>
  </si>
  <si>
    <t xml:space="preserve"> 95.9896 </t>
  </si>
  <si>
    <t xml:space="preserve">F:\images\20210225\plaque 1/@07 EE2 488/C7_02.tif </t>
  </si>
  <si>
    <t xml:space="preserve"> 75899.3003 </t>
  </si>
  <si>
    <t xml:space="preserve"> 94.7375 </t>
  </si>
  <si>
    <t xml:space="preserve">F:\images\20210225\plaque 1/@07 EE2 488/C7_03.tif </t>
  </si>
  <si>
    <t xml:space="preserve"> 78235.3289 </t>
  </si>
  <si>
    <t xml:space="preserve"> 93.4213 </t>
  </si>
  <si>
    <t xml:space="preserve">F:\images\20210225\plaque 1/@07 EE2 488/D7_01.tif </t>
  </si>
  <si>
    <t xml:space="preserve"> 83750.952 </t>
  </si>
  <si>
    <t xml:space="preserve"> 99.8381 </t>
  </si>
  <si>
    <t xml:space="preserve">F:\images\20210225\plaque 1/@07 EE2 488/D7_02.tif </t>
  </si>
  <si>
    <t xml:space="preserve"> 86995.4362 </t>
  </si>
  <si>
    <t xml:space="preserve"> 93.2233 </t>
  </si>
  <si>
    <t xml:space="preserve">F:\images\20210225\plaque 1/@07 EE2 488/D7_03.tif </t>
  </si>
  <si>
    <t xml:space="preserve"> 82993.9057 </t>
  </si>
  <si>
    <t xml:space="preserve"> 98.2041 </t>
  </si>
  <si>
    <t xml:space="preserve">F:\images\20210225\plaque 1/@07 EE2 488/E7_01.tif </t>
  </si>
  <si>
    <t xml:space="preserve"> 2487.4379 </t>
  </si>
  <si>
    <t xml:space="preserve"> 64.1043 </t>
  </si>
  <si>
    <t xml:space="preserve">F:\images\20210225\plaque 1/@07 EE2 488/E7_02.tif </t>
  </si>
  <si>
    <t xml:space="preserve"> 11377.3246 </t>
  </si>
  <si>
    <t xml:space="preserve"> 77.962 </t>
  </si>
  <si>
    <t xml:space="preserve">F:\images\20210225\plaque 1/@07 EE2 488/E7_03.tif </t>
  </si>
  <si>
    <t xml:space="preserve"> 10641.9082 </t>
  </si>
  <si>
    <t xml:space="preserve"> 72.1585 </t>
  </si>
  <si>
    <t xml:space="preserve">F:\images\20210225\plaque 1/@07 EE2 488/F7_01.tif </t>
  </si>
  <si>
    <t xml:space="preserve"> 25544.9056 </t>
  </si>
  <si>
    <t xml:space="preserve"> 100.906 </t>
  </si>
  <si>
    <t xml:space="preserve">F:\images\20210225\plaque 1/@07 EE2 488/F7_02.tif </t>
  </si>
  <si>
    <t xml:space="preserve"> 91.0198 </t>
  </si>
  <si>
    <t xml:space="preserve">F:\images\20210225\plaque 1/@07 EE2 488/F7_03.tif </t>
  </si>
  <si>
    <t xml:space="preserve"> 26756.1797 </t>
  </si>
  <si>
    <t xml:space="preserve"> 99.4519 </t>
  </si>
  <si>
    <t xml:space="preserve">F:\images\20210225\plaque 1/@07 EE2 488/G7_01.tif </t>
  </si>
  <si>
    <t xml:space="preserve"> 63873.0788 </t>
  </si>
  <si>
    <t xml:space="preserve"> 108.8012 </t>
  </si>
  <si>
    <t xml:space="preserve">F:\images\20210225\plaque 1/@07 EE2 488/G7_02.tif </t>
  </si>
  <si>
    <t xml:space="preserve"> 63656.7799 </t>
  </si>
  <si>
    <t xml:space="preserve"> 107.7397 </t>
  </si>
  <si>
    <t xml:space="preserve">F:\images\20210225\plaque 1/@07 EE2 488/G7_03.tif </t>
  </si>
  <si>
    <t xml:space="preserve"> 72308.7377 </t>
  </si>
  <si>
    <t xml:space="preserve"> 101.9141 </t>
  </si>
  <si>
    <t xml:space="preserve">F:\images\20210225\plaque 1/@07 EE2 488/H7_01.tif </t>
  </si>
  <si>
    <t xml:space="preserve"> 63916.3386 </t>
  </si>
  <si>
    <t xml:space="preserve"> 105.7371 </t>
  </si>
  <si>
    <t xml:space="preserve">F:\images\20210225\plaque 1/@07 EE2 488/H7_02.tif </t>
  </si>
  <si>
    <t xml:space="preserve"> 66295.627 </t>
  </si>
  <si>
    <t xml:space="preserve"> 106.3961 </t>
  </si>
  <si>
    <t xml:space="preserve">F:\images\20210225\plaque 1/@07 EE2 488/H7_03.tif </t>
  </si>
  <si>
    <t xml:space="preserve"> 51846.8574 </t>
  </si>
  <si>
    <t xml:space="preserve"> 117.8327 </t>
  </si>
  <si>
    <t xml:space="preserve">F:\images\20210225\plaque 1/@07 EE2 488/ </t>
  </si>
  <si>
    <t xml:space="preserve"> 96.4143 </t>
  </si>
  <si>
    <t xml:space="preserve"> 11.5233 </t>
  </si>
  <si>
    <t xml:space="preserve"> 5884857.17 </t>
  </si>
  <si>
    <t xml:space="preserve"> 2604126.76 </t>
  </si>
  <si>
    <t xml:space="preserve">F:\images\20210225\plaque 1/@08 Cefuroxime ND 0.001/A8_01.tif </t>
  </si>
  <si>
    <t xml:space="preserve"> 2595.5874 </t>
  </si>
  <si>
    <t xml:space="preserve"> 64.1 </t>
  </si>
  <si>
    <t xml:space="preserve">F:\images\20210225\plaque 1/@08 Cefuroxime ND 0.001/A8_02.tif </t>
  </si>
  <si>
    <t xml:space="preserve"> 4780.2067 </t>
  </si>
  <si>
    <t xml:space="preserve"> 66.267 </t>
  </si>
  <si>
    <t xml:space="preserve">F:\images\20210225\plaque 1/@08 Cefuroxime ND 0.001/A8_03.tif </t>
  </si>
  <si>
    <t xml:space="preserve"> 63.725 </t>
  </si>
  <si>
    <t xml:space="preserve">F:\images\20210225\plaque 1/@08 Cefuroxime ND 0.001/B8_01.tif </t>
  </si>
  <si>
    <t xml:space="preserve"> 63.9091 </t>
  </si>
  <si>
    <t xml:space="preserve">F:\images\20210225\plaque 1/@08 Cefuroxime ND 0.001/B8_02.tif </t>
  </si>
  <si>
    <t xml:space="preserve"> 4196.1996 </t>
  </si>
  <si>
    <t xml:space="preserve"> 69.8402 </t>
  </si>
  <si>
    <t xml:space="preserve">F:\images\20210225\plaque 1/@08 Cefuroxime ND 0.001/B8_03.tif </t>
  </si>
  <si>
    <t xml:space="preserve"> 66.1647 </t>
  </si>
  <si>
    <t xml:space="preserve">F:\images\20210225\plaque 1/@08 Cefuroxime ND 0.001/C8_01.tif </t>
  </si>
  <si>
    <t xml:space="preserve"> 65.9138 </t>
  </si>
  <si>
    <t xml:space="preserve">F:\images\20210225\plaque 1/@08 Cefuroxime ND 0.001/C8_02.tif </t>
  </si>
  <si>
    <t xml:space="preserve"> 63.5333 </t>
  </si>
  <si>
    <t xml:space="preserve">F:\images\20210225\plaque 1/@08 Cefuroxime ND 0.001/C8_03.tif </t>
  </si>
  <si>
    <t xml:space="preserve"> 67.0779 </t>
  </si>
  <si>
    <t xml:space="preserve">F:\images\20210225\plaque 1/@08 Cefuroxime ND 0.001/D8_01.tif </t>
  </si>
  <si>
    <t xml:space="preserve"> 259.5587 </t>
  </si>
  <si>
    <t xml:space="preserve"> 63.25 </t>
  </si>
  <si>
    <t xml:space="preserve">F:\images\20210225\plaque 1/@08 Cefuroxime ND 0.001/D8_02.tif </t>
  </si>
  <si>
    <t xml:space="preserve"> 584.0072 </t>
  </si>
  <si>
    <t xml:space="preserve"> 66.2593 </t>
  </si>
  <si>
    <t xml:space="preserve">F:\images\20210225\plaque 1/@08 Cefuroxime ND 0.001/D8_03.tif </t>
  </si>
  <si>
    <t xml:space="preserve"> 5623.7726 </t>
  </si>
  <si>
    <t xml:space="preserve"> 73.9423 </t>
  </si>
  <si>
    <t xml:space="preserve">F:\images\20210225\plaque 1/@08 Cefuroxime ND 0.001/E8_01.tif </t>
  </si>
  <si>
    <t xml:space="preserve"> 5083.0252 </t>
  </si>
  <si>
    <t xml:space="preserve"> 70.9872 </t>
  </si>
  <si>
    <t xml:space="preserve">F:\images\20210225\plaque 1/@08 Cefuroxime ND 0.001/E8_02.tif </t>
  </si>
  <si>
    <t xml:space="preserve"> 65.2375 </t>
  </si>
  <si>
    <t xml:space="preserve">F:\images\20210225\plaque 1/@08 Cefuroxime ND 0.001/E8_03.tif </t>
  </si>
  <si>
    <t xml:space="preserve"> 3915.0109 </t>
  </si>
  <si>
    <t xml:space="preserve"> 65.1768 </t>
  </si>
  <si>
    <t xml:space="preserve">F:\images\20210225\plaque 1/@08 Cefuroxime ND 0.001/F8_01.tif </t>
  </si>
  <si>
    <t xml:space="preserve"> 8414.029 </t>
  </si>
  <si>
    <t xml:space="preserve"> 69.2853 </t>
  </si>
  <si>
    <t xml:space="preserve">F:\images\20210225\plaque 1/@08 Cefuroxime ND 0.001/F8_02.tif </t>
  </si>
  <si>
    <t xml:space="preserve"> 2703.7368 </t>
  </si>
  <si>
    <t xml:space="preserve"> 65.4 </t>
  </si>
  <si>
    <t xml:space="preserve">F:\images\20210225\plaque 1/@08 Cefuroxime ND 0.001/F8_03.tif </t>
  </si>
  <si>
    <t xml:space="preserve"> 3049.8151 </t>
  </si>
  <si>
    <t xml:space="preserve"> 63.9787 </t>
  </si>
  <si>
    <t xml:space="preserve">F:\images\20210225\plaque 1/@08 Cefuroxime ND 0.001/G8_01.tif </t>
  </si>
  <si>
    <t xml:space="preserve"> 3266.1141 </t>
  </si>
  <si>
    <t xml:space="preserve"> 63.2318 </t>
  </si>
  <si>
    <t xml:space="preserve">F:\images\20210225\plaque 1/@08 Cefuroxime ND 0.001/G8_02.tif </t>
  </si>
  <si>
    <t xml:space="preserve"> 519.1175 </t>
  </si>
  <si>
    <t xml:space="preserve"> 62.8333 </t>
  </si>
  <si>
    <t xml:space="preserve">F:\images\20210225\plaque 1/@08 Cefuroxime ND 0.001/G8_03.tif </t>
  </si>
  <si>
    <t xml:space="preserve"> 2314.3987 </t>
  </si>
  <si>
    <t xml:space="preserve"> 63.3738 </t>
  </si>
  <si>
    <t xml:space="preserve">F:\images\20210225\plaque 1/@08 Cefuroxime ND 0.001/H8_01.tif </t>
  </si>
  <si>
    <t xml:space="preserve"> 605.637 </t>
  </si>
  <si>
    <t xml:space="preserve"> 64.1429 </t>
  </si>
  <si>
    <t xml:space="preserve">F:\images\20210225\plaque 1/@08 Cefuroxime ND 0.001/H8_02.tif </t>
  </si>
  <si>
    <t xml:space="preserve"> 1708.7617 </t>
  </si>
  <si>
    <t xml:space="preserve"> 64.7089 </t>
  </si>
  <si>
    <t xml:space="preserve">F:\images\20210225\plaque 1/@08 Cefuroxime ND 0.001/H8_03.tif </t>
  </si>
  <si>
    <t xml:space="preserve"> 151.4093 </t>
  </si>
  <si>
    <t xml:space="preserve"> 64.8571 </t>
  </si>
  <si>
    <t xml:space="preserve">F:\images\20210225\plaque 1/@08 Cefuroxime ND 0.001/ </t>
  </si>
  <si>
    <t xml:space="preserve"> 65.7165 </t>
  </si>
  <si>
    <t xml:space="preserve"> 2.7695 </t>
  </si>
  <si>
    <t xml:space="preserve"> 170425.417 </t>
  </si>
  <si>
    <t xml:space="preserve"> 144613.438 </t>
  </si>
  <si>
    <t xml:space="preserve">F:\images\20210225\plaque 1/@09 Cefuroxime ND 0.01/A9_01.tif </t>
  </si>
  <si>
    <t xml:space="preserve"> 8522.1785 </t>
  </si>
  <si>
    <t xml:space="preserve"> 74.5939 </t>
  </si>
  <si>
    <t xml:space="preserve">F:\images\20210225\plaque 1/@09 Cefuroxime ND 0.01/A9_02.tif </t>
  </si>
  <si>
    <t xml:space="preserve"> 648.8968 </t>
  </si>
  <si>
    <t xml:space="preserve"> 63.3333 </t>
  </si>
  <si>
    <t xml:space="preserve">F:\images\20210225\plaque 1/@09 Cefuroxime ND 0.01/A9_03.tif </t>
  </si>
  <si>
    <t xml:space="preserve"> 3633.8223 </t>
  </si>
  <si>
    <t xml:space="preserve"> 65.75 </t>
  </si>
  <si>
    <t xml:space="preserve">F:\images\20210225\plaque 1/@09 Cefuroxime ND 0.01/B9_01.tif </t>
  </si>
  <si>
    <t xml:space="preserve"> 6424.0787 </t>
  </si>
  <si>
    <t xml:space="preserve"> 70.9731 </t>
  </si>
  <si>
    <t xml:space="preserve">F:\images\20210225\plaque 1/@09 Cefuroxime ND 0.01/B9_02.tif </t>
  </si>
  <si>
    <t xml:space="preserve"> 5407.4737 </t>
  </si>
  <si>
    <t xml:space="preserve"> 69.74 </t>
  </si>
  <si>
    <t xml:space="preserve">F:\images\20210225\plaque 1/@09 Cefuroxime ND 0.01/B9_03.tif </t>
  </si>
  <si>
    <t xml:space="preserve"> 1925.0606 </t>
  </si>
  <si>
    <t xml:space="preserve"> 64.2135 </t>
  </si>
  <si>
    <t xml:space="preserve">F:\images\20210225\plaque 1/@09 Cefuroxime ND 0.01/C9_01.tif </t>
  </si>
  <si>
    <t xml:space="preserve"> 5558.8829 </t>
  </si>
  <si>
    <t xml:space="preserve"> 71.3813 </t>
  </si>
  <si>
    <t xml:space="preserve">F:\images\20210225\plaque 1/@09 Cefuroxime ND 0.01/C9_02.tif </t>
  </si>
  <si>
    <t xml:space="preserve"> 1362.6834 </t>
  </si>
  <si>
    <t xml:space="preserve"> 65.5714 </t>
  </si>
  <si>
    <t xml:space="preserve">F:\images\20210225\plaque 1/@09 Cefuroxime ND 0.01/C9_03.tif </t>
  </si>
  <si>
    <t xml:space="preserve"> 3568.9326 </t>
  </si>
  <si>
    <t xml:space="preserve"> 67.5212 </t>
  </si>
  <si>
    <t xml:space="preserve">F:\images\20210225\plaque 1/@09 Cefuroxime ND 0.01/D9_01.tif </t>
  </si>
  <si>
    <t xml:space="preserve"> 62.6923 </t>
  </si>
  <si>
    <t xml:space="preserve">F:\images\20210225\plaque 1/@09 Cefuroxime ND 0.01/D9_02.tif </t>
  </si>
  <si>
    <t xml:space="preserve"> 68.0909 </t>
  </si>
  <si>
    <t xml:space="preserve">F:\images\20210225\plaque 1/@09 Cefuroxime ND 0.01/D9_03.tif </t>
  </si>
  <si>
    <t xml:space="preserve"> 62.8485 </t>
  </si>
  <si>
    <t xml:space="preserve">F:\images\20210225\plaque 1/@09 Cefuroxime ND 0.01/E9_01.tif </t>
  </si>
  <si>
    <t xml:space="preserve"> 8219.36 </t>
  </si>
  <si>
    <t xml:space="preserve"> 77.7368 </t>
  </si>
  <si>
    <t xml:space="preserve">F:\images\20210225\plaque 1/@09 Cefuroxime ND 0.01/E9_02.tif </t>
  </si>
  <si>
    <t xml:space="preserve"> 2811.8863 </t>
  </si>
  <si>
    <t xml:space="preserve"> 65.5231 </t>
  </si>
  <si>
    <t xml:space="preserve">F:\images\20210225\plaque 1/@09 Cefuroxime ND 0.01/E9_03.tif </t>
  </si>
  <si>
    <t xml:space="preserve"> 4023.1604 </t>
  </si>
  <si>
    <t xml:space="preserve"> 69.1237 </t>
  </si>
  <si>
    <t xml:space="preserve">F:\images\20210225\plaque 1/@09 Cefuroxime ND 0.01/F9_01.tif </t>
  </si>
  <si>
    <t xml:space="preserve"> 65.7167 </t>
  </si>
  <si>
    <t xml:space="preserve">F:\images\20210225\plaque 1/@09 Cefuroxime ND 0.01/F9_02.tif </t>
  </si>
  <si>
    <t xml:space="preserve"> 540.7474 </t>
  </si>
  <si>
    <t xml:space="preserve"> 65.08 </t>
  </si>
  <si>
    <t xml:space="preserve">F:\images\20210225\plaque 1/@09 Cefuroxime ND 0.01/F9_03.tif </t>
  </si>
  <si>
    <t xml:space="preserve"> 216.2989 </t>
  </si>
  <si>
    <t xml:space="preserve"> 64.3 </t>
  </si>
  <si>
    <t xml:space="preserve">F:\images\20210225\plaque 1/@09 Cefuroxime ND 0.01/G9_01.tif </t>
  </si>
  <si>
    <t xml:space="preserve"> 757.0463 </t>
  </si>
  <si>
    <t xml:space="preserve"> 65.6857 </t>
  </si>
  <si>
    <t xml:space="preserve">F:\images\20210225\plaque 1/@09 Cefuroxime ND 0.01/G9_02.tif </t>
  </si>
  <si>
    <t xml:space="preserve"> 1643.872 </t>
  </si>
  <si>
    <t xml:space="preserve"> 66.4605 </t>
  </si>
  <si>
    <t xml:space="preserve">F:\images\20210225\plaque 1/@09 Cefuroxime ND 0.01/G9_03.tif </t>
  </si>
  <si>
    <t xml:space="preserve"> 7051.3456 </t>
  </si>
  <si>
    <t xml:space="preserve"> 76.8374 </t>
  </si>
  <si>
    <t xml:space="preserve">F:\images\20210225\plaque 1/@09 Cefuroxime ND 0.01/H9_01.tif </t>
  </si>
  <si>
    <t xml:space="preserve"> 129.7794 </t>
  </si>
  <si>
    <t xml:space="preserve"> 63.6667 </t>
  </si>
  <si>
    <t xml:space="preserve">F:\images\20210225\plaque 1/@09 Cefuroxime ND 0.01/H9_02.tif </t>
  </si>
  <si>
    <t xml:space="preserve"> 65.2857 </t>
  </si>
  <si>
    <t>F:\images\20210225\plaque 1/@09 Cefuroxime ND 0.01/H9_03- exclu.tif</t>
  </si>
  <si>
    <t xml:space="preserve">F:\images\20210225\plaque 1/@09 Cefuroxime ND 0.01/ </t>
  </si>
  <si>
    <t xml:space="preserve"> 67.283 </t>
  </si>
  <si>
    <t xml:space="preserve"> 4.3063 </t>
  </si>
  <si>
    <t xml:space="preserve"> 195457.708 </t>
  </si>
  <si>
    <t xml:space="preserve"> 206096.199 </t>
  </si>
  <si>
    <t xml:space="preserve">F:\images\20210225\plaque 1/@10 Cefuroxime ND 0.1/A10_01.tif </t>
  </si>
  <si>
    <t xml:space="preserve"> 62.7273 </t>
  </si>
  <si>
    <t xml:space="preserve">F:\images\20210225\plaque 1/@10 Cefuroxime ND 0.1/A10_02.tif </t>
  </si>
  <si>
    <t xml:space="preserve"> 2184.6194 </t>
  </si>
  <si>
    <t xml:space="preserve"> 65.604 </t>
  </si>
  <si>
    <t xml:space="preserve">F:\images\20210225\plaque 1/@10 Cefuroxime ND 0.1/A10_03.tif </t>
  </si>
  <si>
    <t xml:space="preserve"> 64.0714 </t>
  </si>
  <si>
    <t xml:space="preserve">F:\images\20210225\plaque 1/@10 Cefuroxime ND 0.1/B10_01.tif </t>
  </si>
  <si>
    <t xml:space="preserve"> 1622.2421 </t>
  </si>
  <si>
    <t xml:space="preserve"> 66.08 </t>
  </si>
  <si>
    <t xml:space="preserve">F:\images\20210225\plaque 1/@10 Cefuroxime ND 0.1/B10_02.tif </t>
  </si>
  <si>
    <t xml:space="preserve"> 1038.2349 </t>
  </si>
  <si>
    <t xml:space="preserve">F:\images\20210225\plaque 1/@10 Cefuroxime ND 0.1/B10_03.tif </t>
  </si>
  <si>
    <t xml:space="preserve"> 64.8701 </t>
  </si>
  <si>
    <t xml:space="preserve">F:\images\20210225\plaque 1/@10 Cefuroxime ND 0.1/C10_01.tif </t>
  </si>
  <si>
    <t xml:space="preserve"> 10187.6804 </t>
  </si>
  <si>
    <t xml:space="preserve"> 76.2505 </t>
  </si>
  <si>
    <t xml:space="preserve">F:\images\20210225\plaque 1/@10 Cefuroxime ND 0.1/C10_02.tif </t>
  </si>
  <si>
    <t xml:space="preserve"> 72.9014 </t>
  </si>
  <si>
    <t xml:space="preserve">F:\images\20210225\plaque 1/@10 Cefuroxime ND 0.1/C10_03.tif </t>
  </si>
  <si>
    <t xml:space="preserve"> 6078.0004 </t>
  </si>
  <si>
    <t xml:space="preserve"> 69.1637 </t>
  </si>
  <si>
    <t xml:space="preserve">F:\images\20210225\plaque 1/@10 Cefuroxime ND 0.1/D10_01.tif </t>
  </si>
  <si>
    <t xml:space="preserve"> 5515.6231 </t>
  </si>
  <si>
    <t xml:space="preserve"> 68.4588 </t>
  </si>
  <si>
    <t xml:space="preserve">F:\images\20210225\plaque 1/@10 Cefuroxime ND 0.1/D10_02.tif </t>
  </si>
  <si>
    <t xml:space="preserve"> 2444.1781 </t>
  </si>
  <si>
    <t xml:space="preserve"> 66.6106 </t>
  </si>
  <si>
    <t xml:space="preserve">F:\images\20210225\plaque 1/@10 Cefuroxime ND 0.1/D10_03.tif </t>
  </si>
  <si>
    <t xml:space="preserve"> 64.8232 </t>
  </si>
  <si>
    <t xml:space="preserve">F:\images\20210225\plaque 1/@10 Cefuroxime ND 0.1/E10_01.tif </t>
  </si>
  <si>
    <t xml:space="preserve"> 5969.8509 </t>
  </si>
  <si>
    <t xml:space="preserve"> 68.8623 </t>
  </si>
  <si>
    <t xml:space="preserve">F:\images\20210225\plaque 1/@10 Cefuroxime ND 0.1/E10_02.tif </t>
  </si>
  <si>
    <t xml:space="preserve"> 3093.0749 </t>
  </si>
  <si>
    <t xml:space="preserve"> 67.1329 </t>
  </si>
  <si>
    <t xml:space="preserve">F:\images\20210225\plaque 1/@10 Cefuroxime ND 0.1/E10_03.tif </t>
  </si>
  <si>
    <t xml:space="preserve"> 1773.6514 </t>
  </si>
  <si>
    <t xml:space="preserve"> 65.4146 </t>
  </si>
  <si>
    <t xml:space="preserve">F:\images\20210225\plaque 1/@10 Cefuroxime ND 0.1/F10_01.tif </t>
  </si>
  <si>
    <t xml:space="preserve"> 6618.7478 </t>
  </si>
  <si>
    <t xml:space="preserve"> 65.6601 </t>
  </si>
  <si>
    <t xml:space="preserve">F:\images\20210225\plaque 1/@10 Cefuroxime ND 0.1/F10_02.tif </t>
  </si>
  <si>
    <t xml:space="preserve"> 3287.744 </t>
  </si>
  <si>
    <t xml:space="preserve">F:\images\20210225\plaque 1/@10 Cefuroxime ND 0.1/F10_03.tif </t>
  </si>
  <si>
    <t xml:space="preserve"> 4736.9469 </t>
  </si>
  <si>
    <t xml:space="preserve"> 66.0822 </t>
  </si>
  <si>
    <t xml:space="preserve">F:\images\20210225\plaque 1/@10 Cefuroxime ND 0.1/G10_01.tif </t>
  </si>
  <si>
    <t xml:space="preserve"> 64.1702 </t>
  </si>
  <si>
    <t xml:space="preserve">F:\images\20210225\plaque 1/@10 Cefuroxime ND 0.1/G10_02.tif </t>
  </si>
  <si>
    <t xml:space="preserve"> 7894.9115 </t>
  </si>
  <si>
    <t xml:space="preserve"> 70.2877 </t>
  </si>
  <si>
    <t xml:space="preserve">F:\images\20210225\plaque 1/@10 Cefuroxime ND 0.1/G10_03.tif </t>
  </si>
  <si>
    <t xml:space="preserve"> 9993.0113 </t>
  </si>
  <si>
    <t xml:space="preserve"> 73.3052 </t>
  </si>
  <si>
    <t xml:space="preserve">F:\images\20210225\plaque 1/@10 Cefuroxime ND 0.1/H10_01.tif </t>
  </si>
  <si>
    <t xml:space="preserve"> 2898.4059 </t>
  </si>
  <si>
    <t xml:space="preserve"> 64.3955 </t>
  </si>
  <si>
    <t xml:space="preserve">F:\images\20210225\plaque 1/@10 Cefuroxime ND 0.1/H10_02.tif </t>
  </si>
  <si>
    <t xml:space="preserve"> 2249.509 </t>
  </si>
  <si>
    <t xml:space="preserve"> 65.125 </t>
  </si>
  <si>
    <t xml:space="preserve">F:\images\20210225\plaque 1/@10 Cefuroxime ND 0.1/H10_03.tif </t>
  </si>
  <si>
    <t xml:space="preserve"> 65.756 </t>
  </si>
  <si>
    <t xml:space="preserve">F:\images\20210225\plaque 1/@10 Cefuroxime ND 0.1/ </t>
  </si>
  <si>
    <t xml:space="preserve"> 66.9637 </t>
  </si>
  <si>
    <t xml:space="preserve"> 3.3362 </t>
  </si>
  <si>
    <t xml:space="preserve"> 271622.833 </t>
  </si>
  <si>
    <t xml:space="preserve"> 209771.668 </t>
  </si>
  <si>
    <t xml:space="preserve">F:\images\20210225\plaque 1/@11 Cefuroxime ND 1/A11_01.tif </t>
  </si>
  <si>
    <t xml:space="preserve"> 4412.4985 </t>
  </si>
  <si>
    <t xml:space="preserve"> 69.5882 </t>
  </si>
  <si>
    <t xml:space="preserve">F:\images\20210225\plaque 1/@11 Cefuroxime ND 1/A11_02.tif </t>
  </si>
  <si>
    <t xml:space="preserve"> 2617.2173 </t>
  </si>
  <si>
    <t xml:space="preserve"> 66.7686 </t>
  </si>
  <si>
    <t xml:space="preserve">F:\images\20210225\plaque 1/@11 Cefuroxime ND 1/A11_03.tif </t>
  </si>
  <si>
    <t xml:space="preserve"> 5212.8046 </t>
  </si>
  <si>
    <t xml:space="preserve"> 70.4066 </t>
  </si>
  <si>
    <t xml:space="preserve">F:\images\20210225\plaque 1/@11 Cefuroxime ND 1/B11_01.tif </t>
  </si>
  <si>
    <t xml:space="preserve"> 5645.4025 </t>
  </si>
  <si>
    <t xml:space="preserve"> 68.9119 </t>
  </si>
  <si>
    <t xml:space="preserve">F:\images\20210225\plaque 1/@11 Cefuroxime ND 1/B11_02.tif </t>
  </si>
  <si>
    <t xml:space="preserve"> 3114.7048 </t>
  </si>
  <si>
    <t xml:space="preserve"> 65.4375 </t>
  </si>
  <si>
    <t xml:space="preserve">F:\images\20210225\plaque 1/@11 Cefuroxime ND 1/B11_03.tif </t>
  </si>
  <si>
    <t xml:space="preserve"> 3850.1212 </t>
  </si>
  <si>
    <t xml:space="preserve"> 66.6629 </t>
  </si>
  <si>
    <t xml:space="preserve">F:\images\20210225\plaque 1/@11 Cefuroxime ND 1/C11_01.tif </t>
  </si>
  <si>
    <t xml:space="preserve"> 64.5579 </t>
  </si>
  <si>
    <t xml:space="preserve">F:\images\20210225\plaque 1/@11 Cefuroxime ND 1/C11_02.tif </t>
  </si>
  <si>
    <t xml:space="preserve"> 65.1951 </t>
  </si>
  <si>
    <t xml:space="preserve">F:\images\20210225\plaque 1/@11 Cefuroxime ND 1/C11_03.tif </t>
  </si>
  <si>
    <t xml:space="preserve"> 63.2143 </t>
  </si>
  <si>
    <t xml:space="preserve">F:\images\20210225\plaque 1/@11 Cefuroxime ND 1/D11_01.tif </t>
  </si>
  <si>
    <t xml:space="preserve"> 735.4164 </t>
  </si>
  <si>
    <t xml:space="preserve"> 62.0882 </t>
  </si>
  <si>
    <t xml:space="preserve">F:\images\20210225\plaque 1/@11 Cefuroxime ND 1/D11_02.tif </t>
  </si>
  <si>
    <t xml:space="preserve"> 62.5152 </t>
  </si>
  <si>
    <t xml:space="preserve">F:\images\20210225\plaque 1/@11 Cefuroxime ND 1/D11_03.tif </t>
  </si>
  <si>
    <t xml:space="preserve"> 64.6292 </t>
  </si>
  <si>
    <t xml:space="preserve">F:\images\20210225\plaque 1/@11 Cefuroxime ND 1/E11_01.tif </t>
  </si>
  <si>
    <t xml:space="preserve"> 64.2832 </t>
  </si>
  <si>
    <t xml:space="preserve">F:\images\20210225\plaque 1/@11 Cefuroxime ND 1/E11_02.tif </t>
  </si>
  <si>
    <t xml:space="preserve"> 64.125 </t>
  </si>
  <si>
    <t xml:space="preserve">F:\images\20210225\plaque 1/@11 Cefuroxime ND 1/E11_03.tif </t>
  </si>
  <si>
    <t xml:space="preserve"> 63.8511 </t>
  </si>
  <si>
    <t xml:space="preserve">F:\images\20210225\plaque 1/@11 Cefuroxime ND 1/F11_01.tif </t>
  </si>
  <si>
    <t xml:space="preserve"> 821.936 </t>
  </si>
  <si>
    <t xml:space="preserve"> 63.5526 </t>
  </si>
  <si>
    <t>F:\images\20210225\plaque 1/@11 Cefuroxime ND 1/F11_02- exclu.tif</t>
  </si>
  <si>
    <t>F:\images\20210225\plaque 1/@11 Cefuroxime ND 1/F11_03- exclu.tif</t>
  </si>
  <si>
    <t xml:space="preserve">F:\images\20210225\plaque 1/@11 Cefuroxime ND 1/G11_01.tif </t>
  </si>
  <si>
    <t xml:space="preserve"> 63.1356 </t>
  </si>
  <si>
    <t xml:space="preserve">F:\images\20210225\plaque 1/@11 Cefuroxime ND 1/G11_02.tif </t>
  </si>
  <si>
    <t xml:space="preserve"> 930.0855 </t>
  </si>
  <si>
    <t xml:space="preserve"> 63.7442 </t>
  </si>
  <si>
    <t xml:space="preserve">F:\images\20210225\plaque 1/@11 Cefuroxime ND 1/G11_03.tif </t>
  </si>
  <si>
    <t xml:space="preserve"> 454.2278 </t>
  </si>
  <si>
    <t xml:space="preserve"> 65.0476 </t>
  </si>
  <si>
    <t xml:space="preserve">F:\images\20210225\plaque 1/@11 Cefuroxime ND 1/H11_01.tif </t>
  </si>
  <si>
    <t xml:space="preserve"> 4261.0892 </t>
  </si>
  <si>
    <t xml:space="preserve"> 63.4822 </t>
  </si>
  <si>
    <t xml:space="preserve">F:\images\20210225\plaque 1/@11 Cefuroxime ND 1/H11_02.tif </t>
  </si>
  <si>
    <t xml:space="preserve"> 4390.8686 </t>
  </si>
  <si>
    <t xml:space="preserve"> 65.2167 </t>
  </si>
  <si>
    <t xml:space="preserve">F:\images\20210225\plaque 1/@11 Cefuroxime ND 1/H11_03.tif </t>
  </si>
  <si>
    <t xml:space="preserve"> 62.4286 </t>
  </si>
  <si>
    <t xml:space="preserve">F:\images\20210225\plaque 1/@11 Cefuroxime ND 1/ </t>
  </si>
  <si>
    <t xml:space="preserve"> 65.2477 </t>
  </si>
  <si>
    <t xml:space="preserve"> 2.6853 </t>
  </si>
  <si>
    <t xml:space="preserve"> 163684.125 </t>
  </si>
  <si>
    <t xml:space="preserve"> 131106.989 </t>
  </si>
  <si>
    <t xml:space="preserve">F:\images\20210225\plaque 1/@12 Cefuroxime ND 10/A12_01.tif </t>
  </si>
  <si>
    <t xml:space="preserve"> 71.0983 </t>
  </si>
  <si>
    <t xml:space="preserve">F:\images\20210225\plaque 1/@12 Cefuroxime ND 10/A12_02.tif </t>
  </si>
  <si>
    <t xml:space="preserve"> 3028.1852 </t>
  </si>
  <si>
    <t xml:space="preserve">F:\images\20210225\plaque 1/@12 Cefuroxime ND 10/A12_03.tif </t>
  </si>
  <si>
    <t xml:space="preserve"> 1578.9823 </t>
  </si>
  <si>
    <t xml:space="preserve"> 65.6575 </t>
  </si>
  <si>
    <t xml:space="preserve">F:\images\20210225\plaque 1/@12 Cefuroxime ND 10/B12_01.tif </t>
  </si>
  <si>
    <t xml:space="preserve"> 63.8049 </t>
  </si>
  <si>
    <t xml:space="preserve">F:\images\20210225\plaque 1/@12 Cefuroxime ND 10/B12_02.tif </t>
  </si>
  <si>
    <t xml:space="preserve"> 64.2055 </t>
  </si>
  <si>
    <t xml:space="preserve">F:\images\20210225\plaque 1/@12 Cefuroxime ND 10/B12_03.tif </t>
  </si>
  <si>
    <t xml:space="preserve"> 63.8 </t>
  </si>
  <si>
    <t xml:space="preserve">F:\images\20210225\plaque 1/@12 Cefuroxime ND 10/C12_01.tif </t>
  </si>
  <si>
    <t xml:space="preserve"> 66.3333 </t>
  </si>
  <si>
    <t xml:space="preserve">F:\images\20210225\plaque 1/@12 Cefuroxime ND 10/C12_02.tif </t>
  </si>
  <si>
    <t xml:space="preserve"> 5472.3633 </t>
  </si>
  <si>
    <t xml:space="preserve"> 72.8577 </t>
  </si>
  <si>
    <t xml:space="preserve">F:\images\20210225\plaque 1/@12 Cefuroxime ND 10/C12_03.tif </t>
  </si>
  <si>
    <t xml:space="preserve"> 66.7941 </t>
  </si>
  <si>
    <t>F:\images\20210225\plaque 1/@12 Cefuroxime ND 10/D12_01- exclu.tif</t>
  </si>
  <si>
    <t xml:space="preserve">F:\images\20210225\plaque 1/@12 Cefuroxime ND 10/D12_02.tif </t>
  </si>
  <si>
    <t xml:space="preserve"> 281.1886 </t>
  </si>
  <si>
    <t xml:space="preserve"> 63.7692 </t>
  </si>
  <si>
    <t xml:space="preserve">F:\images\20210225\plaque 1/@12 Cefuroxime ND 10/D12_03.tif </t>
  </si>
  <si>
    <t xml:space="preserve">F:\images\20210225\plaque 1/@12 Cefuroxime ND 10/E12_01.tif </t>
  </si>
  <si>
    <t xml:space="preserve"> 4088.0501 </t>
  </si>
  <si>
    <t xml:space="preserve"> 66.9153 </t>
  </si>
  <si>
    <t xml:space="preserve">F:\images\20210225\plaque 1/@12 Cefuroxime ND 10/E12_02.tif </t>
  </si>
  <si>
    <t xml:space="preserve"> 6207.7798 </t>
  </si>
  <si>
    <t xml:space="preserve"> 70.453 </t>
  </si>
  <si>
    <t xml:space="preserve">F:\images\20210225\plaque 1/@12 Cefuroxime ND 10/E12_03.tif </t>
  </si>
  <si>
    <t xml:space="preserve"> 5796.8118 </t>
  </si>
  <si>
    <t xml:space="preserve"> 68.8769 </t>
  </si>
  <si>
    <t xml:space="preserve">F:\images\20210225\plaque 1/@12 Cefuroxime ND 10/F12_01.tif </t>
  </si>
  <si>
    <t xml:space="preserve"> 951.7154 </t>
  </si>
  <si>
    <t xml:space="preserve"> 65.9773 </t>
  </si>
  <si>
    <t xml:space="preserve">F:\images\20210225\plaque 1/@12 Cefuroxime ND 10/F12_02.tif </t>
  </si>
  <si>
    <t xml:space="preserve"> 908.4556 </t>
  </si>
  <si>
    <t xml:space="preserve"> 64.381 </t>
  </si>
  <si>
    <t>F:\images\20210225\plaque 1/@12 Cefuroxime ND 10/F12_03- exclu.tif</t>
  </si>
  <si>
    <t xml:space="preserve">F:\images\20210225\plaque 1/@12 Cefuroxime ND 10/G12_01.tif </t>
  </si>
  <si>
    <t xml:space="preserve"> 62.4194 </t>
  </si>
  <si>
    <t xml:space="preserve">F:\images\20210225\plaque 1/@12 Cefuroxime ND 10/G12_02.tif </t>
  </si>
  <si>
    <t xml:space="preserve">F:\images\20210225\plaque 1/@12 Cefuroxime ND 10/G12_03.tif </t>
  </si>
  <si>
    <t xml:space="preserve"> 6164.52 </t>
  </si>
  <si>
    <t xml:space="preserve"> 67.9368 </t>
  </si>
  <si>
    <t xml:space="preserve">F:\images\20210225\plaque 1/@12 Cefuroxime ND 10/H12_01.tif </t>
  </si>
  <si>
    <t>F:\images\20210225\plaque 1/@12 Cefuroxime ND 10/H12_02- exclu.tif</t>
  </si>
  <si>
    <t xml:space="preserve">F:\images\20210225\plaque 1/@12 Cefuroxime ND 10/H12_03.tif </t>
  </si>
  <si>
    <t xml:space="preserve"> 2162.9895 </t>
  </si>
  <si>
    <t xml:space="preserve">F:\images\20210225\plaque 1/@12 Cefuroxime ND 10/ </t>
  </si>
  <si>
    <t xml:space="preserve"> 66.1783 </t>
  </si>
  <si>
    <t xml:space="preserve"> 2.861 </t>
  </si>
  <si>
    <t xml:space="preserve"> 188166.542 </t>
  </si>
  <si>
    <t xml:space="preserve"> 203831.089 </t>
  </si>
  <si>
    <t xml:space="preserve">F:\images\20210225\plaque 2/@01 Testo 30/A1_01.tif </t>
  </si>
  <si>
    <t xml:space="preserve"> 62.1333 </t>
  </si>
  <si>
    <t xml:space="preserve">F:\images\20210225\plaque 2/@01 Testo 30/A1_02.tif </t>
  </si>
  <si>
    <t xml:space="preserve"> 63.5455 </t>
  </si>
  <si>
    <t xml:space="preserve">F:\images\20210225\plaque 2/@01 Testo 30/A1_03.tif </t>
  </si>
  <si>
    <t xml:space="preserve"> 67.3165 </t>
  </si>
  <si>
    <t>F:\images\20210225\plaque 2/@01 Testo 30/B1_01- exclu.tif</t>
  </si>
  <si>
    <t>F:\images\20210225\plaque 2/@01 Testo 30/B1_02- exclu.tif</t>
  </si>
  <si>
    <t>F:\images\20210225\plaque 2/@01 Testo 30/B1_03- exclu.tif</t>
  </si>
  <si>
    <t xml:space="preserve">F:\images\20210225\plaque 2/@01 Testo 30/C1_01.tif </t>
  </si>
  <si>
    <t xml:space="preserve"> 45509.2983 </t>
  </si>
  <si>
    <t xml:space="preserve"> 73.3436 </t>
  </si>
  <si>
    <t xml:space="preserve">F:\images\20210225\plaque 2/@01 Testo 30/C1_02.tif </t>
  </si>
  <si>
    <t xml:space="preserve"> 46828.7219 </t>
  </si>
  <si>
    <t xml:space="preserve"> 73.9829 </t>
  </si>
  <si>
    <t xml:space="preserve">F:\images\20210225\plaque 2/@01 Testo 30/C1_03.tif </t>
  </si>
  <si>
    <t xml:space="preserve"> 45985.156 </t>
  </si>
  <si>
    <t xml:space="preserve"> 71.7451 </t>
  </si>
  <si>
    <t xml:space="preserve">F:\images\20210225\plaque 2/@01 Testo 30/D1_01.tif </t>
  </si>
  <si>
    <t xml:space="preserve"> 52668.7934 </t>
  </si>
  <si>
    <t xml:space="preserve"> 73.7047 </t>
  </si>
  <si>
    <t xml:space="preserve">F:\images\20210225\plaque 2/@01 Testo 30/D1_02.tif </t>
  </si>
  <si>
    <t xml:space="preserve"> 50916.772 </t>
  </si>
  <si>
    <t xml:space="preserve"> 74.4983 </t>
  </si>
  <si>
    <t xml:space="preserve">F:\images\20210225\plaque 2/@01 Testo 30/D1_03.tif </t>
  </si>
  <si>
    <t xml:space="preserve"> 52344.345 </t>
  </si>
  <si>
    <t xml:space="preserve"> 71.5541 </t>
  </si>
  <si>
    <t>F:\images\20210225\plaque 2/@01 Testo 30/E1_01- exclu.tif</t>
  </si>
  <si>
    <t xml:space="preserve">F:\images\20210225\plaque 2/@01 Testo 30/E1_02.tif </t>
  </si>
  <si>
    <t xml:space="preserve"> 59698.5092 </t>
  </si>
  <si>
    <t xml:space="preserve"> 77.9678 </t>
  </si>
  <si>
    <t xml:space="preserve">F:\images\20210225\plaque 2/@01 Testo 30/E1_03.tif </t>
  </si>
  <si>
    <t xml:space="preserve"> 59568.7298 </t>
  </si>
  <si>
    <t xml:space="preserve"> 75.3765 </t>
  </si>
  <si>
    <t xml:space="preserve">F:\images\20210225\plaque 2/@01 Testo 30/F1_01.tif </t>
  </si>
  <si>
    <t xml:space="preserve"> 22711.3894 </t>
  </si>
  <si>
    <t xml:space="preserve"> 66.88 </t>
  </si>
  <si>
    <t xml:space="preserve">F:\images\20210225\plaque 2/@01 Testo 30/F1_02.tif </t>
  </si>
  <si>
    <t xml:space="preserve"> 26366.8416 </t>
  </si>
  <si>
    <t xml:space="preserve"> 68.7842 </t>
  </si>
  <si>
    <t xml:space="preserve">F:\images\20210225\plaque 2/@01 Testo 30/F1_03.tif </t>
  </si>
  <si>
    <t xml:space="preserve"> 29827.6247 </t>
  </si>
  <si>
    <t xml:space="preserve"> 68.6048 </t>
  </si>
  <si>
    <t xml:space="preserve">F:\images\20210225\plaque 2/@01 Testo 30/G1_01.tif </t>
  </si>
  <si>
    <t xml:space="preserve"> 33483.0769 </t>
  </si>
  <si>
    <t xml:space="preserve"> 67.9399 </t>
  </si>
  <si>
    <t xml:space="preserve">F:\images\20210225\plaque 2/@01 Testo 30/G1_02.tif </t>
  </si>
  <si>
    <t xml:space="preserve"> 31255.1977 </t>
  </si>
  <si>
    <t xml:space="preserve"> 67.6782 </t>
  </si>
  <si>
    <t xml:space="preserve">F:\images\20210225\plaque 2/@01 Testo 30/G1_03.tif </t>
  </si>
  <si>
    <t xml:space="preserve"> 29200.3577 </t>
  </si>
  <si>
    <t xml:space="preserve"> 68.7985 </t>
  </si>
  <si>
    <t>F:\images\20210225\plaque 2/@01 Testo 30/H1_01- exclu.tif</t>
  </si>
  <si>
    <t xml:space="preserve">F:\images\20210225\plaque 2/@01 Testo 30/H1_02.tif </t>
  </si>
  <si>
    <t xml:space="preserve"> 15205.8159 </t>
  </si>
  <si>
    <t xml:space="preserve"> 65.5263 </t>
  </si>
  <si>
    <t xml:space="preserve">F:\images\20210225\plaque 2/@01 Testo 30/H1_03.tif </t>
  </si>
  <si>
    <t xml:space="preserve"> 11074.506 </t>
  </si>
  <si>
    <t xml:space="preserve"> 64.3965 </t>
  </si>
  <si>
    <t xml:space="preserve">F:\images\20210225\plaque 2/@01 Testo 30/ </t>
  </si>
  <si>
    <t xml:space="preserve"> 69.2588 </t>
  </si>
  <si>
    <t xml:space="preserve"> 4.6969 </t>
  </si>
  <si>
    <t xml:space="preserve"> 2131019.58 </t>
  </si>
  <si>
    <t xml:space="preserve"> 1568417.3 </t>
  </si>
  <si>
    <t xml:space="preserve">F:\images\20210225\plaque 2/@02 Testo 30/A2_01.tif </t>
  </si>
  <si>
    <t xml:space="preserve"> 46439.3838 </t>
  </si>
  <si>
    <t xml:space="preserve"> 70.3256 </t>
  </si>
  <si>
    <t xml:space="preserve">F:\images\20210225\plaque 2/@02 Testo 30/A2_02.tif </t>
  </si>
  <si>
    <t xml:space="preserve"> 38133.5042 </t>
  </si>
  <si>
    <t xml:space="preserve"> 67.8054 </t>
  </si>
  <si>
    <t xml:space="preserve">F:\images\20210225\plaque 2/@02 Testo 30/A2_03.tif </t>
  </si>
  <si>
    <t xml:space="preserve"> 43584.2377 </t>
  </si>
  <si>
    <t xml:space="preserve"> 69.1841 </t>
  </si>
  <si>
    <t xml:space="preserve">F:\images\20210225\plaque 2/@02 Testo 30/B2_01.tif </t>
  </si>
  <si>
    <t xml:space="preserve"> 65.8104 </t>
  </si>
  <si>
    <t xml:space="preserve">F:\images\20210225\plaque 2/@02 Testo 30/B2_02.tif </t>
  </si>
  <si>
    <t xml:space="preserve"> 41918.7358 </t>
  </si>
  <si>
    <t xml:space="preserve"> 74.3008 </t>
  </si>
  <si>
    <t xml:space="preserve">F:\images\20210225\plaque 2/@02 Testo 30/B2_03.tif </t>
  </si>
  <si>
    <t xml:space="preserve"> 41031.9101 </t>
  </si>
  <si>
    <t xml:space="preserve"> 71.8777 </t>
  </si>
  <si>
    <t xml:space="preserve">F:\images\20210225\plaque 2/@02 Testo 30/C2_01.tif </t>
  </si>
  <si>
    <t xml:space="preserve"> 33201.8883 </t>
  </si>
  <si>
    <t xml:space="preserve"> 69.0065 </t>
  </si>
  <si>
    <t xml:space="preserve">F:\images\20210225\plaque 2/@02 Testo 30/C2_02.tif </t>
  </si>
  <si>
    <t xml:space="preserve"> 29697.8453 </t>
  </si>
  <si>
    <t xml:space="preserve"> 67.8762 </t>
  </si>
  <si>
    <t xml:space="preserve">F:\images\20210225\plaque 2/@02 Testo 30/C2_03.tif </t>
  </si>
  <si>
    <t xml:space="preserve"> 27232.0373 </t>
  </si>
  <si>
    <t xml:space="preserve"> 67.9754 </t>
  </si>
  <si>
    <t xml:space="preserve">F:\images\20210225\plaque 2/@02 Testo 30/D2_01.tif </t>
  </si>
  <si>
    <t xml:space="preserve"> 39517.8175 </t>
  </si>
  <si>
    <t xml:space="preserve"> 80.2222 </t>
  </si>
  <si>
    <t xml:space="preserve">F:\images\20210225\plaque 2/@02 Testo 30/D2_02.tif </t>
  </si>
  <si>
    <t xml:space="preserve"> 46655.6827 </t>
  </si>
  <si>
    <t xml:space="preserve"> 80.7585 </t>
  </si>
  <si>
    <t xml:space="preserve">F:\images\20210225\plaque 2/@02 Testo 30/D2_03.tif </t>
  </si>
  <si>
    <t xml:space="preserve"> 46158.1951 </t>
  </si>
  <si>
    <t xml:space="preserve"> 78.8894 </t>
  </si>
  <si>
    <t>F:\images\20210225\plaque 2/@02 Testo 30/E2_01- exclu.tif</t>
  </si>
  <si>
    <t xml:space="preserve">F:\images\20210225\plaque 2/@02 Testo 30/E2_02.tif </t>
  </si>
  <si>
    <t xml:space="preserve"> 54312.6654 </t>
  </si>
  <si>
    <t xml:space="preserve"> 77.6304 </t>
  </si>
  <si>
    <t xml:space="preserve">F:\images\20210225\plaque 2/@02 Testo 30/E2_03.tif </t>
  </si>
  <si>
    <t xml:space="preserve"> 55112.9715 </t>
  </si>
  <si>
    <t xml:space="preserve"> 78.5165 </t>
  </si>
  <si>
    <t xml:space="preserve">F:\images\20210225\plaque 2/@02 Testo 30/F2_01.tif </t>
  </si>
  <si>
    <t xml:space="preserve"> 63.3636 </t>
  </si>
  <si>
    <t xml:space="preserve">F:\images\20210225\plaque 2/@02 Testo 30/F2_02.tif </t>
  </si>
  <si>
    <t xml:space="preserve"> 63.1333 </t>
  </si>
  <si>
    <t>F:\images\20210225\plaque 2/@02 Testo 30/F2_03- exclu.tif</t>
  </si>
  <si>
    <t xml:space="preserve">F:\images\20210225\plaque 2/@02 Testo 30/G2_01.tif </t>
  </si>
  <si>
    <t xml:space="preserve"> 8868.2568 </t>
  </si>
  <si>
    <t xml:space="preserve"> 64.839 </t>
  </si>
  <si>
    <t xml:space="preserve">F:\images\20210225\plaque 2/@02 Testo 30/G2_02.tif </t>
  </si>
  <si>
    <t xml:space="preserve"> 3136.3347 </t>
  </si>
  <si>
    <t xml:space="preserve"> 63.3724 </t>
  </si>
  <si>
    <t xml:space="preserve">F:\images\20210225\plaque 2/@02 Testo 30/G2_03.tif </t>
  </si>
  <si>
    <t xml:space="preserve"> 9106.1856 </t>
  </si>
  <si>
    <t xml:space="preserve"> 65.0428 </t>
  </si>
  <si>
    <t xml:space="preserve">F:\images\20210225\plaque 2/@02 Testo 30/H2_01.tif </t>
  </si>
  <si>
    <t xml:space="preserve"> 42394.5935 </t>
  </si>
  <si>
    <t xml:space="preserve"> 72.8541 </t>
  </si>
  <si>
    <t xml:space="preserve">F:\images\20210225\plaque 2/@02 Testo 30/H2_02.tif </t>
  </si>
  <si>
    <t xml:space="preserve"> 38198.3939 </t>
  </si>
  <si>
    <t xml:space="preserve"> 69.269 </t>
  </si>
  <si>
    <t xml:space="preserve">F:\images\20210225\plaque 2/@02 Testo 30/H2_03.tif </t>
  </si>
  <si>
    <t xml:space="preserve"> 40923.7606 </t>
  </si>
  <si>
    <t xml:space="preserve"> 71.2918 </t>
  </si>
  <si>
    <t xml:space="preserve">F:\images\20210225\plaque 2/@02 Testo 30/ </t>
  </si>
  <si>
    <t xml:space="preserve"> 70.1753 </t>
  </si>
  <si>
    <t xml:space="preserve"> 5.659 </t>
  </si>
  <si>
    <t xml:space="preserve"> 2335174.17 </t>
  </si>
  <si>
    <t xml:space="preserve"> 1373618.46 </t>
  </si>
  <si>
    <t xml:space="preserve">F:\images\20210225\plaque 2/@03 Testo + E2/A3_01.tif </t>
  </si>
  <si>
    <t xml:space="preserve"> 42351.3337 </t>
  </si>
  <si>
    <t xml:space="preserve"> 80.1471 </t>
  </si>
  <si>
    <t xml:space="preserve">F:\images\20210225\plaque 2/@03 Testo + E2/A3_02.tif </t>
  </si>
  <si>
    <t xml:space="preserve"> 79.6626 </t>
  </si>
  <si>
    <t xml:space="preserve">F:\images\20210225\plaque 2/@03 Testo + E2/A3_03.tif </t>
  </si>
  <si>
    <t xml:space="preserve"> 50830.2524 </t>
  </si>
  <si>
    <t xml:space="preserve"> 80.8583 </t>
  </si>
  <si>
    <t xml:space="preserve">F:\images\20210225\plaque 2/@03 Testo + E2/B3_01.tif </t>
  </si>
  <si>
    <t xml:space="preserve"> 73.4403 </t>
  </si>
  <si>
    <t xml:space="preserve">F:\images\20210225\plaque 2/@03 Testo + E2/B3_02.tif </t>
  </si>
  <si>
    <t xml:space="preserve"> 32963.9594 </t>
  </si>
  <si>
    <t xml:space="preserve"> 67.771 </t>
  </si>
  <si>
    <t xml:space="preserve">F:\images\20210225\plaque 2/@03 Testo + E2/B3_03.tif </t>
  </si>
  <si>
    <t xml:space="preserve"> 42827.1914 </t>
  </si>
  <si>
    <t xml:space="preserve"> 69.4803 </t>
  </si>
  <si>
    <t xml:space="preserve">F:\images\20210225\plaque 2/@03 Testo + E2/C3_01.tif </t>
  </si>
  <si>
    <t xml:space="preserve"> 66230.7374 </t>
  </si>
  <si>
    <t xml:space="preserve"> 77.4611 </t>
  </si>
  <si>
    <t>F:\images\20210225\plaque 2/@03 Testo + E2/C3_02- exclu.tif</t>
  </si>
  <si>
    <t xml:space="preserve">F:\images\20210225\plaque 2/@03 Testo + E2/C3_03.tif </t>
  </si>
  <si>
    <t xml:space="preserve"> 58790.0536 </t>
  </si>
  <si>
    <t xml:space="preserve"> 81.5909 </t>
  </si>
  <si>
    <t xml:space="preserve">F:\images\20210225\plaque 2/@03 Testo + E2/D3_01.tif </t>
  </si>
  <si>
    <t xml:space="preserve"> 62942.9934 </t>
  </si>
  <si>
    <t xml:space="preserve"> 85.3546 </t>
  </si>
  <si>
    <t xml:space="preserve">F:\images\20210225\plaque 2/@03 Testo + E2/D3_02.tif </t>
  </si>
  <si>
    <t xml:space="preserve"> 61126.0822 </t>
  </si>
  <si>
    <t xml:space="preserve"> 84.5474 </t>
  </si>
  <si>
    <t xml:space="preserve">F:\images\20210225\plaque 2/@03 Testo + E2/D3_03.tif </t>
  </si>
  <si>
    <t xml:space="preserve"> 57038.0321 </t>
  </si>
  <si>
    <t xml:space="preserve"> 87.3182 </t>
  </si>
  <si>
    <t>F:\images\20210225\plaque 2/@03 Testo + E2/E3_01- exclu.tif</t>
  </si>
  <si>
    <t xml:space="preserve">F:\images\20210225\plaque 2/@03 Testo + E2/E3_02.tif </t>
  </si>
  <si>
    <t xml:space="preserve"> 63072.7727 </t>
  </si>
  <si>
    <t xml:space="preserve"> 76.4805 </t>
  </si>
  <si>
    <t xml:space="preserve">F:\images\20210225\plaque 2/@03 Testo + E2/E3_03.tif </t>
  </si>
  <si>
    <t xml:space="preserve"> 61926.3883 </t>
  </si>
  <si>
    <t xml:space="preserve"> 77.9347 </t>
  </si>
  <si>
    <t xml:space="preserve">F:\images\20210225\plaque 2/@03 Testo + E2/F3_01.tif </t>
  </si>
  <si>
    <t xml:space="preserve"> 56994.7723 </t>
  </si>
  <si>
    <t xml:space="preserve"> 71.2805 </t>
  </si>
  <si>
    <t xml:space="preserve">F:\images\20210225\plaque 2/@03 Testo + E2/F3_02.tif </t>
  </si>
  <si>
    <t xml:space="preserve"> 48732.1526 </t>
  </si>
  <si>
    <t xml:space="preserve"> 75.2423 </t>
  </si>
  <si>
    <t xml:space="preserve">F:\images\20210225\plaque 2/@03 Testo + E2/F3_03.tif </t>
  </si>
  <si>
    <t xml:space="preserve"> 53901.6974 </t>
  </si>
  <si>
    <t xml:space="preserve"> 71.386 </t>
  </si>
  <si>
    <t xml:space="preserve">F:\images\20210225\plaque 2/@03 Testo + E2/G3_01.tif </t>
  </si>
  <si>
    <t xml:space="preserve"> 65776.5096 </t>
  </si>
  <si>
    <t xml:space="preserve"> 80.0677 </t>
  </si>
  <si>
    <t xml:space="preserve">F:\images\20210225\plaque 2/@03 Testo + E2/G3_02.tif </t>
  </si>
  <si>
    <t xml:space="preserve"> 62726.6944 </t>
  </si>
  <si>
    <t xml:space="preserve"> 80.5314 </t>
  </si>
  <si>
    <t xml:space="preserve">F:\images\20210225\plaque 2/@03 Testo + E2/G3_03.tif </t>
  </si>
  <si>
    <t xml:space="preserve"> 65279.022 </t>
  </si>
  <si>
    <t xml:space="preserve"> 77.396 </t>
  </si>
  <si>
    <t xml:space="preserve">F:\images\20210225\plaque 2/@03 Testo + E2/H3_01.tif </t>
  </si>
  <si>
    <t xml:space="preserve"> 42697.412 </t>
  </si>
  <si>
    <t xml:space="preserve"> 74.844 </t>
  </si>
  <si>
    <t xml:space="preserve">F:\images\20210225\plaque 2/@03 Testo + E2/H3_02.tif </t>
  </si>
  <si>
    <t xml:space="preserve"> 45747.2271 </t>
  </si>
  <si>
    <t xml:space="preserve"> 75.347 </t>
  </si>
  <si>
    <t xml:space="preserve">F:\images\20210225\plaque 2/@03 Testo + E2/H3_03.tif </t>
  </si>
  <si>
    <t xml:space="preserve"> 49034.9711 </t>
  </si>
  <si>
    <t xml:space="preserve"> 73.7733 </t>
  </si>
  <si>
    <t xml:space="preserve">F:\images\20210225\plaque 2/@03 Testo + E2/ </t>
  </si>
  <si>
    <t xml:space="preserve"> 77.2922 </t>
  </si>
  <si>
    <t xml:space="preserve"> 4.9401 </t>
  </si>
  <si>
    <t xml:space="preserve"> 4243273.25 </t>
  </si>
  <si>
    <t xml:space="preserve"> 831421.724 </t>
  </si>
  <si>
    <t xml:space="preserve">F:\images\20210225\plaque 2/@04 Testo + FAD/A4_01.tif </t>
  </si>
  <si>
    <t xml:space="preserve"> 13410.5347 </t>
  </si>
  <si>
    <t xml:space="preserve"> 76.3419 </t>
  </si>
  <si>
    <t xml:space="preserve">F:\images\20210225\plaque 2/@04 Testo + FAD/A4_02.tif </t>
  </si>
  <si>
    <t xml:space="preserve"> 2011.5802 </t>
  </si>
  <si>
    <t xml:space="preserve"> 65.914 </t>
  </si>
  <si>
    <t xml:space="preserve">F:\images\20210225\plaque 2/@04 Testo + FAD/A4_03.tif </t>
  </si>
  <si>
    <t xml:space="preserve"> 3331.0038 </t>
  </si>
  <si>
    <t xml:space="preserve"> 64.4481 </t>
  </si>
  <si>
    <t xml:space="preserve">F:\images\20210225\plaque 2/@04 Testo + FAD/B4_01.tif </t>
  </si>
  <si>
    <t xml:space="preserve"> 10014.6412 </t>
  </si>
  <si>
    <t xml:space="preserve"> 71.2009 </t>
  </si>
  <si>
    <t xml:space="preserve">F:\images\20210225\plaque 2/@04 Testo + FAD/B4_02.tif </t>
  </si>
  <si>
    <t xml:space="preserve"> 4650.4273 </t>
  </si>
  <si>
    <t xml:space="preserve"> 65.5302 </t>
  </si>
  <si>
    <t xml:space="preserve">F:\images\20210225\plaque 2/@04 Testo + FAD/B4_03.tif </t>
  </si>
  <si>
    <t xml:space="preserve"> 5299.3242 </t>
  </si>
  <si>
    <t xml:space="preserve"> 70.8122 </t>
  </si>
  <si>
    <t xml:space="preserve">F:\images\20210225\plaque 2/@04 Testo + FAD/C4_01.tif </t>
  </si>
  <si>
    <t xml:space="preserve"> 63.3684 </t>
  </si>
  <si>
    <t xml:space="preserve">F:\images\20210225\plaque 2/@04 Testo + FAD/C4_02.tif </t>
  </si>
  <si>
    <t xml:space="preserve"> 64.0323 </t>
  </si>
  <si>
    <t xml:space="preserve">F:\images\20210225\plaque 2/@04 Testo + FAD/C4_03.tif </t>
  </si>
  <si>
    <t xml:space="preserve"> 3763.6017 </t>
  </si>
  <si>
    <t xml:space="preserve"> 64.9828 </t>
  </si>
  <si>
    <t xml:space="preserve">F:\images\20210225\plaque 2/@04 Testo + FAD/D4_01.tif </t>
  </si>
  <si>
    <t xml:space="preserve"> 10836.5772 </t>
  </si>
  <si>
    <t xml:space="preserve"> 70.1497 </t>
  </si>
  <si>
    <t xml:space="preserve">F:\images\20210225\plaque 2/@04 Testo + FAD/D4_02.tif </t>
  </si>
  <si>
    <t xml:space="preserve"> 67.1988 </t>
  </si>
  <si>
    <t xml:space="preserve">F:\images\20210225\plaque 2/@04 Testo + FAD/D4_03.tif </t>
  </si>
  <si>
    <t xml:space="preserve"> 63.2222 </t>
  </si>
  <si>
    <t xml:space="preserve">F:\images\20210225\plaque 2/@04 Testo + FAD/E4_01.tif </t>
  </si>
  <si>
    <t xml:space="preserve"> 67.3793 </t>
  </si>
  <si>
    <t xml:space="preserve">F:\images\20210225\plaque 2/@04 Testo + FAD/E4_02.tif </t>
  </si>
  <si>
    <t xml:space="preserve">F:\images\20210225\plaque 2/@04 Testo + FAD/E4_03.tif </t>
  </si>
  <si>
    <t xml:space="preserve"> 3936.6408 </t>
  </si>
  <si>
    <t xml:space="preserve"> 67.8187 </t>
  </si>
  <si>
    <t xml:space="preserve">F:\images\20210225\plaque 2/@04 Testo + FAD/F4_01.tif </t>
  </si>
  <si>
    <t xml:space="preserve"> 865.1958 </t>
  </si>
  <si>
    <t xml:space="preserve"> 64.8 </t>
  </si>
  <si>
    <t xml:space="preserve">F:\images\20210225\plaque 2/@04 Testo + FAD/F4_02.tif </t>
  </si>
  <si>
    <t xml:space="preserve"> 67.7778 </t>
  </si>
  <si>
    <t xml:space="preserve">F:\images\20210225\plaque 2/@04 Testo + FAD/F4_03.tif </t>
  </si>
  <si>
    <t xml:space="preserve"> 63.2632 </t>
  </si>
  <si>
    <t>F:\images\20210225\plaque 2/@04 Testo + FAD/G4_01- exclu.tif</t>
  </si>
  <si>
    <t>F:\images\20210225\plaque 2/@04 Testo + FAD/G4_02- exclu.tif</t>
  </si>
  <si>
    <t>F:\images\20210225\plaque 2/@04 Testo + FAD/G4_03- exclu.tif</t>
  </si>
  <si>
    <t xml:space="preserve">F:\images\20210225\plaque 2/@04 Testo + FAD/H4_01.tif </t>
  </si>
  <si>
    <t xml:space="preserve"> 1103.1246 </t>
  </si>
  <si>
    <t xml:space="preserve"> 65.0196 </t>
  </si>
  <si>
    <t xml:space="preserve">F:\images\20210225\plaque 2/@04 Testo + FAD/H4_02.tif </t>
  </si>
  <si>
    <t xml:space="preserve"> 7830.0219 </t>
  </si>
  <si>
    <t xml:space="preserve"> 71.7431 </t>
  </si>
  <si>
    <t xml:space="preserve">F:\images\20210225\plaque 2/@04 Testo + FAD/H4_03.tif </t>
  </si>
  <si>
    <t xml:space="preserve"> 62.75 </t>
  </si>
  <si>
    <t xml:space="preserve">F:\images\20210225\plaque 2/@04 Testo + FAD/ </t>
  </si>
  <si>
    <t xml:space="preserve"> 69.691 </t>
  </si>
  <si>
    <t xml:space="preserve"> 8.8449 </t>
  </si>
  <si>
    <t xml:space="preserve"> 369953.763 </t>
  </si>
  <si>
    <t xml:space="preserve">F:\images\20210225\plaque 2/@05 Cefuroxime D 0.001/A5_01.tif </t>
  </si>
  <si>
    <t xml:space="preserve"> 30584.671 </t>
  </si>
  <si>
    <t xml:space="preserve"> 70.0665 </t>
  </si>
  <si>
    <t>F:\images\20210225\plaque 2/@05 Cefuroxime D 0.001/A5_02- exclu.tif</t>
  </si>
  <si>
    <t xml:space="preserve">F:\images\20210225\plaque 2/@05 Cefuroxime D 0.001/A5_03.tif </t>
  </si>
  <si>
    <t xml:space="preserve"> 33223.5181 </t>
  </si>
  <si>
    <t xml:space="preserve"> 70.224 </t>
  </si>
  <si>
    <t xml:space="preserve">F:\images\20210225\plaque 2/@05 Cefuroxime D 0.001/B5_01.tif </t>
  </si>
  <si>
    <t xml:space="preserve"> 51868.4873 </t>
  </si>
  <si>
    <t xml:space="preserve"> 74.3699 </t>
  </si>
  <si>
    <t xml:space="preserve">F:\images\20210225\plaque 2/@05 Cefuroxime D 0.001/B5_02.tif </t>
  </si>
  <si>
    <t xml:space="preserve"> 43908.6861 </t>
  </si>
  <si>
    <t xml:space="preserve"> 71.566 </t>
  </si>
  <si>
    <t xml:space="preserve">F:\images\20210225\plaque 2/@05 Cefuroxime D 0.001/B5_03.tif </t>
  </si>
  <si>
    <t xml:space="preserve"> 47823.697 </t>
  </si>
  <si>
    <t xml:space="preserve"> 74.5242 </t>
  </si>
  <si>
    <t>F:\images\20210225\plaque 2/@05 Cefuroxime D 0.001/C5_01- exclu.tif</t>
  </si>
  <si>
    <t xml:space="preserve">F:\images\20210225\plaque 2/@05 Cefuroxime D 0.001/C5_02.tif </t>
  </si>
  <si>
    <t xml:space="preserve"> 67636.6805 </t>
  </si>
  <si>
    <t xml:space="preserve"> 77.9661 </t>
  </si>
  <si>
    <t xml:space="preserve">F:\images\20210225\plaque 2/@05 Cefuroxime D 0.001/C5_03.tif </t>
  </si>
  <si>
    <t xml:space="preserve"> 73022.5243 </t>
  </si>
  <si>
    <t xml:space="preserve"> 77.439 </t>
  </si>
  <si>
    <t xml:space="preserve">F:\images\20210225\plaque 2/@05 Cefuroxime D 0.001/D5_01.tif </t>
  </si>
  <si>
    <t xml:space="preserve"> 49575.7185 </t>
  </si>
  <si>
    <t xml:space="preserve"> 77.0746 </t>
  </si>
  <si>
    <t xml:space="preserve">F:\images\20210225\plaque 2/@05 Cefuroxime D 0.001/D5_02.tif </t>
  </si>
  <si>
    <t xml:space="preserve"> 45963.5261 </t>
  </si>
  <si>
    <t xml:space="preserve"> 77.1256 </t>
  </si>
  <si>
    <t xml:space="preserve">F:\images\20210225\plaque 2/@05 Cefuroxime D 0.001/D5_03.tif </t>
  </si>
  <si>
    <t xml:space="preserve"> 46093.3055 </t>
  </si>
  <si>
    <t xml:space="preserve"> 76.6016 </t>
  </si>
  <si>
    <t xml:space="preserve">F:\images\20210225\plaque 2/@05 Cefuroxime D 0.001/E5_01.tif </t>
  </si>
  <si>
    <t xml:space="preserve"> 42091.7749 </t>
  </si>
  <si>
    <t xml:space="preserve"> 76.815 </t>
  </si>
  <si>
    <t xml:space="preserve">F:\images\20210225\plaque 2/@05 Cefuroxime D 0.001/E5_02.tif </t>
  </si>
  <si>
    <t xml:space="preserve"> 41615.9173 </t>
  </si>
  <si>
    <t xml:space="preserve"> 78.0515 </t>
  </si>
  <si>
    <t xml:space="preserve">F:\images\20210225\plaque 2/@05 Cefuroxime D 0.001/E5_03.tif </t>
  </si>
  <si>
    <t xml:space="preserve"> 41486.1379 </t>
  </si>
  <si>
    <t xml:space="preserve"> 76.4129 </t>
  </si>
  <si>
    <t xml:space="preserve">F:\images\20210225\plaque 2/@05 Cefuroxime D 0.001/F5_01.tif </t>
  </si>
  <si>
    <t xml:space="preserve"> 47326.2094 </t>
  </si>
  <si>
    <t xml:space="preserve"> 72.9164 </t>
  </si>
  <si>
    <t xml:space="preserve">F:\images\20210225\plaque 2/@05 Cefuroxime D 0.001/F5_02.tif </t>
  </si>
  <si>
    <t xml:space="preserve"> 43454.4583 </t>
  </si>
  <si>
    <t xml:space="preserve"> 72.1618 </t>
  </si>
  <si>
    <t xml:space="preserve">F:\images\20210225\plaque 2/@05 Cefuroxime D 0.001/F5_03.tif </t>
  </si>
  <si>
    <t xml:space="preserve"> 38111.8743 </t>
  </si>
  <si>
    <t xml:space="preserve"> 69.7753 </t>
  </si>
  <si>
    <t xml:space="preserve">F:\images\20210225\plaque 2/@05 Cefuroxime D 0.001/G5_01.tif </t>
  </si>
  <si>
    <t xml:space="preserve"> 51825.2275 </t>
  </si>
  <si>
    <t xml:space="preserve"> 74.9215 </t>
  </si>
  <si>
    <t xml:space="preserve">F:\images\20210225\plaque 2/@05 Cefuroxime D 0.001/G5_02.tif </t>
  </si>
  <si>
    <t xml:space="preserve"> 53382.5799 </t>
  </si>
  <si>
    <t xml:space="preserve"> 73.6264 </t>
  </si>
  <si>
    <t xml:space="preserve">F:\images\20210225\plaque 2/@05 Cefuroxime D 0.001/G5_03.tif </t>
  </si>
  <si>
    <t xml:space="preserve"> 51695.4482 </t>
  </si>
  <si>
    <t xml:space="preserve"> 74.1749 </t>
  </si>
  <si>
    <t xml:space="preserve">F:\images\20210225\plaque 2/@05 Cefuroxime D 0.001/H5_01.tif </t>
  </si>
  <si>
    <t xml:space="preserve"> 40036.935 </t>
  </si>
  <si>
    <t xml:space="preserve"> 70.9638 </t>
  </si>
  <si>
    <t xml:space="preserve">F:\images\20210225\plaque 2/@05 Cefuroxime D 0.001/H5_02.tif </t>
  </si>
  <si>
    <t xml:space="preserve"> 71.7659 </t>
  </si>
  <si>
    <t xml:space="preserve">F:\images\20210225\plaque 2/@05 Cefuroxime D 0.001/H5_03.tif </t>
  </si>
  <si>
    <t xml:space="preserve"> 38328.1733 </t>
  </si>
  <si>
    <t xml:space="preserve"> 69.7799 </t>
  </si>
  <si>
    <t xml:space="preserve">F:\images\20210225\plaque 2/@05 Cefuroxime D 0.001/ </t>
  </si>
  <si>
    <t xml:space="preserve"> 73.8452 </t>
  </si>
  <si>
    <t xml:space="preserve"> 3.0372 </t>
  </si>
  <si>
    <t xml:space="preserve"> 3405968.46 </t>
  </si>
  <si>
    <t xml:space="preserve"> 952822.661 </t>
  </si>
  <si>
    <t xml:space="preserve">F:\images\20210225\plaque 2/@06 Cefuroxime D 0.01/A6_01.tif </t>
  </si>
  <si>
    <t xml:space="preserve"> 14492.0294 </t>
  </si>
  <si>
    <t xml:space="preserve"> 71.8791 </t>
  </si>
  <si>
    <t xml:space="preserve">F:\images\20210225\plaque 2/@06 Cefuroxime D 0.01/A6_02.tif </t>
  </si>
  <si>
    <t xml:space="preserve"> 12242.5204 </t>
  </si>
  <si>
    <t xml:space="preserve"> 68.1537 </t>
  </si>
  <si>
    <t xml:space="preserve">F:\images\20210225\plaque 2/@06 Cefuroxime D 0.01/A6_03.tif </t>
  </si>
  <si>
    <t xml:space="preserve"> 15227.4458 </t>
  </si>
  <si>
    <t xml:space="preserve"> 70.0852 </t>
  </si>
  <si>
    <t xml:space="preserve">F:\images\20210225\plaque 2/@06 Cefuroxime D 0.01/B6_01.tif </t>
  </si>
  <si>
    <t xml:space="preserve"> 34694.351 </t>
  </si>
  <si>
    <t xml:space="preserve"> 67.6983 </t>
  </si>
  <si>
    <t xml:space="preserve">F:\images\20210225\plaque 2/@06 Cefuroxime D 0.01/B6_02.tif </t>
  </si>
  <si>
    <t xml:space="preserve"> 38393.063 </t>
  </si>
  <si>
    <t xml:space="preserve"> 69.831 </t>
  </si>
  <si>
    <t xml:space="preserve">F:\images\20210225\plaque 2/@06 Cefuroxime D 0.01/B6_03.tif </t>
  </si>
  <si>
    <t xml:space="preserve"> 32552.9914 </t>
  </si>
  <si>
    <t xml:space="preserve"> 67.4199 </t>
  </si>
  <si>
    <t xml:space="preserve">F:\images\20210225\plaque 2/@06 Cefuroxime D 0.01/C6_01.tif </t>
  </si>
  <si>
    <t xml:space="preserve"> 49965.0566 </t>
  </si>
  <si>
    <t xml:space="preserve"> 84.4615 </t>
  </si>
  <si>
    <t xml:space="preserve">F:\images\20210225\plaque 2/@06 Cefuroxime D 0.01/C6_02.tif </t>
  </si>
  <si>
    <t xml:space="preserve"> 48926.8217 </t>
  </si>
  <si>
    <t xml:space="preserve"> 82.0756 </t>
  </si>
  <si>
    <t xml:space="preserve">F:\images\20210225\plaque 2/@06 Cefuroxime D 0.01/C6_03.tif </t>
  </si>
  <si>
    <t xml:space="preserve"> 82.0357 </t>
  </si>
  <si>
    <t xml:space="preserve">F:\images\20210225\plaque 2/@06 Cefuroxime D 0.01/D6_01.tif </t>
  </si>
  <si>
    <t xml:space="preserve"> 42567.6326 </t>
  </si>
  <si>
    <t xml:space="preserve"> 74.4004 </t>
  </si>
  <si>
    <t xml:space="preserve">F:\images\20210225\plaque 2/@06 Cefuroxime D 0.01/D6_02.tif </t>
  </si>
  <si>
    <t xml:space="preserve"> 38544.4722 </t>
  </si>
  <si>
    <t xml:space="preserve"> 74.9815 </t>
  </si>
  <si>
    <t xml:space="preserve">F:\images\20210225\plaque 2/@06 Cefuroxime D 0.01/D6_03.tif </t>
  </si>
  <si>
    <t xml:space="preserve"> 42199.9244 </t>
  </si>
  <si>
    <t xml:space="preserve"> 74.6627 </t>
  </si>
  <si>
    <t xml:space="preserve">F:\images\20210225\plaque 2/@06 Cefuroxime D 0.01/E6_01.tif </t>
  </si>
  <si>
    <t xml:space="preserve"> 72005.9192 </t>
  </si>
  <si>
    <t xml:space="preserve"> 78.9456 </t>
  </si>
  <si>
    <t xml:space="preserve">F:\images\20210225\plaque 2/@06 Cefuroxime D 0.01/E6_02.tif </t>
  </si>
  <si>
    <t xml:space="preserve"> 60390.6658 </t>
  </si>
  <si>
    <t xml:space="preserve"> 80.8223 </t>
  </si>
  <si>
    <t xml:space="preserve">F:\images\20210225\plaque 2/@06 Cefuroxime D 0.01/E6_03.tif </t>
  </si>
  <si>
    <t xml:space="preserve"> 66273.9971 </t>
  </si>
  <si>
    <t xml:space="preserve"> 80.5206 </t>
  </si>
  <si>
    <t xml:space="preserve">F:\images\20210225\plaque 2/@06 Cefuroxime D 0.01/F6_01.tif </t>
  </si>
  <si>
    <t xml:space="preserve"> 16308.9406 </t>
  </si>
  <si>
    <t xml:space="preserve"> 68.4761 </t>
  </si>
  <si>
    <t xml:space="preserve">F:\images\20210225\plaque 2/@06 Cefuroxime D 0.01/F6_02.tif </t>
  </si>
  <si>
    <t xml:space="preserve"> 69.7685 </t>
  </si>
  <si>
    <t xml:space="preserve">F:\images\20210225\plaque 2/@06 Cefuroxime D 0.01/F6_03.tif </t>
  </si>
  <si>
    <t xml:space="preserve"> 16936.2075 </t>
  </si>
  <si>
    <t xml:space="preserve"> 69.1992 </t>
  </si>
  <si>
    <t xml:space="preserve">F:\images\20210225\plaque 2/@06 Cefuroxime D 0.01/G6_01.tif </t>
  </si>
  <si>
    <t xml:space="preserve"> 54788.5231 </t>
  </si>
  <si>
    <t xml:space="preserve"> 76.1204 </t>
  </si>
  <si>
    <t xml:space="preserve">F:\images\20210225\plaque 2/@06 Cefuroxime D 0.01/G6_02.tif </t>
  </si>
  <si>
    <t xml:space="preserve"> 49986.6865 </t>
  </si>
  <si>
    <t xml:space="preserve"> 75.495 </t>
  </si>
  <si>
    <t xml:space="preserve">F:\images\20210225\plaque 2/@06 Cefuroxime D 0.01/G6_03.tif </t>
  </si>
  <si>
    <t xml:space="preserve"> 52820.2027 </t>
  </si>
  <si>
    <t xml:space="preserve"> 77.3063 </t>
  </si>
  <si>
    <t xml:space="preserve">F:\images\20210225\plaque 2/@06 Cefuroxime D 0.01/H6_01.tif </t>
  </si>
  <si>
    <t xml:space="preserve"> 38371.4331 </t>
  </si>
  <si>
    <t xml:space="preserve"> 77.0947 </t>
  </si>
  <si>
    <t xml:space="preserve">F:\images\20210225\plaque 2/@06 Cefuroxime D 0.01/H6_02.tif </t>
  </si>
  <si>
    <t xml:space="preserve"> 35473.0272 </t>
  </si>
  <si>
    <t xml:space="preserve"> 72.8622 </t>
  </si>
  <si>
    <t xml:space="preserve">F:\images\20210225\plaque 2/@06 Cefuroxime D 0.01/H6_03.tif </t>
  </si>
  <si>
    <t xml:space="preserve"> 22906.0584 </t>
  </si>
  <si>
    <t xml:space="preserve"> 67.8432 </t>
  </si>
  <si>
    <t xml:space="preserve">F:\images\20210225\plaque 2/@06 Cefuroxime D 0.01/ </t>
  </si>
  <si>
    <t xml:space="preserve"> 74.2558 </t>
  </si>
  <si>
    <t xml:space="preserve"> 5.2958 </t>
  </si>
  <si>
    <t xml:space="preserve"> 2910820.54 </t>
  </si>
  <si>
    <t xml:space="preserve"> 1485393.59 </t>
  </si>
  <si>
    <t xml:space="preserve">F:\images\20210225\plaque 2/@07 Cefuroxime D 0.1/A7_01.tif </t>
  </si>
  <si>
    <t xml:space="preserve"> 28291.9022 </t>
  </si>
  <si>
    <t xml:space="preserve"> 70.2439 </t>
  </si>
  <si>
    <t xml:space="preserve">F:\images\20210225\plaque 2/@07 Cefuroxime D 0.1/A7_02.tif </t>
  </si>
  <si>
    <t xml:space="preserve"> 33634.4861 </t>
  </si>
  <si>
    <t xml:space="preserve"> 69.0219 </t>
  </si>
  <si>
    <t xml:space="preserve">F:\images\20210225\plaque 2/@07 Cefuroxime D 0.1/A7_03.tif </t>
  </si>
  <si>
    <t xml:space="preserve"> 35451.3973 </t>
  </si>
  <si>
    <t xml:space="preserve"> 69.7035 </t>
  </si>
  <si>
    <t xml:space="preserve">F:\images\20210225\plaque 2/@07 Cefuroxime D 0.1/B7_01.tif </t>
  </si>
  <si>
    <t xml:space="preserve"> 41204.9493 </t>
  </si>
  <si>
    <t xml:space="preserve"> 72.8714 </t>
  </si>
  <si>
    <t xml:space="preserve">F:\images\20210225\plaque 2/@07 Cefuroxime D 0.1/B7_02.tif </t>
  </si>
  <si>
    <t xml:space="preserve"> 43130.0099 </t>
  </si>
  <si>
    <t xml:space="preserve"> 75.5361 </t>
  </si>
  <si>
    <t xml:space="preserve">F:\images\20210225\plaque 2/@07 Cefuroxime D 0.1/B7_03.tif </t>
  </si>
  <si>
    <t xml:space="preserve"> 40772.3514 </t>
  </si>
  <si>
    <t xml:space="preserve"> 76.6085 </t>
  </si>
  <si>
    <t xml:space="preserve">F:\images\20210225\plaque 2/@07 Cefuroxime D 0.1/C7_01.tif </t>
  </si>
  <si>
    <t xml:space="preserve"> 49727.1278 </t>
  </si>
  <si>
    <t xml:space="preserve"> 70.2153 </t>
  </si>
  <si>
    <t xml:space="preserve">F:\images\20210225\plaque 2/@07 Cefuroxime D 0.1/C7_02.tif </t>
  </si>
  <si>
    <t xml:space="preserve"> 50743.7328 </t>
  </si>
  <si>
    <t xml:space="preserve"> 69.4919 </t>
  </si>
  <si>
    <t>F:\images\20210225\plaque 2/@07 Cefuroxime D 0.1/C7_03- exclu.tif</t>
  </si>
  <si>
    <t xml:space="preserve">F:\images\20210225\plaque 2/@07 Cefuroxime D 0.1/D7_01.tif </t>
  </si>
  <si>
    <t xml:space="preserve"> 66209.1075 </t>
  </si>
  <si>
    <t xml:space="preserve"> 78.6217 </t>
  </si>
  <si>
    <t xml:space="preserve">F:\images\20210225\plaque 2/@07 Cefuroxime D 0.1/D7_02.tif </t>
  </si>
  <si>
    <t xml:space="preserve"> 67355.4919 </t>
  </si>
  <si>
    <t xml:space="preserve"> 77.166 </t>
  </si>
  <si>
    <t xml:space="preserve">F:\images\20210225\plaque 2/@07 Cefuroxime D 0.1/D7_03.tif </t>
  </si>
  <si>
    <t xml:space="preserve"> 63267.4418 </t>
  </si>
  <si>
    <t xml:space="preserve"> 78.9689 </t>
  </si>
  <si>
    <t xml:space="preserve">F:\images\20210225\plaque 2/@07 Cefuroxime D 0.1/E7_01.tif </t>
  </si>
  <si>
    <t xml:space="preserve"> 50895.1421 </t>
  </si>
  <si>
    <t xml:space="preserve"> 72.3876 </t>
  </si>
  <si>
    <t xml:space="preserve">F:\images\20210225\plaque 2/@07 Cefuroxime D 0.1/E7_02.tif </t>
  </si>
  <si>
    <t xml:space="preserve"> 41767.3265 </t>
  </si>
  <si>
    <t xml:space="preserve"> 71.899 </t>
  </si>
  <si>
    <t xml:space="preserve">F:\images\20210225\plaque 2/@07 Cefuroxime D 0.1/E7_03.tif </t>
  </si>
  <si>
    <t xml:space="preserve"> 49056.601 </t>
  </si>
  <si>
    <t xml:space="preserve"> 72.9242 </t>
  </si>
  <si>
    <t xml:space="preserve">F:\images\20210225\plaque 2/@07 Cefuroxime D 0.1/F7_01.tif </t>
  </si>
  <si>
    <t xml:space="preserve"> 42135.0347 </t>
  </si>
  <si>
    <t xml:space="preserve"> 71.1335 </t>
  </si>
  <si>
    <t xml:space="preserve">F:\images\20210225\plaque 2/@07 Cefuroxime D 0.1/F7_02.tif </t>
  </si>
  <si>
    <t xml:space="preserve"> 70.6391 </t>
  </si>
  <si>
    <t xml:space="preserve">F:\images\20210225\plaque 2/@07 Cefuroxime D 0.1/F7_03.tif </t>
  </si>
  <si>
    <t xml:space="preserve"> 36186.8137 </t>
  </si>
  <si>
    <t xml:space="preserve"> 71.9068 </t>
  </si>
  <si>
    <t xml:space="preserve">F:\images\20210225\plaque 2/@07 Cefuroxime D 0.1/G7_01.tif </t>
  </si>
  <si>
    <t xml:space="preserve"> 62.9551 </t>
  </si>
  <si>
    <t xml:space="preserve">F:\images\20210225\plaque 2/@07 Cefuroxime D 0.1/G7_02.tif </t>
  </si>
  <si>
    <t xml:space="preserve"> 7721.8724 </t>
  </si>
  <si>
    <t xml:space="preserve"> 64.9776 </t>
  </si>
  <si>
    <t xml:space="preserve">F:\images\20210225\plaque 2/@07 Cefuroxime D 0.1/G7_03.tif </t>
  </si>
  <si>
    <t xml:space="preserve"> 64.2545 </t>
  </si>
  <si>
    <t>F:\images\20210225\plaque 2/@07 Cefuroxime D 0.1/H7_01- exclu.tif</t>
  </si>
  <si>
    <t xml:space="preserve">F:\images\20210225\plaque 2/@07 Cefuroxime D 0.1/H7_02.tif </t>
  </si>
  <si>
    <t xml:space="preserve"> 53620.5088 </t>
  </si>
  <si>
    <t xml:space="preserve"> 78.3304 </t>
  </si>
  <si>
    <t xml:space="preserve">F:\images\20210225\plaque 2/@07 Cefuroxime D 0.1/H7_03.tif </t>
  </si>
  <si>
    <t xml:space="preserve"> 54096.3665 </t>
  </si>
  <si>
    <t xml:space="preserve"> 77.9932 </t>
  </si>
  <si>
    <t xml:space="preserve">F:\images\20210225\plaque 2/@07 Cefuroxime D 0.1/ </t>
  </si>
  <si>
    <t xml:space="preserve"> 71.8376 </t>
  </si>
  <si>
    <t xml:space="preserve"> 4.6682 </t>
  </si>
  <si>
    <t xml:space="preserve"> 2880808.25 </t>
  </si>
  <si>
    <t xml:space="preserve"> 1453095.21 </t>
  </si>
  <si>
    <t xml:space="preserve">F:\images\20210225\plaque 2/@08 Cefuroxime D 1/A8_01.tif </t>
  </si>
  <si>
    <t xml:space="preserve"> 40664.2019 </t>
  </si>
  <si>
    <t xml:space="preserve"> 83.3612 </t>
  </si>
  <si>
    <t xml:space="preserve">F:\images\20210225\plaque 2/@08 Cefuroxime D 1/A8_02.tif </t>
  </si>
  <si>
    <t xml:space="preserve"> 43822.1665 </t>
  </si>
  <si>
    <t xml:space="preserve"> 80.7098 </t>
  </si>
  <si>
    <t xml:space="preserve">F:\images\20210225\plaque 2/@08 Cefuroxime D 1/A8_03.tif </t>
  </si>
  <si>
    <t xml:space="preserve"> 39669.2267 </t>
  </si>
  <si>
    <t xml:space="preserve"> 83.0573 </t>
  </si>
  <si>
    <t xml:space="preserve">F:\images\20210225\plaque 2/@08 Cefuroxime D 1/B8_01.tif </t>
  </si>
  <si>
    <t xml:space="preserve"> 36468.0023 </t>
  </si>
  <si>
    <t xml:space="preserve"> 75.3707 </t>
  </si>
  <si>
    <t xml:space="preserve">F:\images\20210225\plaque 2/@08 Cefuroxime D 1/B8_02.tif </t>
  </si>
  <si>
    <t xml:space="preserve"> 39452.9278 </t>
  </si>
  <si>
    <t xml:space="preserve"> 78.4572 </t>
  </si>
  <si>
    <t xml:space="preserve">F:\images\20210225\plaque 2/@08 Cefuroxime D 1/B8_03.tif </t>
  </si>
  <si>
    <t xml:space="preserve"> 40469.5329 </t>
  </si>
  <si>
    <t xml:space="preserve"> 72.8498 </t>
  </si>
  <si>
    <t xml:space="preserve">F:\images\20210225\plaque 2/@08 Cefuroxime D 1/C8_01.tif </t>
  </si>
  <si>
    <t xml:space="preserve"> 40080.1947 </t>
  </si>
  <si>
    <t xml:space="preserve"> 73.0092 </t>
  </si>
  <si>
    <t xml:space="preserve">F:\images\20210225\plaque 2/@08 Cefuroxime D 1/C8_02.tif </t>
  </si>
  <si>
    <t xml:space="preserve"> 36619.4116 </t>
  </si>
  <si>
    <t xml:space="preserve"> 73.7673 </t>
  </si>
  <si>
    <t xml:space="preserve">F:\images\20210225\plaque 2/@08 Cefuroxime D 1/C8_03.tif </t>
  </si>
  <si>
    <t xml:space="preserve"> 43151.6398 </t>
  </si>
  <si>
    <t xml:space="preserve"> 75.0792 </t>
  </si>
  <si>
    <t xml:space="preserve">F:\images\20210225\plaque 2/@08 Cefuroxime D 1/D8_01.tif </t>
  </si>
  <si>
    <t xml:space="preserve"> 55177.8612 </t>
  </si>
  <si>
    <t xml:space="preserve"> 76.737 </t>
  </si>
  <si>
    <t xml:space="preserve">F:\images\20210225\plaque 2/@08 Cefuroxime D 1/D8_02.tif </t>
  </si>
  <si>
    <t xml:space="preserve"> 75.0079 </t>
  </si>
  <si>
    <t xml:space="preserve">F:\images\20210225\plaque 2/@08 Cefuroxime D 1/D8_03.tif </t>
  </si>
  <si>
    <t xml:space="preserve"> 53274.4305 </t>
  </si>
  <si>
    <t xml:space="preserve"> 75.3609 </t>
  </si>
  <si>
    <t>F:\images\20210225\plaque 2/@08 Cefuroxime D 1/E8_01- exclu.tif</t>
  </si>
  <si>
    <t xml:space="preserve">F:\images\20210225\plaque 2/@08 Cefuroxime D 1/E8_02.tif </t>
  </si>
  <si>
    <t xml:space="preserve"> 41572.6575 </t>
  </si>
  <si>
    <t xml:space="preserve"> 72.3262 </t>
  </si>
  <si>
    <t xml:space="preserve">F:\images\20210225\plaque 2/@08 Cefuroxime D 1/E8_03.tif </t>
  </si>
  <si>
    <t xml:space="preserve"> 42286.444 </t>
  </si>
  <si>
    <t xml:space="preserve"> 70.6951 </t>
  </si>
  <si>
    <t xml:space="preserve">F:\images\20210225\plaque 2/@08 Cefuroxime D 1/F8_01.tif </t>
  </si>
  <si>
    <t xml:space="preserve"> 40361.3834 </t>
  </si>
  <si>
    <t xml:space="preserve"> 70.1602 </t>
  </si>
  <si>
    <t xml:space="preserve">F:\images\20210225\plaque 2/@08 Cefuroxime D 1/F8_02.tif </t>
  </si>
  <si>
    <t xml:space="preserve"> 43670.7573 </t>
  </si>
  <si>
    <t xml:space="preserve"> 71.8737 </t>
  </si>
  <si>
    <t xml:space="preserve">F:\images\20210225\plaque 2/@08 Cefuroxime D 1/F8_03.tif </t>
  </si>
  <si>
    <t xml:space="preserve"> 40512.7926 </t>
  </si>
  <si>
    <t xml:space="preserve"> 71.7848 </t>
  </si>
  <si>
    <t xml:space="preserve">F:\images\20210225\plaque 2/@08 Cefuroxime D 1/G8_01.tif </t>
  </si>
  <si>
    <t xml:space="preserve"> 60477.1854 </t>
  </si>
  <si>
    <t xml:space="preserve"> 73.0798 </t>
  </si>
  <si>
    <t xml:space="preserve">F:\images\20210225\plaque 2/@08 Cefuroxime D 1/G8_02.tif </t>
  </si>
  <si>
    <t xml:space="preserve"> 49445.9391 </t>
  </si>
  <si>
    <t xml:space="preserve"> 74.7633 </t>
  </si>
  <si>
    <t xml:space="preserve">F:\images\20210225\plaque 2/@08 Cefuroxime D 1/G8_03.tif </t>
  </si>
  <si>
    <t xml:space="preserve"> 61580.31 </t>
  </si>
  <si>
    <t xml:space="preserve"> 72.5975 </t>
  </si>
  <si>
    <t xml:space="preserve">F:\images\20210225\plaque 2/@08 Cefuroxime D 1/H8_01.tif </t>
  </si>
  <si>
    <t xml:space="preserve"> 53598.8789 </t>
  </si>
  <si>
    <t xml:space="preserve"> 78.0964 </t>
  </si>
  <si>
    <t xml:space="preserve">F:\images\20210225\plaque 2/@08 Cefuroxime D 1/H8_02.tif </t>
  </si>
  <si>
    <t xml:space="preserve"> 58292.566 </t>
  </si>
  <si>
    <t xml:space="preserve"> 76.02 </t>
  </si>
  <si>
    <t xml:space="preserve">F:\images\20210225\plaque 2/@08 Cefuroxime D 1/H8_03.tif </t>
  </si>
  <si>
    <t xml:space="preserve"> 54939.9324 </t>
  </si>
  <si>
    <t xml:space="preserve"> 76.0913 </t>
  </si>
  <si>
    <t xml:space="preserve">F:\images\20210225\plaque 2/@08 Cefuroxime D 1/ </t>
  </si>
  <si>
    <t xml:space="preserve"> 75.0934 </t>
  </si>
  <si>
    <t xml:space="preserve"> 3.5644 </t>
  </si>
  <si>
    <t xml:space="preserve"> 3399931.04 </t>
  </si>
  <si>
    <t xml:space="preserve"> 712090.654 </t>
  </si>
  <si>
    <t>F:\images\20210225\plaque 2/@09 Cefuroxime D 10/A9_01- exclu.tif</t>
  </si>
  <si>
    <t xml:space="preserve">F:\images\20210225\plaque 2/@09 Cefuroxime D 10/A9_02.tif </t>
  </si>
  <si>
    <t xml:space="preserve"> 27080.6281 </t>
  </si>
  <si>
    <t xml:space="preserve"> 74.2133 </t>
  </si>
  <si>
    <t xml:space="preserve">F:\images\20210225\plaque 2/@09 Cefuroxime D 10/A9_03.tif </t>
  </si>
  <si>
    <t xml:space="preserve"> 25371.8664 </t>
  </si>
  <si>
    <t xml:space="preserve"> 72.9847 </t>
  </si>
  <si>
    <t xml:space="preserve">F:\images\20210225\plaque 2/@09 Cefuroxime D 10/B9_01.tif </t>
  </si>
  <si>
    <t xml:space="preserve"> 31471.4967 </t>
  </si>
  <si>
    <t xml:space="preserve"> 71.1505 </t>
  </si>
  <si>
    <t xml:space="preserve">F:\images\20210225\plaque 2/@09 Cefuroxime D 10/B9_02.tif </t>
  </si>
  <si>
    <t xml:space="preserve"> 23576.5851 </t>
  </si>
  <si>
    <t xml:space="preserve"> 68.2257 </t>
  </si>
  <si>
    <t xml:space="preserve">F:\images\20210225\plaque 2/@09 Cefuroxime D 10/B9_03.tif </t>
  </si>
  <si>
    <t xml:space="preserve"> 24593.1902 </t>
  </si>
  <si>
    <t xml:space="preserve"> 69.0668 </t>
  </si>
  <si>
    <t xml:space="preserve">F:\images\20210225\plaque 2/@09 Cefuroxime D 10/C9_01.tif </t>
  </si>
  <si>
    <t xml:space="preserve"> 56043.057 </t>
  </si>
  <si>
    <t xml:space="preserve"> 76.1127 </t>
  </si>
  <si>
    <t xml:space="preserve">F:\images\20210225\plaque 2/@09 Cefuroxime D 10/C9_02.tif </t>
  </si>
  <si>
    <t xml:space="preserve"> 61212.6018 </t>
  </si>
  <si>
    <t xml:space="preserve"> 74.2064 </t>
  </si>
  <si>
    <t xml:space="preserve">F:\images\20210225\plaque 2/@09 Cefuroxime D 10/C9_03.tif </t>
  </si>
  <si>
    <t xml:space="preserve"> 75.6852 </t>
  </si>
  <si>
    <t xml:space="preserve">F:\images\20210225\plaque 2/@09 Cefuroxime D 10/D9_01.tif </t>
  </si>
  <si>
    <t xml:space="preserve"> 44103.3551 </t>
  </si>
  <si>
    <t xml:space="preserve"> 74.0535 </t>
  </si>
  <si>
    <t xml:space="preserve">F:\images\20210225\plaque 2/@09 Cefuroxime D 10/D9_02.tif </t>
  </si>
  <si>
    <t xml:space="preserve"> 49705.4979 </t>
  </si>
  <si>
    <t xml:space="preserve"> 74.0788 </t>
  </si>
  <si>
    <t xml:space="preserve">F:\images\20210225\plaque 2/@09 Cefuroxime D 10/D9_03.tif </t>
  </si>
  <si>
    <t xml:space="preserve"> 52171.3058 </t>
  </si>
  <si>
    <t xml:space="preserve"> 74.1028 </t>
  </si>
  <si>
    <t xml:space="preserve">F:\images\20210225\plaque 2/@09 Cefuroxime D 10/E9_01.tif </t>
  </si>
  <si>
    <t xml:space="preserve"> 60239.2565 </t>
  </si>
  <si>
    <t xml:space="preserve"> 72.6542 </t>
  </si>
  <si>
    <t xml:space="preserve">F:\images\20210225\plaque 2/@09 Cefuroxime D 10/E9_02.tif </t>
  </si>
  <si>
    <t xml:space="preserve"> 59049.6123 </t>
  </si>
  <si>
    <t xml:space="preserve"> 73.1026 </t>
  </si>
  <si>
    <t xml:space="preserve">F:\images\20210225\plaque 2/@09 Cefuroxime D 10/E9_03.tif </t>
  </si>
  <si>
    <t xml:space="preserve"> 54918.3025 </t>
  </si>
  <si>
    <t xml:space="preserve"> 72.4663 </t>
  </si>
  <si>
    <t xml:space="preserve">F:\images\20210225\plaque 2/@09 Cefuroxime D 10/F9_01.tif </t>
  </si>
  <si>
    <t xml:space="preserve"> 25847.7241 </t>
  </si>
  <si>
    <t xml:space="preserve"> 67.2669 </t>
  </si>
  <si>
    <t>F:\images\20210225\plaque 2/@09 Cefuroxime D 10/F9_02- exclu.tif</t>
  </si>
  <si>
    <t xml:space="preserve">F:\images\20210225\plaque 2/@09 Cefuroxime D 10/F9_03.tif </t>
  </si>
  <si>
    <t xml:space="preserve"> 25263.7169 </t>
  </si>
  <si>
    <t xml:space="preserve"> 68.9272 </t>
  </si>
  <si>
    <t xml:space="preserve">F:\images\20210225\plaque 2/@09 Cefuroxime D 10/G9_01.tif </t>
  </si>
  <si>
    <t xml:space="preserve"> 45639.0777 </t>
  </si>
  <si>
    <t xml:space="preserve"> 72.5592 </t>
  </si>
  <si>
    <t xml:space="preserve">F:\images\20210225\plaque 2/@09 Cefuroxime D 10/G9_02.tif </t>
  </si>
  <si>
    <t xml:space="preserve"> 45184.8499 </t>
  </si>
  <si>
    <t xml:space="preserve"> 73.0546 </t>
  </si>
  <si>
    <t xml:space="preserve">F:\images\20210225\plaque 2/@09 Cefuroxime D 10/G9_03.tif </t>
  </si>
  <si>
    <t xml:space="preserve"> 40556.0524 </t>
  </si>
  <si>
    <t xml:space="preserve"> 72.7115 </t>
  </si>
  <si>
    <t>F:\images\20210225\plaque 2/@09 Cefuroxime D 10/H9_01- exclu.tif</t>
  </si>
  <si>
    <t xml:space="preserve">F:\images\20210225\plaque 2/@09 Cefuroxime D 10/H9_02.tif </t>
  </si>
  <si>
    <t xml:space="preserve"> 45271.3695 </t>
  </si>
  <si>
    <t xml:space="preserve"> 71.3411 </t>
  </si>
  <si>
    <t xml:space="preserve">F:\images\20210225\plaque 2/@09 Cefuroxime D 10/H9_03.tif </t>
  </si>
  <si>
    <t xml:space="preserve"> 71.8598 </t>
  </si>
  <si>
    <t xml:space="preserve">F:\images\20210225\plaque 2/@09 Cefuroxime D 10/ </t>
  </si>
  <si>
    <t xml:space="preserve"> 71.4715 </t>
  </si>
  <si>
    <t xml:space="preserve"> 3.4102 </t>
  </si>
  <si>
    <t xml:space="preserve"> 2763673.25 </t>
  </si>
  <si>
    <t xml:space="preserve"> 1344354.91 </t>
  </si>
  <si>
    <t>Colonne1</t>
  </si>
  <si>
    <t>01 Evian + 0.2% DMSO</t>
  </si>
  <si>
    <t>02 EE2 33.8</t>
  </si>
  <si>
    <t>03 EE2 50.6</t>
  </si>
  <si>
    <t>04 EE2 76</t>
  </si>
  <si>
    <t>05 EE2 114</t>
  </si>
  <si>
    <t>06 EE2 170.9</t>
  </si>
  <si>
    <t>07 EE2 488</t>
  </si>
  <si>
    <t>08 Cefuroxime ND 0.001</t>
  </si>
  <si>
    <t>09 Cefuroxime ND 0.01</t>
  </si>
  <si>
    <t>10 Cefuroxime ND 0.1</t>
  </si>
  <si>
    <t>11 Cefuroxime ND 1</t>
  </si>
  <si>
    <t>12 Cefuroxime ND 10</t>
  </si>
  <si>
    <t>01 Testo 30</t>
  </si>
  <si>
    <t>02 Testo 30</t>
  </si>
  <si>
    <t>03 Testo + E2</t>
  </si>
  <si>
    <t>04 Testo + FAD</t>
  </si>
  <si>
    <t>05 Cefuroxime D 0.001</t>
  </si>
  <si>
    <t>06 Cefuroxime D 0.01</t>
  </si>
  <si>
    <t>07 Cefuroxime D 0.1</t>
  </si>
  <si>
    <t>08 Cefuroxime D 1</t>
  </si>
  <si>
    <t>09 Cefuroxime D 10</t>
  </si>
  <si>
    <t>B</t>
  </si>
  <si>
    <t>C</t>
  </si>
  <si>
    <t>D</t>
  </si>
  <si>
    <t>E</t>
  </si>
  <si>
    <t>F</t>
  </si>
  <si>
    <t>G</t>
  </si>
  <si>
    <t>H</t>
  </si>
  <si>
    <t xml:space="preserve">F:\images\20210226\plaque 1/@01 Evian + 0.2% DMSO/A1_01.tif </t>
  </si>
  <si>
    <t xml:space="preserve"> 62.9091 </t>
  </si>
  <si>
    <t xml:space="preserve">F:\images\20210226\plaque 1/@01 Evian + 0.2% DMSO/A1_02.tif </t>
  </si>
  <si>
    <t xml:space="preserve"> 63.9545 </t>
  </si>
  <si>
    <t>F:\images\20210226\plaque 1/@01 Evian + 0.2% DMSO/A1_03- exclu.tif</t>
  </si>
  <si>
    <t xml:space="preserve">F:\images\20210226\plaque 1/@01 Evian + 0.2% DMSO/B1_01.tif </t>
  </si>
  <si>
    <t xml:space="preserve"> 6251.0395 </t>
  </si>
  <si>
    <t xml:space="preserve"> 74.4152 </t>
  </si>
  <si>
    <t xml:space="preserve">F:\images\20210226\plaque 1/@01 Evian + 0.2% DMSO/B1_02.tif </t>
  </si>
  <si>
    <t xml:space="preserve"> 63.7333 </t>
  </si>
  <si>
    <t xml:space="preserve">F:\images\20210226\plaque 1/@01 Evian + 0.2% DMSO/B1_03.tif </t>
  </si>
  <si>
    <t xml:space="preserve">F:\images\20210226\plaque 1/@01 Evian + 0.2% DMSO/C1_01.tif </t>
  </si>
  <si>
    <t xml:space="preserve"> 7072.9755 </t>
  </si>
  <si>
    <t xml:space="preserve"> 68.1835 </t>
  </si>
  <si>
    <t xml:space="preserve">F:\images\20210226\plaque 1/@01 Evian + 0.2% DMSO/C1_02.tif </t>
  </si>
  <si>
    <t xml:space="preserve"> 63.1818 </t>
  </si>
  <si>
    <t xml:space="preserve">F:\images\20210226\plaque 1/@01 Evian + 0.2% DMSO/C1_03.tif </t>
  </si>
  <si>
    <t xml:space="preserve"> 2920.0358 </t>
  </si>
  <si>
    <t xml:space="preserve"> 65.8667 </t>
  </si>
  <si>
    <t xml:space="preserve">F:\images\20210226\plaque 1/@01 Evian + 0.2% DMSO/D1_01.tif </t>
  </si>
  <si>
    <t xml:space="preserve"> 67.6943 </t>
  </si>
  <si>
    <t xml:space="preserve">F:\images\20210226\plaque 1/@01 Evian + 0.2% DMSO/D1_02.tif </t>
  </si>
  <si>
    <t xml:space="preserve"> 5104.6551 </t>
  </si>
  <si>
    <t xml:space="preserve"> 66.7669 </t>
  </si>
  <si>
    <t xml:space="preserve">F:\images\20210226\plaque 1/@01 Evian + 0.2% DMSO/D1_03.tif </t>
  </si>
  <si>
    <t xml:space="preserve"> 66.057 </t>
  </si>
  <si>
    <t xml:space="preserve">F:\images\20210226\plaque 1/@01 Evian + 0.2% DMSO/E1_01.tif </t>
  </si>
  <si>
    <t xml:space="preserve"> 69.5 </t>
  </si>
  <si>
    <t xml:space="preserve">F:\images\20210226\plaque 1/@01 Evian + 0.2% DMSO/E1_02.tif </t>
  </si>
  <si>
    <t xml:space="preserve">F:\images\20210226\plaque 1/@01 Evian + 0.2% DMSO/E1_03.tif </t>
  </si>
  <si>
    <t xml:space="preserve"> 66.2609 </t>
  </si>
  <si>
    <t>F:\images\20210226\plaque 1/@01 Evian + 0.2% DMSO/F1_01- exclu.tif</t>
  </si>
  <si>
    <t xml:space="preserve">F:\images\20210226\plaque 1/@01 Evian + 0.2% DMSO/F1_02.tif </t>
  </si>
  <si>
    <t xml:space="preserve"> 2984.9255 </t>
  </si>
  <si>
    <t xml:space="preserve"> 66.7681 </t>
  </si>
  <si>
    <t xml:space="preserve">F:\images\20210226\plaque 1/@01 Evian + 0.2% DMSO/F1_03.tif </t>
  </si>
  <si>
    <t xml:space="preserve"> 64.2 </t>
  </si>
  <si>
    <t xml:space="preserve">F:\images\20210226\plaque 1/@01 Evian + 0.2% DMSO/G1_01.tif </t>
  </si>
  <si>
    <t xml:space="preserve"> 2119.7297 </t>
  </si>
  <si>
    <t xml:space="preserve"> 66.3776 </t>
  </si>
  <si>
    <t xml:space="preserve">F:\images\20210226\plaque 1/@01 Evian + 0.2% DMSO/G1_02.tif </t>
  </si>
  <si>
    <t xml:space="preserve"> 66.3898 </t>
  </si>
  <si>
    <t xml:space="preserve">F:\images\20210226\plaque 1/@01 Evian + 0.2% DMSO/G1_03.tif </t>
  </si>
  <si>
    <t xml:space="preserve"> 64.8897 </t>
  </si>
  <si>
    <t xml:space="preserve"> 61.3333 </t>
  </si>
  <si>
    <t xml:space="preserve">F:\images\20210226\plaque 1/@01 Evian + 0.2% DMSO/H1_01.tif </t>
  </si>
  <si>
    <t xml:space="preserve"> 7635.3528 </t>
  </si>
  <si>
    <t xml:space="preserve"> 72.5892 </t>
  </si>
  <si>
    <t xml:space="preserve">F:\images\20210226\plaque 1/@01 Evian + 0.2% DMSO/H1_02.tif </t>
  </si>
  <si>
    <t xml:space="preserve"> 66.0467 </t>
  </si>
  <si>
    <t xml:space="preserve">F:\images\20210226\plaque 1/@01 Evian + 0.2% DMSO/H1_03.tif </t>
  </si>
  <si>
    <t xml:space="preserve"> 64.2879 </t>
  </si>
  <si>
    <t xml:space="preserve">F:\images\20210226\plaque 1/@01 Evian + 0.2% DMSO/ </t>
  </si>
  <si>
    <t xml:space="preserve"> 65.9043 </t>
  </si>
  <si>
    <t xml:space="preserve"> 3.0204 </t>
  </si>
  <si>
    <t xml:space="preserve"> 149537.417 </t>
  </si>
  <si>
    <t xml:space="preserve"> 166607.34 </t>
  </si>
  <si>
    <t xml:space="preserve">F:\images\20210226\plaque 1/@02 EE2 33.8/A2_01.tif </t>
  </si>
  <si>
    <t xml:space="preserve"> 64.4267 </t>
  </si>
  <si>
    <t xml:space="preserve">F:\images\20210226\plaque 1/@02 EE2 33.8/A2_02.tif </t>
  </si>
  <si>
    <t xml:space="preserve"> 64.0213 </t>
  </si>
  <si>
    <t xml:space="preserve">F:\images\20210226\plaque 1/@02 EE2 33.8/A2_03.tif </t>
  </si>
  <si>
    <t xml:space="preserve"> 63.5667 </t>
  </si>
  <si>
    <t xml:space="preserve">F:\images\20210226\plaque 1/@02 EE2 33.8/B2_01.tif </t>
  </si>
  <si>
    <t xml:space="preserve"> 63.9592 </t>
  </si>
  <si>
    <t xml:space="preserve">F:\images\20210226\plaque 1/@02 EE2 33.8/B2_02.tif </t>
  </si>
  <si>
    <t xml:space="preserve"> 800.3061 </t>
  </si>
  <si>
    <t xml:space="preserve"> 65.5135 </t>
  </si>
  <si>
    <t xml:space="preserve">F:\images\20210226\plaque 1/@02 EE2 33.8/B2_03.tif </t>
  </si>
  <si>
    <t xml:space="preserve"> 67.1587 </t>
  </si>
  <si>
    <t xml:space="preserve">F:\images\20210226\plaque 1/@02 EE2 33.8/C2_01.tif </t>
  </si>
  <si>
    <t xml:space="preserve"> 72.8931 </t>
  </si>
  <si>
    <t xml:space="preserve">F:\images\20210226\plaque 1/@02 EE2 33.8/C2_02.tif </t>
  </si>
  <si>
    <t xml:space="preserve"> 70.7123 </t>
  </si>
  <si>
    <t xml:space="preserve">F:\images\20210226\plaque 1/@02 EE2 33.8/C2_03.tif </t>
  </si>
  <si>
    <t xml:space="preserve"> 7959.8012 </t>
  </si>
  <si>
    <t xml:space="preserve"> 70.9674 </t>
  </si>
  <si>
    <t xml:space="preserve">F:\images\20210226\plaque 1/@02 EE2 33.8/D2_01.tif </t>
  </si>
  <si>
    <t xml:space="preserve"> 66.0769 </t>
  </si>
  <si>
    <t xml:space="preserve">F:\images\20210226\plaque 1/@02 EE2 33.8/D2_02.tif </t>
  </si>
  <si>
    <t xml:space="preserve"> 65.1562 </t>
  </si>
  <si>
    <t>F:\images\20210226\plaque 1/@02 EE2 33.8/D2_03- exclu.tif</t>
  </si>
  <si>
    <t xml:space="preserve">F:\images\20210226\plaque 1/@02 EE2 33.8/E2_01.tif </t>
  </si>
  <si>
    <t xml:space="preserve"> 64.6 </t>
  </si>
  <si>
    <t xml:space="preserve">F:\images\20210226\plaque 1/@02 EE2 33.8/E2_02.tif </t>
  </si>
  <si>
    <t xml:space="preserve"> 63.8333 </t>
  </si>
  <si>
    <t xml:space="preserve">F:\images\20210226\plaque 1/@02 EE2 33.8/E2_03.tif </t>
  </si>
  <si>
    <t xml:space="preserve"> 66.7143 </t>
  </si>
  <si>
    <t xml:space="preserve">F:\images\20210226\plaque 1/@02 EE2 33.8/F2_01.tif </t>
  </si>
  <si>
    <t xml:space="preserve"> 62.8649 </t>
  </si>
  <si>
    <t xml:space="preserve">F:\images\20210226\plaque 1/@02 EE2 33.8/F2_02.tif </t>
  </si>
  <si>
    <t xml:space="preserve"> 62.5424 </t>
  </si>
  <si>
    <t>F:\images\20210226\plaque 1/@02 EE2 33.8/F2_03- exclu.tif</t>
  </si>
  <si>
    <t xml:space="preserve">F:\images\20210226\plaque 1/@02 EE2 33.8/G2_01.tif </t>
  </si>
  <si>
    <t xml:space="preserve"> 66.2083 </t>
  </si>
  <si>
    <t xml:space="preserve">F:\images\20210226\plaque 1/@02 EE2 33.8/G2_02.tif </t>
  </si>
  <si>
    <t xml:space="preserve"> 3698.712 </t>
  </si>
  <si>
    <t xml:space="preserve"> 65.0526 </t>
  </si>
  <si>
    <t xml:space="preserve">F:\images\20210226\plaque 1/@02 EE2 33.8/G2_03.tif </t>
  </si>
  <si>
    <t xml:space="preserve"> 63.4667 </t>
  </si>
  <si>
    <t xml:space="preserve">F:\images\20210226\plaque 1/@02 EE2 33.8/H2_01.tif </t>
  </si>
  <si>
    <t xml:space="preserve"> 62.92 </t>
  </si>
  <si>
    <t xml:space="preserve">F:\images\20210226\plaque 1/@02 EE2 33.8/H2_02.tif </t>
  </si>
  <si>
    <t xml:space="preserve"> 64.9813 </t>
  </si>
  <si>
    <t>F:\images\20210226\plaque 1/@02 EE2 33.8/H2_03- exclu.tif</t>
  </si>
  <si>
    <t xml:space="preserve">F:\images\20210226\plaque 1/@02 EE2 33.8/ </t>
  </si>
  <si>
    <t xml:space="preserve"> 65.3298 </t>
  </si>
  <si>
    <t xml:space="preserve"> 2.7597 </t>
  </si>
  <si>
    <t xml:space="preserve"> 123558.042 </t>
  </si>
  <si>
    <t xml:space="preserve"> 169449.101 </t>
  </si>
  <si>
    <t xml:space="preserve">F:\images\20210226\plaque 1/@03 EE2 50.6/A3_01.tif </t>
  </si>
  <si>
    <t xml:space="preserve"> 10728.4277 </t>
  </si>
  <si>
    <t xml:space="preserve"> 64.4456 </t>
  </si>
  <si>
    <t xml:space="preserve">F:\images\20210226\plaque 1/@03 EE2 50.6/A3_02.tif </t>
  </si>
  <si>
    <t xml:space="preserve"> 13042.8265 </t>
  </si>
  <si>
    <t xml:space="preserve"> 66.5224 </t>
  </si>
  <si>
    <t xml:space="preserve">F:\images\20210226\plaque 1/@03 EE2 50.6/A3_03.tif </t>
  </si>
  <si>
    <t xml:space="preserve"> 11485.474 </t>
  </si>
  <si>
    <t xml:space="preserve"> 65.7928 </t>
  </si>
  <si>
    <t xml:space="preserve">F:\images\20210226\plaque 1/@03 EE2 50.6/B3_01.tif </t>
  </si>
  <si>
    <t xml:space="preserve"> 4066.4202 </t>
  </si>
  <si>
    <t xml:space="preserve"> 64.3245 </t>
  </si>
  <si>
    <t xml:space="preserve">F:\images\20210226\plaque 1/@03 EE2 50.6/B3_02.tif </t>
  </si>
  <si>
    <t xml:space="preserve"> 2790.2564 </t>
  </si>
  <si>
    <t xml:space="preserve"> 64.1395 </t>
  </si>
  <si>
    <t xml:space="preserve">F:\images\20210226\plaque 1/@03 EE2 50.6/B3_03.tif </t>
  </si>
  <si>
    <t xml:space="preserve"> 63.5525 </t>
  </si>
  <si>
    <t xml:space="preserve">F:\images\20210226\plaque 1/@03 EE2 50.6/C3_01.tif </t>
  </si>
  <si>
    <t xml:space="preserve"> 4109.68 </t>
  </si>
  <si>
    <t xml:space="preserve"> 66.8053 </t>
  </si>
  <si>
    <t xml:space="preserve">F:\images\20210226\plaque 1/@03 EE2 50.6/C3_02.tif </t>
  </si>
  <si>
    <t xml:space="preserve"> 67.0142 </t>
  </si>
  <si>
    <t xml:space="preserve">F:\images\20210226\plaque 1/@03 EE2 50.6/C3_03.tif </t>
  </si>
  <si>
    <t xml:space="preserve"> 66.0862 </t>
  </si>
  <si>
    <t>F:\images\20210226\plaque 1/@03 EE2 50.6/D3_01- exclu.tif</t>
  </si>
  <si>
    <t xml:space="preserve">F:\images\20210226\plaque 1/@03 EE2 50.6/D3_02.tif </t>
  </si>
  <si>
    <t xml:space="preserve"> 7873.2816 </t>
  </si>
  <si>
    <t xml:space="preserve"> 64.4835 </t>
  </si>
  <si>
    <t xml:space="preserve">F:\images\20210226\plaque 1/@03 EE2 50.6/D3_03.tif </t>
  </si>
  <si>
    <t xml:space="preserve"> 64.0125 </t>
  </si>
  <si>
    <t xml:space="preserve">F:\images\20210226\plaque 1/@03 EE2 50.6/E3_01.tif </t>
  </si>
  <si>
    <t xml:space="preserve"> 6272.6694 </t>
  </si>
  <si>
    <t xml:space="preserve"> 65.2345 </t>
  </si>
  <si>
    <t xml:space="preserve">F:\images\20210226\plaque 1/@03 EE2 50.6/E3_02.tif </t>
  </si>
  <si>
    <t xml:space="preserve"> 7397.424 </t>
  </si>
  <si>
    <t xml:space="preserve"> 66.1374 </t>
  </si>
  <si>
    <t xml:space="preserve">F:\images\20210226\plaque 1/@03 EE2 50.6/E3_03.tif </t>
  </si>
  <si>
    <t xml:space="preserve"> 6899.9364 </t>
  </si>
  <si>
    <t xml:space="preserve"> 64.9467 </t>
  </si>
  <si>
    <t xml:space="preserve">F:\images\20210226\plaque 1/@03 EE2 50.6/F3_01.tif </t>
  </si>
  <si>
    <t xml:space="preserve"> 62.1053 </t>
  </si>
  <si>
    <t xml:space="preserve">F:\images\20210226\plaque 1/@03 EE2 50.6/F3_02.tif </t>
  </si>
  <si>
    <t xml:space="preserve"> 63.3214 </t>
  </si>
  <si>
    <t xml:space="preserve">F:\images\20210226\plaque 1/@03 EE2 50.6/F3_03.tif </t>
  </si>
  <si>
    <t xml:space="preserve"> 65.0698 </t>
  </si>
  <si>
    <t xml:space="preserve">F:\images\20210226\plaque 1/@03 EE2 50.6/G3_01.tif </t>
  </si>
  <si>
    <t xml:space="preserve"> 1211.2741 </t>
  </si>
  <si>
    <t xml:space="preserve"> 62.625 </t>
  </si>
  <si>
    <t xml:space="preserve">F:\images\20210226\plaque 1/@03 EE2 50.6/G3_02.tif </t>
  </si>
  <si>
    <t xml:space="preserve"> 2963.2956 </t>
  </si>
  <si>
    <t xml:space="preserve"> 64.8102 </t>
  </si>
  <si>
    <t xml:space="preserve">F:\images\20210226\plaque 1/@03 EE2 50.6/G3_03.tif </t>
  </si>
  <si>
    <t xml:space="preserve"> 8478.9187 </t>
  </si>
  <si>
    <t xml:space="preserve"> 73.199 </t>
  </si>
  <si>
    <t xml:space="preserve">F:\images\20210226\plaque 1/@03 EE2 50.6/H3_01.tif </t>
  </si>
  <si>
    <t xml:space="preserve"> 11161.0256 </t>
  </si>
  <si>
    <t xml:space="preserve"> 70.9554 </t>
  </si>
  <si>
    <t xml:space="preserve">F:\images\20210226\plaque 1/@03 EE2 50.6/H3_02.tif </t>
  </si>
  <si>
    <t xml:space="preserve"> 1146.3844 </t>
  </si>
  <si>
    <t xml:space="preserve"> 62.3774 </t>
  </si>
  <si>
    <t xml:space="preserve">F:\images\20210226\plaque 1/@03 EE2 50.6/H3_03.tif </t>
  </si>
  <si>
    <t xml:space="preserve"> 62.7368 </t>
  </si>
  <si>
    <t xml:space="preserve">F:\images\20210226\plaque 1/@03 EE2 50.6/ </t>
  </si>
  <si>
    <t xml:space="preserve"> 65.2103 </t>
  </si>
  <si>
    <t xml:space="preserve"> 2.5415 </t>
  </si>
  <si>
    <t xml:space="preserve"> 332087.333 </t>
  </si>
  <si>
    <t xml:space="preserve"> 260113.722 </t>
  </si>
  <si>
    <t xml:space="preserve">F:\images\20210226\plaque 1/@04 EE2 76/A4_01.tif </t>
  </si>
  <si>
    <t xml:space="preserve"> 5277.6943 </t>
  </si>
  <si>
    <t xml:space="preserve"> 65.373 </t>
  </si>
  <si>
    <t xml:space="preserve">F:\images\20210226\plaque 1/@04 EE2 76/A4_02.tif </t>
  </si>
  <si>
    <t xml:space="preserve"> 62.3962 </t>
  </si>
  <si>
    <t xml:space="preserve">F:\images\20210226\plaque 1/@04 EE2 76/A4_03.tif </t>
  </si>
  <si>
    <t xml:space="preserve"> 63.47 </t>
  </si>
  <si>
    <t xml:space="preserve">F:\images\20210226\plaque 1/@04 EE2 76/B4_01.tif </t>
  </si>
  <si>
    <t xml:space="preserve"> 44773.8819 </t>
  </si>
  <si>
    <t xml:space="preserve"> 70.1179 </t>
  </si>
  <si>
    <t xml:space="preserve">F:\images\20210226\plaque 1/@04 EE2 76/B4_02.tif </t>
  </si>
  <si>
    <t xml:space="preserve"> 38436.3228 </t>
  </si>
  <si>
    <t xml:space="preserve"> 69.0146 </t>
  </si>
  <si>
    <t xml:space="preserve">F:\images\20210226\plaque 1/@04 EE2 76/B4_03.tif </t>
  </si>
  <si>
    <t xml:space="preserve"> 46352.8642 </t>
  </si>
  <si>
    <t xml:space="preserve"> 68.8213 </t>
  </si>
  <si>
    <t xml:space="preserve">F:\images\20210226\plaque 1/@04 EE2 76/C4_01.tif </t>
  </si>
  <si>
    <t xml:space="preserve"> 14686.6985 </t>
  </si>
  <si>
    <t xml:space="preserve"> 68.2459 </t>
  </si>
  <si>
    <t xml:space="preserve">F:\images\20210226\plaque 1/@04 EE2 76/C4_02.tif </t>
  </si>
  <si>
    <t xml:space="preserve"> 65.8945 </t>
  </si>
  <si>
    <t xml:space="preserve">F:\images\20210226\plaque 1/@04 EE2 76/C4_03.tif </t>
  </si>
  <si>
    <t xml:space="preserve"> 18969.4176 </t>
  </si>
  <si>
    <t xml:space="preserve"> 67.7229 </t>
  </si>
  <si>
    <t xml:space="preserve">F:\images\20210226\plaque 1/@04 EE2 76/D4_01.tif </t>
  </si>
  <si>
    <t xml:space="preserve"> 33115.3687 </t>
  </si>
  <si>
    <t xml:space="preserve"> 68.4344 </t>
  </si>
  <si>
    <t xml:space="preserve">F:\images\20210226\plaque 1/@04 EE2 76/D4_02.tif </t>
  </si>
  <si>
    <t xml:space="preserve"> 36013.7746 </t>
  </si>
  <si>
    <t xml:space="preserve"> 70.5207 </t>
  </si>
  <si>
    <t xml:space="preserve">F:\images\20210226\plaque 1/@04 EE2 76/D4_03.tif </t>
  </si>
  <si>
    <t xml:space="preserve"> 28205.3826 </t>
  </si>
  <si>
    <t xml:space="preserve"> 68.3183 </t>
  </si>
  <si>
    <t xml:space="preserve">F:\images\20210226\plaque 1/@04 EE2 76/E4_01.tif </t>
  </si>
  <si>
    <t xml:space="preserve"> 24896.0087 </t>
  </si>
  <si>
    <t xml:space="preserve"> 67.5291 </t>
  </si>
  <si>
    <t xml:space="preserve">F:\images\20210226\plaque 1/@04 EE2 76/E4_02.tif </t>
  </si>
  <si>
    <t xml:space="preserve"> 18839.6382 </t>
  </si>
  <si>
    <t xml:space="preserve"> 65.5855 </t>
  </si>
  <si>
    <t xml:space="preserve">F:\images\20210226\plaque 1/@04 EE2 76/E4_03.tif </t>
  </si>
  <si>
    <t xml:space="preserve"> 67.0762 </t>
  </si>
  <si>
    <t xml:space="preserve">F:\images\20210226\plaque 1/@04 EE2 76/F4_01.tif </t>
  </si>
  <si>
    <t xml:space="preserve"> 10793.3174 </t>
  </si>
  <si>
    <t xml:space="preserve"> 65.509 </t>
  </si>
  <si>
    <t xml:space="preserve">F:\images\20210226\plaque 1/@04 EE2 76/F4_02.tif </t>
  </si>
  <si>
    <t xml:space="preserve"> 18147.4816 </t>
  </si>
  <si>
    <t xml:space="preserve"> 68.5232 </t>
  </si>
  <si>
    <t xml:space="preserve">F:\images\20210226\plaque 1/@04 EE2 76/F4_03.tif </t>
  </si>
  <si>
    <t xml:space="preserve"> 16135.9014 </t>
  </si>
  <si>
    <t xml:space="preserve"> 66.071 </t>
  </si>
  <si>
    <t xml:space="preserve">F:\images\20210226\plaque 1/@04 EE2 76/G4_01.tif </t>
  </si>
  <si>
    <t xml:space="preserve"> 2746.9966 </t>
  </si>
  <si>
    <t xml:space="preserve"> 64.3543 </t>
  </si>
  <si>
    <t xml:space="preserve">F:\images\20210226\plaque 1/@04 EE2 76/G4_02.tif </t>
  </si>
  <si>
    <t xml:space="preserve"> 4477.3882 </t>
  </si>
  <si>
    <t xml:space="preserve"> 64.7005 </t>
  </si>
  <si>
    <t>F:\images\20210226\plaque 1/@04 EE2 76/G4_03- exclu.tif</t>
  </si>
  <si>
    <t xml:space="preserve">F:\images\20210226\plaque 1/@04 EE2 76/H4_01.tif </t>
  </si>
  <si>
    <t xml:space="preserve"> 29546.4361 </t>
  </si>
  <si>
    <t xml:space="preserve"> 66.5571 </t>
  </si>
  <si>
    <t xml:space="preserve">F:\images\20210226\plaque 1/@04 EE2 76/H4_02.tif </t>
  </si>
  <si>
    <t xml:space="preserve"> 27924.194 </t>
  </si>
  <si>
    <t xml:space="preserve"> 65.7452 </t>
  </si>
  <si>
    <t xml:space="preserve">F:\images\20210226\plaque 1/@04 EE2 76/H4_03.tif </t>
  </si>
  <si>
    <t xml:space="preserve"> 24982.5283 </t>
  </si>
  <si>
    <t xml:space="preserve"> 66.2823 </t>
  </si>
  <si>
    <t xml:space="preserve">F:\images\20210226\plaque 1/@04 EE2 76/ </t>
  </si>
  <si>
    <t xml:space="preserve"> 66.6452 </t>
  </si>
  <si>
    <t xml:space="preserve"> 2.1509 </t>
  </si>
  <si>
    <t xml:space="preserve"> 1371544.33 </t>
  </si>
  <si>
    <t xml:space="preserve"> 960727.334 </t>
  </si>
  <si>
    <t xml:space="preserve">F:\images\20210226\plaque 1/@05 EE2 114/A5_01.tif </t>
  </si>
  <si>
    <t xml:space="preserve"> 19575.0546 </t>
  </si>
  <si>
    <t xml:space="preserve"> 70.9392 </t>
  </si>
  <si>
    <t xml:space="preserve">F:\images\20210226\plaque 1/@05 EE2 114/A5_02.tif </t>
  </si>
  <si>
    <t xml:space="preserve"> 9430.6341 </t>
  </si>
  <si>
    <t xml:space="preserve"> 64.4106 </t>
  </si>
  <si>
    <t xml:space="preserve">F:\images\20210226\plaque 1/@05 EE2 114/A5_03.tif </t>
  </si>
  <si>
    <t xml:space="preserve"> 14621.8088 </t>
  </si>
  <si>
    <t xml:space="preserve"> 67.1672 </t>
  </si>
  <si>
    <t xml:space="preserve">F:\images\20210226\plaque 1/@05 EE2 114/B5_01.tif </t>
  </si>
  <si>
    <t xml:space="preserve"> 23014.2079 </t>
  </si>
  <si>
    <t xml:space="preserve">F:\images\20210226\plaque 1/@05 EE2 114/B5_02.tif </t>
  </si>
  <si>
    <t xml:space="preserve"> 19012.6774 </t>
  </si>
  <si>
    <t xml:space="preserve"> 68.934 </t>
  </si>
  <si>
    <t xml:space="preserve">F:\images\20210226\plaque 1/@05 EE2 114/B5_03.tif </t>
  </si>
  <si>
    <t xml:space="preserve"> 26128.9127 </t>
  </si>
  <si>
    <t xml:space="preserve"> 69.0886 </t>
  </si>
  <si>
    <t xml:space="preserve">F:\images\20210226\plaque 1/@05 EE2 114/C5_01.tif </t>
  </si>
  <si>
    <t xml:space="preserve"> 39777.3762 </t>
  </si>
  <si>
    <t xml:space="preserve"> 73.9163 </t>
  </si>
  <si>
    <t xml:space="preserve">F:\images\20210226\plaque 1/@05 EE2 114/C5_02.tif </t>
  </si>
  <si>
    <t xml:space="preserve"> 32250.1729 </t>
  </si>
  <si>
    <t xml:space="preserve"> 73.6714 </t>
  </si>
  <si>
    <t xml:space="preserve">F:\images\20210226\plaque 1/@05 EE2 114/C5_03.tif </t>
  </si>
  <si>
    <t xml:space="preserve"> 34651.0912 </t>
  </si>
  <si>
    <t xml:space="preserve"> 72.47 </t>
  </si>
  <si>
    <t xml:space="preserve">F:\images\20210226\plaque 1/@05 EE2 114/D5_01.tif </t>
  </si>
  <si>
    <t xml:space="preserve"> 44146.6149 </t>
  </si>
  <si>
    <t xml:space="preserve"> 76.584 </t>
  </si>
  <si>
    <t xml:space="preserve">F:\images\20210226\plaque 1/@05 EE2 114/D5_02.tif </t>
  </si>
  <si>
    <t xml:space="preserve"> 49381.0494 </t>
  </si>
  <si>
    <t xml:space="preserve"> 74.795 </t>
  </si>
  <si>
    <t xml:space="preserve">F:\images\20210226\plaque 1/@05 EE2 114/D5_03.tif </t>
  </si>
  <si>
    <t xml:space="preserve"> 46244.7147 </t>
  </si>
  <si>
    <t xml:space="preserve"> 76.7886 </t>
  </si>
  <si>
    <t xml:space="preserve">F:\images\20210226\plaque 1/@05 EE2 114/E5_01.tif </t>
  </si>
  <si>
    <t xml:space="preserve"> 43757.2768 </t>
  </si>
  <si>
    <t xml:space="preserve"> 69.1696 </t>
  </si>
  <si>
    <t xml:space="preserve">F:\images\20210226\plaque 1/@05 EE2 114/E5_02.tif </t>
  </si>
  <si>
    <t xml:space="preserve"> 35970.5148 </t>
  </si>
  <si>
    <t xml:space="preserve"> 68.0397 </t>
  </si>
  <si>
    <t xml:space="preserve">F:\images\20210226\plaque 1/@05 EE2 114/E5_03.tif </t>
  </si>
  <si>
    <t xml:space="preserve"> 67.8517 </t>
  </si>
  <si>
    <t xml:space="preserve">F:\images\20210226\plaque 1/@05 EE2 114/F5_01.tif </t>
  </si>
  <si>
    <t xml:space="preserve"> 14513.6593 </t>
  </si>
  <si>
    <t xml:space="preserve"> 65.3994 </t>
  </si>
  <si>
    <t xml:space="preserve">F:\images\20210226\plaque 1/@05 EE2 114/F5_02.tif </t>
  </si>
  <si>
    <t xml:space="preserve"> 13951.282 </t>
  </si>
  <si>
    <t xml:space="preserve"> 66.5752 </t>
  </si>
  <si>
    <t xml:space="preserve">F:\images\20210226\plaque 1/@05 EE2 114/F5_03.tif </t>
  </si>
  <si>
    <t xml:space="preserve"> 15789.8231 </t>
  </si>
  <si>
    <t xml:space="preserve"> 66.9521 </t>
  </si>
  <si>
    <t xml:space="preserve">F:\images\20210226\plaque 1/@05 EE2 114/G5_01.tif </t>
  </si>
  <si>
    <t xml:space="preserve"> 34218.4933 </t>
  </si>
  <si>
    <t xml:space="preserve"> 71.5645 </t>
  </si>
  <si>
    <t xml:space="preserve">F:\images\20210226\plaque 1/@05 EE2 114/G5_02.tif </t>
  </si>
  <si>
    <t xml:space="preserve"> 31968.9843 </t>
  </si>
  <si>
    <t xml:space="preserve"> 69.6604 </t>
  </si>
  <si>
    <t xml:space="preserve">F:\images\20210226\plaque 1/@05 EE2 114/G5_03.tif </t>
  </si>
  <si>
    <t xml:space="preserve"> 33007.2192 </t>
  </si>
  <si>
    <t xml:space="preserve"> 68.2104 </t>
  </si>
  <si>
    <t xml:space="preserve">F:\images\20210226\plaque 1/@05 EE2 114/H5_01.tif </t>
  </si>
  <si>
    <t xml:space="preserve"> 39755.7463 </t>
  </si>
  <si>
    <t xml:space="preserve"> 71.827 </t>
  </si>
  <si>
    <t xml:space="preserve">F:\images\20210226\plaque 1/@05 EE2 114/H5_02.tif </t>
  </si>
  <si>
    <t xml:space="preserve"> 69.9479 </t>
  </si>
  <si>
    <t>F:\images\20210226\plaque 1/@05 EE2 114/H5_03- exclu.tif</t>
  </si>
  <si>
    <t xml:space="preserve">F:\images\20210226\plaque 1/@05 EE2 114/ </t>
  </si>
  <si>
    <t xml:space="preserve"> 70.255 </t>
  </si>
  <si>
    <t xml:space="preserve"> 3.3054 </t>
  </si>
  <si>
    <t xml:space="preserve"> 2164495.46 </t>
  </si>
  <si>
    <t xml:space="preserve"> 889339.057 </t>
  </si>
  <si>
    <t xml:space="preserve">F:\images\20210226\plaque 1/@06 EE2 170.9/A6_01.tif </t>
  </si>
  <si>
    <t xml:space="preserve"> 63116.0325 </t>
  </si>
  <si>
    <t xml:space="preserve"> 73.7629 </t>
  </si>
  <si>
    <t xml:space="preserve">F:\images\20210226\plaque 1/@06 EE2 170.9/A6_02.tif </t>
  </si>
  <si>
    <t xml:space="preserve"> 44449.4335 </t>
  </si>
  <si>
    <t xml:space="preserve"> 70.7611 </t>
  </si>
  <si>
    <t xml:space="preserve">F:\images\20210226\plaque 1/@06 EE2 170.9/A6_03.tif </t>
  </si>
  <si>
    <t xml:space="preserve"> 55956.5374 </t>
  </si>
  <si>
    <t xml:space="preserve"> 71.6652 </t>
  </si>
  <si>
    <t xml:space="preserve">F:\images\20210226\plaque 1/@06 EE2 170.9/B6_01.tif </t>
  </si>
  <si>
    <t xml:space="preserve"> 27361.8167 </t>
  </si>
  <si>
    <t xml:space="preserve"> 69.4664 </t>
  </si>
  <si>
    <t xml:space="preserve">F:\images\20210226\plaque 1/@06 EE2 170.9/B6_02.tif </t>
  </si>
  <si>
    <t xml:space="preserve"> 24268.7418 </t>
  </si>
  <si>
    <t xml:space="preserve"> 71.82 </t>
  </si>
  <si>
    <t xml:space="preserve">F:\images\20210226\plaque 1/@06 EE2 170.9/B6_03.tif </t>
  </si>
  <si>
    <t xml:space="preserve"> 21500.1153 </t>
  </si>
  <si>
    <t xml:space="preserve"> 69.0835 </t>
  </si>
  <si>
    <t xml:space="preserve">F:\images\20210226\plaque 1/@06 EE2 170.9/C6_01.tif </t>
  </si>
  <si>
    <t xml:space="preserve"> 54853.4128 </t>
  </si>
  <si>
    <t xml:space="preserve"> 71.9645 </t>
  </si>
  <si>
    <t xml:space="preserve">F:\images\20210226\plaque 1/@06 EE2 170.9/C6_02.tif </t>
  </si>
  <si>
    <t xml:space="preserve"> 47239.6899 </t>
  </si>
  <si>
    <t xml:space="preserve"> 69.549 </t>
  </si>
  <si>
    <t xml:space="preserve">F:\images\20210226\plaque 1/@06 EE2 170.9/C6_03.tif </t>
  </si>
  <si>
    <t xml:space="preserve"> 51111.441 </t>
  </si>
  <si>
    <t xml:space="preserve"> 71.4528 </t>
  </si>
  <si>
    <t xml:space="preserve">F:\images\20210226\plaque 1/@06 EE2 170.9/D6_01.tif </t>
  </si>
  <si>
    <t xml:space="preserve"> 44038.4655 </t>
  </si>
  <si>
    <t xml:space="preserve"> 70.5545 </t>
  </si>
  <si>
    <t xml:space="preserve">F:\images\20210226\plaque 1/@06 EE2 170.9/D6_02.tif </t>
  </si>
  <si>
    <t xml:space="preserve"> 68.4889 </t>
  </si>
  <si>
    <t>F:\images\20210226\plaque 1/@06 EE2 170.9/D6_03- exclu.tif</t>
  </si>
  <si>
    <t xml:space="preserve">F:\images\20210226\plaque 1/@06 EE2 170.9/E6_01.tif </t>
  </si>
  <si>
    <t xml:space="preserve"> 63700.0397 </t>
  </si>
  <si>
    <t xml:space="preserve"> 74.3368 </t>
  </si>
  <si>
    <t xml:space="preserve">F:\images\20210226\plaque 1/@06 EE2 170.9/E6_02.tif </t>
  </si>
  <si>
    <t xml:space="preserve"> 72.0066 </t>
  </si>
  <si>
    <t>F:\images\20210226\plaque 1/@06 EE2 170.9/E6_03- exclu.tif</t>
  </si>
  <si>
    <t xml:space="preserve">F:\images\20210226\plaque 1/@06 EE2 170.9/F6_01.tif </t>
  </si>
  <si>
    <t xml:space="preserve"> 37938.8352 </t>
  </si>
  <si>
    <t xml:space="preserve"> 89.3655 </t>
  </si>
  <si>
    <t xml:space="preserve">F:\images\20210226\plaque 1/@06 EE2 170.9/F6_02.tif </t>
  </si>
  <si>
    <t xml:space="preserve"> 38566.1021 </t>
  </si>
  <si>
    <t xml:space="preserve"> 84.2563 </t>
  </si>
  <si>
    <t xml:space="preserve">F:\images\20210226\plaque 1/@06 EE2 170.9/F6_03.tif </t>
  </si>
  <si>
    <t xml:space="preserve"> 38630.9918 </t>
  </si>
  <si>
    <t xml:space="preserve"> 74.4076 </t>
  </si>
  <si>
    <t xml:space="preserve">F:\images\20210226\plaque 1/@06 EE2 170.9/G6_01.tif </t>
  </si>
  <si>
    <t xml:space="preserve"> 53793.5479 </t>
  </si>
  <si>
    <t xml:space="preserve"> 84.657 </t>
  </si>
  <si>
    <t xml:space="preserve">F:\images\20210226\plaque 1/@06 EE2 170.9/G6_02.tif </t>
  </si>
  <si>
    <t xml:space="preserve"> 92.1997 </t>
  </si>
  <si>
    <t>F:\images\20210226\plaque 1/@06 EE2 170.9/G6_03- exclu.tif</t>
  </si>
  <si>
    <t xml:space="preserve">F:\images\20210226\plaque 1/@06 EE2 170.9/H6_01.tif </t>
  </si>
  <si>
    <t xml:space="preserve"> 71.5033 </t>
  </si>
  <si>
    <t xml:space="preserve">F:\images\20210226\plaque 1/@06 EE2 170.9/H6_02.tif </t>
  </si>
  <si>
    <t xml:space="preserve"> 76.6596 </t>
  </si>
  <si>
    <t xml:space="preserve">F:\images\20210226\plaque 1/@06 EE2 170.9/H6_03.tif </t>
  </si>
  <si>
    <t xml:space="preserve"> 17087.6168 </t>
  </si>
  <si>
    <t xml:space="preserve"> 76.4709 </t>
  </si>
  <si>
    <t xml:space="preserve">F:\images\20210226\plaque 1/@06 EE2 170.9/ </t>
  </si>
  <si>
    <t xml:space="preserve"> 74.2406 </t>
  </si>
  <si>
    <t xml:space="preserve"> 6.6844 </t>
  </si>
  <si>
    <t xml:space="preserve"> 2932181.83 </t>
  </si>
  <si>
    <t xml:space="preserve"> 1229134.72 </t>
  </si>
  <si>
    <t xml:space="preserve">F:\images\20210226\plaque 1/@07 EE2 488/A7_01.tif </t>
  </si>
  <si>
    <t xml:space="preserve"> 49554.0886 </t>
  </si>
  <si>
    <t xml:space="preserve"> 99.7992 </t>
  </si>
  <si>
    <t xml:space="preserve">F:\images\20210226\plaque 1/@07 EE2 488/A7_02.tif </t>
  </si>
  <si>
    <t xml:space="preserve"> 37657.6465 </t>
  </si>
  <si>
    <t xml:space="preserve"> 85.4675 </t>
  </si>
  <si>
    <t xml:space="preserve">F:\images\20210226\plaque 1/@07 EE2 488/A7_03.tif </t>
  </si>
  <si>
    <t xml:space="preserve"> 52712.0532 </t>
  </si>
  <si>
    <t xml:space="preserve"> 93.9758 </t>
  </si>
  <si>
    <t xml:space="preserve">F:\images\20210226\plaque 1/@07 EE2 488/B7_01.tif </t>
  </si>
  <si>
    <t xml:space="preserve"> 83296.7242 </t>
  </si>
  <si>
    <t xml:space="preserve"> 99.1818 </t>
  </si>
  <si>
    <t xml:space="preserve">F:\images\20210226\plaque 1/@07 EE2 488/B7_02.tif </t>
  </si>
  <si>
    <t xml:space="preserve"> 81587.9625 </t>
  </si>
  <si>
    <t xml:space="preserve"> 97.1257 </t>
  </si>
  <si>
    <t>F:\images\20210226\plaque 1/@07 EE2 488/B7_03- exclu.tif</t>
  </si>
  <si>
    <t xml:space="preserve">F:\images\20210226\plaque 1/@07 EE2 488/C7_01.tif </t>
  </si>
  <si>
    <t xml:space="preserve"> 77781.1011 </t>
  </si>
  <si>
    <t xml:space="preserve"> 104.4408 </t>
  </si>
  <si>
    <t xml:space="preserve">F:\images\20210226\plaque 1/@07 EE2 488/C7_02.tif </t>
  </si>
  <si>
    <t xml:space="preserve"> 72287.1078 </t>
  </si>
  <si>
    <t xml:space="preserve"> 107.0293 </t>
  </si>
  <si>
    <t xml:space="preserve">F:\images\20210226\plaque 1/@07 EE2 488/C7_03.tif </t>
  </si>
  <si>
    <t xml:space="preserve"> 76137.2291 </t>
  </si>
  <si>
    <t xml:space="preserve"> 103.5696 </t>
  </si>
  <si>
    <t xml:space="preserve">F:\images\20210226\plaque 1/@07 EE2 488/D7_01.tif </t>
  </si>
  <si>
    <t xml:space="preserve"> 94.6576 </t>
  </si>
  <si>
    <t xml:space="preserve">F:\images\20210226\plaque 1/@07 EE2 488/D7_02.tif </t>
  </si>
  <si>
    <t xml:space="preserve"> 47715.5476 </t>
  </si>
  <si>
    <t xml:space="preserve"> 99.4565 </t>
  </si>
  <si>
    <t xml:space="preserve">F:\images\20210226\plaque 1/@07 EE2 488/D7_03.tif </t>
  </si>
  <si>
    <t xml:space="preserve"> 96.816 </t>
  </si>
  <si>
    <t xml:space="preserve">F:\images\20210226\plaque 1/@07 EE2 488/E7_01.tif </t>
  </si>
  <si>
    <t xml:space="preserve"> 54226.1458 </t>
  </si>
  <si>
    <t xml:space="preserve"> 95.9916 </t>
  </si>
  <si>
    <t xml:space="preserve">F:\images\20210226\plaque 1/@07 EE2 488/E7_02.tif </t>
  </si>
  <si>
    <t xml:space="preserve"> 49532.4587 </t>
  </si>
  <si>
    <t xml:space="preserve"> 102.524 </t>
  </si>
  <si>
    <t xml:space="preserve">F:\images\20210226\plaque 1/@07 EE2 488/E7_03.tif </t>
  </si>
  <si>
    <t xml:space="preserve"> 55307.6406 </t>
  </si>
  <si>
    <t xml:space="preserve"> 96.3477 </t>
  </si>
  <si>
    <t xml:space="preserve">F:\images\20210226\plaque 1/@07 EE2 488/F7_01.tif </t>
  </si>
  <si>
    <t xml:space="preserve"> 60542.0751 </t>
  </si>
  <si>
    <t xml:space="preserve"> 101.5959 </t>
  </si>
  <si>
    <t xml:space="preserve">F:\images\20210226\plaque 1/@07 EE2 488/F7_02.tif </t>
  </si>
  <si>
    <t xml:space="preserve"> 59806.6586 </t>
  </si>
  <si>
    <t xml:space="preserve"> 107.4412 </t>
  </si>
  <si>
    <t xml:space="preserve">F:\images\20210226\plaque 1/@07 EE2 488/F7_03.tif </t>
  </si>
  <si>
    <t xml:space="preserve"> 59525.47 </t>
  </si>
  <si>
    <t xml:space="preserve"> 104.0055 </t>
  </si>
  <si>
    <t xml:space="preserve">F:\images\20210226\plaque 1/@07 EE2 488/G7_01.tif </t>
  </si>
  <si>
    <t xml:space="preserve"> 61558.6801 </t>
  </si>
  <si>
    <t xml:space="preserve"> 92.4227 </t>
  </si>
  <si>
    <t xml:space="preserve">F:\images\20210226\plaque 1/@07 EE2 488/G7_02.tif </t>
  </si>
  <si>
    <t xml:space="preserve"> 54442.4448 </t>
  </si>
  <si>
    <t xml:space="preserve"> 95.6365 </t>
  </si>
  <si>
    <t xml:space="preserve">F:\images\20210226\plaque 1/@07 EE2 488/G7_03.tif </t>
  </si>
  <si>
    <t xml:space="preserve"> 52149.676 </t>
  </si>
  <si>
    <t xml:space="preserve"> 92.6321 </t>
  </si>
  <si>
    <t xml:space="preserve">F:\images\20210226\plaque 1/@07 EE2 488/H7_01.tif </t>
  </si>
  <si>
    <t xml:space="preserve"> 56778.4734 </t>
  </si>
  <si>
    <t xml:space="preserve"> 98.6952 </t>
  </si>
  <si>
    <t xml:space="preserve">F:\images\20210226\plaque 1/@07 EE2 488/H7_02.tif </t>
  </si>
  <si>
    <t xml:space="preserve"> 100.1714 </t>
  </si>
  <si>
    <t xml:space="preserve">F:\images\20210226\plaque 1/@07 EE2 488/H7_03.tif </t>
  </si>
  <si>
    <t xml:space="preserve"> 55610.4591 </t>
  </si>
  <si>
    <t xml:space="preserve"> 104.6534 </t>
  </si>
  <si>
    <t xml:space="preserve">F:\images\20210226\plaque 1/@07 EE2 488/ </t>
  </si>
  <si>
    <t xml:space="preserve"> 98.633 </t>
  </si>
  <si>
    <t xml:space="preserve"> 5.2662 </t>
  </si>
  <si>
    <t xml:space="preserve"> 5873442.92 </t>
  </si>
  <si>
    <t xml:space="preserve"> 1298746.39 </t>
  </si>
  <si>
    <t xml:space="preserve">F:\images\20210226\plaque 1/@08 Cefuroxime ND 0.001/A8_01.tif </t>
  </si>
  <si>
    <t xml:space="preserve"> 64.35 </t>
  </si>
  <si>
    <t xml:space="preserve">F:\images\20210226\plaque 1/@08 Cefuroxime ND 0.001/A8_02.tif </t>
  </si>
  <si>
    <t xml:space="preserve"> 6986.456 </t>
  </si>
  <si>
    <t xml:space="preserve"> 78.3529 </t>
  </si>
  <si>
    <t xml:space="preserve">F:\images\20210226\plaque 1/@08 Cefuroxime ND 0.001/A8_03.tif </t>
  </si>
  <si>
    <t xml:space="preserve"> 68.5735 </t>
  </si>
  <si>
    <t xml:space="preserve">F:\images\20210226\plaque 1/@08 Cefuroxime ND 0.001/B8_01.tif </t>
  </si>
  <si>
    <t xml:space="preserve"> 64.6129 </t>
  </si>
  <si>
    <t>F:\images\20210226\plaque 1/@08 Cefuroxime ND 0.001/B8_02- exclu.tif</t>
  </si>
  <si>
    <t>F:\images\20210226\plaque 1/@08 Cefuroxime ND 0.001/B8_03- exclu.tif</t>
  </si>
  <si>
    <t xml:space="preserve">F:\images\20210226\plaque 1/@08 Cefuroxime ND 0.001/C8_01.tif </t>
  </si>
  <si>
    <t xml:space="preserve"> 74.1667 </t>
  </si>
  <si>
    <t xml:space="preserve">F:\images\20210226\plaque 1/@08 Cefuroxime ND 0.001/C8_02.tif </t>
  </si>
  <si>
    <t xml:space="preserve"> 67.3907 </t>
  </si>
  <si>
    <t>F:\images\20210226\plaque 1/@08 Cefuroxime ND 0.001/C8_03- exclu.tif</t>
  </si>
  <si>
    <t xml:space="preserve">F:\images\20210226\plaque 1/@08 Cefuroxime ND 0.001/D8_01.tif </t>
  </si>
  <si>
    <t xml:space="preserve"> 3179.5945 </t>
  </si>
  <si>
    <t xml:space="preserve"> 67.7823 </t>
  </si>
  <si>
    <t xml:space="preserve">F:\images\20210226\plaque 1/@08 Cefuroxime ND 0.001/D8_02.tif </t>
  </si>
  <si>
    <t xml:space="preserve"> 1968.3204 </t>
  </si>
  <si>
    <t xml:space="preserve"> 65.8352 </t>
  </si>
  <si>
    <t>F:\images\20210226\plaque 1/@08 Cefuroxime ND 0.001/D8_03- exclu.tif</t>
  </si>
  <si>
    <t xml:space="preserve">F:\images\20210226\plaque 1/@08 Cefuroxime ND 0.001/E8_01.tif </t>
  </si>
  <si>
    <t xml:space="preserve"> 62.6 </t>
  </si>
  <si>
    <t xml:space="preserve">F:\images\20210226\plaque 1/@08 Cefuroxime ND 0.001/E8_02.tif </t>
  </si>
  <si>
    <t xml:space="preserve"> 63.5 </t>
  </si>
  <si>
    <t>F:\images\20210226\plaque 1/@08 Cefuroxime ND 0.001/E8_03- exclu.tif</t>
  </si>
  <si>
    <t xml:space="preserve">F:\images\20210226\plaque 1/@08 Cefuroxime ND 0.001/F8_01.tif </t>
  </si>
  <si>
    <t xml:space="preserve"> 63.925 </t>
  </si>
  <si>
    <t xml:space="preserve">F:\images\20210226\plaque 1/@08 Cefuroxime ND 0.001/F8_02.tif </t>
  </si>
  <si>
    <t xml:space="preserve"> 64.4146 </t>
  </si>
  <si>
    <t xml:space="preserve">F:\images\20210226\plaque 1/@08 Cefuroxime ND 0.001/F8_03.tif </t>
  </si>
  <si>
    <t xml:space="preserve"> 63.625 </t>
  </si>
  <si>
    <t xml:space="preserve">F:\images\20210226\plaque 1/@08 Cefuroxime ND 0.001/G8_01.tif </t>
  </si>
  <si>
    <t xml:space="preserve"> 65.3784 </t>
  </si>
  <si>
    <t xml:space="preserve">F:\images\20210226\plaque 1/@08 Cefuroxime ND 0.001/G8_02.tif </t>
  </si>
  <si>
    <t xml:space="preserve"> 63.7273 </t>
  </si>
  <si>
    <t>F:\images\20210226\plaque 1/@08 Cefuroxime ND 0.001/G8_03- exclu.tif</t>
  </si>
  <si>
    <t xml:space="preserve">F:\images\20210226\plaque 1/@08 Cefuroxime ND 0.001/H8_01.tif </t>
  </si>
  <si>
    <t xml:space="preserve"> 62.8095 </t>
  </si>
  <si>
    <t xml:space="preserve">F:\images\20210226\plaque 1/@08 Cefuroxime ND 0.001/H8_02.tif </t>
  </si>
  <si>
    <t xml:space="preserve"> 64.1864 </t>
  </si>
  <si>
    <t xml:space="preserve">F:\images\20210226\plaque 1/@08 Cefuroxime ND 0.001/H8_03.tif </t>
  </si>
  <si>
    <t xml:space="preserve"> 62.1379 </t>
  </si>
  <si>
    <t xml:space="preserve">F:\images\20210226\plaque 1/@08 Cefuroxime ND 0.001/ </t>
  </si>
  <si>
    <t xml:space="preserve"> 65.6392 </t>
  </si>
  <si>
    <t xml:space="preserve"> 3.7219 </t>
  </si>
  <si>
    <t xml:space="preserve"> 105087.125 </t>
  </si>
  <si>
    <t xml:space="preserve"> 143313.343 </t>
  </si>
  <si>
    <t xml:space="preserve">F:\images\20210226\plaque 1/@09 Cefuroxime ND 0.01/A9_01.tif </t>
  </si>
  <si>
    <t xml:space="preserve"> 2855.1461 </t>
  </si>
  <si>
    <t xml:space="preserve"> 64.803 </t>
  </si>
  <si>
    <t xml:space="preserve">F:\images\20210226\plaque 1/@09 Cefuroxime ND 0.01/A9_02.tif </t>
  </si>
  <si>
    <t xml:space="preserve"> 4520.648 </t>
  </si>
  <si>
    <t xml:space="preserve"> 66.7895 </t>
  </si>
  <si>
    <t xml:space="preserve">F:\images\20210226\plaque 1/@09 Cefuroxime ND 0.01/A9_03.tif </t>
  </si>
  <si>
    <t xml:space="preserve"> 63.3766 </t>
  </si>
  <si>
    <t xml:space="preserve">F:\images\20210226\plaque 1/@09 Cefuroxime ND 0.01/B9_01.tif </t>
  </si>
  <si>
    <t xml:space="preserve"> 1860.1709 </t>
  </si>
  <si>
    <t xml:space="preserve"> 63.4884 </t>
  </si>
  <si>
    <t xml:space="preserve">F:\images\20210226\plaque 1/@09 Cefuroxime ND 0.01/B9_02.tif </t>
  </si>
  <si>
    <t xml:space="preserve"> 63.2329 </t>
  </si>
  <si>
    <t>F:\images\20210226\plaque 1/@09 Cefuroxime ND 0.01/B9_03- exclu.tif</t>
  </si>
  <si>
    <t xml:space="preserve">F:\images\20210226\plaque 1/@09 Cefuroxime ND 0.01/C9_01.tif </t>
  </si>
  <si>
    <t xml:space="preserve"> 68.4232 </t>
  </si>
  <si>
    <t xml:space="preserve">F:\images\20210226\plaque 1/@09 Cefuroxime ND 0.01/C9_02.tif </t>
  </si>
  <si>
    <t xml:space="preserve"> 67.5 </t>
  </si>
  <si>
    <t xml:space="preserve">F:\images\20210226\plaque 1/@09 Cefuroxime ND 0.01/C9_03.tif </t>
  </si>
  <si>
    <t xml:space="preserve"> 5840.0715 </t>
  </si>
  <si>
    <t xml:space="preserve"> 71.0296 </t>
  </si>
  <si>
    <t xml:space="preserve">F:\images\20210226\plaque 1/@09 Cefuroxime ND 0.01/D9_01.tif </t>
  </si>
  <si>
    <t xml:space="preserve"> 1838.541 </t>
  </si>
  <si>
    <t xml:space="preserve"> 64.6118 </t>
  </si>
  <si>
    <t xml:space="preserve">F:\images\20210226\plaque 1/@09 Cefuroxime ND 0.01/D9_02.tif </t>
  </si>
  <si>
    <t xml:space="preserve"> 1319.4236 </t>
  </si>
  <si>
    <t xml:space="preserve"> 63.1967 </t>
  </si>
  <si>
    <t xml:space="preserve">F:\images\20210226\plaque 1/@09 Cefuroxime ND 0.01/D9_03.tif </t>
  </si>
  <si>
    <t xml:space="preserve"> 65.6735 </t>
  </si>
  <si>
    <t xml:space="preserve">F:\images\20210226\plaque 1/@09 Cefuroxime ND 0.01/E9_01.tif </t>
  </si>
  <si>
    <t xml:space="preserve"> 68.1855 </t>
  </si>
  <si>
    <t xml:space="preserve">F:\images\20210226\plaque 1/@09 Cefuroxime ND 0.01/E9_02.tif </t>
  </si>
  <si>
    <t xml:space="preserve"> 68.3211 </t>
  </si>
  <si>
    <t xml:space="preserve">F:\images\20210226\plaque 1/@09 Cefuroxime ND 0.01/E9_03.tif </t>
  </si>
  <si>
    <t xml:space="preserve"> 4823.4665 </t>
  </si>
  <si>
    <t xml:space="preserve"> 70.4305 </t>
  </si>
  <si>
    <t>F:\images\20210226\plaque 1/@09 Cefuroxime ND 0.01/F9_01- exclu.tif</t>
  </si>
  <si>
    <t>F:\images\20210226\plaque 1/@09 Cefuroxime ND 0.01/F9_02- exclu.tif</t>
  </si>
  <si>
    <t>F:\images\20210226\plaque 1/@09 Cefuroxime ND 0.01/F9_03- exclu.tif</t>
  </si>
  <si>
    <t xml:space="preserve">F:\images\20210226\plaque 1/@09 Cefuroxime ND 0.01/G9_01.tif </t>
  </si>
  <si>
    <t xml:space="preserve"> 62.7727 </t>
  </si>
  <si>
    <t xml:space="preserve">F:\images\20210226\plaque 1/@09 Cefuroxime ND 0.01/G9_02.tif </t>
  </si>
  <si>
    <t xml:space="preserve"> 389.3381 </t>
  </si>
  <si>
    <t>F:\images\20210226\plaque 1/@09 Cefuroxime ND 0.01/G9_03- exclu.tif</t>
  </si>
  <si>
    <t xml:space="preserve">F:\images\20210226\plaque 1/@09 Cefuroxime ND 0.01/H9_01.tif </t>
  </si>
  <si>
    <t xml:space="preserve"> 63.9574 </t>
  </si>
  <si>
    <t xml:space="preserve">F:\images\20210226\plaque 1/@09 Cefuroxime ND 0.01/H9_02.tif </t>
  </si>
  <si>
    <t xml:space="preserve"> 2206.2493 </t>
  </si>
  <si>
    <t xml:space="preserve"> 66.1275 </t>
  </si>
  <si>
    <t xml:space="preserve">F:\images\20210226\plaque 1/@09 Cefuroxime ND 0.01/H9_03.tif </t>
  </si>
  <si>
    <t xml:space="preserve"> 3352.6337 </t>
  </si>
  <si>
    <t xml:space="preserve"> 66.2968 </t>
  </si>
  <si>
    <t xml:space="preserve">F:\images\20210226\plaque 1/@09 Cefuroxime ND 0.01/ </t>
  </si>
  <si>
    <t xml:space="preserve"> 65.596 </t>
  </si>
  <si>
    <t xml:space="preserve"> 2.5202 </t>
  </si>
  <si>
    <t xml:space="preserve"> 162248.5 </t>
  </si>
  <si>
    <t xml:space="preserve"> 142792.089 </t>
  </si>
  <si>
    <t xml:space="preserve">F:\images\20210226\plaque 1/@10 Cefuroxime ND 0.1/A10_01.tif </t>
  </si>
  <si>
    <t xml:space="preserve"> 64.375 </t>
  </si>
  <si>
    <t xml:space="preserve">F:\images\20210226\plaque 1/@10 Cefuroxime ND 0.1/A10_02.tif </t>
  </si>
  <si>
    <t>F:\images\20210226\plaque 1/@10 Cefuroxime ND 0.1/A10_03- exclu.tif</t>
  </si>
  <si>
    <t xml:space="preserve">F:\images\20210226\plaque 1/@10 Cefuroxime ND 0.1/B10_01.tif </t>
  </si>
  <si>
    <t xml:space="preserve"> 5256.0644 </t>
  </si>
  <si>
    <t xml:space="preserve"> 71.679 </t>
  </si>
  <si>
    <t xml:space="preserve">F:\images\20210226\plaque 1/@10 Cefuroxime ND 0.1/B10_02.tif </t>
  </si>
  <si>
    <t xml:space="preserve"> 63.7368 </t>
  </si>
  <si>
    <t>F:\images\20210226\plaque 1/@10 Cefuroxime ND 0.1/B10_03- exclu.tif</t>
  </si>
  <si>
    <t xml:space="preserve">F:\images\20210226\plaque 1/@10 Cefuroxime ND 0.1/C10_01.tif </t>
  </si>
  <si>
    <t xml:space="preserve"> 1449.2029 </t>
  </si>
  <si>
    <t xml:space="preserve"> 64.0299 </t>
  </si>
  <si>
    <t xml:space="preserve">F:\images\20210226\plaque 1/@10 Cefuroxime ND 0.1/C10_02.tif </t>
  </si>
  <si>
    <t xml:space="preserve"> 64.5833 </t>
  </si>
  <si>
    <t>F:\images\20210226\plaque 1/@10 Cefuroxime ND 0.1/C10_03- exclu.tif</t>
  </si>
  <si>
    <t xml:space="preserve">F:\images\20210226\plaque 1/@10 Cefuroxime ND 0.1/D10_01.tif </t>
  </si>
  <si>
    <t xml:space="preserve"> 1492.4627 </t>
  </si>
  <si>
    <t xml:space="preserve"> 64.9275 </t>
  </si>
  <si>
    <t xml:space="preserve">F:\images\20210226\plaque 1/@10 Cefuroxime ND 0.1/D10_02.tif </t>
  </si>
  <si>
    <t xml:space="preserve"> 66.2464 </t>
  </si>
  <si>
    <t xml:space="preserve">F:\images\20210226\plaque 1/@10 Cefuroxime ND 0.1/D10_03.tif </t>
  </si>
  <si>
    <t xml:space="preserve"> 62.3333 </t>
  </si>
  <si>
    <t xml:space="preserve">F:\images\20210226\plaque 1/@10 Cefuroxime ND 0.1/E10_01.tif </t>
  </si>
  <si>
    <t xml:space="preserve"> 66.4471 </t>
  </si>
  <si>
    <t xml:space="preserve">F:\images\20210226\plaque 1/@10 Cefuroxime ND 0.1/E10_02.tif </t>
  </si>
  <si>
    <t xml:space="preserve"> 66.5852 </t>
  </si>
  <si>
    <t xml:space="preserve">F:\images\20210226\plaque 1/@10 Cefuroxime ND 0.1/E10_03.tif </t>
  </si>
  <si>
    <t xml:space="preserve"> 65.1587 </t>
  </si>
  <si>
    <t xml:space="preserve">F:\images\20210226\plaque 1/@10 Cefuroxime ND 0.1/F10_01.tif </t>
  </si>
  <si>
    <t xml:space="preserve"> 68.7958 </t>
  </si>
  <si>
    <t xml:space="preserve">F:\images\20210226\plaque 1/@10 Cefuroxime ND 0.1/F10_02.tif </t>
  </si>
  <si>
    <t xml:space="preserve"> 66.697 </t>
  </si>
  <si>
    <t xml:space="preserve">F:\images\20210226\plaque 1/@10 Cefuroxime ND 0.1/F10_03.tif </t>
  </si>
  <si>
    <t xml:space="preserve"> 63.75 </t>
  </si>
  <si>
    <t xml:space="preserve">F:\images\20210226\plaque 1/@10 Cefuroxime ND 0.1/G10_01.tif </t>
  </si>
  <si>
    <t xml:space="preserve"> 63.4167 </t>
  </si>
  <si>
    <t xml:space="preserve">F:\images\20210226\plaque 1/@10 Cefuroxime ND 0.1/G10_02.tif </t>
  </si>
  <si>
    <t xml:space="preserve"> 63.1176 </t>
  </si>
  <si>
    <t xml:space="preserve">F:\images\20210226\plaque 1/@10 Cefuroxime ND 0.1/G10_03.tif </t>
  </si>
  <si>
    <t xml:space="preserve"> 843.5659 </t>
  </si>
  <si>
    <t xml:space="preserve"> 63.359 </t>
  </si>
  <si>
    <t xml:space="preserve">F:\images\20210226\plaque 1/@10 Cefuroxime ND 0.1/H10_01.tif </t>
  </si>
  <si>
    <t xml:space="preserve"> 4434.1284 </t>
  </si>
  <si>
    <t xml:space="preserve"> 70.2683 </t>
  </si>
  <si>
    <t xml:space="preserve">F:\images\20210226\plaque 1/@10 Cefuroxime ND 0.1/H10_02.tif </t>
  </si>
  <si>
    <t xml:space="preserve"> 2509.0678 </t>
  </si>
  <si>
    <t xml:space="preserve"> 65.6379 </t>
  </si>
  <si>
    <t xml:space="preserve">F:\images\20210226\plaque 1/@10 Cefuroxime ND 0.1/H10_03.tif </t>
  </si>
  <si>
    <t xml:space="preserve"> 63.3846 </t>
  </si>
  <si>
    <t xml:space="preserve">F:\images\20210226\plaque 1/@10 Cefuroxime ND 0.1/ </t>
  </si>
  <si>
    <t xml:space="preserve"> 65.3455 </t>
  </si>
  <si>
    <t xml:space="preserve"> 2.278 </t>
  </si>
  <si>
    <t xml:space="preserve"> 105497.042 </t>
  </si>
  <si>
    <t xml:space="preserve"> 115719.334 </t>
  </si>
  <si>
    <t xml:space="preserve">F:\images\20210226\plaque 1/@11 Cefuroxime ND 1/A11_01.tif </t>
  </si>
  <si>
    <t xml:space="preserve"> 4369.2387 </t>
  </si>
  <si>
    <t xml:space="preserve"> 67.0891 </t>
  </si>
  <si>
    <t xml:space="preserve">F:\images\20210226\plaque 1/@11 Cefuroxime ND 1/A11_02.tif </t>
  </si>
  <si>
    <t xml:space="preserve"> 4845.0964 </t>
  </si>
  <si>
    <t xml:space="preserve"> 67.0223 </t>
  </si>
  <si>
    <t xml:space="preserve">F:\images\20210226\plaque 1/@11 Cefuroxime ND 1/A11_03.tif </t>
  </si>
  <si>
    <t xml:space="preserve"> 5883.3313 </t>
  </si>
  <si>
    <t xml:space="preserve"> 70.1507 </t>
  </si>
  <si>
    <t xml:space="preserve">F:\images\20210226\plaque 1/@11 Cefuroxime ND 1/B11_01.tif </t>
  </si>
  <si>
    <t xml:space="preserve"> 62.875 </t>
  </si>
  <si>
    <t xml:space="preserve">F:\images\20210226\plaque 1/@11 Cefuroxime ND 1/B11_02.tif </t>
  </si>
  <si>
    <t xml:space="preserve"> 64.0667 </t>
  </si>
  <si>
    <t xml:space="preserve">F:\images\20210226\plaque 1/@11 Cefuroxime ND 1/B11_03.tif </t>
  </si>
  <si>
    <t xml:space="preserve"> 62.6364 </t>
  </si>
  <si>
    <t xml:space="preserve">F:\images\20210226\plaque 1/@11 Cefuroxime ND 1/C11_01.tif </t>
  </si>
  <si>
    <t xml:space="preserve"> 3871.7511 </t>
  </si>
  <si>
    <t xml:space="preserve"> 67.7989 </t>
  </si>
  <si>
    <t xml:space="preserve">F:\images\20210226\plaque 1/@11 Cefuroxime ND 1/C11_02.tif </t>
  </si>
  <si>
    <t xml:space="preserve"> 65.0566 </t>
  </si>
  <si>
    <t xml:space="preserve">F:\images\20210226\plaque 1/@11 Cefuroxime ND 1/C11_03.tif </t>
  </si>
  <si>
    <t xml:space="preserve"> 63.025 </t>
  </si>
  <si>
    <t xml:space="preserve">F:\images\20210226\plaque 1/@11 Cefuroxime ND 1/D11_01.tif </t>
  </si>
  <si>
    <t xml:space="preserve"> 68.5778 </t>
  </si>
  <si>
    <t xml:space="preserve">F:\images\20210226\plaque 1/@11 Cefuroxime ND 1/D11_02.tif </t>
  </si>
  <si>
    <t>F:\images\20210226\plaque 1/@11 Cefuroxime ND 1/D11_03- exclu.tif</t>
  </si>
  <si>
    <t xml:space="preserve">F:\images\20210226\plaque 1/@11 Cefuroxime ND 1/E11_01.tif </t>
  </si>
  <si>
    <t xml:space="preserve"> 67.5392 </t>
  </si>
  <si>
    <t xml:space="preserve">F:\images\20210226\plaque 1/@11 Cefuroxime ND 1/E11_02.tif </t>
  </si>
  <si>
    <t xml:space="preserve"> 67.2667 </t>
  </si>
  <si>
    <t xml:space="preserve">F:\images\20210226\plaque 1/@11 Cefuroxime ND 1/E11_03.tif </t>
  </si>
  <si>
    <t xml:space="preserve"> 2941.6657 </t>
  </si>
  <si>
    <t xml:space="preserve"> 65.7206 </t>
  </si>
  <si>
    <t>F:\images\20210226\plaque 1/@11 Cefuroxime ND 1/F11_01- exclu.tif</t>
  </si>
  <si>
    <t>F:\images\20210226\plaque 1/@11 Cefuroxime ND 1/F11_02- exclu.tif</t>
  </si>
  <si>
    <t>F:\images\20210226\plaque 1/@11 Cefuroxime ND 1/F11_03- exclu.tif</t>
  </si>
  <si>
    <t xml:space="preserve">F:\images\20210226\plaque 1/@11 Cefuroxime ND 1/G11_01.tif </t>
  </si>
  <si>
    <t xml:space="preserve"> 62.6571 </t>
  </si>
  <si>
    <t>F:\images\20210226\plaque 1/@11 Cefuroxime ND 1/G11_02- exclu.tif</t>
  </si>
  <si>
    <t>F:\images\20210226\plaque 1/@11 Cefuroxime ND 1/G11_03- exclu.tif</t>
  </si>
  <si>
    <t xml:space="preserve">F:\images\20210226\plaque 1/@11 Cefuroxime ND 1/H11_01.tif </t>
  </si>
  <si>
    <t xml:space="preserve"> 4455.7583 </t>
  </si>
  <si>
    <t xml:space="preserve"> 65.7379 </t>
  </si>
  <si>
    <t xml:space="preserve">F:\images\20210226\plaque 1/@11 Cefuroxime ND 1/H11_02.tif </t>
  </si>
  <si>
    <t xml:space="preserve"> 65.6 </t>
  </si>
  <si>
    <t xml:space="preserve">F:\images\20210226\plaque 1/@11 Cefuroxime ND 1/H11_03.tif </t>
  </si>
  <si>
    <t xml:space="preserve"> 62.7857 </t>
  </si>
  <si>
    <t xml:space="preserve">F:\images\20210226\plaque 1/@11 Cefuroxime ND 1/ </t>
  </si>
  <si>
    <t xml:space="preserve"> 65.1588 </t>
  </si>
  <si>
    <t xml:space="preserve"> 2.1479 </t>
  </si>
  <si>
    <t xml:space="preserve"> 124146.583 </t>
  </si>
  <si>
    <t xml:space="preserve"> 119622.942 </t>
  </si>
  <si>
    <t xml:space="preserve">F:\images\20210226\plaque 1/@12 Cefuroxime ND 10/A12_01.tif </t>
  </si>
  <si>
    <t xml:space="preserve"> 69.4518 </t>
  </si>
  <si>
    <t xml:space="preserve">F:\images\20210226\plaque 1/@12 Cefuroxime ND 10/A12_02.tif </t>
  </si>
  <si>
    <t xml:space="preserve"> 69.4203 </t>
  </si>
  <si>
    <t>F:\images\20210226\plaque 1/@12 Cefuroxime ND 10/A12_03- exclu.tif</t>
  </si>
  <si>
    <t xml:space="preserve">F:\images\20210226\plaque 1/@12 Cefuroxime ND 10/B12_01.tif </t>
  </si>
  <si>
    <t xml:space="preserve"> 62.2857 </t>
  </si>
  <si>
    <t xml:space="preserve">F:\images\20210226\plaque 1/@12 Cefuroxime ND 10/B12_02.tif </t>
  </si>
  <si>
    <t xml:space="preserve"> 65.3438 </t>
  </si>
  <si>
    <t>F:\images\20210226\plaque 1/@12 Cefuroxime ND 10/B12_03- exclu.tif</t>
  </si>
  <si>
    <t xml:space="preserve">F:\images\20210226\plaque 1/@12 Cefuroxime ND 10/C12_01.tif </t>
  </si>
  <si>
    <t xml:space="preserve"> 3958.2707 </t>
  </si>
  <si>
    <t xml:space="preserve"> 65.3934 </t>
  </si>
  <si>
    <t xml:space="preserve">F:\images\20210226\plaque 1/@12 Cefuroxime ND 10/C12_02.tif </t>
  </si>
  <si>
    <t xml:space="preserve"> 65.3962 </t>
  </si>
  <si>
    <t xml:space="preserve">F:\images\20210226\plaque 1/@12 Cefuroxime ND 10/C12_03.tif </t>
  </si>
  <si>
    <t xml:space="preserve"> 1384.3133 </t>
  </si>
  <si>
    <t xml:space="preserve"> 64.3438 </t>
  </si>
  <si>
    <t xml:space="preserve">F:\images\20210226\plaque 1/@12 Cefuroxime ND 10/D12_01.tif </t>
  </si>
  <si>
    <t xml:space="preserve"> 74.9775 </t>
  </si>
  <si>
    <t xml:space="preserve">F:\images\20210226\plaque 1/@12 Cefuroxime ND 10/D12_02.tif </t>
  </si>
  <si>
    <t xml:space="preserve"> 62.4348 </t>
  </si>
  <si>
    <t xml:space="preserve">F:\images\20210226\plaque 1/@12 Cefuroxime ND 10/D12_03.tif </t>
  </si>
  <si>
    <t xml:space="preserve"> 63.1304 </t>
  </si>
  <si>
    <t xml:space="preserve">F:\images\20210226\plaque 1/@12 Cefuroxime ND 10/E12_01.tif </t>
  </si>
  <si>
    <t xml:space="preserve"> 63.3415 </t>
  </si>
  <si>
    <t xml:space="preserve">F:\images\20210226\plaque 1/@12 Cefuroxime ND 10/E12_02.tif </t>
  </si>
  <si>
    <t xml:space="preserve"> 64.885 </t>
  </si>
  <si>
    <t xml:space="preserve">F:\images\20210226\plaque 1/@12 Cefuroxime ND 10/E12_03.tif </t>
  </si>
  <si>
    <t xml:space="preserve"> 1557.3524 </t>
  </si>
  <si>
    <t xml:space="preserve"> 64.4306 </t>
  </si>
  <si>
    <t xml:space="preserve">F:\images\20210226\plaque 1/@12 Cefuroxime ND 10/F12_01.tif </t>
  </si>
  <si>
    <t xml:space="preserve"> 73.7987 </t>
  </si>
  <si>
    <t xml:space="preserve">F:\images\20210226\plaque 1/@12 Cefuroxime ND 10/F12_02.tif </t>
  </si>
  <si>
    <t xml:space="preserve"> 62.9302 </t>
  </si>
  <si>
    <t>F:\images\20210226\plaque 1/@12 Cefuroxime ND 10/F12_03- exclu.tif</t>
  </si>
  <si>
    <t xml:space="preserve">F:\images\20210226\plaque 1/@12 Cefuroxime ND 10/G12_01.tif </t>
  </si>
  <si>
    <t xml:space="preserve"> 68.0196 </t>
  </si>
  <si>
    <t xml:space="preserve">F:\images\20210226\plaque 1/@12 Cefuroxime ND 10/G12_02.tif </t>
  </si>
  <si>
    <t xml:space="preserve"> 65.7234 </t>
  </si>
  <si>
    <t xml:space="preserve">F:\images\20210226\plaque 1/@12 Cefuroxime ND 10/G12_03.tif </t>
  </si>
  <si>
    <t xml:space="preserve"> 63.5897 </t>
  </si>
  <si>
    <t xml:space="preserve">F:\images\20210226\plaque 1/@12 Cefuroxime ND 10/H12_01.tif </t>
  </si>
  <si>
    <t xml:space="preserve"> 7354.1642 </t>
  </si>
  <si>
    <t xml:space="preserve"> 71.2971 </t>
  </si>
  <si>
    <t xml:space="preserve">F:\images\20210226\plaque 1/@12 Cefuroxime ND 10/H12_02.tif </t>
  </si>
  <si>
    <t xml:space="preserve"> 5667.0324 </t>
  </si>
  <si>
    <t xml:space="preserve"> 69.4084 </t>
  </si>
  <si>
    <t xml:space="preserve">F:\images\20210226\plaque 1/@12 Cefuroxime ND 10/H12_03.tif </t>
  </si>
  <si>
    <t xml:space="preserve"> 65.0918 </t>
  </si>
  <si>
    <t xml:space="preserve">F:\images\20210226\plaque 1/@12 Cefuroxime ND 10/ </t>
  </si>
  <si>
    <t xml:space="preserve"> 66.1099 </t>
  </si>
  <si>
    <t xml:space="preserve"> 3.5451 </t>
  </si>
  <si>
    <t xml:space="preserve"> 149786.167 </t>
  </si>
  <si>
    <t xml:space="preserve"> 150594.676 </t>
  </si>
  <si>
    <t xml:space="preserve">F:\images\20210226\plaque 2/@01 Testo 30/A1_01.tif </t>
  </si>
  <si>
    <t xml:space="preserve"> 55459.0498 </t>
  </si>
  <si>
    <t xml:space="preserve"> 81.4848 </t>
  </si>
  <si>
    <t xml:space="preserve">F:\images\20210226\plaque 2/@01 Testo 30/A1_02.tif </t>
  </si>
  <si>
    <t xml:space="preserve"> 57578.7795 </t>
  </si>
  <si>
    <t xml:space="preserve"> 81.929 </t>
  </si>
  <si>
    <t>F:\images\20210226\plaque 2/@01 Testo 30/A1_03- exclu.tif</t>
  </si>
  <si>
    <t xml:space="preserve">F:\images\20210226\plaque 2/@01 Testo 30/B1_01.tif </t>
  </si>
  <si>
    <t xml:space="preserve"> 39366.4082 </t>
  </si>
  <si>
    <t xml:space="preserve"> 74.3319 </t>
  </si>
  <si>
    <t xml:space="preserve">F:\images\20210226\plaque 2/@01 Testo 30/B1_02.tif </t>
  </si>
  <si>
    <t xml:space="preserve"> 34261.7531 </t>
  </si>
  <si>
    <t xml:space="preserve"> 71.6755 </t>
  </si>
  <si>
    <t xml:space="preserve">F:\images\20210226\plaque 2/@01 Testo 30/B1_03.tif </t>
  </si>
  <si>
    <t xml:space="preserve"> 34521.3118 </t>
  </si>
  <si>
    <t xml:space="preserve"> 71.6472 </t>
  </si>
  <si>
    <t xml:space="preserve">F:\images\20210226\plaque 2/@01 Testo 30/C1_01.tif </t>
  </si>
  <si>
    <t xml:space="preserve"> 63375.5913 </t>
  </si>
  <si>
    <t xml:space="preserve"> 79.4239 </t>
  </si>
  <si>
    <t xml:space="preserve">F:\images\20210226\plaque 2/@01 Testo 30/C1_02.tif </t>
  </si>
  <si>
    <t xml:space="preserve"> 62921.3635 </t>
  </si>
  <si>
    <t xml:space="preserve"> 81.8797 </t>
  </si>
  <si>
    <t xml:space="preserve">F:\images\20210226\plaque 2/@01 Testo 30/C1_03.tif </t>
  </si>
  <si>
    <t xml:space="preserve"> 78.568 </t>
  </si>
  <si>
    <t xml:space="preserve">F:\images\20210226\plaque 2/@01 Testo 30/D1_01.tif </t>
  </si>
  <si>
    <t xml:space="preserve"> 32444.8419 </t>
  </si>
  <si>
    <t xml:space="preserve"> 73.6247 </t>
  </si>
  <si>
    <t xml:space="preserve">F:\images\20210226\plaque 2/@01 Testo 30/D1_02.tif </t>
  </si>
  <si>
    <t xml:space="preserve"> 26907.5889 </t>
  </si>
  <si>
    <t xml:space="preserve"> 74.3055 </t>
  </si>
  <si>
    <t xml:space="preserve">F:\images\20210226\plaque 2/@01 Testo 30/D1_03.tif </t>
  </si>
  <si>
    <t xml:space="preserve"> 18688.229 </t>
  </si>
  <si>
    <t xml:space="preserve"> 75.2361 </t>
  </si>
  <si>
    <t xml:space="preserve">F:\images\20210226\plaque 2/@01 Testo 30/E1_01.tif </t>
  </si>
  <si>
    <t xml:space="preserve"> 72589.9264 </t>
  </si>
  <si>
    <t xml:space="preserve"> 76.4657 </t>
  </si>
  <si>
    <t>F:\images\20210226\plaque 2/@01 Testo 30/E1_02- exclu.tif</t>
  </si>
  <si>
    <t xml:space="preserve">F:\images\20210226\plaque 2/@01 Testo 30/E1_03.tif </t>
  </si>
  <si>
    <t xml:space="preserve"> 70275.5276 </t>
  </si>
  <si>
    <t xml:space="preserve"> 77.0034 </t>
  </si>
  <si>
    <t xml:space="preserve">F:\images\20210226\plaque 2/@01 Testo 30/F1_01.tif </t>
  </si>
  <si>
    <t xml:space="preserve"> 7202.7549 </t>
  </si>
  <si>
    <t xml:space="preserve"> 65.1471 </t>
  </si>
  <si>
    <t xml:space="preserve">F:\images\20210226\plaque 2/@01 Testo 30/F1_02.tif </t>
  </si>
  <si>
    <t xml:space="preserve"> 65.6192 </t>
  </si>
  <si>
    <t xml:space="preserve">F:\images\20210226\plaque 2/@01 Testo 30/F1_03.tif </t>
  </si>
  <si>
    <t xml:space="preserve"> 2271.1389 </t>
  </si>
  <si>
    <t xml:space="preserve"> 66.1619 </t>
  </si>
  <si>
    <t xml:space="preserve">F:\images\20210226\plaque 2/@01 Testo 30/G1_01.tif </t>
  </si>
  <si>
    <t xml:space="preserve"> 38241.6537 </t>
  </si>
  <si>
    <t xml:space="preserve"> 77.5136 </t>
  </si>
  <si>
    <t xml:space="preserve">F:\images\20210226\plaque 2/@01 Testo 30/G1_02.tif </t>
  </si>
  <si>
    <t xml:space="preserve"> 33742.6356 </t>
  </si>
  <si>
    <t xml:space="preserve"> 77.8635 </t>
  </si>
  <si>
    <t xml:space="preserve">F:\images\20210226\plaque 2/@01 Testo 30/G1_03.tif </t>
  </si>
  <si>
    <t xml:space="preserve"> 36121.924 </t>
  </si>
  <si>
    <t xml:space="preserve"> 74.8 </t>
  </si>
  <si>
    <t xml:space="preserve">F:\images\20210226\plaque 2/@01 Testo 30/H1_01.tif </t>
  </si>
  <si>
    <t xml:space="preserve"> 27102.258 </t>
  </si>
  <si>
    <t xml:space="preserve"> 74.0056 </t>
  </si>
  <si>
    <t xml:space="preserve">F:\images\20210226\plaque 2/@01 Testo 30/H1_02.tif </t>
  </si>
  <si>
    <t xml:space="preserve"> 29676.2154 </t>
  </si>
  <si>
    <t xml:space="preserve"> 70.7478 </t>
  </si>
  <si>
    <t xml:space="preserve">F:\images\20210226\plaque 2/@01 Testo 30/H1_03.tif </t>
  </si>
  <si>
    <t xml:space="preserve"> 25696.3148 </t>
  </si>
  <si>
    <t xml:space="preserve"> 69.7845 </t>
  </si>
  <si>
    <t xml:space="preserve">F:\images\20210226\plaque 2/@01 Testo 30/ </t>
  </si>
  <si>
    <t xml:space="preserve"> 73.9097 </t>
  </si>
  <si>
    <t xml:space="preserve"> 5.1741 </t>
  </si>
  <si>
    <t xml:space="preserve"> 2896706.12 </t>
  </si>
  <si>
    <t xml:space="preserve"> 1597141.53 </t>
  </si>
  <si>
    <t xml:space="preserve">F:\images\20210226\plaque 2/@02 Testo 30/A2_01.tif </t>
  </si>
  <si>
    <t xml:space="preserve"> 12804.8976 </t>
  </si>
  <si>
    <t xml:space="preserve"> 65.6976 </t>
  </si>
  <si>
    <t xml:space="preserve">F:\images\20210226\plaque 2/@02 Testo 30/A2_02.tif </t>
  </si>
  <si>
    <t xml:space="preserve"> 15487.0046 </t>
  </si>
  <si>
    <t xml:space="preserve"> 67.1955 </t>
  </si>
  <si>
    <t xml:space="preserve">F:\images\20210226\plaque 2/@02 Testo 30/A2_03.tif </t>
  </si>
  <si>
    <t xml:space="preserve"> 11982.9616 </t>
  </si>
  <si>
    <t xml:space="preserve"> 65.769 </t>
  </si>
  <si>
    <t xml:space="preserve">F:\images\20210226\plaque 2/@02 Testo 30/B2_01.tif </t>
  </si>
  <si>
    <t xml:space="preserve"> 47499.2486 </t>
  </si>
  <si>
    <t xml:space="preserve"> 84.3342 </t>
  </si>
  <si>
    <t xml:space="preserve">F:\images\20210226\plaque 2/@02 Testo 30/B2_02.tif </t>
  </si>
  <si>
    <t xml:space="preserve"> 81.3624 </t>
  </si>
  <si>
    <t xml:space="preserve">F:\images\20210226\plaque 2/@02 Testo 30/B2_03.tif </t>
  </si>
  <si>
    <t xml:space="preserve"> 46958.5012 </t>
  </si>
  <si>
    <t xml:space="preserve"> 83.4146 </t>
  </si>
  <si>
    <t xml:space="preserve">F:\images\20210226\plaque 2/@02 Testo 30/C2_01.tif </t>
  </si>
  <si>
    <t xml:space="preserve"> 33245.148 </t>
  </si>
  <si>
    <t xml:space="preserve"> 81.0202 </t>
  </si>
  <si>
    <t xml:space="preserve">F:\images\20210226\plaque 2/@02 Testo 30/C2_02.tif </t>
  </si>
  <si>
    <t xml:space="preserve"> 32423.212 </t>
  </si>
  <si>
    <t xml:space="preserve"> 79.0534 </t>
  </si>
  <si>
    <t>F:\images\20210226\plaque 2/@02 Testo 30/C2_03- exclu.tif</t>
  </si>
  <si>
    <t xml:space="preserve">F:\images\20210226\plaque 2/@02 Testo 30/D2_01.tif </t>
  </si>
  <si>
    <t xml:space="preserve"> 10512.1288 </t>
  </si>
  <si>
    <t xml:space="preserve"> 65.4156 </t>
  </si>
  <si>
    <t xml:space="preserve">F:\images\20210226\plaque 2/@02 Testo 30/D2_02.tif </t>
  </si>
  <si>
    <t xml:space="preserve"> 10447.2391 </t>
  </si>
  <si>
    <t xml:space="preserve"> 66.4431 </t>
  </si>
  <si>
    <t xml:space="preserve">F:\images\20210226\plaque 2/@02 Testo 30/D2_03.tif </t>
  </si>
  <si>
    <t xml:space="preserve"> 7137.8652 </t>
  </si>
  <si>
    <t xml:space="preserve"> 64.5273 </t>
  </si>
  <si>
    <t xml:space="preserve">F:\images\20210226\plaque 2/@02 Testo 30/E2_01.tif </t>
  </si>
  <si>
    <t xml:space="preserve"> 28832.6495 </t>
  </si>
  <si>
    <t xml:space="preserve"> 69.6002 </t>
  </si>
  <si>
    <t xml:space="preserve">F:\images\20210226\plaque 2/@02 Testo 30/E2_02.tif </t>
  </si>
  <si>
    <t xml:space="preserve"> 23641.4748 </t>
  </si>
  <si>
    <t xml:space="preserve"> 67.8527 </t>
  </si>
  <si>
    <t xml:space="preserve">F:\images\20210226\plaque 2/@02 Testo 30/E2_03.tif </t>
  </si>
  <si>
    <t xml:space="preserve"> 24571.5603 </t>
  </si>
  <si>
    <t xml:space="preserve"> 68.4842 </t>
  </si>
  <si>
    <t xml:space="preserve">F:\images\20210226\plaque 2/@02 Testo 30/F2_01.tif </t>
  </si>
  <si>
    <t xml:space="preserve"> 32769.2904 </t>
  </si>
  <si>
    <t xml:space="preserve"> 73.837 </t>
  </si>
  <si>
    <t xml:space="preserve">F:\images\20210226\plaque 2/@02 Testo 30/F2_02.tif </t>
  </si>
  <si>
    <t xml:space="preserve"> 38847.2908 </t>
  </si>
  <si>
    <t xml:space="preserve"> 75.5189 </t>
  </si>
  <si>
    <t xml:space="preserve">F:\images\20210226\plaque 2/@02 Testo 30/F2_03.tif </t>
  </si>
  <si>
    <t xml:space="preserve"> 39474.5577 </t>
  </si>
  <si>
    <t xml:space="preserve"> 74.04 </t>
  </si>
  <si>
    <t xml:space="preserve">F:\images\20210226\plaque 2/@02 Testo 30/G2_01.tif </t>
  </si>
  <si>
    <t xml:space="preserve"> 35797.4756 </t>
  </si>
  <si>
    <t xml:space="preserve"> 73.6054 </t>
  </si>
  <si>
    <t xml:space="preserve">F:\images\20210226\plaque 2/@02 Testo 30/G2_02.tif </t>
  </si>
  <si>
    <t xml:space="preserve"> 41140.0596 </t>
  </si>
  <si>
    <t xml:space="preserve"> 73.143 </t>
  </si>
  <si>
    <t xml:space="preserve">F:\images\20210226\plaque 2/@02 Testo 30/G2_03.tif </t>
  </si>
  <si>
    <t xml:space="preserve"> 38220.0238 </t>
  </si>
  <si>
    <t xml:space="preserve"> 73.5722 </t>
  </si>
  <si>
    <t xml:space="preserve">F:\images\20210226\plaque 2/@02 Testo 30/H2_01.tif </t>
  </si>
  <si>
    <t xml:space="preserve"> 63.5714 </t>
  </si>
  <si>
    <t xml:space="preserve">F:\images\20210226\plaque 2/@02 Testo 30/H2_02.tif </t>
  </si>
  <si>
    <t xml:space="preserve"> 3504.0429 </t>
  </si>
  <si>
    <t xml:space="preserve"> 63.7407 </t>
  </si>
  <si>
    <t xml:space="preserve">F:\images\20210226\plaque 2/@02 Testo 30/H2_03.tif </t>
  </si>
  <si>
    <t xml:space="preserve"> 2725.3667 </t>
  </si>
  <si>
    <t xml:space="preserve"> 64.1032 </t>
  </si>
  <si>
    <t xml:space="preserve">F:\images\20210226\plaque 2/@02 Testo 30/ </t>
  </si>
  <si>
    <t xml:space="preserve"> 71.8569 </t>
  </si>
  <si>
    <t xml:space="preserve"> 6.7514 </t>
  </si>
  <si>
    <t xml:space="preserve"> 1917889.5 </t>
  </si>
  <si>
    <t xml:space="preserve"> 1220195.69 </t>
  </si>
  <si>
    <t>F:\images\20210226\plaque 2/@03 Testo + E2/A3_01- exclu.tif</t>
  </si>
  <si>
    <t xml:space="preserve">F:\images\20210226\plaque 2/@03 Testo + E2/A3_02.tif </t>
  </si>
  <si>
    <t xml:space="preserve"> 24787.8592 </t>
  </si>
  <si>
    <t xml:space="preserve"> 73.3019 </t>
  </si>
  <si>
    <t xml:space="preserve">F:\images\20210226\plaque 2/@03 Testo + E2/A3_03.tif </t>
  </si>
  <si>
    <t xml:space="preserve"> 21867.8235 </t>
  </si>
  <si>
    <t xml:space="preserve"> 73.2957 </t>
  </si>
  <si>
    <t>F:\images\20210226\plaque 2/@03 Testo + E2/B3_01- exclu.tif</t>
  </si>
  <si>
    <t xml:space="preserve">F:\images\20210226\plaque 2/@03 Testo + E2/B3_02.tif </t>
  </si>
  <si>
    <t xml:space="preserve"> 72.6166 </t>
  </si>
  <si>
    <t xml:space="preserve">F:\images\20210226\plaque 2/@03 Testo + E2/B3_03.tif </t>
  </si>
  <si>
    <t xml:space="preserve"> 15357.2252 </t>
  </si>
  <si>
    <t xml:space="preserve"> 71.0901 </t>
  </si>
  <si>
    <t xml:space="preserve">F:\images\20210226\plaque 2/@03 Testo + E2/C3_01.tif </t>
  </si>
  <si>
    <t xml:space="preserve"> 58033.0073 </t>
  </si>
  <si>
    <t xml:space="preserve"> 80.8736 </t>
  </si>
  <si>
    <t xml:space="preserve">F:\images\20210226\plaque 2/@03 Testo + E2/C3_02.tif </t>
  </si>
  <si>
    <t xml:space="preserve"> 56086.3168 </t>
  </si>
  <si>
    <t xml:space="preserve"> 81.0544 </t>
  </si>
  <si>
    <t xml:space="preserve">F:\images\20210226\plaque 2/@03 Testo + E2/C3_03.tif </t>
  </si>
  <si>
    <t xml:space="preserve"> 50657.2132 </t>
  </si>
  <si>
    <t xml:space="preserve"> 78.4257 </t>
  </si>
  <si>
    <t xml:space="preserve">F:\images\20210226\plaque 2/@03 Testo + E2/D3_01.tif </t>
  </si>
  <si>
    <t xml:space="preserve"> 86.4987 </t>
  </si>
  <si>
    <t xml:space="preserve">F:\images\20210226\plaque 2/@03 Testo + E2/D3_02.tif </t>
  </si>
  <si>
    <t xml:space="preserve"> 51003.2915 </t>
  </si>
  <si>
    <t xml:space="preserve"> 90.4669 </t>
  </si>
  <si>
    <t xml:space="preserve">F:\images\20210226\plaque 2/@03 Testo + E2/D3_03.tif </t>
  </si>
  <si>
    <t xml:space="preserve"> 58011.3774 </t>
  </si>
  <si>
    <t xml:space="preserve"> 85.3706 </t>
  </si>
  <si>
    <t xml:space="preserve">F:\images\20210226\plaque 2/@03 Testo + E2/E3_01.tif </t>
  </si>
  <si>
    <t xml:space="preserve"> 32228.543 </t>
  </si>
  <si>
    <t xml:space="preserve"> 75.4503 </t>
  </si>
  <si>
    <t xml:space="preserve">F:\images\20210226\plaque 2/@03 Testo + E2/E3_02.tif </t>
  </si>
  <si>
    <t xml:space="preserve"> 31817.575 </t>
  </si>
  <si>
    <t xml:space="preserve"> 73.7111 </t>
  </si>
  <si>
    <t xml:space="preserve">F:\images\20210226\plaque 2/@03 Testo + E2/E3_03.tif </t>
  </si>
  <si>
    <t xml:space="preserve"> 31536.3864 </t>
  </si>
  <si>
    <t xml:space="preserve"> 73.8951 </t>
  </si>
  <si>
    <t xml:space="preserve">F:\images\20210226\plaque 2/@03 Testo + E2/F3_01.tif </t>
  </si>
  <si>
    <t xml:space="preserve"> 62034.5378 </t>
  </si>
  <si>
    <t xml:space="preserve"> 82.1315 </t>
  </si>
  <si>
    <t xml:space="preserve">F:\images\20210226\plaque 2/@03 Testo + E2/F3_02.tif </t>
  </si>
  <si>
    <t xml:space="preserve"> 65884.659 </t>
  </si>
  <si>
    <t xml:space="preserve"> 79.7705 </t>
  </si>
  <si>
    <t xml:space="preserve">F:\images\20210226\plaque 2/@03 Testo + E2/F3_03.tif </t>
  </si>
  <si>
    <t xml:space="preserve"> 61147.7121 </t>
  </si>
  <si>
    <t xml:space="preserve"> 81.1036 </t>
  </si>
  <si>
    <t xml:space="preserve">F:\images\20210226\plaque 2/@03 Testo + E2/G3_01.tif </t>
  </si>
  <si>
    <t xml:space="preserve"> 29935.7742 </t>
  </si>
  <si>
    <t xml:space="preserve"> 83.4718 </t>
  </si>
  <si>
    <t xml:space="preserve">F:\images\20210226\plaque 2/@03 Testo + E2/G3_02.tif </t>
  </si>
  <si>
    <t xml:space="preserve"> 85.7132 </t>
  </si>
  <si>
    <t xml:space="preserve">F:\images\20210226\plaque 2/@03 Testo + E2/G3_03.tif </t>
  </si>
  <si>
    <t xml:space="preserve"> 30887.4895 </t>
  </si>
  <si>
    <t xml:space="preserve"> 85.5182 </t>
  </si>
  <si>
    <t xml:space="preserve">F:\images\20210226\plaque 2/@03 Testo + E2/H3_01.tif </t>
  </si>
  <si>
    <t xml:space="preserve"> 35883.9952 </t>
  </si>
  <si>
    <t xml:space="preserve"> 80.4346 </t>
  </si>
  <si>
    <t xml:space="preserve">F:\images\20210226\plaque 2/@03 Testo + E2/H3_02.tif </t>
  </si>
  <si>
    <t xml:space="preserve"> 37506.2373 </t>
  </si>
  <si>
    <t xml:space="preserve"> 84.6834 </t>
  </si>
  <si>
    <t xml:space="preserve">F:\images\20210226\plaque 2/@03 Testo + E2/H3_03.tif </t>
  </si>
  <si>
    <t xml:space="preserve"> 38609.3619 </t>
  </si>
  <si>
    <t xml:space="preserve"> 81.9513 </t>
  </si>
  <si>
    <t xml:space="preserve">F:\images\20210226\plaque 2/@03 Testo + E2/ </t>
  </si>
  <si>
    <t xml:space="preserve"> 79.1265 </t>
  </si>
  <si>
    <t xml:space="preserve"> 6.0563 </t>
  </si>
  <si>
    <t xml:space="preserve"> 3110984.42 </t>
  </si>
  <si>
    <t xml:space="preserve"> 1513013.34 </t>
  </si>
  <si>
    <t xml:space="preserve">F:\images\20210226\plaque 2/@04 Testo + FAD/A4_01.tif </t>
  </si>
  <si>
    <t xml:space="preserve"> 71.1439 </t>
  </si>
  <si>
    <t xml:space="preserve">F:\images\20210226\plaque 2/@04 Testo + FAD/A4_02.tif </t>
  </si>
  <si>
    <t xml:space="preserve"> 8803.3671 </t>
  </si>
  <si>
    <t xml:space="preserve"> 69.4619 </t>
  </si>
  <si>
    <t xml:space="preserve">F:\images\20210226\plaque 2/@04 Testo + FAD/A4_03.tif </t>
  </si>
  <si>
    <t xml:space="preserve"> 8824.997 </t>
  </si>
  <si>
    <t xml:space="preserve"> 69.6201 </t>
  </si>
  <si>
    <t xml:space="preserve">F:\images\20210226\plaque 2/@04 Testo + FAD/B4_01.tif </t>
  </si>
  <si>
    <t xml:space="preserve"> 64.2527 </t>
  </si>
  <si>
    <t xml:space="preserve">F:\images\20210226\plaque 2/@04 Testo + FAD/B4_02.tif </t>
  </si>
  <si>
    <t xml:space="preserve"> 64.9118 </t>
  </si>
  <si>
    <t xml:space="preserve">F:\images\20210226\plaque 2/@04 Testo + FAD/B4_03.tif </t>
  </si>
  <si>
    <t xml:space="preserve"> 67.9597 </t>
  </si>
  <si>
    <t xml:space="preserve">F:\images\20210226\plaque 2/@04 Testo + FAD/C4_01.tif </t>
  </si>
  <si>
    <t xml:space="preserve"> 67.802 </t>
  </si>
  <si>
    <t xml:space="preserve">F:\images\20210226\plaque 2/@04 Testo + FAD/C4_02.tif </t>
  </si>
  <si>
    <t xml:space="preserve"> 65.8305 </t>
  </si>
  <si>
    <t xml:space="preserve">F:\images\20210226\plaque 2/@04 Testo + FAD/C4_03.tif </t>
  </si>
  <si>
    <t xml:space="preserve"> 66.2 </t>
  </si>
  <si>
    <t>F:\images\20210226\plaque 2/@04 Testo + FAD/D4_01- exclu.tif</t>
  </si>
  <si>
    <t xml:space="preserve">F:\images\20210226\plaque 2/@04 Testo + FAD/D4_02.tif </t>
  </si>
  <si>
    <t xml:space="preserve"> 6532.2282 </t>
  </si>
  <si>
    <t xml:space="preserve"> 66.8709 </t>
  </si>
  <si>
    <t xml:space="preserve">F:\images\20210226\plaque 2/@04 Testo + FAD/D4_03.tif </t>
  </si>
  <si>
    <t xml:space="preserve"> 7851.6518 </t>
  </si>
  <si>
    <t xml:space="preserve"> 75.4242 </t>
  </si>
  <si>
    <t xml:space="preserve">F:\images\20210226\plaque 2/@04 Testo + FAD/E4_01.tif </t>
  </si>
  <si>
    <t xml:space="preserve"> 4909.9861 </t>
  </si>
  <si>
    <t xml:space="preserve"> 73.9692 </t>
  </si>
  <si>
    <t xml:space="preserve">F:\images\20210226\plaque 2/@04 Testo + FAD/E4_02.tif </t>
  </si>
  <si>
    <t xml:space="preserve"> 70.2199 </t>
  </si>
  <si>
    <t xml:space="preserve">F:\images\20210226\plaque 2/@04 Testo + FAD/E4_03.tif </t>
  </si>
  <si>
    <t xml:space="preserve"> 70.914 </t>
  </si>
  <si>
    <t xml:space="preserve">F:\images\20210226\plaque 2/@04 Testo + FAD/F4_01.tif </t>
  </si>
  <si>
    <t xml:space="preserve"> 6034.7406 </t>
  </si>
  <si>
    <t xml:space="preserve"> 65.7348 </t>
  </si>
  <si>
    <t xml:space="preserve">F:\images\20210226\plaque 2/@04 Testo + FAD/F4_02.tif </t>
  </si>
  <si>
    <t xml:space="preserve"> 64.7566 </t>
  </si>
  <si>
    <t xml:space="preserve">F:\images\20210226\plaque 2/@04 Testo + FAD/F4_03.tif </t>
  </si>
  <si>
    <t xml:space="preserve"> 13172.6058 </t>
  </si>
  <si>
    <t xml:space="preserve"> 68.4466 </t>
  </si>
  <si>
    <t xml:space="preserve">F:\images\20210226\plaque 2/@04 Testo + FAD/G4_01.tif </t>
  </si>
  <si>
    <t xml:space="preserve"> 62.9773 </t>
  </si>
  <si>
    <t xml:space="preserve">F:\images\20210226\plaque 2/@04 Testo + FAD/G4_02.tif </t>
  </si>
  <si>
    <t xml:space="preserve">F:\images\20210226\plaque 2/@04 Testo + FAD/G4_03.tif </t>
  </si>
  <si>
    <t xml:space="preserve">F:\images\20210226\plaque 2/@04 Testo + FAD/H4_01.tif </t>
  </si>
  <si>
    <t xml:space="preserve"> 62.375 </t>
  </si>
  <si>
    <t xml:space="preserve">F:\images\20210226\plaque 2/@04 Testo + FAD/H4_02.tif </t>
  </si>
  <si>
    <t xml:space="preserve">F:\images\20210226\plaque 2/@04 Testo + FAD/H4_03.tif </t>
  </si>
  <si>
    <t xml:space="preserve">F:\images\20210226\plaque 2/@04 Testo + FAD/ </t>
  </si>
  <si>
    <t xml:space="preserve"> 67.7969 </t>
  </si>
  <si>
    <t xml:space="preserve"> 4.6622 </t>
  </si>
  <si>
    <t xml:space="preserve"> 284143.833 </t>
  </si>
  <si>
    <t xml:space="preserve"> 267758.537 </t>
  </si>
  <si>
    <t xml:space="preserve">F:\images\20210226\plaque 2/@05 Cefuroxime D 0.001/A5_01.tif </t>
  </si>
  <si>
    <t xml:space="preserve"> 14989.517 </t>
  </si>
  <si>
    <t xml:space="preserve"> 68.5801 </t>
  </si>
  <si>
    <t xml:space="preserve">F:\images\20210226\plaque 2/@05 Cefuroxime D 0.001/A5_02.tif </t>
  </si>
  <si>
    <t xml:space="preserve"> 15941.2323 </t>
  </si>
  <si>
    <t xml:space="preserve"> 69.4003 </t>
  </si>
  <si>
    <t xml:space="preserve">F:\images\20210226\plaque 2/@05 Cefuroxime D 0.001/A5_03.tif </t>
  </si>
  <si>
    <t xml:space="preserve"> 15962.8622 </t>
  </si>
  <si>
    <t xml:space="preserve"> 68.626 </t>
  </si>
  <si>
    <t xml:space="preserve">F:\images\20210226\plaque 2/@05 Cefuroxime D 0.001/B5_01.tif </t>
  </si>
  <si>
    <t xml:space="preserve"> 22451.8306 </t>
  </si>
  <si>
    <t xml:space="preserve"> 69.3372 </t>
  </si>
  <si>
    <t xml:space="preserve">F:\images\20210226\plaque 2/@05 Cefuroxime D 0.001/B5_02.tif </t>
  </si>
  <si>
    <t xml:space="preserve"> 18385.4104 </t>
  </si>
  <si>
    <t xml:space="preserve"> 69.7141 </t>
  </si>
  <si>
    <t xml:space="preserve">F:\images\20210226\plaque 2/@05 Cefuroxime D 0.001/B5_03.tif </t>
  </si>
  <si>
    <t xml:space="preserve"> 22668.1296 </t>
  </si>
  <si>
    <t xml:space="preserve"> 69.4761 </t>
  </si>
  <si>
    <t xml:space="preserve">F:\images\20210226\plaque 2/@05 Cefuroxime D 0.001/C5_01.tif </t>
  </si>
  <si>
    <t xml:space="preserve"> 20851.2184 </t>
  </si>
  <si>
    <t xml:space="preserve"> 70.1815 </t>
  </si>
  <si>
    <t xml:space="preserve">F:\images\20210226\plaque 2/@05 Cefuroxime D 0.001/C5_02.tif </t>
  </si>
  <si>
    <t xml:space="preserve"> 23879.4037 </t>
  </si>
  <si>
    <t xml:space="preserve"> 67.8832 </t>
  </si>
  <si>
    <t xml:space="preserve">F:\images\20210226\plaque 2/@05 Cefuroxime D 0.001/C5_03.tif </t>
  </si>
  <si>
    <t xml:space="preserve"> 23814.514 </t>
  </si>
  <si>
    <t xml:space="preserve"> 67.1381 </t>
  </si>
  <si>
    <t xml:space="preserve">F:\images\20210226\plaque 2/@05 Cefuroxime D 0.001/D5_01.tif </t>
  </si>
  <si>
    <t xml:space="preserve"> 39799.0061 </t>
  </si>
  <si>
    <t xml:space="preserve"> 75.2587 </t>
  </si>
  <si>
    <t xml:space="preserve">F:\images\20210226\plaque 2/@05 Cefuroxime D 0.001/D5_02.tif </t>
  </si>
  <si>
    <t xml:space="preserve"> 71.7005 </t>
  </si>
  <si>
    <t xml:space="preserve">F:\images\20210226\plaque 2/@05 Cefuroxime D 0.001/D5_03.tif </t>
  </si>
  <si>
    <t xml:space="preserve"> 42502.7429 </t>
  </si>
  <si>
    <t xml:space="preserve"> 73.4885 </t>
  </si>
  <si>
    <t xml:space="preserve">F:\images\20210226\plaque 2/@05 Cefuroxime D 0.001/E5_01.tif </t>
  </si>
  <si>
    <t xml:space="preserve"> 29568.066 </t>
  </si>
  <si>
    <t xml:space="preserve"> 71.8478 </t>
  </si>
  <si>
    <t xml:space="preserve">F:\images\20210226\plaque 2/@05 Cefuroxime D 0.001/E5_02.tif </t>
  </si>
  <si>
    <t xml:space="preserve"> 26799.4394 </t>
  </si>
  <si>
    <t xml:space="preserve"> 70.9128 </t>
  </si>
  <si>
    <t xml:space="preserve">F:\images\20210226\plaque 2/@05 Cefuroxime D 0.001/E5_03.tif </t>
  </si>
  <si>
    <t xml:space="preserve"> 25480.0159 </t>
  </si>
  <si>
    <t xml:space="preserve"> 71.5289 </t>
  </si>
  <si>
    <t xml:space="preserve">F:\images\20210226\plaque 2/@05 Cefuroxime D 0.001/F5_01.tif </t>
  </si>
  <si>
    <t xml:space="preserve"> 33937.3047 </t>
  </si>
  <si>
    <t xml:space="preserve"> 70.6705 </t>
  </si>
  <si>
    <t xml:space="preserve">F:\images\20210226\plaque 2/@05 Cefuroxime D 0.001/F5_02.tif </t>
  </si>
  <si>
    <t xml:space="preserve"> 26712.9199 </t>
  </si>
  <si>
    <t xml:space="preserve"> 69.6097 </t>
  </si>
  <si>
    <t xml:space="preserve">F:\images\20210226\plaque 2/@05 Cefuroxime D 0.001/F5_03.tif </t>
  </si>
  <si>
    <t xml:space="preserve"> 35191.8386 </t>
  </si>
  <si>
    <t xml:space="preserve"> 69.4229 </t>
  </si>
  <si>
    <t xml:space="preserve">F:\images\20210226\plaque 2/@05 Cefuroxime D 0.001/G5_01.tif </t>
  </si>
  <si>
    <t xml:space="preserve"> 31017.2689 </t>
  </si>
  <si>
    <t xml:space="preserve"> 72.0439 </t>
  </si>
  <si>
    <t xml:space="preserve">F:\images\20210226\plaque 2/@05 Cefuroxime D 0.001/G5_02.tif </t>
  </si>
  <si>
    <t xml:space="preserve"> 29459.9165 </t>
  </si>
  <si>
    <t xml:space="preserve"> 72.036 </t>
  </si>
  <si>
    <t xml:space="preserve">F:\images\20210226\plaque 2/@05 Cefuroxime D 0.001/G5_03.tif </t>
  </si>
  <si>
    <t xml:space="preserve"> 27816.0445 </t>
  </si>
  <si>
    <t xml:space="preserve"> 72.6835 </t>
  </si>
  <si>
    <t xml:space="preserve">F:\images\20210226\plaque 2/@05 Cefuroxime D 0.001/H5_01.tif </t>
  </si>
  <si>
    <t xml:space="preserve"> 9776.7124 </t>
  </si>
  <si>
    <t xml:space="preserve"> 66.9956 </t>
  </si>
  <si>
    <t xml:space="preserve">F:\images\20210226\plaque 2/@05 Cefuroxime D 0.001/H5_02.tif </t>
  </si>
  <si>
    <t xml:space="preserve"> 7440.6838 </t>
  </si>
  <si>
    <t xml:space="preserve"> 67.0349 </t>
  </si>
  <si>
    <t xml:space="preserve">F:\images\20210226\plaque 2/@05 Cefuroxime D 0.001/H5_03.tif </t>
  </si>
  <si>
    <t xml:space="preserve"> 67.087 </t>
  </si>
  <si>
    <t xml:space="preserve">F:\images\20210226\plaque 2/@05 Cefuroxime D 0.001/ </t>
  </si>
  <si>
    <t xml:space="preserve"> 70.1107 </t>
  </si>
  <si>
    <t xml:space="preserve"> 2.1823 </t>
  </si>
  <si>
    <t xml:space="preserve"> 1762839.12 </t>
  </si>
  <si>
    <t xml:space="preserve"> 743054.092 </t>
  </si>
  <si>
    <t xml:space="preserve">F:\images\20210226\plaque 2/@06 Cefuroxime D 0.01/A6_01.tif </t>
  </si>
  <si>
    <t xml:space="preserve"> 24420.151 </t>
  </si>
  <si>
    <t xml:space="preserve"> 69.2073 </t>
  </si>
  <si>
    <t xml:space="preserve">F:\images\20210226\plaque 2/@06 Cefuroxime D 0.01/A6_02.tif </t>
  </si>
  <si>
    <t xml:space="preserve"> 70.1567 </t>
  </si>
  <si>
    <t xml:space="preserve">F:\images\20210226\plaque 2/@06 Cefuroxime D 0.01/A6_03.tif </t>
  </si>
  <si>
    <t xml:space="preserve"> 70.354 </t>
  </si>
  <si>
    <t xml:space="preserve">F:\images\20210226\plaque 2/@06 Cefuroxime D 0.01/B6_01.tif </t>
  </si>
  <si>
    <t xml:space="preserve"> 65.9865 </t>
  </si>
  <si>
    <t xml:space="preserve">F:\images\20210226\plaque 2/@06 Cefuroxime D 0.01/B6_02.tif </t>
  </si>
  <si>
    <t xml:space="preserve"> 64.5294 </t>
  </si>
  <si>
    <t xml:space="preserve">F:\images\20210226\plaque 2/@06 Cefuroxime D 0.01/B6_03.tif </t>
  </si>
  <si>
    <t xml:space="preserve">F:\images\20210226\plaque 2/@06 Cefuroxime D 0.01/C6_01.tif </t>
  </si>
  <si>
    <t xml:space="preserve"> 71.528 </t>
  </si>
  <si>
    <t xml:space="preserve">F:\images\20210226\plaque 2/@06 Cefuroxime D 0.01/C6_02.tif </t>
  </si>
  <si>
    <t xml:space="preserve"> 27578.1157 </t>
  </si>
  <si>
    <t xml:space="preserve"> 72.1655 </t>
  </si>
  <si>
    <t>F:\images\20210226\plaque 2/@06 Cefuroxime D 0.01/C6_03- exclu.tif</t>
  </si>
  <si>
    <t xml:space="preserve">F:\images\20210226\plaque 2/@06 Cefuroxime D 0.01/D6_01.tif </t>
  </si>
  <si>
    <t xml:space="preserve"> 50440.9143 </t>
  </si>
  <si>
    <t xml:space="preserve"> 75.0356 </t>
  </si>
  <si>
    <t xml:space="preserve">F:\images\20210226\plaque 2/@06 Cefuroxime D 0.01/D6_02.tif </t>
  </si>
  <si>
    <t xml:space="preserve"> 36965.4899 </t>
  </si>
  <si>
    <t xml:space="preserve"> 74.9017 </t>
  </si>
  <si>
    <t xml:space="preserve">F:\images\20210226\plaque 2/@06 Cefuroxime D 0.01/D6_03.tif </t>
  </si>
  <si>
    <t xml:space="preserve"> 38760.7712 </t>
  </si>
  <si>
    <t xml:space="preserve"> 73.668 </t>
  </si>
  <si>
    <t xml:space="preserve">F:\images\20210226\plaque 2/@06 Cefuroxime D 0.01/E6_01.tif </t>
  </si>
  <si>
    <t xml:space="preserve"> 13259.1254 </t>
  </si>
  <si>
    <t xml:space="preserve"> 68.3589 </t>
  </si>
  <si>
    <t xml:space="preserve">F:\images\20210226\plaque 2/@06 Cefuroxime D 0.01/E6_02.tif </t>
  </si>
  <si>
    <t xml:space="preserve"> 10901.4669 </t>
  </si>
  <si>
    <t xml:space="preserve"> 67.379 </t>
  </si>
  <si>
    <t xml:space="preserve">F:\images\20210226\plaque 2/@06 Cefuroxime D 0.01/E6_03.tif </t>
  </si>
  <si>
    <t xml:space="preserve"> 10533.7587 </t>
  </si>
  <si>
    <t xml:space="preserve"> 66.3142 </t>
  </si>
  <si>
    <t xml:space="preserve">F:\images\20210226\plaque 2/@06 Cefuroxime D 0.01/F6_01.tif </t>
  </si>
  <si>
    <t xml:space="preserve"> 67.4149 </t>
  </si>
  <si>
    <t xml:space="preserve">F:\images\20210226\plaque 2/@06 Cefuroxime D 0.01/F6_02.tif </t>
  </si>
  <si>
    <t xml:space="preserve"> 4715.317 </t>
  </si>
  <si>
    <t xml:space="preserve"> 68.3532 </t>
  </si>
  <si>
    <t xml:space="preserve">F:\images\20210226\plaque 2/@06 Cefuroxime D 0.01/F6_03.tif </t>
  </si>
  <si>
    <t xml:space="preserve"> 67.2404 </t>
  </si>
  <si>
    <t xml:space="preserve">F:\images\20210226\plaque 2/@06 Cefuroxime D 0.01/G6_01.tif </t>
  </si>
  <si>
    <t xml:space="preserve"> 33785.8954 </t>
  </si>
  <si>
    <t xml:space="preserve"> 69.1543 </t>
  </si>
  <si>
    <t xml:space="preserve">F:\images\20210226\plaque 2/@06 Cefuroxime D 0.01/G6_02.tif </t>
  </si>
  <si>
    <t xml:space="preserve"> 30173.703 </t>
  </si>
  <si>
    <t xml:space="preserve"> 68.9326 </t>
  </si>
  <si>
    <t xml:space="preserve">F:\images\20210226\plaque 2/@06 Cefuroxime D 0.01/G6_03.tif </t>
  </si>
  <si>
    <t xml:space="preserve"> 25112.3077 </t>
  </si>
  <si>
    <t xml:space="preserve"> 67.6038 </t>
  </si>
  <si>
    <t xml:space="preserve">F:\images\20210226\plaque 2/@06 Cefuroxime D 0.01/H6_01.tif </t>
  </si>
  <si>
    <t xml:space="preserve"> 50181.3555 </t>
  </si>
  <si>
    <t xml:space="preserve"> 74.5754 </t>
  </si>
  <si>
    <t xml:space="preserve">F:\images\20210226\plaque 2/@06 Cefuroxime D 0.01/H6_02.tif </t>
  </si>
  <si>
    <t xml:space="preserve"> 49856.9071 </t>
  </si>
  <si>
    <t xml:space="preserve"> 76.8781 </t>
  </si>
  <si>
    <t xml:space="preserve">F:\images\20210226\plaque 2/@06 Cefuroxime D 0.01/H6_03.tif </t>
  </si>
  <si>
    <t xml:space="preserve"> 52041.5265 </t>
  </si>
  <si>
    <t xml:space="preserve"> 72.5183 </t>
  </si>
  <si>
    <t xml:space="preserve">F:\images\20210226\plaque 2/@06 Cefuroxime D 0.01/ </t>
  </si>
  <si>
    <t xml:space="preserve"> 69.8325 </t>
  </si>
  <si>
    <t xml:space="preserve"> 3.5074 </t>
  </si>
  <si>
    <t xml:space="preserve"> 1682272.25 </t>
  </si>
  <si>
    <t xml:space="preserve"> 1281327.8 </t>
  </si>
  <si>
    <t xml:space="preserve">F:\images\20210226\plaque 2/@07 Cefuroxime D 0.1/A7_01.tif </t>
  </si>
  <si>
    <t xml:space="preserve"> 12156.0008 </t>
  </si>
  <si>
    <t xml:space="preserve"> 67.4626 </t>
  </si>
  <si>
    <t xml:space="preserve">F:\images\20210226\plaque 2/@07 Cefuroxime D 0.1/A7_02.tif </t>
  </si>
  <si>
    <t xml:space="preserve"> 23706.3645 </t>
  </si>
  <si>
    <t xml:space="preserve"> 74.0365 </t>
  </si>
  <si>
    <t xml:space="preserve">F:\images\20210226\plaque 2/@07 Cefuroxime D 0.1/A7_03.tif </t>
  </si>
  <si>
    <t xml:space="preserve"> 22019.2327 </t>
  </si>
  <si>
    <t xml:space="preserve"> 74.722 </t>
  </si>
  <si>
    <t xml:space="preserve">F:\images\20210226\plaque 2/@07 Cefuroxime D 0.1/B7_01.tif </t>
  </si>
  <si>
    <t xml:space="preserve"> 15400.485 </t>
  </si>
  <si>
    <t xml:space="preserve"> 74.4228 </t>
  </si>
  <si>
    <t xml:space="preserve">F:\images\20210226\plaque 2/@07 Cefuroxime D 0.1/B7_02.tif </t>
  </si>
  <si>
    <t xml:space="preserve"> 72.9658 </t>
  </si>
  <si>
    <t xml:space="preserve">F:\images\20210226\plaque 2/@07 Cefuroxime D 0.1/B7_03.tif </t>
  </si>
  <si>
    <t xml:space="preserve"> 71.1494 </t>
  </si>
  <si>
    <t xml:space="preserve">F:\images\20210226\plaque 2/@07 Cefuroxime D 0.1/C7_01.tif </t>
  </si>
  <si>
    <t xml:space="preserve"> 26388.4714 </t>
  </si>
  <si>
    <t xml:space="preserve"> 70.8123 </t>
  </si>
  <si>
    <t xml:space="preserve">F:\images\20210226\plaque 2/@07 Cefuroxime D 0.1/C7_02.tif </t>
  </si>
  <si>
    <t xml:space="preserve"> 23187.247 </t>
  </si>
  <si>
    <t xml:space="preserve"> 71.5364 </t>
  </si>
  <si>
    <t xml:space="preserve">F:\images\20210226\plaque 2/@07 Cefuroxime D 0.1/C7_03.tif </t>
  </si>
  <si>
    <t xml:space="preserve"> 70.8101 </t>
  </si>
  <si>
    <t xml:space="preserve">F:\images\20210226\plaque 2/@07 Cefuroxime D 0.1/D7_01.tif </t>
  </si>
  <si>
    <t xml:space="preserve"> 33396.5573 </t>
  </si>
  <si>
    <t xml:space="preserve"> 72.2545 </t>
  </si>
  <si>
    <t xml:space="preserve">F:\images\20210226\plaque 2/@07 Cefuroxime D 0.1/D7_02.tif </t>
  </si>
  <si>
    <t xml:space="preserve"> 35689.3261 </t>
  </si>
  <si>
    <t xml:space="preserve"> 71.9533 </t>
  </si>
  <si>
    <t xml:space="preserve">F:\images\20210226\plaque 2/@07 Cefuroxime D 0.1/D7_03.tif </t>
  </si>
  <si>
    <t xml:space="preserve"> 35213.4685 </t>
  </si>
  <si>
    <t xml:space="preserve"> 72.5283 </t>
  </si>
  <si>
    <t xml:space="preserve">F:\images\20210226\plaque 2/@07 Cefuroxime D 0.1/E7_01.tif </t>
  </si>
  <si>
    <t xml:space="preserve"> 16698.2787 </t>
  </si>
  <si>
    <t xml:space="preserve"> 71.3886 </t>
  </si>
  <si>
    <t xml:space="preserve">F:\images\20210226\plaque 2/@07 Cefuroxime D 0.1/E7_02.tif </t>
  </si>
  <si>
    <t xml:space="preserve"> 13864.7625 </t>
  </si>
  <si>
    <t xml:space="preserve"> 68.2153 </t>
  </si>
  <si>
    <t xml:space="preserve">F:\images\20210226\plaque 2/@07 Cefuroxime D 0.1/E7_03.tif </t>
  </si>
  <si>
    <t xml:space="preserve"> 10858.2071 </t>
  </si>
  <si>
    <t xml:space="preserve"> 70.3665 </t>
  </si>
  <si>
    <t xml:space="preserve">F:\images\20210226\plaque 2/@07 Cefuroxime D 0.1/F7_01.tif </t>
  </si>
  <si>
    <t xml:space="preserve"> 63.3276 </t>
  </si>
  <si>
    <t xml:space="preserve">F:\images\20210226\plaque 2/@07 Cefuroxime D 0.1/F7_02.tif </t>
  </si>
  <si>
    <t xml:space="preserve"> 1189.6442 </t>
  </si>
  <si>
    <t xml:space="preserve"> 64.8182 </t>
  </si>
  <si>
    <t>F:\images\20210226\plaque 2/@07 Cefuroxime D 0.1/F7_03- exclu.tif</t>
  </si>
  <si>
    <t xml:space="preserve">F:\images\20210226\plaque 2/@07 Cefuroxime D 0.1/G7_01.tif </t>
  </si>
  <si>
    <t xml:space="preserve"> 21629.8946 </t>
  </si>
  <si>
    <t xml:space="preserve"> 68.332 </t>
  </si>
  <si>
    <t xml:space="preserve">F:\images\20210226\plaque 2/@07 Cefuroxime D 0.1/G7_02.tif </t>
  </si>
  <si>
    <t xml:space="preserve"> 20829.5885 </t>
  </si>
  <si>
    <t xml:space="preserve"> 68.3053 </t>
  </si>
  <si>
    <t xml:space="preserve">F:\images\20210226\plaque 2/@07 Cefuroxime D 0.1/G7_03.tif </t>
  </si>
  <si>
    <t xml:space="preserve"> 18753.1186 </t>
  </si>
  <si>
    <t xml:space="preserve"> 67.9666 </t>
  </si>
  <si>
    <t xml:space="preserve">F:\images\20210226\plaque 2/@07 Cefuroxime D 0.1/H7_01.tif </t>
  </si>
  <si>
    <t xml:space="preserve"> 65.0792 </t>
  </si>
  <si>
    <t xml:space="preserve">F:\images\20210226\plaque 2/@07 Cefuroxime D 0.1/H7_02.tif </t>
  </si>
  <si>
    <t xml:space="preserve"> 64.7919 </t>
  </si>
  <si>
    <t xml:space="preserve">F:\images\20210226\plaque 2/@07 Cefuroxime D 0.1/H7_03.tif </t>
  </si>
  <si>
    <t xml:space="preserve"> 63.3083 </t>
  </si>
  <si>
    <t xml:space="preserve">F:\images\20210226\plaque 2/@07 Cefuroxime D 0.1/ </t>
  </si>
  <si>
    <t xml:space="preserve"> 69.339 </t>
  </si>
  <si>
    <t xml:space="preserve"> 3.6528 </t>
  </si>
  <si>
    <t xml:space="preserve"> 1170844.21 </t>
  </si>
  <si>
    <t xml:space="preserve"> 782112.787 </t>
  </si>
  <si>
    <t xml:space="preserve">F:\images\20210226\plaque 2/@08 Cefuroxime D 1/A8_01.tif </t>
  </si>
  <si>
    <t xml:space="preserve"> 52214.5656 </t>
  </si>
  <si>
    <t xml:space="preserve"> 78.6732 </t>
  </si>
  <si>
    <t xml:space="preserve">F:\images\20210226\plaque 2/@08 Cefuroxime D 1/A8_02.tif </t>
  </si>
  <si>
    <t xml:space="preserve"> 53663.7686 </t>
  </si>
  <si>
    <t xml:space="preserve"> 77.6759 </t>
  </si>
  <si>
    <t xml:space="preserve">F:\images\20210226\plaque 2/@08 Cefuroxime D 1/A8_03.tif </t>
  </si>
  <si>
    <t xml:space="preserve"> 52106.4162 </t>
  </si>
  <si>
    <t xml:space="preserve"> 73.9826 </t>
  </si>
  <si>
    <t xml:space="preserve">F:\images\20210226\plaque 2/@08 Cefuroxime D 1/B8_01.tif </t>
  </si>
  <si>
    <t xml:space="preserve"> 21175.6668 </t>
  </si>
  <si>
    <t xml:space="preserve"> 68.0112 </t>
  </si>
  <si>
    <t xml:space="preserve">F:\images\20210226\plaque 2/@08 Cefuroxime D 1/B8_02.tif </t>
  </si>
  <si>
    <t xml:space="preserve"> 20634.9195 </t>
  </si>
  <si>
    <t xml:space="preserve"> 67.8218 </t>
  </si>
  <si>
    <t xml:space="preserve">F:\images\20210226\plaque 2/@08 Cefuroxime D 1/B8_03.tif </t>
  </si>
  <si>
    <t xml:space="preserve"> 19055.9372 </t>
  </si>
  <si>
    <t xml:space="preserve"> 68.9455 </t>
  </si>
  <si>
    <t xml:space="preserve">F:\images\20210226\plaque 2/@08 Cefuroxime D 1/C8_01.tif </t>
  </si>
  <si>
    <t xml:space="preserve"> 67.8577 </t>
  </si>
  <si>
    <t xml:space="preserve">F:\images\20210226\plaque 2/@08 Cefuroxime D 1/C8_02.tif </t>
  </si>
  <si>
    <t xml:space="preserve"> 30260.2226 </t>
  </si>
  <si>
    <t xml:space="preserve"> 67.2123 </t>
  </si>
  <si>
    <t xml:space="preserve">F:\images\20210226\plaque 2/@08 Cefuroxime D 1/C8_03.tif </t>
  </si>
  <si>
    <t xml:space="preserve"> 26193.8024 </t>
  </si>
  <si>
    <t xml:space="preserve"> 67.6135 </t>
  </si>
  <si>
    <t xml:space="preserve">F:\images\20210226\plaque 2/@08 Cefuroxime D 1/D8_01.tif </t>
  </si>
  <si>
    <t xml:space="preserve"> 18947.7877 </t>
  </si>
  <si>
    <t xml:space="preserve"> 68.9669 </t>
  </si>
  <si>
    <t xml:space="preserve">F:\images\20210226\plaque 2/@08 Cefuroxime D 1/D8_02.tif </t>
  </si>
  <si>
    <t xml:space="preserve"> 21067.5174 </t>
  </si>
  <si>
    <t xml:space="preserve"> 69.3265 </t>
  </si>
  <si>
    <t xml:space="preserve">F:\images\20210226\plaque 2/@08 Cefuroxime D 1/D8_03.tif </t>
  </si>
  <si>
    <t xml:space="preserve"> 17758.1435 </t>
  </si>
  <si>
    <t xml:space="preserve"> 67.592 </t>
  </si>
  <si>
    <t xml:space="preserve">F:\images\20210226\plaque 2/@08 Cefuroxime D 1/E8_01.tif </t>
  </si>
  <si>
    <t xml:space="preserve"> 17109.2467 </t>
  </si>
  <si>
    <t xml:space="preserve"> 67.6131 </t>
  </si>
  <si>
    <t xml:space="preserve">F:\images\20210226\plaque 2/@08 Cefuroxime D 1/E8_02.tif </t>
  </si>
  <si>
    <t xml:space="preserve"> 70.45 </t>
  </si>
  <si>
    <t xml:space="preserve">F:\images\20210226\plaque 2/@08 Cefuroxime D 1/E8_03.tif </t>
  </si>
  <si>
    <t xml:space="preserve"> 21824.5637 </t>
  </si>
  <si>
    <t xml:space="preserve"> 68.7156 </t>
  </si>
  <si>
    <t xml:space="preserve">F:\images\20210226\plaque 2/@08 Cefuroxime D 1/F8_01.tif </t>
  </si>
  <si>
    <t xml:space="preserve"> 67.5802 </t>
  </si>
  <si>
    <t xml:space="preserve">F:\images\20210226\plaque 2/@08 Cefuroxime D 1/F8_02.tif </t>
  </si>
  <si>
    <t xml:space="preserve"> 10122.7907 </t>
  </si>
  <si>
    <t xml:space="preserve"> 65.8312 </t>
  </si>
  <si>
    <t xml:space="preserve">F:\images\20210226\plaque 2/@08 Cefuroxime D 1/F8_03.tif </t>
  </si>
  <si>
    <t xml:space="preserve"> 8500.5486 </t>
  </si>
  <si>
    <t xml:space="preserve"> 66.0814 </t>
  </si>
  <si>
    <t xml:space="preserve">F:\images\20210226\plaque 2/@08 Cefuroxime D 1/G8_01.tif </t>
  </si>
  <si>
    <t xml:space="preserve"> 72.3343 </t>
  </si>
  <si>
    <t xml:space="preserve">F:\images\20210226\plaque 2/@08 Cefuroxime D 1/G8_02.tif </t>
  </si>
  <si>
    <t xml:space="preserve"> 3417.5234 </t>
  </si>
  <si>
    <t xml:space="preserve"> 69.8861 </t>
  </si>
  <si>
    <t xml:space="preserve">F:\images\20210226\plaque 2/@08 Cefuroxime D 1/G8_03.tif </t>
  </si>
  <si>
    <t xml:space="preserve"> 69.5639 </t>
  </si>
  <si>
    <t xml:space="preserve">F:\images\20210226\plaque 2/@08 Cefuroxime D 1/H8_01.tif </t>
  </si>
  <si>
    <t xml:space="preserve"> 75.6483 </t>
  </si>
  <si>
    <t xml:space="preserve">F:\images\20210226\plaque 2/@08 Cefuroxime D 1/H8_02.tif </t>
  </si>
  <si>
    <t xml:space="preserve"> 32574.6213 </t>
  </si>
  <si>
    <t xml:space="preserve"> 76.2198 </t>
  </si>
  <si>
    <t xml:space="preserve">F:\images\20210226\plaque 2/@08 Cefuroxime D 1/H8_03.tif </t>
  </si>
  <si>
    <t xml:space="preserve"> 76.2468 </t>
  </si>
  <si>
    <t xml:space="preserve">F:\images\20210226\plaque 2/@08 Cefuroxime D 1/ </t>
  </si>
  <si>
    <t xml:space="preserve"> 70.4104 </t>
  </si>
  <si>
    <t xml:space="preserve"> 3.8592 </t>
  </si>
  <si>
    <t xml:space="preserve"> 1691331.5 </t>
  </si>
  <si>
    <t xml:space="preserve"> 1116416.56 </t>
  </si>
  <si>
    <t xml:space="preserve">F:\images\20210226\plaque 2/@09 Cefuroxime D 10/A9_01.tif </t>
  </si>
  <si>
    <t xml:space="preserve"> 72.0858 </t>
  </si>
  <si>
    <t>F:\images\20210226\plaque 2/@09 Cefuroxime D 10/A9_02- exclu.tif</t>
  </si>
  <si>
    <t xml:space="preserve">F:\images\20210226\plaque 2/@09 Cefuroxime D 10/A9_03.tif </t>
  </si>
  <si>
    <t xml:space="preserve"> 12891.4172 </t>
  </si>
  <si>
    <t xml:space="preserve"> 67.5856 </t>
  </si>
  <si>
    <t xml:space="preserve">F:\images\20210226\plaque 2/@09 Cefuroxime D 10/B9_01.tif </t>
  </si>
  <si>
    <t xml:space="preserve"> 65.5979 </t>
  </si>
  <si>
    <t xml:space="preserve">F:\images\20210226\plaque 2/@09 Cefuroxime D 10/B9_02.tif </t>
  </si>
  <si>
    <t xml:space="preserve"> 64.4824 </t>
  </si>
  <si>
    <t xml:space="preserve">F:\images\20210226\plaque 2/@09 Cefuroxime D 10/B9_03.tif </t>
  </si>
  <si>
    <t xml:space="preserve"> 6121.2602 </t>
  </si>
  <si>
    <t xml:space="preserve"> 64.6184 </t>
  </si>
  <si>
    <t xml:space="preserve">F:\images\20210226\plaque 2/@09 Cefuroxime D 10/C9_01.tif </t>
  </si>
  <si>
    <t xml:space="preserve"> 13561.9439 </t>
  </si>
  <si>
    <t xml:space="preserve"> 66.1467 </t>
  </si>
  <si>
    <t xml:space="preserve">F:\images\20210226\plaque 2/@09 Cefuroxime D 10/C9_02.tif </t>
  </si>
  <si>
    <t xml:space="preserve"> 12869.7873 </t>
  </si>
  <si>
    <t xml:space="preserve"> 66.9866 </t>
  </si>
  <si>
    <t xml:space="preserve">F:\images\20210226\plaque 2/@09 Cefuroxime D 10/C9_03.tif </t>
  </si>
  <si>
    <t xml:space="preserve"> 12696.7481 </t>
  </si>
  <si>
    <t xml:space="preserve"> 65.3101 </t>
  </si>
  <si>
    <t xml:space="preserve">F:\images\20210226\plaque 2/@09 Cefuroxime D 10/D9_01.tif </t>
  </si>
  <si>
    <t xml:space="preserve"> 70.2333 </t>
  </si>
  <si>
    <t xml:space="preserve">F:\images\20210226\plaque 2/@09 Cefuroxime D 10/D9_02.tif </t>
  </si>
  <si>
    <t xml:space="preserve"> 1881.8008 </t>
  </si>
  <si>
    <t xml:space="preserve"> 66.3218 </t>
  </si>
  <si>
    <t>F:\images\20210226\plaque 2/@09 Cefuroxime D 10/D9_03- exclu.tif</t>
  </si>
  <si>
    <t xml:space="preserve">F:\images\20210226\plaque 2/@09 Cefuroxime D 10/E9_01.tif </t>
  </si>
  <si>
    <t xml:space="preserve"> 11204.2854 </t>
  </si>
  <si>
    <t xml:space="preserve"> 68.1853 </t>
  </si>
  <si>
    <t xml:space="preserve">F:\images\20210226\plaque 2/@09 Cefuroxime D 10/E9_02.tif </t>
  </si>
  <si>
    <t xml:space="preserve"> 67.7606 </t>
  </si>
  <si>
    <t xml:space="preserve">F:\images\20210226\plaque 2/@09 Cefuroxime D 10/E9_03.tif </t>
  </si>
  <si>
    <t xml:space="preserve"> 10923.0968 </t>
  </si>
  <si>
    <t xml:space="preserve"> 68.1089 </t>
  </si>
  <si>
    <t xml:space="preserve">F:\images\20210226\plaque 2/@09 Cefuroxime D 10/F9_01.tif </t>
  </si>
  <si>
    <t xml:space="preserve"> 63.2857 </t>
  </si>
  <si>
    <t xml:space="preserve">F:\images\20210226\plaque 2/@09 Cefuroxime D 10/F9_02.tif </t>
  </si>
  <si>
    <t xml:space="preserve"> 65.0871 </t>
  </si>
  <si>
    <t xml:space="preserve">F:\images\20210226\plaque 2/@09 Cefuroxime D 10/F9_03.tif </t>
  </si>
  <si>
    <t xml:space="preserve"> 66.7969 </t>
  </si>
  <si>
    <t xml:space="preserve">F:\images\20210226\plaque 2/@09 Cefuroxime D 10/G9_01.tif </t>
  </si>
  <si>
    <t xml:space="preserve"> 47131.5404 </t>
  </si>
  <si>
    <t xml:space="preserve"> 74.2877 </t>
  </si>
  <si>
    <t xml:space="preserve">F:\images\20210226\plaque 2/@09 Cefuroxime D 10/G9_02.tif </t>
  </si>
  <si>
    <t xml:space="preserve"> 49272.9 </t>
  </si>
  <si>
    <t xml:space="preserve"> 73.5299 </t>
  </si>
  <si>
    <t xml:space="preserve">F:\images\20210226\plaque 2/@09 Cefuroxime D 10/G9_03.tif </t>
  </si>
  <si>
    <t xml:space="preserve"> 47477.6187 </t>
  </si>
  <si>
    <t xml:space="preserve"> 74.5544 </t>
  </si>
  <si>
    <t xml:space="preserve">F:\images\20210226\plaque 2/@09 Cefuroxime D 10/H9_01.tif </t>
  </si>
  <si>
    <t xml:space="preserve"> 63.5024 </t>
  </si>
  <si>
    <t xml:space="preserve">F:\images\20210226\plaque 2/@09 Cefuroxime D 10/H9_02.tif </t>
  </si>
  <si>
    <t xml:space="preserve"> 1470.8328 </t>
  </si>
  <si>
    <t xml:space="preserve"> 63.0441 </t>
  </si>
  <si>
    <t xml:space="preserve">F:\images\20210226\plaque 2/@09 Cefuroxime D 10/H9_03.tif </t>
  </si>
  <si>
    <t xml:space="preserve"> 63.808 </t>
  </si>
  <si>
    <t xml:space="preserve">F:\images\20210226\plaque 2/@09 Cefuroxime D 10/ </t>
  </si>
  <si>
    <t xml:space="preserve"> 67.0898 </t>
  </si>
  <si>
    <t xml:space="preserve"> 3.4931 </t>
  </si>
  <si>
    <t xml:space="preserve"> 844912.292 </t>
  </si>
  <si>
    <t xml:space="preserve"> 1097191.02 </t>
  </si>
  <si>
    <t xml:space="preserve">\\192.168.24.208\images\R&amp;D\Amira\20210302\plaque 1/@01 Evian + 0.2% DMSO/A1_01.tif </t>
  </si>
  <si>
    <t xml:space="preserve"> 9863.232 </t>
  </si>
  <si>
    <t xml:space="preserve"> 76.7193 </t>
  </si>
  <si>
    <t xml:space="preserve">\\192.168.24.208\images\R&amp;D\Amira\20210302\plaque 1/@01 Evian + 0.2% DMSO/A1_02.tif </t>
  </si>
  <si>
    <t xml:space="preserve"> 14210.8408 </t>
  </si>
  <si>
    <t xml:space="preserve"> 72.8584 </t>
  </si>
  <si>
    <t xml:space="preserve">\\192.168.24.208\images\R&amp;D\Amira\20210302\plaque 1/@01 Evian + 0.2% DMSO/A1_03.tif </t>
  </si>
  <si>
    <t xml:space="preserve"> 68.1116 </t>
  </si>
  <si>
    <t xml:space="preserve">\\192.168.24.208\images\R&amp;D\Amira\20210302\plaque 1/@01 Evian + 0.2% DMSO/B1_01.tif </t>
  </si>
  <si>
    <t xml:space="preserve"> 68.8873 </t>
  </si>
  <si>
    <t xml:space="preserve">\\192.168.24.208\images\R&amp;D\Amira\20210302\plaque 1/@01 Evian + 0.2% DMSO/B1_02.tif </t>
  </si>
  <si>
    <t xml:space="preserve"> 3374.2636 </t>
  </si>
  <si>
    <t xml:space="preserve"> 68.0769 </t>
  </si>
  <si>
    <t xml:space="preserve">\\192.168.24.208\images\R&amp;D\Amira\20210302\plaque 1/@01 Evian + 0.2% DMSO/B1_03.tif </t>
  </si>
  <si>
    <t xml:space="preserve"> 4888.3562 </t>
  </si>
  <si>
    <t xml:space="preserve"> 69.9425 </t>
  </si>
  <si>
    <t xml:space="preserve">\\192.168.24.208\images\R&amp;D\Amira\20210302\plaque 1/@01 Evian + 0.2% DMSO/C1_01.tif </t>
  </si>
  <si>
    <t xml:space="preserve"> 10057.901 </t>
  </si>
  <si>
    <t xml:space="preserve"> 72.5871 </t>
  </si>
  <si>
    <t xml:space="preserve">\\192.168.24.208\images\R&amp;D\Amira\20210302\plaque 1/@01 Evian + 0.2% DMSO/C1_02.tif </t>
  </si>
  <si>
    <t xml:space="preserve"> 7765.1322 </t>
  </si>
  <si>
    <t xml:space="preserve"> 69.4373 </t>
  </si>
  <si>
    <t xml:space="preserve">\\192.168.24.208\images\R&amp;D\Amira\20210302\plaque 1/@01 Evian + 0.2% DMSO/C1_03.tif </t>
  </si>
  <si>
    <t xml:space="preserve"> 68.2609 </t>
  </si>
  <si>
    <t xml:space="preserve">\\192.168.24.208\images\R&amp;D\Amira\20210302\plaque 1/@01 Evian + 0.2% DMSO/D1_01.tif </t>
  </si>
  <si>
    <t xml:space="preserve"> 5926.5911 </t>
  </si>
  <si>
    <t xml:space="preserve"> 72.3212 </t>
  </si>
  <si>
    <t xml:space="preserve">\\192.168.24.208\images\R&amp;D\Amira\20210302\plaque 1/@01 Evian + 0.2% DMSO/D1_02.tif </t>
  </si>
  <si>
    <t xml:space="preserve"> 70.5577 </t>
  </si>
  <si>
    <t xml:space="preserve">\\192.168.24.208\images\R&amp;D\Amira\20210302\plaque 1/@01 Evian + 0.2% DMSO/D1_03.tif </t>
  </si>
  <si>
    <t xml:space="preserve">\\192.168.24.208\images\R&amp;D\Amira\20210302\plaque 1/@01 Evian + 0.2% DMSO/E1_01.tif </t>
  </si>
  <si>
    <t xml:space="preserve"> 67.3478 </t>
  </si>
  <si>
    <t>\\192.168.24.208\images\R&amp;D\Amira\20210302\plaque 1/@01 Evian + 0.2% DMSO/E1_02- exclu.tif</t>
  </si>
  <si>
    <t xml:space="preserve">\\192.168.24.208\images\R&amp;D\Amira\20210302\plaque 1/@01 Evian + 0.2% DMSO/E1_03.tif </t>
  </si>
  <si>
    <t xml:space="preserve"> 4585.5377 </t>
  </si>
  <si>
    <t xml:space="preserve"> 65.9906 </t>
  </si>
  <si>
    <t xml:space="preserve">\\192.168.24.208\images\R&amp;D\Amira\20210302\plaque 1/@01 Evian + 0.2% DMSO/F1_01.tif </t>
  </si>
  <si>
    <t xml:space="preserve"> 65.1594 </t>
  </si>
  <si>
    <t xml:space="preserve">\\192.168.24.208\images\R&amp;D\Amira\20210302\plaque 1/@01 Evian + 0.2% DMSO/F1_02.tif </t>
  </si>
  <si>
    <t xml:space="preserve"> 64.1744 </t>
  </si>
  <si>
    <t xml:space="preserve">\\192.168.24.208\images\R&amp;D\Amira\20210302\plaque 1/@01 Evian + 0.2% DMSO/F1_03.tif </t>
  </si>
  <si>
    <t xml:space="preserve"> 67.275 </t>
  </si>
  <si>
    <t xml:space="preserve">\\192.168.24.208\images\R&amp;D\Amira\20210302\plaque 1/@01 Evian + 0.2% DMSO/G1_01.tif </t>
  </si>
  <si>
    <t xml:space="preserve"> 62.5 </t>
  </si>
  <si>
    <t xml:space="preserve">\\192.168.24.208\images\R&amp;D\Amira\20210302\plaque 1/@01 Evian + 0.2% DMSO/G1_02.tif </t>
  </si>
  <si>
    <t xml:space="preserve"> 63.6364 </t>
  </si>
  <si>
    <t xml:space="preserve">\\192.168.24.208\images\R&amp;D\Amira\20210302\plaque 1/@01 Evian + 0.2% DMSO/G1_03.tif </t>
  </si>
  <si>
    <t xml:space="preserve"> 62.1538 </t>
  </si>
  <si>
    <t xml:space="preserve">\\192.168.24.208\images\R&amp;D\Amira\20210302\plaque 1/@01 Evian + 0.2% DMSO/H1_01.tif </t>
  </si>
  <si>
    <t xml:space="preserve"> 64.4375 </t>
  </si>
  <si>
    <t xml:space="preserve">\\192.168.24.208\images\R&amp;D\Amira\20210302\plaque 1/@01 Evian + 0.2% DMSO/H1_02.tif </t>
  </si>
  <si>
    <t xml:space="preserve">\\192.168.24.208\images\R&amp;D\Amira\20210302\plaque 1/@01 Evian + 0.2% DMSO/H1_03.tif </t>
  </si>
  <si>
    <t xml:space="preserve"> 108.1495 </t>
  </si>
  <si>
    <t xml:space="preserve">\\192.168.24.208\images\R&amp;D\Amira\20210302\plaque 1/@01 Evian + 0.2% DMSO/ </t>
  </si>
  <si>
    <t xml:space="preserve"> 67.2174 </t>
  </si>
  <si>
    <t xml:space="preserve"> 3.9371 </t>
  </si>
  <si>
    <t xml:space="preserve"> 285933.625 </t>
  </si>
  <si>
    <t xml:space="preserve"> 292587.681 </t>
  </si>
  <si>
    <t xml:space="preserve">\\192.168.24.208\images\R&amp;D\Amira\20210302\plaque 1/@02 EE2 33.8/A2_01.tif </t>
  </si>
  <si>
    <t xml:space="preserve"> 64.7653 </t>
  </si>
  <si>
    <t xml:space="preserve">\\192.168.24.208\images\R&amp;D\Amira\20210302\plaque 1/@02 EE2 33.8/A2_02.tif </t>
  </si>
  <si>
    <t xml:space="preserve"> 63.2692 </t>
  </si>
  <si>
    <t xml:space="preserve">\\192.168.24.208\images\R&amp;D\Amira\20210302\plaque 1/@02 EE2 33.8/A2_03.tif </t>
  </si>
  <si>
    <t xml:space="preserve"> 64.9802 </t>
  </si>
  <si>
    <t>\\192.168.24.208\images\R&amp;D\Amira\20210302\plaque 1/@02 EE2 33.8/B2_01- exclu.tif</t>
  </si>
  <si>
    <t xml:space="preserve">\\192.168.24.208\images\R&amp;D\Amira\20210302\plaque 1/@02 EE2 33.8/B2_02.tif </t>
  </si>
  <si>
    <t xml:space="preserve"> 63.0769 </t>
  </si>
  <si>
    <t xml:space="preserve">\\192.168.24.208\images\R&amp;D\Amira\20210302\plaque 1/@02 EE2 33.8/B2_03.tif </t>
  </si>
  <si>
    <t xml:space="preserve"> 65.3929 </t>
  </si>
  <si>
    <t xml:space="preserve">\\192.168.24.208\images\R&amp;D\Amira\20210302\plaque 1/@02 EE2 33.8/C2_01.tif </t>
  </si>
  <si>
    <t xml:space="preserve"> 64.5429 </t>
  </si>
  <si>
    <t xml:space="preserve">\\192.168.24.208\images\R&amp;D\Amira\20210302\plaque 1/@02 EE2 33.8/C2_02.tif </t>
  </si>
  <si>
    <t xml:space="preserve"> 63.7143 </t>
  </si>
  <si>
    <t xml:space="preserve">\\192.168.24.208\images\R&amp;D\Amira\20210302\plaque 1/@02 EE2 33.8/C2_03.tif </t>
  </si>
  <si>
    <t xml:space="preserve"> 3460.7831 </t>
  </si>
  <si>
    <t xml:space="preserve"> 66.9688 </t>
  </si>
  <si>
    <t xml:space="preserve">\\192.168.24.208\images\R&amp;D\Amira\20210302\plaque 1/@02 EE2 33.8/D2_01.tif </t>
  </si>
  <si>
    <t xml:space="preserve"> 65.3898 </t>
  </si>
  <si>
    <t xml:space="preserve">\\192.168.24.208\images\R&amp;D\Amira\20210302\plaque 1/@02 EE2 33.8/D2_02.tif </t>
  </si>
  <si>
    <t xml:space="preserve"> 1989.9503 </t>
  </si>
  <si>
    <t xml:space="preserve"> 65.1087 </t>
  </si>
  <si>
    <t xml:space="preserve">\\192.168.24.208\images\R&amp;D\Amira\20210302\plaque 1/@02 EE2 33.8/D2_03.tif </t>
  </si>
  <si>
    <t xml:space="preserve"> 1168.0143 </t>
  </si>
  <si>
    <t xml:space="preserve">\\192.168.24.208\images\R&amp;D\Amira\20210302\plaque 1/@02 EE2 33.8/E2_01.tif </t>
  </si>
  <si>
    <t xml:space="preserve"> 62.9459 </t>
  </si>
  <si>
    <t xml:space="preserve">\\192.168.24.208\images\R&amp;D\Amira\20210302\plaque 1/@02 EE2 33.8/E2_02.tif </t>
  </si>
  <si>
    <t xml:space="preserve"> 64.9767 </t>
  </si>
  <si>
    <t xml:space="preserve">\\192.168.24.208\images\R&amp;D\Amira\20210302\plaque 1/@02 EE2 33.8/E2_03.tif </t>
  </si>
  <si>
    <t xml:space="preserve"> 64.5085 </t>
  </si>
  <si>
    <t>\\192.168.24.208\images\R&amp;D\Amira\20210302\plaque 1/@02 EE2 33.8/F2_01- exclu.tif</t>
  </si>
  <si>
    <t xml:space="preserve">\\192.168.24.208\images\R&amp;D\Amira\20210302\plaque 1/@02 EE2 33.8/F2_02.tif </t>
  </si>
  <si>
    <t xml:space="preserve"> 63.381 </t>
  </si>
  <si>
    <t xml:space="preserve">\\192.168.24.208\images\R&amp;D\Amira\20210302\plaque 1/@02 EE2 33.8/F2_03.tif </t>
  </si>
  <si>
    <t xml:space="preserve"> 64.25 </t>
  </si>
  <si>
    <t>\\192.168.24.208\images\R&amp;D\Amira\20210302\plaque 1/@02 EE2 33.8/G2_01- exclu.tif</t>
  </si>
  <si>
    <t xml:space="preserve">\\192.168.24.208\images\R&amp;D\Amira\20210302\plaque 1/@02 EE2 33.8/G2_02.tif </t>
  </si>
  <si>
    <t xml:space="preserve"> 64.3898 </t>
  </si>
  <si>
    <t xml:space="preserve">\\192.168.24.208\images\R&amp;D\Amira\20210302\plaque 1/@02 EE2 33.8/G2_03.tif </t>
  </si>
  <si>
    <t xml:space="preserve"> 62.7292 </t>
  </si>
  <si>
    <t xml:space="preserve">\\192.168.24.208\images\R&amp;D\Amira\20210302\plaque 1/@02 EE2 33.8/H2_01.tif </t>
  </si>
  <si>
    <t xml:space="preserve"> 31882.4647 </t>
  </si>
  <si>
    <t xml:space="preserve"> 70.1554 </t>
  </si>
  <si>
    <t xml:space="preserve">\\192.168.24.208\images\R&amp;D\Amira\20210302\plaque 1/@02 EE2 33.8/H2_02.tif </t>
  </si>
  <si>
    <t xml:space="preserve"> 32790.9203 </t>
  </si>
  <si>
    <t xml:space="preserve"> 70.3991 </t>
  </si>
  <si>
    <t xml:space="preserve">\\192.168.24.208\images\R&amp;D\Amira\20210302\plaque 1/@02 EE2 33.8/H2_03.tif </t>
  </si>
  <si>
    <t xml:space="preserve"> 33699.3758 </t>
  </si>
  <si>
    <t xml:space="preserve"> 69.2895 </t>
  </si>
  <si>
    <t xml:space="preserve">\\192.168.24.208\images\R&amp;D\Amira\20210302\plaque 1/@02 EE2 33.8/ </t>
  </si>
  <si>
    <t xml:space="preserve"> 64.9523 </t>
  </si>
  <si>
    <t xml:space="preserve"> 2.1637 </t>
  </si>
  <si>
    <t xml:space="preserve"> 351354.208 </t>
  </si>
  <si>
    <t xml:space="preserve"> 751546.577 </t>
  </si>
  <si>
    <t xml:space="preserve">\\192.168.24.208\images\R&amp;D\Amira\20210302\plaque 1/@03 EE2 50.6/A3_01.tif </t>
  </si>
  <si>
    <t xml:space="preserve"> 9019.6661 </t>
  </si>
  <si>
    <t xml:space="preserve"> 72.0024 </t>
  </si>
  <si>
    <t xml:space="preserve">\\192.168.24.208\images\R&amp;D\Amira\20210302\plaque 1/@03 EE2 50.6/A3_02.tif </t>
  </si>
  <si>
    <t xml:space="preserve"> 64.1768 </t>
  </si>
  <si>
    <t xml:space="preserve">\\192.168.24.208\images\R&amp;D\Amira\20210302\plaque 1/@03 EE2 50.6/A3_03.tif </t>
  </si>
  <si>
    <t xml:space="preserve"> 63.8992 </t>
  </si>
  <si>
    <t xml:space="preserve">\\192.168.24.208\images\R&amp;D\Amira\20210302\plaque 1/@03 EE2 50.6/B3_01.tif </t>
  </si>
  <si>
    <t xml:space="preserve"> 64.0115 </t>
  </si>
  <si>
    <t xml:space="preserve">\\192.168.24.208\images\R&amp;D\Amira\20210302\plaque 1/@03 EE2 50.6/B3_02.tif </t>
  </si>
  <si>
    <t xml:space="preserve"> 62.6809 </t>
  </si>
  <si>
    <t xml:space="preserve">\\192.168.24.208\images\R&amp;D\Amira\20210302\plaque 1/@03 EE2 50.6/B3_03.tif </t>
  </si>
  <si>
    <t xml:space="preserve"> 64.9565 </t>
  </si>
  <si>
    <t>\\192.168.24.208\images\R&amp;D\Amira\20210302\plaque 1/@03 EE2 50.6/C3_01- exclu.tif</t>
  </si>
  <si>
    <t xml:space="preserve">\\192.168.24.208\images\R&amp;D\Amira\20210302\plaque 1/@03 EE2 50.6/C3_02.tif </t>
  </si>
  <si>
    <t xml:space="preserve"> 63.8065 </t>
  </si>
  <si>
    <t xml:space="preserve">\\192.168.24.208\images\R&amp;D\Amira\20210302\plaque 1/@03 EE2 50.6/C3_03.tif </t>
  </si>
  <si>
    <t xml:space="preserve"> 62.5854 </t>
  </si>
  <si>
    <t xml:space="preserve">\\192.168.24.208\images\R&amp;D\Amira\20210302\plaque 1/@03 EE2 50.6/D3_01.tif </t>
  </si>
  <si>
    <t xml:space="preserve"> 65.0947 </t>
  </si>
  <si>
    <t xml:space="preserve">\\192.168.24.208\images\R&amp;D\Amira\20210302\plaque 1/@03 EE2 50.6/D3_02.tif </t>
  </si>
  <si>
    <t xml:space="preserve"> 63.1034 </t>
  </si>
  <si>
    <t xml:space="preserve">\\192.168.24.208\images\R&amp;D\Amira\20210302\plaque 1/@03 EE2 50.6/D3_03.tif </t>
  </si>
  <si>
    <t xml:space="preserve">\\192.168.24.208\images\R&amp;D\Amira\20210302\plaque 1/@03 EE2 50.6/E3_01.tif </t>
  </si>
  <si>
    <t xml:space="preserve"> 37809.0558 </t>
  </si>
  <si>
    <t xml:space="preserve"> 86.4834 </t>
  </si>
  <si>
    <t xml:space="preserve">\\192.168.24.208\images\R&amp;D\Amira\20210302\plaque 1/@03 EE2 50.6/E3_02.tif </t>
  </si>
  <si>
    <t xml:space="preserve"> 85.1431 </t>
  </si>
  <si>
    <t xml:space="preserve">\\192.168.24.208\images\R&amp;D\Amira\20210302\plaque 1/@03 EE2 50.6/E3_03.tif </t>
  </si>
  <si>
    <t xml:space="preserve"> 34759.2407 </t>
  </si>
  <si>
    <t xml:space="preserve"> 89.3074 </t>
  </si>
  <si>
    <t xml:space="preserve">\\192.168.24.208\images\R&amp;D\Amira\20210302\plaque 1/@03 EE2 50.6/F3_01.tif </t>
  </si>
  <si>
    <t xml:space="preserve"> 63.1379 </t>
  </si>
  <si>
    <t xml:space="preserve">\\192.168.24.208\images\R&amp;D\Amira\20210302\plaque 1/@03 EE2 50.6/F3_02.tif </t>
  </si>
  <si>
    <t xml:space="preserve"> 4001.5305 </t>
  </si>
  <si>
    <t xml:space="preserve"> 69.0865 </t>
  </si>
  <si>
    <t xml:space="preserve">\\192.168.24.208\images\R&amp;D\Amira\20210302\plaque 1/@03 EE2 50.6/F3_03.tif </t>
  </si>
  <si>
    <t xml:space="preserve"> 63.3649 </t>
  </si>
  <si>
    <t xml:space="preserve">\\192.168.24.208\images\R&amp;D\Amira\20210302\plaque 1/@03 EE2 50.6/G3_01.tif </t>
  </si>
  <si>
    <t xml:space="preserve"> 63.1029 </t>
  </si>
  <si>
    <t xml:space="preserve">\\192.168.24.208\images\R&amp;D\Amira\20210302\plaque 1/@03 EE2 50.6/G3_02.tif </t>
  </si>
  <si>
    <t xml:space="preserve"> 63.1509 </t>
  </si>
  <si>
    <t xml:space="preserve">\\192.168.24.208\images\R&amp;D\Amira\20210302\plaque 1/@03 EE2 50.6/G3_03.tif </t>
  </si>
  <si>
    <t xml:space="preserve"> 64.5323 </t>
  </si>
  <si>
    <t xml:space="preserve">\\192.168.24.208\images\R&amp;D\Amira\20210302\plaque 1/@03 EE2 50.6/H3_01.tif </t>
  </si>
  <si>
    <t xml:space="preserve"> 63.5561 </t>
  </si>
  <si>
    <t xml:space="preserve">\\192.168.24.208\images\R&amp;D\Amira\20210302\plaque 1/@03 EE2 50.6/H3_02.tif </t>
  </si>
  <si>
    <t xml:space="preserve"> 64.8244 </t>
  </si>
  <si>
    <t xml:space="preserve">\\192.168.24.208\images\R&amp;D\Amira\20210302\plaque 1/@03 EE2 50.6/H3_03.tif </t>
  </si>
  <si>
    <t xml:space="preserve"> 4239.4593 </t>
  </si>
  <si>
    <t xml:space="preserve"> 63.9796 </t>
  </si>
  <si>
    <t xml:space="preserve">\\192.168.24.208\images\R&amp;D\Amira\20210302\plaque 1/@03 EE2 50.6/ </t>
  </si>
  <si>
    <t xml:space="preserve"> 67.2211 </t>
  </si>
  <si>
    <t xml:space="preserve"> 7.9264 </t>
  </si>
  <si>
    <t xml:space="preserve"> 576416.875 </t>
  </si>
  <si>
    <t xml:space="preserve"> 1102419.23 </t>
  </si>
  <si>
    <t xml:space="preserve">\\192.168.24.208\images\R&amp;D\Amira\20210302\plaque 1/@04 EE2 76/A4_01.tif </t>
  </si>
  <si>
    <t xml:space="preserve">\\192.168.24.208\images\R&amp;D\Amira\20210302\plaque 1/@04 EE2 76/A4_02.tif </t>
  </si>
  <si>
    <t xml:space="preserve"> 63.5119 </t>
  </si>
  <si>
    <t xml:space="preserve">\\192.168.24.208\images\R&amp;D\Amira\20210302\plaque 1/@04 EE2 76/A4_03.tif </t>
  </si>
  <si>
    <t xml:space="preserve"> 62.7742 </t>
  </si>
  <si>
    <t xml:space="preserve">\\192.168.24.208\images\R&amp;D\Amira\20210302\plaque 1/@04 EE2 76/B4_01.tif </t>
  </si>
  <si>
    <t xml:space="preserve"> 63.2308 </t>
  </si>
  <si>
    <t xml:space="preserve">\\192.168.24.208\images\R&amp;D\Amira\20210302\plaque 1/@04 EE2 76/B4_02.tif </t>
  </si>
  <si>
    <t xml:space="preserve"> 63.3291 </t>
  </si>
  <si>
    <t xml:space="preserve">\\192.168.24.208\images\R&amp;D\Amira\20210302\plaque 1/@04 EE2 76/B4_03.tif </t>
  </si>
  <si>
    <t xml:space="preserve"> 2400.9183 </t>
  </si>
  <si>
    <t xml:space="preserve"> 62.8378 </t>
  </si>
  <si>
    <t xml:space="preserve">\\192.168.24.208\images\R&amp;D\Amira\20210302\plaque 1/@04 EE2 76/C4_01.tif </t>
  </si>
  <si>
    <t xml:space="preserve"> 65.619 </t>
  </si>
  <si>
    <t xml:space="preserve">\\192.168.24.208\images\R&amp;D\Amira\20210302\plaque 1/@04 EE2 76/C4_02.tif </t>
  </si>
  <si>
    <t xml:space="preserve"> 63.9362 </t>
  </si>
  <si>
    <t xml:space="preserve">\\192.168.24.208\images\R&amp;D\Amira\20210302\plaque 1/@04 EE2 76/C4_03.tif </t>
  </si>
  <si>
    <t xml:space="preserve"> 65.0182 </t>
  </si>
  <si>
    <t xml:space="preserve">\\192.168.24.208\images\R&amp;D\Amira\20210302\plaque 1/@04 EE2 76/D4_01.tif </t>
  </si>
  <si>
    <t xml:space="preserve"> 22149.0121 </t>
  </si>
  <si>
    <t xml:space="preserve"> 66.5967 </t>
  </si>
  <si>
    <t xml:space="preserve">\\192.168.24.208\images\R&amp;D\Amira\20210302\plaque 1/@04 EE2 76/D4_02.tif </t>
  </si>
  <si>
    <t xml:space="preserve"> 25566.5355 </t>
  </si>
  <si>
    <t xml:space="preserve"> 67.2758 </t>
  </si>
  <si>
    <t xml:space="preserve">\\192.168.24.208\images\R&amp;D\Amira\20210302\plaque 1/@04 EE2 76/D4_03.tif </t>
  </si>
  <si>
    <t xml:space="preserve"> 21954.343 </t>
  </si>
  <si>
    <t xml:space="preserve"> 67.0749 </t>
  </si>
  <si>
    <t xml:space="preserve">\\192.168.24.208\images\R&amp;D\Amira\20210302\plaque 1/@04 EE2 76/E4_01.tif </t>
  </si>
  <si>
    <t xml:space="preserve"> 27318.5569 </t>
  </si>
  <si>
    <t xml:space="preserve"> 68.1275 </t>
  </si>
  <si>
    <t xml:space="preserve">\\192.168.24.208\images\R&amp;D\Amira\20210302\plaque 1/@04 EE2 76/E4_02.tif </t>
  </si>
  <si>
    <t xml:space="preserve"> 23143.9873 </t>
  </si>
  <si>
    <t xml:space="preserve"> 67.2065 </t>
  </si>
  <si>
    <t xml:space="preserve">\\192.168.24.208\images\R&amp;D\Amira\20210302\plaque 1/@04 EE2 76/E4_03.tif </t>
  </si>
  <si>
    <t xml:space="preserve"> 67.293 </t>
  </si>
  <si>
    <t xml:space="preserve">\\192.168.24.208\images\R&amp;D\Amira\20210302\plaque 1/@04 EE2 76/F4_01.tif </t>
  </si>
  <si>
    <t xml:space="preserve"> 18644.9692 </t>
  </si>
  <si>
    <t xml:space="preserve"> 67.9687 </t>
  </si>
  <si>
    <t xml:space="preserve">\\192.168.24.208\images\R&amp;D\Amira\20210302\plaque 1/@04 EE2 76/F4_02.tif </t>
  </si>
  <si>
    <t xml:space="preserve"> 11290.805 </t>
  </si>
  <si>
    <t xml:space="preserve"> 64.7663 </t>
  </si>
  <si>
    <t xml:space="preserve">\\192.168.24.208\images\R&amp;D\Amira\20210302\plaque 1/@04 EE2 76/F4_03.tif </t>
  </si>
  <si>
    <t xml:space="preserve"> 8565.4383 </t>
  </si>
  <si>
    <t xml:space="preserve"> 64.7753 </t>
  </si>
  <si>
    <t xml:space="preserve">\\192.168.24.208\images\R&amp;D\Amira\20210302\plaque 1/@04 EE2 76/G4_01.tif </t>
  </si>
  <si>
    <t xml:space="preserve"> 3309.3739 </t>
  </si>
  <si>
    <t xml:space="preserve"> 65.3529 </t>
  </si>
  <si>
    <t xml:space="preserve">\\192.168.24.208\images\R&amp;D\Amira\20210302\plaque 1/@04 EE2 76/G4_02.tif </t>
  </si>
  <si>
    <t xml:space="preserve"> 63.2338 </t>
  </si>
  <si>
    <t xml:space="preserve">\\192.168.24.208\images\R&amp;D\Amira\20210302\plaque 1/@04 EE2 76/G4_03.tif </t>
  </si>
  <si>
    <t xml:space="preserve"> 63.186 </t>
  </si>
  <si>
    <t xml:space="preserve">\\192.168.24.208\images\R&amp;D\Amira\20210302\plaque 1/@04 EE2 76/H4_01.tif </t>
  </si>
  <si>
    <t xml:space="preserve"> 7527.2033 </t>
  </si>
  <si>
    <t xml:space="preserve"> 64.181 </t>
  </si>
  <si>
    <t xml:space="preserve">\\192.168.24.208\images\R&amp;D\Amira\20210302\plaque 1/@04 EE2 76/H4_02.tif </t>
  </si>
  <si>
    <t xml:space="preserve"> 3439.1532 </t>
  </si>
  <si>
    <t xml:space="preserve"> 63.044 </t>
  </si>
  <si>
    <t xml:space="preserve">\\192.168.24.208\images\R&amp;D\Amira\20210302\plaque 1/@04 EE2 76/H4_03.tif </t>
  </si>
  <si>
    <t xml:space="preserve"> 64.3933 </t>
  </si>
  <si>
    <t xml:space="preserve">\\192.168.24.208\images\R&amp;D\Amira\20210302\plaque 1/@04 EE2 76/ </t>
  </si>
  <si>
    <t xml:space="preserve"> 64.9364 </t>
  </si>
  <si>
    <t xml:space="preserve"> 1.7819 </t>
  </si>
  <si>
    <t xml:space="preserve"> 621433.125 </t>
  </si>
  <si>
    <t xml:space="preserve"> 632434.652 </t>
  </si>
  <si>
    <t xml:space="preserve">\\192.168.24.208\images\R&amp;D\Amira\20210302\plaque 1/@05 EE2 114/A5_01.tif </t>
  </si>
  <si>
    <t xml:space="preserve"> 70.2562 </t>
  </si>
  <si>
    <t xml:space="preserve">\\192.168.24.208\images\R&amp;D\Amira\20210302\plaque 1/@05 EE2 114/A5_02.tif </t>
  </si>
  <si>
    <t xml:space="preserve"> 27621.3754 </t>
  </si>
  <si>
    <t xml:space="preserve"> 68.0673 </t>
  </si>
  <si>
    <t xml:space="preserve">\\192.168.24.208\images\R&amp;D\Amira\20210302\plaque 1/@05 EE2 114/A5_03.tif </t>
  </si>
  <si>
    <t xml:space="preserve"> 33418.1872 </t>
  </si>
  <si>
    <t xml:space="preserve"> 69.3735 </t>
  </si>
  <si>
    <t xml:space="preserve">\\192.168.24.208\images\R&amp;D\Amira\20210302\plaque 1/@05 EE2 114/B5_01.tif </t>
  </si>
  <si>
    <t xml:space="preserve"> 69.8299 </t>
  </si>
  <si>
    <t xml:space="preserve">\\192.168.24.208\images\R&amp;D\Amira\20210302\plaque 1/@05 EE2 114/B5_02.tif </t>
  </si>
  <si>
    <t xml:space="preserve"> 46677.3126 </t>
  </si>
  <si>
    <t xml:space="preserve"> 69.968 </t>
  </si>
  <si>
    <t xml:space="preserve">\\192.168.24.208\images\R&amp;D\Amira\20210302\plaque 1/@05 EE2 114/B5_03.tif </t>
  </si>
  <si>
    <t xml:space="preserve"> 45877.0065 </t>
  </si>
  <si>
    <t xml:space="preserve"> 69.7949 </t>
  </si>
  <si>
    <t xml:space="preserve">\\192.168.24.208\images\R&amp;D\Amira\20210302\plaque 1/@05 EE2 114/C5_01.tif </t>
  </si>
  <si>
    <t xml:space="preserve"> 50029.9463 </t>
  </si>
  <si>
    <t xml:space="preserve"> 73.8124 </t>
  </si>
  <si>
    <t xml:space="preserve">\\192.168.24.208\images\R&amp;D\Amira\20210302\plaque 1/@05 EE2 114/C5_02.tif </t>
  </si>
  <si>
    <t xml:space="preserve"> 71.6519 </t>
  </si>
  <si>
    <t xml:space="preserve">\\192.168.24.208\images\R&amp;D\Amira\20210302\plaque 1/@05 EE2 114/C5_03.tif </t>
  </si>
  <si>
    <t xml:space="preserve"> 35862.3653 </t>
  </si>
  <si>
    <t xml:space="preserve"> 68.1224 </t>
  </si>
  <si>
    <t xml:space="preserve">\\192.168.24.208\images\R&amp;D\Amira\20210302\plaque 1/@05 EE2 114/D5_01.tif </t>
  </si>
  <si>
    <t xml:space="preserve"> 43411.1985 </t>
  </si>
  <si>
    <t xml:space="preserve"> 71.5969 </t>
  </si>
  <si>
    <t xml:space="preserve">\\192.168.24.208\images\R&amp;D\Amira\20210302\plaque 1/@05 EE2 114/D5_02.tif </t>
  </si>
  <si>
    <t xml:space="preserve"> 47520.8785 </t>
  </si>
  <si>
    <t xml:space="preserve"> 72.1165 </t>
  </si>
  <si>
    <t xml:space="preserve">\\192.168.24.208\images\R&amp;D\Amira\20210302\plaque 1/@05 EE2 114/D5_03.tif </t>
  </si>
  <si>
    <t xml:space="preserve"> 40620.9421 </t>
  </si>
  <si>
    <t xml:space="preserve"> 69.7764 </t>
  </si>
  <si>
    <t xml:space="preserve">\\192.168.24.208\images\R&amp;D\Amira\20210302\plaque 1/@05 EE2 114/E5_01.tif </t>
  </si>
  <si>
    <t xml:space="preserve"> 65.793 </t>
  </si>
  <si>
    <t xml:space="preserve">\\192.168.24.208\images\R&amp;D\Amira\20210302\plaque 1/@05 EE2 114/E5_02.tif </t>
  </si>
  <si>
    <t xml:space="preserve"> 23338.6563 </t>
  </si>
  <si>
    <t xml:space="preserve"> 68.3652 </t>
  </si>
  <si>
    <t xml:space="preserve">\\192.168.24.208\images\R&amp;D\Amira\20210302\plaque 1/@05 EE2 114/E5_03.tif </t>
  </si>
  <si>
    <t xml:space="preserve"> 67.5194 </t>
  </si>
  <si>
    <t>\\192.168.24.208\images\R&amp;D\Amira\20210302\plaque 1/@05 EE2 114/F5_01- exclu.tif</t>
  </si>
  <si>
    <t xml:space="preserve">\\192.168.24.208\images\R&amp;D\Amira\20210302\plaque 1/@05 EE2 114/F5_02.tif </t>
  </si>
  <si>
    <t xml:space="preserve"> 30671.1906 </t>
  </si>
  <si>
    <t xml:space="preserve"> 66.9013 </t>
  </si>
  <si>
    <t xml:space="preserve">\\192.168.24.208\images\R&amp;D\Amira\20210302\plaque 1/@05 EE2 114/F5_03.tif </t>
  </si>
  <si>
    <t xml:space="preserve"> 23901.0336 </t>
  </si>
  <si>
    <t xml:space="preserve"> 66.3303 </t>
  </si>
  <si>
    <t xml:space="preserve">\\192.168.24.208\images\R&amp;D\Amira\20210302\plaque 1/@05 EE2 114/G5_01.tif </t>
  </si>
  <si>
    <t xml:space="preserve"> 26691.29 </t>
  </si>
  <si>
    <t xml:space="preserve"> 67.8023 </t>
  </si>
  <si>
    <t xml:space="preserve">\\192.168.24.208\images\R&amp;D\Amira\20210302\plaque 1/@05 EE2 114/G5_02.tif </t>
  </si>
  <si>
    <t xml:space="preserve"> 22754.6491 </t>
  </si>
  <si>
    <t xml:space="preserve"> 70.0409 </t>
  </si>
  <si>
    <t xml:space="preserve">\\192.168.24.208\images\R&amp;D\Amira\20210302\plaque 1/@05 EE2 114/G5_03.tif </t>
  </si>
  <si>
    <t xml:space="preserve"> 67.7304 </t>
  </si>
  <si>
    <t xml:space="preserve">\\192.168.24.208\images\R&amp;D\Amira\20210302\plaque 1/@05 EE2 114/H5_01.tif </t>
  </si>
  <si>
    <t xml:space="preserve"> 74.2927 </t>
  </si>
  <si>
    <t xml:space="preserve">\\192.168.24.208\images\R&amp;D\Amira\20210302\plaque 1/@05 EE2 114/H5_02.tif </t>
  </si>
  <si>
    <t xml:space="preserve"> 33915.6748 </t>
  </si>
  <si>
    <t xml:space="preserve"> 73.2774 </t>
  </si>
  <si>
    <t xml:space="preserve">\\192.168.24.208\images\R&amp;D\Amira\20210302\plaque 1/@05 EE2 114/H5_03.tif </t>
  </si>
  <si>
    <t xml:space="preserve"> 35386.5076 </t>
  </si>
  <si>
    <t xml:space="preserve"> 74.5831 </t>
  </si>
  <si>
    <t xml:space="preserve">\\192.168.24.208\images\R&amp;D\Amira\20210302\plaque 1/@05 EE2 114/ </t>
  </si>
  <si>
    <t xml:space="preserve"> 69.5993 </t>
  </si>
  <si>
    <t xml:space="preserve"> 2.8117 </t>
  </si>
  <si>
    <t xml:space="preserve"> 2323424.71 </t>
  </si>
  <si>
    <t xml:space="preserve"> 877020.928 </t>
  </si>
  <si>
    <t xml:space="preserve">\\192.168.24.208\images\R&amp;D\Amira\20210302\plaque 1/@06 EE2 170.9/A6_01.tif </t>
  </si>
  <si>
    <t xml:space="preserve"> 57449.0001 </t>
  </si>
  <si>
    <t xml:space="preserve"> 103.4823 </t>
  </si>
  <si>
    <t xml:space="preserve">\\192.168.24.208\images\R&amp;D\Amira\20210302\plaque 1/@06 EE2 170.9/A6_02.tif </t>
  </si>
  <si>
    <t xml:space="preserve"> 61493.7904 </t>
  </si>
  <si>
    <t xml:space="preserve"> 97.4369 </t>
  </si>
  <si>
    <t xml:space="preserve">\\192.168.24.208\images\R&amp;D\Amira\20210302\plaque 1/@06 EE2 170.9/A6_03.tif </t>
  </si>
  <si>
    <t xml:space="preserve"> 58681.9041 </t>
  </si>
  <si>
    <t xml:space="preserve"> 98.5599 </t>
  </si>
  <si>
    <t xml:space="preserve">\\192.168.24.208\images\R&amp;D\Amira\20210302\plaque 1/@06 EE2 170.9/B6_01.tif </t>
  </si>
  <si>
    <t xml:space="preserve"> 64305.6767 </t>
  </si>
  <si>
    <t xml:space="preserve"> 79.9691 </t>
  </si>
  <si>
    <t xml:space="preserve">\\192.168.24.208\images\R&amp;D\Amira\20210302\plaque 1/@06 EE2 170.9/B6_02.tif </t>
  </si>
  <si>
    <t xml:space="preserve"> 67852.9795 </t>
  </si>
  <si>
    <t xml:space="preserve"> 80.1288 </t>
  </si>
  <si>
    <t xml:space="preserve">\\192.168.24.208\images\R&amp;D\Amira\20210302\plaque 1/@06 EE2 170.9/B6_03.tif </t>
  </si>
  <si>
    <t xml:space="preserve"> 66966.1538 </t>
  </si>
  <si>
    <t xml:space="preserve"> 78.1744 </t>
  </si>
  <si>
    <t xml:space="preserve">\\192.168.24.208\images\R&amp;D\Amira\20210302\plaque 1/@06 EE2 170.9/C6_01.tif </t>
  </si>
  <si>
    <t xml:space="preserve"> 48602.3732 </t>
  </si>
  <si>
    <t xml:space="preserve"> 74.1397 </t>
  </si>
  <si>
    <t xml:space="preserve">\\192.168.24.208\images\R&amp;D\Amira\20210302\plaque 1/@06 EE2 170.9/C6_02.tif </t>
  </si>
  <si>
    <t xml:space="preserve"> 47088.2806 </t>
  </si>
  <si>
    <t xml:space="preserve"> 73.3643 </t>
  </si>
  <si>
    <t xml:space="preserve">\\192.168.24.208\images\R&amp;D\Amira\20210302\plaque 1/@06 EE2 170.9/C6_03.tif </t>
  </si>
  <si>
    <t xml:space="preserve"> 41334.7286 </t>
  </si>
  <si>
    <t xml:space="preserve"> 71.4699 </t>
  </si>
  <si>
    <t xml:space="preserve">\\192.168.24.208\images\R&amp;D\Amira\20210302\plaque 1/@06 EE2 170.9/D6_01.tif </t>
  </si>
  <si>
    <t xml:space="preserve"> 83.7236 </t>
  </si>
  <si>
    <t xml:space="preserve">\\192.168.24.208\images\R&amp;D\Amira\20210302\plaque 1/@06 EE2 170.9/D6_02.tif </t>
  </si>
  <si>
    <t xml:space="preserve"> 33764.2655 </t>
  </si>
  <si>
    <t xml:space="preserve"> 85.1147 </t>
  </si>
  <si>
    <t xml:space="preserve">\\192.168.24.208\images\R&amp;D\Amira\20210302\plaque 1/@06 EE2 170.9/D6_03.tif </t>
  </si>
  <si>
    <t xml:space="preserve"> 34196.8634 </t>
  </si>
  <si>
    <t xml:space="preserve"> 82.0025 </t>
  </si>
  <si>
    <t xml:space="preserve">\\192.168.24.208\images\R&amp;D\Amira\20210302\plaque 1/@06 EE2 170.9/E6_01.tif </t>
  </si>
  <si>
    <t xml:space="preserve"> 41551.0276 </t>
  </si>
  <si>
    <t xml:space="preserve"> 74.7522 </t>
  </si>
  <si>
    <t xml:space="preserve">\\192.168.24.208\images\R&amp;D\Amira\20210302\plaque 1/@06 EE2 170.9/E6_02.tif </t>
  </si>
  <si>
    <t xml:space="preserve"> 72.9665 </t>
  </si>
  <si>
    <t xml:space="preserve">\\192.168.24.208\images\R&amp;D\Amira\20210302\plaque 1/@06 EE2 170.9/E6_03.tif </t>
  </si>
  <si>
    <t xml:space="preserve"> 74.6875 </t>
  </si>
  <si>
    <t xml:space="preserve">\\192.168.24.208\images\R&amp;D\Amira\20210302\plaque 1/@06 EE2 170.9/F6_01.tif </t>
  </si>
  <si>
    <t xml:space="preserve"> 57081.2919 </t>
  </si>
  <si>
    <t xml:space="preserve"> 77.9307 </t>
  </si>
  <si>
    <t xml:space="preserve">\\192.168.24.208\images\R&amp;D\Amira\20210302\plaque 1/@06 EE2 170.9/F6_02.tif </t>
  </si>
  <si>
    <t xml:space="preserve"> 53252.8006 </t>
  </si>
  <si>
    <t xml:space="preserve"> 75.1064 </t>
  </si>
  <si>
    <t xml:space="preserve">\\192.168.24.208\images\R&amp;D\Amira\20210302\plaque 1/@06 EE2 170.9/F6_03.tif </t>
  </si>
  <si>
    <t xml:space="preserve"> 51370.9997 </t>
  </si>
  <si>
    <t xml:space="preserve"> 80.2766 </t>
  </si>
  <si>
    <t>\\192.168.24.208\images\R&amp;D\Amira\20210302\plaque 1/@06 EE2 170.9/G6_01- exclu.tif</t>
  </si>
  <si>
    <t>\\192.168.24.208\images\R&amp;D\Amira\20210302\plaque 1/@06 EE2 170.9/G6_02- exclu.tif</t>
  </si>
  <si>
    <t>\\192.168.24.208\images\R&amp;D\Amira\20210302\plaque 1/@06 EE2 170.9/G6_03- exclu.tif</t>
  </si>
  <si>
    <t>\\192.168.24.208\images\R&amp;D\Amira\20210302\plaque 1/@06 EE2 170.9/H6_01- exclu.tif</t>
  </si>
  <si>
    <t>\\192.168.24.208\images\R&amp;D\Amira\20210302\plaque 1/@06 EE2 170.9/H6_02- exclu.tif</t>
  </si>
  <si>
    <t>\\192.168.24.208\images\R&amp;D\Amira\20210302\plaque 1/@06 EE2 170.9/H6_03- exclu.tif</t>
  </si>
  <si>
    <t xml:space="preserve">\\192.168.24.208\images\R&amp;D\Amira\20210302\plaque 1/@06 EE2 170.9/ </t>
  </si>
  <si>
    <t xml:space="preserve"> 77.3806 </t>
  </si>
  <si>
    <t xml:space="preserve"> 10.7248 </t>
  </si>
  <si>
    <t xml:space="preserve"> 2082753.67 </t>
  </si>
  <si>
    <t xml:space="preserve">\\192.168.24.208\images\R&amp;D\Amira\20210302\plaque 1/@07 EE2 488/A7_01.tif </t>
  </si>
  <si>
    <t xml:space="preserve"> 50116.4659 </t>
  </si>
  <si>
    <t xml:space="preserve"> 98.3431 </t>
  </si>
  <si>
    <t xml:space="preserve">\\192.168.24.208\images\R&amp;D\Amira\20210302\plaque 1/@07 EE2 488/A7_02.tif </t>
  </si>
  <si>
    <t xml:space="preserve"> 52387.6048 </t>
  </si>
  <si>
    <t xml:space="preserve"> 100.2085 </t>
  </si>
  <si>
    <t xml:space="preserve">\\192.168.24.208\images\R&amp;D\Amira\20210302\plaque 1/@07 EE2 488/A7_03.tif </t>
  </si>
  <si>
    <t xml:space="preserve"> 65646.7302 </t>
  </si>
  <si>
    <t xml:space="preserve"> 84.6517 </t>
  </si>
  <si>
    <t xml:space="preserve">\\192.168.24.208\images\R&amp;D\Amira\20210302\plaque 1/@07 EE2 488/B7_01.tif </t>
  </si>
  <si>
    <t xml:space="preserve"> 78408.368 </t>
  </si>
  <si>
    <t xml:space="preserve"> 104.6946 </t>
  </si>
  <si>
    <t xml:space="preserve">\\192.168.24.208\images\R&amp;D\Amira\20210302\plaque 1/@07 EE2 488/B7_02.tif </t>
  </si>
  <si>
    <t xml:space="preserve"> 76331.8981 </t>
  </si>
  <si>
    <t xml:space="preserve"> 99.4361 </t>
  </si>
  <si>
    <t xml:space="preserve">\\192.168.24.208\images\R&amp;D\Amira\20210302\plaque 1/@07 EE2 488/B7_03.tif </t>
  </si>
  <si>
    <t xml:space="preserve"> 73390.2325 </t>
  </si>
  <si>
    <t xml:space="preserve"> 100.2773 </t>
  </si>
  <si>
    <t xml:space="preserve">\\192.168.24.208\images\R&amp;D\Amira\20210302\plaque 1/@07 EE2 488/C7_01.tif </t>
  </si>
  <si>
    <t xml:space="preserve"> 94.6453 </t>
  </si>
  <si>
    <t>\\192.168.24.208\images\R&amp;D\Amira\20210302\plaque 1/@07 EE2 488/C7_02- exclu.tif</t>
  </si>
  <si>
    <t xml:space="preserve">\\192.168.24.208\images\R&amp;D\Amira\20210302\plaque 1/@07 EE2 488/C7_03.tif </t>
  </si>
  <si>
    <t xml:space="preserve"> 44968.5509 </t>
  </si>
  <si>
    <t xml:space="preserve"> 94.392 </t>
  </si>
  <si>
    <t xml:space="preserve">\\192.168.24.208\images\R&amp;D\Amira\20210302\plaque 1/@07 EE2 488/D7_01.tif </t>
  </si>
  <si>
    <t xml:space="preserve"> 43086.7501 </t>
  </si>
  <si>
    <t xml:space="preserve"> 94.6596 </t>
  </si>
  <si>
    <t xml:space="preserve">\\192.168.24.208\images\R&amp;D\Amira\20210302\plaque 1/@07 EE2 488/D7_02.tif </t>
  </si>
  <si>
    <t xml:space="preserve"> 42329.7038 </t>
  </si>
  <si>
    <t xml:space="preserve"> 92.2238 </t>
  </si>
  <si>
    <t xml:space="preserve">\\192.168.24.208\images\R&amp;D\Amira\20210302\plaque 1/@07 EE2 488/D7_03.tif </t>
  </si>
  <si>
    <t xml:space="preserve"> 44708.9922 </t>
  </si>
  <si>
    <t xml:space="preserve"> 93.7639 </t>
  </si>
  <si>
    <t xml:space="preserve">\\192.168.24.208\images\R&amp;D\Amira\20210302\plaque 1/@07 EE2 488/E7_01.tif </t>
  </si>
  <si>
    <t xml:space="preserve"> 97572.4547 </t>
  </si>
  <si>
    <t xml:space="preserve"> 121.4691 </t>
  </si>
  <si>
    <t xml:space="preserve">\\192.168.24.208\images\R&amp;D\Amira\20210302\plaque 1/@07 EE2 488/E7_02.tif </t>
  </si>
  <si>
    <t xml:space="preserve"> 87384.7743 </t>
  </si>
  <si>
    <t xml:space="preserve"> 125.3441 </t>
  </si>
  <si>
    <t xml:space="preserve">\\192.168.24.208\images\R&amp;D\Amira\20210302\plaque 1/@07 EE2 488/E7_03.tif </t>
  </si>
  <si>
    <t xml:space="preserve"> 89180.0556 </t>
  </si>
  <si>
    <t xml:space="preserve"> 122.0405 </t>
  </si>
  <si>
    <t xml:space="preserve">\\192.168.24.208\images\R&amp;D\Amira\20210302\plaque 1/@07 EE2 488/F7_01.tif </t>
  </si>
  <si>
    <t xml:space="preserve"> 73736.3108 </t>
  </si>
  <si>
    <t xml:space="preserve"> 99.4403 </t>
  </si>
  <si>
    <t xml:space="preserve">\\192.168.24.208\images\R&amp;D\Amira\20210302\plaque 1/@07 EE2 488/F7_02.tif </t>
  </si>
  <si>
    <t xml:space="preserve"> 112.2109 </t>
  </si>
  <si>
    <t xml:space="preserve">\\192.168.24.208\images\R&amp;D\Amira\20210302\plaque 1/@07 EE2 488/F7_03.tif </t>
  </si>
  <si>
    <t xml:space="preserve"> 65019.4633 </t>
  </si>
  <si>
    <t xml:space="preserve"> 108.5832 </t>
  </si>
  <si>
    <t>\\192.168.24.208\images\R&amp;D\Amira\20210302\plaque 1/@07 EE2 488/G7_01- exclu.tif</t>
  </si>
  <si>
    <t xml:space="preserve">\\192.168.24.208\images\R&amp;D\Amira\20210302\plaque 1/@07 EE2 488/G7_02.tif </t>
  </si>
  <si>
    <t xml:space="preserve"> 52495.7543 </t>
  </si>
  <si>
    <t xml:space="preserve"> 102.9979 </t>
  </si>
  <si>
    <t xml:space="preserve">\\192.168.24.208\images\R&amp;D\Amira\20210302\plaque 1/@07 EE2 488/G7_03.tif </t>
  </si>
  <si>
    <t xml:space="preserve"> 58617.0144 </t>
  </si>
  <si>
    <t xml:space="preserve"> 96.4125 </t>
  </si>
  <si>
    <t xml:space="preserve">\\192.168.24.208\images\R&amp;D\Amira\20210302\plaque 1/@07 EE2 488/H7_01.tif </t>
  </si>
  <si>
    <t xml:space="preserve"> 49921.7968 </t>
  </si>
  <si>
    <t xml:space="preserve"> 94.1023 </t>
  </si>
  <si>
    <t xml:space="preserve">\\192.168.24.208\images\R&amp;D\Amira\20210302\plaque 1/@07 EE2 488/H7_02.tif </t>
  </si>
  <si>
    <t xml:space="preserve"> 48234.665 </t>
  </si>
  <si>
    <t xml:space="preserve"> 91.6619 </t>
  </si>
  <si>
    <t xml:space="preserve">\\192.168.24.208\images\R&amp;D\Amira\20210302\plaque 1/@07 EE2 488/H7_03.tif </t>
  </si>
  <si>
    <t xml:space="preserve"> 48515.8537 </t>
  </si>
  <si>
    <t xml:space="preserve"> 91.1636 </t>
  </si>
  <si>
    <t xml:space="preserve">\\192.168.24.208\images\R&amp;D\Amira\20210302\plaque 1/@07 EE2 488/ </t>
  </si>
  <si>
    <t xml:space="preserve"> 99.5642 </t>
  </si>
  <si>
    <t xml:space="preserve"> 11.6961 </t>
  </si>
  <si>
    <t xml:space="preserve"> 6035414.71 </t>
  </si>
  <si>
    <t xml:space="preserve"> 2498983.47 </t>
  </si>
  <si>
    <t xml:space="preserve">\\192.168.24.208\images\R&amp;D\Amira\20210302\plaque 1/@08 Cefuroxime ND 0.001/A8_01.tif </t>
  </si>
  <si>
    <t xml:space="preserve"> 65.1304 </t>
  </si>
  <si>
    <t xml:space="preserve">\\192.168.24.208\images\R&amp;D\Amira\20210302\plaque 1/@08 Cefuroxime ND 0.001/A8_02.tif </t>
  </si>
  <si>
    <t xml:space="preserve">\\192.168.24.208\images\R&amp;D\Amira\20210302\plaque 1/@08 Cefuroxime ND 0.001/A8_03.tif </t>
  </si>
  <si>
    <t xml:space="preserve"> 62.9412 </t>
  </si>
  <si>
    <t xml:space="preserve">\\192.168.24.208\images\R&amp;D\Amira\20210302\plaque 1/@08 Cefuroxime ND 0.001/B8_01.tif </t>
  </si>
  <si>
    <t xml:space="preserve"> 3525.6728 </t>
  </si>
  <si>
    <t xml:space="preserve"> 65.8896 </t>
  </si>
  <si>
    <t xml:space="preserve">\\192.168.24.208\images\R&amp;D\Amira\20210302\plaque 1/@08 Cefuroxime ND 0.001/B8_02.tif </t>
  </si>
  <si>
    <t xml:space="preserve"> 65.9694 </t>
  </si>
  <si>
    <t xml:space="preserve">\\192.168.24.208\images\R&amp;D\Amira\20210302\plaque 1/@08 Cefuroxime ND 0.001/B8_03.tif </t>
  </si>
  <si>
    <t xml:space="preserve"> 62.6471 </t>
  </si>
  <si>
    <t xml:space="preserve">\\192.168.24.208\images\R&amp;D\Amira\20210302\plaque 1/@08 Cefuroxime ND 0.001/C8_01.tif </t>
  </si>
  <si>
    <t xml:space="preserve"> 66.6783 </t>
  </si>
  <si>
    <t xml:space="preserve">\\192.168.24.208\images\R&amp;D\Amira\20210302\plaque 1/@08 Cefuroxime ND 0.001/C8_02.tif </t>
  </si>
  <si>
    <t xml:space="preserve"> 64.3056 </t>
  </si>
  <si>
    <t xml:space="preserve">\\192.168.24.208\images\R&amp;D\Amira\20210302\plaque 1/@08 Cefuroxime ND 0.001/C8_03.tif </t>
  </si>
  <si>
    <t xml:space="preserve">\\192.168.24.208\images\R&amp;D\Amira\20210302\plaque 1/@08 Cefuroxime ND 0.001/D8_01.tif </t>
  </si>
  <si>
    <t xml:space="preserve"> 62.8444 </t>
  </si>
  <si>
    <t xml:space="preserve">\\192.168.24.208\images\R&amp;D\Amira\20210302\plaque 1/@08 Cefuroxime ND 0.001/D8_02.tif </t>
  </si>
  <si>
    <t xml:space="preserve"> 9062.9258 </t>
  </si>
  <si>
    <t xml:space="preserve"> 73.0621 </t>
  </si>
  <si>
    <t xml:space="preserve">\\192.168.24.208\images\R&amp;D\Amira\20210302\plaque 1/@08 Cefuroxime ND 0.001/D8_03.tif </t>
  </si>
  <si>
    <t xml:space="preserve"> 74.3926 </t>
  </si>
  <si>
    <t xml:space="preserve">\\192.168.24.208\images\R&amp;D\Amira\20210302\plaque 1/@08 Cefuroxime ND 0.001/E8_01.tif </t>
  </si>
  <si>
    <t xml:space="preserve">\\192.168.24.208\images\R&amp;D\Amira\20210302\plaque 1/@08 Cefuroxime ND 0.001/E8_02.tif </t>
  </si>
  <si>
    <t xml:space="preserve"> 63.2609 </t>
  </si>
  <si>
    <t>\\192.168.24.208\images\R&amp;D\Amira\20210302\plaque 1/@08 Cefuroxime ND 0.001/E8_03- exclu.tif</t>
  </si>
  <si>
    <t xml:space="preserve">\\192.168.24.208\images\R&amp;D\Amira\20210302\plaque 1/@08 Cefuroxime ND 0.001/F8_01.tif </t>
  </si>
  <si>
    <t xml:space="preserve"> 67.8765 </t>
  </si>
  <si>
    <t xml:space="preserve">\\192.168.24.208\images\R&amp;D\Amira\20210302\plaque 1/@08 Cefuroxime ND 0.001/F8_02.tif </t>
  </si>
  <si>
    <t xml:space="preserve"> 62.4909 </t>
  </si>
  <si>
    <t xml:space="preserve">\\192.168.24.208\images\R&amp;D\Amira\20210302\plaque 1/@08 Cefuroxime ND 0.001/F8_03.tif </t>
  </si>
  <si>
    <t xml:space="preserve">\\192.168.24.208\images\R&amp;D\Amira\20210302\plaque 1/@08 Cefuroxime ND 0.001/G8_01.tif </t>
  </si>
  <si>
    <t xml:space="preserve"> 8781.7372 </t>
  </si>
  <si>
    <t xml:space="preserve"> 72.2833 </t>
  </si>
  <si>
    <t xml:space="preserve">\\192.168.24.208\images\R&amp;D\Amira\20210302\plaque 1/@08 Cefuroxime ND 0.001/G8_02.tif </t>
  </si>
  <si>
    <t xml:space="preserve"> 8435.6589 </t>
  </si>
  <si>
    <t xml:space="preserve"> 69.8462 </t>
  </si>
  <si>
    <t xml:space="preserve">\\192.168.24.208\images\R&amp;D\Amira\20210302\plaque 1/@08 Cefuroxime ND 0.001/G8_03.tif </t>
  </si>
  <si>
    <t xml:space="preserve"> 63.7 </t>
  </si>
  <si>
    <t xml:space="preserve">\\192.168.24.208\images\R&amp;D\Amira\20210302\plaque 1/@08 Cefuroxime ND 0.001/H8_01.tif </t>
  </si>
  <si>
    <t xml:space="preserve"> 66.942 </t>
  </si>
  <si>
    <t xml:space="preserve">\\192.168.24.208\images\R&amp;D\Amira\20210302\plaque 1/@08 Cefuroxime ND 0.001/H8_02.tif </t>
  </si>
  <si>
    <t xml:space="preserve"> 6662.0075 </t>
  </si>
  <si>
    <t xml:space="preserve"> 76.5 </t>
  </si>
  <si>
    <t xml:space="preserve">\\192.168.24.208\images\R&amp;D\Amira\20210302\plaque 1/@08 Cefuroxime ND 0.001/H8_03.tif </t>
  </si>
  <si>
    <t xml:space="preserve"> 4801.8366 </t>
  </si>
  <si>
    <t xml:space="preserve"> 67.5811 </t>
  </si>
  <si>
    <t xml:space="preserve">\\192.168.24.208\images\R&amp;D\Amira\20210302\plaque 1/@08 Cefuroxime ND 0.001/ </t>
  </si>
  <si>
    <t xml:space="preserve"> 66.3073 </t>
  </si>
  <si>
    <t xml:space="preserve"> 4.1031 </t>
  </si>
  <si>
    <t xml:space="preserve"> 205238.792 </t>
  </si>
  <si>
    <t xml:space="preserve"> 221297.117 </t>
  </si>
  <si>
    <t xml:space="preserve">\\192.168.24.208\images\R&amp;D\Amira\20210302\plaque 1/@09 Cefuroxime ND 0.01/A9_01.tif </t>
  </si>
  <si>
    <t xml:space="preserve"> 11117.7658 </t>
  </si>
  <si>
    <t xml:space="preserve"> 72.9883 </t>
  </si>
  <si>
    <t xml:space="preserve">\\192.168.24.208\images\R&amp;D\Amira\20210302\plaque 1/@09 Cefuroxime ND 0.01/A9_02.tif </t>
  </si>
  <si>
    <t xml:space="preserve"> 66.1728 </t>
  </si>
  <si>
    <t xml:space="preserve">\\192.168.24.208\images\R&amp;D\Amira\20210302\plaque 1/@09 Cefuroxime ND 0.01/A9_03.tif </t>
  </si>
  <si>
    <t xml:space="preserve"> 72.1671 </t>
  </si>
  <si>
    <t>\\192.168.24.208\images\R&amp;D\Amira\20210302\plaque 1/@09 Cefuroxime ND 0.01/B9_01- exclu.tif</t>
  </si>
  <si>
    <t>\\192.168.24.208\images\R&amp;D\Amira\20210302\plaque 1/@09 Cefuroxime ND 0.01/B9_02- exclu.tif</t>
  </si>
  <si>
    <t>\\192.168.24.208\images\R&amp;D\Amira\20210302\plaque 1/@09 Cefuroxime ND 0.01/B9_03- exclu.tif</t>
  </si>
  <si>
    <t xml:space="preserve">\\192.168.24.208\images\R&amp;D\Amira\20210302\plaque 1/@09 Cefuroxime ND 0.01/C9_01.tif </t>
  </si>
  <si>
    <t xml:space="preserve"> 62.8929 </t>
  </si>
  <si>
    <t xml:space="preserve">\\192.168.24.208\images\R&amp;D\Amira\20210302\plaque 1/@09 Cefuroxime ND 0.01/C9_02.tif </t>
  </si>
  <si>
    <t xml:space="preserve"> 63.4444 </t>
  </si>
  <si>
    <t xml:space="preserve">\\192.168.24.208\images\R&amp;D\Amira\20210302\plaque 1/@09 Cefuroxime ND 0.01/C9_03.tif </t>
  </si>
  <si>
    <t xml:space="preserve"> 61.8667 </t>
  </si>
  <si>
    <t xml:space="preserve">\\192.168.24.208\images\R&amp;D\Amira\20210302\plaque 1/@09 Cefuroxime ND 0.01/D9_01.tif </t>
  </si>
  <si>
    <t xml:space="preserve">\\192.168.24.208\images\R&amp;D\Amira\20210302\plaque 1/@09 Cefuroxime ND 0.01/D9_02.tif </t>
  </si>
  <si>
    <t xml:space="preserve">\\192.168.24.208\images\R&amp;D\Amira\20210302\plaque 1/@09 Cefuroxime ND 0.01/D9_03.tif </t>
  </si>
  <si>
    <t xml:space="preserve"> 62.9 </t>
  </si>
  <si>
    <t xml:space="preserve">\\192.168.24.208\images\R&amp;D\Amira\20210302\plaque 1/@09 Cefuroxime ND 0.01/E9_01.tif </t>
  </si>
  <si>
    <t xml:space="preserve"> 64.9684 </t>
  </si>
  <si>
    <t>\\192.168.24.208\images\R&amp;D\Amira\20210302\plaque 1/@09 Cefuroxime ND 0.01/E9_02- exclu.tif</t>
  </si>
  <si>
    <t xml:space="preserve">\\192.168.24.208\images\R&amp;D\Amira\20210302\plaque 1/@09 Cefuroxime ND 0.01/E9_03.tif </t>
  </si>
  <si>
    <t xml:space="preserve"> 62.6333 </t>
  </si>
  <si>
    <t xml:space="preserve">\\192.168.24.208\images\R&amp;D\Amira\20210302\plaque 1/@09 Cefuroxime ND 0.01/F9_01.tif </t>
  </si>
  <si>
    <t xml:space="preserve"> 1687.1318 </t>
  </si>
  <si>
    <t xml:space="preserve"> 65.0128 </t>
  </si>
  <si>
    <t xml:space="preserve">\\192.168.24.208\images\R&amp;D\Amira\20210302\plaque 1/@09 Cefuroxime ND 0.01/F9_02.tif </t>
  </si>
  <si>
    <t xml:space="preserve"> 66.72 </t>
  </si>
  <si>
    <t xml:space="preserve">\\192.168.24.208\images\R&amp;D\Amira\20210302\plaque 1/@09 Cefuroxime ND 0.01/F9_03.tif </t>
  </si>
  <si>
    <t xml:space="preserve"> 65.8333 </t>
  </si>
  <si>
    <t xml:space="preserve">\\192.168.24.208\images\R&amp;D\Amira\20210302\plaque 1/@09 Cefuroxime ND 0.01/G9_01.tif </t>
  </si>
  <si>
    <t xml:space="preserve"> 66.1711 </t>
  </si>
  <si>
    <t xml:space="preserve">\\192.168.24.208\images\R&amp;D\Amira\20210302\plaque 1/@09 Cefuroxime ND 0.01/G9_02.tif </t>
  </si>
  <si>
    <t xml:space="preserve"> 68.7961 </t>
  </si>
  <si>
    <t xml:space="preserve">\\192.168.24.208\images\R&amp;D\Amira\20210302\plaque 1/@09 Cefuroxime ND 0.01/G9_03.tif </t>
  </si>
  <si>
    <t xml:space="preserve"> 69.9059 </t>
  </si>
  <si>
    <t xml:space="preserve">\\192.168.24.208\images\R&amp;D\Amira\20210302\plaque 1/@09 Cefuroxime ND 0.01/H9_01.tif </t>
  </si>
  <si>
    <t xml:space="preserve"> 68.3527 </t>
  </si>
  <si>
    <t xml:space="preserve">\\192.168.24.208\images\R&amp;D\Amira\20210302\plaque 1/@09 Cefuroxime ND 0.01/H9_02.tif </t>
  </si>
  <si>
    <t xml:space="preserve">\\192.168.24.208\images\R&amp;D\Amira\20210302\plaque 1/@09 Cefuroxime ND 0.01/H9_03.tif </t>
  </si>
  <si>
    <t xml:space="preserve">\\192.168.24.208\images\R&amp;D\Amira\20210302\plaque 1/@09 Cefuroxime ND 0.01/ </t>
  </si>
  <si>
    <t xml:space="preserve"> 67.4312 </t>
  </si>
  <si>
    <t xml:space="preserve"> 8.9411 </t>
  </si>
  <si>
    <t xml:space="preserve"> 237734.958 </t>
  </si>
  <si>
    <t xml:space="preserve"> 326999.755 </t>
  </si>
  <si>
    <t xml:space="preserve">\\192.168.24.208\images\R&amp;D\Amira\20210302\plaque 1/@10 Cefuroxime ND 0.1/A10_01.tif </t>
  </si>
  <si>
    <t xml:space="preserve"> 63.78 </t>
  </si>
  <si>
    <t xml:space="preserve">\\192.168.24.208\images\R&amp;D\Amira\20210302\plaque 1/@10 Cefuroxime ND 0.1/A10_02.tif </t>
  </si>
  <si>
    <t xml:space="preserve">\\192.168.24.208\images\R&amp;D\Amira\20210302\plaque 1/@10 Cefuroxime ND 0.1/A10_03.tif </t>
  </si>
  <si>
    <t xml:space="preserve"> 65.1667 </t>
  </si>
  <si>
    <t xml:space="preserve">\\192.168.24.208\images\R&amp;D\Amira\20210302\plaque 1/@10 Cefuroxime ND 0.1/B10_01.tif </t>
  </si>
  <si>
    <t xml:space="preserve"> 64.8667 </t>
  </si>
  <si>
    <t xml:space="preserve">\\192.168.24.208\images\R&amp;D\Amira\20210302\plaque 1/@10 Cefuroxime ND 0.1/B10_02.tif </t>
  </si>
  <si>
    <t xml:space="preserve"> 64.3333 </t>
  </si>
  <si>
    <t xml:space="preserve">\\192.168.24.208\images\R&amp;D\Amira\20210302\plaque 1/@10 Cefuroxime ND 0.1/B10_03.tif </t>
  </si>
  <si>
    <t xml:space="preserve">\\192.168.24.208\images\R&amp;D\Amira\20210302\plaque 1/@10 Cefuroxime ND 0.1/C10_01.tif </t>
  </si>
  <si>
    <t xml:space="preserve"> 2422.5482 </t>
  </si>
  <si>
    <t xml:space="preserve"> 63.7054 </t>
  </si>
  <si>
    <t xml:space="preserve">\\192.168.24.208\images\R&amp;D\Amira\20210302\plaque 1/@10 Cefuroxime ND 0.1/C10_02.tif </t>
  </si>
  <si>
    <t xml:space="preserve"> 64.2597 </t>
  </si>
  <si>
    <t xml:space="preserve">\\192.168.24.208\images\R&amp;D\Amira\20210302\plaque 1/@10 Cefuroxime ND 0.1/C10_03.tif </t>
  </si>
  <si>
    <t xml:space="preserve"> 61.8824 </t>
  </si>
  <si>
    <t xml:space="preserve">\\192.168.24.208\images\R&amp;D\Amira\20210302\plaque 1/@10 Cefuroxime ND 0.1/D10_01.tif </t>
  </si>
  <si>
    <t xml:space="preserve"> 63.6842 </t>
  </si>
  <si>
    <t xml:space="preserve">\\192.168.24.208\images\R&amp;D\Amira\20210302\plaque 1/@10 Cefuroxime ND 0.1/D10_02.tif </t>
  </si>
  <si>
    <t xml:space="preserve"> 70.8677 </t>
  </si>
  <si>
    <t xml:space="preserve">\\192.168.24.208\images\R&amp;D\Amira\20210302\plaque 1/@10 Cefuroxime ND 0.1/D10_03.tif </t>
  </si>
  <si>
    <t xml:space="preserve"> 63.1277 </t>
  </si>
  <si>
    <t xml:space="preserve">\\192.168.24.208\images\R&amp;D\Amira\20210302\plaque 1/@10 Cefuroxime ND 0.1/E10_01.tif </t>
  </si>
  <si>
    <t xml:space="preserve"> 65.6792 </t>
  </si>
  <si>
    <t xml:space="preserve">\\192.168.24.208\images\R&amp;D\Amira\20210302\plaque 1/@10 Cefuroxime ND 0.1/E10_02.tif </t>
  </si>
  <si>
    <t xml:space="preserve">\\192.168.24.208\images\R&amp;D\Amira\20210302\plaque 1/@10 Cefuroxime ND 0.1/E10_03.tif </t>
  </si>
  <si>
    <t xml:space="preserve">\\192.168.24.208\images\R&amp;D\Amira\20210302\plaque 1/@10 Cefuroxime ND 0.1/F10_01.tif </t>
  </si>
  <si>
    <t xml:space="preserve"> 68.376 </t>
  </si>
  <si>
    <t xml:space="preserve">\\192.168.24.208\images\R&amp;D\Amira\20210302\plaque 1/@10 Cefuroxime ND 0.1/F10_02.tif </t>
  </si>
  <si>
    <t xml:space="preserve"> 62.963 </t>
  </si>
  <si>
    <t xml:space="preserve">\\192.168.24.208\images\R&amp;D\Amira\20210302\plaque 1/@10 Cefuroxime ND 0.1/F10_03.tif </t>
  </si>
  <si>
    <t xml:space="preserve">\\192.168.24.208\images\R&amp;D\Amira\20210302\plaque 1/@10 Cefuroxime ND 0.1/G10_01.tif </t>
  </si>
  <si>
    <t xml:space="preserve"> 66.5385 </t>
  </si>
  <si>
    <t xml:space="preserve">\\192.168.24.208\images\R&amp;D\Amira\20210302\plaque 1/@10 Cefuroxime ND 0.1/G10_02.tif </t>
  </si>
  <si>
    <t xml:space="preserve">\\192.168.24.208\images\R&amp;D\Amira\20210302\plaque 1/@10 Cefuroxime ND 0.1/G10_03.tif </t>
  </si>
  <si>
    <t xml:space="preserve"> 66.339 </t>
  </si>
  <si>
    <t xml:space="preserve">\\192.168.24.208\images\R&amp;D\Amira\20210302\plaque 1/@10 Cefuroxime ND 0.1/H10_01.tif </t>
  </si>
  <si>
    <t xml:space="preserve"> 65.6923 </t>
  </si>
  <si>
    <t xml:space="preserve">\\192.168.24.208\images\R&amp;D\Amira\20210302\plaque 1/@10 Cefuroxime ND 0.1/H10_02.tif </t>
  </si>
  <si>
    <t xml:space="preserve">\\192.168.24.208\images\R&amp;D\Amira\20210302\plaque 1/@10 Cefuroxime ND 0.1/H10_03.tif </t>
  </si>
  <si>
    <t xml:space="preserve">\\192.168.24.208\images\R&amp;D\Amira\20210302\plaque 1/@10 Cefuroxime ND 0.1/ </t>
  </si>
  <si>
    <t xml:space="preserve"> 64.6999 </t>
  </si>
  <si>
    <t xml:space="preserve"> 1.9239 </t>
  </si>
  <si>
    <t xml:space="preserve"> 65656.6667 </t>
  </si>
  <si>
    <t xml:space="preserve"> 84981.6883 </t>
  </si>
  <si>
    <t xml:space="preserve">\\192.168.24.208\images\R&amp;D\Amira\20210302\plaque 1/@11 Cefuroxime ND 1/A11_01.tif </t>
  </si>
  <si>
    <t xml:space="preserve"> 6597.1179 </t>
  </si>
  <si>
    <t xml:space="preserve"> 68.3115 </t>
  </si>
  <si>
    <t xml:space="preserve">\\192.168.24.208\images\R&amp;D\Amira\20210302\plaque 1/@11 Cefuroxime ND 1/A11_02.tif </t>
  </si>
  <si>
    <t xml:space="preserve"> 4325.9789 </t>
  </si>
  <si>
    <t xml:space="preserve"> 67.355 </t>
  </si>
  <si>
    <t xml:space="preserve">\\192.168.24.208\images\R&amp;D\Amira\20210302\plaque 1/@11 Cefuroxime ND 1/A11_03.tif </t>
  </si>
  <si>
    <t xml:space="preserve"> 1405.9432 </t>
  </si>
  <si>
    <t xml:space="preserve"> 67.6615 </t>
  </si>
  <si>
    <t xml:space="preserve">\\192.168.24.208\images\R&amp;D\Amira\20210302\plaque 1/@11 Cefuroxime ND 1/B11_01.tif </t>
  </si>
  <si>
    <t xml:space="preserve"> 65.1111 </t>
  </si>
  <si>
    <t xml:space="preserve">\\192.168.24.208\images\R&amp;D\Amira\20210302\plaque 1/@11 Cefuroxime ND 1/B11_02.tif </t>
  </si>
  <si>
    <t xml:space="preserve"> 62.8261 </t>
  </si>
  <si>
    <t xml:space="preserve">\\192.168.24.208\images\R&amp;D\Amira\20210302\plaque 1/@11 Cefuroxime ND 1/B11_03.tif </t>
  </si>
  <si>
    <t xml:space="preserve"> 64.119 </t>
  </si>
  <si>
    <t xml:space="preserve">\\192.168.24.208\images\R&amp;D\Amira\20210302\plaque 1/@11 Cefuroxime ND 1/C11_01.tif </t>
  </si>
  <si>
    <t xml:space="preserve"> 69.3134 </t>
  </si>
  <si>
    <t xml:space="preserve">\\192.168.24.208\images\R&amp;D\Amira\20210302\plaque 1/@11 Cefuroxime ND 1/C11_02.tif </t>
  </si>
  <si>
    <t xml:space="preserve"> 65.0392 </t>
  </si>
  <si>
    <t xml:space="preserve">\\192.168.24.208\images\R&amp;D\Amira\20210302\plaque 1/@11 Cefuroxime ND 1/C11_03.tif </t>
  </si>
  <si>
    <t xml:space="preserve"> 63.875 </t>
  </si>
  <si>
    <t xml:space="preserve">\\192.168.24.208\images\R&amp;D\Amira\20210302\plaque 1/@11 Cefuroxime ND 1/D11_01.tif </t>
  </si>
  <si>
    <t xml:space="preserve"> 63.9429 </t>
  </si>
  <si>
    <t xml:space="preserve">\\192.168.24.208\images\R&amp;D\Amira\20210302\plaque 1/@11 Cefuroxime ND 1/D11_02.tif </t>
  </si>
  <si>
    <t xml:space="preserve"> 62.8 </t>
  </si>
  <si>
    <t>\\192.168.24.208\images\R&amp;D\Amira\20210302\plaque 1/@11 Cefuroxime ND 1/D11_03- exclu.tif</t>
  </si>
  <si>
    <t>\\192.168.24.208\images\R&amp;D\Amira\20210302\plaque 1/@11 Cefuroxime ND 1/E11_01- exclu.tif</t>
  </si>
  <si>
    <t xml:space="preserve">\\192.168.24.208\images\R&amp;D\Amira\20210302\plaque 1/@11 Cefuroxime ND 1/E11_02.tif </t>
  </si>
  <si>
    <t xml:space="preserve"> 62.7333 </t>
  </si>
  <si>
    <t xml:space="preserve">\\192.168.24.208\images\R&amp;D\Amira\20210302\plaque 1/@11 Cefuroxime ND 1/E11_03.tif </t>
  </si>
  <si>
    <t xml:space="preserve"> 64.6667 </t>
  </si>
  <si>
    <t xml:space="preserve">\\192.168.24.208\images\R&amp;D\Amira\20210302\plaque 1/@11 Cefuroxime ND 1/F11_01.tif </t>
  </si>
  <si>
    <t xml:space="preserve"> 67.6866 </t>
  </si>
  <si>
    <t>\\192.168.24.208\images\R&amp;D\Amira\20210302\plaque 1/@11 Cefuroxime ND 1/F11_02- exclu.tif</t>
  </si>
  <si>
    <t xml:space="preserve">\\192.168.24.208\images\R&amp;D\Amira\20210302\plaque 1/@11 Cefuroxime ND 1/F11_03.tif </t>
  </si>
  <si>
    <t xml:space="preserve"> 63.7031 </t>
  </si>
  <si>
    <t xml:space="preserve">\\192.168.24.208\images\R&amp;D\Amira\20210302\plaque 1/@11 Cefuroxime ND 1/G11_01.tif </t>
  </si>
  <si>
    <t xml:space="preserve"> 64.9231 </t>
  </si>
  <si>
    <t xml:space="preserve">\\192.168.24.208\images\R&amp;D\Amira\20210302\plaque 1/@11 Cefuroxime ND 1/G11_02.tif </t>
  </si>
  <si>
    <t xml:space="preserve">\\192.168.24.208\images\R&amp;D\Amira\20210302\plaque 1/@11 Cefuroxime ND 1/G11_03.tif </t>
  </si>
  <si>
    <t xml:space="preserve"> 61.5294 </t>
  </si>
  <si>
    <t xml:space="preserve">\\192.168.24.208\images\R&amp;D\Amira\20210302\plaque 1/@11 Cefuroxime ND 1/H11_01.tif </t>
  </si>
  <si>
    <t xml:space="preserve"> 64.5714 </t>
  </si>
  <si>
    <t>\\192.168.24.208\images\R&amp;D\Amira\20210302\plaque 1/@11 Cefuroxime ND 1/H11_02- exclu.tif</t>
  </si>
  <si>
    <t xml:space="preserve">\\192.168.24.208\images\R&amp;D\Amira\20210302\plaque 1/@11 Cefuroxime ND 1/H11_03.tif </t>
  </si>
  <si>
    <t xml:space="preserve">\\192.168.24.208\images\R&amp;D\Amira\20210302\plaque 1/@11 Cefuroxime ND 1/ </t>
  </si>
  <si>
    <t xml:space="preserve"> 64.8148 </t>
  </si>
  <si>
    <t xml:space="preserve"> 2.1002 </t>
  </si>
  <si>
    <t xml:space="preserve"> 85702.125 </t>
  </si>
  <si>
    <t xml:space="preserve"> 120828.532 </t>
  </si>
  <si>
    <t xml:space="preserve">\\192.168.24.208\images\R&amp;D\Amira\20210302\plaque 1/@12 Cefuroxime ND 10/A12_01.tif </t>
  </si>
  <si>
    <t xml:space="preserve"> 64.32 </t>
  </si>
  <si>
    <t xml:space="preserve">\\192.168.24.208\images\R&amp;D\Amira\20210302\plaque 1/@12 Cefuroxime ND 10/A12_02.tif </t>
  </si>
  <si>
    <t xml:space="preserve">\\192.168.24.208\images\R&amp;D\Amira\20210302\plaque 1/@12 Cefuroxime ND 10/A12_03.tif </t>
  </si>
  <si>
    <t xml:space="preserve"> 4693.6871 </t>
  </si>
  <si>
    <t xml:space="preserve"> 71.6774 </t>
  </si>
  <si>
    <t xml:space="preserve">\\192.168.24.208\images\R&amp;D\Amira\20210302\plaque 1/@12 Cefuroxime ND 10/B12_01.tif </t>
  </si>
  <si>
    <t xml:space="preserve"> 67.6306 </t>
  </si>
  <si>
    <t xml:space="preserve">\\192.168.24.208\images\R&amp;D\Amira\20210302\plaque 1/@12 Cefuroxime ND 10/B12_02.tif </t>
  </si>
  <si>
    <t xml:space="preserve"> 63.6078 </t>
  </si>
  <si>
    <t xml:space="preserve">\\192.168.24.208\images\R&amp;D\Amira\20210302\plaque 1/@12 Cefuroxime ND 10/B12_03.tif </t>
  </si>
  <si>
    <t xml:space="preserve"> 63.386 </t>
  </si>
  <si>
    <t xml:space="preserve">\\192.168.24.208\images\R&amp;D\Amira\20210302\plaque 1/@12 Cefuroxime ND 10/C12_01.tif </t>
  </si>
  <si>
    <t xml:space="preserve">\\192.168.24.208\images\R&amp;D\Amira\20210302\plaque 1/@12 Cefuroxime ND 10/C12_02.tif </t>
  </si>
  <si>
    <t xml:space="preserve"> 66.3709 </t>
  </si>
  <si>
    <t xml:space="preserve">\\192.168.24.208\images\R&amp;D\Amira\20210302\plaque 1/@12 Cefuroxime ND 10/C12_03.tif </t>
  </si>
  <si>
    <t xml:space="preserve"> 2076.4699 </t>
  </si>
  <si>
    <t xml:space="preserve"> 66.1771 </t>
  </si>
  <si>
    <t>\\192.168.24.208\images\R&amp;D\Amira\20210302\plaque 1/@12 Cefuroxime ND 10/D12_01- exclu.tif</t>
  </si>
  <si>
    <t>\\192.168.24.208\images\R&amp;D\Amira\20210302\plaque 1/@12 Cefuroxime ND 10/D12_02- exclu.tif</t>
  </si>
  <si>
    <t>\\192.168.24.208\images\R&amp;D\Amira\20210302\plaque 1/@12 Cefuroxime ND 10/D12_03- exclu.tif</t>
  </si>
  <si>
    <t xml:space="preserve">\\192.168.24.208\images\R&amp;D\Amira\20210302\plaque 1/@12 Cefuroxime ND 10/E12_01.tif </t>
  </si>
  <si>
    <t xml:space="preserve"> 6229.4097 </t>
  </si>
  <si>
    <t xml:space="preserve"> 68.0833 </t>
  </si>
  <si>
    <t xml:space="preserve">\\192.168.24.208\images\R&amp;D\Amira\20210302\plaque 1/@12 Cefuroxime ND 10/E12_02.tif </t>
  </si>
  <si>
    <t xml:space="preserve"> 8673.5877 </t>
  </si>
  <si>
    <t xml:space="preserve"> 73.0948 </t>
  </si>
  <si>
    <t xml:space="preserve">\\192.168.24.208\images\R&amp;D\Amira\20210302\plaque 1/@12 Cefuroxime ND 10/E12_03.tif </t>
  </si>
  <si>
    <t xml:space="preserve"> 7656.9827 </t>
  </si>
  <si>
    <t xml:space="preserve"> 69.8588 </t>
  </si>
  <si>
    <t xml:space="preserve">\\192.168.24.208\images\R&amp;D\Amira\20210302\plaque 1/@12 Cefuroxime ND 10/F12_01.tif </t>
  </si>
  <si>
    <t xml:space="preserve"> 66.1111 </t>
  </si>
  <si>
    <t xml:space="preserve">\\192.168.24.208\images\R&amp;D\Amira\20210302\plaque 1/@12 Cefuroxime ND 10/F12_02.tif </t>
  </si>
  <si>
    <t xml:space="preserve">\\192.168.24.208\images\R&amp;D\Amira\20210302\plaque 1/@12 Cefuroxime ND 10/F12_03.tif </t>
  </si>
  <si>
    <t xml:space="preserve"> 63.8824 </t>
  </si>
  <si>
    <t xml:space="preserve">\\192.168.24.208\images\R&amp;D\Amira\20210302\plaque 1/@12 Cefuroxime ND 10/G12_01.tif </t>
  </si>
  <si>
    <t xml:space="preserve"> 67.1667 </t>
  </si>
  <si>
    <t xml:space="preserve">\\192.168.24.208\images\R&amp;D\Amira\20210302\plaque 1/@12 Cefuroxime ND 10/G12_02.tif </t>
  </si>
  <si>
    <t xml:space="preserve"> 63.1 </t>
  </si>
  <si>
    <t xml:space="preserve">\\192.168.24.208\images\R&amp;D\Amira\20210302\plaque 1/@12 Cefuroxime ND 10/G12_03.tif </t>
  </si>
  <si>
    <t xml:space="preserve"> 62.9286 </t>
  </si>
  <si>
    <t xml:space="preserve">\\192.168.24.208\images\R&amp;D\Amira\20210302\plaque 1/@12 Cefuroxime ND 10/H12_01.tif </t>
  </si>
  <si>
    <t xml:space="preserve"> 63.5618 </t>
  </si>
  <si>
    <t xml:space="preserve">\\192.168.24.208\images\R&amp;D\Amira\20210302\plaque 1/@12 Cefuroxime ND 10/H12_02.tif </t>
  </si>
  <si>
    <t xml:space="preserve"> 64.0635 </t>
  </si>
  <si>
    <t xml:space="preserve">\\192.168.24.208\images\R&amp;D\Amira\20210302\plaque 1/@12 Cefuroxime ND 10/H12_03.tif </t>
  </si>
  <si>
    <t xml:space="preserve"> 65.6316 </t>
  </si>
  <si>
    <t xml:space="preserve">\\192.168.24.208\images\R&amp;D\Amira\20210302\plaque 1/@12 Cefuroxime ND 10/ </t>
  </si>
  <si>
    <t xml:space="preserve"> 65.4373 </t>
  </si>
  <si>
    <t xml:space="preserve"> 2.9161 </t>
  </si>
  <si>
    <t xml:space="preserve"> 127210.792 </t>
  </si>
  <si>
    <t xml:space="preserve"> 177463.496 </t>
  </si>
  <si>
    <t>\\192.168.24.208\images\R&amp;D\Amira\20210302\plaque 2/@01 Testo 30/A1_01- exclu.tif</t>
  </si>
  <si>
    <t xml:space="preserve">\\192.168.24.208\images\R&amp;D\Amira\20210302\plaque 2/@01 Testo 30/A1_02.tif </t>
  </si>
  <si>
    <t xml:space="preserve"> 42113.4048 </t>
  </si>
  <si>
    <t xml:space="preserve"> 73.1998 </t>
  </si>
  <si>
    <t xml:space="preserve">\\192.168.24.208\images\R&amp;D\Amira\20210302\plaque 2/@01 Testo 30/A1_03.tif </t>
  </si>
  <si>
    <t xml:space="preserve"> 73.807 </t>
  </si>
  <si>
    <t xml:space="preserve">\\192.168.24.208\images\R&amp;D\Amira\20210302\plaque 2/@01 Testo 30/B1_01.tif </t>
  </si>
  <si>
    <t xml:space="preserve"> 63.9176 </t>
  </si>
  <si>
    <t xml:space="preserve">\\192.168.24.208\images\R&amp;D\Amira\20210302\plaque 2/@01 Testo 30/B1_02.tif </t>
  </si>
  <si>
    <t xml:space="preserve"> 7916.5414 </t>
  </si>
  <si>
    <t xml:space="preserve"> 67.3579 </t>
  </si>
  <si>
    <t xml:space="preserve">\\192.168.24.208\images\R&amp;D\Amira\20210302\plaque 2/@01 Testo 30/B1_03.tif </t>
  </si>
  <si>
    <t xml:space="preserve"> 6488.9684 </t>
  </si>
  <si>
    <t xml:space="preserve"> 65.01 </t>
  </si>
  <si>
    <t>\\192.168.24.208\images\R&amp;D\Amira\20210302\plaque 2/@01 Testo 30/C1_01- exclu.tif</t>
  </si>
  <si>
    <t xml:space="preserve">\\192.168.24.208\images\R&amp;D\Amira\20210302\plaque 2/@01 Testo 30/C1_02.tif </t>
  </si>
  <si>
    <t xml:space="preserve"> 30714.4504 </t>
  </si>
  <si>
    <t xml:space="preserve"> 70.7761 </t>
  </si>
  <si>
    <t xml:space="preserve">\\192.168.24.208\images\R&amp;D\Amira\20210302\plaque 2/@01 Testo 30/C1_03.tif </t>
  </si>
  <si>
    <t xml:space="preserve"> 31384.9771 </t>
  </si>
  <si>
    <t xml:space="preserve"> 75.6782 </t>
  </si>
  <si>
    <t xml:space="preserve">\\192.168.24.208\images\R&amp;D\Amira\20210302\plaque 2/@01 Testo 30/D1_01.tif </t>
  </si>
  <si>
    <t xml:space="preserve"> 27058.9982 </t>
  </si>
  <si>
    <t xml:space="preserve"> 68.466 </t>
  </si>
  <si>
    <t xml:space="preserve">\\192.168.24.208\images\R&amp;D\Amira\20210302\plaque 2/@01 Testo 30/D1_02.tif </t>
  </si>
  <si>
    <t xml:space="preserve"> 24138.9624 </t>
  </si>
  <si>
    <t xml:space="preserve"> 67.3826 </t>
  </si>
  <si>
    <t xml:space="preserve">\\192.168.24.208\images\R&amp;D\Amira\20210302\plaque 2/@01 Testo 30/D1_03.tif </t>
  </si>
  <si>
    <t xml:space="preserve"> 24766.2294 </t>
  </si>
  <si>
    <t xml:space="preserve"> 67.0192 </t>
  </si>
  <si>
    <t xml:space="preserve">\\192.168.24.208\images\R&amp;D\Amira\20210302\plaque 2/@01 Testo 30/E1_01.tif </t>
  </si>
  <si>
    <t xml:space="preserve"> 46850.3518 </t>
  </si>
  <si>
    <t xml:space="preserve"> 72.9972 </t>
  </si>
  <si>
    <t xml:space="preserve">\\192.168.24.208\images\R&amp;D\Amira\20210302\plaque 2/@01 Testo 30/E1_02.tif </t>
  </si>
  <si>
    <t xml:space="preserve"> 43346.3088 </t>
  </si>
  <si>
    <t xml:space="preserve"> 71.4765 </t>
  </si>
  <si>
    <t xml:space="preserve">\\192.168.24.208\images\R&amp;D\Amira\20210302\plaque 2/@01 Testo 30/E1_03.tif </t>
  </si>
  <si>
    <t xml:space="preserve"> 46050.0457 </t>
  </si>
  <si>
    <t xml:space="preserve"> 72.6914 </t>
  </si>
  <si>
    <t xml:space="preserve">\\192.168.24.208\images\R&amp;D\Amira\20210302\plaque 2/@01 Testo 30/F1_01.tif </t>
  </si>
  <si>
    <t xml:space="preserve"> 54637.1138 </t>
  </si>
  <si>
    <t xml:space="preserve"> 74.367 </t>
  </si>
  <si>
    <t xml:space="preserve">\\192.168.24.208\images\R&amp;D\Amira\20210302\plaque 2/@01 Testo 30/F1_02.tif </t>
  </si>
  <si>
    <t xml:space="preserve"> 47780.4372 </t>
  </si>
  <si>
    <t xml:space="preserve"> 71.3074 </t>
  </si>
  <si>
    <t xml:space="preserve">\\192.168.24.208\images\R&amp;D\Amira\20210302\plaque 2/@01 Testo 30/F1_03.tif </t>
  </si>
  <si>
    <t xml:space="preserve"> 49900.1669 </t>
  </si>
  <si>
    <t xml:space="preserve"> 73.7997 </t>
  </si>
  <si>
    <t xml:space="preserve">\\192.168.24.208\images\R&amp;D\Amira\20210302\plaque 2/@01 Testo 30/G1_01.tif </t>
  </si>
  <si>
    <t xml:space="preserve"> 64.2317 </t>
  </si>
  <si>
    <t xml:space="preserve">\\192.168.24.208\images\R&amp;D\Amira\20210302\plaque 2/@01 Testo 30/G1_02.tif </t>
  </si>
  <si>
    <t xml:space="preserve"> 63.1613 </t>
  </si>
  <si>
    <t xml:space="preserve">\\192.168.24.208\images\R&amp;D\Amira\20210302\plaque 2/@01 Testo 30/G1_03.tif </t>
  </si>
  <si>
    <t>\\192.168.24.208\images\R&amp;D\Amira\20210302\plaque 2/@01 Testo 30/H1_01- exclu.tif</t>
  </si>
  <si>
    <t xml:space="preserve">\\192.168.24.208\images\R&amp;D\Amira\20210302\plaque 2/@01 Testo 30/H1_02.tif </t>
  </si>
  <si>
    <t xml:space="preserve"> 73.1773 </t>
  </si>
  <si>
    <t xml:space="preserve">\\192.168.24.208\images\R&amp;D\Amira\20210302\plaque 2/@01 Testo 30/H1_03.tif </t>
  </si>
  <si>
    <t xml:space="preserve"> 38695.8815 </t>
  </si>
  <si>
    <t xml:space="preserve"> 74.4612 </t>
  </si>
  <si>
    <t xml:space="preserve">\\192.168.24.208\images\R&amp;D\Amira\20210302\plaque 2/@01 Testo 30/ </t>
  </si>
  <si>
    <t xml:space="preserve"> 69.9546 </t>
  </si>
  <si>
    <t xml:space="preserve"> 3.8759 </t>
  </si>
  <si>
    <t xml:space="preserve"> 2076525.71 </t>
  </si>
  <si>
    <t xml:space="preserve"> 1262620.33 </t>
  </si>
  <si>
    <t xml:space="preserve">\\192.168.24.208\images\R&amp;D\Amira\20210302\plaque 2/@02 Testo 30/A2_01.tif </t>
  </si>
  <si>
    <t xml:space="preserve"> 37333.1981 </t>
  </si>
  <si>
    <t xml:space="preserve"> 70.1727 </t>
  </si>
  <si>
    <t>\\192.168.24.208\images\R&amp;D\Amira\20210302\plaque 2/@02 Testo 30/A2_02- exclu.tif</t>
  </si>
  <si>
    <t>\\192.168.24.208\images\R&amp;D\Amira\20210302\plaque 2/@02 Testo 30/A2_03- exclu.tif</t>
  </si>
  <si>
    <t xml:space="preserve">\\192.168.24.208\images\R&amp;D\Amira\20210302\plaque 2/@02 Testo 30/B2_01.tif </t>
  </si>
  <si>
    <t xml:space="preserve"> 35775.8457 </t>
  </si>
  <si>
    <t xml:space="preserve"> 69.6808 </t>
  </si>
  <si>
    <t xml:space="preserve">\\192.168.24.208\images\R&amp;D\Amira\20210302\plaque 2/@02 Testo 30/B2_02.tif </t>
  </si>
  <si>
    <t xml:space="preserve"> 70.0487 </t>
  </si>
  <si>
    <t xml:space="preserve">\\192.168.24.208\images\R&amp;D\Amira\20210302\plaque 2/@02 Testo 30/B2_03.tif </t>
  </si>
  <si>
    <t xml:space="preserve"> 68.4377 </t>
  </si>
  <si>
    <t>\\192.168.24.208\images\R&amp;D\Amira\20210302\plaque 2/@02 Testo 30/C2_01- exclu.tif</t>
  </si>
  <si>
    <t xml:space="preserve">\\192.168.24.208\images\R&amp;D\Amira\20210302\plaque 2/@02 Testo 30/C2_02.tif </t>
  </si>
  <si>
    <t xml:space="preserve"> 42654.1522 </t>
  </si>
  <si>
    <t xml:space="preserve"> 76.0522 </t>
  </si>
  <si>
    <t xml:space="preserve">\\192.168.24.208\images\R&amp;D\Amira\20210302\plaque 2/@02 Testo 30/C2_03.tif </t>
  </si>
  <si>
    <t xml:space="preserve"> 49164.7505 </t>
  </si>
  <si>
    <t xml:space="preserve"> 73.9877 </t>
  </si>
  <si>
    <t xml:space="preserve">\\192.168.24.208\images\R&amp;D\Amira\20210302\plaque 2/@02 Testo 30/D2_01.tif </t>
  </si>
  <si>
    <t xml:space="preserve"> 19726.4639 </t>
  </si>
  <si>
    <t xml:space="preserve"> 70.6173 </t>
  </si>
  <si>
    <t xml:space="preserve">\\192.168.24.208\images\R&amp;D\Amira\20210302\plaque 2/@02 Testo 30/D2_02.tif </t>
  </si>
  <si>
    <t xml:space="preserve"> 25631.4251 </t>
  </si>
  <si>
    <t xml:space="preserve"> 70.4565 </t>
  </si>
  <si>
    <t xml:space="preserve">\\192.168.24.208\images\R&amp;D\Amira\20210302\plaque 2/@02 Testo 30/D2_03.tif </t>
  </si>
  <si>
    <t xml:space="preserve"> 21283.8163 </t>
  </si>
  <si>
    <t xml:space="preserve"> 71.0986 </t>
  </si>
  <si>
    <t xml:space="preserve">\\192.168.24.208\images\R&amp;D\Amira\20210302\plaque 2/@02 Testo 30/E2_01.tif </t>
  </si>
  <si>
    <t xml:space="preserve"> 70.2055 </t>
  </si>
  <si>
    <t xml:space="preserve">\\192.168.24.208\images\R&amp;D\Amira\20210302\plaque 2/@02 Testo 30/E2_02.tif </t>
  </si>
  <si>
    <t xml:space="preserve"> 25782.8344 </t>
  </si>
  <si>
    <t xml:space="preserve"> 69.4899 </t>
  </si>
  <si>
    <t xml:space="preserve">\\192.168.24.208\images\R&amp;D\Amira\20210302\plaque 2/@02 Testo 30/E2_03.tif </t>
  </si>
  <si>
    <t xml:space="preserve"> 23771.2542 </t>
  </si>
  <si>
    <t xml:space="preserve"> 70.596 </t>
  </si>
  <si>
    <t xml:space="preserve">\\192.168.24.208\images\R&amp;D\Amira\20210302\plaque 2/@02 Testo 30/F2_01.tif </t>
  </si>
  <si>
    <t xml:space="preserve"> 45898.6364 </t>
  </si>
  <si>
    <t xml:space="preserve"> 76.7177 </t>
  </si>
  <si>
    <t xml:space="preserve">\\192.168.24.208\images\R&amp;D\Amira\20210302\plaque 2/@02 Testo 30/F2_02.tif </t>
  </si>
  <si>
    <t xml:space="preserve"> 43649.1274 </t>
  </si>
  <si>
    <t xml:space="preserve"> 74.2364 </t>
  </si>
  <si>
    <t xml:space="preserve">\\192.168.24.208\images\R&amp;D\Amira\20210302\plaque 2/@02 Testo 30/F2_03.tif </t>
  </si>
  <si>
    <t xml:space="preserve"> 41464.508 </t>
  </si>
  <si>
    <t xml:space="preserve"> 75.8894 </t>
  </si>
  <si>
    <t>\\192.168.24.208\images\R&amp;D\Amira\20210302\plaque 2/@02 Testo 30/G2_01- exclu.tif</t>
  </si>
  <si>
    <t xml:space="preserve">\\192.168.24.208\images\R&amp;D\Amira\20210302\plaque 2/@02 Testo 30/G2_02.tif </t>
  </si>
  <si>
    <t xml:space="preserve"> 65.9731 </t>
  </si>
  <si>
    <t xml:space="preserve">\\192.168.24.208\images\R&amp;D\Amira\20210302\plaque 2/@02 Testo 30/G2_03.tif </t>
  </si>
  <si>
    <t xml:space="preserve"> 64.4563 </t>
  </si>
  <si>
    <t xml:space="preserve">\\192.168.24.208\images\R&amp;D\Amira\20210302\plaque 2/@02 Testo 30/H2_01.tif </t>
  </si>
  <si>
    <t xml:space="preserve"> 73.9949 </t>
  </si>
  <si>
    <t xml:space="preserve">\\192.168.24.208\images\R&amp;D\Amira\20210302\plaque 2/@02 Testo 30/H2_02.tif </t>
  </si>
  <si>
    <t xml:space="preserve"> 73.7211 </t>
  </si>
  <si>
    <t xml:space="preserve">\\192.168.24.208\images\R&amp;D\Amira\20210302\plaque 2/@02 Testo 30/H2_03.tif </t>
  </si>
  <si>
    <t xml:space="preserve"> 26345.2117 </t>
  </si>
  <si>
    <t xml:space="preserve"> 72.1708 </t>
  </si>
  <si>
    <t xml:space="preserve">\\192.168.24.208\images\R&amp;D\Amira\20210302\plaque 2/@02 Testo 30/ </t>
  </si>
  <si>
    <t xml:space="preserve"> 71.9671 </t>
  </si>
  <si>
    <t xml:space="preserve"> 4.7677 </t>
  </si>
  <si>
    <t xml:space="preserve"> 2102259.96 </t>
  </si>
  <si>
    <t xml:space="preserve"> 924329.538 </t>
  </si>
  <si>
    <t xml:space="preserve">\\192.168.24.208\images\R&amp;D\Amira\20210302\plaque 2/@03 Testo + FAD/A3_01.tif </t>
  </si>
  <si>
    <t xml:space="preserve">\\192.168.24.208\images\R&amp;D\Amira\20210302\plaque 2/@03 Testo + FAD/A3_02.tif </t>
  </si>
  <si>
    <t xml:space="preserve"> 68.5033 </t>
  </si>
  <si>
    <t xml:space="preserve">\\192.168.24.208\images\R&amp;D\Amira\20210302\plaque 2/@03 Testo + FAD/A3_03.tif </t>
  </si>
  <si>
    <t xml:space="preserve"> 63.6923 </t>
  </si>
  <si>
    <t xml:space="preserve">\\192.168.24.208\images\R&amp;D\Amira\20210302\plaque 2/@03 Testo + FAD/B3_01.tif </t>
  </si>
  <si>
    <t xml:space="preserve"> 64.5385 </t>
  </si>
  <si>
    <t xml:space="preserve">\\192.168.24.208\images\R&amp;D\Amira\20210302\plaque 2/@03 Testo + FAD/B3_02.tif </t>
  </si>
  <si>
    <t xml:space="preserve"> 4974.8758 </t>
  </si>
  <si>
    <t xml:space="preserve"> 69.6435 </t>
  </si>
  <si>
    <t xml:space="preserve">\\192.168.24.208\images\R&amp;D\Amira\20210302\plaque 2/@03 Testo + FAD/B3_03.tif </t>
  </si>
  <si>
    <t xml:space="preserve"> 62.5714 </t>
  </si>
  <si>
    <t xml:space="preserve">\\192.168.24.208\images\R&amp;D\Amira\20210302\plaque 2/@03 Testo + FAD/C3_01.tif </t>
  </si>
  <si>
    <t xml:space="preserve"> 63.5926 </t>
  </si>
  <si>
    <t xml:space="preserve">\\192.168.24.208\images\R&amp;D\Amira\20210302\plaque 2/@03 Testo + FAD/C3_02.tif </t>
  </si>
  <si>
    <t xml:space="preserve"> 62.7059 </t>
  </si>
  <si>
    <t xml:space="preserve">\\192.168.24.208\images\R&amp;D\Amira\20210302\plaque 2/@03 Testo + FAD/C3_03.tif </t>
  </si>
  <si>
    <t xml:space="preserve"> 65.3654 </t>
  </si>
  <si>
    <t xml:space="preserve">\\192.168.24.208\images\R&amp;D\Amira\20210302\plaque 2/@03 Testo + FAD/D3_01.tif </t>
  </si>
  <si>
    <t xml:space="preserve"> 64.0147 </t>
  </si>
  <si>
    <t xml:space="preserve">\\192.168.24.208\images\R&amp;D\Amira\20210302\plaque 2/@03 Testo + FAD/D3_02.tif </t>
  </si>
  <si>
    <t xml:space="preserve"> 67.0268 </t>
  </si>
  <si>
    <t xml:space="preserve">\\192.168.24.208\images\R&amp;D\Amira\20210302\plaque 2/@03 Testo + FAD/D3_03.tif </t>
  </si>
  <si>
    <t xml:space="preserve"> 66.3382 </t>
  </si>
  <si>
    <t xml:space="preserve">\\192.168.24.208\images\R&amp;D\Amira\20210302\plaque 2/@03 Testo + FAD/E3_01.tif </t>
  </si>
  <si>
    <t xml:space="preserve"> 68.4487 </t>
  </si>
  <si>
    <t xml:space="preserve">\\192.168.24.208\images\R&amp;D\Amira\20210302\plaque 2/@03 Testo + FAD/E3_02.tif </t>
  </si>
  <si>
    <t xml:space="preserve"> 76.5153 </t>
  </si>
  <si>
    <t xml:space="preserve">\\192.168.24.208\images\R&amp;D\Amira\20210302\plaque 2/@03 Testo + FAD/E3_03.tif </t>
  </si>
  <si>
    <t xml:space="preserve"> 66.4069 </t>
  </si>
  <si>
    <t>\\192.168.24.208\images\R&amp;D\Amira\20210302\plaque 2/@03 Testo + FAD/F3_01- exclu.tif</t>
  </si>
  <si>
    <t xml:space="preserve">\\192.168.24.208\images\R&amp;D\Amira\20210302\plaque 2/@03 Testo + FAD/F3_02.tif </t>
  </si>
  <si>
    <t xml:space="preserve"> 2292.7688 </t>
  </si>
  <si>
    <t xml:space="preserve"> 65.4434 </t>
  </si>
  <si>
    <t xml:space="preserve">\\192.168.24.208\images\R&amp;D\Amira\20210302\plaque 2/@03 Testo + FAD/F3_03.tif </t>
  </si>
  <si>
    <t xml:space="preserve"> 64.7217 </t>
  </si>
  <si>
    <t xml:space="preserve">\\192.168.24.208\images\R&amp;D\Amira\20210302\plaque 2/@03 Testo + FAD/G3_01.tif </t>
  </si>
  <si>
    <t xml:space="preserve">\\192.168.24.208\images\R&amp;D\Amira\20210302\plaque 2/@03 Testo + FAD/G3_02.tif </t>
  </si>
  <si>
    <t xml:space="preserve">\\192.168.24.208\images\R&amp;D\Amira\20210302\plaque 2/@03 Testo + FAD/G3_03.tif </t>
  </si>
  <si>
    <t xml:space="preserve">\\192.168.24.208\images\R&amp;D\Amira\20210302\plaque 2/@03 Testo + FAD/H3_01.tif </t>
  </si>
  <si>
    <t xml:space="preserve"> 63.8929 </t>
  </si>
  <si>
    <t xml:space="preserve">\\192.168.24.208\images\R&amp;D\Amira\20210302\plaque 2/@03 Testo + FAD/H3_02.tif </t>
  </si>
  <si>
    <t xml:space="preserve"> 62.6667 </t>
  </si>
  <si>
    <t xml:space="preserve">\\192.168.24.208\images\R&amp;D\Amira\20210302\plaque 2/@03 Testo + FAD/H3_03.tif </t>
  </si>
  <si>
    <t xml:space="preserve">\\192.168.24.208\images\R&amp;D\Amira\20210302\plaque 2/@03 Testo + FAD/ </t>
  </si>
  <si>
    <t xml:space="preserve"> 65.3398 </t>
  </si>
  <si>
    <t xml:space="preserve"> 3.127 </t>
  </si>
  <si>
    <t xml:space="preserve"> 136458.667 </t>
  </si>
  <si>
    <t xml:space="preserve"> 138680.248 </t>
  </si>
  <si>
    <t xml:space="preserve">\\192.168.24.208\images\R&amp;D\Amira\20210302\plaque 2/@04 Testo + E2/A4_01.tif </t>
  </si>
  <si>
    <t xml:space="preserve"> 82.0802 </t>
  </si>
  <si>
    <t xml:space="preserve">\\192.168.24.208\images\R&amp;D\Amira\20210302\plaque 2/@04 Testo + E2/A4_02.tif </t>
  </si>
  <si>
    <t xml:space="preserve"> 30649.5607 </t>
  </si>
  <si>
    <t xml:space="preserve"> 85.5131 </t>
  </si>
  <si>
    <t xml:space="preserve">\\192.168.24.208\images\R&amp;D\Amira\20210302\plaque 2/@04 Testo + E2/A4_03.tif </t>
  </si>
  <si>
    <t xml:space="preserve"> 28010.7135 </t>
  </si>
  <si>
    <t xml:space="preserve"> 78.5846 </t>
  </si>
  <si>
    <t xml:space="preserve">\\192.168.24.208\images\R&amp;D\Amira\20210302\plaque 2/@04 Testo + E2/B4_01.tif </t>
  </si>
  <si>
    <t xml:space="preserve"> 42481.1131 </t>
  </si>
  <si>
    <t xml:space="preserve"> 69.2821 </t>
  </si>
  <si>
    <t xml:space="preserve">\\192.168.24.208\images\R&amp;D\Amira\20210302\plaque 2/@04 Testo + E2/B4_02.tif </t>
  </si>
  <si>
    <t xml:space="preserve"> 52084.7863 </t>
  </si>
  <si>
    <t xml:space="preserve"> 74.7475 </t>
  </si>
  <si>
    <t xml:space="preserve">\\192.168.24.208\images\R&amp;D\Amira\20210302\plaque 2/@04 Testo + E2/B4_03.tif </t>
  </si>
  <si>
    <t xml:space="preserve"> 41248.2091 </t>
  </si>
  <si>
    <t xml:space="preserve"> 70.3954 </t>
  </si>
  <si>
    <t xml:space="preserve">\\192.168.24.208\images\R&amp;D\Amira\20210302\plaque 2/@04 Testo + E2/C4_01.tif </t>
  </si>
  <si>
    <t xml:space="preserve"> 24095.7026 </t>
  </si>
  <si>
    <t xml:space="preserve"> 73.0799 </t>
  </si>
  <si>
    <t xml:space="preserve">\\192.168.24.208\images\R&amp;D\Amira\20210302\plaque 2/@04 Testo + E2/C4_02.tif </t>
  </si>
  <si>
    <t xml:space="preserve"> 74.7048 </t>
  </si>
  <si>
    <t xml:space="preserve">\\192.168.24.208\images\R&amp;D\Amira\20210302\plaque 2/@04 Testo + E2/C4_03.tif </t>
  </si>
  <si>
    <t xml:space="preserve"> 74.2349 </t>
  </si>
  <si>
    <t xml:space="preserve">\\192.168.24.208\images\R&amp;D\Amira\20210302\plaque 2/@04 Testo + E2/D4_01.tif </t>
  </si>
  <si>
    <t xml:space="preserve"> 13432.1646 </t>
  </si>
  <si>
    <t xml:space="preserve"> 68.3333 </t>
  </si>
  <si>
    <t xml:space="preserve">\\192.168.24.208\images\R&amp;D\Amira\20210302\plaque 2/@04 Testo + E2/D4_02.tif </t>
  </si>
  <si>
    <t xml:space="preserve"> 12848.1574 </t>
  </si>
  <si>
    <t xml:space="preserve"> 69.0051 </t>
  </si>
  <si>
    <t xml:space="preserve">\\192.168.24.208\images\R&amp;D\Amira\20210302\plaque 2/@04 Testo + E2/D4_03.tif </t>
  </si>
  <si>
    <t xml:space="preserve"> 67.8121 </t>
  </si>
  <si>
    <t xml:space="preserve">\\192.168.24.208\images\R&amp;D\Amira\20210302\plaque 2/@04 Testo + E2/E4_01.tif </t>
  </si>
  <si>
    <t xml:space="preserve"> 42740.6718 </t>
  </si>
  <si>
    <t xml:space="preserve"> 80.6488 </t>
  </si>
  <si>
    <t xml:space="preserve">\\192.168.24.208\images\R&amp;D\Amira\20210302\plaque 2/@04 Testo + E2/E4_02.tif </t>
  </si>
  <si>
    <t xml:space="preserve"> 41226.5792 </t>
  </si>
  <si>
    <t xml:space="preserve"> 80.8473 </t>
  </si>
  <si>
    <t xml:space="preserve">\\192.168.24.208\images\R&amp;D\Amira\20210302\plaque 2/@04 Testo + E2/E4_03.tif </t>
  </si>
  <si>
    <t xml:space="preserve"> 39582.7072 </t>
  </si>
  <si>
    <t xml:space="preserve"> 77.9109 </t>
  </si>
  <si>
    <t xml:space="preserve">\\192.168.24.208\images\R&amp;D\Amira\20210302\plaque 2/@04 Testo + E2/F4_01.tif </t>
  </si>
  <si>
    <t xml:space="preserve"> 51522.409 </t>
  </si>
  <si>
    <t xml:space="preserve"> 81.7254 </t>
  </si>
  <si>
    <t xml:space="preserve">\\192.168.24.208\images\R&amp;D\Amira\20210302\plaque 2/@04 Testo + E2/F4_02.tif </t>
  </si>
  <si>
    <t xml:space="preserve"> 84.6574 </t>
  </si>
  <si>
    <t xml:space="preserve">\\192.168.24.208\images\R&amp;D\Amira\20210302\plaque 2/@04 Testo + E2/F4_03.tif </t>
  </si>
  <si>
    <t xml:space="preserve"> 55978.1673 </t>
  </si>
  <si>
    <t xml:space="preserve"> 83.8006 </t>
  </si>
  <si>
    <t xml:space="preserve">\\192.168.24.208\images\R&amp;D\Amira\20210302\plaque 2/@04 Testo + E2/G4_01.tif </t>
  </si>
  <si>
    <t xml:space="preserve"> 53209.5408 </t>
  </si>
  <si>
    <t xml:space="preserve"> 87.0138 </t>
  </si>
  <si>
    <t xml:space="preserve">\\192.168.24.208\images\R&amp;D\Amira\20210302\plaque 2/@04 Testo + E2/G4_02.tif </t>
  </si>
  <si>
    <t xml:space="preserve"> 48905.1918 </t>
  </si>
  <si>
    <t xml:space="preserve"> 92.927 </t>
  </si>
  <si>
    <t xml:space="preserve">\\192.168.24.208\images\R&amp;D\Amira\20210302\plaque 2/@04 Testo + E2/G4_03.tif </t>
  </si>
  <si>
    <t xml:space="preserve"> 89.9381 </t>
  </si>
  <si>
    <t xml:space="preserve">\\192.168.24.208\images\R&amp;D\Amira\20210302\plaque 2/@04 Testo + E2/H4_01.tif </t>
  </si>
  <si>
    <t xml:space="preserve"> 67.8213 </t>
  </si>
  <si>
    <t xml:space="preserve">\\192.168.24.208\images\R&amp;D\Amira\20210302\plaque 2/@04 Testo + E2/H4_02.tif </t>
  </si>
  <si>
    <t xml:space="preserve"> 13129.346 </t>
  </si>
  <si>
    <t xml:space="preserve"> 66.0857 </t>
  </si>
  <si>
    <t xml:space="preserve">\\192.168.24.208\images\R&amp;D\Amira\20210302\plaque 2/@04 Testo + E2/H4_03.tif </t>
  </si>
  <si>
    <t xml:space="preserve"> 17303.9157 </t>
  </si>
  <si>
    <t xml:space="preserve"> 67.3713 </t>
  </si>
  <si>
    <t xml:space="preserve">\\192.168.24.208\images\R&amp;D\Amira\20210302\plaque 2/@04 Testo + E2/ </t>
  </si>
  <si>
    <t xml:space="preserve"> 77.0217 </t>
  </si>
  <si>
    <t xml:space="preserve"> 7.897 </t>
  </si>
  <si>
    <t xml:space="preserve"> 1364572.46 </t>
  </si>
  <si>
    <t xml:space="preserve">\\192.168.24.208\images\R&amp;D\Amira\20210302\plaque 2/@05 Cefuroxime D 0.001/A5_01.tif </t>
  </si>
  <si>
    <t xml:space="preserve"> 67.2168 </t>
  </si>
  <si>
    <t xml:space="preserve">\\192.168.24.208\images\R&amp;D\Amira\20210302\plaque 2/@05 Cefuroxime D 0.001/A5_02.tif </t>
  </si>
  <si>
    <t xml:space="preserve"> 19034.3073 </t>
  </si>
  <si>
    <t xml:space="preserve"> 67.6307 </t>
  </si>
  <si>
    <t xml:space="preserve">\\192.168.24.208\images\R&amp;D\Amira\20210302\plaque 2/@05 Cefuroxime D 0.001/A5_03.tif </t>
  </si>
  <si>
    <t xml:space="preserve"> 12826.5275 </t>
  </si>
  <si>
    <t xml:space="preserve"> 67.4587 </t>
  </si>
  <si>
    <t xml:space="preserve">\\192.168.24.208\images\R&amp;D\Amira\20210302\plaque 2/@05 Cefuroxime D 0.001/B5_01.tif </t>
  </si>
  <si>
    <t xml:space="preserve"> 39323.1484 </t>
  </si>
  <si>
    <t xml:space="preserve"> 69.9961 </t>
  </si>
  <si>
    <t>\\192.168.24.208\images\R&amp;D\Amira\20210302\plaque 2/@05 Cefuroxime D 0.001/B5_02- exclu.tif</t>
  </si>
  <si>
    <t xml:space="preserve">\\192.168.24.208\images\R&amp;D\Amira\20210302\plaque 2/@05 Cefuroxime D 0.001/B5_03.tif </t>
  </si>
  <si>
    <t xml:space="preserve"> 69.7452 </t>
  </si>
  <si>
    <t xml:space="preserve">\\192.168.24.208\images\R&amp;D\Amira\20210302\plaque 2/@05 Cefuroxime D 0.001/C5_01.tif </t>
  </si>
  <si>
    <t xml:space="preserve"> 52560.6439 </t>
  </si>
  <si>
    <t xml:space="preserve"> 77.8551 </t>
  </si>
  <si>
    <t xml:space="preserve">\\192.168.24.208\images\R&amp;D\Amira\20210302\plaque 2/@05 Cefuroxime D 0.001/C5_02.tif </t>
  </si>
  <si>
    <t xml:space="preserve"> 50851.8823 </t>
  </si>
  <si>
    <t xml:space="preserve"> 75.6253 </t>
  </si>
  <si>
    <t xml:space="preserve">\\192.168.24.208\images\R&amp;D\Amira\20210302\plaque 2/@05 Cefuroxime D 0.001/C5_03.tif </t>
  </si>
  <si>
    <t xml:space="preserve"> 52776.9429 </t>
  </si>
  <si>
    <t xml:space="preserve"> 77.4311 </t>
  </si>
  <si>
    <t xml:space="preserve">\\192.168.24.208\images\R&amp;D\Amira\20210302\plaque 2/@05 Cefuroxime D 0.001/D5_01.tif </t>
  </si>
  <si>
    <t xml:space="preserve"> 28897.5392 </t>
  </si>
  <si>
    <t xml:space="preserve"> 69.8937 </t>
  </si>
  <si>
    <t xml:space="preserve">\\192.168.24.208\images\R&amp;D\Amira\20210302\plaque 2/@05 Cefuroxime D 0.001/D5_02.tif </t>
  </si>
  <si>
    <t xml:space="preserve"> 68.816 </t>
  </si>
  <si>
    <t xml:space="preserve">\\192.168.24.208\images\R&amp;D\Amira\20210302\plaque 2/@05 Cefuroxime D 0.001/D5_03.tif </t>
  </si>
  <si>
    <t xml:space="preserve"> 26561.5106 </t>
  </si>
  <si>
    <t xml:space="preserve"> 68.4585 </t>
  </si>
  <si>
    <t xml:space="preserve">\\192.168.24.208\images\R&amp;D\Amira\20210302\plaque 2/@05 Cefuroxime D 0.001/E5_01.tif </t>
  </si>
  <si>
    <t xml:space="preserve"> 63.9107 </t>
  </si>
  <si>
    <t xml:space="preserve">\\192.168.24.208\images\R&amp;D\Amira\20210302\plaque 2/@05 Cefuroxime D 0.001/E5_02.tif </t>
  </si>
  <si>
    <t xml:space="preserve"> 65.3071 </t>
  </si>
  <si>
    <t>\\192.168.24.208\images\R&amp;D\Amira\20210302\plaque 2/@05 Cefuroxime D 0.001/E5_03- exclu.tif</t>
  </si>
  <si>
    <t xml:space="preserve">\\192.168.24.208\images\R&amp;D\Amira\20210302\plaque 2/@05 Cefuroxime D 0.001/F5_01.tif </t>
  </si>
  <si>
    <t xml:space="preserve"> 55069.7117 </t>
  </si>
  <si>
    <t xml:space="preserve"> 73.4584 </t>
  </si>
  <si>
    <t xml:space="preserve">\\192.168.24.208\images\R&amp;D\Amira\20210302\plaque 2/@05 Cefuroxime D 0.001/F5_02.tif </t>
  </si>
  <si>
    <t xml:space="preserve"> 56518.9147 </t>
  </si>
  <si>
    <t xml:space="preserve"> 74.054 </t>
  </si>
  <si>
    <t xml:space="preserve">\\192.168.24.208\images\R&amp;D\Amira\20210302\plaque 2/@05 Cefuroxime D 0.001/F5_03.tif </t>
  </si>
  <si>
    <t xml:space="preserve"> 57686.929 </t>
  </si>
  <si>
    <t xml:space="preserve"> 74.5613 </t>
  </si>
  <si>
    <t xml:space="preserve">\\192.168.24.208\images\R&amp;D\Amira\20210302\plaque 2/@05 Cefuroxime D 0.001/G5_01.tif </t>
  </si>
  <si>
    <t xml:space="preserve"> 20959.3679 </t>
  </si>
  <si>
    <t xml:space="preserve"> 67.3529 </t>
  </si>
  <si>
    <t xml:space="preserve">\\192.168.24.208\images\R&amp;D\Amira\20210302\plaque 2/@05 Cefuroxime D 0.001/G5_02.tif </t>
  </si>
  <si>
    <t xml:space="preserve"> 16200.7911 </t>
  </si>
  <si>
    <t xml:space="preserve"> 66.4179 </t>
  </si>
  <si>
    <t xml:space="preserve">\\192.168.24.208\images\R&amp;D\Amira\20210302\plaque 2/@05 Cefuroxime D 0.001/G5_03.tif </t>
  </si>
  <si>
    <t xml:space="preserve"> 24160.5923 </t>
  </si>
  <si>
    <t xml:space="preserve"> 67.5792 </t>
  </si>
  <si>
    <t xml:space="preserve">\\192.168.24.208\images\R&amp;D\Amira\20210302\plaque 2/@05 Cefuroxime D 0.001/H5_01.tif </t>
  </si>
  <si>
    <t xml:space="preserve"> 15422.1149 </t>
  </si>
  <si>
    <t xml:space="preserve"> 69.2917 </t>
  </si>
  <si>
    <t xml:space="preserve">\\192.168.24.208\images\R&amp;D\Amira\20210302\plaque 2/@05 Cefuroxime D 0.001/H5_02.tif </t>
  </si>
  <si>
    <t xml:space="preserve"> 13475.4244 </t>
  </si>
  <si>
    <t xml:space="preserve"> 66.7512 </t>
  </si>
  <si>
    <t xml:space="preserve">\\192.168.24.208\images\R&amp;D\Amira\20210302\plaque 2/@05 Cefuroxime D 0.001/H5_03.tif </t>
  </si>
  <si>
    <t xml:space="preserve"> 14751.5881 </t>
  </si>
  <si>
    <t xml:space="preserve"> 69.6891 </t>
  </si>
  <si>
    <t xml:space="preserve">\\192.168.24.208\images\R&amp;D\Amira\20210302\plaque 2/@05 Cefuroxime D 0.001/ </t>
  </si>
  <si>
    <t xml:space="preserve"> 69.8682 </t>
  </si>
  <si>
    <t xml:space="preserve"> 3.7221 </t>
  </si>
  <si>
    <t xml:space="preserve"> 1999896.42 </t>
  </si>
  <si>
    <t xml:space="preserve"> 1405407.4 </t>
  </si>
  <si>
    <t xml:space="preserve">\\192.168.24.208\images\R&amp;D\Amira\20210302\plaque 2/@06 Cefuroxime D 0.01/A6_01.tif </t>
  </si>
  <si>
    <t xml:space="preserve"> 39128.4794 </t>
  </si>
  <si>
    <t xml:space="preserve"> 70.9287 </t>
  </si>
  <si>
    <t xml:space="preserve">\\192.168.24.208\images\R&amp;D\Amira\20210302\plaque 2/@06 Cefuroxime D 0.01/A6_02.tif </t>
  </si>
  <si>
    <t xml:space="preserve"> 42459.4832 </t>
  </si>
  <si>
    <t xml:space="preserve"> 71.1467 </t>
  </si>
  <si>
    <t xml:space="preserve">\\192.168.24.208\images\R&amp;D\Amira\20210302\plaque 2/@06 Cefuroxime D 0.01/A6_03.tif </t>
  </si>
  <si>
    <t xml:space="preserve"> 36554.5219 </t>
  </si>
  <si>
    <t xml:space="preserve"> 70.5609 </t>
  </si>
  <si>
    <t xml:space="preserve">\\192.168.24.208\images\R&amp;D\Amira\20210302\plaque 2/@06 Cefuroxime D 0.01/B6_01.tif </t>
  </si>
  <si>
    <t xml:space="preserve"> 73.2528 </t>
  </si>
  <si>
    <t xml:space="preserve">\\192.168.24.208\images\R&amp;D\Amira\20210302\plaque 2/@06 Cefuroxime D 0.01/B6_02.tif </t>
  </si>
  <si>
    <t xml:space="preserve"> 71.6714 </t>
  </si>
  <si>
    <t xml:space="preserve">\\192.168.24.208\images\R&amp;D\Amira\20210302\plaque 2/@06 Cefuroxime D 0.01/B6_03.tif </t>
  </si>
  <si>
    <t xml:space="preserve"> 71.7395 </t>
  </si>
  <si>
    <t>\\192.168.24.208\images\R&amp;D\Amira\20210302\plaque 2/@06 Cefuroxime D 0.01/C6_01- exclu.tif</t>
  </si>
  <si>
    <t>\\192.168.24.208\images\R&amp;D\Amira\20210302\plaque 2/@06 Cefuroxime D 0.01/C6_02- exclu.tif</t>
  </si>
  <si>
    <t>\\192.168.24.208\images\R&amp;D\Amira\20210302\plaque 2/@06 Cefuroxime D 0.01/C6_03- exclu.tif</t>
  </si>
  <si>
    <t>\\192.168.24.208\images\R&amp;D\Amira\20210302\plaque 2/@06 Cefuroxime D 0.01/D6_01- exclu.tif</t>
  </si>
  <si>
    <t xml:space="preserve">\\192.168.24.208\images\R&amp;D\Amira\20210302\plaque 2/@06 Cefuroxime D 0.01/D6_02.tif </t>
  </si>
  <si>
    <t xml:space="preserve"> 19553.4247 </t>
  </si>
  <si>
    <t xml:space="preserve"> 71.0874 </t>
  </si>
  <si>
    <t xml:space="preserve">\\192.168.24.208\images\R&amp;D\Amira\20210302\plaque 2/@06 Cefuroxime D 0.01/D6_03.tif </t>
  </si>
  <si>
    <t xml:space="preserve"> 19142.4567 </t>
  </si>
  <si>
    <t xml:space="preserve"> 70.191 </t>
  </si>
  <si>
    <t xml:space="preserve">\\192.168.24.208\images\R&amp;D\Amira\20210302\plaque 2/@06 Cefuroxime D 0.01/E6_01.tif </t>
  </si>
  <si>
    <t xml:space="preserve"> 68761.435 </t>
  </si>
  <si>
    <t xml:space="preserve"> 72.9623 </t>
  </si>
  <si>
    <t xml:space="preserve">\\192.168.24.208\images\R&amp;D\Amira\20210302\plaque 2/@06 Cefuroxime D 0.01/E6_02.tif </t>
  </si>
  <si>
    <t xml:space="preserve"> 65581.8405 </t>
  </si>
  <si>
    <t xml:space="preserve"> 74.3885 </t>
  </si>
  <si>
    <t xml:space="preserve">\\192.168.24.208\images\R&amp;D\Amira\20210302\plaque 2/@06 Cefuroxime D 0.01/E6_03.tif </t>
  </si>
  <si>
    <t xml:space="preserve"> 60715.1142 </t>
  </si>
  <si>
    <t xml:space="preserve"> 72.6245 </t>
  </si>
  <si>
    <t xml:space="preserve">\\192.168.24.208\images\R&amp;D\Amira\20210302\plaque 2/@06 Cefuroxime D 0.01/F6_01.tif </t>
  </si>
  <si>
    <t xml:space="preserve"> 66.5913 </t>
  </si>
  <si>
    <t xml:space="preserve">\\192.168.24.208\images\R&amp;D\Amira\20210302\plaque 2/@06 Cefuroxime D 0.01/F6_02.tif </t>
  </si>
  <si>
    <t xml:space="preserve"> 68.2463 </t>
  </si>
  <si>
    <t xml:space="preserve">\\192.168.24.208\images\R&amp;D\Amira\20210302\plaque 2/@06 Cefuroxime D 0.01/F6_03.tif </t>
  </si>
  <si>
    <t xml:space="preserve"> 67.7844 </t>
  </si>
  <si>
    <t xml:space="preserve">\\192.168.24.208\images\R&amp;D\Amira\20210302\plaque 2/@06 Cefuroxime D 0.01/G6_01.tif </t>
  </si>
  <si>
    <t xml:space="preserve"> 68566.766 </t>
  </si>
  <si>
    <t xml:space="preserve"> 79.6735 </t>
  </si>
  <si>
    <t xml:space="preserve">\\192.168.24.208\images\R&amp;D\Amira\20210302\plaque 2/@06 Cefuroxime D 0.01/G6_02.tif </t>
  </si>
  <si>
    <t xml:space="preserve"> 79.0453 </t>
  </si>
  <si>
    <t xml:space="preserve">\\192.168.24.208\images\R&amp;D\Amira\20210302\plaque 2/@06 Cefuroxime D 0.01/G6_03.tif </t>
  </si>
  <si>
    <t xml:space="preserve"> 79.5148 </t>
  </si>
  <si>
    <t xml:space="preserve">\\192.168.24.208\images\R&amp;D\Amira\20210302\plaque 2/@06 Cefuroxime D 0.01/H6_01.tif </t>
  </si>
  <si>
    <t xml:space="preserve"> 69.7751 </t>
  </si>
  <si>
    <t xml:space="preserve">\\192.168.24.208\images\R&amp;D\Amira\20210302\plaque 2/@06 Cefuroxime D 0.01/H6_02.tif </t>
  </si>
  <si>
    <t xml:space="preserve"> 38739.1413 </t>
  </si>
  <si>
    <t xml:space="preserve"> 69.3205 </t>
  </si>
  <si>
    <t xml:space="preserve">\\192.168.24.208\images\R&amp;D\Amira\20210302\plaque 2/@06 Cefuroxime D 0.01/H6_03.tif </t>
  </si>
  <si>
    <t xml:space="preserve"> 69.2359 </t>
  </si>
  <si>
    <t xml:space="preserve">\\192.168.24.208\images\R&amp;D\Amira\20210302\plaque 2/@06 Cefuroxime D 0.01/ </t>
  </si>
  <si>
    <t xml:space="preserve"> 72.2932 </t>
  </si>
  <si>
    <t xml:space="preserve"> 4.2402 </t>
  </si>
  <si>
    <t xml:space="preserve"> 2773993.33 </t>
  </si>
  <si>
    <t xml:space="preserve"> 1631085.62 </t>
  </si>
  <si>
    <t xml:space="preserve">\\192.168.24.208\images\R&amp;D\Amira\20210302\plaque 2/@07 Cefuroxime D 0.1/A7_01.tif </t>
  </si>
  <si>
    <t xml:space="preserve"> 63.871 </t>
  </si>
  <si>
    <t xml:space="preserve">\\192.168.24.208\images\R&amp;D\Amira\20210302\plaque 2/@07 Cefuroxime D 0.1/A7_02.tif </t>
  </si>
  <si>
    <t xml:space="preserve"> 63.7778 </t>
  </si>
  <si>
    <t xml:space="preserve">\\192.168.24.208\images\R&amp;D\Amira\20210302\plaque 2/@07 Cefuroxime D 0.1/A7_03.tif </t>
  </si>
  <si>
    <t>\\192.168.24.208\images\R&amp;D\Amira\20210302\plaque 2/@07 Cefuroxime D 0.1/B7_01- exclu.tif</t>
  </si>
  <si>
    <t xml:space="preserve">\\192.168.24.208\images\R&amp;D\Amira\20210302\plaque 2/@07 Cefuroxime D 0.1/B7_02.tif </t>
  </si>
  <si>
    <t xml:space="preserve"> 29719.4752 </t>
  </si>
  <si>
    <t xml:space="preserve"> 73.5167 </t>
  </si>
  <si>
    <t xml:space="preserve">\\192.168.24.208\images\R&amp;D\Amira\20210302\plaque 2/@07 Cefuroxime D 0.1/B7_03.tif </t>
  </si>
  <si>
    <t xml:space="preserve"> 31428.2369 </t>
  </si>
  <si>
    <t xml:space="preserve"> 71.7123 </t>
  </si>
  <si>
    <t xml:space="preserve">\\192.168.24.208\images\R&amp;D\Amira\20210302\plaque 2/@07 Cefuroxime D 0.1/C7_01.tif </t>
  </si>
  <si>
    <t xml:space="preserve"> 67.5071 </t>
  </si>
  <si>
    <t xml:space="preserve">\\192.168.24.208\images\R&amp;D\Amira\20210302\plaque 2/@07 Cefuroxime D 0.1/C7_02.tif </t>
  </si>
  <si>
    <t xml:space="preserve"> 67.7638 </t>
  </si>
  <si>
    <t xml:space="preserve">\\192.168.24.208\images\R&amp;D\Amira\20210302\plaque 2/@07 Cefuroxime D 0.1/C7_03.tif </t>
  </si>
  <si>
    <t xml:space="preserve"> 24722.9696 </t>
  </si>
  <si>
    <t xml:space="preserve"> 66.3176 </t>
  </si>
  <si>
    <t xml:space="preserve">\\192.168.24.208\images\R&amp;D\Amira\20210302\plaque 2/@07 Cefuroxime D 0.1/D7_01.tif </t>
  </si>
  <si>
    <t xml:space="preserve"> 30390.002 </t>
  </si>
  <si>
    <t xml:space="preserve">\\192.168.24.208\images\R&amp;D\Amira\20210302\plaque 2/@07 Cefuroxime D 0.1/D7_02.tif </t>
  </si>
  <si>
    <t xml:space="preserve"> 32098.7636 </t>
  </si>
  <si>
    <t xml:space="preserve"> 69.5364 </t>
  </si>
  <si>
    <t xml:space="preserve">\\192.168.24.208\images\R&amp;D\Amira\20210302\plaque 2/@07 Cefuroxime D 0.1/D7_03.tif </t>
  </si>
  <si>
    <t xml:space="preserve"> 69.0079 </t>
  </si>
  <si>
    <t xml:space="preserve">\\192.168.24.208\images\R&amp;D\Amira\20210302\plaque 2/@07 Cefuroxime D 0.1/E7_01.tif </t>
  </si>
  <si>
    <t xml:space="preserve"> 35559.5468 </t>
  </si>
  <si>
    <t xml:space="preserve"> 74.1101 </t>
  </si>
  <si>
    <t xml:space="preserve">\\192.168.24.208\images\R&amp;D\Amira\20210302\plaque 2/@07 Cefuroxime D 0.1/E7_02.tif </t>
  </si>
  <si>
    <t xml:space="preserve"> 35710.956 </t>
  </si>
  <si>
    <t xml:space="preserve"> 76.1369 </t>
  </si>
  <si>
    <t xml:space="preserve">\\192.168.24.208\images\R&amp;D\Amira\20210302\plaque 2/@07 Cefuroxime D 0.1/E7_03.tif </t>
  </si>
  <si>
    <t xml:space="preserve"> 31795.9451 </t>
  </si>
  <si>
    <t xml:space="preserve"> 73.3993 </t>
  </si>
  <si>
    <t xml:space="preserve">\\192.168.24.208\images\R&amp;D\Amira\20210302\plaque 2/@07 Cefuroxime D 0.1/F7_01.tif </t>
  </si>
  <si>
    <t xml:space="preserve"> 48818.6722 </t>
  </si>
  <si>
    <t xml:space="preserve"> 76.1972 </t>
  </si>
  <si>
    <t xml:space="preserve">\\192.168.24.208\images\R&amp;D\Amira\20210302\plaque 2/@07 Cefuroxime D 0.1/F7_02.tif </t>
  </si>
  <si>
    <t xml:space="preserve"> 49683.868 </t>
  </si>
  <si>
    <t xml:space="preserve"> 77.1471 </t>
  </si>
  <si>
    <t xml:space="preserve">\\192.168.24.208\images\R&amp;D\Amira\20210302\plaque 2/@07 Cefuroxime D 0.1/F7_03.tif </t>
  </si>
  <si>
    <t xml:space="preserve"> 52798.5728 </t>
  </si>
  <si>
    <t xml:space="preserve"> 77.6563 </t>
  </si>
  <si>
    <t xml:space="preserve">\\192.168.24.208\images\R&amp;D\Amira\20210302\plaque 2/@07 Cefuroxime D 0.1/G7_01.tif </t>
  </si>
  <si>
    <t xml:space="preserve"> 67.4401 </t>
  </si>
  <si>
    <t xml:space="preserve">\\192.168.24.208\images\R&amp;D\Amira\20210302\plaque 2/@07 Cefuroxime D 0.1/G7_02.tif </t>
  </si>
  <si>
    <t xml:space="preserve"> 24182.2222 </t>
  </si>
  <si>
    <t xml:space="preserve"> 67.2952 </t>
  </si>
  <si>
    <t xml:space="preserve">\\192.168.24.208\images\R&amp;D\Amira\20210302\plaque 2/@07 Cefuroxime D 0.1/G7_03.tif </t>
  </si>
  <si>
    <t xml:space="preserve"> 24831.119 </t>
  </si>
  <si>
    <t xml:space="preserve"> 67.4338 </t>
  </si>
  <si>
    <t>\\192.168.24.208\images\R&amp;D\Amira\20210302\plaque 2/@07 Cefuroxime D 0.1/H7_01- exclu.tif</t>
  </si>
  <si>
    <t>\\192.168.24.208\images\R&amp;D\Amira\20210302\plaque 2/@07 Cefuroxime D 0.1/H7_02- exclu.tif</t>
  </si>
  <si>
    <t>\\192.168.24.208\images\R&amp;D\Amira\20210302\plaque 2/@07 Cefuroxime D 0.1/H7_03- exclu.tif</t>
  </si>
  <si>
    <t xml:space="preserve">\\192.168.24.208\images\R&amp;D\Amira\20210302\plaque 2/@07 Cefuroxime D 0.1/ </t>
  </si>
  <si>
    <t xml:space="preserve"> 69.2112 </t>
  </si>
  <si>
    <t xml:space="preserve"> 4.6611 </t>
  </si>
  <si>
    <t xml:space="preserve"> 1654749.12 </t>
  </si>
  <si>
    <t xml:space="preserve"> 1272912.24 </t>
  </si>
  <si>
    <t xml:space="preserve">\\192.168.24.208\images\R&amp;D\Amira\20210302\plaque 2/@08 Cefuroxime D 1/A8_01.tif </t>
  </si>
  <si>
    <t xml:space="preserve"> 5364.2139 </t>
  </si>
  <si>
    <t xml:space="preserve"> 64.6532 </t>
  </si>
  <si>
    <t xml:space="preserve">\\192.168.24.208\images\R&amp;D\Amira\20210302\plaque 2/@08 Cefuroxime D 1/A8_02.tif </t>
  </si>
  <si>
    <t xml:space="preserve"> 6510.5983 </t>
  </si>
  <si>
    <t xml:space="preserve"> 64.2492 </t>
  </si>
  <si>
    <t xml:space="preserve">\\192.168.24.208\images\R&amp;D\Amira\20210302\plaque 2/@08 Cefuroxime D 1/A8_03.tif </t>
  </si>
  <si>
    <t xml:space="preserve"> 12523.709 </t>
  </si>
  <si>
    <t xml:space="preserve"> 66.5354 </t>
  </si>
  <si>
    <t xml:space="preserve">\\192.168.24.208\images\R&amp;D\Amira\20210302\plaque 2/@08 Cefuroxime D 1/B8_01.tif </t>
  </si>
  <si>
    <t xml:space="preserve"> 13778.2429 </t>
  </si>
  <si>
    <t xml:space="preserve"> 68.6735 </t>
  </si>
  <si>
    <t xml:space="preserve">\\192.168.24.208\images\R&amp;D\Amira\20210302\plaque 2/@08 Cefuroxime D 1/B8_02.tif </t>
  </si>
  <si>
    <t xml:space="preserve"> 16633.389 </t>
  </si>
  <si>
    <t xml:space="preserve"> 67.814 </t>
  </si>
  <si>
    <t xml:space="preserve">\\192.168.24.208\images\R&amp;D\Amira\20210302\plaque 2/@08 Cefuroxime D 1/B8_03.tif </t>
  </si>
  <si>
    <t xml:space="preserve"> 14318.9902 </t>
  </si>
  <si>
    <t xml:space="preserve"> 68.1949 </t>
  </si>
  <si>
    <t xml:space="preserve">\\192.168.24.208\images\R&amp;D\Amira\20210302\plaque 2/@08 Cefuroxime D 1/C8_01.tif </t>
  </si>
  <si>
    <t xml:space="preserve"> 33612.8563 </t>
  </si>
  <si>
    <t xml:space="preserve"> 71.2117 </t>
  </si>
  <si>
    <t xml:space="preserve">\\192.168.24.208\images\R&amp;D\Amira\20210302\plaque 2/@08 Cefuroxime D 1/C8_02.tif </t>
  </si>
  <si>
    <t xml:space="preserve"> 30757.7102 </t>
  </si>
  <si>
    <t xml:space="preserve"> 69.8179 </t>
  </si>
  <si>
    <t xml:space="preserve">\\192.168.24.208\images\R&amp;D\Amira\20210302\plaque 2/@08 Cefuroxime D 1/C8_03.tif </t>
  </si>
  <si>
    <t xml:space="preserve"> 31839.2049 </t>
  </si>
  <si>
    <t xml:space="preserve"> 70.8594 </t>
  </si>
  <si>
    <t xml:space="preserve">\\192.168.24.208\images\R&amp;D\Amira\20210302\plaque 2/@08 Cefuroxime D 1/D8_01.tif </t>
  </si>
  <si>
    <t xml:space="preserve"> 47412.729 </t>
  </si>
  <si>
    <t xml:space="preserve"> 79.1163 </t>
  </si>
  <si>
    <t xml:space="preserve">\\192.168.24.208\images\R&amp;D\Amira\20210302\plaque 2/@08 Cefuroxime D 1/D8_02.tif </t>
  </si>
  <si>
    <t xml:space="preserve"> 48840.3021 </t>
  </si>
  <si>
    <t xml:space="preserve"> 77.7706 </t>
  </si>
  <si>
    <t xml:space="preserve">\\192.168.24.208\images\R&amp;D\Amira\20210302\plaque 2/@08 Cefuroxime D 1/D8_03.tif </t>
  </si>
  <si>
    <t xml:space="preserve"> 49618.9783 </t>
  </si>
  <si>
    <t xml:space="preserve"> 77.7973 </t>
  </si>
  <si>
    <t xml:space="preserve">\\192.168.24.208\images\R&amp;D\Amira\20210302\plaque 2/@08 Cefuroxime D 1/E8_01.tif </t>
  </si>
  <si>
    <t xml:space="preserve"> 68.2853 </t>
  </si>
  <si>
    <t xml:space="preserve">\\192.168.24.208\images\R&amp;D\Amira\20210302\plaque 2/@08 Cefuroxime D 1/E8_02.tif </t>
  </si>
  <si>
    <t xml:space="preserve"> 16460.3498 </t>
  </si>
  <si>
    <t xml:space="preserve"> 67.1367 </t>
  </si>
  <si>
    <t xml:space="preserve">\\192.168.24.208\images\R&amp;D\Amira\20210302\plaque 2/@08 Cefuroxime D 1/E8_03.tif </t>
  </si>
  <si>
    <t xml:space="preserve"> 24614.8201 </t>
  </si>
  <si>
    <t xml:space="preserve"> 69.3919 </t>
  </si>
  <si>
    <t xml:space="preserve">\\192.168.24.208\images\R&amp;D\Amira\20210302\plaque 2/@08 Cefuroxime D 1/F8_01.tif </t>
  </si>
  <si>
    <t xml:space="preserve"> 8954.7764 </t>
  </si>
  <si>
    <t xml:space="preserve"> 70.814 </t>
  </si>
  <si>
    <t xml:space="preserve">\\192.168.24.208\images\R&amp;D\Amira\20210302\plaque 2/@08 Cefuroxime D 1/F8_02.tif </t>
  </si>
  <si>
    <t xml:space="preserve"> 70.6044 </t>
  </si>
  <si>
    <t xml:space="preserve">\\192.168.24.208\images\R&amp;D\Amira\20210302\plaque 2/@08 Cefuroxime D 1/F8_03.tif </t>
  </si>
  <si>
    <t xml:space="preserve"> 68.2784 </t>
  </si>
  <si>
    <t xml:space="preserve">\\192.168.24.208\images\R&amp;D\Amira\20210302\plaque 2/@08 Cefuroxime D 1/G8_01.tif </t>
  </si>
  <si>
    <t xml:space="preserve"> 36446.3724 </t>
  </si>
  <si>
    <t xml:space="preserve"> 68.6742 </t>
  </si>
  <si>
    <t xml:space="preserve">\\192.168.24.208\images\R&amp;D\Amira\20210302\plaque 2/@08 Cefuroxime D 1/G8_02.tif </t>
  </si>
  <si>
    <t xml:space="preserve"> 40729.0916 </t>
  </si>
  <si>
    <t xml:space="preserve"> 69.4647 </t>
  </si>
  <si>
    <t xml:space="preserve">\\192.168.24.208\images\R&amp;D\Amira\20210302\plaque 2/@08 Cefuroxime D 1/G8_03.tif </t>
  </si>
  <si>
    <t xml:space="preserve"> 40967.0204 </t>
  </si>
  <si>
    <t xml:space="preserve"> 72.4229 </t>
  </si>
  <si>
    <t xml:space="preserve">\\192.168.24.208\images\R&amp;D\Amira\20210302\plaque 2/@08 Cefuroxime D 1/H8_01.tif </t>
  </si>
  <si>
    <t xml:space="preserve"> 57903.2279 </t>
  </si>
  <si>
    <t xml:space="preserve"> 75.4445 </t>
  </si>
  <si>
    <t xml:space="preserve">\\192.168.24.208\images\R&amp;D\Amira\20210302\plaque 2/@08 Cefuroxime D 1/H8_02.tif </t>
  </si>
  <si>
    <t xml:space="preserve"> 55264.3808 </t>
  </si>
  <si>
    <t xml:space="preserve"> 73.935 </t>
  </si>
  <si>
    <t xml:space="preserve">\\192.168.24.208\images\R&amp;D\Amira\20210302\plaque 2/@08 Cefuroxime D 1/H8_03.tif </t>
  </si>
  <si>
    <t xml:space="preserve"> 50462.5442 </t>
  </si>
  <si>
    <t xml:space="preserve"> 73.4925 </t>
  </si>
  <si>
    <t xml:space="preserve">\\192.168.24.208\images\R&amp;D\Amira\20210302\plaque 2/@08 Cefuroxime D 1/ </t>
  </si>
  <si>
    <t xml:space="preserve"> 70.6099 </t>
  </si>
  <si>
    <t xml:space="preserve"> 3.9662 </t>
  </si>
  <si>
    <t xml:space="preserve"> 2048952.17 </t>
  </si>
  <si>
    <t xml:space="preserve"> 1348926.98 </t>
  </si>
  <si>
    <t xml:space="preserve">\\192.168.24.208\images\R&amp;D\Amira\20210302\plaque 2/@09 Cefuroxime D 10/A9_01.tif </t>
  </si>
  <si>
    <t xml:space="preserve"> 11961.3317 </t>
  </si>
  <si>
    <t xml:space="preserve"> 72.7685 </t>
  </si>
  <si>
    <t xml:space="preserve">\\192.168.24.208\images\R&amp;D\Amira\20210302\plaque 2/@09 Cefuroxime D 10/A9_02.tif </t>
  </si>
  <si>
    <t xml:space="preserve"> 20332.101 </t>
  </si>
  <si>
    <t xml:space="preserve"> 72.8809 </t>
  </si>
  <si>
    <t xml:space="preserve">\\192.168.24.208\images\R&amp;D\Amira\20210302\plaque 2/@09 Cefuroxime D 10/A9_03.tif </t>
  </si>
  <si>
    <t xml:space="preserve"> 8284.2496 </t>
  </si>
  <si>
    <t xml:space="preserve"> 70.8642 </t>
  </si>
  <si>
    <t xml:space="preserve">\\192.168.24.208\images\R&amp;D\Amira\20210302\plaque 2/@09 Cefuroxime D 10/B9_01.tif </t>
  </si>
  <si>
    <t xml:space="preserve"> 28313.5321 </t>
  </si>
  <si>
    <t xml:space="preserve"> 74.2979 </t>
  </si>
  <si>
    <t xml:space="preserve">\\192.168.24.208\images\R&amp;D\Amira\20210302\plaque 2/@09 Cefuroxime D 10/B9_02.tif </t>
  </si>
  <si>
    <t xml:space="preserve"> 28594.7207 </t>
  </si>
  <si>
    <t xml:space="preserve"> 72.5673 </t>
  </si>
  <si>
    <t>\\192.168.24.208\images\R&amp;D\Amira\20210302\plaque 2/@09 Cefuroxime D 10/B9_03- exclu.tif</t>
  </si>
  <si>
    <t xml:space="preserve">\\192.168.24.208\images\R&amp;D\Amira\20210302\plaque 2/@09 Cefuroxime D 10/C9_01.tif </t>
  </si>
  <si>
    <t xml:space="preserve"> 66.9387 </t>
  </si>
  <si>
    <t xml:space="preserve">\\192.168.24.208\images\R&amp;D\Amira\20210302\plaque 2/@09 Cefuroxime D 10/C9_02.tif </t>
  </si>
  <si>
    <t xml:space="preserve"> 2465.808 </t>
  </si>
  <si>
    <t xml:space="preserve"> 65.2982 </t>
  </si>
  <si>
    <t>\\192.168.24.208\images\R&amp;D\Amira\20210302\plaque 2/@09 Cefuroxime D 10/C9_03- exclu.tif</t>
  </si>
  <si>
    <t xml:space="preserve">\\192.168.24.208\images\R&amp;D\Amira\20210302\plaque 2/@09 Cefuroxime D 10/D9_01.tif </t>
  </si>
  <si>
    <t xml:space="preserve"> 34889.02 </t>
  </si>
  <si>
    <t xml:space="preserve"> 71.5059 </t>
  </si>
  <si>
    <t xml:space="preserve">\\192.168.24.208\images\R&amp;D\Amira\20210302\plaque 2/@09 Cefuroxime D 10/D9_02.tif </t>
  </si>
  <si>
    <t xml:space="preserve"> 72.5576 </t>
  </si>
  <si>
    <t xml:space="preserve">\\192.168.24.208\images\R&amp;D\Amira\20210302\plaque 2/@09 Cefuroxime D 10/D9_03.tif </t>
  </si>
  <si>
    <t xml:space="preserve"> 36576.1518 </t>
  </si>
  <si>
    <t xml:space="preserve"> 70.1413 </t>
  </si>
  <si>
    <t xml:space="preserve">\\192.168.24.208\images\R&amp;D\Amira\20210302\plaque 2/@09 Cefuroxime D 10/E9_01.tif </t>
  </si>
  <si>
    <t xml:space="preserve"> 24960.8984 </t>
  </si>
  <si>
    <t xml:space="preserve"> 72.8969 </t>
  </si>
  <si>
    <t xml:space="preserve">\\192.168.24.208\images\R&amp;D\Amira\20210302\plaque 2/@09 Cefuroxime D 10/E9_02.tif </t>
  </si>
  <si>
    <t xml:space="preserve"> 72.0944 </t>
  </si>
  <si>
    <t xml:space="preserve">\\192.168.24.208\images\R&amp;D\Amira\20210302\plaque 2/@09 Cefuroxime D 10/E9_03.tif </t>
  </si>
  <si>
    <t xml:space="preserve"> 23057.4677 </t>
  </si>
  <si>
    <t xml:space="preserve"> 71.7139 </t>
  </si>
  <si>
    <t xml:space="preserve">\\192.168.24.208\images\R&amp;D\Amira\20210302\plaque 2/@09 Cefuroxime D 10/F9_01.tif </t>
  </si>
  <si>
    <t xml:space="preserve"> 44362.9139 </t>
  </si>
  <si>
    <t xml:space="preserve"> 76.018 </t>
  </si>
  <si>
    <t xml:space="preserve">\\192.168.24.208\images\R&amp;D\Amira\20210302\plaque 2/@09 Cefuroxime D 10/F9_02.tif </t>
  </si>
  <si>
    <t xml:space="preserve"> 73.9828 </t>
  </si>
  <si>
    <t xml:space="preserve">\\192.168.24.208\images\R&amp;D\Amira\20210302\plaque 2/@09 Cefuroxime D 10/F9_03.tif </t>
  </si>
  <si>
    <t xml:space="preserve"> 74.9895 </t>
  </si>
  <si>
    <t xml:space="preserve">\\192.168.24.208\images\R&amp;D\Amira\20210302\plaque 2/@09 Cefuroxime D 10/G9_01.tif </t>
  </si>
  <si>
    <t xml:space="preserve"> 65.4214 </t>
  </si>
  <si>
    <t xml:space="preserve">\\192.168.24.208\images\R&amp;D\Amira\20210302\plaque 2/@09 Cefuroxime D 10/G9_02.tif </t>
  </si>
  <si>
    <t xml:space="preserve"> 5537.253 </t>
  </si>
  <si>
    <t xml:space="preserve"> 65.5469 </t>
  </si>
  <si>
    <t xml:space="preserve">\\192.168.24.208\images\R&amp;D\Amira\20210302\plaque 2/@09 Cefuroxime D 10/G9_03.tif </t>
  </si>
  <si>
    <t xml:space="preserve"> 63.4177 </t>
  </si>
  <si>
    <t xml:space="preserve">\\192.168.24.208\images\R&amp;D\Amira\20210302\plaque 2/@09 Cefuroxime D 10/H9_01.tif </t>
  </si>
  <si>
    <t xml:space="preserve"> 4672.0572 </t>
  </si>
  <si>
    <t xml:space="preserve"> 64.5093 </t>
  </si>
  <si>
    <t xml:space="preserve">\\192.168.24.208\images\R&amp;D\Amira\20210302\plaque 2/@09 Cefuroxime D 10/H9_02.tif </t>
  </si>
  <si>
    <t xml:space="preserve"> 67.8284 </t>
  </si>
  <si>
    <t>\\192.168.24.208\images\R&amp;D\Amira\20210302\plaque 2/@09 Cefuroxime D 10/H9_03- exclu.tif</t>
  </si>
  <si>
    <t xml:space="preserve">\\192.168.24.208\images\R&amp;D\Amira\20210302\plaque 2/@09 Cefuroxime D 10/ </t>
  </si>
  <si>
    <t xml:space="preserve"> 69.9265 </t>
  </si>
  <si>
    <t xml:space="preserve"> 4.0391 </t>
  </si>
  <si>
    <t xml:space="preserve"> 1471728.75 </t>
  </si>
  <si>
    <t xml:space="preserve"> 1145937.54 </t>
  </si>
  <si>
    <t>03 Testo + FAD</t>
  </si>
  <si>
    <t>04 Testo + E2</t>
  </si>
  <si>
    <t>Kruskal-Wallis</t>
  </si>
  <si>
    <t>Anova</t>
  </si>
  <si>
    <t>MW</t>
  </si>
  <si>
    <t>T TEST</t>
  </si>
  <si>
    <t>Cefuroxime 0,001mg/L</t>
  </si>
  <si>
    <t>Cefuroxime 0,01mg/L</t>
  </si>
  <si>
    <t>Cefuroxime 0,1mg/L</t>
  </si>
  <si>
    <t>Cefuroxime 1mg/L</t>
  </si>
  <si>
    <t>Cefuroxime 10mg/L</t>
  </si>
  <si>
    <t>Cefuroxime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</si>
</sst>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15"/>
      <name val="Arial"/>
      <family val="2"/>
    </font>
    <font>
      <sz val="9"/>
      <name val="Arial"/>
      <family val="2"/>
    </font>
    <font>
      <sz val="12"/>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9">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4" fillId="0" borderId="0" xfId="0" applyFont="1"/>
    <xf numFmtId="0" fontId="19" fillId="0" borderId="0" xfId="0" applyFont="1"/>
    <xf numFmtId="0" fontId="14" fillId="0" borderId="0" xfId="0" applyFont="1"/>
    <xf numFmtId="0" fontId="20" fillId="0" borderId="0" xfId="0" applyFont="1"/>
    <xf numFmtId="0" fontId="21" fillId="0" borderId="0" xfId="0" applyFont="1"/>
    <xf numFmtId="0" fontId="3" fillId="14" borderId="46" xfId="0" applyNumberFormat="1" applyFont="1" applyFill="1" applyBorder="1" applyAlignment="1">
      <alignment horizontal="center" vertic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6C4D-4A39-95A7-99D0C0B9B05C}"/>
              </c:ext>
            </c:extLst>
          </c:dPt>
          <c:dPt>
            <c:idx val="1"/>
            <c:invertIfNegative val="0"/>
            <c:bubble3D val="0"/>
            <c:spPr>
              <a:solidFill>
                <a:srgbClr val="FF0000"/>
              </a:solidFill>
            </c:spPr>
            <c:extLst>
              <c:ext xmlns:c16="http://schemas.microsoft.com/office/drawing/2014/chart" uri="{C3380CC4-5D6E-409C-BE32-E72D297353CC}">
                <c16:uniqueId val="{00000002-6C4D-4A39-95A7-99D0C0B9B05C}"/>
              </c:ext>
            </c:extLst>
          </c:dPt>
          <c:dPt>
            <c:idx val="2"/>
            <c:invertIfNegative val="0"/>
            <c:bubble3D val="0"/>
            <c:spPr>
              <a:solidFill>
                <a:srgbClr val="FF0000"/>
              </a:solidFill>
            </c:spPr>
            <c:extLst>
              <c:ext xmlns:c16="http://schemas.microsoft.com/office/drawing/2014/chart" uri="{C3380CC4-5D6E-409C-BE32-E72D297353CC}">
                <c16:uniqueId val="{00000003-6C4D-4A39-95A7-99D0C0B9B05C}"/>
              </c:ext>
            </c:extLst>
          </c:dPt>
          <c:dPt>
            <c:idx val="3"/>
            <c:invertIfNegative val="0"/>
            <c:bubble3D val="0"/>
            <c:spPr>
              <a:solidFill>
                <a:srgbClr val="FF0000"/>
              </a:solidFill>
            </c:spPr>
            <c:extLst>
              <c:ext xmlns:c16="http://schemas.microsoft.com/office/drawing/2014/chart" uri="{C3380CC4-5D6E-409C-BE32-E72D297353CC}">
                <c16:uniqueId val="{00000004-6C4D-4A39-95A7-99D0C0B9B05C}"/>
              </c:ext>
            </c:extLst>
          </c:dPt>
          <c:dPt>
            <c:idx val="4"/>
            <c:invertIfNegative val="0"/>
            <c:bubble3D val="0"/>
            <c:spPr>
              <a:solidFill>
                <a:srgbClr val="FF0000"/>
              </a:solidFill>
            </c:spPr>
            <c:extLst>
              <c:ext xmlns:c16="http://schemas.microsoft.com/office/drawing/2014/chart" uri="{C3380CC4-5D6E-409C-BE32-E72D297353CC}">
                <c16:uniqueId val="{00000005-6C4D-4A39-95A7-99D0C0B9B05C}"/>
              </c:ext>
            </c:extLst>
          </c:dPt>
          <c:dPt>
            <c:idx val="5"/>
            <c:invertIfNegative val="0"/>
            <c:bubble3D val="0"/>
            <c:spPr>
              <a:solidFill>
                <a:srgbClr val="FF0000"/>
              </a:solidFill>
            </c:spPr>
            <c:extLst>
              <c:ext xmlns:c16="http://schemas.microsoft.com/office/drawing/2014/chart" uri="{C3380CC4-5D6E-409C-BE32-E72D297353CC}">
                <c16:uniqueId val="{00000006-6C4D-4A39-95A7-99D0C0B9B05C}"/>
              </c:ext>
            </c:extLst>
          </c:dPt>
          <c:dPt>
            <c:idx val="6"/>
            <c:invertIfNegative val="0"/>
            <c:bubble3D val="0"/>
            <c:spPr>
              <a:solidFill>
                <a:srgbClr val="FF0000"/>
              </a:solidFill>
            </c:spPr>
            <c:extLst>
              <c:ext xmlns:c16="http://schemas.microsoft.com/office/drawing/2014/chart" uri="{C3380CC4-5D6E-409C-BE32-E72D297353CC}">
                <c16:uniqueId val="{00000007-6C4D-4A39-95A7-99D0C0B9B05C}"/>
              </c:ext>
            </c:extLst>
          </c:dPt>
          <c:dPt>
            <c:idx val="7"/>
            <c:invertIfNegative val="0"/>
            <c:bubble3D val="0"/>
            <c:spPr>
              <a:solidFill>
                <a:schemeClr val="bg1">
                  <a:lumMod val="65000"/>
                </a:schemeClr>
              </a:solidFill>
            </c:spPr>
            <c:extLst>
              <c:ext xmlns:c16="http://schemas.microsoft.com/office/drawing/2014/chart" uri="{C3380CC4-5D6E-409C-BE32-E72D297353CC}">
                <c16:uniqueId val="{00000008-6C4D-4A39-95A7-99D0C0B9B05C}"/>
              </c:ext>
            </c:extLst>
          </c:dPt>
          <c:dPt>
            <c:idx val="8"/>
            <c:invertIfNegative val="0"/>
            <c:bubble3D val="0"/>
            <c:spPr>
              <a:solidFill>
                <a:schemeClr val="bg1">
                  <a:lumMod val="65000"/>
                </a:schemeClr>
              </a:solidFill>
            </c:spPr>
            <c:extLst>
              <c:ext xmlns:c16="http://schemas.microsoft.com/office/drawing/2014/chart" uri="{C3380CC4-5D6E-409C-BE32-E72D297353CC}">
                <c16:uniqueId val="{00000009-6C4D-4A39-95A7-99D0C0B9B05C}"/>
              </c:ext>
            </c:extLst>
          </c:dPt>
          <c:dPt>
            <c:idx val="9"/>
            <c:invertIfNegative val="0"/>
            <c:bubble3D val="0"/>
            <c:spPr>
              <a:solidFill>
                <a:schemeClr val="bg1">
                  <a:lumMod val="65000"/>
                </a:schemeClr>
              </a:solidFill>
            </c:spPr>
            <c:extLst>
              <c:ext xmlns:c16="http://schemas.microsoft.com/office/drawing/2014/chart" uri="{C3380CC4-5D6E-409C-BE32-E72D297353CC}">
                <c16:uniqueId val="{0000000A-6C4D-4A39-95A7-99D0C0B9B05C}"/>
              </c:ext>
            </c:extLst>
          </c:dPt>
          <c:dPt>
            <c:idx val="10"/>
            <c:invertIfNegative val="0"/>
            <c:bubble3D val="0"/>
            <c:spPr>
              <a:solidFill>
                <a:schemeClr val="bg1">
                  <a:lumMod val="65000"/>
                </a:schemeClr>
              </a:solidFill>
            </c:spPr>
            <c:extLst>
              <c:ext xmlns:c16="http://schemas.microsoft.com/office/drawing/2014/chart" uri="{C3380CC4-5D6E-409C-BE32-E72D297353CC}">
                <c16:uniqueId val="{0000000B-6C4D-4A39-95A7-99D0C0B9B05C}"/>
              </c:ext>
            </c:extLst>
          </c:dPt>
          <c:dPt>
            <c:idx val="11"/>
            <c:invertIfNegative val="0"/>
            <c:bubble3D val="0"/>
            <c:spPr>
              <a:solidFill>
                <a:schemeClr val="bg1">
                  <a:lumMod val="65000"/>
                </a:schemeClr>
              </a:solidFill>
            </c:spPr>
            <c:extLst>
              <c:ext xmlns:c16="http://schemas.microsoft.com/office/drawing/2014/chart" uri="{C3380CC4-5D6E-409C-BE32-E72D297353CC}">
                <c16:uniqueId val="{0000000C-6C4D-4A39-95A7-99D0C0B9B05C}"/>
              </c:ext>
            </c:extLst>
          </c:dPt>
          <c:dPt>
            <c:idx val="14"/>
            <c:invertIfNegative val="0"/>
            <c:bubble3D val="0"/>
            <c:spPr>
              <a:solidFill>
                <a:srgbClr val="92D050"/>
              </a:solidFill>
            </c:spPr>
            <c:extLst>
              <c:ext xmlns:c16="http://schemas.microsoft.com/office/drawing/2014/chart" uri="{C3380CC4-5D6E-409C-BE32-E72D297353CC}">
                <c16:uniqueId val="{0000000D-6C4D-4A39-95A7-99D0C0B9B05C}"/>
              </c:ext>
            </c:extLst>
          </c:dPt>
          <c:dPt>
            <c:idx val="15"/>
            <c:invertIfNegative val="0"/>
            <c:bubble3D val="0"/>
            <c:spPr>
              <a:solidFill>
                <a:srgbClr val="92D050"/>
              </a:solidFill>
            </c:spPr>
            <c:extLst>
              <c:ext xmlns:c16="http://schemas.microsoft.com/office/drawing/2014/chart" uri="{C3380CC4-5D6E-409C-BE32-E72D297353CC}">
                <c16:uniqueId val="{0000000E-6C4D-4A39-95A7-99D0C0B9B05C}"/>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6C4D-4A39-95A7-99D0C0B9B05C}"/>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6C4D-4A39-95A7-99D0C0B9B05C}"/>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6C4D-4A39-95A7-99D0C0B9B05C}"/>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6C4D-4A39-95A7-99D0C0B9B05C}"/>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6C4D-4A39-95A7-99D0C0B9B05C}"/>
              </c:ext>
            </c:extLst>
          </c:dPt>
          <c:dLbls>
            <c:dLbl>
              <c:idx val="0"/>
              <c:tx>
                <c:rich>
                  <a:bodyPr/>
                  <a:lstStyle/>
                  <a:p>
                    <a:fld id="{C2186DD1-B803-47D5-9DCD-B693F6EC04A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C4D-4A39-95A7-99D0C0B9B05C}"/>
                </c:ext>
              </c:extLst>
            </c:dLbl>
            <c:dLbl>
              <c:idx val="1"/>
              <c:tx>
                <c:rich>
                  <a:bodyPr/>
                  <a:lstStyle/>
                  <a:p>
                    <a:fld id="{AAD96CB8-69EC-4A3A-87AF-85F09A309F2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C4D-4A39-95A7-99D0C0B9B05C}"/>
                </c:ext>
              </c:extLst>
            </c:dLbl>
            <c:dLbl>
              <c:idx val="2"/>
              <c:tx>
                <c:rich>
                  <a:bodyPr/>
                  <a:lstStyle/>
                  <a:p>
                    <a:fld id="{841A6F77-0B76-4C9D-81A3-96B818DC317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C4D-4A39-95A7-99D0C0B9B05C}"/>
                </c:ext>
              </c:extLst>
            </c:dLbl>
            <c:dLbl>
              <c:idx val="3"/>
              <c:tx>
                <c:rich>
                  <a:bodyPr/>
                  <a:lstStyle/>
                  <a:p>
                    <a:fld id="{A411B97F-3B87-4E39-8EB6-69C3F815739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C4D-4A39-95A7-99D0C0B9B05C}"/>
                </c:ext>
              </c:extLst>
            </c:dLbl>
            <c:dLbl>
              <c:idx val="4"/>
              <c:tx>
                <c:rich>
                  <a:bodyPr/>
                  <a:lstStyle/>
                  <a:p>
                    <a:fld id="{85DCD472-746E-4DA8-9D05-3165CF674D4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C4D-4A39-95A7-99D0C0B9B05C}"/>
                </c:ext>
              </c:extLst>
            </c:dLbl>
            <c:dLbl>
              <c:idx val="5"/>
              <c:tx>
                <c:rich>
                  <a:bodyPr/>
                  <a:lstStyle/>
                  <a:p>
                    <a:fld id="{D78BFFD7-337B-4D3D-BD8D-CD2AC78AEB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C4D-4A39-95A7-99D0C0B9B05C}"/>
                </c:ext>
              </c:extLst>
            </c:dLbl>
            <c:dLbl>
              <c:idx val="6"/>
              <c:tx>
                <c:rich>
                  <a:bodyPr/>
                  <a:lstStyle/>
                  <a:p>
                    <a:fld id="{3A0BBA96-1614-4FA0-AA62-DE484A407F5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C4D-4A39-95A7-99D0C0B9B05C}"/>
                </c:ext>
              </c:extLst>
            </c:dLbl>
            <c:dLbl>
              <c:idx val="7"/>
              <c:tx>
                <c:rich>
                  <a:bodyPr/>
                  <a:lstStyle/>
                  <a:p>
                    <a:fld id="{37410C2F-36EB-4B7B-A44F-4A6DE2F0EC8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C4D-4A39-95A7-99D0C0B9B05C}"/>
                </c:ext>
              </c:extLst>
            </c:dLbl>
            <c:dLbl>
              <c:idx val="8"/>
              <c:tx>
                <c:rich>
                  <a:bodyPr/>
                  <a:lstStyle/>
                  <a:p>
                    <a:fld id="{01560841-568B-4E9A-986A-CD61B30868F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C4D-4A39-95A7-99D0C0B9B05C}"/>
                </c:ext>
              </c:extLst>
            </c:dLbl>
            <c:dLbl>
              <c:idx val="9"/>
              <c:tx>
                <c:rich>
                  <a:bodyPr/>
                  <a:lstStyle/>
                  <a:p>
                    <a:fld id="{9F120AF8-E747-4140-A1C4-A7DAE31F2D3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C4D-4A39-95A7-99D0C0B9B05C}"/>
                </c:ext>
              </c:extLst>
            </c:dLbl>
            <c:dLbl>
              <c:idx val="10"/>
              <c:tx>
                <c:rich>
                  <a:bodyPr/>
                  <a:lstStyle/>
                  <a:p>
                    <a:fld id="{E9EECEDE-62E1-49D5-A5CA-BA3255110A3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C4D-4A39-95A7-99D0C0B9B05C}"/>
                </c:ext>
              </c:extLst>
            </c:dLbl>
            <c:dLbl>
              <c:idx val="11"/>
              <c:tx>
                <c:rich>
                  <a:bodyPr/>
                  <a:lstStyle/>
                  <a:p>
                    <a:fld id="{55631DF6-E142-4AAB-ADA8-BBD4CA94F19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C4D-4A39-95A7-99D0C0B9B05C}"/>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6C4D-4A39-95A7-99D0C0B9B05C}"/>
                </c:ext>
              </c:extLst>
            </c:dLbl>
            <c:dLbl>
              <c:idx val="13"/>
              <c:tx>
                <c:rich>
                  <a:bodyPr/>
                  <a:lstStyle/>
                  <a:p>
                    <a:fld id="{9829311D-1CCC-4C1E-93B2-DCC86293F5A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C4D-4A39-95A7-99D0C0B9B05C}"/>
                </c:ext>
              </c:extLst>
            </c:dLbl>
            <c:dLbl>
              <c:idx val="14"/>
              <c:tx>
                <c:rich>
                  <a:bodyPr/>
                  <a:lstStyle/>
                  <a:p>
                    <a:fld id="{0945B5F8-907C-4420-8A72-EB043352B4B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C4D-4A39-95A7-99D0C0B9B05C}"/>
                </c:ext>
              </c:extLst>
            </c:dLbl>
            <c:dLbl>
              <c:idx val="15"/>
              <c:tx>
                <c:rich>
                  <a:bodyPr/>
                  <a:lstStyle/>
                  <a:p>
                    <a:fld id="{F6815113-046C-46CB-82A3-968AA71BA52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C4D-4A39-95A7-99D0C0B9B05C}"/>
                </c:ext>
              </c:extLst>
            </c:dLbl>
            <c:dLbl>
              <c:idx val="16"/>
              <c:tx>
                <c:rich>
                  <a:bodyPr/>
                  <a:lstStyle/>
                  <a:p>
                    <a:fld id="{C4BB5FA9-FA1F-4CC4-A136-7BFA75FF2A9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C4D-4A39-95A7-99D0C0B9B05C}"/>
                </c:ext>
              </c:extLst>
            </c:dLbl>
            <c:dLbl>
              <c:idx val="17"/>
              <c:tx>
                <c:rich>
                  <a:bodyPr/>
                  <a:lstStyle/>
                  <a:p>
                    <a:fld id="{5E81CEA7-6A2B-4003-9227-B919D94A8D4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C4D-4A39-95A7-99D0C0B9B05C}"/>
                </c:ext>
              </c:extLst>
            </c:dLbl>
            <c:dLbl>
              <c:idx val="18"/>
              <c:tx>
                <c:rich>
                  <a:bodyPr/>
                  <a:lstStyle/>
                  <a:p>
                    <a:fld id="{20B74681-9814-41CE-BEF0-838E36B5000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C4D-4A39-95A7-99D0C0B9B05C}"/>
                </c:ext>
              </c:extLst>
            </c:dLbl>
            <c:dLbl>
              <c:idx val="19"/>
              <c:tx>
                <c:rich>
                  <a:bodyPr/>
                  <a:lstStyle/>
                  <a:p>
                    <a:fld id="{1FA509A1-D21D-4B37-AEFD-F6523DA16C4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C4D-4A39-95A7-99D0C0B9B05C}"/>
                </c:ext>
              </c:extLst>
            </c:dLbl>
            <c:dLbl>
              <c:idx val="20"/>
              <c:tx>
                <c:rich>
                  <a:bodyPr/>
                  <a:lstStyle/>
                  <a:p>
                    <a:fld id="{92A74108-1352-4BC8-BDF2-CBA2CD0AA25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C4D-4A39-95A7-99D0C0B9B05C}"/>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1.4246570784880419E-2</c:v>
                  </c:pt>
                  <c:pt idx="1">
                    <c:v>2.5443155941506475E-2</c:v>
                  </c:pt>
                  <c:pt idx="2">
                    <c:v>3.0535771451765163E-2</c:v>
                  </c:pt>
                  <c:pt idx="3">
                    <c:v>0.10252585398537703</c:v>
                  </c:pt>
                  <c:pt idx="4">
                    <c:v>0.227273004435538</c:v>
                  </c:pt>
                  <c:pt idx="5">
                    <c:v>0.25148004331590296</c:v>
                  </c:pt>
                  <c:pt idx="6">
                    <c:v>0.40461985287980812</c:v>
                  </c:pt>
                  <c:pt idx="7">
                    <c:v>1.3098594329475148E-2</c:v>
                  </c:pt>
                  <c:pt idx="8">
                    <c:v>2.1196704757373331E-2</c:v>
                  </c:pt>
                  <c:pt idx="9">
                    <c:v>2.4915792447878119E-2</c:v>
                  </c:pt>
                  <c:pt idx="10">
                    <c:v>1.4600583781992261E-2</c:v>
                  </c:pt>
                  <c:pt idx="11">
                    <c:v>1.7932352181398614E-2</c:v>
                  </c:pt>
                  <c:pt idx="13">
                    <c:v>0.16118982268781412</c:v>
                  </c:pt>
                  <c:pt idx="14">
                    <c:v>0.12300161751258605</c:v>
                  </c:pt>
                  <c:pt idx="15">
                    <c:v>2.9451720647060767E-2</c:v>
                  </c:pt>
                  <c:pt idx="16">
                    <c:v>0.14110318758334067</c:v>
                  </c:pt>
                  <c:pt idx="17">
                    <c:v>0.22792398497694547</c:v>
                  </c:pt>
                  <c:pt idx="18">
                    <c:v>0.21379214307441807</c:v>
                  </c:pt>
                  <c:pt idx="19">
                    <c:v>8.8466970063346001E-2</c:v>
                  </c:pt>
                  <c:pt idx="20">
                    <c:v>0.15699071724998767</c:v>
                  </c:pt>
                </c:numCache>
              </c:numRef>
            </c:plus>
            <c:minus>
              <c:numRef>
                <c:f>'R1'!$N$48:$V$48</c:f>
                <c:numCache>
                  <c:formatCode>General</c:formatCode>
                  <c:ptCount val="9"/>
                  <c:pt idx="0">
                    <c:v>0</c:v>
                  </c:pt>
                  <c:pt idx="1">
                    <c:v>0.16118982268781412</c:v>
                  </c:pt>
                  <c:pt idx="2">
                    <c:v>0.12300161751258605</c:v>
                  </c:pt>
                  <c:pt idx="3">
                    <c:v>2.9451720647060767E-2</c:v>
                  </c:pt>
                  <c:pt idx="4">
                    <c:v>0.14110318758334067</c:v>
                  </c:pt>
                  <c:pt idx="5">
                    <c:v>0.22792398497694547</c:v>
                  </c:pt>
                  <c:pt idx="6">
                    <c:v>0.21379214307441807</c:v>
                  </c:pt>
                  <c:pt idx="7">
                    <c:v>8.8466970063346001E-2</c:v>
                  </c:pt>
                  <c:pt idx="8">
                    <c:v>0.15699071724998767</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Cefuroxime 0,001mg/L</c:v>
                </c:pt>
                <c:pt idx="8">
                  <c:v>Cefuroxime 0,01mg/L</c:v>
                </c:pt>
                <c:pt idx="9">
                  <c:v>Cefuroxime 0,1mg/L</c:v>
                </c:pt>
                <c:pt idx="10">
                  <c:v>Cefuroxime 1mg/L</c:v>
                </c:pt>
                <c:pt idx="11">
                  <c:v>Cefuroxime 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'R1'!$B$53:$V$53</c:f>
              <c:numCache>
                <c:formatCode>0.0000</c:formatCode>
                <c:ptCount val="21"/>
                <c:pt idx="0">
                  <c:v>3.8644551872058557E-2</c:v>
                </c:pt>
                <c:pt idx="1">
                  <c:v>0.10392832216524796</c:v>
                </c:pt>
                <c:pt idx="2">
                  <c:v>0.10824765024301833</c:v>
                </c:pt>
                <c:pt idx="3">
                  <c:v>0.35732143989198289</c:v>
                </c:pt>
                <c:pt idx="4">
                  <c:v>1.1865853313863644</c:v>
                </c:pt>
                <c:pt idx="5">
                  <c:v>1.6088132094508927</c:v>
                </c:pt>
                <c:pt idx="6">
                  <c:v>2.4849320506953645</c:v>
                </c:pt>
                <c:pt idx="7">
                  <c:v>7.1963612392650589E-2</c:v>
                </c:pt>
                <c:pt idx="8">
                  <c:v>8.2550271022514596E-2</c:v>
                </c:pt>
                <c:pt idx="9">
                  <c:v>0.11469510051558349</c:v>
                </c:pt>
                <c:pt idx="10">
                  <c:v>5.9841304488823771E-2</c:v>
                </c:pt>
                <c:pt idx="11">
                  <c:v>7.1071995584412781E-2</c:v>
                </c:pt>
                <c:pt idx="13">
                  <c:v>1</c:v>
                </c:pt>
                <c:pt idx="14">
                  <c:v>1.8136749752584564</c:v>
                </c:pt>
                <c:pt idx="15">
                  <c:v>0.1137932062325575</c:v>
                </c:pt>
                <c:pt idx="16">
                  <c:v>1.473524368112398</c:v>
                </c:pt>
                <c:pt idx="17">
                  <c:v>1.2291192552268868</c:v>
                </c:pt>
                <c:pt idx="18">
                  <c:v>1.3065955427273994</c:v>
                </c:pt>
                <c:pt idx="19">
                  <c:v>1.4614983351888318</c:v>
                </c:pt>
                <c:pt idx="20">
                  <c:v>1.2692940901687821</c:v>
                </c:pt>
              </c:numCache>
            </c:numRef>
          </c:val>
          <c:extLst>
            <c:ext xmlns:c15="http://schemas.microsoft.com/office/drawing/2012/chart" uri="{02D57815-91ED-43cb-92C2-25804820EDAC}">
              <c15:datalabelsRange>
                <c15:f>'R1'!$B$61:$V$61</c15:f>
                <c15:dlblRangeCache>
                  <c:ptCount val="21"/>
                  <c:pt idx="1">
                    <c:v>NS</c:v>
                  </c:pt>
                  <c:pt idx="2">
                    <c:v>NS</c:v>
                  </c:pt>
                  <c:pt idx="3">
                    <c:v>NS</c:v>
                  </c:pt>
                  <c:pt idx="4">
                    <c:v>***</c:v>
                  </c:pt>
                  <c:pt idx="5">
                    <c:v>***</c:v>
                  </c:pt>
                  <c:pt idx="6">
                    <c:v>***</c:v>
                  </c:pt>
                  <c:pt idx="7">
                    <c:v>NS</c:v>
                  </c:pt>
                  <c:pt idx="8">
                    <c:v>NS</c:v>
                  </c:pt>
                  <c:pt idx="9">
                    <c:v>*</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9"/>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FF73-482F-A5E7-C1E238B8905E}"/>
              </c:ext>
            </c:extLst>
          </c:dPt>
          <c:dPt>
            <c:idx val="1"/>
            <c:invertIfNegative val="0"/>
            <c:bubble3D val="0"/>
            <c:spPr>
              <a:solidFill>
                <a:srgbClr val="FF0000"/>
              </a:solidFill>
            </c:spPr>
            <c:extLst>
              <c:ext xmlns:c16="http://schemas.microsoft.com/office/drawing/2014/chart" uri="{C3380CC4-5D6E-409C-BE32-E72D297353CC}">
                <c16:uniqueId val="{00000018-FF73-482F-A5E7-C1E238B8905E}"/>
              </c:ext>
            </c:extLst>
          </c:dPt>
          <c:dPt>
            <c:idx val="2"/>
            <c:invertIfNegative val="0"/>
            <c:bubble3D val="0"/>
            <c:spPr>
              <a:solidFill>
                <a:srgbClr val="FF0000"/>
              </a:solidFill>
            </c:spPr>
            <c:extLst>
              <c:ext xmlns:c16="http://schemas.microsoft.com/office/drawing/2014/chart" uri="{C3380CC4-5D6E-409C-BE32-E72D297353CC}">
                <c16:uniqueId val="{00000019-FF73-482F-A5E7-C1E238B8905E}"/>
              </c:ext>
            </c:extLst>
          </c:dPt>
          <c:dPt>
            <c:idx val="3"/>
            <c:invertIfNegative val="0"/>
            <c:bubble3D val="0"/>
            <c:spPr>
              <a:solidFill>
                <a:srgbClr val="FF0000"/>
              </a:solidFill>
            </c:spPr>
            <c:extLst>
              <c:ext xmlns:c16="http://schemas.microsoft.com/office/drawing/2014/chart" uri="{C3380CC4-5D6E-409C-BE32-E72D297353CC}">
                <c16:uniqueId val="{0000001A-FF73-482F-A5E7-C1E238B8905E}"/>
              </c:ext>
            </c:extLst>
          </c:dPt>
          <c:dPt>
            <c:idx val="4"/>
            <c:invertIfNegative val="0"/>
            <c:bubble3D val="0"/>
            <c:spPr>
              <a:solidFill>
                <a:srgbClr val="FF0000"/>
              </a:solidFill>
            </c:spPr>
            <c:extLst>
              <c:ext xmlns:c16="http://schemas.microsoft.com/office/drawing/2014/chart" uri="{C3380CC4-5D6E-409C-BE32-E72D297353CC}">
                <c16:uniqueId val="{0000001B-FF73-482F-A5E7-C1E238B8905E}"/>
              </c:ext>
            </c:extLst>
          </c:dPt>
          <c:dPt>
            <c:idx val="5"/>
            <c:invertIfNegative val="0"/>
            <c:bubble3D val="0"/>
            <c:spPr>
              <a:solidFill>
                <a:srgbClr val="FF0000"/>
              </a:solidFill>
            </c:spPr>
            <c:extLst>
              <c:ext xmlns:c16="http://schemas.microsoft.com/office/drawing/2014/chart" uri="{C3380CC4-5D6E-409C-BE32-E72D297353CC}">
                <c16:uniqueId val="{0000001C-FF73-482F-A5E7-C1E238B8905E}"/>
              </c:ext>
            </c:extLst>
          </c:dPt>
          <c:dPt>
            <c:idx val="6"/>
            <c:invertIfNegative val="0"/>
            <c:bubble3D val="0"/>
            <c:spPr>
              <a:solidFill>
                <a:srgbClr val="FF0000"/>
              </a:solidFill>
            </c:spPr>
            <c:extLst>
              <c:ext xmlns:c16="http://schemas.microsoft.com/office/drawing/2014/chart" uri="{C3380CC4-5D6E-409C-BE32-E72D297353CC}">
                <c16:uniqueId val="{0000001D-FF73-482F-A5E7-C1E238B8905E}"/>
              </c:ext>
            </c:extLst>
          </c:dPt>
          <c:dPt>
            <c:idx val="7"/>
            <c:invertIfNegative val="0"/>
            <c:bubble3D val="0"/>
            <c:spPr>
              <a:solidFill>
                <a:schemeClr val="bg1">
                  <a:lumMod val="65000"/>
                </a:schemeClr>
              </a:solidFill>
            </c:spPr>
            <c:extLst>
              <c:ext xmlns:c16="http://schemas.microsoft.com/office/drawing/2014/chart" uri="{C3380CC4-5D6E-409C-BE32-E72D297353CC}">
                <c16:uniqueId val="{0000001E-FF73-482F-A5E7-C1E238B8905E}"/>
              </c:ext>
            </c:extLst>
          </c:dPt>
          <c:dPt>
            <c:idx val="8"/>
            <c:invertIfNegative val="0"/>
            <c:bubble3D val="0"/>
            <c:spPr>
              <a:solidFill>
                <a:schemeClr val="bg1">
                  <a:lumMod val="65000"/>
                </a:schemeClr>
              </a:solidFill>
            </c:spPr>
            <c:extLst>
              <c:ext xmlns:c16="http://schemas.microsoft.com/office/drawing/2014/chart" uri="{C3380CC4-5D6E-409C-BE32-E72D297353CC}">
                <c16:uniqueId val="{0000001F-FF73-482F-A5E7-C1E238B8905E}"/>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6-FF73-482F-A5E7-C1E238B8905E}"/>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0-FF73-482F-A5E7-C1E238B8905E}"/>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1-FF73-482F-A5E7-C1E238B8905E}"/>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2-FF73-482F-A5E7-C1E238B8905E}"/>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FF73-482F-A5E7-C1E238B8905E}"/>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4-FF73-482F-A5E7-C1E238B8905E}"/>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5-FF73-482F-A5E7-C1E238B8905E}"/>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EF266D7C-5492-44F6-A134-80D223064D8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F73-482F-A5E7-C1E238B8905E}"/>
                </c:ext>
              </c:extLst>
            </c:dLbl>
            <c:dLbl>
              <c:idx val="1"/>
              <c:tx>
                <c:rich>
                  <a:bodyPr/>
                  <a:lstStyle/>
                  <a:p>
                    <a:fld id="{C3953E92-9ED6-4047-9414-D9281874FEB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F73-482F-A5E7-C1E238B8905E}"/>
                </c:ext>
              </c:extLst>
            </c:dLbl>
            <c:dLbl>
              <c:idx val="2"/>
              <c:tx>
                <c:rich>
                  <a:bodyPr/>
                  <a:lstStyle/>
                  <a:p>
                    <a:fld id="{8455AE2B-6B74-4461-8F6D-0873A1E334C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F73-482F-A5E7-C1E238B8905E}"/>
                </c:ext>
              </c:extLst>
            </c:dLbl>
            <c:dLbl>
              <c:idx val="3"/>
              <c:tx>
                <c:rich>
                  <a:bodyPr/>
                  <a:lstStyle/>
                  <a:p>
                    <a:fld id="{D74D53ED-867E-4E20-979F-B7A0A4D1B61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F73-482F-A5E7-C1E238B8905E}"/>
                </c:ext>
              </c:extLst>
            </c:dLbl>
            <c:dLbl>
              <c:idx val="4"/>
              <c:tx>
                <c:rich>
                  <a:bodyPr/>
                  <a:lstStyle/>
                  <a:p>
                    <a:fld id="{84A6BFF3-1138-4F2C-833C-15D8E4BAA51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F73-482F-A5E7-C1E238B8905E}"/>
                </c:ext>
              </c:extLst>
            </c:dLbl>
            <c:dLbl>
              <c:idx val="5"/>
              <c:tx>
                <c:rich>
                  <a:bodyPr/>
                  <a:lstStyle/>
                  <a:p>
                    <a:fld id="{69E1D605-71E2-4469-A628-6ABA58A583E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F73-482F-A5E7-C1E238B8905E}"/>
                </c:ext>
              </c:extLst>
            </c:dLbl>
            <c:dLbl>
              <c:idx val="6"/>
              <c:tx>
                <c:rich>
                  <a:bodyPr/>
                  <a:lstStyle/>
                  <a:p>
                    <a:fld id="{87B42918-0EA6-4E41-AFDB-C87C60F242C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F73-482F-A5E7-C1E238B8905E}"/>
                </c:ext>
              </c:extLst>
            </c:dLbl>
            <c:dLbl>
              <c:idx val="7"/>
              <c:tx>
                <c:rich>
                  <a:bodyPr/>
                  <a:lstStyle/>
                  <a:p>
                    <a:fld id="{108F3D6F-BE3C-4803-A7F1-6391822414C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F73-482F-A5E7-C1E238B8905E}"/>
                </c:ext>
              </c:extLst>
            </c:dLbl>
            <c:dLbl>
              <c:idx val="8"/>
              <c:tx>
                <c:rich>
                  <a:bodyPr/>
                  <a:lstStyle/>
                  <a:p>
                    <a:fld id="{5EE98949-39EA-4422-ACD6-78CA2F09ACC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F73-482F-A5E7-C1E238B8905E}"/>
                </c:ext>
              </c:extLst>
            </c:dLbl>
            <c:dLbl>
              <c:idx val="9"/>
              <c:tx>
                <c:rich>
                  <a:bodyPr/>
                  <a:lstStyle/>
                  <a:p>
                    <a:fld id="{CFA9945D-6B79-4006-AC85-78F0389FC84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80E7ADB0-57D7-4398-A405-2ED6E65DFA2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F73-482F-A5E7-C1E238B8905E}"/>
                </c:ext>
              </c:extLst>
            </c:dLbl>
            <c:dLbl>
              <c:idx val="11"/>
              <c:tx>
                <c:rich>
                  <a:bodyPr/>
                  <a:lstStyle/>
                  <a:p>
                    <a:fld id="{3C00F632-116E-4E2E-A4AA-89D649DF738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FF73-482F-A5E7-C1E238B8905E}"/>
                </c:ext>
              </c:extLst>
            </c:dLbl>
            <c:dLbl>
              <c:idx val="13"/>
              <c:tx>
                <c:rich>
                  <a:bodyPr/>
                  <a:lstStyle/>
                  <a:p>
                    <a:fld id="{5E6C783A-B7C4-46BA-A72E-16DD4AC975D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E004A504-62B0-4EEE-BCC9-7D36AF9E2BB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F73-482F-A5E7-C1E238B8905E}"/>
                </c:ext>
              </c:extLst>
            </c:dLbl>
            <c:dLbl>
              <c:idx val="15"/>
              <c:tx>
                <c:rich>
                  <a:bodyPr/>
                  <a:lstStyle/>
                  <a:p>
                    <a:fld id="{E278416E-52C4-4372-B921-10C3A248F8B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E6621627-AEF0-4E54-B60E-7C31802FDE0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FF73-482F-A5E7-C1E238B8905E}"/>
                </c:ext>
              </c:extLst>
            </c:dLbl>
            <c:dLbl>
              <c:idx val="17"/>
              <c:tx>
                <c:rich>
                  <a:bodyPr/>
                  <a:lstStyle/>
                  <a:p>
                    <a:fld id="{E6C537E7-49C8-4774-8370-7C5D43DC77B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F73-482F-A5E7-C1E238B8905E}"/>
                </c:ext>
              </c:extLst>
            </c:dLbl>
            <c:dLbl>
              <c:idx val="18"/>
              <c:tx>
                <c:rich>
                  <a:bodyPr/>
                  <a:lstStyle/>
                  <a:p>
                    <a:fld id="{A3F72C9D-9224-4CA1-B334-50ADC35DAF6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F73-482F-A5E7-C1E238B8905E}"/>
                </c:ext>
              </c:extLst>
            </c:dLbl>
            <c:dLbl>
              <c:idx val="19"/>
              <c:tx>
                <c:rich>
                  <a:bodyPr/>
                  <a:lstStyle/>
                  <a:p>
                    <a:fld id="{37FC85C0-04EC-446B-98A3-0A287CFFACE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F73-482F-A5E7-C1E238B8905E}"/>
                </c:ext>
              </c:extLst>
            </c:dLbl>
            <c:dLbl>
              <c:idx val="20"/>
              <c:tx>
                <c:rich>
                  <a:bodyPr/>
                  <a:lstStyle/>
                  <a:p>
                    <a:fld id="{96CAFDD1-DFE8-4CE9-B634-6BEC32C4B73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F73-482F-A5E7-C1E238B8905E}"/>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1.4684619118715221E-2</c:v>
                  </c:pt>
                  <c:pt idx="1">
                    <c:v>2.4064526364407854E-2</c:v>
                  </c:pt>
                  <c:pt idx="2">
                    <c:v>3.0078694096317648E-2</c:v>
                  </c:pt>
                  <c:pt idx="3">
                    <c:v>0.13689248886163141</c:v>
                  </c:pt>
                  <c:pt idx="4">
                    <c:v>0.12932698062418541</c:v>
                  </c:pt>
                  <c:pt idx="5">
                    <c:v>0.16011883363843288</c:v>
                  </c:pt>
                  <c:pt idx="6">
                    <c:v>0.18811197621792608</c:v>
                  </c:pt>
                  <c:pt idx="7">
                    <c:v>1.8373774103014422E-2</c:v>
                  </c:pt>
                  <c:pt idx="8">
                    <c:v>2.0148182894950316E-2</c:v>
                  </c:pt>
                  <c:pt idx="9">
                    <c:v>1.0172537395063703E-2</c:v>
                  </c:pt>
                  <c:pt idx="10">
                    <c:v>1.6325979096267134E-2</c:v>
                  </c:pt>
                  <c:pt idx="11">
                    <c:v>1.6197276977503079E-2</c:v>
                  </c:pt>
                  <c:pt idx="13">
                    <c:v>0.1601663172751821</c:v>
                  </c:pt>
                  <c:pt idx="14">
                    <c:v>0.20439598024126013</c:v>
                  </c:pt>
                  <c:pt idx="15">
                    <c:v>3.2649506484044528E-2</c:v>
                  </c:pt>
                  <c:pt idx="16">
                    <c:v>0.10803085619617321</c:v>
                  </c:pt>
                  <c:pt idx="17">
                    <c:v>0.18541586821334932</c:v>
                  </c:pt>
                  <c:pt idx="18">
                    <c:v>0.11193001562834241</c:v>
                  </c:pt>
                  <c:pt idx="19">
                    <c:v>0.16347852213676958</c:v>
                  </c:pt>
                  <c:pt idx="20">
                    <c:v>0.15920091904992487</c:v>
                  </c:pt>
                </c:numCache>
              </c:numRef>
            </c:plus>
            <c:minus>
              <c:numRef>
                <c:f>'R1'!$N$48:$V$48</c:f>
                <c:numCache>
                  <c:formatCode>General</c:formatCode>
                  <c:ptCount val="9"/>
                  <c:pt idx="0">
                    <c:v>0</c:v>
                  </c:pt>
                  <c:pt idx="1">
                    <c:v>0.16118982268781412</c:v>
                  </c:pt>
                  <c:pt idx="2">
                    <c:v>0.12300161751258605</c:v>
                  </c:pt>
                  <c:pt idx="3">
                    <c:v>2.9451720647060767E-2</c:v>
                  </c:pt>
                  <c:pt idx="4">
                    <c:v>0.14110318758334067</c:v>
                  </c:pt>
                  <c:pt idx="5">
                    <c:v>0.22792398497694547</c:v>
                  </c:pt>
                  <c:pt idx="6">
                    <c:v>0.21379214307441807</c:v>
                  </c:pt>
                  <c:pt idx="7">
                    <c:v>8.8466970063346001E-2</c:v>
                  </c:pt>
                  <c:pt idx="8">
                    <c:v>0.15699071724998767</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Cefuroxime 0,001mg/L</c:v>
                </c:pt>
                <c:pt idx="8">
                  <c:v>Cefuroxime 0,01mg/L</c:v>
                </c:pt>
                <c:pt idx="9">
                  <c:v>Cefuroxime 0,1mg/L</c:v>
                </c:pt>
                <c:pt idx="10">
                  <c:v>Cefuroxime 1mg/L</c:v>
                </c:pt>
                <c:pt idx="11">
                  <c:v>Cefuroxime 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'R2'!$B$53:$V$53</c:f>
              <c:numCache>
                <c:formatCode>0.0000</c:formatCode>
                <c:ptCount val="21"/>
                <c:pt idx="0">
                  <c:v>6.1903676648707766E-2</c:v>
                </c:pt>
                <c:pt idx="1">
                  <c:v>5.0409330094039438E-2</c:v>
                </c:pt>
                <c:pt idx="2">
                  <c:v>0.13742338483878214</c:v>
                </c:pt>
                <c:pt idx="3">
                  <c:v>0.55090897072011125</c:v>
                </c:pt>
                <c:pt idx="4">
                  <c:v>0.87119020567801031</c:v>
                </c:pt>
                <c:pt idx="5">
                  <c:v>1.2647609710874337</c:v>
                </c:pt>
                <c:pt idx="6">
                  <c:v>2.4066155974082681</c:v>
                </c:pt>
                <c:pt idx="7">
                  <c:v>5.1429388057281283E-2</c:v>
                </c:pt>
                <c:pt idx="8">
                  <c:v>7.5337469483927264E-2</c:v>
                </c:pt>
                <c:pt idx="9">
                  <c:v>4.6187746781890478E-2</c:v>
                </c:pt>
                <c:pt idx="10">
                  <c:v>4.9068638786012128E-2</c:v>
                </c:pt>
                <c:pt idx="11">
                  <c:v>6.7484519864399836E-2</c:v>
                </c:pt>
                <c:pt idx="13">
                  <c:v>0.99999999999999978</c:v>
                </c:pt>
                <c:pt idx="14">
                  <c:v>1.2714829582237861</c:v>
                </c:pt>
                <c:pt idx="15">
                  <c:v>0.10838378529606926</c:v>
                </c:pt>
                <c:pt idx="16">
                  <c:v>0.70335985685473634</c:v>
                </c:pt>
                <c:pt idx="17">
                  <c:v>0.69096171713303733</c:v>
                </c:pt>
                <c:pt idx="18">
                  <c:v>0.46818522577175825</c:v>
                </c:pt>
                <c:pt idx="19">
                  <c:v>0.6748288399452822</c:v>
                </c:pt>
                <c:pt idx="20">
                  <c:v>0.35483763939571977</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9"/>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50E9-4DDA-871B-F5E1CF3C5131}"/>
              </c:ext>
            </c:extLst>
          </c:dPt>
          <c:dPt>
            <c:idx val="1"/>
            <c:invertIfNegative val="0"/>
            <c:bubble3D val="0"/>
            <c:spPr>
              <a:solidFill>
                <a:srgbClr val="FF0000"/>
              </a:solidFill>
            </c:spPr>
            <c:extLst>
              <c:ext xmlns:c16="http://schemas.microsoft.com/office/drawing/2014/chart" uri="{C3380CC4-5D6E-409C-BE32-E72D297353CC}">
                <c16:uniqueId val="{00000018-50E9-4DDA-871B-F5E1CF3C5131}"/>
              </c:ext>
            </c:extLst>
          </c:dPt>
          <c:dPt>
            <c:idx val="2"/>
            <c:invertIfNegative val="0"/>
            <c:bubble3D val="0"/>
            <c:spPr>
              <a:solidFill>
                <a:srgbClr val="FF0000"/>
              </a:solidFill>
            </c:spPr>
            <c:extLst>
              <c:ext xmlns:c16="http://schemas.microsoft.com/office/drawing/2014/chart" uri="{C3380CC4-5D6E-409C-BE32-E72D297353CC}">
                <c16:uniqueId val="{00000019-50E9-4DDA-871B-F5E1CF3C5131}"/>
              </c:ext>
            </c:extLst>
          </c:dPt>
          <c:dPt>
            <c:idx val="3"/>
            <c:invertIfNegative val="0"/>
            <c:bubble3D val="0"/>
            <c:spPr>
              <a:solidFill>
                <a:srgbClr val="FF0000"/>
              </a:solidFill>
            </c:spPr>
            <c:extLst>
              <c:ext xmlns:c16="http://schemas.microsoft.com/office/drawing/2014/chart" uri="{C3380CC4-5D6E-409C-BE32-E72D297353CC}">
                <c16:uniqueId val="{0000001A-50E9-4DDA-871B-F5E1CF3C5131}"/>
              </c:ext>
            </c:extLst>
          </c:dPt>
          <c:dPt>
            <c:idx val="4"/>
            <c:invertIfNegative val="0"/>
            <c:bubble3D val="0"/>
            <c:spPr>
              <a:solidFill>
                <a:srgbClr val="FF0000"/>
              </a:solidFill>
            </c:spPr>
            <c:extLst>
              <c:ext xmlns:c16="http://schemas.microsoft.com/office/drawing/2014/chart" uri="{C3380CC4-5D6E-409C-BE32-E72D297353CC}">
                <c16:uniqueId val="{0000001B-50E9-4DDA-871B-F5E1CF3C5131}"/>
              </c:ext>
            </c:extLst>
          </c:dPt>
          <c:dPt>
            <c:idx val="5"/>
            <c:invertIfNegative val="0"/>
            <c:bubble3D val="0"/>
            <c:spPr>
              <a:solidFill>
                <a:srgbClr val="FF0000"/>
              </a:solidFill>
            </c:spPr>
            <c:extLst>
              <c:ext xmlns:c16="http://schemas.microsoft.com/office/drawing/2014/chart" uri="{C3380CC4-5D6E-409C-BE32-E72D297353CC}">
                <c16:uniqueId val="{0000001C-50E9-4DDA-871B-F5E1CF3C5131}"/>
              </c:ext>
            </c:extLst>
          </c:dPt>
          <c:dPt>
            <c:idx val="6"/>
            <c:invertIfNegative val="0"/>
            <c:bubble3D val="0"/>
            <c:spPr>
              <a:solidFill>
                <a:srgbClr val="FF0000"/>
              </a:solidFill>
            </c:spPr>
            <c:extLst>
              <c:ext xmlns:c16="http://schemas.microsoft.com/office/drawing/2014/chart" uri="{C3380CC4-5D6E-409C-BE32-E72D297353CC}">
                <c16:uniqueId val="{0000001D-50E9-4DDA-871B-F5E1CF3C5131}"/>
              </c:ext>
            </c:extLst>
          </c:dPt>
          <c:dPt>
            <c:idx val="7"/>
            <c:invertIfNegative val="0"/>
            <c:bubble3D val="0"/>
            <c:spPr>
              <a:solidFill>
                <a:schemeClr val="bg1">
                  <a:lumMod val="65000"/>
                </a:schemeClr>
              </a:solidFill>
            </c:spPr>
            <c:extLst>
              <c:ext xmlns:c16="http://schemas.microsoft.com/office/drawing/2014/chart" uri="{C3380CC4-5D6E-409C-BE32-E72D297353CC}">
                <c16:uniqueId val="{0000001E-50E9-4DDA-871B-F5E1CF3C5131}"/>
              </c:ext>
            </c:extLst>
          </c:dPt>
          <c:dPt>
            <c:idx val="8"/>
            <c:invertIfNegative val="0"/>
            <c:bubble3D val="0"/>
            <c:spPr>
              <a:solidFill>
                <a:schemeClr val="bg1">
                  <a:lumMod val="65000"/>
                </a:schemeClr>
              </a:solidFill>
            </c:spPr>
            <c:extLst>
              <c:ext xmlns:c16="http://schemas.microsoft.com/office/drawing/2014/chart" uri="{C3380CC4-5D6E-409C-BE32-E72D297353CC}">
                <c16:uniqueId val="{0000001F-50E9-4DDA-871B-F5E1CF3C5131}"/>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50E9-4DDA-871B-F5E1CF3C5131}"/>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50E9-4DDA-871B-F5E1CF3C5131}"/>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50E9-4DDA-871B-F5E1CF3C5131}"/>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50E9-4DDA-871B-F5E1CF3C5131}"/>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50E9-4DDA-871B-F5E1CF3C5131}"/>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50E9-4DDA-871B-F5E1CF3C5131}"/>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50E9-4DDA-871B-F5E1CF3C5131}"/>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C80CB409-40EC-4B03-84DC-5526CB2CE25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50E9-4DDA-871B-F5E1CF3C5131}"/>
                </c:ext>
              </c:extLst>
            </c:dLbl>
            <c:dLbl>
              <c:idx val="1"/>
              <c:tx>
                <c:rich>
                  <a:bodyPr/>
                  <a:lstStyle/>
                  <a:p>
                    <a:fld id="{CAF44445-D267-4491-B208-05B39F7BA13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0E9-4DDA-871B-F5E1CF3C5131}"/>
                </c:ext>
              </c:extLst>
            </c:dLbl>
            <c:dLbl>
              <c:idx val="2"/>
              <c:tx>
                <c:rich>
                  <a:bodyPr/>
                  <a:lstStyle/>
                  <a:p>
                    <a:fld id="{5DDA4EC8-9254-4F44-96E1-F8DAFA18E1C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0E9-4DDA-871B-F5E1CF3C5131}"/>
                </c:ext>
              </c:extLst>
            </c:dLbl>
            <c:dLbl>
              <c:idx val="3"/>
              <c:tx>
                <c:rich>
                  <a:bodyPr/>
                  <a:lstStyle/>
                  <a:p>
                    <a:fld id="{AEDC2836-B256-4897-956B-BFC29FCC497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0E9-4DDA-871B-F5E1CF3C5131}"/>
                </c:ext>
              </c:extLst>
            </c:dLbl>
            <c:dLbl>
              <c:idx val="4"/>
              <c:tx>
                <c:rich>
                  <a:bodyPr/>
                  <a:lstStyle/>
                  <a:p>
                    <a:fld id="{56D1133D-D7A5-46A9-B23C-BFCD420F71C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0E9-4DDA-871B-F5E1CF3C5131}"/>
                </c:ext>
              </c:extLst>
            </c:dLbl>
            <c:dLbl>
              <c:idx val="5"/>
              <c:tx>
                <c:rich>
                  <a:bodyPr/>
                  <a:lstStyle/>
                  <a:p>
                    <a:fld id="{C7E317F1-D38D-450C-A34D-BB31F2FB43F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0E9-4DDA-871B-F5E1CF3C5131}"/>
                </c:ext>
              </c:extLst>
            </c:dLbl>
            <c:dLbl>
              <c:idx val="6"/>
              <c:tx>
                <c:rich>
                  <a:bodyPr/>
                  <a:lstStyle/>
                  <a:p>
                    <a:fld id="{59CB5DD9-F83B-4DAD-970C-7F61E4D3289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0E9-4DDA-871B-F5E1CF3C5131}"/>
                </c:ext>
              </c:extLst>
            </c:dLbl>
            <c:dLbl>
              <c:idx val="7"/>
              <c:tx>
                <c:rich>
                  <a:bodyPr/>
                  <a:lstStyle/>
                  <a:p>
                    <a:fld id="{75C5E196-EC49-4073-B90E-8AABCF23FD9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0E9-4DDA-871B-F5E1CF3C5131}"/>
                </c:ext>
              </c:extLst>
            </c:dLbl>
            <c:dLbl>
              <c:idx val="8"/>
              <c:tx>
                <c:rich>
                  <a:bodyPr/>
                  <a:lstStyle/>
                  <a:p>
                    <a:fld id="{8ABA94BF-432B-4830-85EE-4287998F674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0E9-4DDA-871B-F5E1CF3C5131}"/>
                </c:ext>
              </c:extLst>
            </c:dLbl>
            <c:dLbl>
              <c:idx val="9"/>
              <c:tx>
                <c:rich>
                  <a:bodyPr/>
                  <a:lstStyle/>
                  <a:p>
                    <a:fld id="{B0E72289-C71E-42F6-B6A9-E538A489551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E358CFCD-33B2-4047-9D1F-7F90163100A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0E9-4DDA-871B-F5E1CF3C5131}"/>
                </c:ext>
              </c:extLst>
            </c:dLbl>
            <c:dLbl>
              <c:idx val="11"/>
              <c:tx>
                <c:rich>
                  <a:bodyPr/>
                  <a:lstStyle/>
                  <a:p>
                    <a:fld id="{2FE9C08C-6411-4433-994D-C1CFCF50B41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50E9-4DDA-871B-F5E1CF3C5131}"/>
                </c:ext>
              </c:extLst>
            </c:dLbl>
            <c:dLbl>
              <c:idx val="13"/>
              <c:tx>
                <c:rich>
                  <a:bodyPr/>
                  <a:lstStyle/>
                  <a:p>
                    <a:fld id="{27A1479A-3985-45C9-8646-74E18EFEA75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8D64F6BC-45F0-46D4-9877-5A254BCDECE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0E9-4DDA-871B-F5E1CF3C5131}"/>
                </c:ext>
              </c:extLst>
            </c:dLbl>
            <c:dLbl>
              <c:idx val="15"/>
              <c:tx>
                <c:rich>
                  <a:bodyPr/>
                  <a:lstStyle/>
                  <a:p>
                    <a:fld id="{AB763524-D7AC-470D-8BD0-762D41DD0BC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D07E946B-701E-411C-8351-A05B0A5D0B0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0E9-4DDA-871B-F5E1CF3C5131}"/>
                </c:ext>
              </c:extLst>
            </c:dLbl>
            <c:dLbl>
              <c:idx val="17"/>
              <c:tx>
                <c:rich>
                  <a:bodyPr/>
                  <a:lstStyle/>
                  <a:p>
                    <a:fld id="{8AEB0D4E-A40C-4098-8AB6-4541B92912A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0E9-4DDA-871B-F5E1CF3C5131}"/>
                </c:ext>
              </c:extLst>
            </c:dLbl>
            <c:dLbl>
              <c:idx val="18"/>
              <c:tx>
                <c:rich>
                  <a:bodyPr/>
                  <a:lstStyle/>
                  <a:p>
                    <a:fld id="{8BC25855-6A46-483A-B11A-9D094EA5F26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0E9-4DDA-871B-F5E1CF3C5131}"/>
                </c:ext>
              </c:extLst>
            </c:dLbl>
            <c:dLbl>
              <c:idx val="19"/>
              <c:tx>
                <c:rich>
                  <a:bodyPr/>
                  <a:lstStyle/>
                  <a:p>
                    <a:fld id="{184CE1FD-8DE6-4C90-8650-F024FD8DEA7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0E9-4DDA-871B-F5E1CF3C5131}"/>
                </c:ext>
              </c:extLst>
            </c:dLbl>
            <c:dLbl>
              <c:idx val="20"/>
              <c:tx>
                <c:rich>
                  <a:bodyPr/>
                  <a:lstStyle/>
                  <a:p>
                    <a:fld id="{FCAC3665-0D5E-4582-BC03-FB188EF23B3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0E9-4DDA-871B-F5E1CF3C5131}"/>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4.6627029251742592E-2</c:v>
                  </c:pt>
                  <c:pt idx="1">
                    <c:v>0.12908480788620058</c:v>
                  </c:pt>
                  <c:pt idx="2">
                    <c:v>0.18795031497415962</c:v>
                  </c:pt>
                  <c:pt idx="3">
                    <c:v>0.10598767811758272</c:v>
                  </c:pt>
                  <c:pt idx="4">
                    <c:v>0.12192109290691382</c:v>
                  </c:pt>
                  <c:pt idx="5">
                    <c:v>0.24305510244776704</c:v>
                  </c:pt>
                  <c:pt idx="6">
                    <c:v>0.39804567587893824</c:v>
                  </c:pt>
                  <c:pt idx="7">
                    <c:v>2.7515050973525305E-2</c:v>
                  </c:pt>
                  <c:pt idx="8">
                    <c:v>3.643177268637237E-2</c:v>
                  </c:pt>
                  <c:pt idx="9">
                    <c:v>8.424211337910029E-3</c:v>
                  </c:pt>
                  <c:pt idx="10">
                    <c:v>1.7392462813911654E-2</c:v>
                  </c:pt>
                  <c:pt idx="11">
                    <c:v>3.1175591927297592E-2</c:v>
                  </c:pt>
                  <c:pt idx="13">
                    <c:v>0.13307408881860716</c:v>
                  </c:pt>
                  <c:pt idx="14">
                    <c:v>0.23089355155753169</c:v>
                  </c:pt>
                  <c:pt idx="15">
                    <c:v>1.8946161420749043E-2</c:v>
                  </c:pt>
                  <c:pt idx="16">
                    <c:v>0.24021429802633473</c:v>
                  </c:pt>
                  <c:pt idx="17">
                    <c:v>0.26094414228775598</c:v>
                  </c:pt>
                  <c:pt idx="18">
                    <c:v>0.20516538771540169</c:v>
                  </c:pt>
                  <c:pt idx="19">
                    <c:v>0.22994910680354377</c:v>
                  </c:pt>
                  <c:pt idx="20">
                    <c:v>0.18956479711957755</c:v>
                  </c:pt>
                </c:numCache>
              </c:numRef>
            </c:plus>
            <c:minus>
              <c:numRef>
                <c:f>'R1'!$N$48:$V$48</c:f>
                <c:numCache>
                  <c:formatCode>General</c:formatCode>
                  <c:ptCount val="9"/>
                  <c:pt idx="0">
                    <c:v>0</c:v>
                  </c:pt>
                  <c:pt idx="1">
                    <c:v>0.16118982268781412</c:v>
                  </c:pt>
                  <c:pt idx="2">
                    <c:v>0.12300161751258605</c:v>
                  </c:pt>
                  <c:pt idx="3">
                    <c:v>2.9451720647060767E-2</c:v>
                  </c:pt>
                  <c:pt idx="4">
                    <c:v>0.14110318758334067</c:v>
                  </c:pt>
                  <c:pt idx="5">
                    <c:v>0.22792398497694547</c:v>
                  </c:pt>
                  <c:pt idx="6">
                    <c:v>0.21379214307441807</c:v>
                  </c:pt>
                  <c:pt idx="7">
                    <c:v>8.8466970063346001E-2</c:v>
                  </c:pt>
                  <c:pt idx="8">
                    <c:v>0.15699071724998767</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Cefuroxime 0,001mg/L</c:v>
                </c:pt>
                <c:pt idx="8">
                  <c:v>Cefuroxime 0,01mg/L</c:v>
                </c:pt>
                <c:pt idx="9">
                  <c:v>Cefuroxime 0,1mg/L</c:v>
                </c:pt>
                <c:pt idx="10">
                  <c:v>Cefuroxime 1mg/L</c:v>
                </c:pt>
                <c:pt idx="11">
                  <c:v>Cefuroxime 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'R3'!$B$53:$V$53</c:f>
              <c:numCache>
                <c:formatCode>0.0000</c:formatCode>
                <c:ptCount val="21"/>
                <c:pt idx="0">
                  <c:v>0.13824180136418854</c:v>
                </c:pt>
                <c:pt idx="1">
                  <c:v>0.16285576037071173</c:v>
                </c:pt>
                <c:pt idx="2">
                  <c:v>0.26773106179468809</c:v>
                </c:pt>
                <c:pt idx="3">
                  <c:v>0.28883280504545045</c:v>
                </c:pt>
                <c:pt idx="4">
                  <c:v>1.1121926152768267</c:v>
                </c:pt>
                <c:pt idx="5">
                  <c:v>1.8952287361831475</c:v>
                </c:pt>
                <c:pt idx="6">
                  <c:v>2.8882171023979386</c:v>
                </c:pt>
                <c:pt idx="7">
                  <c:v>9.6632862045522919E-2</c:v>
                </c:pt>
                <c:pt idx="8">
                  <c:v>8.4553070426462415E-2</c:v>
                </c:pt>
                <c:pt idx="9">
                  <c:v>3.0516234877674825E-2</c:v>
                </c:pt>
                <c:pt idx="10">
                  <c:v>4.4778656932622424E-2</c:v>
                </c:pt>
                <c:pt idx="11">
                  <c:v>6.682010557229219E-2</c:v>
                </c:pt>
                <c:pt idx="13">
                  <c:v>0.99999999999999978</c:v>
                </c:pt>
                <c:pt idx="14">
                  <c:v>1.2655166420002997</c:v>
                </c:pt>
                <c:pt idx="15">
                  <c:v>6.2989969949034288E-2</c:v>
                </c:pt>
                <c:pt idx="16">
                  <c:v>0.9545151119183436</c:v>
                </c:pt>
                <c:pt idx="17">
                  <c:v>1.4538838833763594</c:v>
                </c:pt>
                <c:pt idx="18">
                  <c:v>0.92410680537791834</c:v>
                </c:pt>
                <c:pt idx="19">
                  <c:v>0.95232226589512226</c:v>
                </c:pt>
                <c:pt idx="20">
                  <c:v>0.70280772658223534</c:v>
                </c:pt>
              </c:numCache>
            </c:numRef>
          </c:val>
          <c:extLst>
            <c:ext xmlns:c15="http://schemas.microsoft.com/office/drawing/2012/chart" uri="{02D57815-91ED-43cb-92C2-25804820EDAC}">
              <c15:datalabelsRange>
                <c15:f>'R3'!$B$61:$V$61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9"/>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Cefuroxime Pool</a:t>
            </a:r>
          </a:p>
        </c:rich>
      </c:tx>
      <c:overlay val="0"/>
    </c:title>
    <c:autoTitleDeleted val="0"/>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7D5CAA5E-F36E-437D-924F-C88BD3789F4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73091B0A-0A3F-4682-A8C1-C2129D2A76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107BCEBA-3FDE-4959-899E-C1CE1C80DF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14DB3E02-DA83-46CC-9AE8-EE2B2228F2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6F0AF4B4-2D71-4726-BD3C-7398ED443D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CED7CC2B-4580-46FC-9A12-E895A5324F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C8EC5BA0-B994-4A50-8D90-2BB52FDDB4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C10E9D43-4BE6-48D5-B3AD-1954A5F2A5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49E77985-4DC4-46C8-A5A5-11385420C3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495966FE-1F0E-4678-9538-1A82E50023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DC7B6973-78B8-451B-9B76-2C21789ED12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20390AF2-DB4A-4935-BC1E-9CF7925477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44DC3CC-11E4-49CF-9643-3C1AB09D84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F4140765-5C77-4DA8-9327-FA09E481B4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F39BCF42-0D2C-4A59-9011-8461C29D6B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2F2267A4-3D3C-431A-9159-3914C1FD7A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E1626121-667F-425D-923E-CD01EA590D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E65CDCDC-C9D9-40A4-9BEF-839C1C3A71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EEEB6B3A-BD17-447B-BE8C-757277EB80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1DFD5B02-6B29-4F3D-BE63-F2038F3E48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1.8485461638831469E-2</c:v>
                  </c:pt>
                  <c:pt idx="1">
                    <c:v>4.3664129432685134E-2</c:v>
                  </c:pt>
                  <c:pt idx="2">
                    <c:v>6.3080287630042045E-2</c:v>
                  </c:pt>
                  <c:pt idx="3">
                    <c:v>6.8136871241113256E-2</c:v>
                  </c:pt>
                  <c:pt idx="4">
                    <c:v>9.6087685133022488E-2</c:v>
                  </c:pt>
                  <c:pt idx="5">
                    <c:v>0.13273802760987161</c:v>
                  </c:pt>
                  <c:pt idx="6">
                    <c:v>0.19546958238426046</c:v>
                  </c:pt>
                  <c:pt idx="7">
                    <c:v>1.1971133285298762E-2</c:v>
                  </c:pt>
                  <c:pt idx="8">
                    <c:v>1.4585765838407566E-2</c:v>
                  </c:pt>
                  <c:pt idx="9">
                    <c:v>1.178000252794309E-2</c:v>
                  </c:pt>
                  <c:pt idx="10">
                    <c:v>9.0049462433388575E-3</c:v>
                  </c:pt>
                  <c:pt idx="11">
                    <c:v>1.2060537248111184E-2</c:v>
                  </c:pt>
                  <c:pt idx="13">
                    <c:v>8.5657721753797642E-2</c:v>
                  </c:pt>
                  <c:pt idx="14">
                    <c:v>0.11854763655313322</c:v>
                  </c:pt>
                  <c:pt idx="15">
                    <c:v>1.5924550007690812E-2</c:v>
                  </c:pt>
                  <c:pt idx="16">
                    <c:v>0.11631541984985856</c:v>
                  </c:pt>
                  <c:pt idx="17">
                    <c:v>0.14086335450055801</c:v>
                  </c:pt>
                  <c:pt idx="18">
                    <c:v>0.1245337081368222</c:v>
                  </c:pt>
                  <c:pt idx="19">
                    <c:v>0.11611888925976267</c:v>
                  </c:pt>
                  <c:pt idx="20">
                    <c:v>0.12203315889410357</c:v>
                  </c:pt>
                </c:numCache>
              </c:numRef>
            </c:plus>
            <c:minus>
              <c:numRef>
                <c:f>'pooled normalised values'!$B$76:$V$76</c:f>
                <c:numCache>
                  <c:formatCode>General</c:formatCode>
                  <c:ptCount val="21"/>
                  <c:pt idx="0">
                    <c:v>1.8485461638831469E-2</c:v>
                  </c:pt>
                  <c:pt idx="1">
                    <c:v>4.3664129432685134E-2</c:v>
                  </c:pt>
                  <c:pt idx="2">
                    <c:v>6.3080287630042045E-2</c:v>
                  </c:pt>
                  <c:pt idx="3">
                    <c:v>6.8136871241113256E-2</c:v>
                  </c:pt>
                  <c:pt idx="4">
                    <c:v>9.6087685133022488E-2</c:v>
                  </c:pt>
                  <c:pt idx="5">
                    <c:v>0.13273802760987161</c:v>
                  </c:pt>
                  <c:pt idx="6">
                    <c:v>0.19546958238426046</c:v>
                  </c:pt>
                  <c:pt idx="7">
                    <c:v>1.1971133285298762E-2</c:v>
                  </c:pt>
                  <c:pt idx="8">
                    <c:v>1.4585765838407566E-2</c:v>
                  </c:pt>
                  <c:pt idx="9">
                    <c:v>1.178000252794309E-2</c:v>
                  </c:pt>
                  <c:pt idx="10">
                    <c:v>9.0049462433388575E-3</c:v>
                  </c:pt>
                  <c:pt idx="11">
                    <c:v>1.2060537248111184E-2</c:v>
                  </c:pt>
                  <c:pt idx="13">
                    <c:v>8.5657721753797642E-2</c:v>
                  </c:pt>
                  <c:pt idx="14">
                    <c:v>0.11854763655313322</c:v>
                  </c:pt>
                  <c:pt idx="15">
                    <c:v>1.5924550007690812E-2</c:v>
                  </c:pt>
                  <c:pt idx="16">
                    <c:v>0.11631541984985856</c:v>
                  </c:pt>
                  <c:pt idx="17">
                    <c:v>0.14086335450055801</c:v>
                  </c:pt>
                  <c:pt idx="18">
                    <c:v>0.1245337081368222</c:v>
                  </c:pt>
                  <c:pt idx="19">
                    <c:v>0.11611888925976267</c:v>
                  </c:pt>
                  <c:pt idx="20">
                    <c:v>0.12203315889410357</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Cefuroxime 0,001mg/L</c:v>
                </c:pt>
                <c:pt idx="8">
                  <c:v>Cefuroxime 0,01mg/L</c:v>
                </c:pt>
                <c:pt idx="9">
                  <c:v>Cefuroxime 0,1mg/L</c:v>
                </c:pt>
                <c:pt idx="10">
                  <c:v>Cefuroxime 1mg/L</c:v>
                </c:pt>
                <c:pt idx="11">
                  <c:v>Cefuroxime 10mg/L</c:v>
                </c:pt>
                <c:pt idx="13">
                  <c:v>Testo -30µg/L</c:v>
                </c:pt>
                <c:pt idx="14">
                  <c:v>Testo 30µg/L + EE2 -64ng/L</c:v>
                </c:pt>
                <c:pt idx="15">
                  <c:v>Testo 30µg/L + FAD-10µg/L</c:v>
                </c:pt>
                <c:pt idx="16">
                  <c:v>Cefuroxime-0,001mg/L + Testostérone</c:v>
                </c:pt>
                <c:pt idx="17">
                  <c:v>Cefuroxime-0,01mg/L + Testostérone</c:v>
                </c:pt>
                <c:pt idx="18">
                  <c:v>Cefuroxime-0,1mg/L + Testostérone</c:v>
                </c:pt>
                <c:pt idx="19">
                  <c:v>Cefuroxime-1mg/L + Testostérone</c:v>
                </c:pt>
                <c:pt idx="20">
                  <c:v>Cefuroxime-10mg/L + Testostérone</c:v>
                </c:pt>
              </c:strCache>
            </c:strRef>
          </c:cat>
          <c:val>
            <c:numRef>
              <c:f>'pooled normalised values'!$B$75:$V$75</c:f>
              <c:numCache>
                <c:formatCode>0.0000</c:formatCode>
                <c:ptCount val="21"/>
                <c:pt idx="0">
                  <c:v>7.9596676628318291E-2</c:v>
                </c:pt>
                <c:pt idx="1">
                  <c:v>0.10573113754333303</c:v>
                </c:pt>
                <c:pt idx="2">
                  <c:v>0.17113403229216284</c:v>
                </c:pt>
                <c:pt idx="3">
                  <c:v>0.39902107188584823</c:v>
                </c:pt>
                <c:pt idx="4">
                  <c:v>1.0566560507804004</c:v>
                </c:pt>
                <c:pt idx="5">
                  <c:v>1.561816630063886</c:v>
                </c:pt>
                <c:pt idx="6">
                  <c:v>2.5932549168338572</c:v>
                </c:pt>
                <c:pt idx="7">
                  <c:v>7.3341954165151588E-2</c:v>
                </c:pt>
                <c:pt idx="8">
                  <c:v>8.0892543070583842E-2</c:v>
                </c:pt>
                <c:pt idx="9">
                  <c:v>6.3799694058382928E-2</c:v>
                </c:pt>
                <c:pt idx="10">
                  <c:v>5.1323485342332817E-2</c:v>
                </c:pt>
                <c:pt idx="11">
                  <c:v>6.8530124460719419E-2</c:v>
                </c:pt>
                <c:pt idx="13">
                  <c:v>1</c:v>
                </c:pt>
                <c:pt idx="14">
                  <c:v>1.4502248584941808</c:v>
                </c:pt>
                <c:pt idx="15">
                  <c:v>9.4240977634292636E-2</c:v>
                </c:pt>
                <c:pt idx="16">
                  <c:v>1.0437997789618259</c:v>
                </c:pt>
                <c:pt idx="17">
                  <c:v>1.1103406505440829</c:v>
                </c:pt>
                <c:pt idx="18">
                  <c:v>0.89856494720168212</c:v>
                </c:pt>
                <c:pt idx="19">
                  <c:v>1.0295498136764119</c:v>
                </c:pt>
                <c:pt idx="20">
                  <c:v>0.77564648538224557</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ax val="3"/>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Cefuroxime-0,001mg/L : 0%</c:v>
                  </c:pt>
                  <c:pt idx="1">
                    <c:v>Cefuroxime-0,01mg/L : 0%</c:v>
                  </c:pt>
                  <c:pt idx="2">
                    <c:v>Cefuroxime-0,1mg/L : 0%</c:v>
                  </c:pt>
                  <c:pt idx="3">
                    <c:v>Cefuroxime-1mg/L : 0%</c:v>
                  </c:pt>
                  <c:pt idx="4">
                    <c:v>Cefuroxime-10mg/L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9D424139-A18B-4402-8759-08315BD214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49C17464-EC89-434D-B4A0-D7D4FAC89A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17235A8E-4262-4B2B-A200-526FF735F4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49CD6B54-A854-4550-A4D3-9A9E8C614D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61094445-5676-497D-A014-B7F09DB7FD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4D405CA5-539E-4A30-83D7-21B3D84BB35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F1984091-8987-422F-8B91-F6997C5DA5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7FE08E81-FF6E-4974-9ED1-76D702F4EE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526DE526-556A-4F7E-91BB-30AF4589E7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F12440A5-250F-4C0E-BC6C-50549659D3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4F4BB984-019D-4D97-8972-E9F258F2EB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B0705C9D-EADD-4353-90F3-96C9D05EBC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79C090A4-6F67-4EF1-BA3E-0E7C4B40AA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BE6BEB00-2314-4A1E-B465-0A9F5ADCC8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1.4585765838407566E-2</c:v>
                  </c:pt>
                  <c:pt idx="2">
                    <c:v>1.178000252794309E-2</c:v>
                  </c:pt>
                  <c:pt idx="3">
                    <c:v>9.0049462433388575E-3</c:v>
                  </c:pt>
                  <c:pt idx="4">
                    <c:v>1.2060537248111184E-2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1.4585765838407566E-2</c:v>
                  </c:pt>
                  <c:pt idx="2">
                    <c:v>1.178000252794309E-2</c:v>
                  </c:pt>
                  <c:pt idx="3">
                    <c:v>9.0049462433388575E-3</c:v>
                  </c:pt>
                  <c:pt idx="4">
                    <c:v>1.2060537248111184E-2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8.0892543070583842E-2</c:v>
                </c:pt>
                <c:pt idx="2">
                  <c:v>6.3799694058382928E-2</c:v>
                </c:pt>
                <c:pt idx="3">
                  <c:v>5.1323485342332817E-2</c:v>
                </c:pt>
                <c:pt idx="4">
                  <c:v>6.8530124460719419E-2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7.9596676628318291E-2</c:v>
                </c:pt>
                <c:pt idx="1">
                  <c:v>7.9596676628318291E-2</c:v>
                </c:pt>
                <c:pt idx="2">
                  <c:v>7.9596676628318291E-2</c:v>
                </c:pt>
                <c:pt idx="3">
                  <c:v>7.9596676628318291E-2</c:v>
                </c:pt>
                <c:pt idx="4">
                  <c:v>7.9596676628318291E-2</c:v>
                </c:pt>
                <c:pt idx="5">
                  <c:v>7.9596676628318291E-2</c:v>
                </c:pt>
                <c:pt idx="6">
                  <c:v>7.9596676628318291E-2</c:v>
                </c:pt>
                <c:pt idx="7">
                  <c:v>7.9596676628318291E-2</c:v>
                </c:pt>
                <c:pt idx="8">
                  <c:v>7.9596676628318291E-2</c:v>
                </c:pt>
                <c:pt idx="9">
                  <c:v>7.9596676628318291E-2</c:v>
                </c:pt>
                <c:pt idx="10">
                  <c:v>7.9596676628318291E-2</c:v>
                </c:pt>
                <c:pt idx="11">
                  <c:v>7.9596676628318291E-2</c:v>
                </c:pt>
                <c:pt idx="12">
                  <c:v>7.9596676628318291E-2</c:v>
                </c:pt>
                <c:pt idx="13">
                  <c:v>7.9596676628318291E-2</c:v>
                </c:pt>
                <c:pt idx="14">
                  <c:v>7.9596676628318291E-2</c:v>
                </c:pt>
                <c:pt idx="15">
                  <c:v>7.9596676628318291E-2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9.4240977634292636E-2</c:v>
                </c:pt>
                <c:pt idx="1">
                  <c:v>9.4240977634292636E-2</c:v>
                </c:pt>
                <c:pt idx="2">
                  <c:v>9.4240977634292636E-2</c:v>
                </c:pt>
                <c:pt idx="3">
                  <c:v>9.4240977634292636E-2</c:v>
                </c:pt>
                <c:pt idx="4">
                  <c:v>9.4240977634292636E-2</c:v>
                </c:pt>
                <c:pt idx="5">
                  <c:v>9.4240977634292636E-2</c:v>
                </c:pt>
                <c:pt idx="6">
                  <c:v>9.4240977634292636E-2</c:v>
                </c:pt>
                <c:pt idx="7">
                  <c:v>9.4240977634292636E-2</c:v>
                </c:pt>
                <c:pt idx="8">
                  <c:v>9.4240977634292636E-2</c:v>
                </c:pt>
                <c:pt idx="9">
                  <c:v>9.4240977634292636E-2</c:v>
                </c:pt>
                <c:pt idx="10">
                  <c:v>9.4240977634292636E-2</c:v>
                </c:pt>
                <c:pt idx="11">
                  <c:v>9.4240977634292636E-2</c:v>
                </c:pt>
                <c:pt idx="12">
                  <c:v>9.4240977634292636E-2</c:v>
                </c:pt>
                <c:pt idx="13">
                  <c:v>9.4240977634292636E-2</c:v>
                </c:pt>
                <c:pt idx="14">
                  <c:v>9.4240977634292636E-2</c:v>
                </c:pt>
                <c:pt idx="15">
                  <c:v>9.4240977634292636E-2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1.3559838808598881</c:v>
                </c:pt>
                <c:pt idx="1">
                  <c:v>1.3559838808598881</c:v>
                </c:pt>
                <c:pt idx="2">
                  <c:v>1.3559838808598881</c:v>
                </c:pt>
                <c:pt idx="3">
                  <c:v>1.3559838808598881</c:v>
                </c:pt>
                <c:pt idx="4">
                  <c:v>1.3559838808598881</c:v>
                </c:pt>
                <c:pt idx="5">
                  <c:v>1.3559838808598881</c:v>
                </c:pt>
                <c:pt idx="6">
                  <c:v>1.3559838808598881</c:v>
                </c:pt>
                <c:pt idx="7">
                  <c:v>1.3559838808598881</c:v>
                </c:pt>
                <c:pt idx="8">
                  <c:v>1.3559838808598881</c:v>
                </c:pt>
                <c:pt idx="9">
                  <c:v>1.3559838808598881</c:v>
                </c:pt>
                <c:pt idx="10">
                  <c:v>1.3559838808598881</c:v>
                </c:pt>
                <c:pt idx="11">
                  <c:v>1.3559838808598881</c:v>
                </c:pt>
                <c:pt idx="12">
                  <c:v>1.3559838808598881</c:v>
                </c:pt>
                <c:pt idx="13">
                  <c:v>1.3559838808598881</c:v>
                </c:pt>
                <c:pt idx="14">
                  <c:v>1.3559838808598881</c:v>
                </c:pt>
                <c:pt idx="15">
                  <c:v>1.3559838808598881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1.1440161191401119</c:v>
                </c:pt>
                <c:pt idx="1">
                  <c:v>1.1440161191401119</c:v>
                </c:pt>
                <c:pt idx="2">
                  <c:v>1.1440161191401119</c:v>
                </c:pt>
                <c:pt idx="3">
                  <c:v>1.1440161191401119</c:v>
                </c:pt>
                <c:pt idx="4">
                  <c:v>1.1440161191401119</c:v>
                </c:pt>
                <c:pt idx="5">
                  <c:v>1.1440161191401119</c:v>
                </c:pt>
                <c:pt idx="6">
                  <c:v>1.1440161191401119</c:v>
                </c:pt>
                <c:pt idx="7">
                  <c:v>1.1440161191401119</c:v>
                </c:pt>
                <c:pt idx="8">
                  <c:v>1.1440161191401119</c:v>
                </c:pt>
                <c:pt idx="9">
                  <c:v>1.1440161191401119</c:v>
                </c:pt>
                <c:pt idx="10">
                  <c:v>1.1440161191401119</c:v>
                </c:pt>
                <c:pt idx="11">
                  <c:v>1.1440161191401119</c:v>
                </c:pt>
                <c:pt idx="12">
                  <c:v>1.1440161191401119</c:v>
                </c:pt>
                <c:pt idx="13">
                  <c:v>1.1440161191401119</c:v>
                </c:pt>
                <c:pt idx="14">
                  <c:v>1.1440161191401119</c:v>
                </c:pt>
                <c:pt idx="15">
                  <c:v>1.1440161191401119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46617BE-1B7D-494A-9A3D-3F43813F9CB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ABC313F5-61FD-4BE4-B78D-EA585BAE94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5D73667C-D6D7-4FB8-9251-DE2888F483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92919A6E-5FB6-4114-BB46-CE51B4950E4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AC573945-0B22-4AED-9FE8-1D8966667D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CE5C2BA8-ACFC-4F04-A00C-1830942B4B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199B8CBC-6AA0-4D76-ABD5-70B66D8A3D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9C24CD7D-70F2-4D49-8E00-5221D75810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306854D5-F7A6-4DE3-BA61-4E29E4ECC36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32429D2B-D5EC-4A41-B40B-9C162E2C81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C3D0F23E-E33D-4102-A163-C01A8890FE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C96D983B-8DDF-42C6-8879-E3AFDBE9D2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9193E640-86CC-4D64-8BEC-B3B1E0F400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F90BB70F-D2D6-4629-8F5E-E4AF241F51F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0.11631541984985856</c:v>
                  </c:pt>
                  <c:pt idx="2">
                    <c:v>0.14086335450055801</c:v>
                  </c:pt>
                  <c:pt idx="3">
                    <c:v>0.1245337081368222</c:v>
                  </c:pt>
                  <c:pt idx="4">
                    <c:v>0.11611888925976267</c:v>
                  </c:pt>
                  <c:pt idx="5">
                    <c:v>0.12203315889410357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0.11631541984985856</c:v>
                  </c:pt>
                  <c:pt idx="2">
                    <c:v>0.14086335450055801</c:v>
                  </c:pt>
                  <c:pt idx="3">
                    <c:v>0.1245337081368222</c:v>
                  </c:pt>
                  <c:pt idx="4">
                    <c:v>0.11611888925976267</c:v>
                  </c:pt>
                  <c:pt idx="5">
                    <c:v>0.12203315889410357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1.0437997789618259</c:v>
                </c:pt>
                <c:pt idx="2">
                  <c:v>1.1103406505440829</c:v>
                </c:pt>
                <c:pt idx="3">
                  <c:v>0.89856494720168212</c:v>
                </c:pt>
                <c:pt idx="4">
                  <c:v>1.0295498136764119</c:v>
                </c:pt>
                <c:pt idx="5">
                  <c:v>0.77564648538224557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380991A3-62F1-4339-9A77-CA7D964A4C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EBA46C2F-2DFC-404B-8581-BBE993049D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678347B9-D17E-4368-9BD4-0C765571FB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63031903-79E4-4ABC-B950-F9F17B94AB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99381703-7C3C-490C-B0D2-611163F50D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27A9CFA0-737E-4D14-8FA6-659638946A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DFECF695-CBC8-4092-BAA1-B248BC74F5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0A2222A1-E910-442E-A25E-8DF2BB71BD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E93F468B-E5DF-4B7D-80C2-D9AFEA4400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2CB6FBC1-40DC-46BD-ACF8-E0D6BDEDBE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0FEBECA7-C11C-4C3D-B552-D73552D085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7B5E6662-0E95-4124-B2A8-79700D6DF1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4056A800-6C1C-4E42-AF06-56460FE4EA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DE42F07B-D694-49F8-8323-02D1E5004D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1.4585765838407566E-2</c:v>
                  </c:pt>
                  <c:pt idx="2">
                    <c:v>1.178000252794309E-2</c:v>
                  </c:pt>
                  <c:pt idx="3">
                    <c:v>9.0049462433388575E-3</c:v>
                  </c:pt>
                  <c:pt idx="4">
                    <c:v>1.2060537248111184E-2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1.4585765838407566E-2</c:v>
                  </c:pt>
                  <c:pt idx="2">
                    <c:v>1.178000252794309E-2</c:v>
                  </c:pt>
                  <c:pt idx="3">
                    <c:v>9.0049462433388575E-3</c:v>
                  </c:pt>
                  <c:pt idx="4">
                    <c:v>1.2060537248111184E-2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Cefuroxime 0,01mg/L</c:v>
                </c:pt>
                <c:pt idx="2">
                  <c:v>Cefuroxime 0,1mg/L</c:v>
                </c:pt>
                <c:pt idx="3">
                  <c:v>Cefuroxime 1mg/L</c:v>
                </c:pt>
                <c:pt idx="4">
                  <c:v>Cefuroxime 10mg/L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8.0892543070583842E-2</c:v>
                </c:pt>
                <c:pt idx="2">
                  <c:v>6.3799694058382928E-2</c:v>
                </c:pt>
                <c:pt idx="3">
                  <c:v>5.1323485342332817E-2</c:v>
                </c:pt>
                <c:pt idx="4">
                  <c:v>6.8530124460719419E-2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7.9596676628318291E-2</c:v>
                </c:pt>
                <c:pt idx="1">
                  <c:v>7.9596676628318291E-2</c:v>
                </c:pt>
                <c:pt idx="2">
                  <c:v>7.9596676628318291E-2</c:v>
                </c:pt>
                <c:pt idx="3">
                  <c:v>7.9596676628318291E-2</c:v>
                </c:pt>
                <c:pt idx="4">
                  <c:v>7.9596676628318291E-2</c:v>
                </c:pt>
                <c:pt idx="5">
                  <c:v>7.9596676628318291E-2</c:v>
                </c:pt>
                <c:pt idx="6">
                  <c:v>7.9596676628318291E-2</c:v>
                </c:pt>
                <c:pt idx="7">
                  <c:v>7.9596676628318291E-2</c:v>
                </c:pt>
                <c:pt idx="8">
                  <c:v>7.9596676628318291E-2</c:v>
                </c:pt>
                <c:pt idx="9">
                  <c:v>7.9596676628318291E-2</c:v>
                </c:pt>
                <c:pt idx="10">
                  <c:v>7.9596676628318291E-2</c:v>
                </c:pt>
                <c:pt idx="11">
                  <c:v>7.9596676628318291E-2</c:v>
                </c:pt>
                <c:pt idx="12">
                  <c:v>7.9596676628318291E-2</c:v>
                </c:pt>
                <c:pt idx="13">
                  <c:v>7.9596676628318291E-2</c:v>
                </c:pt>
                <c:pt idx="14">
                  <c:v>7.9596676628318291E-2</c:v>
                </c:pt>
                <c:pt idx="15">
                  <c:v>7.9596676628318291E-2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9.4240977634292636E-2</c:v>
                </c:pt>
                <c:pt idx="1">
                  <c:v>9.4240977634292636E-2</c:v>
                </c:pt>
                <c:pt idx="2">
                  <c:v>9.4240977634292636E-2</c:v>
                </c:pt>
                <c:pt idx="3">
                  <c:v>9.4240977634292636E-2</c:v>
                </c:pt>
                <c:pt idx="4">
                  <c:v>9.4240977634292636E-2</c:v>
                </c:pt>
                <c:pt idx="5">
                  <c:v>9.4240977634292636E-2</c:v>
                </c:pt>
                <c:pt idx="6">
                  <c:v>9.4240977634292636E-2</c:v>
                </c:pt>
                <c:pt idx="7">
                  <c:v>9.4240977634292636E-2</c:v>
                </c:pt>
                <c:pt idx="8">
                  <c:v>9.4240977634292636E-2</c:v>
                </c:pt>
                <c:pt idx="9">
                  <c:v>9.4240977634292636E-2</c:v>
                </c:pt>
                <c:pt idx="10">
                  <c:v>9.4240977634292636E-2</c:v>
                </c:pt>
                <c:pt idx="11">
                  <c:v>9.4240977634292636E-2</c:v>
                </c:pt>
                <c:pt idx="12">
                  <c:v>9.4240977634292636E-2</c:v>
                </c:pt>
                <c:pt idx="13">
                  <c:v>9.4240977634292636E-2</c:v>
                </c:pt>
                <c:pt idx="14">
                  <c:v>9.4240977634292636E-2</c:v>
                </c:pt>
                <c:pt idx="15">
                  <c:v>9.4240977634292636E-2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1.3559838808598881</c:v>
                </c:pt>
                <c:pt idx="1">
                  <c:v>1.3559838808598881</c:v>
                </c:pt>
                <c:pt idx="2">
                  <c:v>1.3559838808598881</c:v>
                </c:pt>
                <c:pt idx="3">
                  <c:v>1.3559838808598881</c:v>
                </c:pt>
                <c:pt idx="4">
                  <c:v>1.3559838808598881</c:v>
                </c:pt>
                <c:pt idx="5">
                  <c:v>1.3559838808598881</c:v>
                </c:pt>
                <c:pt idx="6">
                  <c:v>1.3559838808598881</c:v>
                </c:pt>
                <c:pt idx="7">
                  <c:v>1.3559838808598881</c:v>
                </c:pt>
                <c:pt idx="8">
                  <c:v>1.3559838808598881</c:v>
                </c:pt>
                <c:pt idx="9">
                  <c:v>1.3559838808598881</c:v>
                </c:pt>
                <c:pt idx="10">
                  <c:v>1.3559838808598881</c:v>
                </c:pt>
                <c:pt idx="11">
                  <c:v>1.3559838808598881</c:v>
                </c:pt>
                <c:pt idx="12">
                  <c:v>1.3559838808598881</c:v>
                </c:pt>
                <c:pt idx="13">
                  <c:v>1.3559838808598881</c:v>
                </c:pt>
                <c:pt idx="14">
                  <c:v>1.3559838808598881</c:v>
                </c:pt>
                <c:pt idx="15">
                  <c:v>1.3559838808598881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1.1440161191401119</c:v>
                </c:pt>
                <c:pt idx="1">
                  <c:v>1.1440161191401119</c:v>
                </c:pt>
                <c:pt idx="2">
                  <c:v>1.1440161191401119</c:v>
                </c:pt>
                <c:pt idx="3">
                  <c:v>1.1440161191401119</c:v>
                </c:pt>
                <c:pt idx="4">
                  <c:v>1.1440161191401119</c:v>
                </c:pt>
                <c:pt idx="5">
                  <c:v>1.1440161191401119</c:v>
                </c:pt>
                <c:pt idx="6">
                  <c:v>1.1440161191401119</c:v>
                </c:pt>
                <c:pt idx="7">
                  <c:v>1.1440161191401119</c:v>
                </c:pt>
                <c:pt idx="8">
                  <c:v>1.1440161191401119</c:v>
                </c:pt>
                <c:pt idx="9">
                  <c:v>1.1440161191401119</c:v>
                </c:pt>
                <c:pt idx="10">
                  <c:v>1.1440161191401119</c:v>
                </c:pt>
                <c:pt idx="11">
                  <c:v>1.1440161191401119</c:v>
                </c:pt>
                <c:pt idx="12">
                  <c:v>1.1440161191401119</c:v>
                </c:pt>
                <c:pt idx="13">
                  <c:v>1.1440161191401119</c:v>
                </c:pt>
                <c:pt idx="14">
                  <c:v>1.1440161191401119</c:v>
                </c:pt>
                <c:pt idx="15">
                  <c:v>1.1440161191401119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C448F3F-B2E4-4745-9A19-EA131D7E07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106A6129-E260-40BC-9C28-2A5FE9D53A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5D2A1FDA-727B-4BB8-BF34-2A35A65008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0AC9E62E-4772-4208-A225-2CCE8C0B35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34ADD736-D40B-4EC6-A2EA-2A4CEE31F4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471BB3D5-EF50-46F5-B4AC-75A73F1334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6EF99453-E0D4-45FE-A3F5-E02EE6499BA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DEA8B810-94CB-4BB6-A9D2-78B58BEC5A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2C38A031-055B-4E20-8F5D-5CA76A1A74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C640F2DF-E86F-4FBD-B6C2-70C230C412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A4FEAD14-5BD8-466E-AB68-701F4E80BF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5631E5F8-941A-478C-B38A-0C8C217B3C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2107B562-FA3A-4276-A689-2C1584207C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04859719-1D93-4603-846F-A60932D3CF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0.11631541984985856</c:v>
                  </c:pt>
                  <c:pt idx="2">
                    <c:v>0.14086335450055801</c:v>
                  </c:pt>
                  <c:pt idx="3">
                    <c:v>0.1245337081368222</c:v>
                  </c:pt>
                  <c:pt idx="4">
                    <c:v>0.11611888925976267</c:v>
                  </c:pt>
                  <c:pt idx="5">
                    <c:v>0.12203315889410357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0.11631541984985856</c:v>
                  </c:pt>
                  <c:pt idx="2">
                    <c:v>0.14086335450055801</c:v>
                  </c:pt>
                  <c:pt idx="3">
                    <c:v>0.1245337081368222</c:v>
                  </c:pt>
                  <c:pt idx="4">
                    <c:v>0.11611888925976267</c:v>
                  </c:pt>
                  <c:pt idx="5">
                    <c:v>0.12203315889410357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1.0437997789618259</c:v>
                </c:pt>
                <c:pt idx="2">
                  <c:v>1.1103406505440829</c:v>
                </c:pt>
                <c:pt idx="3">
                  <c:v>0.89856494720168212</c:v>
                </c:pt>
                <c:pt idx="4">
                  <c:v>1.0295498136764119</c:v>
                </c:pt>
                <c:pt idx="5">
                  <c:v>0.77564648538224557</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Cefuroxime-0,001mg/L + Testostérone</c:v>
                </c:pt>
                <c:pt idx="2">
                  <c:v>Cefuroxime-0,01mg/L + Testostérone</c:v>
                </c:pt>
                <c:pt idx="3">
                  <c:v>Cefuroxime-0,1mg/L + Testostérone</c:v>
                </c:pt>
                <c:pt idx="4">
                  <c:v>Cefuroxime-1mg/L + Testostérone</c:v>
                </c:pt>
                <c:pt idx="5">
                  <c:v>Cefuroxime-10mg/L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Cefuroxime 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Cefuroxime 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Cefuroxime 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5D8E7A1C-D893-40C1-8F7A-09C33E1788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5B24A6BA-F182-4284-ADFB-E972EFEB1F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1.4585765838407566E-2</c:v>
                  </c:pt>
                </c:numCache>
              </c:numRef>
            </c:plus>
            <c:minus>
              <c:numRef>
                <c:f>'Graph format rapport CHG 1éch'!$E$4:$G$4</c:f>
                <c:numCache>
                  <c:formatCode>General</c:formatCode>
                  <c:ptCount val="3"/>
                  <c:pt idx="1">
                    <c:v>1.4585765838407566E-2</c:v>
                  </c:pt>
                </c:numCache>
              </c:numRef>
            </c:minus>
          </c:errBars>
          <c:cat>
            <c:strRef>
              <c:f>'Graph format rapport CHG 1éch'!$E$2:$G$2</c:f>
              <c:strCache>
                <c:ptCount val="2"/>
                <c:pt idx="1">
                  <c:v>Cefuroxime 0,01mg/L</c:v>
                </c:pt>
              </c:strCache>
            </c:strRef>
          </c:cat>
          <c:val>
            <c:numRef>
              <c:f>'Graph format rapport CHG 1éch'!$E$3:$G$3</c:f>
              <c:numCache>
                <c:formatCode>General</c:formatCode>
                <c:ptCount val="3"/>
                <c:pt idx="1">
                  <c:v>8.0892543070583842E-2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7.9596676628318291E-2</c:v>
                </c:pt>
                <c:pt idx="1">
                  <c:v>7.9596676628318291E-2</c:v>
                </c:pt>
                <c:pt idx="2">
                  <c:v>7.9596676628318291E-2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1éch'!$H$8:$J$8</c:f>
              <c:numCache>
                <c:formatCode>General</c:formatCode>
                <c:ptCount val="3"/>
                <c:pt idx="0">
                  <c:v>9.4240977634292636E-2</c:v>
                </c:pt>
                <c:pt idx="1">
                  <c:v>9.4240977634292636E-2</c:v>
                </c:pt>
                <c:pt idx="2">
                  <c:v>9.4240977634292636E-2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Cefuroxime-0,001mg/L + Testostérone</c:v>
                </c:pt>
              </c:strCache>
            </c:strRef>
          </c:cat>
          <c:val>
            <c:numRef>
              <c:f>'Graph format rapport CHG 1éch'!$H$9:$J$9</c:f>
              <c:numCache>
                <c:formatCode>General</c:formatCode>
                <c:ptCount val="3"/>
                <c:pt idx="0">
                  <c:v>1.3559838808598881</c:v>
                </c:pt>
                <c:pt idx="1">
                  <c:v>1.3559838808598881</c:v>
                </c:pt>
                <c:pt idx="2">
                  <c:v>1.3559838808598881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1éch'!$H$10:$J$10</c:f>
              <c:numCache>
                <c:formatCode>General</c:formatCode>
                <c:ptCount val="3"/>
                <c:pt idx="0">
                  <c:v>1.1440161191401119</c:v>
                </c:pt>
                <c:pt idx="1">
                  <c:v>1.1440161191401119</c:v>
                </c:pt>
                <c:pt idx="2">
                  <c:v>1.1440161191401119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FED33038-DB4C-431D-8EB6-E2FD7D88F6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28ACB7DC-1FB7-4259-9427-F7A037ED5B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0.11631541984985856</c:v>
                  </c:pt>
                </c:numCache>
              </c:numRef>
            </c:plus>
            <c:minus>
              <c:numRef>
                <c:f>'Graph format rapport CHG 1éch'!$H$4:$J$4</c:f>
                <c:numCache>
                  <c:formatCode>General</c:formatCode>
                  <c:ptCount val="3"/>
                  <c:pt idx="1">
                    <c:v>0.11631541984985856</c:v>
                  </c:pt>
                </c:numCache>
              </c:numRef>
            </c:minus>
          </c:errBars>
          <c:cat>
            <c:strRef>
              <c:f>'Graph format rapport CHG 1éch'!$H$2:$J$2</c:f>
              <c:strCache>
                <c:ptCount val="2"/>
                <c:pt idx="1">
                  <c:v>Cefuroxime-0,001mg/L + Testostérone</c:v>
                </c:pt>
              </c:strCache>
            </c:strRef>
          </c:cat>
          <c:val>
            <c:numRef>
              <c:f>'Graph format rapport CHG 1éch'!$H$3:$J$3</c:f>
              <c:numCache>
                <c:formatCode>General</c:formatCode>
                <c:ptCount val="3"/>
                <c:pt idx="1">
                  <c:v>1.0437997789618259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Cefuroxime-0,001mg/L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Cefuroxime 0,01mg/L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Cefuroxime 0,01mg/L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Cefuroxime 0,01mg/L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280040E-D2E4-4091-A9FF-7581F8A5D3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859A0B34-0B0B-4C0D-A053-629B7CBEDA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1.4585765838407566E-2</c:v>
                  </c:pt>
                </c:numCache>
              </c:numRef>
            </c:plus>
            <c:minus>
              <c:numRef>
                <c:f>'Graph format rapport CHG 1éch'!$E$4:$G$4</c:f>
                <c:numCache>
                  <c:formatCode>General</c:formatCode>
                  <c:ptCount val="3"/>
                  <c:pt idx="1">
                    <c:v>1.4585765838407566E-2</c:v>
                  </c:pt>
                </c:numCache>
              </c:numRef>
            </c:minus>
          </c:errBars>
          <c:cat>
            <c:strRef>
              <c:f>'Graph format rapport CHG 1éch'!$E$2:$G$2</c:f>
              <c:strCache>
                <c:ptCount val="2"/>
                <c:pt idx="1">
                  <c:v>Cefuroxime 0,01mg/L</c:v>
                </c:pt>
              </c:strCache>
            </c:strRef>
          </c:cat>
          <c:val>
            <c:numRef>
              <c:f>'Graph format rapport CHG 1éch'!$E$3:$G$3</c:f>
              <c:numCache>
                <c:formatCode>General</c:formatCode>
                <c:ptCount val="3"/>
                <c:pt idx="1">
                  <c:v>8.0892543070583842E-2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7.9596676628318291E-2</c:v>
                </c:pt>
                <c:pt idx="1">
                  <c:v>7.9596676628318291E-2</c:v>
                </c:pt>
                <c:pt idx="2">
                  <c:v>7.9596676628318291E-2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1éch'!$H$8:$J$8</c:f>
              <c:numCache>
                <c:formatCode>General</c:formatCode>
                <c:ptCount val="3"/>
                <c:pt idx="0">
                  <c:v>9.4240977634292636E-2</c:v>
                </c:pt>
                <c:pt idx="1">
                  <c:v>9.4240977634292636E-2</c:v>
                </c:pt>
                <c:pt idx="2">
                  <c:v>9.4240977634292636E-2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Cefuroxime-0,001mg/L + Testostérone</c:v>
                </c:pt>
              </c:strCache>
            </c:strRef>
          </c:cat>
          <c:val>
            <c:numRef>
              <c:f>'Graph format rapport CHG 1éch'!$H$9:$J$9</c:f>
              <c:numCache>
                <c:formatCode>General</c:formatCode>
                <c:ptCount val="3"/>
                <c:pt idx="0">
                  <c:v>1.3559838808598881</c:v>
                </c:pt>
                <c:pt idx="1">
                  <c:v>1.3559838808598881</c:v>
                </c:pt>
                <c:pt idx="2">
                  <c:v>1.3559838808598881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Cefuroxime-0,001mg/L + Testostérone</c:v>
                </c:pt>
              </c:strCache>
            </c:strRef>
          </c:cat>
          <c:val>
            <c:numRef>
              <c:f>'Graph format rapport CHG 1éch'!$H$10:$J$10</c:f>
              <c:numCache>
                <c:formatCode>General</c:formatCode>
                <c:ptCount val="3"/>
                <c:pt idx="0">
                  <c:v>1.1440161191401119</c:v>
                </c:pt>
                <c:pt idx="1">
                  <c:v>1.1440161191401119</c:v>
                </c:pt>
                <c:pt idx="2">
                  <c:v>1.1440161191401119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132BFD0C-932F-47BD-9F44-1F5A8B12F6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A9D7E0B1-20EE-44C8-8098-7BAEBA1E4E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0.11631541984985856</c:v>
                  </c:pt>
                </c:numCache>
              </c:numRef>
            </c:plus>
            <c:minus>
              <c:numRef>
                <c:f>'Graph format rapport CHG 1éch'!$H$4:$J$4</c:f>
                <c:numCache>
                  <c:formatCode>General</c:formatCode>
                  <c:ptCount val="3"/>
                  <c:pt idx="1">
                    <c:v>0.11631541984985856</c:v>
                  </c:pt>
                </c:numCache>
              </c:numRef>
            </c:minus>
          </c:errBars>
          <c:cat>
            <c:strRef>
              <c:f>'Graph format rapport CHG 1éch'!$H$2:$J$2</c:f>
              <c:strCache>
                <c:ptCount val="2"/>
                <c:pt idx="1">
                  <c:v>Cefuroxime-0,001mg/L + Testostérone</c:v>
                </c:pt>
              </c:strCache>
            </c:strRef>
          </c:cat>
          <c:val>
            <c:numRef>
              <c:f>'Graph format rapport CHG 1éch'!$H$3:$J$3</c:f>
              <c:numCache>
                <c:formatCode>General</c:formatCode>
                <c:ptCount val="3"/>
                <c:pt idx="1">
                  <c:v>1.0437997789618259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Cefuroxime-0,001mg/L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6"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6"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tabSelected="1"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Cefuroxime</a:t>
          </a:r>
          <a:r>
            <a:rPr lang="fr-FR" sz="1400" b="1" baseline="0"/>
            <a:t> R1</a:t>
          </a:r>
          <a:endParaRPr lang="fr-FR" sz="1400" b="1"/>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0.10273</cdr:y>
    </cdr:to>
    <cdr:sp macro="" textlink="">
      <cdr:nvSpPr>
        <cdr:cNvPr id="2" name="ZoneTexte 1"/>
        <cdr:cNvSpPr txBox="1"/>
      </cdr:nvSpPr>
      <cdr:spPr>
        <a:xfrm xmlns:a="http://schemas.openxmlformats.org/drawingml/2006/main">
          <a:off x="3482021" y="91017"/>
          <a:ext cx="169541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Cefuroxime</a:t>
          </a:r>
          <a:r>
            <a:rPr lang="fr-FR" sz="1400" b="1" baseline="0"/>
            <a:t> R2</a:t>
          </a:r>
        </a:p>
        <a:p xmlns:a="http://schemas.openxmlformats.org/drawingml/2006/main">
          <a:pPr algn="ct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6875" cy="6051659"/>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0.10273</cdr:y>
    </cdr:to>
    <cdr:sp macro="" textlink="">
      <cdr:nvSpPr>
        <cdr:cNvPr id="2" name="ZoneTexte 1"/>
        <cdr:cNvSpPr txBox="1"/>
      </cdr:nvSpPr>
      <cdr:spPr>
        <a:xfrm xmlns:a="http://schemas.openxmlformats.org/drawingml/2006/main">
          <a:off x="3482021" y="91017"/>
          <a:ext cx="1695412"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Cefuroxime</a:t>
          </a:r>
          <a:r>
            <a:rPr lang="fr-FR" sz="1400" b="1" baseline="0"/>
            <a:t> R3</a:t>
          </a:r>
        </a:p>
        <a:p xmlns:a="http://schemas.openxmlformats.org/drawingml/2006/main">
          <a:pPr algn="ct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58.700128124998" createdVersion="5" refreshedVersion="6"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Cefuroxime ND 0.001"/>
        <s v="09 Cefuroxime ND 0.01"/>
        <s v="10 Cefuroxime ND 0.1"/>
        <s v="11 Cefuroxime ND 1"/>
        <s v="12 Cefuroxime ND 10"/>
        <s v="01 Testo 30"/>
        <s v="02 Testo 30"/>
        <s v="03 Testo + E2"/>
        <s v="04 Testo + FAD"/>
        <s v="05 Cefuroxime D 0.001"/>
        <s v="06 Cefuroxime D 0.01"/>
        <s v="07 Cefuroxime D 0.1"/>
        <s v="08 Cefuroxime D 1"/>
        <s v="09 Cefuroxime D 10"/>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0" maxValue="68"/>
    </cacheField>
    <cacheField name=" " numFmtId="0">
      <sharedItems containsBlank="1" count="24">
        <s v=" "/>
        <m/>
        <s v=" SD mean fluo "/>
        <s v=" 2.1314 "/>
        <s v=" 3.7984 "/>
        <s v=" 2.6995 "/>
        <s v=" 1.936 "/>
        <s v=" 10.0312 "/>
        <s v=" 8.6897 "/>
        <s v=" 11.5233 "/>
        <s v=" 2.7695 "/>
        <s v=" 4.3063 "/>
        <s v=" 3.3362 "/>
        <s v=" 2.6853 "/>
        <s v=" 2.861 "/>
        <s v=" 4.6969 "/>
        <s v=" 5.659 "/>
        <s v=" 4.9401 "/>
        <s v=" 8.8449 "/>
        <s v=" 3.0372 "/>
        <s v=" 5.2958 "/>
        <s v=" 4.6682 "/>
        <s v=" 3.5644 "/>
        <s v=" 3.4102 "/>
      </sharedItems>
    </cacheField>
    <cacheField name=" total fluorescence" numFmtId="0">
      <sharedItems containsBlank="1" containsMixedTypes="1" containsNumber="1" containsInteger="1" minValue="5191" maxValue="8361533"/>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58.700128356482" createdVersion="5" refreshedVersion="6"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Cefuroxime ND 0.001"/>
        <s v="09 Cefuroxime ND 0.01"/>
        <s v="10 Cefuroxime ND 0.1"/>
        <s v="11 Cefuroxime ND 1"/>
        <s v="12 Cefuroxime ND 10"/>
        <s v="01 Testo 30"/>
        <s v="02 Testo 30"/>
        <s v="03 Testo + E2"/>
        <s v="04 Testo + FAD"/>
        <s v="05 Cefuroxime D 0.001"/>
        <s v="06 Cefuroxime D 0.01"/>
        <s v="07 Cefuroxime D 0.1"/>
        <s v="08 Cefuroxime D 1"/>
        <s v="09 Cefuroxime D 1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s v=" "/>
        <m/>
        <s v=" SD mean fluo "/>
        <s v=" 3.0204 "/>
        <s v=" 2.7597 "/>
        <s v=" 2.5415 "/>
        <s v=" 2.1509 "/>
        <s v=" 3.3054 "/>
        <s v=" 6.6844 "/>
        <s v=" 5.2662 "/>
        <s v=" 3.7219 "/>
        <s v=" 2.5202 "/>
        <s v=" 2.278 "/>
        <s v=" 2.1479 "/>
        <s v=" 3.5451 "/>
        <s v=" 5.1741 "/>
        <s v=" 6.7514 "/>
        <s v=" 6.0563 "/>
        <s v=" 4.6622 "/>
        <s v=" 2.1823 "/>
        <s v=" 3.5074 "/>
        <s v=" 3.6528 "/>
        <s v=" 3.8592 "/>
        <s v=" 3.4931 "/>
      </sharedItems>
    </cacheField>
    <cacheField name=" total fluorescence" numFmtId="0">
      <sharedItems containsBlank="1" containsMixedTypes="1" containsNumber="1" containsInteger="1" minValue="3980" maxValue="8261517"/>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58.700128356482" createdVersion="5" refreshedVersion="6"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Cefuroxime ND 0.001"/>
        <s v="09 Cefuroxime ND 0.01"/>
        <s v="10 Cefuroxime ND 0.1"/>
        <s v="11 Cefuroxime ND 1"/>
        <s v="12 Cefuroxime ND 10"/>
        <s v="01 Testo 30"/>
        <s v="02 Testo 30"/>
        <s v="03 Testo + FAD"/>
        <s v="04 Testo + E2"/>
        <s v="05 Cefuroxime D 0.001"/>
        <s v="06 Cefuroxime D 0.01"/>
        <s v="07 Cefuroxime D 0.1"/>
        <s v="08 Cefuroxime D 1"/>
        <s v="09 Cefuroxime D 1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s v=" "/>
        <m/>
        <s v=" SD mean fluo "/>
        <s v=" 3.9371 "/>
        <s v=" 2.1637 "/>
        <s v=" 7.9264 "/>
        <s v=" 1.7819 "/>
        <s v=" 2.8117 "/>
        <s v=" 10.7248 "/>
        <s v=" 11.6961 "/>
        <s v=" 4.1031 "/>
        <s v=" 8.9411 "/>
        <s v=" 1.9239 "/>
        <s v=" 2.1002 "/>
        <s v=" 2.9161 "/>
        <s v=" 3.8759 "/>
        <s v=" 4.7677 "/>
        <s v=" 3.127 "/>
        <s v=" 7.897 "/>
        <s v=" 3.7221 "/>
        <s v=" 4.2402 "/>
        <s v=" 4.6611 "/>
        <s v=" 3.9662 "/>
        <s v=" 4.0391 "/>
      </sharedItems>
    </cacheField>
    <cacheField name=" total fluorescence" numFmtId="0">
      <sharedItems containsBlank="1" containsMixedTypes="1" containsNumber="1" containsInteger="1" minValue="4088" maxValue="11852036"/>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258.700128472221"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225\plaque 1/@01 Evian + 0.2% DMSO/A1_01.tif "/>
    <s v=" 3979.9006 "/>
    <s v=" 68.288 "/>
    <x v="0"/>
    <n v="271780"/>
    <m/>
    <m/>
    <m/>
  </r>
  <r>
    <x v="0"/>
    <x v="0"/>
    <s v="F:\images\20210225\plaque 1/@01 Evian + 0.2% DMSO/A1_02.tif "/>
    <s v=" 562.3773 "/>
    <s v=" 63.3077 "/>
    <x v="0"/>
    <n v="35603"/>
    <m/>
    <m/>
    <m/>
  </r>
  <r>
    <x v="0"/>
    <x v="0"/>
    <s v="F:\images\20210225\plaque 1/@01 Evian + 0.2% DMSO/A1_03.tif "/>
    <s v=" 973.3453 "/>
    <s v=" 65.3333 "/>
    <x v="0"/>
    <n v="63592"/>
    <m/>
    <m/>
    <m/>
  </r>
  <r>
    <x v="0"/>
    <x v="1"/>
    <s v="F:\images\20210225\plaque 1/@01 Evian + 0.2% DMSO/B1_01.tif "/>
    <s v=" 994.9752 "/>
    <n v="64"/>
    <x v="0"/>
    <n v="63678"/>
    <m/>
    <m/>
    <m/>
  </r>
  <r>
    <x v="0"/>
    <x v="1"/>
    <s v="F:\images\20210225\plaque 1/@01 Evian + 0.2% DMSO/B1_02.tif "/>
    <s v=" 173.0392 "/>
    <s v=" 65.5 "/>
    <x v="0"/>
    <n v="11334"/>
    <m/>
    <m/>
    <m/>
  </r>
  <r>
    <x v="0"/>
    <x v="1"/>
    <s v="F:\images\20210225\plaque 1/@01 Evian + 0.2% DMSO/B1_03.tif "/>
    <s v=" 410.968 "/>
    <s v=" 62.4211 "/>
    <x v="0"/>
    <n v="25653"/>
    <m/>
    <m/>
    <m/>
  </r>
  <r>
    <x v="0"/>
    <x v="2"/>
    <s v="F:\images\20210225\plaque 1/@01 Evian + 0.2% DMSO/C1_01.tif "/>
    <s v=" 346.0783 "/>
    <s v=" 64.625 "/>
    <x v="0"/>
    <n v="22365"/>
    <m/>
    <m/>
    <m/>
  </r>
  <r>
    <x v="0"/>
    <x v="2"/>
    <s v="F:\images\20210225\plaque 1/@01 Evian + 0.2% DMSO/C1_02.tif "/>
    <s v=" 324.4484 "/>
    <s v=" 62.0667 "/>
    <x v="0"/>
    <n v="20137"/>
    <m/>
    <m/>
    <m/>
  </r>
  <r>
    <x v="0"/>
    <x v="2"/>
    <s v="F:\images\20210225\plaque 1/@01 Evian + 0.2% DMSO/C1_03.tif "/>
    <s v=" 302.8185 "/>
    <s v=" 63.8571 "/>
    <x v="0"/>
    <n v="19337"/>
    <m/>
    <m/>
    <m/>
  </r>
  <r>
    <x v="0"/>
    <x v="3"/>
    <s v="F:\images\20210225\plaque 1/@01 Evian + 0.2% DMSO/D1_01.tif "/>
    <s v=" 973.3453 "/>
    <s v=" 65.8444 "/>
    <x v="0"/>
    <n v="64089"/>
    <m/>
    <m/>
    <m/>
  </r>
  <r>
    <x v="0"/>
    <x v="3"/>
    <s v="F:\images\20210225\plaque 1/@01 Evian + 0.2% DMSO/D1_02.tif "/>
    <s v=" 1297.7937 "/>
    <s v=" 64.8333 "/>
    <x v="0"/>
    <n v="84140"/>
    <m/>
    <m/>
    <m/>
  </r>
  <r>
    <x v="0"/>
    <x v="3"/>
    <s v="F:\images\20210225\plaque 1/@01 Evian + 0.2% DMSO/D1_03.tif "/>
    <s v=" 2379.2884 "/>
    <s v=" 65.3636 "/>
    <x v="0"/>
    <n v="155519"/>
    <m/>
    <m/>
    <m/>
  </r>
  <r>
    <x v="0"/>
    <x v="4"/>
    <s v="F:\images\20210225\plaque 1/@01 Evian + 0.2% DMSO/E1_01.tif "/>
    <s v=" 1232.904 "/>
    <s v=" 65.5439 "/>
    <x v="0"/>
    <n v="80809"/>
    <m/>
    <m/>
    <m/>
  </r>
  <r>
    <x v="0"/>
    <x v="4"/>
    <s v="F:\images\20210225\plaque 1/@01 Evian + 0.2% DMSO/E1_02.tif "/>
    <s v=" 86.5196 "/>
    <n v="60"/>
    <x v="0"/>
    <n v="5191"/>
    <m/>
    <m/>
    <m/>
  </r>
  <r>
    <x v="0"/>
    <x v="4"/>
    <s v="F:\images\20210225\plaque 1/@01 Evian + 0.2% DMSO/E1_03.tif "/>
    <s v=" 194.6691 "/>
    <s v=" 63.8889 "/>
    <x v="0"/>
    <n v="12437"/>
    <m/>
    <m/>
    <m/>
  </r>
  <r>
    <x v="0"/>
    <x v="5"/>
    <s v="F:\images\20210225\plaque 1/@01 Evian + 0.2% DMSO/F1_01.tif "/>
    <s v=" 5191.1747 "/>
    <s v=" 68.325 "/>
    <x v="0"/>
    <n v="354687"/>
    <m/>
    <m/>
    <m/>
  </r>
  <r>
    <x v="0"/>
    <x v="5"/>
    <s v="F:\images\20210225\plaque 1/@01 Evian + 0.2% DMSO/F1_02.tif "/>
    <s v=" 5429.1036 "/>
    <s v=" 70.1514 "/>
    <x v="0"/>
    <n v="380859"/>
    <m/>
    <m/>
    <m/>
  </r>
  <r>
    <x v="0"/>
    <x v="5"/>
    <s v="F:\images\20210225\plaque 1/@01 Evian + 0.2% DMSO/F1_03.tif "/>
    <s v=" 2876.776 "/>
    <s v=" 65.6692 "/>
    <x v="0"/>
    <n v="188915"/>
    <m/>
    <m/>
    <m/>
  </r>
  <r>
    <x v="0"/>
    <x v="6"/>
    <s v="F:\images\20210225\plaque 1/@01 Evian + 0.2% DMSO/G1_01.tif "/>
    <s v=" 670.5267 "/>
    <s v=" 65.0645 "/>
    <x v="0"/>
    <n v="43627"/>
    <m/>
    <m/>
    <m/>
  </r>
  <r>
    <x v="0"/>
    <x v="6"/>
    <s v="F:\images\20210225\plaque 1/@01 Evian + 0.2% DMSO/G1_02.tif "/>
    <s v=" 302.8185 "/>
    <s v=" 65.4286 "/>
    <x v="0"/>
    <n v="19813"/>
    <m/>
    <m/>
    <m/>
  </r>
  <r>
    <x v="0"/>
    <x v="6"/>
    <s v="F:\images\20210225\plaque 1/@01 Evian + 0.2% DMSO/G1_03.tif "/>
    <s v=" 432.5979 "/>
    <s v=" 62.7 "/>
    <x v="0"/>
    <n v="27124"/>
    <m/>
    <m/>
    <m/>
  </r>
  <r>
    <x v="0"/>
    <x v="7"/>
    <s v="F:\images\20210225\plaque 1/@01 Evian + 0.2% DMSO/H1_01.tif "/>
    <s v=" 1081.4947 "/>
    <s v=" 64.14 "/>
    <x v="0"/>
    <n v="69367"/>
    <m/>
    <m/>
    <m/>
  </r>
  <r>
    <x v="0"/>
    <x v="7"/>
    <s v="F:\images\20210225\plaque 1/@01 Evian + 0.2% DMSO/H1_02.tif "/>
    <s v=" 1427.573 "/>
    <s v=" 66.0455 "/>
    <x v="0"/>
    <n v="94285"/>
    <m/>
    <m/>
    <m/>
  </r>
  <r>
    <x v="0"/>
    <x v="7"/>
    <s v="F:\images\20210225\plaque 1/@01 Evian + 0.2% DMSO/H1_03.tif "/>
    <s v=" 1276.1638 "/>
    <s v=" 64.339 "/>
    <x v="0"/>
    <n v="82107"/>
    <m/>
    <m/>
    <m/>
  </r>
  <r>
    <x v="1"/>
    <x v="8"/>
    <s v=" "/>
    <m/>
    <m/>
    <x v="1"/>
    <m/>
    <m/>
    <m/>
    <m/>
  </r>
  <r>
    <x v="1"/>
    <x v="8"/>
    <s v="group "/>
    <s v=" "/>
    <s v=" mean of mean fluo "/>
    <x v="2"/>
    <s v=" mean of total fluo "/>
    <s v=" SD total fluo "/>
    <s v=" n fluorescent "/>
    <s v=" n total"/>
  </r>
  <r>
    <x v="0"/>
    <x v="9"/>
    <s v="F:\images\20210225\plaque 1/@01 Evian + 0.2% DMSO/ "/>
    <s v=" "/>
    <s v=" 64.864 "/>
    <x v="3"/>
    <s v=" 91518.6667 "/>
    <s v=" 105580.3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225\plaque 1/@02 EE2 33.8/A2_01.tif "/>
    <s v=" 3677.0821 "/>
    <s v=" 67.0059 "/>
    <x v="0"/>
    <n v="246386"/>
    <m/>
    <m/>
    <m/>
  </r>
  <r>
    <x v="2"/>
    <x v="0"/>
    <s v="F:\images\20210225\plaque 1/@02 EE2 33.8/A2_02.tif "/>
    <s v=" 497.4876 "/>
    <s v=" 62.913 "/>
    <x v="0"/>
    <n v="31298"/>
    <m/>
    <m/>
    <m/>
  </r>
  <r>
    <x v="2"/>
    <x v="0"/>
    <s v="F:\images\20210225\plaque 1/@02 EE2 33.8/A2_03.tif "/>
    <s v=" 1600.6122 "/>
    <s v=" 65.4595 "/>
    <x v="0"/>
    <n v="104775"/>
    <m/>
    <m/>
    <m/>
  </r>
  <r>
    <x v="2"/>
    <x v="1"/>
    <s v="F:\images\20210225\plaque 1/@02 EE2 33.8/B2_01.tif "/>
    <s v=" 8132.8404 "/>
    <s v=" 72.3537 "/>
    <x v="0"/>
    <n v="588441"/>
    <m/>
    <m/>
    <m/>
  </r>
  <r>
    <x v="2"/>
    <x v="1"/>
    <s v="F:\images\20210225\plaque 1/@02 EE2 33.8/B2_02.tif "/>
    <s v=" 6878.3065 "/>
    <s v=" 76.4245 "/>
    <x v="0"/>
    <n v="525671"/>
    <m/>
    <m/>
    <m/>
  </r>
  <r>
    <x v="2"/>
    <x v="1"/>
    <s v="F:\images\20210225\plaque 1/@02 EE2 33.8/B2_03.tif "/>
    <s v=" 1427.573 "/>
    <n v="64"/>
    <x v="0"/>
    <n v="91365"/>
    <m/>
    <m/>
    <m/>
  </r>
  <r>
    <x v="2"/>
    <x v="2"/>
    <s v="F:\images\20210225\plaque 1/@02 EE2 33.8/C2_01.tif "/>
    <s v=" 5385.8438 "/>
    <s v=" 67.1245 "/>
    <x v="0"/>
    <n v="361522"/>
    <m/>
    <m/>
    <m/>
  </r>
  <r>
    <x v="2"/>
    <x v="2"/>
    <s v="F:\images\20210225\plaque 1/@02 EE2 33.8/C2_02.tif "/>
    <s v=" 1816.9111 "/>
    <s v=" 64.7619 "/>
    <x v="0"/>
    <n v="117667"/>
    <m/>
    <m/>
    <m/>
  </r>
  <r>
    <x v="2"/>
    <x v="2"/>
    <s v="F:\images\20210225\plaque 1/@02 EE2 33.8/C2_03.tif "/>
    <s v=" 1232.904 "/>
    <s v=" 65.2281 "/>
    <x v="0"/>
    <n v="80420"/>
    <m/>
    <m/>
    <m/>
  </r>
  <r>
    <x v="2"/>
    <x v="3"/>
    <s v="F:\images\20210225\plaque 1/@02 EE2 33.8/D2_01.tif "/>
    <s v=" 6099.6303 "/>
    <s v=" 72.766 "/>
    <x v="0"/>
    <n v="443845"/>
    <m/>
    <m/>
    <m/>
  </r>
  <r>
    <x v="2"/>
    <x v="3"/>
    <s v="F:\images\20210225\plaque 1/@02 EE2 33.8/D2_02.tif "/>
    <s v=" 6402.4488 "/>
    <s v=" 73.7297 "/>
    <x v="0"/>
    <n v="472051"/>
    <m/>
    <m/>
    <m/>
  </r>
  <r>
    <x v="2"/>
    <x v="3"/>
    <s v="F:\images\20210225\plaque 1/@02 EE2 33.8/D2_03.tif "/>
    <s v=" 475.8577 "/>
    <s v=" 63.0909 "/>
    <x v="0"/>
    <n v="30022"/>
    <m/>
    <m/>
    <m/>
  </r>
  <r>
    <x v="2"/>
    <x v="4"/>
    <s v="F:\images\20210225\plaque 1/@02 EE2 33.8/E2_01.tif "/>
    <s v=" 5775.1819 "/>
    <s v=" 66.3895 "/>
    <x v="0"/>
    <n v="383412"/>
    <m/>
    <m/>
    <m/>
  </r>
  <r>
    <x v="2"/>
    <x v="4"/>
    <s v="F:\images\20210225\plaque 1/@02 EE2 33.8/E2_02.tif "/>
    <s v=" 7548.8332 "/>
    <s v=" 68.5387 "/>
    <x v="0"/>
    <n v="517387"/>
    <m/>
    <m/>
    <m/>
  </r>
  <r>
    <x v="2"/>
    <x v="4"/>
    <s v="F:\images\20210225\plaque 1/@02 EE2 33.8/E2_03- exclu.tif"/>
    <m/>
    <m/>
    <x v="1"/>
    <m/>
    <m/>
    <m/>
    <m/>
  </r>
  <r>
    <x v="2"/>
    <x v="5"/>
    <s v="F:\images\20210225\plaque 1/@02 EE2 33.8/F2_01.tif "/>
    <s v=" 7310.9044 "/>
    <s v=" 69.7663 "/>
    <x v="0"/>
    <n v="510055"/>
    <m/>
    <m/>
    <m/>
  </r>
  <r>
    <x v="2"/>
    <x v="5"/>
    <s v="F:\images\20210225\plaque 1/@02 EE2 33.8/F2_02.tif "/>
    <s v=" 6142.8901 "/>
    <s v=" 68.662 "/>
    <x v="0"/>
    <n v="421783"/>
    <m/>
    <m/>
    <m/>
  </r>
  <r>
    <x v="2"/>
    <x v="5"/>
    <s v="F:\images\20210225\plaque 1/@02 EE2 33.8/F2_03.tif "/>
    <s v=" 4499.0181 "/>
    <s v=" 68.0817 "/>
    <x v="0"/>
    <n v="306301"/>
    <m/>
    <m/>
    <m/>
  </r>
  <r>
    <x v="2"/>
    <x v="6"/>
    <s v="F:\images\20210225\plaque 1/@02 EE2 33.8/G2_01.tif "/>
    <s v=" 562.3773 "/>
    <s v=" 65.4231 "/>
    <x v="0"/>
    <n v="36792"/>
    <m/>
    <m/>
    <m/>
  </r>
  <r>
    <x v="2"/>
    <x v="6"/>
    <s v="F:\images\20210225\plaque 1/@02 EE2 33.8/G2_02.tif "/>
    <s v=" 627.2669 "/>
    <s v=" 66.8276 "/>
    <x v="0"/>
    <n v="41919"/>
    <m/>
    <m/>
    <m/>
  </r>
  <r>
    <x v="2"/>
    <x v="6"/>
    <s v="F:\images\20210225\plaque 1/@02 EE2 33.8/G2_03.tif "/>
    <s v=" 367.7082 "/>
    <s v=" 64.1176 "/>
    <x v="0"/>
    <n v="23577"/>
    <m/>
    <m/>
    <m/>
  </r>
  <r>
    <x v="2"/>
    <x v="7"/>
    <s v="F:\images\20210225\plaque 1/@02 EE2 33.8/H2_01.tif "/>
    <s v=" 670.5267 "/>
    <s v=" 63.4839 "/>
    <x v="0"/>
    <n v="42568"/>
    <m/>
    <m/>
    <m/>
  </r>
  <r>
    <x v="2"/>
    <x v="7"/>
    <s v="F:\images\20210225\plaque 1/@02 EE2 33.8/H2_02.tif "/>
    <s v=" 713.7865 "/>
    <s v=" 61.7879 "/>
    <x v="0"/>
    <n v="44103"/>
    <m/>
    <m/>
    <m/>
  </r>
  <r>
    <x v="2"/>
    <x v="7"/>
    <s v="F:\images\20210225\plaque 1/@02 EE2 33.8/H2_03.tif "/>
    <s v=" 562.3773 "/>
    <s v=" 62.6538 "/>
    <x v="0"/>
    <n v="35235"/>
    <m/>
    <m/>
    <m/>
  </r>
  <r>
    <x v="1"/>
    <x v="8"/>
    <s v=" "/>
    <m/>
    <m/>
    <x v="1"/>
    <m/>
    <m/>
    <m/>
    <m/>
  </r>
  <r>
    <x v="1"/>
    <x v="8"/>
    <s v="group "/>
    <s v=" "/>
    <s v=" mean of mean fluo "/>
    <x v="2"/>
    <s v=" mean of total fluo "/>
    <s v=" SD total fluo "/>
    <s v=" n fluorescent "/>
    <s v=" n total"/>
  </r>
  <r>
    <x v="2"/>
    <x v="9"/>
    <s v="F:\images\20210225\plaque 1/@02 EE2 33.8/ "/>
    <s v=" "/>
    <s v=" 67.0188 "/>
    <x v="4"/>
    <s v=" 239773.667 "/>
    <s v=" 202116.7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225\plaque 1/@03 EE2 50.6/A3_01.tif "/>
    <s v=" 6921.5663 "/>
    <s v=" 67.5875 "/>
    <x v="0"/>
    <n v="467811"/>
    <m/>
    <m/>
    <m/>
  </r>
  <r>
    <x v="3"/>
    <x v="0"/>
    <s v="F:\images\20210225\plaque 1/@03 EE2 50.6/A3_02.tif "/>
    <s v=" 1535.7225 "/>
    <s v=" 62.662 "/>
    <x v="0"/>
    <n v="96231"/>
    <m/>
    <m/>
    <m/>
  </r>
  <r>
    <x v="3"/>
    <x v="0"/>
    <s v="F:\images\20210225\plaque 1/@03 EE2 50.6/A3_03.tif "/>
    <s v=" 994.9752 "/>
    <s v=" 63.5652 "/>
    <x v="0"/>
    <n v="63246"/>
    <m/>
    <m/>
    <m/>
  </r>
  <r>
    <x v="3"/>
    <x v="1"/>
    <s v="F:\images\20210225\plaque 1/@03 EE2 50.6/B3_01.tif "/>
    <s v=" 3806.8615 "/>
    <s v=" 67.5114 "/>
    <x v="0"/>
    <n v="257006"/>
    <m/>
    <m/>
    <m/>
  </r>
  <r>
    <x v="3"/>
    <x v="1"/>
    <s v="F:\images\20210225\plaque 1/@03 EE2 50.6/B3_02.tif "/>
    <s v=" 367.7082 "/>
    <s v=" 63.2353 "/>
    <x v="0"/>
    <n v="23252"/>
    <m/>
    <m/>
    <m/>
  </r>
  <r>
    <x v="3"/>
    <x v="1"/>
    <s v="F:\images\20210225\plaque 1/@03 EE2 50.6/B3_03.tif "/>
    <s v=" 3222.8543 "/>
    <s v=" 65.2081 "/>
    <x v="0"/>
    <n v="210156"/>
    <m/>
    <m/>
    <m/>
  </r>
  <r>
    <x v="3"/>
    <x v="2"/>
    <s v="F:\images\20210225\plaque 1/@03 EE2 50.6/C3_01.tif "/>
    <s v=" 5320.9541 "/>
    <s v=" 66.1341 "/>
    <x v="0"/>
    <n v="351897"/>
    <m/>
    <m/>
    <m/>
  </r>
  <r>
    <x v="3"/>
    <x v="2"/>
    <s v="F:\images\20210225\plaque 1/@03 EE2 50.6/C3_02.tif "/>
    <s v=" 1946.6905 "/>
    <s v=" 63.5111 "/>
    <x v="0"/>
    <n v="123636"/>
    <m/>
    <m/>
    <m/>
  </r>
  <r>
    <x v="3"/>
    <x v="2"/>
    <s v="F:\images\20210225\plaque 1/@03 EE2 50.6/C3_03.tif "/>
    <s v=" 6294.2993 "/>
    <s v=" 68.6014 "/>
    <x v="0"/>
    <n v="431798"/>
    <m/>
    <m/>
    <m/>
  </r>
  <r>
    <x v="3"/>
    <x v="3"/>
    <s v="F:\images\20210225\plaque 1/@03 EE2 50.6/D3_01.tif "/>
    <s v=" 1665.5019 "/>
    <s v=" 65.026 "/>
    <x v="0"/>
    <n v="108301"/>
    <m/>
    <m/>
    <m/>
  </r>
  <r>
    <x v="3"/>
    <x v="3"/>
    <s v="F:\images\20210225\plaque 1/@03 EE2 50.6/D3_02.tif "/>
    <s v=" 778.6762 "/>
    <s v=" 65.9167 "/>
    <x v="0"/>
    <n v="51328"/>
    <m/>
    <m/>
    <m/>
  </r>
  <r>
    <x v="3"/>
    <x v="3"/>
    <s v="F:\images\20210225\plaque 1/@03 EE2 50.6/D3_03.tif "/>
    <s v=" 886.8257 "/>
    <s v=" 67.8049 "/>
    <x v="0"/>
    <n v="60131"/>
    <m/>
    <m/>
    <m/>
  </r>
  <r>
    <x v="3"/>
    <x v="4"/>
    <s v="F:\images\20210225\plaque 1/@03 EE2 50.6/E3_01.tif "/>
    <s v=" 13994.5418 "/>
    <s v=" 65.456 "/>
    <x v="0"/>
    <n v="916026"/>
    <m/>
    <m/>
    <m/>
  </r>
  <r>
    <x v="3"/>
    <x v="4"/>
    <s v="F:\images\20210225\plaque 1/@03 EE2 50.6/E3_02.tif "/>
    <s v=" 10966.3566 "/>
    <s v=" 64.4694 "/>
    <x v="0"/>
    <n v="706995"/>
    <m/>
    <m/>
    <m/>
  </r>
  <r>
    <x v="3"/>
    <x v="4"/>
    <s v="F:\images\20210225\plaque 1/@03 EE2 50.6/E3_03.tif "/>
    <s v=" 5061.3953 "/>
    <s v=" 63.8718 "/>
    <x v="0"/>
    <n v="323280"/>
    <m/>
    <m/>
    <m/>
  </r>
  <r>
    <x v="3"/>
    <x v="5"/>
    <s v="F:\images\20210225\plaque 1/@03 EE2 50.6/F3_01.tif "/>
    <s v=" 1427.573 "/>
    <s v=" 65.5 "/>
    <x v="0"/>
    <n v="93506"/>
    <m/>
    <m/>
    <m/>
  </r>
  <r>
    <x v="3"/>
    <x v="5"/>
    <s v="F:\images\20210225\plaque 1/@03 EE2 50.6/F3_02.tif "/>
    <s v=" 1254.5339 "/>
    <s v=" 67.9828 "/>
    <x v="0"/>
    <n v="85287"/>
    <m/>
    <m/>
    <m/>
  </r>
  <r>
    <x v="3"/>
    <x v="5"/>
    <s v="F:\images\20210225\plaque 1/@03 EE2 50.6/F3_03.tif "/>
    <s v=" 2833.5162 "/>
    <s v=" 64.1985 "/>
    <x v="0"/>
    <n v="181907"/>
    <m/>
    <m/>
    <m/>
  </r>
  <r>
    <x v="3"/>
    <x v="6"/>
    <s v="F:\images\20210225\plaque 1/@03 EE2 50.6/G3_01.tif "/>
    <s v=" 1730.3916 "/>
    <s v=" 68.025 "/>
    <x v="0"/>
    <n v="117710"/>
    <m/>
    <m/>
    <m/>
  </r>
  <r>
    <x v="3"/>
    <x v="6"/>
    <s v="F:\images\20210225\plaque 1/@03 EE2 50.6/G3_02.tif "/>
    <s v=" 562.3773 "/>
    <n v="67"/>
    <x v="0"/>
    <n v="37679"/>
    <m/>
    <m/>
    <m/>
  </r>
  <r>
    <x v="3"/>
    <x v="6"/>
    <s v="F:\images\20210225\plaque 1/@03 EE2 50.6/G3_03.tif "/>
    <s v=" 1059.8648 "/>
    <s v=" 65.5102 "/>
    <x v="0"/>
    <n v="69432"/>
    <m/>
    <m/>
    <m/>
  </r>
  <r>
    <x v="3"/>
    <x v="7"/>
    <s v="F:\images\20210225\plaque 1/@03 EE2 50.6/H3_01.tif "/>
    <s v=" 7181.125 "/>
    <s v=" 73.1084 "/>
    <x v="0"/>
    <n v="525001"/>
    <m/>
    <m/>
    <m/>
  </r>
  <r>
    <x v="3"/>
    <x v="7"/>
    <s v="F:\images\20210225\plaque 1/@03 EE2 50.6/H3_02.tif "/>
    <s v=" 6943.1962 "/>
    <s v=" 72.8941 "/>
    <x v="0"/>
    <n v="506118"/>
    <m/>
    <m/>
    <m/>
  </r>
  <r>
    <x v="3"/>
    <x v="7"/>
    <s v="F:\images\20210225\plaque 1/@03 EE2 50.6/H3_03.tif "/>
    <s v=" 5039.7654 "/>
    <s v=" 68.4077 "/>
    <x v="0"/>
    <n v="344759"/>
    <m/>
    <m/>
    <m/>
  </r>
  <r>
    <x v="1"/>
    <x v="8"/>
    <s v=" "/>
    <m/>
    <m/>
    <x v="1"/>
    <m/>
    <m/>
    <m/>
    <m/>
  </r>
  <r>
    <x v="1"/>
    <x v="8"/>
    <s v="group "/>
    <s v=" "/>
    <s v=" mean of mean fluo "/>
    <x v="2"/>
    <s v=" mean of total fluo "/>
    <s v=" SD total fluo "/>
    <s v=" n fluorescent "/>
    <s v=" n total"/>
  </r>
  <r>
    <x v="3"/>
    <x v="9"/>
    <s v="F:\images\20210225\plaque 1/@03 EE2 50.6/ "/>
    <s v=" "/>
    <s v=" 66.3828 "/>
    <x v="5"/>
    <s v=" 256353.875 "/>
    <s v=" 235214.61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225\plaque 1/@04 EE2 76/A4_01.tif "/>
    <s v=" 2682.1069 "/>
    <s v=" 64.5968 "/>
    <x v="0"/>
    <n v="173255"/>
    <m/>
    <m/>
    <m/>
  </r>
  <r>
    <x v="4"/>
    <x v="0"/>
    <s v="F:\images\20210225\plaque 1/@04 EE2 76/A4_02.tif "/>
    <s v=" 713.7865 "/>
    <s v=" 62.3636 "/>
    <x v="0"/>
    <n v="44514"/>
    <m/>
    <m/>
    <m/>
  </r>
  <r>
    <x v="4"/>
    <x v="0"/>
    <s v="F:\images\20210225\plaque 1/@04 EE2 76/A4_03.tif "/>
    <s v=" 2054.84 "/>
    <s v=" 64.7684 "/>
    <x v="0"/>
    <n v="133089"/>
    <m/>
    <m/>
    <m/>
  </r>
  <r>
    <x v="4"/>
    <x v="1"/>
    <s v="F:\images\20210225\plaque 1/@04 EE2 76/B4_01.tif "/>
    <s v=" 9452.264 "/>
    <s v=" 65.9359 "/>
    <x v="0"/>
    <n v="623244"/>
    <m/>
    <m/>
    <m/>
  </r>
  <r>
    <x v="4"/>
    <x v="1"/>
    <s v="F:\images\20210225\plaque 1/@04 EE2 76/B4_02.tif "/>
    <s v=" 5948.221 "/>
    <s v=" 64.8982 "/>
    <x v="0"/>
    <n v="386029"/>
    <m/>
    <m/>
    <m/>
  </r>
  <r>
    <x v="4"/>
    <x v="1"/>
    <s v="F:\images\20210225\plaque 1/@04 EE2 76/B4_03.tif "/>
    <s v=" 9928.1216 "/>
    <s v=" 65.5817 "/>
    <x v="0"/>
    <n v="651103"/>
    <m/>
    <m/>
    <m/>
  </r>
  <r>
    <x v="4"/>
    <x v="2"/>
    <s v="F:\images\20210225\plaque 1/@04 EE2 76/C4_01.tif "/>
    <s v=" 25588.1653 "/>
    <s v=" 66.885 "/>
    <x v="0"/>
    <n v="1711465"/>
    <m/>
    <m/>
    <m/>
  </r>
  <r>
    <x v="4"/>
    <x v="2"/>
    <s v="F:\images\20210225\plaque 1/@04 EE2 76/C4_02.tif "/>
    <s v=" 25242.087 "/>
    <s v=" 67.0968 "/>
    <x v="0"/>
    <n v="1693664"/>
    <m/>
    <m/>
    <m/>
  </r>
  <r>
    <x v="4"/>
    <x v="2"/>
    <s v="F:\images\20210225\plaque 1/@04 EE2 76/C4_03.tif "/>
    <s v=" 26842.6992 "/>
    <s v=" 66.8985 "/>
    <x v="0"/>
    <n v="1795735"/>
    <m/>
    <m/>
    <m/>
  </r>
  <r>
    <x v="4"/>
    <x v="3"/>
    <s v="F:\images\20210225\plaque 1/@04 EE2 76/D4_01.tif "/>
    <s v=" 1276.1638 "/>
    <s v=" 63.2712 "/>
    <x v="0"/>
    <n v="80744"/>
    <m/>
    <m/>
    <m/>
  </r>
  <r>
    <x v="4"/>
    <x v="3"/>
    <s v="F:\images\20210225\plaque 1/@04 EE2 76/D4_02.tif "/>
    <s v=" 1946.6905 "/>
    <s v=" 64.2222 "/>
    <x v="0"/>
    <n v="125021"/>
    <m/>
    <m/>
    <m/>
  </r>
  <r>
    <x v="4"/>
    <x v="3"/>
    <s v="F:\images\20210225\plaque 1/@04 EE2 76/D4_03.tif "/>
    <s v=" 1016.605 "/>
    <s v=" 62.4894 "/>
    <x v="0"/>
    <n v="63527"/>
    <m/>
    <m/>
    <m/>
  </r>
  <r>
    <x v="4"/>
    <x v="4"/>
    <s v="F:\images\20210225\plaque 1/@04 EE2 76/E4_01.tif "/>
    <s v=" 28508.2011 "/>
    <s v=" 67.1153 "/>
    <x v="0"/>
    <n v="1913337"/>
    <m/>
    <m/>
    <m/>
  </r>
  <r>
    <x v="4"/>
    <x v="4"/>
    <s v="F:\images\20210225\plaque 1/@04 EE2 76/E4_02.tif "/>
    <s v=" 25955.8736 "/>
    <s v=" 66.2475 "/>
    <x v="0"/>
    <n v="1719512"/>
    <m/>
    <m/>
    <m/>
  </r>
  <r>
    <x v="4"/>
    <x v="4"/>
    <s v="F:\images\20210225\plaque 1/@04 EE2 76/E4_03.tif "/>
    <s v=" 27383.4466 "/>
    <s v=" 66.6754 "/>
    <x v="0"/>
    <n v="1825801"/>
    <m/>
    <m/>
    <m/>
  </r>
  <r>
    <x v="4"/>
    <x v="5"/>
    <s v="F:\images\20210225\plaque 1/@04 EE2 76/F4_01.tif "/>
    <s v=" 16395.4601 "/>
    <s v=" 65.0092 "/>
    <x v="0"/>
    <n v="1065856"/>
    <m/>
    <m/>
    <m/>
  </r>
  <r>
    <x v="4"/>
    <x v="5"/>
    <s v="F:\images\20210225\plaque 1/@04 EE2 76/F4_02.tif "/>
    <s v=" 18212.3713 "/>
    <s v=" 65.962 "/>
    <x v="0"/>
    <n v="1201324"/>
    <m/>
    <m/>
    <m/>
  </r>
  <r>
    <x v="4"/>
    <x v="5"/>
    <s v="F:\images\20210225\plaque 1/@04 EE2 76/F4_03.tif "/>
    <s v=" 10079.5309 "/>
    <s v=" 64.3948 "/>
    <x v="0"/>
    <n v="649070"/>
    <m/>
    <m/>
    <m/>
  </r>
  <r>
    <x v="4"/>
    <x v="6"/>
    <s v="F:\images\20210225\plaque 1/@04 EE2 76/G4_01.tif "/>
    <s v=" 14362.25 "/>
    <s v=" 68.8825 "/>
    <x v="0"/>
    <n v="989308"/>
    <m/>
    <m/>
    <m/>
  </r>
  <r>
    <x v="4"/>
    <x v="6"/>
    <s v="F:\images\20210225\plaque 1/@04 EE2 76/G4_02.tif "/>
    <s v=" 18428.6702 "/>
    <s v=" 68.7653 "/>
    <x v="0"/>
    <n v="1267252"/>
    <m/>
    <m/>
    <m/>
  </r>
  <r>
    <x v="4"/>
    <x v="6"/>
    <s v="F:\images\20210225\plaque 1/@04 EE2 76/G4_03.tif "/>
    <s v=" 17325.5456 "/>
    <s v=" 69.578 "/>
    <x v="0"/>
    <n v="1205477"/>
    <m/>
    <m/>
    <m/>
  </r>
  <r>
    <x v="4"/>
    <x v="7"/>
    <s v="F:\images\20210225\plaque 1/@04 EE2 76/H4_01.tif "/>
    <s v=" 4996.5057 "/>
    <s v=" 64.7359 "/>
    <x v="0"/>
    <n v="323453"/>
    <m/>
    <m/>
    <m/>
  </r>
  <r>
    <x v="4"/>
    <x v="7"/>
    <s v="F:\images\20210225\plaque 1/@04 EE2 76/H4_02.tif "/>
    <s v=" 6315.9292 "/>
    <s v=" 63.524 "/>
    <x v="0"/>
    <n v="401213"/>
    <m/>
    <m/>
    <m/>
  </r>
  <r>
    <x v="4"/>
    <x v="7"/>
    <s v="F:\images\20210225\plaque 1/@04 EE2 76/H4_03.tif "/>
    <s v=" 4174.5697 "/>
    <s v=" 63.7565 "/>
    <x v="0"/>
    <n v="266156"/>
    <m/>
    <m/>
    <m/>
  </r>
  <r>
    <x v="1"/>
    <x v="8"/>
    <s v=" "/>
    <m/>
    <m/>
    <x v="1"/>
    <m/>
    <m/>
    <m/>
    <m/>
  </r>
  <r>
    <x v="1"/>
    <x v="8"/>
    <s v="group "/>
    <s v=" "/>
    <s v=" mean of mean fluo "/>
    <x v="2"/>
    <s v=" mean of total fluo "/>
    <s v=" SD total fluo "/>
    <s v=" n fluorescent "/>
    <s v=" n total"/>
  </r>
  <r>
    <x v="4"/>
    <x v="9"/>
    <s v="F:\images\20210225\plaque 1/@04 EE2 76/ "/>
    <s v=" "/>
    <s v=" 65.5689 "/>
    <x v="6"/>
    <s v=" 846214.542 "/>
    <s v=" 665927.7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225\plaque 1/@05 EE2 114/A5_01.tif "/>
    <s v=" 21197.2967 "/>
    <s v=" 67.3163 "/>
    <x v="0"/>
    <n v="1426924"/>
    <m/>
    <m/>
    <m/>
  </r>
  <r>
    <x v="5"/>
    <x v="0"/>
    <s v="F:\images\20210225\plaque 1/@05 EE2 114/A5_02.tif "/>
    <s v=" 19510.165 "/>
    <s v=" 67.5155 "/>
    <x v="0"/>
    <n v="1317239"/>
    <m/>
    <m/>
    <m/>
  </r>
  <r>
    <x v="5"/>
    <x v="0"/>
    <s v="F:\images\20210225\plaque 1/@05 EE2 114/A5_03.tif "/>
    <s v=" 13064.4564 "/>
    <s v=" 65.3146 "/>
    <x v="0"/>
    <n v="853299"/>
    <m/>
    <m/>
    <m/>
  </r>
  <r>
    <x v="5"/>
    <x v="1"/>
    <s v="F:\images\20210225\plaque 1/@05 EE2 114/B5_01.tif "/>
    <s v=" 56410.7652 "/>
    <s v=" 78.5498 "/>
    <x v="0"/>
    <n v="4431057"/>
    <m/>
    <m/>
    <m/>
  </r>
  <r>
    <x v="5"/>
    <x v="1"/>
    <s v="F:\images\20210225\plaque 1/@05 EE2 114/B5_02.tif "/>
    <s v=" 56691.9538 "/>
    <s v=" 77.462 "/>
    <x v="0"/>
    <n v="4391474"/>
    <m/>
    <m/>
    <m/>
  </r>
  <r>
    <x v="5"/>
    <x v="1"/>
    <s v="F:\images\20210225\plaque 1/@05 EE2 114/B5_03.tif "/>
    <s v=" 49813.6473 "/>
    <s v=" 77.8068 "/>
    <x v="0"/>
    <n v="3875839"/>
    <m/>
    <m/>
    <m/>
  </r>
  <r>
    <x v="5"/>
    <x v="2"/>
    <s v="F:\images\20210225\plaque 1/@05 EE2 114/C5_01.tif "/>
    <s v=" 38090.2444 "/>
    <s v=" 69.3799 "/>
    <x v="0"/>
    <n v="2642697"/>
    <m/>
    <m/>
    <m/>
  </r>
  <r>
    <x v="5"/>
    <x v="2"/>
    <s v="F:\images\20210225\plaque 1/@05 EE2 114/C5_02.tif "/>
    <s v=" 32877.4398 "/>
    <s v=" 68.7533 "/>
    <x v="0"/>
    <n v="2260432"/>
    <m/>
    <m/>
    <m/>
  </r>
  <r>
    <x v="5"/>
    <x v="2"/>
    <s v="F:\images\20210225\plaque 1/@05 EE2 114/C5_03.tif "/>
    <s v=" 31601.2761 "/>
    <s v=" 69.4497 "/>
    <x v="0"/>
    <n v="2194699"/>
    <m/>
    <m/>
    <m/>
  </r>
  <r>
    <x v="5"/>
    <x v="3"/>
    <s v="F:\images\20210225\plaque 1/@05 EE2 114/D5_01.tif "/>
    <s v=" 53079.7614 "/>
    <s v=" 70.1206 "/>
    <x v="0"/>
    <n v="3721986"/>
    <m/>
    <m/>
    <m/>
  </r>
  <r>
    <x v="5"/>
    <x v="3"/>
    <s v="F:\images\20210225\plaque 1/@05 EE2 114/D5_02.tif "/>
    <s v=" 51587.2987 "/>
    <s v=" 70.6298 "/>
    <x v="0"/>
    <n v="3643599"/>
    <m/>
    <m/>
    <m/>
  </r>
  <r>
    <x v="5"/>
    <x v="3"/>
    <s v="F:\images\20210225\plaque 1/@05 EE2 114/D5_03.tif "/>
    <s v=" 52257.8254 "/>
    <s v=" 70.5691 "/>
    <x v="0"/>
    <n v="3687789"/>
    <m/>
    <m/>
    <m/>
  </r>
  <r>
    <x v="5"/>
    <x v="4"/>
    <s v="F:\images\20210225\plaque 1/@05 EE2 114/E5_01.tif "/>
    <s v=" 27945.8239 "/>
    <s v=" 67.6029 "/>
    <x v="0"/>
    <n v="1889220"/>
    <m/>
    <m/>
    <m/>
  </r>
  <r>
    <x v="5"/>
    <x v="4"/>
    <s v="F:\images\20210225\plaque 1/@05 EE2 114/E5_02.tif "/>
    <s v=" 27513.226 "/>
    <s v=" 66.9921 "/>
    <x v="0"/>
    <n v="1843170"/>
    <m/>
    <m/>
    <m/>
  </r>
  <r>
    <x v="5"/>
    <x v="4"/>
    <s v="F:\images\20210225\plaque 1/@05 EE2 114/E5_03.tif "/>
    <s v=" 27167.1477 "/>
    <s v=" 66.5088 "/>
    <x v="0"/>
    <n v="1806853"/>
    <m/>
    <m/>
    <m/>
  </r>
  <r>
    <x v="5"/>
    <x v="5"/>
    <s v="F:\images\20210225\plaque 1/@05 EE2 114/F5_01.tif "/>
    <s v=" 21716.4142 "/>
    <s v=" 67.4851 "/>
    <x v="0"/>
    <n v="1465534"/>
    <m/>
    <m/>
    <m/>
  </r>
  <r>
    <x v="5"/>
    <x v="5"/>
    <s v="F:\images\20210225\plaque 1/@05 EE2 114/F5_02.tif "/>
    <s v=" 18471.93 "/>
    <s v=" 66.2974 "/>
    <x v="0"/>
    <n v="1224641"/>
    <m/>
    <m/>
    <m/>
  </r>
  <r>
    <x v="5"/>
    <x v="5"/>
    <s v="F:\images\20210225\plaque 1/@05 EE2 114/F5_03.tif "/>
    <s v=" 20591.6597 "/>
    <s v=" 66.4664 "/>
    <x v="0"/>
    <n v="1368653"/>
    <m/>
    <m/>
    <m/>
  </r>
  <r>
    <x v="5"/>
    <x v="6"/>
    <s v="F:\images\20210225\plaque 1/@05 EE2 114/G5_01.tif "/>
    <s v=" 58270.9361 "/>
    <s v=" 98.3051 "/>
    <x v="0"/>
    <n v="5728332"/>
    <m/>
    <m/>
    <m/>
  </r>
  <r>
    <x v="5"/>
    <x v="6"/>
    <s v="F:\images\20210225\plaque 1/@05 EE2 114/G5_02.tif "/>
    <s v=" 53750.2882 "/>
    <s v=" 97.2829 "/>
    <x v="0"/>
    <n v="5228984"/>
    <m/>
    <m/>
    <m/>
  </r>
  <r>
    <x v="5"/>
    <x v="6"/>
    <s v="F:\images\20210225\plaque 1/@05 EE2 114/G5_03.tif "/>
    <s v=" 58249.3062 "/>
    <s v=" 95.9001 "/>
    <x v="0"/>
    <n v="5586115"/>
    <m/>
    <m/>
    <m/>
  </r>
  <r>
    <x v="5"/>
    <x v="7"/>
    <s v="F:\images\20210225\plaque 1/@05 EE2 114/H5_01.tif "/>
    <s v=" 37873.9455 "/>
    <s v=" 68.0879 "/>
    <x v="0"/>
    <n v="2578759"/>
    <m/>
    <m/>
    <m/>
  </r>
  <r>
    <x v="5"/>
    <x v="7"/>
    <s v="F:\images\20210225\plaque 1/@05 EE2 114/H5_02.tif "/>
    <s v=" 30281.8525 "/>
    <s v=" 67.7507 "/>
    <x v="0"/>
    <n v="2051617"/>
    <m/>
    <m/>
    <m/>
  </r>
  <r>
    <x v="5"/>
    <x v="7"/>
    <s v="F:\images\20210225\plaque 1/@05 EE2 114/H5_03.tif "/>
    <s v=" 32661.1409 "/>
    <s v=" 68.0709 "/>
    <x v="0"/>
    <n v="2223272"/>
    <m/>
    <m/>
    <m/>
  </r>
  <r>
    <x v="1"/>
    <x v="8"/>
    <s v=" "/>
    <m/>
    <m/>
    <x v="1"/>
    <m/>
    <m/>
    <m/>
    <m/>
  </r>
  <r>
    <x v="1"/>
    <x v="8"/>
    <s v="group "/>
    <s v=" "/>
    <s v=" mean of mean fluo "/>
    <x v="2"/>
    <s v=" mean of total fluo "/>
    <s v=" SD total fluo "/>
    <s v=" n fluorescent "/>
    <s v=" n total"/>
  </r>
  <r>
    <x v="5"/>
    <x v="9"/>
    <s v="F:\images\20210225\plaque 1/@05 EE2 114/ "/>
    <s v=" "/>
    <s v=" 72.9007 "/>
    <x v="7"/>
    <n v="2810091"/>
    <s v=" 1466668.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225\plaque 1/@06 EE2 170.9/A6_01.tif "/>
    <s v=" 43519.348 "/>
    <s v=" 79.5601 "/>
    <x v="0"/>
    <n v="3462405"/>
    <m/>
    <m/>
    <m/>
  </r>
  <r>
    <x v="6"/>
    <x v="0"/>
    <s v="F:\images\20210225\plaque 1/@06 EE2 170.9/A6_02.tif "/>
    <s v=" 39972.0453 "/>
    <s v=" 78.4021 "/>
    <x v="0"/>
    <n v="3133891"/>
    <m/>
    <m/>
    <m/>
  </r>
  <r>
    <x v="6"/>
    <x v="0"/>
    <s v="F:\images\20210225\plaque 1/@06 EE2 170.9/A6_03.tif "/>
    <s v=" 36684.3013 "/>
    <s v=" 80.6822 "/>
    <x v="0"/>
    <n v="2959770"/>
    <m/>
    <m/>
    <m/>
  </r>
  <r>
    <x v="6"/>
    <x v="1"/>
    <s v="F:\images\20210225\plaque 1/@06 EE2 170.9/B6_01.tif "/>
    <s v=" 49489.1989 "/>
    <s v=" 96.7605 "/>
    <x v="0"/>
    <n v="4788599"/>
    <m/>
    <m/>
    <m/>
  </r>
  <r>
    <x v="6"/>
    <x v="1"/>
    <s v="F:\images\20210225\plaque 1/@06 EE2 170.9/B6_02.tif "/>
    <s v=" 49229.6402 "/>
    <s v=" 94.8453 "/>
    <x v="0"/>
    <n v="4669202"/>
    <m/>
    <m/>
    <m/>
  </r>
  <r>
    <x v="6"/>
    <x v="1"/>
    <s v="F:\images\20210225\plaque 1/@06 EE2 170.9/B6_03.tif "/>
    <s v=" 44600.8427 "/>
    <s v=" 98.7236 "/>
    <x v="0"/>
    <n v="4403154"/>
    <m/>
    <m/>
    <m/>
  </r>
  <r>
    <x v="6"/>
    <x v="2"/>
    <s v="F:\images\20210225\plaque 1/@06 EE2 170.9/C6_01.tif "/>
    <s v=" 63894.7087 "/>
    <s v=" 77.1083 "/>
    <x v="0"/>
    <n v="4926814"/>
    <m/>
    <m/>
    <m/>
  </r>
  <r>
    <x v="6"/>
    <x v="2"/>
    <s v="F:\images\20210225\plaque 1/@06 EE2 170.9/C6_02.tif "/>
    <s v=" 63570.2603 "/>
    <s v=" 76.1119 "/>
    <x v="0"/>
    <n v="4838456"/>
    <m/>
    <m/>
    <m/>
  </r>
  <r>
    <x v="6"/>
    <x v="2"/>
    <s v="F:\images\20210225\plaque 1/@06 EE2 170.9/C6_03.tif "/>
    <s v=" 60520.4452 "/>
    <s v=" 73.9793 "/>
    <x v="0"/>
    <n v="4477258"/>
    <m/>
    <m/>
    <m/>
  </r>
  <r>
    <x v="6"/>
    <x v="3"/>
    <s v="F:\images\20210225\plaque 1/@06 EE2 170.9/D6_01.tif "/>
    <s v=" 55221.121 "/>
    <s v=" 80.2107 "/>
    <x v="0"/>
    <n v="4429327"/>
    <m/>
    <m/>
    <m/>
  </r>
  <r>
    <x v="6"/>
    <x v="3"/>
    <s v="F:\images\20210225\plaque 1/@06 EE2 170.9/D6_02.tif "/>
    <s v=" 56908.2528 "/>
    <s v=" 81.1912 "/>
    <x v="0"/>
    <n v="4620448"/>
    <m/>
    <m/>
    <m/>
  </r>
  <r>
    <x v="6"/>
    <x v="3"/>
    <s v="F:\images\20210225\plaque 1/@06 EE2 170.9/D6_03.tif "/>
    <s v=" 54961.5623 "/>
    <s v=" 81.5266 "/>
    <x v="0"/>
    <n v="4480827"/>
    <m/>
    <m/>
    <m/>
  </r>
  <r>
    <x v="6"/>
    <x v="4"/>
    <s v="F:\images\20210225\plaque 1/@06 EE2 170.9/E6_01.tif "/>
    <s v=" 62121.0574 "/>
    <s v=" 77.1361 "/>
    <x v="0"/>
    <n v="4791779"/>
    <m/>
    <m/>
    <m/>
  </r>
  <r>
    <x v="6"/>
    <x v="4"/>
    <s v="F:\images\20210225\plaque 1/@06 EE2 170.9/E6_02.tif "/>
    <s v=" 57989.7475 "/>
    <s v=" 77.2536 "/>
    <x v="0"/>
    <n v="4479919"/>
    <m/>
    <m/>
    <m/>
  </r>
  <r>
    <x v="6"/>
    <x v="4"/>
    <s v="F:\images\20210225\plaque 1/@06 EE2 170.9/E6_03.tif "/>
    <s v=" 59330.801 "/>
    <s v=" 77.0809 "/>
    <x v="0"/>
    <n v="4573274"/>
    <m/>
    <m/>
    <m/>
  </r>
  <r>
    <x v="6"/>
    <x v="5"/>
    <s v="F:\images\20210225\plaque 1/@06 EE2 170.9/F6_01.tif "/>
    <s v=" 66641.7054 "/>
    <s v=" 80.5359 "/>
    <x v="0"/>
    <n v="5367047"/>
    <m/>
    <m/>
    <m/>
  </r>
  <r>
    <x v="6"/>
    <x v="5"/>
    <s v="F:\images\20210225\plaque 1/@06 EE2 170.9/F6_02.tif "/>
    <s v=" 66338.8868 "/>
    <s v=" 78.5174 "/>
    <x v="0"/>
    <n v="5208760"/>
    <m/>
    <m/>
    <m/>
  </r>
  <r>
    <x v="6"/>
    <x v="5"/>
    <s v="F:\images\20210225\plaque 1/@06 EE2 170.9/F6_03.tif "/>
    <s v=" 74579.8767 "/>
    <s v=" 74.2387 "/>
    <x v="0"/>
    <n v="5536712"/>
    <m/>
    <m/>
    <m/>
  </r>
  <r>
    <x v="6"/>
    <x v="6"/>
    <s v="F:\images\20210225\plaque 1/@06 EE2 170.9/G6_01.tif "/>
    <s v=" 692.1566 "/>
    <s v=" 63.0938 "/>
    <x v="0"/>
    <n v="43671"/>
    <m/>
    <m/>
    <m/>
  </r>
  <r>
    <x v="6"/>
    <x v="6"/>
    <s v="F:\images\20210225\plaque 1/@06 EE2 170.9/G6_02.tif "/>
    <s v=" 1124.7545 "/>
    <s v=" 64.75 "/>
    <x v="0"/>
    <n v="72828"/>
    <m/>
    <m/>
    <m/>
  </r>
  <r>
    <x v="6"/>
    <x v="6"/>
    <s v="F:\images\20210225\plaque 1/@06 EE2 170.9/G6_03.tif "/>
    <s v=" 237.9288 "/>
    <s v=" 63.8182 "/>
    <x v="0"/>
    <n v="15184"/>
    <m/>
    <m/>
    <m/>
  </r>
  <r>
    <x v="6"/>
    <x v="7"/>
    <s v="F:\images\20210225\plaque 1/@06 EE2 170.9/H6_01- exclu.tif"/>
    <m/>
    <m/>
    <x v="1"/>
    <m/>
    <m/>
    <m/>
    <m/>
  </r>
  <r>
    <x v="6"/>
    <x v="7"/>
    <s v="F:\images\20210225\plaque 1/@06 EE2 170.9/H6_02.tif "/>
    <s v=" 41961.9956 "/>
    <s v=" 81.0639 "/>
    <x v="0"/>
    <n v="3401604"/>
    <m/>
    <m/>
    <m/>
  </r>
  <r>
    <x v="6"/>
    <x v="7"/>
    <s v="F:\images\20210225\plaque 1/@06 EE2 170.9/H6_03.tif "/>
    <s v=" 42913.7109 "/>
    <s v=" 78.5872 "/>
    <x v="0"/>
    <n v="3372468"/>
    <m/>
    <m/>
    <m/>
  </r>
  <r>
    <x v="1"/>
    <x v="8"/>
    <s v=" "/>
    <m/>
    <m/>
    <x v="1"/>
    <m/>
    <m/>
    <m/>
    <m/>
  </r>
  <r>
    <x v="1"/>
    <x v="8"/>
    <s v="group "/>
    <s v=" "/>
    <s v=" mean of mean fluo "/>
    <x v="2"/>
    <s v=" mean of total fluo "/>
    <s v=" SD total fluo "/>
    <s v=" n fluorescent "/>
    <s v=" n total"/>
  </r>
  <r>
    <x v="6"/>
    <x v="9"/>
    <s v="F:\images\20210225\plaque 1/@06 EE2 170.9/ "/>
    <s v=" "/>
    <s v=" 78.9749 "/>
    <x v="8"/>
    <s v=" 3817393.38 "/>
    <s v=" 161402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225\plaque 1/@07 EE2 488/A7_01.tif "/>
    <s v=" 74839.4354 "/>
    <s v=" 98.7942 "/>
    <x v="0"/>
    <n v="7393704"/>
    <m/>
    <m/>
    <m/>
  </r>
  <r>
    <x v="7"/>
    <x v="0"/>
    <s v="F:\images\20210225\plaque 1/@07 EE2 488/A7_02.tif "/>
    <s v=" 84875.7065 "/>
    <s v=" 95.356 "/>
    <x v="0"/>
    <n v="8093409"/>
    <m/>
    <m/>
    <m/>
  </r>
  <r>
    <x v="7"/>
    <x v="0"/>
    <s v="F:\images\20210225\plaque 1/@07 EE2 488/A7_03.tif "/>
    <s v=" 74428.4674 "/>
    <s v=" 98.7524 "/>
    <x v="0"/>
    <n v="7349990"/>
    <m/>
    <m/>
    <m/>
  </r>
  <r>
    <x v="7"/>
    <x v="1"/>
    <s v="F:\images\20210225\plaque 1/@07 EE2 488/B7_01.tif "/>
    <s v=" 75661.3714 "/>
    <s v=" 94.1595 "/>
    <x v="0"/>
    <n v="7124238"/>
    <m/>
    <m/>
    <m/>
  </r>
  <r>
    <x v="7"/>
    <x v="1"/>
    <s v="F:\images\20210225\plaque 1/@07 EE2 488/B7_02.tif "/>
    <s v=" 75034.1045 "/>
    <s v=" 98.2073 "/>
    <x v="0"/>
    <n v="7368894"/>
    <m/>
    <m/>
    <m/>
  </r>
  <r>
    <x v="7"/>
    <x v="1"/>
    <s v="F:\images\20210225\plaque 1/@07 EE2 488/B7_03.tif "/>
    <s v=" 65971.1786 "/>
    <s v=" 99.2361 "/>
    <x v="0"/>
    <n v="6546720"/>
    <m/>
    <m/>
    <m/>
  </r>
  <r>
    <x v="7"/>
    <x v="2"/>
    <s v="F:\images\20210225\plaque 1/@07 EE2 488/C7_01.tif "/>
    <s v=" 75120.624 "/>
    <s v=" 95.9896 "/>
    <x v="0"/>
    <n v="7210801"/>
    <m/>
    <m/>
    <m/>
  </r>
  <r>
    <x v="7"/>
    <x v="2"/>
    <s v="F:\images\20210225\plaque 1/@07 EE2 488/C7_02.tif "/>
    <s v=" 75899.3003 "/>
    <s v=" 94.7375 "/>
    <x v="0"/>
    <n v="7190512"/>
    <m/>
    <m/>
    <m/>
  </r>
  <r>
    <x v="7"/>
    <x v="2"/>
    <s v="F:\images\20210225\plaque 1/@07 EE2 488/C7_03.tif "/>
    <s v=" 78235.3289 "/>
    <s v=" 93.4213 "/>
    <x v="0"/>
    <n v="7308850"/>
    <m/>
    <m/>
    <m/>
  </r>
  <r>
    <x v="7"/>
    <x v="3"/>
    <s v="F:\images\20210225\plaque 1/@07 EE2 488/D7_01.tif "/>
    <s v=" 83750.952 "/>
    <s v=" 99.8381 "/>
    <x v="0"/>
    <n v="8361533"/>
    <m/>
    <m/>
    <m/>
  </r>
  <r>
    <x v="7"/>
    <x v="3"/>
    <s v="F:\images\20210225\plaque 1/@07 EE2 488/D7_02.tif "/>
    <s v=" 86995.4362 "/>
    <s v=" 93.2233 "/>
    <x v="0"/>
    <n v="8109999"/>
    <m/>
    <m/>
    <m/>
  </r>
  <r>
    <x v="7"/>
    <x v="3"/>
    <s v="F:\images\20210225\plaque 1/@07 EE2 488/D7_03.tif "/>
    <s v=" 82993.9057 "/>
    <s v=" 98.2041 "/>
    <x v="0"/>
    <n v="8150339"/>
    <m/>
    <m/>
    <m/>
  </r>
  <r>
    <x v="7"/>
    <x v="4"/>
    <s v="F:\images\20210225\plaque 1/@07 EE2 488/E7_01.tif "/>
    <s v=" 2487.4379 "/>
    <s v=" 64.1043 "/>
    <x v="0"/>
    <n v="159456"/>
    <m/>
    <m/>
    <m/>
  </r>
  <r>
    <x v="7"/>
    <x v="4"/>
    <s v="F:\images\20210225\plaque 1/@07 EE2 488/E7_02.tif "/>
    <s v=" 11377.3246 "/>
    <s v=" 77.962 "/>
    <x v="0"/>
    <n v="886999"/>
    <m/>
    <m/>
    <m/>
  </r>
  <r>
    <x v="7"/>
    <x v="4"/>
    <s v="F:\images\20210225\plaque 1/@07 EE2 488/E7_03.tif "/>
    <s v=" 10641.9082 "/>
    <s v=" 72.1585 "/>
    <x v="0"/>
    <n v="767905"/>
    <m/>
    <m/>
    <m/>
  </r>
  <r>
    <x v="7"/>
    <x v="5"/>
    <s v="F:\images\20210225\plaque 1/@07 EE2 488/F7_01.tif "/>
    <s v=" 25544.9056 "/>
    <s v=" 100.906 "/>
    <x v="0"/>
    <n v="2577635"/>
    <m/>
    <m/>
    <m/>
  </r>
  <r>
    <x v="7"/>
    <x v="5"/>
    <s v="F:\images\20210225\plaque 1/@07 EE2 488/F7_02.tif "/>
    <s v=" 31601.2761 "/>
    <s v=" 91.0198 "/>
    <x v="0"/>
    <n v="2876343"/>
    <m/>
    <m/>
    <m/>
  </r>
  <r>
    <x v="7"/>
    <x v="5"/>
    <s v="F:\images\20210225\plaque 1/@07 EE2 488/F7_03.tif "/>
    <s v=" 26756.1797 "/>
    <s v=" 99.4519 "/>
    <x v="0"/>
    <n v="2660953"/>
    <m/>
    <m/>
    <m/>
  </r>
  <r>
    <x v="7"/>
    <x v="6"/>
    <s v="F:\images\20210225\plaque 1/@07 EE2 488/G7_01.tif "/>
    <s v=" 63873.0788 "/>
    <s v=" 108.8012 "/>
    <x v="0"/>
    <n v="6949469"/>
    <m/>
    <m/>
    <m/>
  </r>
  <r>
    <x v="7"/>
    <x v="6"/>
    <s v="F:\images\20210225\plaque 1/@07 EE2 488/G7_02.tif "/>
    <s v=" 63656.7799 "/>
    <s v=" 107.7397 "/>
    <x v="0"/>
    <n v="6858364"/>
    <m/>
    <m/>
    <m/>
  </r>
  <r>
    <x v="7"/>
    <x v="6"/>
    <s v="F:\images\20210225\plaque 1/@07 EE2 488/G7_03.tif "/>
    <s v=" 72308.7377 "/>
    <s v=" 101.9141 "/>
    <x v="0"/>
    <n v="7369283"/>
    <m/>
    <m/>
    <m/>
  </r>
  <r>
    <x v="7"/>
    <x v="7"/>
    <s v="F:\images\20210225\plaque 1/@07 EE2 488/H7_01.tif "/>
    <s v=" 63916.3386 "/>
    <s v=" 105.7371 "/>
    <x v="0"/>
    <n v="6758325"/>
    <m/>
    <m/>
    <m/>
  </r>
  <r>
    <x v="7"/>
    <x v="7"/>
    <s v="F:\images\20210225\plaque 1/@07 EE2 488/H7_02.tif "/>
    <s v=" 66295.627 "/>
    <s v=" 106.3961 "/>
    <x v="0"/>
    <n v="7053595"/>
    <m/>
    <m/>
    <m/>
  </r>
  <r>
    <x v="7"/>
    <x v="7"/>
    <s v="F:\images\20210225\plaque 1/@07 EE2 488/H7_03.tif "/>
    <s v=" 51846.8574 "/>
    <s v=" 117.8327 "/>
    <x v="0"/>
    <n v="6109256"/>
    <m/>
    <m/>
    <m/>
  </r>
  <r>
    <x v="1"/>
    <x v="8"/>
    <s v=" "/>
    <m/>
    <m/>
    <x v="1"/>
    <m/>
    <m/>
    <m/>
    <m/>
  </r>
  <r>
    <x v="1"/>
    <x v="8"/>
    <s v="group "/>
    <s v=" "/>
    <s v=" mean of mean fluo "/>
    <x v="2"/>
    <s v=" mean of total fluo "/>
    <s v=" SD total fluo "/>
    <s v=" n fluorescent "/>
    <s v=" n total"/>
  </r>
  <r>
    <x v="7"/>
    <x v="9"/>
    <s v="F:\images\20210225\plaque 1/@07 EE2 488/ "/>
    <s v=" "/>
    <s v=" 96.4143 "/>
    <x v="9"/>
    <s v=" 5884857.17 "/>
    <s v=" 2604126.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225\plaque 1/@08 Cefuroxime ND 0.001/A8_01.tif "/>
    <s v=" 2595.5874 "/>
    <s v=" 64.1 "/>
    <x v="0"/>
    <n v="166377"/>
    <m/>
    <m/>
    <m/>
  </r>
  <r>
    <x v="8"/>
    <x v="0"/>
    <s v="F:\images\20210225\plaque 1/@08 Cefuroxime ND 0.001/A8_02.tif "/>
    <s v=" 4780.2067 "/>
    <s v=" 66.267 "/>
    <x v="0"/>
    <n v="316770"/>
    <m/>
    <m/>
    <m/>
  </r>
  <r>
    <x v="8"/>
    <x v="0"/>
    <s v="F:\images\20210225\plaque 1/@08 Cefuroxime ND 0.001/A8_03.tif "/>
    <s v=" 1730.3916 "/>
    <s v=" 63.725 "/>
    <x v="0"/>
    <n v="110269"/>
    <m/>
    <m/>
    <m/>
  </r>
  <r>
    <x v="8"/>
    <x v="1"/>
    <s v="F:\images\20210225\plaque 1/@08 Cefuroxime ND 0.001/B8_01.tif "/>
    <s v=" 713.7865 "/>
    <s v=" 63.9091 "/>
    <x v="0"/>
    <n v="45617"/>
    <m/>
    <m/>
    <m/>
  </r>
  <r>
    <x v="8"/>
    <x v="1"/>
    <s v="F:\images\20210225\plaque 1/@08 Cefuroxime ND 0.001/B8_02.tif "/>
    <s v=" 4196.1996 "/>
    <s v=" 69.8402 "/>
    <x v="0"/>
    <n v="293063"/>
    <m/>
    <m/>
    <m/>
  </r>
  <r>
    <x v="8"/>
    <x v="1"/>
    <s v="F:\images\20210225\plaque 1/@08 Cefuroxime ND 0.001/B8_03.tif "/>
    <s v=" 3677.0821 "/>
    <s v=" 66.1647 "/>
    <x v="0"/>
    <n v="243293"/>
    <m/>
    <m/>
    <m/>
  </r>
  <r>
    <x v="8"/>
    <x v="2"/>
    <s v="F:\images\20210225\plaque 1/@08 Cefuroxime ND 0.001/C8_01.tif "/>
    <s v=" 1254.5339 "/>
    <s v=" 65.9138 "/>
    <x v="0"/>
    <n v="82691"/>
    <m/>
    <m/>
    <m/>
  </r>
  <r>
    <x v="8"/>
    <x v="2"/>
    <s v="F:\images\20210225\plaque 1/@08 Cefuroxime ND 0.001/C8_02.tif "/>
    <s v=" 324.4484 "/>
    <s v=" 63.5333 "/>
    <x v="0"/>
    <n v="20613"/>
    <m/>
    <m/>
    <m/>
  </r>
  <r>
    <x v="8"/>
    <x v="2"/>
    <s v="F:\images\20210225\plaque 1/@08 Cefuroxime ND 0.001/C8_03.tif "/>
    <s v=" 1665.5019 "/>
    <s v=" 67.0779 "/>
    <x v="0"/>
    <n v="111718"/>
    <m/>
    <m/>
    <m/>
  </r>
  <r>
    <x v="8"/>
    <x v="3"/>
    <s v="F:\images\20210225\plaque 1/@08 Cefuroxime ND 0.001/D8_01.tif "/>
    <s v=" 259.5587 "/>
    <s v=" 63.25 "/>
    <x v="0"/>
    <n v="16417"/>
    <m/>
    <m/>
    <m/>
  </r>
  <r>
    <x v="8"/>
    <x v="3"/>
    <s v="F:\images\20210225\plaque 1/@08 Cefuroxime ND 0.001/D8_02.tif "/>
    <s v=" 584.0072 "/>
    <s v=" 66.2593 "/>
    <x v="0"/>
    <n v="38696"/>
    <m/>
    <m/>
    <m/>
  </r>
  <r>
    <x v="8"/>
    <x v="3"/>
    <s v="F:\images\20210225\plaque 1/@08 Cefuroxime ND 0.001/D8_03.tif "/>
    <s v=" 5623.7726 "/>
    <s v=" 73.9423 "/>
    <x v="0"/>
    <n v="415835"/>
    <m/>
    <m/>
    <m/>
  </r>
  <r>
    <x v="8"/>
    <x v="4"/>
    <s v="F:\images\20210225\plaque 1/@08 Cefuroxime ND 0.001/E8_01.tif "/>
    <s v=" 5083.0252 "/>
    <s v=" 70.9872 "/>
    <x v="0"/>
    <n v="360830"/>
    <m/>
    <m/>
    <m/>
  </r>
  <r>
    <x v="8"/>
    <x v="4"/>
    <s v="F:\images\20210225\plaque 1/@08 Cefuroxime ND 0.001/E8_02.tif "/>
    <s v=" 1730.3916 "/>
    <s v=" 65.2375 "/>
    <x v="0"/>
    <n v="112886"/>
    <m/>
    <m/>
    <m/>
  </r>
  <r>
    <x v="8"/>
    <x v="4"/>
    <s v="F:\images\20210225\plaque 1/@08 Cefuroxime ND 0.001/E8_03.tif "/>
    <s v=" 3915.0109 "/>
    <s v=" 65.1768 "/>
    <x v="0"/>
    <n v="255168"/>
    <m/>
    <m/>
    <m/>
  </r>
  <r>
    <x v="8"/>
    <x v="5"/>
    <s v="F:\images\20210225\plaque 1/@08 Cefuroxime ND 0.001/F8_01.tif "/>
    <s v=" 8414.029 "/>
    <s v=" 69.2853 "/>
    <x v="0"/>
    <n v="582969"/>
    <m/>
    <m/>
    <m/>
  </r>
  <r>
    <x v="8"/>
    <x v="5"/>
    <s v="F:\images\20210225\plaque 1/@08 Cefuroxime ND 0.001/F8_02.tif "/>
    <s v=" 2703.7368 "/>
    <s v=" 65.4 "/>
    <x v="0"/>
    <n v="176824"/>
    <m/>
    <m/>
    <m/>
  </r>
  <r>
    <x v="8"/>
    <x v="5"/>
    <s v="F:\images\20210225\plaque 1/@08 Cefuroxime ND 0.001/F8_03.tif "/>
    <s v=" 3049.8151 "/>
    <s v=" 63.9787 "/>
    <x v="0"/>
    <n v="195123"/>
    <m/>
    <m/>
    <m/>
  </r>
  <r>
    <x v="8"/>
    <x v="6"/>
    <s v="F:\images\20210225\plaque 1/@08 Cefuroxime ND 0.001/G8_01.tif "/>
    <s v=" 3266.1141 "/>
    <s v=" 63.2318 "/>
    <x v="0"/>
    <n v="206522"/>
    <m/>
    <m/>
    <m/>
  </r>
  <r>
    <x v="8"/>
    <x v="6"/>
    <s v="F:\images\20210225\plaque 1/@08 Cefuroxime ND 0.001/G8_02.tif "/>
    <s v=" 519.1175 "/>
    <s v=" 62.8333 "/>
    <x v="0"/>
    <n v="32618"/>
    <m/>
    <m/>
    <m/>
  </r>
  <r>
    <x v="8"/>
    <x v="6"/>
    <s v="F:\images\20210225\plaque 1/@08 Cefuroxime ND 0.001/G8_03.tif "/>
    <s v=" 2314.3987 "/>
    <s v=" 63.3738 "/>
    <x v="0"/>
    <n v="146672"/>
    <m/>
    <m/>
    <m/>
  </r>
  <r>
    <x v="8"/>
    <x v="7"/>
    <s v="F:\images\20210225\plaque 1/@08 Cefuroxime ND 0.001/H8_01.tif "/>
    <s v=" 605.637 "/>
    <s v=" 64.1429 "/>
    <x v="0"/>
    <n v="38847"/>
    <m/>
    <m/>
    <m/>
  </r>
  <r>
    <x v="8"/>
    <x v="7"/>
    <s v="F:\images\20210225\plaque 1/@08 Cefuroxime ND 0.001/H8_02.tif "/>
    <s v=" 1708.7617 "/>
    <s v=" 64.7089 "/>
    <x v="0"/>
    <n v="110572"/>
    <m/>
    <m/>
    <m/>
  </r>
  <r>
    <x v="8"/>
    <x v="7"/>
    <s v="F:\images\20210225\plaque 1/@08 Cefuroxime ND 0.001/H8_03.tif "/>
    <s v=" 151.4093 "/>
    <s v=" 64.8571 "/>
    <x v="0"/>
    <n v="9820"/>
    <m/>
    <m/>
    <m/>
  </r>
  <r>
    <x v="1"/>
    <x v="8"/>
    <s v=" "/>
    <m/>
    <m/>
    <x v="1"/>
    <m/>
    <m/>
    <m/>
    <m/>
  </r>
  <r>
    <x v="1"/>
    <x v="8"/>
    <s v="group "/>
    <s v=" "/>
    <s v=" mean of mean fluo "/>
    <x v="2"/>
    <s v=" mean of total fluo "/>
    <s v=" SD total fluo "/>
    <s v=" n fluorescent "/>
    <s v=" n total"/>
  </r>
  <r>
    <x v="8"/>
    <x v="9"/>
    <s v="F:\images\20210225\plaque 1/@08 Cefuroxime ND 0.001/ "/>
    <s v=" "/>
    <s v=" 65.7165 "/>
    <x v="10"/>
    <s v=" 170425.417 "/>
    <s v=" 144613.43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225\plaque 1/@09 Cefuroxime ND 0.01/A9_01.tif "/>
    <s v=" 8522.1785 "/>
    <s v=" 74.5939 "/>
    <x v="0"/>
    <n v="635703"/>
    <m/>
    <m/>
    <m/>
  </r>
  <r>
    <x v="9"/>
    <x v="0"/>
    <s v="F:\images\20210225\plaque 1/@09 Cefuroxime ND 0.01/A9_02.tif "/>
    <s v=" 648.8968 "/>
    <s v=" 63.3333 "/>
    <x v="0"/>
    <n v="41097"/>
    <m/>
    <m/>
    <m/>
  </r>
  <r>
    <x v="9"/>
    <x v="0"/>
    <s v="F:\images\20210225\plaque 1/@09 Cefuroxime ND 0.01/A9_03.tif "/>
    <s v=" 3633.8223 "/>
    <s v=" 65.75 "/>
    <x v="0"/>
    <n v="238924"/>
    <m/>
    <m/>
    <m/>
  </r>
  <r>
    <x v="9"/>
    <x v="1"/>
    <s v="F:\images\20210225\plaque 1/@09 Cefuroxime ND 0.01/B9_01.tif "/>
    <s v=" 6424.0787 "/>
    <s v=" 70.9731 "/>
    <x v="0"/>
    <n v="455937"/>
    <m/>
    <m/>
    <m/>
  </r>
  <r>
    <x v="9"/>
    <x v="1"/>
    <s v="F:\images\20210225\plaque 1/@09 Cefuroxime ND 0.01/B9_02.tif "/>
    <s v=" 5407.4737 "/>
    <s v=" 69.74 "/>
    <x v="0"/>
    <n v="377117"/>
    <m/>
    <m/>
    <m/>
  </r>
  <r>
    <x v="9"/>
    <x v="1"/>
    <s v="F:\images\20210225\plaque 1/@09 Cefuroxime ND 0.01/B9_03.tif "/>
    <s v=" 1925.0606 "/>
    <s v=" 64.2135 "/>
    <x v="0"/>
    <n v="123615"/>
    <m/>
    <m/>
    <m/>
  </r>
  <r>
    <x v="9"/>
    <x v="2"/>
    <s v="F:\images\20210225\plaque 1/@09 Cefuroxime ND 0.01/C9_01.tif "/>
    <s v=" 5558.8829 "/>
    <s v=" 71.3813 "/>
    <x v="0"/>
    <n v="396800"/>
    <m/>
    <m/>
    <m/>
  </r>
  <r>
    <x v="9"/>
    <x v="2"/>
    <s v="F:\images\20210225\plaque 1/@09 Cefuroxime ND 0.01/C9_02.tif "/>
    <s v=" 1362.6834 "/>
    <s v=" 65.5714 "/>
    <x v="0"/>
    <n v="89353"/>
    <m/>
    <m/>
    <m/>
  </r>
  <r>
    <x v="9"/>
    <x v="2"/>
    <s v="F:\images\20210225\plaque 1/@09 Cefuroxime ND 0.01/C9_03.tif "/>
    <s v=" 3568.9326 "/>
    <s v=" 67.5212 "/>
    <x v="0"/>
    <n v="240979"/>
    <m/>
    <m/>
    <m/>
  </r>
  <r>
    <x v="9"/>
    <x v="3"/>
    <s v="F:\images\20210225\plaque 1/@09 Cefuroxime ND 0.01/D9_01.tif "/>
    <s v=" 562.3773 "/>
    <s v=" 62.6923 "/>
    <x v="0"/>
    <n v="35257"/>
    <m/>
    <m/>
    <m/>
  </r>
  <r>
    <x v="9"/>
    <x v="3"/>
    <s v="F:\images\20210225\plaque 1/@09 Cefuroxime ND 0.01/D9_02.tif "/>
    <s v=" 713.7865 "/>
    <s v=" 68.0909 "/>
    <x v="0"/>
    <n v="48602"/>
    <m/>
    <m/>
    <m/>
  </r>
  <r>
    <x v="9"/>
    <x v="3"/>
    <s v="F:\images\20210225\plaque 1/@09 Cefuroxime ND 0.01/D9_03.tif "/>
    <s v=" 713.7865 "/>
    <s v=" 62.8485 "/>
    <x v="0"/>
    <n v="44860"/>
    <m/>
    <m/>
    <m/>
  </r>
  <r>
    <x v="9"/>
    <x v="4"/>
    <s v="F:\images\20210225\plaque 1/@09 Cefuroxime ND 0.01/E9_01.tif "/>
    <s v=" 8219.36 "/>
    <s v=" 77.7368 "/>
    <x v="0"/>
    <n v="638947"/>
    <m/>
    <m/>
    <m/>
  </r>
  <r>
    <x v="9"/>
    <x v="4"/>
    <s v="F:\images\20210225\plaque 1/@09 Cefuroxime ND 0.01/E9_02.tif "/>
    <s v=" 2811.8863 "/>
    <s v=" 65.5231 "/>
    <x v="0"/>
    <n v="184243"/>
    <m/>
    <m/>
    <m/>
  </r>
  <r>
    <x v="9"/>
    <x v="4"/>
    <s v="F:\images\20210225\plaque 1/@09 Cefuroxime ND 0.01/E9_03.tif "/>
    <s v=" 4023.1604 "/>
    <s v=" 69.1237 "/>
    <x v="0"/>
    <n v="278096"/>
    <m/>
    <m/>
    <m/>
  </r>
  <r>
    <x v="9"/>
    <x v="5"/>
    <s v="F:\images\20210225\plaque 1/@09 Cefuroxime ND 0.01/F9_01.tif "/>
    <s v=" 1297.7937 "/>
    <s v=" 65.7167 "/>
    <x v="0"/>
    <n v="85287"/>
    <m/>
    <m/>
    <m/>
  </r>
  <r>
    <x v="9"/>
    <x v="5"/>
    <s v="F:\images\20210225\plaque 1/@09 Cefuroxime ND 0.01/F9_02.tif "/>
    <s v=" 540.7474 "/>
    <s v=" 65.08 "/>
    <x v="0"/>
    <n v="35192"/>
    <m/>
    <m/>
    <m/>
  </r>
  <r>
    <x v="9"/>
    <x v="5"/>
    <s v="F:\images\20210225\plaque 1/@09 Cefuroxime ND 0.01/F9_03.tif "/>
    <s v=" 216.2989 "/>
    <s v=" 64.3 "/>
    <x v="0"/>
    <n v="13908"/>
    <m/>
    <m/>
    <m/>
  </r>
  <r>
    <x v="9"/>
    <x v="6"/>
    <s v="F:\images\20210225\plaque 1/@09 Cefuroxime ND 0.01/G9_01.tif "/>
    <s v=" 757.0463 "/>
    <s v=" 65.6857 "/>
    <x v="0"/>
    <n v="49727"/>
    <m/>
    <m/>
    <m/>
  </r>
  <r>
    <x v="9"/>
    <x v="6"/>
    <s v="F:\images\20210225\plaque 1/@09 Cefuroxime ND 0.01/G9_02.tif "/>
    <s v=" 1643.872 "/>
    <s v=" 66.4605 "/>
    <x v="0"/>
    <n v="109253"/>
    <m/>
    <m/>
    <m/>
  </r>
  <r>
    <x v="9"/>
    <x v="6"/>
    <s v="F:\images\20210225\plaque 1/@09 Cefuroxime ND 0.01/G9_03.tif "/>
    <s v=" 7051.3456 "/>
    <s v=" 76.8374 "/>
    <x v="0"/>
    <n v="541807"/>
    <m/>
    <m/>
    <m/>
  </r>
  <r>
    <x v="9"/>
    <x v="7"/>
    <s v="F:\images\20210225\plaque 1/@09 Cefuroxime ND 0.01/H9_01.tif "/>
    <s v=" 129.7794 "/>
    <s v=" 63.6667 "/>
    <x v="0"/>
    <n v="8263"/>
    <m/>
    <m/>
    <m/>
  </r>
  <r>
    <x v="9"/>
    <x v="7"/>
    <s v="F:\images\20210225\plaque 1/@09 Cefuroxime ND 0.01/H9_02.tif "/>
    <s v=" 151.4093 "/>
    <s v=" 65.2857 "/>
    <x v="0"/>
    <n v="9885"/>
    <m/>
    <m/>
    <m/>
  </r>
  <r>
    <x v="9"/>
    <x v="7"/>
    <s v="F:\images\20210225\plaque 1/@09 Cefuroxime ND 0.01/H9_03- exclu.tif"/>
    <m/>
    <m/>
    <x v="1"/>
    <m/>
    <m/>
    <m/>
    <m/>
  </r>
  <r>
    <x v="1"/>
    <x v="8"/>
    <s v=" "/>
    <m/>
    <m/>
    <x v="1"/>
    <m/>
    <m/>
    <m/>
    <m/>
  </r>
  <r>
    <x v="1"/>
    <x v="8"/>
    <s v="group "/>
    <s v=" "/>
    <s v=" mean of mean fluo "/>
    <x v="2"/>
    <s v=" mean of total fluo "/>
    <s v=" SD total fluo "/>
    <s v=" n fluorescent "/>
    <s v=" n total"/>
  </r>
  <r>
    <x v="9"/>
    <x v="9"/>
    <s v="F:\images\20210225\plaque 1/@09 Cefuroxime ND 0.01/ "/>
    <s v=" "/>
    <s v=" 67.283 "/>
    <x v="11"/>
    <s v=" 195457.708 "/>
    <s v=" 206096.1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225\plaque 1/@10 Cefuroxime ND 0.1/A10_01.tif "/>
    <s v=" 237.9288 "/>
    <s v=" 62.7273 "/>
    <x v="0"/>
    <n v="14925"/>
    <m/>
    <m/>
    <m/>
  </r>
  <r>
    <x v="10"/>
    <x v="0"/>
    <s v="F:\images\20210225\plaque 1/@10 Cefuroxime ND 0.1/A10_02.tif "/>
    <s v=" 2184.6194 "/>
    <s v=" 65.604 "/>
    <x v="0"/>
    <n v="143320"/>
    <m/>
    <m/>
    <m/>
  </r>
  <r>
    <x v="10"/>
    <x v="0"/>
    <s v="F:\images\20210225\plaque 1/@10 Cefuroxime ND 0.1/A10_03.tif "/>
    <s v=" 302.8185 "/>
    <s v=" 64.0714 "/>
    <x v="0"/>
    <n v="19402"/>
    <m/>
    <m/>
    <m/>
  </r>
  <r>
    <x v="10"/>
    <x v="1"/>
    <s v="F:\images\20210225\plaque 1/@10 Cefuroxime ND 0.1/B10_01.tif "/>
    <s v=" 1622.2421 "/>
    <s v=" 66.08 "/>
    <x v="0"/>
    <n v="107198"/>
    <m/>
    <m/>
    <m/>
  </r>
  <r>
    <x v="10"/>
    <x v="1"/>
    <s v="F:\images\20210225\plaque 1/@10 Cefuroxime ND 0.1/B10_02.tif "/>
    <s v=" 1038.2349 "/>
    <s v=" 64.75 "/>
    <x v="0"/>
    <n v="67226"/>
    <m/>
    <m/>
    <m/>
  </r>
  <r>
    <x v="10"/>
    <x v="1"/>
    <s v="F:\images\20210225\plaque 1/@10 Cefuroxime ND 0.1/B10_03.tif "/>
    <s v=" 1665.5019 "/>
    <s v=" 64.8701 "/>
    <x v="0"/>
    <n v="108041"/>
    <m/>
    <m/>
    <m/>
  </r>
  <r>
    <x v="10"/>
    <x v="2"/>
    <s v="F:\images\20210225\plaque 1/@10 Cefuroxime ND 0.1/C10_01.tif "/>
    <s v=" 10187.6804 "/>
    <s v=" 76.2505 "/>
    <x v="0"/>
    <n v="776816"/>
    <m/>
    <m/>
    <m/>
  </r>
  <r>
    <x v="10"/>
    <x v="2"/>
    <s v="F:\images\20210225\plaque 1/@10 Cefuroxime ND 0.1/C10_02.tif "/>
    <s v=" 6142.8901 "/>
    <s v=" 72.9014 "/>
    <x v="0"/>
    <n v="447825"/>
    <m/>
    <m/>
    <m/>
  </r>
  <r>
    <x v="10"/>
    <x v="2"/>
    <s v="F:\images\20210225\plaque 1/@10 Cefuroxime ND 0.1/C10_03.tif "/>
    <s v=" 6078.0004 "/>
    <s v=" 69.1637 "/>
    <x v="0"/>
    <n v="420377"/>
    <m/>
    <m/>
    <m/>
  </r>
  <r>
    <x v="10"/>
    <x v="3"/>
    <s v="F:\images\20210225\plaque 1/@10 Cefuroxime ND 0.1/D10_01.tif "/>
    <s v=" 5515.6231 "/>
    <s v=" 68.4588 "/>
    <x v="0"/>
    <n v="377593"/>
    <m/>
    <m/>
    <m/>
  </r>
  <r>
    <x v="10"/>
    <x v="3"/>
    <s v="F:\images\20210225\plaque 1/@10 Cefuroxime ND 0.1/D10_02.tif "/>
    <s v=" 2444.1781 "/>
    <s v=" 66.6106 "/>
    <x v="0"/>
    <n v="162808"/>
    <m/>
    <m/>
    <m/>
  </r>
  <r>
    <x v="10"/>
    <x v="3"/>
    <s v="F:\images\20210225\plaque 1/@10 Cefuroxime ND 0.1/D10_03.tif "/>
    <s v=" 3915.0109 "/>
    <s v=" 64.8232 "/>
    <x v="0"/>
    <n v="253784"/>
    <m/>
    <m/>
    <m/>
  </r>
  <r>
    <x v="10"/>
    <x v="4"/>
    <s v="F:\images\20210225\plaque 1/@10 Cefuroxime ND 0.1/E10_01.tif "/>
    <s v=" 5969.8509 "/>
    <s v=" 68.8623 "/>
    <x v="0"/>
    <n v="411098"/>
    <m/>
    <m/>
    <m/>
  </r>
  <r>
    <x v="10"/>
    <x v="4"/>
    <s v="F:\images\20210225\plaque 1/@10 Cefuroxime ND 0.1/E10_02.tif "/>
    <s v=" 3093.0749 "/>
    <s v=" 67.1329 "/>
    <x v="0"/>
    <n v="207647"/>
    <m/>
    <m/>
    <m/>
  </r>
  <r>
    <x v="10"/>
    <x v="4"/>
    <s v="F:\images\20210225\plaque 1/@10 Cefuroxime ND 0.1/E10_03.tif "/>
    <s v=" 1773.6514 "/>
    <s v=" 65.4146 "/>
    <x v="0"/>
    <n v="116023"/>
    <m/>
    <m/>
    <m/>
  </r>
  <r>
    <x v="10"/>
    <x v="5"/>
    <s v="F:\images\20210225\plaque 1/@10 Cefuroxime ND 0.1/F10_01.tif "/>
    <s v=" 6618.7478 "/>
    <s v=" 65.6601 "/>
    <x v="0"/>
    <n v="434588"/>
    <m/>
    <m/>
    <m/>
  </r>
  <r>
    <x v="10"/>
    <x v="5"/>
    <s v="F:\images\20210225\plaque 1/@10 Cefuroxime ND 0.1/F10_02.tif "/>
    <s v=" 3287.744 "/>
    <s v=" 64.625 "/>
    <x v="0"/>
    <n v="212470"/>
    <m/>
    <m/>
    <m/>
  </r>
  <r>
    <x v="10"/>
    <x v="5"/>
    <s v="F:\images\20210225\plaque 1/@10 Cefuroxime ND 0.1/F10_03.tif "/>
    <s v=" 4736.9469 "/>
    <s v=" 66.0822 "/>
    <x v="0"/>
    <n v="313028"/>
    <m/>
    <m/>
    <m/>
  </r>
  <r>
    <x v="10"/>
    <x v="6"/>
    <s v="F:\images\20210225\plaque 1/@10 Cefuroxime ND 0.1/G10_01.tif "/>
    <s v=" 1016.605 "/>
    <s v=" 64.1702 "/>
    <x v="0"/>
    <n v="65236"/>
    <m/>
    <m/>
    <m/>
  </r>
  <r>
    <x v="10"/>
    <x v="6"/>
    <s v="F:\images\20210225\plaque 1/@10 Cefuroxime ND 0.1/G10_02.tif "/>
    <s v=" 7894.9115 "/>
    <s v=" 70.2877 "/>
    <x v="0"/>
    <n v="554915"/>
    <m/>
    <m/>
    <m/>
  </r>
  <r>
    <x v="10"/>
    <x v="6"/>
    <s v="F:\images\20210225\plaque 1/@10 Cefuroxime ND 0.1/G10_03.tif "/>
    <s v=" 9993.0113 "/>
    <s v=" 73.3052 "/>
    <x v="0"/>
    <n v="732540"/>
    <m/>
    <m/>
    <m/>
  </r>
  <r>
    <x v="10"/>
    <x v="7"/>
    <s v="F:\images\20210225\plaque 1/@10 Cefuroxime ND 0.1/H10_01.tif "/>
    <s v=" 2898.4059 "/>
    <s v=" 64.3955 "/>
    <x v="0"/>
    <n v="186644"/>
    <m/>
    <m/>
    <m/>
  </r>
  <r>
    <x v="10"/>
    <x v="7"/>
    <s v="F:\images\20210225\plaque 1/@10 Cefuroxime ND 0.1/H10_02.tif "/>
    <s v=" 2249.509 "/>
    <s v=" 65.125 "/>
    <x v="0"/>
    <n v="146499"/>
    <m/>
    <m/>
    <m/>
  </r>
  <r>
    <x v="10"/>
    <x v="7"/>
    <s v="F:\images\20210225\plaque 1/@10 Cefuroxime ND 0.1/H10_03.tif "/>
    <s v=" 3633.8223 "/>
    <s v=" 65.756 "/>
    <x v="0"/>
    <n v="238945"/>
    <m/>
    <m/>
    <m/>
  </r>
  <r>
    <x v="1"/>
    <x v="8"/>
    <s v=" "/>
    <m/>
    <m/>
    <x v="1"/>
    <m/>
    <m/>
    <m/>
    <m/>
  </r>
  <r>
    <x v="1"/>
    <x v="8"/>
    <s v="group "/>
    <s v=" "/>
    <s v=" mean of mean fluo "/>
    <x v="2"/>
    <s v=" mean of total fluo "/>
    <s v=" SD total fluo "/>
    <s v=" n fluorescent "/>
    <s v=" n total"/>
  </r>
  <r>
    <x v="10"/>
    <x v="9"/>
    <s v="F:\images\20210225\plaque 1/@10 Cefuroxime ND 0.1/ "/>
    <s v=" "/>
    <s v=" 66.9637 "/>
    <x v="12"/>
    <s v=" 271622.833 "/>
    <s v=" 209771.6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225\plaque 1/@11 Cefuroxime ND 1/A11_01.tif "/>
    <s v=" 4412.4985 "/>
    <s v=" 69.5882 "/>
    <x v="0"/>
    <n v="307058"/>
    <m/>
    <m/>
    <m/>
  </r>
  <r>
    <x v="11"/>
    <x v="0"/>
    <s v="F:\images\20210225\plaque 1/@11 Cefuroxime ND 1/A11_02.tif "/>
    <s v=" 2617.2173 "/>
    <s v=" 66.7686 "/>
    <x v="0"/>
    <n v="174748"/>
    <m/>
    <m/>
    <m/>
  </r>
  <r>
    <x v="11"/>
    <x v="0"/>
    <s v="F:\images\20210225\plaque 1/@11 Cefuroxime ND 1/A11_03.tif "/>
    <s v=" 5212.8046 "/>
    <s v=" 70.4066 "/>
    <x v="0"/>
    <n v="367016"/>
    <m/>
    <m/>
    <m/>
  </r>
  <r>
    <x v="11"/>
    <x v="1"/>
    <s v="F:\images\20210225\plaque 1/@11 Cefuroxime ND 1/B11_01.tif "/>
    <s v=" 5645.4025 "/>
    <s v=" 68.9119 "/>
    <x v="0"/>
    <n v="389035"/>
    <m/>
    <m/>
    <m/>
  </r>
  <r>
    <x v="11"/>
    <x v="1"/>
    <s v="F:\images\20210225\plaque 1/@11 Cefuroxime ND 1/B11_02.tif "/>
    <s v=" 3114.7048 "/>
    <s v=" 65.4375 "/>
    <x v="0"/>
    <n v="203818"/>
    <m/>
    <m/>
    <m/>
  </r>
  <r>
    <x v="11"/>
    <x v="1"/>
    <s v="F:\images\20210225\plaque 1/@11 Cefuroxime ND 1/B11_03.tif "/>
    <s v=" 3850.1212 "/>
    <s v=" 66.6629 "/>
    <x v="0"/>
    <n v="256660"/>
    <m/>
    <m/>
    <m/>
  </r>
  <r>
    <x v="11"/>
    <x v="2"/>
    <s v="F:\images\20210225\plaque 1/@11 Cefuroxime ND 1/C11_01.tif "/>
    <s v=" 2054.84 "/>
    <s v=" 64.5579 "/>
    <x v="0"/>
    <n v="132656"/>
    <m/>
    <m/>
    <m/>
  </r>
  <r>
    <x v="11"/>
    <x v="2"/>
    <s v="F:\images\20210225\plaque 1/@11 Cefuroxime ND 1/C11_02.tif "/>
    <s v=" 886.8257 "/>
    <s v=" 65.1951 "/>
    <x v="0"/>
    <n v="57817"/>
    <m/>
    <m/>
    <m/>
  </r>
  <r>
    <x v="11"/>
    <x v="2"/>
    <s v="F:\images\20210225\plaque 1/@11 Cefuroxime ND 1/C11_03.tif "/>
    <s v=" 605.637 "/>
    <s v=" 63.2143 "/>
    <x v="0"/>
    <n v="38285"/>
    <m/>
    <m/>
    <m/>
  </r>
  <r>
    <x v="11"/>
    <x v="3"/>
    <s v="F:\images\20210225\plaque 1/@11 Cefuroxime ND 1/D11_01.tif "/>
    <s v=" 735.4164 "/>
    <s v=" 62.0882 "/>
    <x v="0"/>
    <n v="45661"/>
    <m/>
    <m/>
    <m/>
  </r>
  <r>
    <x v="11"/>
    <x v="3"/>
    <s v="F:\images\20210225\plaque 1/@11 Cefuroxime ND 1/D11_02.tif "/>
    <s v=" 713.7865 "/>
    <s v=" 62.5152 "/>
    <x v="0"/>
    <n v="44622"/>
    <m/>
    <m/>
    <m/>
  </r>
  <r>
    <x v="11"/>
    <x v="3"/>
    <s v="F:\images\20210225\plaque 1/@11 Cefuroxime ND 1/D11_03.tif "/>
    <s v=" 3850.1212 "/>
    <s v=" 64.6292 "/>
    <x v="0"/>
    <n v="248830"/>
    <m/>
    <m/>
    <m/>
  </r>
  <r>
    <x v="11"/>
    <x v="4"/>
    <s v="F:\images\20210225\plaque 1/@11 Cefuroxime ND 1/E11_01.tif "/>
    <s v=" 2444.1781 "/>
    <s v=" 64.2832 "/>
    <x v="0"/>
    <n v="157120"/>
    <m/>
    <m/>
    <m/>
  </r>
  <r>
    <x v="11"/>
    <x v="4"/>
    <s v="F:\images\20210225\plaque 1/@11 Cefuroxime ND 1/E11_02.tif "/>
    <s v=" 173.0392 "/>
    <s v=" 64.125 "/>
    <x v="0"/>
    <n v="11096"/>
    <m/>
    <m/>
    <m/>
  </r>
  <r>
    <x v="11"/>
    <x v="4"/>
    <s v="F:\images\20210225\plaque 1/@11 Cefuroxime ND 1/E11_03.tif "/>
    <s v=" 1016.605 "/>
    <s v=" 63.8511 "/>
    <x v="0"/>
    <n v="64911"/>
    <m/>
    <m/>
    <m/>
  </r>
  <r>
    <x v="11"/>
    <x v="5"/>
    <s v="F:\images\20210225\plaque 1/@11 Cefuroxime ND 1/F11_01.tif "/>
    <s v=" 821.936 "/>
    <s v=" 63.5526 "/>
    <x v="0"/>
    <n v="52236"/>
    <m/>
    <m/>
    <m/>
  </r>
  <r>
    <x v="11"/>
    <x v="5"/>
    <s v="F:\images\20210225\plaque 1/@11 Cefuroxime ND 1/F11_02- exclu.tif"/>
    <m/>
    <m/>
    <x v="1"/>
    <m/>
    <m/>
    <m/>
    <m/>
  </r>
  <r>
    <x v="11"/>
    <x v="5"/>
    <s v="F:\images\20210225\plaque 1/@11 Cefuroxime ND 1/F11_03- exclu.tif"/>
    <m/>
    <m/>
    <x v="1"/>
    <m/>
    <m/>
    <m/>
    <m/>
  </r>
  <r>
    <x v="11"/>
    <x v="6"/>
    <s v="F:\images\20210225\plaque 1/@11 Cefuroxime ND 1/G11_01.tif "/>
    <s v=" 1276.1638 "/>
    <s v=" 63.1356 "/>
    <x v="0"/>
    <n v="80571"/>
    <m/>
    <m/>
    <m/>
  </r>
  <r>
    <x v="11"/>
    <x v="6"/>
    <s v="F:\images\20210225\plaque 1/@11 Cefuroxime ND 1/G11_02.tif "/>
    <s v=" 930.0855 "/>
    <s v=" 63.7442 "/>
    <x v="0"/>
    <n v="59288"/>
    <m/>
    <m/>
    <m/>
  </r>
  <r>
    <x v="11"/>
    <x v="6"/>
    <s v="F:\images\20210225\plaque 1/@11 Cefuroxime ND 1/G11_03.tif "/>
    <s v=" 454.2278 "/>
    <s v=" 65.0476 "/>
    <x v="0"/>
    <n v="29546"/>
    <m/>
    <m/>
    <m/>
  </r>
  <r>
    <x v="11"/>
    <x v="7"/>
    <s v="F:\images\20210225\plaque 1/@11 Cefuroxime ND 1/H11_01.tif "/>
    <s v=" 4261.0892 "/>
    <s v=" 63.4822 "/>
    <x v="0"/>
    <n v="270503"/>
    <m/>
    <m/>
    <m/>
  </r>
  <r>
    <x v="11"/>
    <x v="7"/>
    <s v="F:\images\20210225\plaque 1/@11 Cefuroxime ND 1/H11_02.tif "/>
    <s v=" 4390.8686 "/>
    <s v=" 65.2167 "/>
    <x v="0"/>
    <n v="286358"/>
    <m/>
    <m/>
    <m/>
  </r>
  <r>
    <x v="11"/>
    <x v="7"/>
    <s v="F:\images\20210225\plaque 1/@11 Cefuroxime ND 1/H11_03.tif "/>
    <s v=" 302.8185 "/>
    <s v=" 62.4286 "/>
    <x v="0"/>
    <n v="18905"/>
    <m/>
    <m/>
    <m/>
  </r>
  <r>
    <x v="1"/>
    <x v="8"/>
    <s v=" "/>
    <m/>
    <m/>
    <x v="1"/>
    <m/>
    <m/>
    <m/>
    <m/>
  </r>
  <r>
    <x v="1"/>
    <x v="8"/>
    <s v="group "/>
    <s v=" "/>
    <s v=" mean of mean fluo "/>
    <x v="2"/>
    <s v=" mean of total fluo "/>
    <s v=" SD total fluo "/>
    <s v=" n fluorescent "/>
    <s v=" n total"/>
  </r>
  <r>
    <x v="11"/>
    <x v="9"/>
    <s v="F:\images\20210225\plaque 1/@11 Cefuroxime ND 1/ "/>
    <s v=" "/>
    <s v=" 65.2477 "/>
    <x v="13"/>
    <s v=" 163684.125 "/>
    <s v=" 131106.9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225\plaque 1/@12 Cefuroxime ND 10/A12_01.tif "/>
    <s v=" 5061.3953 "/>
    <s v=" 71.0983 "/>
    <x v="0"/>
    <n v="359857"/>
    <m/>
    <m/>
    <m/>
  </r>
  <r>
    <x v="12"/>
    <x v="0"/>
    <s v="F:\images\20210225\plaque 1/@12 Cefuroxime ND 10/A12_02.tif "/>
    <s v=" 3028.1852 "/>
    <n v="65"/>
    <x v="0"/>
    <n v="196832"/>
    <m/>
    <m/>
    <m/>
  </r>
  <r>
    <x v="12"/>
    <x v="0"/>
    <s v="F:\images\20210225\plaque 1/@12 Cefuroxime ND 10/A12_03.tif "/>
    <s v=" 1578.9823 "/>
    <s v=" 65.6575 "/>
    <x v="0"/>
    <n v="103672"/>
    <m/>
    <m/>
    <m/>
  </r>
  <r>
    <x v="12"/>
    <x v="1"/>
    <s v="F:\images\20210225\plaque 1/@12 Cefuroxime ND 10/B12_01.tif "/>
    <s v=" 886.8257 "/>
    <s v=" 63.8049 "/>
    <x v="0"/>
    <n v="56584"/>
    <m/>
    <m/>
    <m/>
  </r>
  <r>
    <x v="12"/>
    <x v="1"/>
    <s v="F:\images\20210225\plaque 1/@12 Cefuroxime ND 10/B12_02.tif "/>
    <s v=" 1578.9823 "/>
    <s v=" 64.2055 "/>
    <x v="0"/>
    <n v="101379"/>
    <m/>
    <m/>
    <m/>
  </r>
  <r>
    <x v="12"/>
    <x v="1"/>
    <s v="F:\images\20210225\plaque 1/@12 Cefuroxime ND 10/B12_03.tif "/>
    <s v=" 1081.4947 "/>
    <s v=" 63.8 "/>
    <x v="0"/>
    <n v="68999"/>
    <m/>
    <m/>
    <m/>
  </r>
  <r>
    <x v="12"/>
    <x v="2"/>
    <s v="F:\images\20210225\plaque 1/@12 Cefuroxime ND 10/C12_01.tif "/>
    <s v=" 519.1175 "/>
    <s v=" 66.3333 "/>
    <x v="0"/>
    <n v="34435"/>
    <m/>
    <m/>
    <m/>
  </r>
  <r>
    <x v="12"/>
    <x v="2"/>
    <s v="F:\images\20210225\plaque 1/@12 Cefuroxime ND 10/C12_02.tif "/>
    <s v=" 5472.3633 "/>
    <s v=" 72.8577 "/>
    <x v="0"/>
    <n v="398704"/>
    <m/>
    <m/>
    <m/>
  </r>
  <r>
    <x v="12"/>
    <x v="2"/>
    <s v="F:\images\20210225\plaque 1/@12 Cefuroxime ND 10/C12_03.tif "/>
    <s v=" 735.4164 "/>
    <s v=" 66.7941 "/>
    <x v="0"/>
    <n v="49121"/>
    <m/>
    <m/>
    <m/>
  </r>
  <r>
    <x v="12"/>
    <x v="3"/>
    <s v="F:\images\20210225\plaque 1/@12 Cefuroxime ND 10/D12_01- exclu.tif"/>
    <m/>
    <m/>
    <x v="1"/>
    <m/>
    <m/>
    <m/>
    <m/>
  </r>
  <r>
    <x v="12"/>
    <x v="3"/>
    <s v="F:\images\20210225\plaque 1/@12 Cefuroxime ND 10/D12_02.tif "/>
    <s v=" 281.1886 "/>
    <s v=" 63.7692 "/>
    <x v="0"/>
    <n v="17931"/>
    <m/>
    <m/>
    <m/>
  </r>
  <r>
    <x v="12"/>
    <x v="3"/>
    <s v="F:\images\20210225\plaque 1/@12 Cefuroxime ND 10/D12_03.tif "/>
    <s v=" 173.0392 "/>
    <s v=" 63.25 "/>
    <x v="0"/>
    <n v="10945"/>
    <m/>
    <m/>
    <m/>
  </r>
  <r>
    <x v="12"/>
    <x v="4"/>
    <s v="F:\images\20210225\plaque 1/@12 Cefuroxime ND 10/E12_01.tif "/>
    <s v=" 4088.0501 "/>
    <s v=" 66.9153 "/>
    <x v="0"/>
    <n v="273553"/>
    <m/>
    <m/>
    <m/>
  </r>
  <r>
    <x v="12"/>
    <x v="4"/>
    <s v="F:\images\20210225\plaque 1/@12 Cefuroxime ND 10/E12_02.tif "/>
    <s v=" 6207.7798 "/>
    <s v=" 70.453 "/>
    <x v="0"/>
    <n v="437356"/>
    <m/>
    <m/>
    <m/>
  </r>
  <r>
    <x v="12"/>
    <x v="4"/>
    <s v="F:\images\20210225\plaque 1/@12 Cefuroxime ND 10/E12_03.tif "/>
    <s v=" 5796.8118 "/>
    <s v=" 68.8769 "/>
    <x v="0"/>
    <n v="399266"/>
    <m/>
    <m/>
    <m/>
  </r>
  <r>
    <x v="12"/>
    <x v="5"/>
    <s v="F:\images\20210225\plaque 1/@12 Cefuroxime ND 10/F12_01.tif "/>
    <s v=" 951.7154 "/>
    <s v=" 65.9773 "/>
    <x v="0"/>
    <n v="62792"/>
    <m/>
    <m/>
    <m/>
  </r>
  <r>
    <x v="12"/>
    <x v="5"/>
    <s v="F:\images\20210225\plaque 1/@12 Cefuroxime ND 10/F12_02.tif "/>
    <s v=" 908.4556 "/>
    <s v=" 64.381 "/>
    <x v="0"/>
    <n v="58487"/>
    <m/>
    <m/>
    <m/>
  </r>
  <r>
    <x v="12"/>
    <x v="5"/>
    <s v="F:\images\20210225\plaque 1/@12 Cefuroxime ND 10/F12_03- exclu.tif"/>
    <m/>
    <m/>
    <x v="1"/>
    <m/>
    <m/>
    <m/>
    <m/>
  </r>
  <r>
    <x v="12"/>
    <x v="6"/>
    <s v="F:\images\20210225\plaque 1/@12 Cefuroxime ND 10/G12_01.tif "/>
    <s v=" 670.5267 "/>
    <s v=" 62.4194 "/>
    <x v="0"/>
    <n v="41854"/>
    <m/>
    <m/>
    <m/>
  </r>
  <r>
    <x v="12"/>
    <x v="6"/>
    <s v="F:\images\20210225\plaque 1/@12 Cefuroxime ND 10/G12_02.tif "/>
    <s v=" 302.8185 "/>
    <n v="62"/>
    <x v="0"/>
    <n v="18775"/>
    <m/>
    <m/>
    <m/>
  </r>
  <r>
    <x v="12"/>
    <x v="6"/>
    <s v="F:\images\20210225\plaque 1/@12 Cefuroxime ND 10/G12_03.tif "/>
    <s v=" 6164.52 "/>
    <s v=" 67.9368 "/>
    <x v="0"/>
    <n v="418798"/>
    <m/>
    <m/>
    <m/>
  </r>
  <r>
    <x v="12"/>
    <x v="7"/>
    <s v="F:\images\20210225\plaque 1/@12 Cefuroxime ND 10/H12_01.tif "/>
    <s v=" 6315.9292 "/>
    <n v="68"/>
    <x v="0"/>
    <n v="429483"/>
    <m/>
    <m/>
    <m/>
  </r>
  <r>
    <x v="12"/>
    <x v="7"/>
    <s v="F:\images\20210225\plaque 1/@12 Cefuroxime ND 10/H12_02- exclu.tif"/>
    <m/>
    <m/>
    <x v="1"/>
    <m/>
    <m/>
    <m/>
    <m/>
  </r>
  <r>
    <x v="12"/>
    <x v="7"/>
    <s v="F:\images\20210225\plaque 1/@12 Cefuroxime ND 10/H12_03.tif "/>
    <s v=" 2162.9895 "/>
    <n v="65"/>
    <x v="0"/>
    <n v="140594"/>
    <m/>
    <m/>
    <m/>
  </r>
  <r>
    <x v="1"/>
    <x v="8"/>
    <s v=" "/>
    <m/>
    <m/>
    <x v="1"/>
    <m/>
    <m/>
    <m/>
    <m/>
  </r>
  <r>
    <x v="1"/>
    <x v="8"/>
    <s v="group "/>
    <s v=" "/>
    <s v=" mean of mean fluo "/>
    <x v="2"/>
    <s v=" mean of total fluo "/>
    <s v=" SD total fluo "/>
    <s v=" n fluorescent "/>
    <s v=" n total"/>
  </r>
  <r>
    <x v="12"/>
    <x v="9"/>
    <s v="F:\images\20210225\plaque 1/@12 Cefuroxime ND 10/ "/>
    <s v=" "/>
    <s v=" 66.1783 "/>
    <x v="14"/>
    <s v=" 188166.542 "/>
    <s v=" 203831.0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225\plaque 2/@01 Testo 30/A1_01.tif "/>
    <s v=" 648.8968 "/>
    <s v=" 62.1333 "/>
    <x v="0"/>
    <n v="40318"/>
    <m/>
    <m/>
    <m/>
  </r>
  <r>
    <x v="13"/>
    <x v="0"/>
    <s v="F:\images\20210225\plaque 2/@01 Testo 30/A1_02.tif "/>
    <s v=" 475.8577 "/>
    <s v=" 63.5455 "/>
    <x v="0"/>
    <n v="30239"/>
    <m/>
    <m/>
    <m/>
  </r>
  <r>
    <x v="13"/>
    <x v="0"/>
    <s v="F:\images\20210225\plaque 2/@01 Testo 30/A1_03.tif "/>
    <s v=" 1708.7617 "/>
    <s v=" 67.3165 "/>
    <x v="0"/>
    <n v="115028"/>
    <m/>
    <m/>
    <m/>
  </r>
  <r>
    <x v="13"/>
    <x v="1"/>
    <s v="F:\images\20210225\plaque 2/@01 Testo 30/B1_01- exclu.tif"/>
    <m/>
    <m/>
    <x v="1"/>
    <m/>
    <m/>
    <m/>
    <m/>
  </r>
  <r>
    <x v="13"/>
    <x v="1"/>
    <s v="F:\images\20210225\plaque 2/@01 Testo 30/B1_02- exclu.tif"/>
    <m/>
    <m/>
    <x v="1"/>
    <m/>
    <m/>
    <m/>
    <m/>
  </r>
  <r>
    <x v="13"/>
    <x v="1"/>
    <s v="F:\images\20210225\plaque 2/@01 Testo 30/B1_03- exclu.tif"/>
    <m/>
    <m/>
    <x v="1"/>
    <m/>
    <m/>
    <m/>
    <m/>
  </r>
  <r>
    <x v="13"/>
    <x v="2"/>
    <s v="F:\images\20210225\plaque 2/@01 Testo 30/C1_01.tif "/>
    <s v=" 45509.2983 "/>
    <s v=" 73.3436 "/>
    <x v="0"/>
    <n v="3337817"/>
    <m/>
    <m/>
    <m/>
  </r>
  <r>
    <x v="13"/>
    <x v="2"/>
    <s v="F:\images\20210225\plaque 2/@01 Testo 30/C1_02.tif "/>
    <s v=" 46828.7219 "/>
    <s v=" 73.9829 "/>
    <x v="0"/>
    <n v="3464525"/>
    <m/>
    <m/>
    <m/>
  </r>
  <r>
    <x v="13"/>
    <x v="2"/>
    <s v="F:\images\20210225\plaque 2/@01 Testo 30/C1_03.tif "/>
    <s v=" 45985.156 "/>
    <s v=" 71.7451 "/>
    <x v="0"/>
    <n v="3299208"/>
    <m/>
    <m/>
    <m/>
  </r>
  <r>
    <x v="13"/>
    <x v="3"/>
    <s v="F:\images\20210225\plaque 2/@01 Testo 30/D1_01.tif "/>
    <s v=" 52668.7934 "/>
    <s v=" 73.7047 "/>
    <x v="0"/>
    <n v="3881939"/>
    <m/>
    <m/>
    <m/>
  </r>
  <r>
    <x v="13"/>
    <x v="3"/>
    <s v="F:\images\20210225\plaque 2/@01 Testo 30/D1_02.tif "/>
    <s v=" 50916.772 "/>
    <s v=" 74.4983 "/>
    <x v="0"/>
    <n v="3793213"/>
    <m/>
    <m/>
    <m/>
  </r>
  <r>
    <x v="13"/>
    <x v="3"/>
    <s v="F:\images\20210225\plaque 2/@01 Testo 30/D1_03.tif "/>
    <s v=" 52344.345 "/>
    <s v=" 71.5541 "/>
    <x v="0"/>
    <n v="3745454"/>
    <m/>
    <m/>
    <m/>
  </r>
  <r>
    <x v="13"/>
    <x v="4"/>
    <s v="F:\images\20210225\plaque 2/@01 Testo 30/E1_01- exclu.tif"/>
    <m/>
    <m/>
    <x v="1"/>
    <m/>
    <m/>
    <m/>
    <m/>
  </r>
  <r>
    <x v="13"/>
    <x v="4"/>
    <s v="F:\images\20210225\plaque 2/@01 Testo 30/E1_02.tif "/>
    <s v=" 59698.5092 "/>
    <s v=" 77.9678 "/>
    <x v="0"/>
    <n v="4654559"/>
    <m/>
    <m/>
    <m/>
  </r>
  <r>
    <x v="13"/>
    <x v="4"/>
    <s v="F:\images\20210225\plaque 2/@01 Testo 30/E1_03.tif "/>
    <s v=" 59568.7298 "/>
    <s v=" 75.3765 "/>
    <x v="0"/>
    <n v="4490085"/>
    <m/>
    <m/>
    <m/>
  </r>
  <r>
    <x v="13"/>
    <x v="5"/>
    <s v="F:\images\20210225\plaque 2/@01 Testo 30/F1_01.tif "/>
    <s v=" 22711.3894 "/>
    <s v=" 66.88 "/>
    <x v="0"/>
    <n v="1518938"/>
    <m/>
    <m/>
    <m/>
  </r>
  <r>
    <x v="13"/>
    <x v="5"/>
    <s v="F:\images\20210225\plaque 2/@01 Testo 30/F1_02.tif "/>
    <s v=" 26366.8416 "/>
    <s v=" 68.7842 "/>
    <x v="0"/>
    <n v="1813623"/>
    <m/>
    <m/>
    <m/>
  </r>
  <r>
    <x v="13"/>
    <x v="5"/>
    <s v="F:\images\20210225\plaque 2/@01 Testo 30/F1_03.tif "/>
    <s v=" 29827.6247 "/>
    <s v=" 68.6048 "/>
    <x v="0"/>
    <n v="2046318"/>
    <m/>
    <m/>
    <m/>
  </r>
  <r>
    <x v="13"/>
    <x v="6"/>
    <s v="F:\images\20210225\plaque 2/@01 Testo 30/G1_01.tif "/>
    <s v=" 33483.0769 "/>
    <s v=" 67.9399 "/>
    <x v="0"/>
    <n v="2274838"/>
    <m/>
    <m/>
    <m/>
  </r>
  <r>
    <x v="13"/>
    <x v="6"/>
    <s v="F:\images\20210225\plaque 2/@01 Testo 30/G1_02.tif "/>
    <s v=" 31255.1977 "/>
    <s v=" 67.6782 "/>
    <x v="0"/>
    <n v="2115296"/>
    <m/>
    <m/>
    <m/>
  </r>
  <r>
    <x v="13"/>
    <x v="6"/>
    <s v="F:\images\20210225\plaque 2/@01 Testo 30/G1_03.tif "/>
    <s v=" 29200.3577 "/>
    <s v=" 68.7985 "/>
    <x v="0"/>
    <n v="2008941"/>
    <m/>
    <m/>
    <m/>
  </r>
  <r>
    <x v="13"/>
    <x v="7"/>
    <s v="F:\images\20210225\plaque 2/@01 Testo 30/H1_01- exclu.tif"/>
    <m/>
    <m/>
    <x v="1"/>
    <m/>
    <m/>
    <m/>
    <m/>
  </r>
  <r>
    <x v="13"/>
    <x v="7"/>
    <s v="F:\images\20210225\plaque 2/@01 Testo 30/H1_02.tif "/>
    <s v=" 15205.8159 "/>
    <s v=" 65.5263 "/>
    <x v="0"/>
    <n v="996381"/>
    <m/>
    <m/>
    <m/>
  </r>
  <r>
    <x v="13"/>
    <x v="7"/>
    <s v="F:\images\20210225\plaque 2/@01 Testo 30/H1_03.tif "/>
    <s v=" 11074.506 "/>
    <s v=" 64.3965 "/>
    <x v="0"/>
    <n v="713159"/>
    <m/>
    <m/>
    <m/>
  </r>
  <r>
    <x v="1"/>
    <x v="8"/>
    <s v=" "/>
    <m/>
    <m/>
    <x v="1"/>
    <m/>
    <m/>
    <m/>
    <m/>
  </r>
  <r>
    <x v="1"/>
    <x v="8"/>
    <s v="group "/>
    <s v=" "/>
    <s v=" mean of mean fluo "/>
    <x v="2"/>
    <s v=" mean of total fluo "/>
    <s v=" SD total fluo "/>
    <s v=" n fluorescent "/>
    <s v=" n total"/>
  </r>
  <r>
    <x v="13"/>
    <x v="9"/>
    <s v="F:\images\20210225\plaque 2/@01 Testo 30/ "/>
    <s v=" "/>
    <s v=" 69.2588 "/>
    <x v="15"/>
    <s v=" 2131019.58 "/>
    <s v=" 156841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225\plaque 2/@02 Testo 30/A2_01.tif "/>
    <s v=" 46439.3838 "/>
    <s v=" 70.3256 "/>
    <x v="0"/>
    <n v="3265876"/>
    <m/>
    <m/>
    <m/>
  </r>
  <r>
    <x v="14"/>
    <x v="0"/>
    <s v="F:\images\20210225\plaque 2/@02 Testo 30/A2_02.tif "/>
    <s v=" 38133.5042 "/>
    <s v=" 67.8054 "/>
    <x v="0"/>
    <n v="2585659"/>
    <m/>
    <m/>
    <m/>
  </r>
  <r>
    <x v="14"/>
    <x v="0"/>
    <s v="F:\images\20210225\plaque 2/@02 Testo 30/A2_03.tif "/>
    <s v=" 43584.2377 "/>
    <s v=" 69.1841 "/>
    <x v="0"/>
    <n v="3015337"/>
    <m/>
    <m/>
    <m/>
  </r>
  <r>
    <x v="14"/>
    <x v="1"/>
    <s v="F:\images\20210225\plaque 2/@02 Testo 30/B2_01.tif "/>
    <s v=" 31255.1977 "/>
    <s v=" 65.8104 "/>
    <x v="0"/>
    <n v="2056916"/>
    <m/>
    <m/>
    <m/>
  </r>
  <r>
    <x v="14"/>
    <x v="1"/>
    <s v="F:\images\20210225\plaque 2/@02 Testo 30/B2_02.tif "/>
    <s v=" 41918.7358 "/>
    <s v=" 74.3008 "/>
    <x v="0"/>
    <n v="3114597"/>
    <m/>
    <m/>
    <m/>
  </r>
  <r>
    <x v="14"/>
    <x v="1"/>
    <s v="F:\images\20210225\plaque 2/@02 Testo 30/B2_03.tif "/>
    <s v=" 41031.9101 "/>
    <s v=" 71.8777 "/>
    <x v="0"/>
    <n v="2949279"/>
    <m/>
    <m/>
    <m/>
  </r>
  <r>
    <x v="14"/>
    <x v="2"/>
    <s v="F:\images\20210225\plaque 2/@02 Testo 30/C2_01.tif "/>
    <s v=" 33201.8883 "/>
    <s v=" 69.0065 "/>
    <x v="0"/>
    <n v="2291147"/>
    <m/>
    <m/>
    <m/>
  </r>
  <r>
    <x v="14"/>
    <x v="2"/>
    <s v="F:\images\20210225\plaque 2/@02 Testo 30/C2_02.tif "/>
    <s v=" 29697.8453 "/>
    <s v=" 67.8762 "/>
    <x v="0"/>
    <n v="2015776"/>
    <m/>
    <m/>
    <m/>
  </r>
  <r>
    <x v="14"/>
    <x v="2"/>
    <s v="F:\images\20210225\plaque 2/@02 Testo 30/C2_03.tif "/>
    <s v=" 27232.0373 "/>
    <s v=" 67.9754 "/>
    <x v="0"/>
    <n v="1851108"/>
    <m/>
    <m/>
    <m/>
  </r>
  <r>
    <x v="14"/>
    <x v="3"/>
    <s v="F:\images\20210225\plaque 2/@02 Testo 30/D2_01.tif "/>
    <s v=" 39517.8175 "/>
    <s v=" 80.2222 "/>
    <x v="0"/>
    <n v="3170207"/>
    <m/>
    <m/>
    <m/>
  </r>
  <r>
    <x v="14"/>
    <x v="3"/>
    <s v="F:\images\20210225\plaque 2/@02 Testo 30/D2_02.tif "/>
    <s v=" 46655.6827 "/>
    <s v=" 80.7585 "/>
    <x v="0"/>
    <n v="3767841"/>
    <m/>
    <m/>
    <m/>
  </r>
  <r>
    <x v="14"/>
    <x v="3"/>
    <s v="F:\images\20210225\plaque 2/@02 Testo 30/D2_03.tif "/>
    <s v=" 46158.1951 "/>
    <s v=" 78.8894 "/>
    <x v="0"/>
    <n v="3641393"/>
    <m/>
    <m/>
    <m/>
  </r>
  <r>
    <x v="14"/>
    <x v="4"/>
    <s v="F:\images\20210225\plaque 2/@02 Testo 30/E2_01- exclu.tif"/>
    <m/>
    <m/>
    <x v="1"/>
    <m/>
    <m/>
    <m/>
    <m/>
  </r>
  <r>
    <x v="14"/>
    <x v="4"/>
    <s v="F:\images\20210225\plaque 2/@02 Testo 30/E2_02.tif "/>
    <s v=" 54312.6654 "/>
    <s v=" 77.6304 "/>
    <x v="0"/>
    <n v="4216315"/>
    <m/>
    <m/>
    <m/>
  </r>
  <r>
    <x v="14"/>
    <x v="4"/>
    <s v="F:\images\20210225\plaque 2/@02 Testo 30/E2_03.tif "/>
    <s v=" 55112.9715 "/>
    <s v=" 78.5165 "/>
    <x v="0"/>
    <n v="4327277"/>
    <m/>
    <m/>
    <m/>
  </r>
  <r>
    <x v="14"/>
    <x v="5"/>
    <s v="F:\images\20210225\plaque 2/@02 Testo 30/F2_01.tif "/>
    <s v=" 951.7154 "/>
    <s v=" 63.3636 "/>
    <x v="0"/>
    <n v="60304"/>
    <m/>
    <m/>
    <m/>
  </r>
  <r>
    <x v="14"/>
    <x v="5"/>
    <s v="F:\images\20210225\plaque 2/@02 Testo 30/F2_02.tif "/>
    <s v=" 1622.2421 "/>
    <s v=" 63.1333 "/>
    <x v="0"/>
    <n v="102418"/>
    <m/>
    <m/>
    <m/>
  </r>
  <r>
    <x v="14"/>
    <x v="5"/>
    <s v="F:\images\20210225\plaque 2/@02 Testo 30/F2_03- exclu.tif"/>
    <m/>
    <m/>
    <x v="1"/>
    <m/>
    <m/>
    <m/>
    <m/>
  </r>
  <r>
    <x v="14"/>
    <x v="6"/>
    <s v="F:\images\20210225\plaque 2/@02 Testo 30/G2_01.tif "/>
    <s v=" 8868.2568 "/>
    <s v=" 64.839 "/>
    <x v="0"/>
    <n v="575009"/>
    <m/>
    <m/>
    <m/>
  </r>
  <r>
    <x v="14"/>
    <x v="6"/>
    <s v="F:\images\20210225\plaque 2/@02 Testo 30/G2_02.tif "/>
    <s v=" 3136.3347 "/>
    <s v=" 63.3724 "/>
    <x v="0"/>
    <n v="198757"/>
    <m/>
    <m/>
    <m/>
  </r>
  <r>
    <x v="14"/>
    <x v="6"/>
    <s v="F:\images\20210225\plaque 2/@02 Testo 30/G2_03.tif "/>
    <s v=" 9106.1856 "/>
    <s v=" 65.0428 "/>
    <x v="0"/>
    <n v="592291"/>
    <m/>
    <m/>
    <m/>
  </r>
  <r>
    <x v="14"/>
    <x v="7"/>
    <s v="F:\images\20210225\plaque 2/@02 Testo 30/H2_01.tif "/>
    <s v=" 42394.5935 "/>
    <s v=" 72.8541 "/>
    <x v="0"/>
    <n v="3088619"/>
    <m/>
    <m/>
    <m/>
  </r>
  <r>
    <x v="14"/>
    <x v="7"/>
    <s v="F:\images\20210225\plaque 2/@02 Testo 30/H2_02.tif "/>
    <s v=" 38198.3939 "/>
    <s v=" 69.269 "/>
    <x v="0"/>
    <n v="2645963"/>
    <m/>
    <m/>
    <m/>
  </r>
  <r>
    <x v="14"/>
    <x v="7"/>
    <s v="F:\images\20210225\plaque 2/@02 Testo 30/H2_03.tif "/>
    <s v=" 40923.7606 "/>
    <s v=" 71.2918 "/>
    <x v="0"/>
    <n v="2917527"/>
    <m/>
    <m/>
    <m/>
  </r>
  <r>
    <x v="1"/>
    <x v="8"/>
    <s v=" "/>
    <m/>
    <m/>
    <x v="1"/>
    <m/>
    <m/>
    <m/>
    <m/>
  </r>
  <r>
    <x v="1"/>
    <x v="8"/>
    <s v="group "/>
    <s v=" "/>
    <s v=" mean of mean fluo "/>
    <x v="2"/>
    <s v=" mean of total fluo "/>
    <s v=" SD total fluo "/>
    <s v=" n fluorescent "/>
    <s v=" n total"/>
  </r>
  <r>
    <x v="14"/>
    <x v="9"/>
    <s v="F:\images\20210225\plaque 2/@02 Testo 30/ "/>
    <s v=" "/>
    <s v=" 70.1753 "/>
    <x v="16"/>
    <s v=" 2335174.17 "/>
    <s v=" 1373618.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225\plaque 2/@03 Testo + E2/A3_01.tif "/>
    <s v=" 42351.3337 "/>
    <s v=" 80.1471 "/>
    <x v="0"/>
    <n v="3394336"/>
    <m/>
    <m/>
    <m/>
  </r>
  <r>
    <x v="15"/>
    <x v="0"/>
    <s v="F:\images\20210225\plaque 2/@03 Testo + E2/A3_02.tif "/>
    <s v=" 53079.7614 "/>
    <s v=" 79.6626 "/>
    <x v="0"/>
    <n v="4228471"/>
    <m/>
    <m/>
    <m/>
  </r>
  <r>
    <x v="15"/>
    <x v="0"/>
    <s v="F:\images\20210225\plaque 2/@03 Testo + E2/A3_03.tif "/>
    <s v=" 50830.2524 "/>
    <s v=" 80.8583 "/>
    <x v="0"/>
    <n v="4110048"/>
    <m/>
    <m/>
    <m/>
  </r>
  <r>
    <x v="15"/>
    <x v="1"/>
    <s v="F:\images\20210225\plaque 2/@03 Testo + E2/B3_01.tif "/>
    <s v=" 55112.9715 "/>
    <s v=" 73.4403 "/>
    <x v="0"/>
    <n v="4047516"/>
    <m/>
    <m/>
    <m/>
  </r>
  <r>
    <x v="15"/>
    <x v="1"/>
    <s v="F:\images\20210225\plaque 2/@03 Testo + E2/B3_02.tif "/>
    <s v=" 32963.9594 "/>
    <s v=" 67.771 "/>
    <x v="0"/>
    <n v="2234000"/>
    <m/>
    <m/>
    <m/>
  </r>
  <r>
    <x v="15"/>
    <x v="1"/>
    <s v="F:\images\20210225\plaque 2/@03 Testo + E2/B3_03.tif "/>
    <s v=" 42827.1914 "/>
    <s v=" 69.4803 "/>
    <x v="0"/>
    <n v="2975646"/>
    <m/>
    <m/>
    <m/>
  </r>
  <r>
    <x v="15"/>
    <x v="2"/>
    <s v="F:\images\20210225\plaque 2/@03 Testo + E2/C3_01.tif "/>
    <s v=" 66230.7374 "/>
    <s v=" 77.4611 "/>
    <x v="0"/>
    <n v="5130308"/>
    <m/>
    <m/>
    <m/>
  </r>
  <r>
    <x v="15"/>
    <x v="2"/>
    <s v="F:\images\20210225\plaque 2/@03 Testo + E2/C3_02- exclu.tif"/>
    <m/>
    <m/>
    <x v="1"/>
    <m/>
    <m/>
    <m/>
    <m/>
  </r>
  <r>
    <x v="15"/>
    <x v="2"/>
    <s v="F:\images\20210225\plaque 2/@03 Testo + E2/C3_03.tif "/>
    <s v=" 58790.0536 "/>
    <s v=" 81.5909 "/>
    <x v="0"/>
    <n v="4796732"/>
    <m/>
    <m/>
    <m/>
  </r>
  <r>
    <x v="15"/>
    <x v="3"/>
    <s v="F:\images\20210225\plaque 2/@03 Testo + E2/D3_01.tif "/>
    <s v=" 62942.9934 "/>
    <s v=" 85.3546 "/>
    <x v="0"/>
    <n v="5372476"/>
    <m/>
    <m/>
    <m/>
  </r>
  <r>
    <x v="15"/>
    <x v="3"/>
    <s v="F:\images\20210225\plaque 2/@03 Testo + E2/D3_02.tif "/>
    <s v=" 61126.0822 "/>
    <s v=" 84.5474 "/>
    <x v="0"/>
    <n v="5168052"/>
    <m/>
    <m/>
    <m/>
  </r>
  <r>
    <x v="15"/>
    <x v="3"/>
    <s v="F:\images\20210225\plaque 2/@03 Testo + E2/D3_03.tif "/>
    <s v=" 57038.0321 "/>
    <s v=" 87.3182 "/>
    <x v="0"/>
    <n v="4980456"/>
    <m/>
    <m/>
    <m/>
  </r>
  <r>
    <x v="15"/>
    <x v="4"/>
    <s v="F:\images\20210225\plaque 2/@03 Testo + E2/E3_01- exclu.tif"/>
    <m/>
    <m/>
    <x v="1"/>
    <m/>
    <m/>
    <m/>
    <m/>
  </r>
  <r>
    <x v="15"/>
    <x v="4"/>
    <s v="F:\images\20210225\plaque 2/@03 Testo + E2/E3_02.tif "/>
    <s v=" 63072.7727 "/>
    <s v=" 76.4805 "/>
    <x v="0"/>
    <n v="4823834"/>
    <m/>
    <m/>
    <m/>
  </r>
  <r>
    <x v="15"/>
    <x v="4"/>
    <s v="F:\images\20210225\plaque 2/@03 Testo + E2/E3_03.tif "/>
    <s v=" 61926.3883 "/>
    <s v=" 77.9347 "/>
    <x v="0"/>
    <n v="4826213"/>
    <m/>
    <m/>
    <m/>
  </r>
  <r>
    <x v="15"/>
    <x v="5"/>
    <s v="F:\images\20210225\plaque 2/@03 Testo + E2/F3_01.tif "/>
    <s v=" 56994.7723 "/>
    <s v=" 71.2805 "/>
    <x v="0"/>
    <n v="4062613"/>
    <m/>
    <m/>
    <m/>
  </r>
  <r>
    <x v="15"/>
    <x v="5"/>
    <s v="F:\images\20210225\plaque 2/@03 Testo + E2/F3_02.tif "/>
    <s v=" 48732.1526 "/>
    <s v=" 75.2423 "/>
    <x v="0"/>
    <n v="3666721"/>
    <m/>
    <m/>
    <m/>
  </r>
  <r>
    <x v="15"/>
    <x v="5"/>
    <s v="F:\images\20210225\plaque 2/@03 Testo + E2/F3_03.tif "/>
    <s v=" 53901.6974 "/>
    <s v=" 71.386 "/>
    <x v="0"/>
    <n v="3847828"/>
    <m/>
    <m/>
    <m/>
  </r>
  <r>
    <x v="15"/>
    <x v="6"/>
    <s v="F:\images\20210225\plaque 2/@03 Testo + E2/G3_01.tif "/>
    <s v=" 65776.5096 "/>
    <s v=" 80.0677 "/>
    <x v="0"/>
    <n v="5266577"/>
    <m/>
    <m/>
    <m/>
  </r>
  <r>
    <x v="15"/>
    <x v="6"/>
    <s v="F:\images\20210225\plaque 2/@03 Testo + E2/G3_02.tif "/>
    <s v=" 62726.6944 "/>
    <s v=" 80.5314 "/>
    <x v="0"/>
    <n v="5051467"/>
    <m/>
    <m/>
    <m/>
  </r>
  <r>
    <x v="15"/>
    <x v="6"/>
    <s v="F:\images\20210225\plaque 2/@03 Testo + E2/G3_03.tif "/>
    <s v=" 65279.022 "/>
    <s v=" 77.396 "/>
    <x v="0"/>
    <n v="5052332"/>
    <m/>
    <m/>
    <m/>
  </r>
  <r>
    <x v="15"/>
    <x v="7"/>
    <s v="F:\images\20210225\plaque 2/@03 Testo + E2/H3_01.tif "/>
    <s v=" 42697.412 "/>
    <s v=" 74.844 "/>
    <x v="0"/>
    <n v="3195644"/>
    <m/>
    <m/>
    <m/>
  </r>
  <r>
    <x v="15"/>
    <x v="7"/>
    <s v="F:\images\20210225\plaque 2/@03 Testo + E2/H3_02.tif "/>
    <s v=" 45747.2271 "/>
    <s v=" 75.347 "/>
    <x v="0"/>
    <n v="3446918"/>
    <m/>
    <m/>
    <m/>
  </r>
  <r>
    <x v="15"/>
    <x v="7"/>
    <s v="F:\images\20210225\plaque 2/@03 Testo + E2/H3_03.tif "/>
    <s v=" 49034.9711 "/>
    <s v=" 73.7733 "/>
    <x v="0"/>
    <n v="3617470"/>
    <m/>
    <m/>
    <m/>
  </r>
  <r>
    <x v="1"/>
    <x v="8"/>
    <s v=" "/>
    <m/>
    <m/>
    <x v="1"/>
    <m/>
    <m/>
    <m/>
    <m/>
  </r>
  <r>
    <x v="1"/>
    <x v="8"/>
    <s v="group "/>
    <s v=" "/>
    <s v=" mean of mean fluo "/>
    <x v="2"/>
    <s v=" mean of total fluo "/>
    <s v=" SD total fluo "/>
    <s v=" n fluorescent "/>
    <s v=" n total"/>
  </r>
  <r>
    <x v="15"/>
    <x v="9"/>
    <s v="F:\images\20210225\plaque 2/@03 Testo + E2/ "/>
    <s v=" "/>
    <s v=" 77.2922 "/>
    <x v="17"/>
    <s v=" 4243273.25 "/>
    <s v=" 831421.7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225\plaque 2/@04 Testo + FAD/A4_01.tif "/>
    <s v=" 13410.5347 "/>
    <s v=" 76.3419 "/>
    <x v="0"/>
    <n v="1023786"/>
    <m/>
    <m/>
    <m/>
  </r>
  <r>
    <x v="16"/>
    <x v="0"/>
    <s v="F:\images\20210225\plaque 2/@04 Testo + FAD/A4_02.tif "/>
    <s v=" 2011.5802 "/>
    <s v=" 65.914 "/>
    <x v="0"/>
    <n v="132591"/>
    <m/>
    <m/>
    <m/>
  </r>
  <r>
    <x v="16"/>
    <x v="0"/>
    <s v="F:\images\20210225\plaque 2/@04 Testo + FAD/A4_03.tif "/>
    <s v=" 3331.0038 "/>
    <s v=" 64.4481 "/>
    <x v="0"/>
    <n v="214677"/>
    <m/>
    <m/>
    <m/>
  </r>
  <r>
    <x v="16"/>
    <x v="1"/>
    <s v="F:\images\20210225\plaque 2/@04 Testo + FAD/B4_01.tif "/>
    <s v=" 10014.6412 "/>
    <s v=" 71.2009 "/>
    <x v="0"/>
    <n v="713051"/>
    <m/>
    <m/>
    <m/>
  </r>
  <r>
    <x v="16"/>
    <x v="1"/>
    <s v="F:\images\20210225\plaque 2/@04 Testo + FAD/B4_02.tif "/>
    <s v=" 4650.4273 "/>
    <s v=" 65.5302 "/>
    <x v="0"/>
    <n v="304744"/>
    <m/>
    <m/>
    <m/>
  </r>
  <r>
    <x v="16"/>
    <x v="1"/>
    <s v="F:\images\20210225\plaque 2/@04 Testo + FAD/B4_03.tif "/>
    <s v=" 5299.3242 "/>
    <s v=" 70.8122 "/>
    <x v="0"/>
    <n v="375257"/>
    <m/>
    <m/>
    <m/>
  </r>
  <r>
    <x v="16"/>
    <x v="2"/>
    <s v="F:\images\20210225\plaque 2/@04 Testo + FAD/C4_01.tif "/>
    <s v=" 821.936 "/>
    <s v=" 63.3684 "/>
    <x v="0"/>
    <n v="52085"/>
    <m/>
    <m/>
    <m/>
  </r>
  <r>
    <x v="16"/>
    <x v="2"/>
    <s v="F:\images\20210225\plaque 2/@04 Testo + FAD/C4_02.tif "/>
    <s v=" 670.5267 "/>
    <s v=" 64.0323 "/>
    <x v="0"/>
    <n v="42935"/>
    <m/>
    <m/>
    <m/>
  </r>
  <r>
    <x v="16"/>
    <x v="2"/>
    <s v="F:\images\20210225\plaque 2/@04 Testo + FAD/C4_03.tif "/>
    <s v=" 3763.6017 "/>
    <s v=" 64.9828 "/>
    <x v="0"/>
    <n v="244569"/>
    <m/>
    <m/>
    <m/>
  </r>
  <r>
    <x v="16"/>
    <x v="3"/>
    <s v="F:\images\20210225\plaque 2/@04 Testo + FAD/D4_01.tif "/>
    <s v=" 10836.5772 "/>
    <s v=" 70.1497 "/>
    <x v="0"/>
    <n v="760183"/>
    <m/>
    <m/>
    <m/>
  </r>
  <r>
    <x v="16"/>
    <x v="3"/>
    <s v="F:\images\20210225\plaque 2/@04 Testo + FAD/D4_02.tif "/>
    <s v=" 7181.125 "/>
    <s v=" 67.1988 "/>
    <x v="0"/>
    <n v="482563"/>
    <m/>
    <m/>
    <m/>
  </r>
  <r>
    <x v="16"/>
    <x v="3"/>
    <s v="F:\images\20210225\plaque 2/@04 Testo + FAD/D4_03.tif "/>
    <s v=" 1946.6905 "/>
    <s v=" 63.2222 "/>
    <x v="0"/>
    <n v="123074"/>
    <m/>
    <m/>
    <m/>
  </r>
  <r>
    <x v="16"/>
    <x v="4"/>
    <s v="F:\images\20210225\plaque 2/@04 Testo + FAD/E4_01.tif "/>
    <s v=" 1254.5339 "/>
    <s v=" 67.3793 "/>
    <x v="0"/>
    <n v="84530"/>
    <m/>
    <m/>
    <m/>
  </r>
  <r>
    <x v="16"/>
    <x v="4"/>
    <s v="F:\images\20210225\plaque 2/@04 Testo + FAD/E4_02.tif "/>
    <s v=" 584.0072 "/>
    <s v=" 63.8889 "/>
    <x v="0"/>
    <n v="37312"/>
    <m/>
    <m/>
    <m/>
  </r>
  <r>
    <x v="16"/>
    <x v="4"/>
    <s v="F:\images\20210225\plaque 2/@04 Testo + FAD/E4_03.tif "/>
    <s v=" 3936.6408 "/>
    <s v=" 67.8187 "/>
    <x v="0"/>
    <n v="266978"/>
    <m/>
    <m/>
    <m/>
  </r>
  <r>
    <x v="16"/>
    <x v="5"/>
    <s v="F:\images\20210225\plaque 2/@04 Testo + FAD/F4_01.tif "/>
    <s v=" 865.1958 "/>
    <s v=" 64.8 "/>
    <x v="0"/>
    <n v="56065"/>
    <m/>
    <m/>
    <m/>
  </r>
  <r>
    <x v="16"/>
    <x v="5"/>
    <s v="F:\images\20210225\plaque 2/@04 Testo + FAD/F4_02.tif "/>
    <s v=" 778.6762 "/>
    <s v=" 67.7778 "/>
    <x v="0"/>
    <n v="52777"/>
    <m/>
    <m/>
    <m/>
  </r>
  <r>
    <x v="16"/>
    <x v="5"/>
    <s v="F:\images\20210225\plaque 2/@04 Testo + FAD/F4_03.tif "/>
    <s v=" 410.968 "/>
    <s v=" 63.2632 "/>
    <x v="0"/>
    <n v="25999"/>
    <m/>
    <m/>
    <m/>
  </r>
  <r>
    <x v="16"/>
    <x v="6"/>
    <s v="F:\images\20210225\plaque 2/@04 Testo + FAD/G4_01- exclu.tif"/>
    <m/>
    <m/>
    <x v="1"/>
    <m/>
    <m/>
    <m/>
    <m/>
  </r>
  <r>
    <x v="16"/>
    <x v="6"/>
    <s v="F:\images\20210225\plaque 2/@04 Testo + FAD/G4_02- exclu.tif"/>
    <m/>
    <m/>
    <x v="1"/>
    <m/>
    <m/>
    <m/>
    <m/>
  </r>
  <r>
    <x v="16"/>
    <x v="6"/>
    <s v="F:\images\20210225\plaque 2/@04 Testo + FAD/G4_03- exclu.tif"/>
    <m/>
    <m/>
    <x v="1"/>
    <m/>
    <m/>
    <m/>
    <m/>
  </r>
  <r>
    <x v="16"/>
    <x v="7"/>
    <s v="F:\images\20210225\plaque 2/@04 Testo + FAD/H4_01.tif "/>
    <s v=" 1103.1246 "/>
    <s v=" 65.0196 "/>
    <x v="0"/>
    <n v="71725"/>
    <m/>
    <m/>
    <m/>
  </r>
  <r>
    <x v="16"/>
    <x v="7"/>
    <s v="F:\images\20210225\plaque 2/@04 Testo + FAD/H4_02.tif "/>
    <s v=" 7830.0219 "/>
    <s v=" 71.7431 "/>
    <x v="0"/>
    <n v="561750"/>
    <m/>
    <m/>
    <m/>
  </r>
  <r>
    <x v="16"/>
    <x v="7"/>
    <s v="F:\images\20210225\plaque 2/@04 Testo + FAD/H4_03.tif "/>
    <s v=" 519.1175 "/>
    <s v=" 62.75 "/>
    <x v="0"/>
    <n v="32575"/>
    <m/>
    <m/>
    <m/>
  </r>
  <r>
    <x v="1"/>
    <x v="8"/>
    <s v=" "/>
    <m/>
    <m/>
    <x v="1"/>
    <m/>
    <m/>
    <m/>
    <m/>
  </r>
  <r>
    <x v="1"/>
    <x v="8"/>
    <s v="group "/>
    <s v=" "/>
    <s v=" mean of mean fluo "/>
    <x v="2"/>
    <s v=" mean of total fluo "/>
    <s v=" SD total fluo "/>
    <s v=" n fluorescent "/>
    <s v=" n total"/>
  </r>
  <r>
    <x v="16"/>
    <x v="9"/>
    <s v="F:\images\20210225\plaque 2/@04 Testo + FAD/ "/>
    <s v=" "/>
    <s v=" 69.691 "/>
    <x v="18"/>
    <n v="360465"/>
    <s v=" 369953.7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225\plaque 2/@05 Cefuroxime D 0.001/A5_01.tif "/>
    <s v=" 30584.671 "/>
    <s v=" 70.0665 "/>
    <x v="0"/>
    <n v="2142960"/>
    <m/>
    <m/>
    <m/>
  </r>
  <r>
    <x v="17"/>
    <x v="0"/>
    <s v="F:\images\20210225\plaque 2/@05 Cefuroxime D 0.001/A5_02- exclu.tif"/>
    <m/>
    <m/>
    <x v="1"/>
    <m/>
    <m/>
    <m/>
    <m/>
  </r>
  <r>
    <x v="17"/>
    <x v="0"/>
    <s v="F:\images\20210225\plaque 2/@05 Cefuroxime D 0.001/A5_03.tif "/>
    <s v=" 33223.5181 "/>
    <s v=" 70.224 "/>
    <x v="0"/>
    <n v="2333087"/>
    <m/>
    <m/>
    <m/>
  </r>
  <r>
    <x v="17"/>
    <x v="1"/>
    <s v="F:\images\20210225\plaque 2/@05 Cefuroxime D 0.001/B5_01.tif "/>
    <s v=" 51868.4873 "/>
    <s v=" 74.3699 "/>
    <x v="0"/>
    <n v="3857454"/>
    <m/>
    <m/>
    <m/>
  </r>
  <r>
    <x v="17"/>
    <x v="1"/>
    <s v="F:\images\20210225\plaque 2/@05 Cefuroxime D 0.001/B5_02.tif "/>
    <s v=" 43908.6861 "/>
    <s v=" 71.566 "/>
    <x v="0"/>
    <n v="3142369"/>
    <m/>
    <m/>
    <m/>
  </r>
  <r>
    <x v="17"/>
    <x v="1"/>
    <s v="F:\images\20210225\plaque 2/@05 Cefuroxime D 0.001/B5_03.tif "/>
    <s v=" 47823.697 "/>
    <s v=" 74.5242 "/>
    <x v="0"/>
    <n v="3564023"/>
    <m/>
    <m/>
    <m/>
  </r>
  <r>
    <x v="17"/>
    <x v="2"/>
    <s v="F:\images\20210225\plaque 2/@05 Cefuroxime D 0.001/C5_01- exclu.tif"/>
    <m/>
    <m/>
    <x v="1"/>
    <m/>
    <m/>
    <m/>
    <m/>
  </r>
  <r>
    <x v="17"/>
    <x v="2"/>
    <s v="F:\images\20210225\plaque 2/@05 Cefuroxime D 0.001/C5_02.tif "/>
    <s v=" 67636.6805 "/>
    <s v=" 77.9661 "/>
    <x v="0"/>
    <n v="5273368"/>
    <m/>
    <m/>
    <m/>
  </r>
  <r>
    <x v="17"/>
    <x v="2"/>
    <s v="F:\images\20210225\plaque 2/@05 Cefuroxime D 0.001/C5_03.tif "/>
    <s v=" 73022.5243 "/>
    <s v=" 77.439 "/>
    <x v="0"/>
    <n v="5654790"/>
    <m/>
    <m/>
    <m/>
  </r>
  <r>
    <x v="17"/>
    <x v="3"/>
    <s v="F:\images\20210225\plaque 2/@05 Cefuroxime D 0.001/D5_01.tif "/>
    <s v=" 49575.7185 "/>
    <s v=" 77.0746 "/>
    <x v="0"/>
    <n v="3821029"/>
    <m/>
    <m/>
    <m/>
  </r>
  <r>
    <x v="17"/>
    <x v="3"/>
    <s v="F:\images\20210225\plaque 2/@05 Cefuroxime D 0.001/D5_02.tif "/>
    <s v=" 45963.5261 "/>
    <s v=" 77.1256 "/>
    <x v="0"/>
    <n v="3544967"/>
    <m/>
    <m/>
    <m/>
  </r>
  <r>
    <x v="17"/>
    <x v="3"/>
    <s v="F:\images\20210225\plaque 2/@05 Cefuroxime D 0.001/D5_03.tif "/>
    <s v=" 46093.3055 "/>
    <s v=" 76.6016 "/>
    <x v="0"/>
    <n v="3530821"/>
    <m/>
    <m/>
    <m/>
  </r>
  <r>
    <x v="17"/>
    <x v="4"/>
    <s v="F:\images\20210225\plaque 2/@05 Cefuroxime D 0.001/E5_01.tif "/>
    <s v=" 42091.7749 "/>
    <s v=" 76.815 "/>
    <x v="0"/>
    <n v="3233280"/>
    <m/>
    <m/>
    <m/>
  </r>
  <r>
    <x v="17"/>
    <x v="4"/>
    <s v="F:\images\20210225\plaque 2/@05 Cefuroxime D 0.001/E5_02.tif "/>
    <s v=" 41615.9173 "/>
    <s v=" 78.0515 "/>
    <x v="0"/>
    <n v="3248183"/>
    <m/>
    <m/>
    <m/>
  </r>
  <r>
    <x v="17"/>
    <x v="4"/>
    <s v="F:\images\20210225\plaque 2/@05 Cefuroxime D 0.001/E5_03.tif "/>
    <s v=" 41486.1379 "/>
    <s v=" 76.4129 "/>
    <x v="0"/>
    <n v="3170077"/>
    <m/>
    <m/>
    <m/>
  </r>
  <r>
    <x v="17"/>
    <x v="5"/>
    <s v="F:\images\20210225\plaque 2/@05 Cefuroxime D 0.001/F5_01.tif "/>
    <s v=" 47326.2094 "/>
    <s v=" 72.9164 "/>
    <x v="0"/>
    <n v="3450855"/>
    <m/>
    <m/>
    <m/>
  </r>
  <r>
    <x v="17"/>
    <x v="5"/>
    <s v="F:\images\20210225\plaque 2/@05 Cefuroxime D 0.001/F5_02.tif "/>
    <s v=" 43454.4583 "/>
    <s v=" 72.1618 "/>
    <x v="0"/>
    <n v="3135751"/>
    <m/>
    <m/>
    <m/>
  </r>
  <r>
    <x v="17"/>
    <x v="5"/>
    <s v="F:\images\20210225\plaque 2/@05 Cefuroxime D 0.001/F5_03.tif "/>
    <s v=" 38111.8743 "/>
    <s v=" 69.7753 "/>
    <x v="0"/>
    <n v="2659266"/>
    <m/>
    <m/>
    <m/>
  </r>
  <r>
    <x v="17"/>
    <x v="6"/>
    <s v="F:\images\20210225\plaque 2/@05 Cefuroxime D 0.001/G5_01.tif "/>
    <s v=" 51825.2275 "/>
    <s v=" 74.9215 "/>
    <x v="0"/>
    <n v="3882826"/>
    <m/>
    <m/>
    <m/>
  </r>
  <r>
    <x v="17"/>
    <x v="6"/>
    <s v="F:\images\20210225\plaque 2/@05 Cefuroxime D 0.001/G5_02.tif "/>
    <s v=" 53382.5799 "/>
    <s v=" 73.6264 "/>
    <x v="0"/>
    <n v="3930368"/>
    <m/>
    <m/>
    <m/>
  </r>
  <r>
    <x v="17"/>
    <x v="6"/>
    <s v="F:\images\20210225\plaque 2/@05 Cefuroxime D 0.001/G5_03.tif "/>
    <s v=" 51695.4482 "/>
    <s v=" 74.1749 "/>
    <x v="0"/>
    <n v="3834504"/>
    <m/>
    <m/>
    <m/>
  </r>
  <r>
    <x v="17"/>
    <x v="7"/>
    <s v="F:\images\20210225\plaque 2/@05 Cefuroxime D 0.001/H5_01.tif "/>
    <s v=" 40036.935 "/>
    <s v=" 70.9638 "/>
    <x v="0"/>
    <n v="2841173"/>
    <m/>
    <m/>
    <m/>
  </r>
  <r>
    <x v="17"/>
    <x v="7"/>
    <s v="F:\images\20210225\plaque 2/@05 Cefuroxime D 0.001/H5_02.tif "/>
    <s v=" 43519.348 "/>
    <s v=" 71.7659 "/>
    <x v="0"/>
    <n v="3123205"/>
    <m/>
    <m/>
    <m/>
  </r>
  <r>
    <x v="17"/>
    <x v="7"/>
    <s v="F:\images\20210225\plaque 2/@05 Cefuroxime D 0.001/H5_03.tif "/>
    <s v=" 38328.1733 "/>
    <s v=" 69.7799 "/>
    <x v="0"/>
    <n v="2674536"/>
    <m/>
    <m/>
    <m/>
  </r>
  <r>
    <x v="1"/>
    <x v="8"/>
    <s v=" "/>
    <m/>
    <m/>
    <x v="1"/>
    <m/>
    <m/>
    <m/>
    <m/>
  </r>
  <r>
    <x v="1"/>
    <x v="8"/>
    <s v="group "/>
    <s v=" "/>
    <s v=" mean of mean fluo "/>
    <x v="2"/>
    <s v=" mean of total fluo "/>
    <s v=" SD total fluo "/>
    <s v=" n fluorescent "/>
    <s v=" n total"/>
  </r>
  <r>
    <x v="17"/>
    <x v="9"/>
    <s v="F:\images\20210225\plaque 2/@05 Cefuroxime D 0.001/ "/>
    <s v=" "/>
    <s v=" 73.8452 "/>
    <x v="19"/>
    <s v=" 3405968.46 "/>
    <s v=" 952822.6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225\plaque 2/@06 Cefuroxime D 0.01/A6_01.tif "/>
    <s v=" 14492.0294 "/>
    <s v=" 71.8791 "/>
    <x v="0"/>
    <n v="1041674"/>
    <m/>
    <m/>
    <m/>
  </r>
  <r>
    <x v="18"/>
    <x v="0"/>
    <s v="F:\images\20210225\plaque 2/@06 Cefuroxime D 0.01/A6_02.tif "/>
    <s v=" 12242.5204 "/>
    <s v=" 68.1537 "/>
    <x v="0"/>
    <n v="834373"/>
    <m/>
    <m/>
    <m/>
  </r>
  <r>
    <x v="18"/>
    <x v="0"/>
    <s v="F:\images\20210225\plaque 2/@06 Cefuroxime D 0.01/A6_03.tif "/>
    <s v=" 15227.4458 "/>
    <s v=" 70.0852 "/>
    <x v="0"/>
    <n v="1067219"/>
    <m/>
    <m/>
    <m/>
  </r>
  <r>
    <x v="18"/>
    <x v="1"/>
    <s v="F:\images\20210225\plaque 2/@06 Cefuroxime D 0.01/B6_01.tif "/>
    <s v=" 34694.351 "/>
    <s v=" 67.6983 "/>
    <x v="0"/>
    <n v="2348747"/>
    <m/>
    <m/>
    <m/>
  </r>
  <r>
    <x v="18"/>
    <x v="1"/>
    <s v="F:\images\20210225\plaque 2/@06 Cefuroxime D 0.01/B6_02.tif "/>
    <s v=" 38393.063 "/>
    <s v=" 69.831 "/>
    <x v="0"/>
    <n v="2681025"/>
    <m/>
    <m/>
    <m/>
  </r>
  <r>
    <x v="18"/>
    <x v="1"/>
    <s v="F:\images\20210225\plaque 2/@06 Cefuroxime D 0.01/B6_03.tif "/>
    <s v=" 32552.9914 "/>
    <s v=" 67.4199 "/>
    <x v="0"/>
    <n v="2194721"/>
    <m/>
    <m/>
    <m/>
  </r>
  <r>
    <x v="18"/>
    <x v="2"/>
    <s v="F:\images\20210225\plaque 2/@06 Cefuroxime D 0.01/C6_01.tif "/>
    <s v=" 49965.0566 "/>
    <s v=" 84.4615 "/>
    <x v="0"/>
    <n v="4220122"/>
    <m/>
    <m/>
    <m/>
  </r>
  <r>
    <x v="18"/>
    <x v="2"/>
    <s v="F:\images\20210225\plaque 2/@06 Cefuroxime D 0.01/C6_02.tif "/>
    <s v=" 48926.8217 "/>
    <s v=" 82.0756 "/>
    <x v="0"/>
    <n v="4015698"/>
    <m/>
    <m/>
    <m/>
  </r>
  <r>
    <x v="18"/>
    <x v="2"/>
    <s v="F:\images\20210225\plaque 2/@06 Cefuroxime D 0.01/C6_03.tif "/>
    <s v=" 50916.772 "/>
    <s v=" 82.0357 "/>
    <x v="0"/>
    <n v="4176992"/>
    <m/>
    <m/>
    <m/>
  </r>
  <r>
    <x v="18"/>
    <x v="3"/>
    <s v="F:\images\20210225\plaque 2/@06 Cefuroxime D 0.01/D6_01.tif "/>
    <s v=" 42567.6326 "/>
    <s v=" 74.4004 "/>
    <x v="0"/>
    <n v="3167049"/>
    <m/>
    <m/>
    <m/>
  </r>
  <r>
    <x v="18"/>
    <x v="3"/>
    <s v="F:\images\20210225\plaque 2/@06 Cefuroxime D 0.01/D6_02.tif "/>
    <s v=" 38544.4722 "/>
    <s v=" 74.9815 "/>
    <x v="0"/>
    <n v="2890122"/>
    <m/>
    <m/>
    <m/>
  </r>
  <r>
    <x v="18"/>
    <x v="3"/>
    <s v="F:\images\20210225\plaque 2/@06 Cefuroxime D 0.01/D6_03.tif "/>
    <s v=" 42199.9244 "/>
    <s v=" 74.6627 "/>
    <x v="0"/>
    <n v="3150762"/>
    <m/>
    <m/>
    <m/>
  </r>
  <r>
    <x v="18"/>
    <x v="4"/>
    <s v="F:\images\20210225\plaque 2/@06 Cefuroxime D 0.01/E6_01.tif "/>
    <s v=" 72005.9192 "/>
    <s v=" 78.9456 "/>
    <x v="0"/>
    <n v="5684553"/>
    <m/>
    <m/>
    <m/>
  </r>
  <r>
    <x v="18"/>
    <x v="4"/>
    <s v="F:\images\20210225\plaque 2/@06 Cefuroxime D 0.01/E6_02.tif "/>
    <s v=" 60390.6658 "/>
    <s v=" 80.8223 "/>
    <x v="0"/>
    <n v="4880916"/>
    <m/>
    <m/>
    <m/>
  </r>
  <r>
    <x v="18"/>
    <x v="4"/>
    <s v="F:\images\20210225\plaque 2/@06 Cefuroxime D 0.01/E6_03.tif "/>
    <s v=" 66273.9971 "/>
    <s v=" 80.5206 "/>
    <x v="0"/>
    <n v="5336419"/>
    <m/>
    <m/>
    <m/>
  </r>
  <r>
    <x v="18"/>
    <x v="5"/>
    <s v="F:\images\20210225\plaque 2/@06 Cefuroxime D 0.01/F6_01.tif "/>
    <s v=" 16308.9406 "/>
    <s v=" 68.4761 "/>
    <x v="0"/>
    <n v="1116773"/>
    <m/>
    <m/>
    <m/>
  </r>
  <r>
    <x v="18"/>
    <x v="5"/>
    <s v="F:\images\20210225\plaque 2/@06 Cefuroxime D 0.01/F6_02.tif "/>
    <s v=" 10836.5772 "/>
    <s v=" 69.7685 "/>
    <x v="0"/>
    <n v="756051"/>
    <m/>
    <m/>
    <m/>
  </r>
  <r>
    <x v="18"/>
    <x v="5"/>
    <s v="F:\images\20210225\plaque 2/@06 Cefuroxime D 0.01/F6_03.tif "/>
    <s v=" 16936.2075 "/>
    <s v=" 69.1992 "/>
    <x v="0"/>
    <n v="1171973"/>
    <m/>
    <m/>
    <m/>
  </r>
  <r>
    <x v="18"/>
    <x v="6"/>
    <s v="F:\images\20210225\plaque 2/@06 Cefuroxime D 0.01/G6_01.tif "/>
    <s v=" 54788.5231 "/>
    <s v=" 76.1204 "/>
    <x v="0"/>
    <n v="4170525"/>
    <m/>
    <m/>
    <m/>
  </r>
  <r>
    <x v="18"/>
    <x v="6"/>
    <s v="F:\images\20210225\plaque 2/@06 Cefuroxime D 0.01/G6_02.tif "/>
    <s v=" 49986.6865 "/>
    <s v=" 75.495 "/>
    <x v="0"/>
    <n v="3773746"/>
    <m/>
    <m/>
    <m/>
  </r>
  <r>
    <x v="18"/>
    <x v="6"/>
    <s v="F:\images\20210225\plaque 2/@06 Cefuroxime D 0.01/G6_03.tif "/>
    <s v=" 52820.2027 "/>
    <s v=" 77.3063 "/>
    <x v="0"/>
    <n v="4083335"/>
    <m/>
    <m/>
    <m/>
  </r>
  <r>
    <x v="18"/>
    <x v="7"/>
    <s v="F:\images\20210225\plaque 2/@06 Cefuroxime D 0.01/H6_01.tif "/>
    <s v=" 38371.4331 "/>
    <s v=" 77.0947 "/>
    <x v="0"/>
    <n v="2958234"/>
    <m/>
    <m/>
    <m/>
  </r>
  <r>
    <x v="18"/>
    <x v="7"/>
    <s v="F:\images\20210225\plaque 2/@06 Cefuroxime D 0.01/H6_02.tif "/>
    <s v=" 35473.0272 "/>
    <s v=" 72.8622 "/>
    <x v="0"/>
    <n v="2584643"/>
    <m/>
    <m/>
    <m/>
  </r>
  <r>
    <x v="18"/>
    <x v="7"/>
    <s v="F:\images\20210225\plaque 2/@06 Cefuroxime D 0.01/H6_03.tif "/>
    <s v=" 22906.0584 "/>
    <s v=" 67.8432 "/>
    <x v="0"/>
    <n v="1554021"/>
    <m/>
    <m/>
    <m/>
  </r>
  <r>
    <x v="1"/>
    <x v="8"/>
    <s v=" "/>
    <m/>
    <m/>
    <x v="1"/>
    <m/>
    <m/>
    <m/>
    <m/>
  </r>
  <r>
    <x v="1"/>
    <x v="8"/>
    <s v="group "/>
    <s v=" "/>
    <s v=" mean of mean fluo "/>
    <x v="2"/>
    <s v=" mean of total fluo "/>
    <s v=" SD total fluo "/>
    <s v=" n fluorescent "/>
    <s v=" n total"/>
  </r>
  <r>
    <x v="18"/>
    <x v="9"/>
    <s v="F:\images\20210225\plaque 2/@06 Cefuroxime D 0.01/ "/>
    <s v=" "/>
    <s v=" 74.2558 "/>
    <x v="20"/>
    <s v=" 2910820.54 "/>
    <s v=" 1485393.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225\plaque 2/@07 Cefuroxime D 0.1/A7_01.tif "/>
    <s v=" 28291.9022 "/>
    <s v=" 70.2439 "/>
    <x v="0"/>
    <n v="1987333"/>
    <m/>
    <m/>
    <m/>
  </r>
  <r>
    <x v="19"/>
    <x v="0"/>
    <s v="F:\images\20210225\plaque 2/@07 Cefuroxime D 0.1/A7_02.tif "/>
    <s v=" 33634.4861 "/>
    <s v=" 69.0219 "/>
    <x v="0"/>
    <n v="2321515"/>
    <m/>
    <m/>
    <m/>
  </r>
  <r>
    <x v="19"/>
    <x v="0"/>
    <s v="F:\images\20210225\plaque 2/@07 Cefuroxime D 0.1/A7_03.tif "/>
    <s v=" 35451.3973 "/>
    <s v=" 69.7035 "/>
    <x v="0"/>
    <n v="2471086"/>
    <m/>
    <m/>
    <m/>
  </r>
  <r>
    <x v="19"/>
    <x v="1"/>
    <s v="F:\images\20210225\plaque 2/@07 Cefuroxime D 0.1/B7_01.tif "/>
    <s v=" 41204.9493 "/>
    <s v=" 72.8714 "/>
    <x v="0"/>
    <n v="3002662"/>
    <m/>
    <m/>
    <m/>
  </r>
  <r>
    <x v="19"/>
    <x v="1"/>
    <s v="F:\images\20210225\plaque 2/@07 Cefuroxime D 0.1/B7_02.tif "/>
    <s v=" 43130.0099 "/>
    <s v=" 75.5361 "/>
    <x v="0"/>
    <n v="3257873"/>
    <m/>
    <m/>
    <m/>
  </r>
  <r>
    <x v="19"/>
    <x v="1"/>
    <s v="F:\images\20210225\plaque 2/@07 Cefuroxime D 0.1/B7_03.tif "/>
    <s v=" 40772.3514 "/>
    <s v=" 76.6085 "/>
    <x v="0"/>
    <n v="3123508"/>
    <m/>
    <m/>
    <m/>
  </r>
  <r>
    <x v="19"/>
    <x v="2"/>
    <s v="F:\images\20210225\plaque 2/@07 Cefuroxime D 0.1/C7_01.tif "/>
    <s v=" 49727.1278 "/>
    <s v=" 70.2153 "/>
    <x v="0"/>
    <n v="3491606"/>
    <m/>
    <m/>
    <m/>
  </r>
  <r>
    <x v="19"/>
    <x v="2"/>
    <s v="F:\images\20210225\plaque 2/@07 Cefuroxime D 0.1/C7_02.tif "/>
    <s v=" 50743.7328 "/>
    <s v=" 69.4919 "/>
    <x v="0"/>
    <n v="3526278"/>
    <m/>
    <m/>
    <m/>
  </r>
  <r>
    <x v="19"/>
    <x v="2"/>
    <s v="F:\images\20210225\plaque 2/@07 Cefuroxime D 0.1/C7_03- exclu.tif"/>
    <m/>
    <m/>
    <x v="1"/>
    <m/>
    <m/>
    <m/>
    <m/>
  </r>
  <r>
    <x v="19"/>
    <x v="3"/>
    <s v="F:\images\20210225\plaque 2/@07 Cefuroxime D 0.1/D7_01.tif "/>
    <s v=" 66209.1075 "/>
    <s v=" 78.6217 "/>
    <x v="0"/>
    <n v="5205472"/>
    <m/>
    <m/>
    <m/>
  </r>
  <r>
    <x v="19"/>
    <x v="3"/>
    <s v="F:\images\20210225\plaque 2/@07 Cefuroxime D 0.1/D7_02.tif "/>
    <s v=" 67355.4919 "/>
    <s v=" 77.166 "/>
    <x v="0"/>
    <n v="5197556"/>
    <m/>
    <m/>
    <m/>
  </r>
  <r>
    <x v="19"/>
    <x v="3"/>
    <s v="F:\images\20210225\plaque 2/@07 Cefuroxime D 0.1/D7_03.tif "/>
    <s v=" 63267.4418 "/>
    <s v=" 78.9689 "/>
    <x v="0"/>
    <n v="4996160"/>
    <m/>
    <m/>
    <m/>
  </r>
  <r>
    <x v="19"/>
    <x v="4"/>
    <s v="F:\images\20210225\plaque 2/@07 Cefuroxime D 0.1/E7_01.tif "/>
    <s v=" 50895.1421 "/>
    <s v=" 72.3876 "/>
    <x v="0"/>
    <n v="3684177"/>
    <m/>
    <m/>
    <m/>
  </r>
  <r>
    <x v="19"/>
    <x v="4"/>
    <s v="F:\images\20210225\plaque 2/@07 Cefuroxime D 0.1/E7_02.tif "/>
    <s v=" 41767.3265 "/>
    <s v=" 71.899 "/>
    <x v="0"/>
    <n v="3003030"/>
    <m/>
    <m/>
    <m/>
  </r>
  <r>
    <x v="19"/>
    <x v="4"/>
    <s v="F:\images\20210225\plaque 2/@07 Cefuroxime D 0.1/E7_03.tif "/>
    <s v=" 49056.601 "/>
    <s v=" 72.9242 "/>
    <x v="0"/>
    <n v="3577412"/>
    <m/>
    <m/>
    <m/>
  </r>
  <r>
    <x v="19"/>
    <x v="5"/>
    <s v="F:\images\20210225\plaque 2/@07 Cefuroxime D 0.1/F7_01.tif "/>
    <s v=" 42135.0347 "/>
    <s v=" 71.1335 "/>
    <x v="0"/>
    <n v="2997211"/>
    <m/>
    <m/>
    <m/>
  </r>
  <r>
    <x v="19"/>
    <x v="5"/>
    <s v="F:\images\20210225\plaque 2/@07 Cefuroxime D 0.1/F7_02.tif "/>
    <s v=" 40036.935 "/>
    <s v=" 70.6391 "/>
    <x v="0"/>
    <n v="2828174"/>
    <m/>
    <m/>
    <m/>
  </r>
  <r>
    <x v="19"/>
    <x v="5"/>
    <s v="F:\images\20210225\plaque 2/@07 Cefuroxime D 0.1/F7_03.tif "/>
    <s v=" 36186.8137 "/>
    <s v=" 71.9068 "/>
    <x v="0"/>
    <n v="2602076"/>
    <m/>
    <m/>
    <m/>
  </r>
  <r>
    <x v="19"/>
    <x v="6"/>
    <s v="F:\images\20210225\plaque 2/@07 Cefuroxime D 0.1/G7_01.tif "/>
    <s v=" 1925.0606 "/>
    <s v=" 62.9551 "/>
    <x v="0"/>
    <n v="121192"/>
    <m/>
    <m/>
    <m/>
  </r>
  <r>
    <x v="19"/>
    <x v="6"/>
    <s v="F:\images\20210225\plaque 2/@07 Cefuroxime D 0.1/G7_02.tif "/>
    <s v=" 7721.8724 "/>
    <s v=" 64.9776 "/>
    <x v="0"/>
    <n v="501749"/>
    <m/>
    <m/>
    <m/>
  </r>
  <r>
    <x v="19"/>
    <x v="6"/>
    <s v="F:\images\20210225\plaque 2/@07 Cefuroxime D 0.1/G7_03.tif "/>
    <s v=" 3568.9326 "/>
    <s v=" 64.2545 "/>
    <x v="0"/>
    <n v="229320"/>
    <m/>
    <m/>
    <m/>
  </r>
  <r>
    <x v="19"/>
    <x v="7"/>
    <s v="F:\images\20210225\plaque 2/@07 Cefuroxime D 0.1/H7_01- exclu.tif"/>
    <m/>
    <m/>
    <x v="1"/>
    <m/>
    <m/>
    <m/>
    <m/>
  </r>
  <r>
    <x v="19"/>
    <x v="7"/>
    <s v="F:\images\20210225\plaque 2/@07 Cefuroxime D 0.1/H7_02.tif "/>
    <s v=" 53620.5088 "/>
    <s v=" 78.3304 "/>
    <x v="0"/>
    <n v="4200115"/>
    <m/>
    <m/>
    <m/>
  </r>
  <r>
    <x v="19"/>
    <x v="7"/>
    <s v="F:\images\20210225\plaque 2/@07 Cefuroxime D 0.1/H7_03.tif "/>
    <s v=" 54096.3665 "/>
    <s v=" 77.9932 "/>
    <x v="0"/>
    <n v="4219149"/>
    <m/>
    <m/>
    <m/>
  </r>
  <r>
    <x v="1"/>
    <x v="8"/>
    <s v=" "/>
    <m/>
    <m/>
    <x v="1"/>
    <m/>
    <m/>
    <m/>
    <m/>
  </r>
  <r>
    <x v="1"/>
    <x v="8"/>
    <s v="group "/>
    <s v=" "/>
    <s v=" mean of mean fluo "/>
    <x v="2"/>
    <s v=" mean of total fluo "/>
    <s v=" SD total fluo "/>
    <s v=" n fluorescent "/>
    <s v=" n total"/>
  </r>
  <r>
    <x v="19"/>
    <x v="9"/>
    <s v="F:\images\20210225\plaque 2/@07 Cefuroxime D 0.1/ "/>
    <s v=" "/>
    <s v=" 71.8376 "/>
    <x v="21"/>
    <s v=" 2880808.25 "/>
    <s v=" 1453095.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225\plaque 2/@08 Cefuroxime D 1/A8_01.tif "/>
    <s v=" 40664.2019 "/>
    <s v=" 83.3612 "/>
    <x v="0"/>
    <n v="3389815"/>
    <m/>
    <m/>
    <m/>
  </r>
  <r>
    <x v="20"/>
    <x v="0"/>
    <s v="F:\images\20210225\plaque 2/@08 Cefuroxime D 1/A8_02.tif "/>
    <s v=" 43822.1665 "/>
    <s v=" 80.7098 "/>
    <x v="0"/>
    <n v="3536877"/>
    <m/>
    <m/>
    <m/>
  </r>
  <r>
    <x v="20"/>
    <x v="0"/>
    <s v="F:\images\20210225\plaque 2/@08 Cefuroxime D 1/A8_03.tif "/>
    <s v=" 39669.2267 "/>
    <s v=" 83.0573 "/>
    <x v="0"/>
    <n v="3294817"/>
    <m/>
    <m/>
    <m/>
  </r>
  <r>
    <x v="20"/>
    <x v="1"/>
    <s v="F:\images\20210225\plaque 2/@08 Cefuroxime D 1/B8_01.tif "/>
    <s v=" 36468.0023 "/>
    <s v=" 75.3707 "/>
    <x v="0"/>
    <n v="2748619"/>
    <m/>
    <m/>
    <m/>
  </r>
  <r>
    <x v="20"/>
    <x v="1"/>
    <s v="F:\images\20210225\plaque 2/@08 Cefuroxime D 1/B8_02.tif "/>
    <s v=" 39452.9278 "/>
    <s v=" 78.4572 "/>
    <x v="0"/>
    <n v="3095368"/>
    <m/>
    <m/>
    <m/>
  </r>
  <r>
    <x v="20"/>
    <x v="1"/>
    <s v="F:\images\20210225\plaque 2/@08 Cefuroxime D 1/B8_03.tif "/>
    <s v=" 40469.5329 "/>
    <s v=" 72.8498 "/>
    <x v="0"/>
    <n v="2948198"/>
    <m/>
    <m/>
    <m/>
  </r>
  <r>
    <x v="20"/>
    <x v="2"/>
    <s v="F:\images\20210225\plaque 2/@08 Cefuroxime D 1/C8_01.tif "/>
    <s v=" 40080.1947 "/>
    <s v=" 73.0092 "/>
    <x v="0"/>
    <n v="2926222"/>
    <m/>
    <m/>
    <m/>
  </r>
  <r>
    <x v="20"/>
    <x v="2"/>
    <s v="F:\images\20210225\plaque 2/@08 Cefuroxime D 1/C8_02.tif "/>
    <s v=" 36619.4116 "/>
    <s v=" 73.7673 "/>
    <x v="0"/>
    <n v="2701314"/>
    <m/>
    <m/>
    <m/>
  </r>
  <r>
    <x v="20"/>
    <x v="2"/>
    <s v="F:\images\20210225\plaque 2/@08 Cefuroxime D 1/C8_03.tif "/>
    <s v=" 43151.6398 "/>
    <s v=" 75.0792 "/>
    <x v="0"/>
    <n v="3239791"/>
    <m/>
    <m/>
    <m/>
  </r>
  <r>
    <x v="20"/>
    <x v="3"/>
    <s v="F:\images\20210225\plaque 2/@08 Cefuroxime D 1/D8_01.tif "/>
    <s v=" 55177.8612 "/>
    <s v=" 76.737 "/>
    <x v="0"/>
    <n v="4234182"/>
    <m/>
    <m/>
    <m/>
  </r>
  <r>
    <x v="20"/>
    <x v="3"/>
    <s v="F:\images\20210225\plaque 2/@08 Cefuroxime D 1/D8_02.tif "/>
    <s v=" 49056.601 "/>
    <s v=" 75.0079 "/>
    <x v="0"/>
    <n v="3679634"/>
    <m/>
    <m/>
    <m/>
  </r>
  <r>
    <x v="20"/>
    <x v="3"/>
    <s v="F:\images\20210225\plaque 2/@08 Cefuroxime D 1/D8_03.tif "/>
    <s v=" 53274.4305 "/>
    <s v=" 75.3609 "/>
    <x v="0"/>
    <n v="4014811"/>
    <m/>
    <m/>
    <m/>
  </r>
  <r>
    <x v="20"/>
    <x v="4"/>
    <s v="F:\images\20210225\plaque 2/@08 Cefuroxime D 1/E8_01- exclu.tif"/>
    <m/>
    <m/>
    <x v="1"/>
    <m/>
    <m/>
    <m/>
    <m/>
  </r>
  <r>
    <x v="20"/>
    <x v="4"/>
    <s v="F:\images\20210225\plaque 2/@08 Cefuroxime D 1/E8_02.tif "/>
    <s v=" 41572.6575 "/>
    <s v=" 72.3262 "/>
    <x v="0"/>
    <n v="3006793"/>
    <m/>
    <m/>
    <m/>
  </r>
  <r>
    <x v="20"/>
    <x v="4"/>
    <s v="F:\images\20210225\plaque 2/@08 Cefuroxime D 1/E8_03.tif "/>
    <s v=" 42286.444 "/>
    <s v=" 70.6951 "/>
    <x v="0"/>
    <n v="2989446"/>
    <m/>
    <m/>
    <m/>
  </r>
  <r>
    <x v="20"/>
    <x v="5"/>
    <s v="F:\images\20210225\plaque 2/@08 Cefuroxime D 1/F8_01.tif "/>
    <s v=" 40361.3834 "/>
    <s v=" 70.1602 "/>
    <x v="0"/>
    <n v="2831764"/>
    <m/>
    <m/>
    <m/>
  </r>
  <r>
    <x v="20"/>
    <x v="5"/>
    <s v="F:\images\20210225\plaque 2/@08 Cefuroxime D 1/F8_02.tif "/>
    <s v=" 43670.7573 "/>
    <s v=" 71.8737 "/>
    <x v="0"/>
    <n v="3138779"/>
    <m/>
    <m/>
    <m/>
  </r>
  <r>
    <x v="20"/>
    <x v="5"/>
    <s v="F:\images\20210225\plaque 2/@08 Cefuroxime D 1/F8_03.tif "/>
    <s v=" 40512.7926 "/>
    <s v=" 71.7848 "/>
    <x v="0"/>
    <n v="2908204"/>
    <m/>
    <m/>
    <m/>
  </r>
  <r>
    <x v="20"/>
    <x v="6"/>
    <s v="F:\images\20210225\plaque 2/@08 Cefuroxime D 1/G8_01.tif "/>
    <s v=" 60477.1854 "/>
    <s v=" 73.0798 "/>
    <x v="0"/>
    <n v="4419658"/>
    <m/>
    <m/>
    <m/>
  </r>
  <r>
    <x v="20"/>
    <x v="6"/>
    <s v="F:\images\20210225\plaque 2/@08 Cefuroxime D 1/G8_02.tif "/>
    <s v=" 49445.9391 "/>
    <s v=" 74.7633 "/>
    <x v="0"/>
    <n v="3696744"/>
    <m/>
    <m/>
    <m/>
  </r>
  <r>
    <x v="20"/>
    <x v="6"/>
    <s v="F:\images\20210225\plaque 2/@08 Cefuroxime D 1/G8_03.tif "/>
    <s v=" 61580.31 "/>
    <s v=" 72.5975 "/>
    <x v="0"/>
    <n v="4470575"/>
    <m/>
    <m/>
    <m/>
  </r>
  <r>
    <x v="20"/>
    <x v="7"/>
    <s v="F:\images\20210225\plaque 2/@08 Cefuroxime D 1/H8_01.tif "/>
    <s v=" 53598.8789 "/>
    <s v=" 78.0964 "/>
    <x v="0"/>
    <n v="4185882"/>
    <m/>
    <m/>
    <m/>
  </r>
  <r>
    <x v="20"/>
    <x v="7"/>
    <s v="F:\images\20210225\plaque 2/@08 Cefuroxime D 1/H8_02.tif "/>
    <s v=" 58292.566 "/>
    <s v=" 76.02 "/>
    <x v="0"/>
    <n v="4431403"/>
    <m/>
    <m/>
    <m/>
  </r>
  <r>
    <x v="20"/>
    <x v="7"/>
    <s v="F:\images\20210225\plaque 2/@08 Cefuroxime D 1/H8_03.tif "/>
    <s v=" 54939.9324 "/>
    <s v=" 76.0913 "/>
    <x v="0"/>
    <n v="4180453"/>
    <m/>
    <m/>
    <m/>
  </r>
  <r>
    <x v="1"/>
    <x v="8"/>
    <s v=" "/>
    <m/>
    <m/>
    <x v="1"/>
    <m/>
    <m/>
    <m/>
    <m/>
  </r>
  <r>
    <x v="1"/>
    <x v="8"/>
    <s v="group "/>
    <s v=" "/>
    <s v=" mean of mean fluo "/>
    <x v="2"/>
    <s v=" mean of total fluo "/>
    <s v=" SD total fluo "/>
    <s v=" n fluorescent "/>
    <s v=" n total"/>
  </r>
  <r>
    <x v="20"/>
    <x v="9"/>
    <s v="F:\images\20210225\plaque 2/@08 Cefuroxime D 1/ "/>
    <s v=" "/>
    <s v=" 75.0934 "/>
    <x v="22"/>
    <s v=" 3399931.04 "/>
    <s v=" 712090.6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225\plaque 2/@09 Cefuroxime D 10/A9_01- exclu.tif"/>
    <m/>
    <m/>
    <x v="1"/>
    <m/>
    <m/>
    <m/>
    <m/>
  </r>
  <r>
    <x v="21"/>
    <x v="0"/>
    <s v="F:\images\20210225\plaque 2/@09 Cefuroxime D 10/A9_02.tif "/>
    <s v=" 27080.6281 "/>
    <s v=" 74.2133 "/>
    <x v="0"/>
    <n v="2009742"/>
    <m/>
    <m/>
    <m/>
  </r>
  <r>
    <x v="21"/>
    <x v="0"/>
    <s v="F:\images\20210225\plaque 2/@09 Cefuroxime D 10/A9_03.tif "/>
    <s v=" 25371.8664 "/>
    <s v=" 72.9847 "/>
    <x v="0"/>
    <n v="1851757"/>
    <m/>
    <m/>
    <m/>
  </r>
  <r>
    <x v="21"/>
    <x v="1"/>
    <s v="F:\images\20210225\plaque 2/@09 Cefuroxime D 10/B9_01.tif "/>
    <s v=" 31471.4967 "/>
    <s v=" 71.1505 "/>
    <x v="0"/>
    <n v="2239213"/>
    <m/>
    <m/>
    <m/>
  </r>
  <r>
    <x v="21"/>
    <x v="1"/>
    <s v="F:\images\20210225\plaque 2/@09 Cefuroxime D 10/B9_02.tif "/>
    <s v=" 23576.5851 "/>
    <s v=" 68.2257 "/>
    <x v="0"/>
    <n v="1608529"/>
    <m/>
    <m/>
    <m/>
  </r>
  <r>
    <x v="21"/>
    <x v="1"/>
    <s v="F:\images\20210225\plaque 2/@09 Cefuroxime D 10/B9_03.tif "/>
    <s v=" 24593.1902 "/>
    <s v=" 69.0668 "/>
    <x v="0"/>
    <n v="1698574"/>
    <m/>
    <m/>
    <m/>
  </r>
  <r>
    <x v="21"/>
    <x v="2"/>
    <s v="F:\images\20210225\plaque 2/@09 Cefuroxime D 10/C9_01.tif "/>
    <s v=" 56043.057 "/>
    <s v=" 76.1127 "/>
    <x v="0"/>
    <n v="4265588"/>
    <m/>
    <m/>
    <m/>
  </r>
  <r>
    <x v="21"/>
    <x v="2"/>
    <s v="F:\images\20210225\plaque 2/@09 Cefuroxime D 10/C9_02.tif "/>
    <s v=" 61212.6018 "/>
    <s v=" 74.2064 "/>
    <x v="0"/>
    <n v="4542364"/>
    <m/>
    <m/>
    <m/>
  </r>
  <r>
    <x v="21"/>
    <x v="2"/>
    <s v="F:\images\20210225\plaque 2/@09 Cefuroxime D 10/C9_03.tif "/>
    <s v=" 54961.5623 "/>
    <s v=" 75.6852 "/>
    <x v="0"/>
    <n v="4159775"/>
    <m/>
    <m/>
    <m/>
  </r>
  <r>
    <x v="21"/>
    <x v="3"/>
    <s v="F:\images\20210225\plaque 2/@09 Cefuroxime D 10/D9_01.tif "/>
    <s v=" 44103.3551 "/>
    <s v=" 74.0535 "/>
    <x v="0"/>
    <n v="3266006"/>
    <m/>
    <m/>
    <m/>
  </r>
  <r>
    <x v="21"/>
    <x v="3"/>
    <s v="F:\images\20210225\plaque 2/@09 Cefuroxime D 10/D9_02.tif "/>
    <s v=" 49705.4979 "/>
    <s v=" 74.0788 "/>
    <x v="0"/>
    <n v="3682122"/>
    <m/>
    <m/>
    <m/>
  </r>
  <r>
    <x v="21"/>
    <x v="3"/>
    <s v="F:\images\20210225\plaque 2/@09 Cefuroxime D 10/D9_03.tif "/>
    <s v=" 52171.3058 "/>
    <s v=" 74.1028 "/>
    <x v="0"/>
    <n v="3866041"/>
    <m/>
    <m/>
    <m/>
  </r>
  <r>
    <x v="21"/>
    <x v="4"/>
    <s v="F:\images\20210225\plaque 2/@09 Cefuroxime D 10/E9_01.tif "/>
    <s v=" 60239.2565 "/>
    <s v=" 72.6542 "/>
    <x v="0"/>
    <n v="4376636"/>
    <m/>
    <m/>
    <m/>
  </r>
  <r>
    <x v="21"/>
    <x v="4"/>
    <s v="F:\images\20210225\plaque 2/@09 Cefuroxime D 10/E9_02.tif "/>
    <s v=" 59049.6123 "/>
    <s v=" 73.1026 "/>
    <x v="0"/>
    <n v="4316678"/>
    <m/>
    <m/>
    <m/>
  </r>
  <r>
    <x v="21"/>
    <x v="4"/>
    <s v="F:\images\20210225\plaque 2/@09 Cefuroxime D 10/E9_03.tif "/>
    <s v=" 54918.3025 "/>
    <s v=" 72.4663 "/>
    <x v="0"/>
    <n v="3979728"/>
    <m/>
    <m/>
    <m/>
  </r>
  <r>
    <x v="21"/>
    <x v="5"/>
    <s v="F:\images\20210225\plaque 2/@09 Cefuroxime D 10/F9_01.tif "/>
    <s v=" 25847.7241 "/>
    <s v=" 67.2669 "/>
    <x v="0"/>
    <n v="1738697"/>
    <m/>
    <m/>
    <m/>
  </r>
  <r>
    <x v="21"/>
    <x v="5"/>
    <s v="F:\images\20210225\plaque 2/@09 Cefuroxime D 10/F9_02- exclu.tif"/>
    <m/>
    <m/>
    <x v="1"/>
    <m/>
    <m/>
    <m/>
    <m/>
  </r>
  <r>
    <x v="21"/>
    <x v="5"/>
    <s v="F:\images\20210225\plaque 2/@09 Cefuroxime D 10/F9_03.tif "/>
    <s v=" 25263.7169 "/>
    <s v=" 68.9272 "/>
    <x v="0"/>
    <n v="1741358"/>
    <m/>
    <m/>
    <m/>
  </r>
  <r>
    <x v="21"/>
    <x v="6"/>
    <s v="F:\images\20210225\plaque 2/@09 Cefuroxime D 10/G9_01.tif "/>
    <s v=" 45639.0777 "/>
    <s v=" 72.5592 "/>
    <x v="0"/>
    <n v="3311537"/>
    <m/>
    <m/>
    <m/>
  </r>
  <r>
    <x v="21"/>
    <x v="6"/>
    <s v="F:\images\20210225\plaque 2/@09 Cefuroxime D 10/G9_02.tif "/>
    <s v=" 45184.8499 "/>
    <s v=" 73.0546 "/>
    <x v="0"/>
    <n v="3300960"/>
    <m/>
    <m/>
    <m/>
  </r>
  <r>
    <x v="21"/>
    <x v="6"/>
    <s v="F:\images\20210225\plaque 2/@09 Cefuroxime D 10/G9_03.tif "/>
    <s v=" 40556.0524 "/>
    <s v=" 72.7115 "/>
    <x v="0"/>
    <n v="2948890"/>
    <m/>
    <m/>
    <m/>
  </r>
  <r>
    <x v="21"/>
    <x v="7"/>
    <s v="F:\images\20210225\plaque 2/@09 Cefuroxime D 10/H9_01- exclu.tif"/>
    <m/>
    <m/>
    <x v="1"/>
    <m/>
    <m/>
    <m/>
    <m/>
  </r>
  <r>
    <x v="21"/>
    <x v="7"/>
    <s v="F:\images\20210225\plaque 2/@09 Cefuroxime D 10/H9_02.tif "/>
    <s v=" 45271.3695 "/>
    <s v=" 71.3411 "/>
    <x v="0"/>
    <n v="3229711"/>
    <m/>
    <m/>
    <m/>
  </r>
  <r>
    <x v="21"/>
    <x v="7"/>
    <s v="F:\images\20210225\plaque 2/@09 Cefuroxime D 10/H9_03.tif "/>
    <s v=" 43822.1665 "/>
    <s v=" 71.8598 "/>
    <x v="0"/>
    <n v="3149053"/>
    <m/>
    <m/>
    <m/>
  </r>
  <r>
    <x v="1"/>
    <x v="8"/>
    <s v=" "/>
    <m/>
    <m/>
    <x v="1"/>
    <m/>
    <m/>
    <m/>
    <m/>
  </r>
  <r>
    <x v="1"/>
    <x v="8"/>
    <s v="group "/>
    <s v=" "/>
    <s v=" mean of mean fluo "/>
    <x v="2"/>
    <s v=" mean of total fluo "/>
    <s v=" SD total fluo "/>
    <s v=" n fluorescent "/>
    <s v=" n total"/>
  </r>
  <r>
    <x v="21"/>
    <x v="9"/>
    <s v="F:\images\20210225\plaque 2/@09 Cefuroxime D 10/ "/>
    <s v=" "/>
    <s v=" 71.4715 "/>
    <x v="23"/>
    <s v=" 2763673.25 "/>
    <s v=" 1344354.91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226\plaque 1/@01 Evian + 0.2% DMSO/A1_01.tif "/>
    <s v=" 713.7865 "/>
    <s v=" 62.9091 "/>
    <x v="0"/>
    <n v="44904"/>
    <m/>
    <m/>
    <m/>
  </r>
  <r>
    <x v="0"/>
    <x v="0"/>
    <s v="F:\images\20210226\plaque 1/@01 Evian + 0.2% DMSO/A1_02.tif "/>
    <s v=" 475.8577 "/>
    <s v=" 63.9545 "/>
    <x v="0"/>
    <n v="30433"/>
    <m/>
    <m/>
    <m/>
  </r>
  <r>
    <x v="0"/>
    <x v="0"/>
    <s v="F:\images\20210226\plaque 1/@01 Evian + 0.2% DMSO/A1_03- exclu.tif"/>
    <m/>
    <m/>
    <x v="1"/>
    <m/>
    <m/>
    <m/>
    <m/>
  </r>
  <r>
    <x v="0"/>
    <x v="1"/>
    <s v="F:\images\20210226\plaque 1/@01 Evian + 0.2% DMSO/B1_01.tif "/>
    <s v=" 6251.0395 "/>
    <s v=" 74.4152 "/>
    <x v="0"/>
    <n v="465173"/>
    <m/>
    <m/>
    <m/>
  </r>
  <r>
    <x v="0"/>
    <x v="1"/>
    <s v="F:\images\20210226\plaque 1/@01 Evian + 0.2% DMSO/B1_02.tif "/>
    <s v=" 324.4484 "/>
    <s v=" 63.7333 "/>
    <x v="0"/>
    <n v="20678"/>
    <m/>
    <m/>
    <m/>
  </r>
  <r>
    <x v="0"/>
    <x v="1"/>
    <s v="F:\images\20210226\plaque 1/@01 Evian + 0.2% DMSO/B1_03.tif "/>
    <s v=" 475.8577 "/>
    <s v=" 63.5455 "/>
    <x v="0"/>
    <n v="30239"/>
    <m/>
    <m/>
    <m/>
  </r>
  <r>
    <x v="0"/>
    <x v="2"/>
    <s v="F:\images\20210226\plaque 1/@01 Evian + 0.2% DMSO/C1_01.tif "/>
    <s v=" 7072.9755 "/>
    <s v=" 68.1835 "/>
    <x v="0"/>
    <n v="482260"/>
    <m/>
    <m/>
    <m/>
  </r>
  <r>
    <x v="0"/>
    <x v="2"/>
    <s v="F:\images\20210226\plaque 1/@01 Evian + 0.2% DMSO/C1_02.tif "/>
    <s v=" 475.8577 "/>
    <s v=" 63.1818 "/>
    <x v="0"/>
    <n v="30066"/>
    <m/>
    <m/>
    <m/>
  </r>
  <r>
    <x v="0"/>
    <x v="2"/>
    <s v="F:\images\20210226\plaque 1/@01 Evian + 0.2% DMSO/C1_03.tif "/>
    <s v=" 2920.0358 "/>
    <s v=" 65.8667 "/>
    <x v="0"/>
    <n v="192333"/>
    <m/>
    <m/>
    <m/>
  </r>
  <r>
    <x v="0"/>
    <x v="3"/>
    <s v="F:\images\20210226\plaque 1/@01 Evian + 0.2% DMSO/D1_01.tif "/>
    <s v=" 4174.5697 "/>
    <s v=" 67.6943 "/>
    <x v="0"/>
    <n v="282595"/>
    <m/>
    <m/>
    <m/>
  </r>
  <r>
    <x v="0"/>
    <x v="3"/>
    <s v="F:\images\20210226\plaque 1/@01 Evian + 0.2% DMSO/D1_02.tif "/>
    <s v=" 5104.6551 "/>
    <s v=" 66.7669 "/>
    <x v="0"/>
    <n v="340822"/>
    <m/>
    <m/>
    <m/>
  </r>
  <r>
    <x v="0"/>
    <x v="3"/>
    <s v="F:\images\20210226\plaque 1/@01 Evian + 0.2% DMSO/D1_03.tif "/>
    <s v=" 4174.5697 "/>
    <s v=" 66.057 "/>
    <x v="0"/>
    <n v="275760"/>
    <m/>
    <m/>
    <m/>
  </r>
  <r>
    <x v="0"/>
    <x v="4"/>
    <s v="F:\images\20210226\plaque 1/@01 Evian + 0.2% DMSO/E1_01.tif "/>
    <s v=" 778.6762 "/>
    <s v=" 69.5 "/>
    <x v="0"/>
    <n v="54118"/>
    <m/>
    <m/>
    <m/>
  </r>
  <r>
    <x v="0"/>
    <x v="4"/>
    <s v="F:\images\20210226\plaque 1/@01 Evian + 0.2% DMSO/E1_02.tif "/>
    <s v=" 216.2989 "/>
    <s v=" 64.1 "/>
    <x v="0"/>
    <n v="13865"/>
    <m/>
    <m/>
    <m/>
  </r>
  <r>
    <x v="0"/>
    <x v="4"/>
    <s v="F:\images\20210226\plaque 1/@01 Evian + 0.2% DMSO/E1_03.tif "/>
    <s v=" 497.4876 "/>
    <s v=" 66.2609 "/>
    <x v="0"/>
    <n v="32964"/>
    <m/>
    <m/>
    <m/>
  </r>
  <r>
    <x v="0"/>
    <x v="5"/>
    <s v="F:\images\20210226\plaque 1/@01 Evian + 0.2% DMSO/F1_01- exclu.tif"/>
    <m/>
    <m/>
    <x v="1"/>
    <m/>
    <m/>
    <m/>
    <m/>
  </r>
  <r>
    <x v="0"/>
    <x v="5"/>
    <s v="F:\images\20210226\plaque 1/@01 Evian + 0.2% DMSO/F1_02.tif "/>
    <s v=" 2984.9255 "/>
    <s v=" 66.7681 "/>
    <x v="0"/>
    <n v="199298"/>
    <m/>
    <m/>
    <m/>
  </r>
  <r>
    <x v="0"/>
    <x v="5"/>
    <s v="F:\images\20210226\plaque 1/@01 Evian + 0.2% DMSO/F1_03.tif "/>
    <s v=" 648.8968 "/>
    <s v=" 64.2 "/>
    <x v="0"/>
    <n v="41659"/>
    <m/>
    <m/>
    <m/>
  </r>
  <r>
    <x v="0"/>
    <x v="6"/>
    <s v="F:\images\20210226\plaque 1/@01 Evian + 0.2% DMSO/G1_01.tif "/>
    <s v=" 2119.7297 "/>
    <s v=" 66.3776 "/>
    <x v="0"/>
    <n v="140702"/>
    <m/>
    <m/>
    <m/>
  </r>
  <r>
    <x v="0"/>
    <x v="6"/>
    <s v="F:\images\20210226\plaque 1/@01 Evian + 0.2% DMSO/G1_02.tif "/>
    <s v=" 1276.1638 "/>
    <s v=" 66.3898 "/>
    <x v="0"/>
    <n v="84724"/>
    <m/>
    <m/>
    <m/>
  </r>
  <r>
    <x v="0"/>
    <x v="6"/>
    <s v="F:\images\20210226\plaque 1/@01 Evian + 0.2% DMSO/G1_03.tif "/>
    <s v=" 64.8897 "/>
    <s v=" 61.3333 "/>
    <x v="0"/>
    <n v="3980"/>
    <m/>
    <m/>
    <m/>
  </r>
  <r>
    <x v="0"/>
    <x v="7"/>
    <s v="F:\images\20210226\plaque 1/@01 Evian + 0.2% DMSO/H1_01.tif "/>
    <s v=" 7635.3528 "/>
    <s v=" 72.5892 "/>
    <x v="0"/>
    <n v="554244"/>
    <m/>
    <m/>
    <m/>
  </r>
  <r>
    <x v="0"/>
    <x v="7"/>
    <s v="F:\images\20210226\plaque 1/@01 Evian + 0.2% DMSO/H1_02.tif "/>
    <s v=" 2314.3987 "/>
    <s v=" 66.0467 "/>
    <x v="0"/>
    <n v="152858"/>
    <m/>
    <m/>
    <m/>
  </r>
  <r>
    <x v="0"/>
    <x v="7"/>
    <s v="F:\images\20210226\plaque 1/@01 Evian + 0.2% DMSO/H1_03.tif "/>
    <s v=" 1427.573 "/>
    <s v=" 64.2879 "/>
    <x v="0"/>
    <n v="91776"/>
    <m/>
    <m/>
    <m/>
  </r>
  <r>
    <x v="1"/>
    <x v="8"/>
    <s v=" "/>
    <m/>
    <m/>
    <x v="1"/>
    <m/>
    <m/>
    <m/>
    <m/>
  </r>
  <r>
    <x v="1"/>
    <x v="8"/>
    <s v="group "/>
    <s v=" "/>
    <s v=" mean of mean fluo "/>
    <x v="2"/>
    <s v=" mean of total fluo "/>
    <s v=" SD total fluo "/>
    <s v=" n fluorescent "/>
    <s v=" n total"/>
  </r>
  <r>
    <x v="0"/>
    <x v="9"/>
    <s v="F:\images\20210226\plaque 1/@01 Evian + 0.2% DMSO/ "/>
    <s v=" "/>
    <s v=" 65.9043 "/>
    <x v="3"/>
    <s v=" 149537.417 "/>
    <s v=" 166607.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226\plaque 1/@02 EE2 33.8/A2_01.tif "/>
    <s v=" 1622.2421 "/>
    <s v=" 64.4267 "/>
    <x v="0"/>
    <n v="104516"/>
    <m/>
    <m/>
    <m/>
  </r>
  <r>
    <x v="2"/>
    <x v="0"/>
    <s v="F:\images\20210226\plaque 1/@02 EE2 33.8/A2_02.tif "/>
    <s v=" 1016.605 "/>
    <s v=" 64.0213 "/>
    <x v="0"/>
    <n v="65084"/>
    <m/>
    <m/>
    <m/>
  </r>
  <r>
    <x v="2"/>
    <x v="0"/>
    <s v="F:\images\20210226\plaque 1/@02 EE2 33.8/A2_03.tif "/>
    <s v=" 648.8968 "/>
    <s v=" 63.5667 "/>
    <x v="0"/>
    <n v="41248"/>
    <m/>
    <m/>
    <m/>
  </r>
  <r>
    <x v="2"/>
    <x v="1"/>
    <s v="F:\images\20210226\plaque 1/@02 EE2 33.8/B2_01.tif "/>
    <s v=" 1059.8648 "/>
    <s v=" 63.9592 "/>
    <x v="0"/>
    <n v="67788"/>
    <m/>
    <m/>
    <m/>
  </r>
  <r>
    <x v="2"/>
    <x v="1"/>
    <s v="F:\images\20210226\plaque 1/@02 EE2 33.8/B2_02.tif "/>
    <s v=" 800.3061 "/>
    <s v=" 65.5135 "/>
    <x v="0"/>
    <n v="52431"/>
    <m/>
    <m/>
    <m/>
  </r>
  <r>
    <x v="2"/>
    <x v="1"/>
    <s v="F:\images\20210226\plaque 1/@02 EE2 33.8/B2_03.tif "/>
    <s v=" 1362.6834 "/>
    <s v=" 67.1587 "/>
    <x v="0"/>
    <n v="91516"/>
    <m/>
    <m/>
    <m/>
  </r>
  <r>
    <x v="2"/>
    <x v="2"/>
    <s v="F:\images\20210226\plaque 1/@02 EE2 33.8/C2_01.tif "/>
    <s v=" 6878.3065 "/>
    <s v=" 72.8931 "/>
    <x v="0"/>
    <n v="501381"/>
    <m/>
    <m/>
    <m/>
  </r>
  <r>
    <x v="2"/>
    <x v="2"/>
    <s v="F:\images\20210226\plaque 1/@02 EE2 33.8/C2_02.tif "/>
    <s v=" 7894.9115 "/>
    <s v=" 70.7123 "/>
    <x v="0"/>
    <n v="558268"/>
    <m/>
    <m/>
    <m/>
  </r>
  <r>
    <x v="2"/>
    <x v="2"/>
    <s v="F:\images\20210226\plaque 1/@02 EE2 33.8/C2_03.tif "/>
    <s v=" 7959.8012 "/>
    <s v=" 70.9674 "/>
    <x v="0"/>
    <n v="564886"/>
    <m/>
    <m/>
    <m/>
  </r>
  <r>
    <x v="2"/>
    <x v="3"/>
    <s v="F:\images\20210226\plaque 1/@02 EE2 33.8/D2_01.tif "/>
    <s v=" 562.3773 "/>
    <s v=" 66.0769 "/>
    <x v="0"/>
    <n v="37160"/>
    <m/>
    <m/>
    <m/>
  </r>
  <r>
    <x v="2"/>
    <x v="3"/>
    <s v="F:\images\20210226\plaque 1/@02 EE2 33.8/D2_02.tif "/>
    <s v=" 692.1566 "/>
    <s v=" 65.1562 "/>
    <x v="0"/>
    <n v="45098"/>
    <m/>
    <m/>
    <m/>
  </r>
  <r>
    <x v="2"/>
    <x v="3"/>
    <s v="F:\images\20210226\plaque 1/@02 EE2 33.8/D2_03- exclu.tif"/>
    <m/>
    <m/>
    <x v="1"/>
    <m/>
    <m/>
    <m/>
    <m/>
  </r>
  <r>
    <x v="2"/>
    <x v="4"/>
    <s v="F:\images\20210226\plaque 1/@02 EE2 33.8/E2_01.tif "/>
    <s v=" 324.4484 "/>
    <s v=" 64.6 "/>
    <x v="0"/>
    <n v="20959"/>
    <m/>
    <m/>
    <m/>
  </r>
  <r>
    <x v="2"/>
    <x v="4"/>
    <s v="F:\images\20210226\plaque 1/@02 EE2 33.8/E2_02.tif "/>
    <s v=" 129.7794 "/>
    <s v=" 63.8333 "/>
    <x v="0"/>
    <n v="8284"/>
    <m/>
    <m/>
    <m/>
  </r>
  <r>
    <x v="2"/>
    <x v="4"/>
    <s v="F:\images\20210226\plaque 1/@02 EE2 33.8/E2_03.tif "/>
    <s v=" 151.4093 "/>
    <s v=" 66.7143 "/>
    <x v="0"/>
    <n v="10101"/>
    <m/>
    <m/>
    <m/>
  </r>
  <r>
    <x v="2"/>
    <x v="5"/>
    <s v="F:\images\20210226\plaque 1/@02 EE2 33.8/F2_01.tif "/>
    <s v=" 800.3061 "/>
    <s v=" 62.8649 "/>
    <x v="0"/>
    <n v="50311"/>
    <m/>
    <m/>
    <m/>
  </r>
  <r>
    <x v="2"/>
    <x v="5"/>
    <s v="F:\images\20210226\plaque 1/@02 EE2 33.8/F2_02.tif "/>
    <s v=" 1276.1638 "/>
    <s v=" 62.5424 "/>
    <x v="0"/>
    <n v="79814"/>
    <m/>
    <m/>
    <m/>
  </r>
  <r>
    <x v="2"/>
    <x v="5"/>
    <s v="F:\images\20210226\plaque 1/@02 EE2 33.8/F2_03- exclu.tif"/>
    <m/>
    <m/>
    <x v="1"/>
    <m/>
    <m/>
    <m/>
    <m/>
  </r>
  <r>
    <x v="2"/>
    <x v="6"/>
    <s v="F:\images\20210226\plaque 1/@02 EE2 33.8/G2_01.tif "/>
    <s v=" 1038.2349 "/>
    <s v=" 66.2083 "/>
    <x v="0"/>
    <n v="68740"/>
    <m/>
    <m/>
    <m/>
  </r>
  <r>
    <x v="2"/>
    <x v="6"/>
    <s v="F:\images\20210226\plaque 1/@02 EE2 33.8/G2_02.tif "/>
    <s v=" 3698.712 "/>
    <s v=" 65.0526 "/>
    <x v="0"/>
    <n v="240611"/>
    <m/>
    <m/>
    <m/>
  </r>
  <r>
    <x v="2"/>
    <x v="6"/>
    <s v="F:\images\20210226\plaque 1/@02 EE2 33.8/G2_03.tif "/>
    <s v=" 648.8968 "/>
    <s v=" 63.4667 "/>
    <x v="0"/>
    <n v="41183"/>
    <m/>
    <m/>
    <m/>
  </r>
  <r>
    <x v="2"/>
    <x v="7"/>
    <s v="F:\images\20210226\plaque 1/@02 EE2 33.8/H2_01.tif "/>
    <s v=" 540.7474 "/>
    <s v=" 62.92 "/>
    <x v="0"/>
    <n v="34024"/>
    <m/>
    <m/>
    <m/>
  </r>
  <r>
    <x v="2"/>
    <x v="7"/>
    <s v="F:\images\20210226\plaque 1/@02 EE2 33.8/H2_02.tif "/>
    <s v=" 2314.3987 "/>
    <s v=" 64.9813 "/>
    <x v="0"/>
    <n v="150393"/>
    <m/>
    <m/>
    <m/>
  </r>
  <r>
    <x v="2"/>
    <x v="7"/>
    <s v="F:\images\20210226\plaque 1/@02 EE2 33.8/H2_03- exclu.tif"/>
    <m/>
    <m/>
    <x v="1"/>
    <m/>
    <m/>
    <m/>
    <m/>
  </r>
  <r>
    <x v="1"/>
    <x v="8"/>
    <s v=" "/>
    <m/>
    <m/>
    <x v="1"/>
    <m/>
    <m/>
    <m/>
    <m/>
  </r>
  <r>
    <x v="1"/>
    <x v="8"/>
    <s v="group "/>
    <s v=" "/>
    <s v=" mean of mean fluo "/>
    <x v="2"/>
    <s v=" mean of total fluo "/>
    <s v=" SD total fluo "/>
    <s v=" n fluorescent "/>
    <s v=" n total"/>
  </r>
  <r>
    <x v="2"/>
    <x v="9"/>
    <s v="F:\images\20210226\plaque 1/@02 EE2 33.8/ "/>
    <s v=" "/>
    <s v=" 65.3298 "/>
    <x v="4"/>
    <s v=" 123558.042 "/>
    <s v=" 169449.1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226\plaque 1/@03 EE2 50.6/A3_01.tif "/>
    <s v=" 10728.4277 "/>
    <s v=" 64.4456 "/>
    <x v="0"/>
    <n v="691400"/>
    <m/>
    <m/>
    <m/>
  </r>
  <r>
    <x v="3"/>
    <x v="0"/>
    <s v="F:\images\20210226\plaque 1/@03 EE2 50.6/A3_02.tif "/>
    <s v=" 13042.8265 "/>
    <s v=" 66.5224 "/>
    <x v="0"/>
    <n v="867640"/>
    <m/>
    <m/>
    <m/>
  </r>
  <r>
    <x v="3"/>
    <x v="0"/>
    <s v="F:\images\20210226\plaque 1/@03 EE2 50.6/A3_03.tif "/>
    <s v=" 11485.474 "/>
    <s v=" 65.7928 "/>
    <x v="0"/>
    <n v="755662"/>
    <m/>
    <m/>
    <m/>
  </r>
  <r>
    <x v="3"/>
    <x v="1"/>
    <s v="F:\images\20210226\plaque 1/@03 EE2 50.6/B3_01.tif "/>
    <s v=" 4066.4202 "/>
    <s v=" 64.3245 "/>
    <x v="0"/>
    <n v="261570"/>
    <m/>
    <m/>
    <m/>
  </r>
  <r>
    <x v="3"/>
    <x v="1"/>
    <s v="F:\images\20210226\plaque 1/@03 EE2 50.6/B3_02.tif "/>
    <s v=" 2790.2564 "/>
    <s v=" 64.1395 "/>
    <x v="0"/>
    <n v="178966"/>
    <m/>
    <m/>
    <m/>
  </r>
  <r>
    <x v="3"/>
    <x v="1"/>
    <s v="F:\images\20210226\plaque 1/@03 EE2 50.6/B3_03.tif "/>
    <s v=" 3915.0109 "/>
    <s v=" 63.5525 "/>
    <x v="0"/>
    <n v="248809"/>
    <m/>
    <m/>
    <m/>
  </r>
  <r>
    <x v="3"/>
    <x v="2"/>
    <s v="F:\images\20210226\plaque 1/@03 EE2 50.6/C3_01.tif "/>
    <s v=" 4109.68 "/>
    <s v=" 66.8053 "/>
    <x v="0"/>
    <n v="274548"/>
    <m/>
    <m/>
    <m/>
  </r>
  <r>
    <x v="3"/>
    <x v="2"/>
    <s v="F:\images\20210226\plaque 1/@03 EE2 50.6/C3_02.tif "/>
    <s v=" 3049.8151 "/>
    <s v=" 67.0142 "/>
    <x v="0"/>
    <n v="204381"/>
    <m/>
    <m/>
    <m/>
  </r>
  <r>
    <x v="3"/>
    <x v="2"/>
    <s v="F:\images\20210226\plaque 1/@03 EE2 50.6/C3_03.tif "/>
    <s v=" 3763.6017 "/>
    <s v=" 66.0862 "/>
    <x v="0"/>
    <n v="248722"/>
    <m/>
    <m/>
    <m/>
  </r>
  <r>
    <x v="3"/>
    <x v="3"/>
    <s v="F:\images\20210226\plaque 1/@03 EE2 50.6/D3_01- exclu.tif"/>
    <m/>
    <m/>
    <x v="1"/>
    <m/>
    <m/>
    <m/>
    <m/>
  </r>
  <r>
    <x v="3"/>
    <x v="3"/>
    <s v="F:\images\20210226\plaque 1/@03 EE2 50.6/D3_02.tif "/>
    <s v=" 7873.2816 "/>
    <s v=" 64.4835 "/>
    <x v="0"/>
    <n v="507697"/>
    <m/>
    <m/>
    <m/>
  </r>
  <r>
    <x v="3"/>
    <x v="3"/>
    <s v="F:\images\20210226\plaque 1/@03 EE2 50.6/D3_03.tif "/>
    <s v=" 5191.1747 "/>
    <s v=" 64.0125 "/>
    <x v="0"/>
    <n v="332300"/>
    <m/>
    <m/>
    <m/>
  </r>
  <r>
    <x v="3"/>
    <x v="4"/>
    <s v="F:\images\20210226\plaque 1/@03 EE2 50.6/E3_01.tif "/>
    <s v=" 6272.6694 "/>
    <s v=" 65.2345 "/>
    <x v="0"/>
    <n v="409194"/>
    <m/>
    <m/>
    <m/>
  </r>
  <r>
    <x v="3"/>
    <x v="4"/>
    <s v="F:\images\20210226\plaque 1/@03 EE2 50.6/E3_02.tif "/>
    <s v=" 7397.424 "/>
    <s v=" 66.1374 "/>
    <x v="0"/>
    <n v="489247"/>
    <m/>
    <m/>
    <m/>
  </r>
  <r>
    <x v="3"/>
    <x v="4"/>
    <s v="F:\images\20210226\plaque 1/@03 EE2 50.6/E3_03.tif "/>
    <s v=" 6899.9364 "/>
    <s v=" 64.9467 "/>
    <x v="0"/>
    <n v="448128"/>
    <m/>
    <m/>
    <m/>
  </r>
  <r>
    <x v="3"/>
    <x v="5"/>
    <s v="F:\images\20210226\plaque 1/@03 EE2 50.6/F3_01.tif "/>
    <s v=" 410.968 "/>
    <s v=" 62.1053 "/>
    <x v="0"/>
    <n v="25523"/>
    <m/>
    <m/>
    <m/>
  </r>
  <r>
    <x v="3"/>
    <x v="5"/>
    <s v="F:\images\20210226\plaque 1/@03 EE2 50.6/F3_02.tif "/>
    <s v=" 605.637 "/>
    <s v=" 63.3214 "/>
    <x v="0"/>
    <n v="38350"/>
    <m/>
    <m/>
    <m/>
  </r>
  <r>
    <x v="3"/>
    <x v="5"/>
    <s v="F:\images\20210226\plaque 1/@03 EE2 50.6/F3_03.tif "/>
    <s v=" 930.0855 "/>
    <s v=" 65.0698 "/>
    <x v="0"/>
    <n v="60520"/>
    <m/>
    <m/>
    <m/>
  </r>
  <r>
    <x v="3"/>
    <x v="6"/>
    <s v="F:\images\20210226\plaque 1/@03 EE2 50.6/G3_01.tif "/>
    <s v=" 1211.2741 "/>
    <s v=" 62.625 "/>
    <x v="0"/>
    <n v="75856"/>
    <m/>
    <m/>
    <m/>
  </r>
  <r>
    <x v="3"/>
    <x v="6"/>
    <s v="F:\images\20210226\plaque 1/@03 EE2 50.6/G3_02.tif "/>
    <s v=" 2963.2956 "/>
    <s v=" 64.8102 "/>
    <x v="0"/>
    <n v="192052"/>
    <m/>
    <m/>
    <m/>
  </r>
  <r>
    <x v="3"/>
    <x v="6"/>
    <s v="F:\images\20210226\plaque 1/@03 EE2 50.6/G3_03.tif "/>
    <s v=" 8478.9187 "/>
    <s v=" 73.199 "/>
    <x v="0"/>
    <n v="620648"/>
    <m/>
    <m/>
    <m/>
  </r>
  <r>
    <x v="3"/>
    <x v="7"/>
    <s v="F:\images\20210226\plaque 1/@03 EE2 50.6/H3_01.tif "/>
    <s v=" 11161.0256 "/>
    <s v=" 70.9554 "/>
    <x v="0"/>
    <n v="791935"/>
    <m/>
    <m/>
    <m/>
  </r>
  <r>
    <x v="3"/>
    <x v="7"/>
    <s v="F:\images\20210226\plaque 1/@03 EE2 50.6/H3_02.tif "/>
    <s v=" 1146.3844 "/>
    <s v=" 62.3774 "/>
    <x v="0"/>
    <n v="71508"/>
    <m/>
    <m/>
    <m/>
  </r>
  <r>
    <x v="3"/>
    <x v="7"/>
    <s v="F:\images\20210226\plaque 1/@03 EE2 50.6/H3_03.tif "/>
    <s v=" 821.936 "/>
    <s v=" 62.7368 "/>
    <x v="0"/>
    <n v="51566"/>
    <m/>
    <m/>
    <m/>
  </r>
  <r>
    <x v="1"/>
    <x v="8"/>
    <s v=" "/>
    <m/>
    <m/>
    <x v="1"/>
    <m/>
    <m/>
    <m/>
    <m/>
  </r>
  <r>
    <x v="1"/>
    <x v="8"/>
    <s v="group "/>
    <s v=" "/>
    <s v=" mean of mean fluo "/>
    <x v="2"/>
    <s v=" mean of total fluo "/>
    <s v=" SD total fluo "/>
    <s v=" n fluorescent "/>
    <s v=" n total"/>
  </r>
  <r>
    <x v="3"/>
    <x v="9"/>
    <s v="F:\images\20210226\plaque 1/@03 EE2 50.6/ "/>
    <s v=" "/>
    <s v=" 65.2103 "/>
    <x v="5"/>
    <s v=" 332087.333 "/>
    <s v=" 260113.72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226\plaque 1/@04 EE2 76/A4_01.tif "/>
    <s v=" 5277.6943 "/>
    <s v=" 65.373 "/>
    <x v="0"/>
    <n v="345018"/>
    <m/>
    <m/>
    <m/>
  </r>
  <r>
    <x v="4"/>
    <x v="0"/>
    <s v="F:\images\20210226\plaque 1/@04 EE2 76/A4_02.tif "/>
    <s v=" 1146.3844 "/>
    <s v=" 62.3962 "/>
    <x v="0"/>
    <n v="71530"/>
    <m/>
    <m/>
    <m/>
  </r>
  <r>
    <x v="4"/>
    <x v="0"/>
    <s v="F:\images\20210226\plaque 1/@04 EE2 76/A4_03.tif "/>
    <s v=" 2162.9895 "/>
    <s v=" 63.47 "/>
    <x v="0"/>
    <n v="137285"/>
    <m/>
    <m/>
    <m/>
  </r>
  <r>
    <x v="4"/>
    <x v="1"/>
    <s v="F:\images\20210226\plaque 1/@04 EE2 76/B4_01.tif "/>
    <s v=" 44773.8819 "/>
    <s v=" 70.1179 "/>
    <x v="0"/>
    <n v="3139449"/>
    <m/>
    <m/>
    <m/>
  </r>
  <r>
    <x v="4"/>
    <x v="1"/>
    <s v="F:\images\20210226\plaque 1/@04 EE2 76/B4_02.tif "/>
    <s v=" 38436.3228 "/>
    <s v=" 69.0146 "/>
    <x v="0"/>
    <n v="2652669"/>
    <m/>
    <m/>
    <m/>
  </r>
  <r>
    <x v="4"/>
    <x v="1"/>
    <s v="F:\images\20210226\plaque 1/@04 EE2 76/B4_03.tif "/>
    <s v=" 46352.8642 "/>
    <s v=" 68.8213 "/>
    <x v="0"/>
    <n v="3190063"/>
    <m/>
    <m/>
    <m/>
  </r>
  <r>
    <x v="4"/>
    <x v="2"/>
    <s v="F:\images\20210226\plaque 1/@04 EE2 76/C4_01.tif "/>
    <s v=" 14686.6985 "/>
    <s v=" 68.2459 "/>
    <x v="0"/>
    <n v="1002308"/>
    <m/>
    <m/>
    <m/>
  </r>
  <r>
    <x v="4"/>
    <x v="2"/>
    <s v="F:\images\20210226\plaque 1/@04 EE2 76/C4_02.tif "/>
    <s v=" 11485.474 "/>
    <s v=" 65.8945 "/>
    <x v="0"/>
    <n v="756830"/>
    <m/>
    <m/>
    <m/>
  </r>
  <r>
    <x v="4"/>
    <x v="2"/>
    <s v="F:\images\20210226\plaque 1/@04 EE2 76/C4_03.tif "/>
    <s v=" 18969.4176 "/>
    <s v=" 67.7229 "/>
    <x v="0"/>
    <n v="1284664"/>
    <m/>
    <m/>
    <m/>
  </r>
  <r>
    <x v="4"/>
    <x v="3"/>
    <s v="F:\images\20210226\plaque 1/@04 EE2 76/D4_01.tif "/>
    <s v=" 33115.3687 "/>
    <s v=" 68.4344 "/>
    <x v="0"/>
    <n v="2266229"/>
    <m/>
    <m/>
    <m/>
  </r>
  <r>
    <x v="4"/>
    <x v="3"/>
    <s v="F:\images\20210226\plaque 1/@04 EE2 76/D4_02.tif "/>
    <s v=" 36013.7746 "/>
    <s v=" 70.5207 "/>
    <x v="0"/>
    <n v="2539717"/>
    <m/>
    <m/>
    <m/>
  </r>
  <r>
    <x v="4"/>
    <x v="3"/>
    <s v="F:\images\20210226\plaque 1/@04 EE2 76/D4_03.tif "/>
    <s v=" 28205.3826 "/>
    <s v=" 68.3183 "/>
    <x v="0"/>
    <n v="1926942"/>
    <m/>
    <m/>
    <m/>
  </r>
  <r>
    <x v="4"/>
    <x v="4"/>
    <s v="F:\images\20210226\plaque 1/@04 EE2 76/E4_01.tif "/>
    <s v=" 24896.0087 "/>
    <s v=" 67.5291 "/>
    <x v="0"/>
    <n v="1681205"/>
    <m/>
    <m/>
    <m/>
  </r>
  <r>
    <x v="4"/>
    <x v="4"/>
    <s v="F:\images\20210226\plaque 1/@04 EE2 76/E4_02.tif "/>
    <s v=" 18839.6382 "/>
    <s v=" 65.5855 "/>
    <x v="0"/>
    <n v="1235608"/>
    <m/>
    <m/>
    <m/>
  </r>
  <r>
    <x v="4"/>
    <x v="4"/>
    <s v="F:\images\20210226\plaque 1/@04 EE2 76/E4_03.tif "/>
    <s v=" 25847.7241 "/>
    <s v=" 67.0762 "/>
    <x v="0"/>
    <n v="1733766"/>
    <m/>
    <m/>
    <m/>
  </r>
  <r>
    <x v="4"/>
    <x v="5"/>
    <s v="F:\images\20210226\plaque 1/@04 EE2 76/F4_01.tif "/>
    <s v=" 10793.3174 "/>
    <s v=" 65.509 "/>
    <x v="0"/>
    <n v="707060"/>
    <m/>
    <m/>
    <m/>
  </r>
  <r>
    <x v="4"/>
    <x v="5"/>
    <s v="F:\images\20210226\plaque 1/@04 EE2 76/F4_02.tif "/>
    <s v=" 18147.4816 "/>
    <s v=" 68.5232 "/>
    <x v="0"/>
    <n v="1243524"/>
    <m/>
    <m/>
    <m/>
  </r>
  <r>
    <x v="4"/>
    <x v="5"/>
    <s v="F:\images\20210226\plaque 1/@04 EE2 76/F4_03.tif "/>
    <s v=" 16135.9014 "/>
    <s v=" 66.071 "/>
    <x v="0"/>
    <n v="1066116"/>
    <m/>
    <m/>
    <m/>
  </r>
  <r>
    <x v="4"/>
    <x v="6"/>
    <s v="F:\images\20210226\plaque 1/@04 EE2 76/G4_01.tif "/>
    <s v=" 2746.9966 "/>
    <s v=" 64.3543 "/>
    <x v="0"/>
    <n v="176781"/>
    <m/>
    <m/>
    <m/>
  </r>
  <r>
    <x v="4"/>
    <x v="6"/>
    <s v="F:\images\20210226\plaque 1/@04 EE2 76/G4_02.tif "/>
    <s v=" 4477.3882 "/>
    <s v=" 64.7005 "/>
    <x v="0"/>
    <n v="289689"/>
    <m/>
    <m/>
    <m/>
  </r>
  <r>
    <x v="4"/>
    <x v="6"/>
    <s v="F:\images\20210226\plaque 1/@04 EE2 76/G4_03- exclu.tif"/>
    <m/>
    <m/>
    <x v="1"/>
    <m/>
    <m/>
    <m/>
    <m/>
  </r>
  <r>
    <x v="4"/>
    <x v="7"/>
    <s v="F:\images\20210226\plaque 1/@04 EE2 76/H4_01.tif "/>
    <s v=" 29546.4361 "/>
    <s v=" 66.5571 "/>
    <x v="0"/>
    <n v="1966525"/>
    <m/>
    <m/>
    <m/>
  </r>
  <r>
    <x v="4"/>
    <x v="7"/>
    <s v="F:\images\20210226\plaque 1/@04 EE2 76/H4_02.tif "/>
    <s v=" 27924.194 "/>
    <s v=" 65.7452 "/>
    <x v="0"/>
    <n v="1835881"/>
    <m/>
    <m/>
    <m/>
  </r>
  <r>
    <x v="4"/>
    <x v="7"/>
    <s v="F:\images\20210226\plaque 1/@04 EE2 76/H4_03.tif "/>
    <s v=" 24982.5283 "/>
    <s v=" 66.2823 "/>
    <x v="0"/>
    <n v="1655898"/>
    <m/>
    <m/>
    <m/>
  </r>
  <r>
    <x v="1"/>
    <x v="8"/>
    <s v=" "/>
    <m/>
    <m/>
    <x v="1"/>
    <m/>
    <m/>
    <m/>
    <m/>
  </r>
  <r>
    <x v="1"/>
    <x v="8"/>
    <s v="group "/>
    <s v=" "/>
    <s v=" mean of mean fluo "/>
    <x v="2"/>
    <s v=" mean of total fluo "/>
    <s v=" SD total fluo "/>
    <s v=" n fluorescent "/>
    <s v=" n total"/>
  </r>
  <r>
    <x v="4"/>
    <x v="9"/>
    <s v="F:\images\20210226\plaque 1/@04 EE2 76/ "/>
    <s v=" "/>
    <s v=" 66.6452 "/>
    <x v="6"/>
    <s v=" 1371544.33 "/>
    <s v=" 960727.3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226\plaque 1/@05 EE2 114/A5_01.tif "/>
    <s v=" 19575.0546 "/>
    <s v=" 70.9392 "/>
    <x v="0"/>
    <n v="1388639"/>
    <m/>
    <m/>
    <m/>
  </r>
  <r>
    <x v="5"/>
    <x v="0"/>
    <s v="F:\images\20210226\plaque 1/@05 EE2 114/A5_02.tif "/>
    <s v=" 9430.6341 "/>
    <s v=" 64.4106 "/>
    <x v="0"/>
    <n v="607432"/>
    <m/>
    <m/>
    <m/>
  </r>
  <r>
    <x v="5"/>
    <x v="0"/>
    <s v="F:\images\20210226\plaque 1/@05 EE2 114/A5_03.tif "/>
    <s v=" 14621.8088 "/>
    <s v=" 67.1672 "/>
    <x v="0"/>
    <n v="982105"/>
    <m/>
    <m/>
    <m/>
  </r>
  <r>
    <x v="5"/>
    <x v="1"/>
    <s v="F:\images\20210226\plaque 1/@05 EE2 114/B5_01.tif "/>
    <s v=" 23014.2079 "/>
    <s v=" 70.5207 "/>
    <x v="0"/>
    <n v="1622978"/>
    <m/>
    <m/>
    <m/>
  </r>
  <r>
    <x v="5"/>
    <x v="1"/>
    <s v="F:\images\20210226\plaque 1/@05 EE2 114/B5_02.tif "/>
    <s v=" 19012.6774 "/>
    <s v=" 68.934 "/>
    <x v="0"/>
    <n v="1310620"/>
    <m/>
    <m/>
    <m/>
  </r>
  <r>
    <x v="5"/>
    <x v="1"/>
    <s v="F:\images\20210226\plaque 1/@05 EE2 114/B5_03.tif "/>
    <s v=" 26128.9127 "/>
    <s v=" 69.0886 "/>
    <x v="0"/>
    <n v="1805209"/>
    <m/>
    <m/>
    <m/>
  </r>
  <r>
    <x v="5"/>
    <x v="2"/>
    <s v="F:\images\20210226\plaque 1/@05 EE2 114/C5_01.tif "/>
    <s v=" 39777.3762 "/>
    <s v=" 73.9163 "/>
    <x v="0"/>
    <n v="2940195"/>
    <m/>
    <m/>
    <m/>
  </r>
  <r>
    <x v="5"/>
    <x v="2"/>
    <s v="F:\images\20210226\plaque 1/@05 EE2 114/C5_02.tif "/>
    <s v=" 32250.1729 "/>
    <s v=" 73.6714 "/>
    <x v="0"/>
    <n v="2375914"/>
    <m/>
    <m/>
    <m/>
  </r>
  <r>
    <x v="5"/>
    <x v="2"/>
    <s v="F:\images\20210226\plaque 1/@05 EE2 114/C5_03.tif "/>
    <s v=" 34651.0912 "/>
    <s v=" 72.47 "/>
    <x v="0"/>
    <n v="2511166"/>
    <m/>
    <m/>
    <m/>
  </r>
  <r>
    <x v="5"/>
    <x v="3"/>
    <s v="F:\images\20210226\plaque 1/@05 EE2 114/D5_01.tif "/>
    <s v=" 44146.6149 "/>
    <s v=" 76.584 "/>
    <x v="0"/>
    <n v="3380926"/>
    <m/>
    <m/>
    <m/>
  </r>
  <r>
    <x v="5"/>
    <x v="3"/>
    <s v="F:\images\20210226\plaque 1/@05 EE2 114/D5_02.tif "/>
    <s v=" 49381.0494 "/>
    <s v=" 74.795 "/>
    <x v="0"/>
    <n v="3693456"/>
    <m/>
    <m/>
    <m/>
  </r>
  <r>
    <x v="5"/>
    <x v="3"/>
    <s v="F:\images\20210226\plaque 1/@05 EE2 114/D5_03.tif "/>
    <s v=" 46244.7147 "/>
    <s v=" 76.7886 "/>
    <x v="0"/>
    <n v="3551066"/>
    <m/>
    <m/>
    <m/>
  </r>
  <r>
    <x v="5"/>
    <x v="4"/>
    <s v="F:\images\20210226\plaque 1/@05 EE2 114/E5_01.tif "/>
    <s v=" 43757.2768 "/>
    <s v=" 69.1696 "/>
    <x v="0"/>
    <n v="3026671"/>
    <m/>
    <m/>
    <m/>
  </r>
  <r>
    <x v="5"/>
    <x v="4"/>
    <s v="F:\images\20210226\plaque 1/@05 EE2 114/E5_02.tif "/>
    <s v=" 35970.5148 "/>
    <s v=" 68.0397 "/>
    <x v="0"/>
    <n v="2447423"/>
    <m/>
    <m/>
    <m/>
  </r>
  <r>
    <x v="5"/>
    <x v="4"/>
    <s v="F:\images\20210226\plaque 1/@05 EE2 114/E5_03.tif "/>
    <s v=" 36468.0023 "/>
    <s v=" 67.8517 "/>
    <x v="0"/>
    <n v="2474417"/>
    <m/>
    <m/>
    <m/>
  </r>
  <r>
    <x v="5"/>
    <x v="5"/>
    <s v="F:\images\20210226\plaque 1/@05 EE2 114/F5_01.tif "/>
    <s v=" 14513.6593 "/>
    <s v=" 65.3994 "/>
    <x v="0"/>
    <n v="949185"/>
    <m/>
    <m/>
    <m/>
  </r>
  <r>
    <x v="5"/>
    <x v="5"/>
    <s v="F:\images\20210226\plaque 1/@05 EE2 114/F5_02.tif "/>
    <s v=" 13951.282 "/>
    <s v=" 66.5752 "/>
    <x v="0"/>
    <n v="928809"/>
    <m/>
    <m/>
    <m/>
  </r>
  <r>
    <x v="5"/>
    <x v="5"/>
    <s v="F:\images\20210226\plaque 1/@05 EE2 114/F5_03.tif "/>
    <s v=" 15789.8231 "/>
    <s v=" 66.9521 "/>
    <x v="0"/>
    <n v="1057161"/>
    <m/>
    <m/>
    <m/>
  </r>
  <r>
    <x v="5"/>
    <x v="6"/>
    <s v="F:\images\20210226\plaque 1/@05 EE2 114/G5_01.tif "/>
    <s v=" 34218.4933 "/>
    <s v=" 71.5645 "/>
    <x v="0"/>
    <n v="2448829"/>
    <m/>
    <m/>
    <m/>
  </r>
  <r>
    <x v="5"/>
    <x v="6"/>
    <s v="F:\images\20210226\plaque 1/@05 EE2 114/G5_02.tif "/>
    <s v=" 31968.9843 "/>
    <s v=" 69.6604 "/>
    <x v="0"/>
    <n v="2226971"/>
    <m/>
    <m/>
    <m/>
  </r>
  <r>
    <x v="5"/>
    <x v="6"/>
    <s v="F:\images\20210226\plaque 1/@05 EE2 114/G5_03.tif "/>
    <s v=" 33007.2192 "/>
    <s v=" 68.2104 "/>
    <x v="0"/>
    <n v="2251434"/>
    <m/>
    <m/>
    <m/>
  </r>
  <r>
    <x v="5"/>
    <x v="7"/>
    <s v="F:\images\20210226\plaque 1/@05 EE2 114/H5_01.tif "/>
    <s v=" 39755.7463 "/>
    <s v=" 71.827 "/>
    <x v="0"/>
    <n v="2855535"/>
    <m/>
    <m/>
    <m/>
  </r>
  <r>
    <x v="5"/>
    <x v="7"/>
    <s v="F:\images\20210226\plaque 1/@05 EE2 114/H5_02.tif "/>
    <s v=" 39452.9278 "/>
    <s v=" 69.9479 "/>
    <x v="0"/>
    <n v="2759650"/>
    <m/>
    <m/>
    <m/>
  </r>
  <r>
    <x v="5"/>
    <x v="7"/>
    <s v="F:\images\20210226\plaque 1/@05 EE2 114/H5_03- exclu.tif"/>
    <m/>
    <m/>
    <x v="1"/>
    <m/>
    <m/>
    <m/>
    <m/>
  </r>
  <r>
    <x v="1"/>
    <x v="8"/>
    <s v=" "/>
    <m/>
    <m/>
    <x v="1"/>
    <m/>
    <m/>
    <m/>
    <m/>
  </r>
  <r>
    <x v="1"/>
    <x v="8"/>
    <s v="group "/>
    <s v=" "/>
    <s v=" mean of mean fluo "/>
    <x v="2"/>
    <s v=" mean of total fluo "/>
    <s v=" SD total fluo "/>
    <s v=" n fluorescent "/>
    <s v=" n total"/>
  </r>
  <r>
    <x v="5"/>
    <x v="9"/>
    <s v="F:\images\20210226\plaque 1/@05 EE2 114/ "/>
    <s v=" "/>
    <s v=" 70.255 "/>
    <x v="7"/>
    <s v=" 2164495.46 "/>
    <s v=" 889339.0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226\plaque 1/@06 EE2 170.9/A6_01.tif "/>
    <s v=" 63116.0325 "/>
    <s v=" 73.7629 "/>
    <x v="0"/>
    <n v="4655619"/>
    <m/>
    <m/>
    <m/>
  </r>
  <r>
    <x v="6"/>
    <x v="0"/>
    <s v="F:\images\20210226\plaque 1/@06 EE2 170.9/A6_02.tif "/>
    <s v=" 44449.4335 "/>
    <s v=" 70.7611 "/>
    <x v="0"/>
    <n v="3145289"/>
    <m/>
    <m/>
    <m/>
  </r>
  <r>
    <x v="6"/>
    <x v="0"/>
    <s v="F:\images\20210226\plaque 1/@06 EE2 170.9/A6_03.tif "/>
    <s v=" 55956.5374 "/>
    <s v=" 71.6652 "/>
    <x v="0"/>
    <n v="4010139"/>
    <m/>
    <m/>
    <m/>
  </r>
  <r>
    <x v="6"/>
    <x v="1"/>
    <s v="F:\images\20210226\plaque 1/@06 EE2 170.9/B6_01.tif "/>
    <s v=" 27361.8167 "/>
    <s v=" 69.4664 "/>
    <x v="0"/>
    <n v="1900727"/>
    <m/>
    <m/>
    <m/>
  </r>
  <r>
    <x v="6"/>
    <x v="1"/>
    <s v="F:\images\20210226\plaque 1/@06 EE2 170.9/B6_02.tif "/>
    <s v=" 24268.7418 "/>
    <s v=" 71.82 "/>
    <x v="0"/>
    <n v="1742980"/>
    <m/>
    <m/>
    <m/>
  </r>
  <r>
    <x v="6"/>
    <x v="1"/>
    <s v="F:\images\20210226\plaque 1/@06 EE2 170.9/B6_03.tif "/>
    <s v=" 21500.1153 "/>
    <s v=" 69.0835 "/>
    <x v="0"/>
    <n v="1485303"/>
    <m/>
    <m/>
    <m/>
  </r>
  <r>
    <x v="6"/>
    <x v="2"/>
    <s v="F:\images\20210226\plaque 1/@06 EE2 170.9/C6_01.tif "/>
    <s v=" 54853.4128 "/>
    <s v=" 71.9645 "/>
    <x v="0"/>
    <n v="3947499"/>
    <m/>
    <m/>
    <m/>
  </r>
  <r>
    <x v="6"/>
    <x v="2"/>
    <s v="F:\images\20210226\plaque 1/@06 EE2 170.9/C6_02.tif "/>
    <s v=" 47239.6899 "/>
    <s v=" 69.549 "/>
    <x v="0"/>
    <n v="3285473"/>
    <m/>
    <m/>
    <m/>
  </r>
  <r>
    <x v="6"/>
    <x v="2"/>
    <s v="F:\images\20210226\plaque 1/@06 EE2 170.9/C6_03.tif "/>
    <s v=" 51111.441 "/>
    <s v=" 71.4528 "/>
    <x v="0"/>
    <n v="3652056"/>
    <m/>
    <m/>
    <m/>
  </r>
  <r>
    <x v="6"/>
    <x v="3"/>
    <s v="F:\images\20210226\plaque 1/@06 EE2 170.9/D6_01.tif "/>
    <s v=" 44038.4655 "/>
    <s v=" 70.5545 "/>
    <x v="0"/>
    <n v="3107113"/>
    <m/>
    <m/>
    <m/>
  </r>
  <r>
    <x v="6"/>
    <x v="3"/>
    <s v="F:\images\20210226\plaque 1/@06 EE2 170.9/D6_02.tif "/>
    <s v=" 38090.2444 "/>
    <s v=" 68.4889 "/>
    <x v="0"/>
    <n v="2608760"/>
    <m/>
    <m/>
    <m/>
  </r>
  <r>
    <x v="6"/>
    <x v="3"/>
    <s v="F:\images\20210226\plaque 1/@06 EE2 170.9/D6_03- exclu.tif"/>
    <m/>
    <m/>
    <x v="1"/>
    <m/>
    <m/>
    <m/>
    <m/>
  </r>
  <r>
    <x v="6"/>
    <x v="4"/>
    <s v="F:\images\20210226\plaque 1/@06 EE2 170.9/E6_01.tif "/>
    <s v=" 63700.0397 "/>
    <s v=" 74.3368 "/>
    <x v="0"/>
    <n v="4735260"/>
    <m/>
    <m/>
    <m/>
  </r>
  <r>
    <x v="6"/>
    <x v="4"/>
    <s v="F:\images\20210226\plaque 1/@06 EE2 170.9/E6_02.tif "/>
    <s v=" 52820.2027 "/>
    <s v=" 72.0066 "/>
    <x v="0"/>
    <n v="3803401"/>
    <m/>
    <m/>
    <m/>
  </r>
  <r>
    <x v="6"/>
    <x v="4"/>
    <s v="F:\images\20210226\plaque 1/@06 EE2 170.9/E6_03- exclu.tif"/>
    <m/>
    <m/>
    <x v="1"/>
    <m/>
    <m/>
    <m/>
    <m/>
  </r>
  <r>
    <x v="6"/>
    <x v="5"/>
    <s v="F:\images\20210226\plaque 1/@06 EE2 170.9/F6_01.tif "/>
    <s v=" 37938.8352 "/>
    <s v=" 89.3655 "/>
    <x v="0"/>
    <n v="3390421"/>
    <m/>
    <m/>
    <m/>
  </r>
  <r>
    <x v="6"/>
    <x v="5"/>
    <s v="F:\images\20210226\plaque 1/@06 EE2 170.9/F6_02.tif "/>
    <s v=" 38566.1021 "/>
    <s v=" 84.2563 "/>
    <x v="0"/>
    <n v="3249437"/>
    <m/>
    <m/>
    <m/>
  </r>
  <r>
    <x v="6"/>
    <x v="5"/>
    <s v="F:\images\20210226\plaque 1/@06 EE2 170.9/F6_03.tif "/>
    <s v=" 38630.9918 "/>
    <s v=" 74.4076 "/>
    <x v="0"/>
    <n v="2874440"/>
    <m/>
    <m/>
    <m/>
  </r>
  <r>
    <x v="6"/>
    <x v="6"/>
    <s v="F:\images\20210226\plaque 1/@06 EE2 170.9/G6_01.tif "/>
    <s v=" 53793.5479 "/>
    <s v=" 84.657 "/>
    <x v="0"/>
    <n v="4554001"/>
    <m/>
    <m/>
    <m/>
  </r>
  <r>
    <x v="6"/>
    <x v="6"/>
    <s v="F:\images\20210226\plaque 1/@06 EE2 170.9/G6_02.tif "/>
    <s v=" 46352.8642 "/>
    <s v=" 92.1997 "/>
    <x v="0"/>
    <n v="4273721"/>
    <m/>
    <m/>
    <m/>
  </r>
  <r>
    <x v="6"/>
    <x v="6"/>
    <s v="F:\images\20210226\plaque 1/@06 EE2 170.9/G6_03- exclu.tif"/>
    <m/>
    <m/>
    <x v="1"/>
    <m/>
    <m/>
    <m/>
    <m/>
  </r>
  <r>
    <x v="6"/>
    <x v="7"/>
    <s v="F:\images\20210226\plaque 1/@06 EE2 170.9/H6_01.tif "/>
    <s v=" 19510.165 "/>
    <s v=" 71.5033 "/>
    <x v="0"/>
    <n v="1395042"/>
    <m/>
    <m/>
    <m/>
  </r>
  <r>
    <x v="6"/>
    <x v="7"/>
    <s v="F:\images\20210226\plaque 1/@06 EE2 170.9/H6_02.tif "/>
    <s v=" 18428.6702 "/>
    <s v=" 76.6596 "/>
    <x v="0"/>
    <n v="1412735"/>
    <m/>
    <m/>
    <m/>
  </r>
  <r>
    <x v="6"/>
    <x v="7"/>
    <s v="F:\images\20210226\plaque 1/@06 EE2 170.9/H6_03.tif "/>
    <s v=" 17087.6168 "/>
    <s v=" 76.4709 "/>
    <x v="0"/>
    <n v="1306705"/>
    <m/>
    <m/>
    <m/>
  </r>
  <r>
    <x v="1"/>
    <x v="8"/>
    <s v=" "/>
    <m/>
    <m/>
    <x v="1"/>
    <m/>
    <m/>
    <m/>
    <m/>
  </r>
  <r>
    <x v="1"/>
    <x v="8"/>
    <s v="group "/>
    <s v=" "/>
    <s v=" mean of mean fluo "/>
    <x v="2"/>
    <s v=" mean of total fluo "/>
    <s v=" SD total fluo "/>
    <s v=" n fluorescent "/>
    <s v=" n total"/>
  </r>
  <r>
    <x v="6"/>
    <x v="9"/>
    <s v="F:\images\20210226\plaque 1/@06 EE2 170.9/ "/>
    <s v=" "/>
    <s v=" 74.2406 "/>
    <x v="8"/>
    <s v=" 2932181.83 "/>
    <s v=" 1229134.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226\plaque 1/@07 EE2 488/A7_01.tif "/>
    <s v=" 49554.0886 "/>
    <s v=" 99.7992 "/>
    <x v="0"/>
    <n v="4945459"/>
    <m/>
    <m/>
    <m/>
  </r>
  <r>
    <x v="7"/>
    <x v="0"/>
    <s v="F:\images\20210226\plaque 1/@07 EE2 488/A7_02.tif "/>
    <s v=" 37657.6465 "/>
    <s v=" 85.4675 "/>
    <x v="0"/>
    <n v="3218507"/>
    <m/>
    <m/>
    <m/>
  </r>
  <r>
    <x v="7"/>
    <x v="0"/>
    <s v="F:\images\20210226\plaque 1/@07 EE2 488/A7_03.tif "/>
    <s v=" 52712.0532 "/>
    <s v=" 93.9758 "/>
    <x v="0"/>
    <n v="4953657"/>
    <m/>
    <m/>
    <m/>
  </r>
  <r>
    <x v="7"/>
    <x v="1"/>
    <s v="F:\images\20210226\plaque 1/@07 EE2 488/B7_01.tif "/>
    <s v=" 83296.7242 "/>
    <s v=" 99.1818 "/>
    <x v="0"/>
    <n v="8261517"/>
    <m/>
    <m/>
    <m/>
  </r>
  <r>
    <x v="7"/>
    <x v="1"/>
    <s v="F:\images\20210226\plaque 1/@07 EE2 488/B7_02.tif "/>
    <s v=" 81587.9625 "/>
    <s v=" 97.1257 "/>
    <x v="0"/>
    <n v="7924285"/>
    <m/>
    <m/>
    <m/>
  </r>
  <r>
    <x v="7"/>
    <x v="1"/>
    <s v="F:\images\20210226\plaque 1/@07 EE2 488/B7_03- exclu.tif"/>
    <m/>
    <m/>
    <x v="1"/>
    <m/>
    <m/>
    <m/>
    <m/>
  </r>
  <r>
    <x v="7"/>
    <x v="2"/>
    <s v="F:\images\20210226\plaque 1/@07 EE2 488/C7_01.tif "/>
    <s v=" 77781.1011 "/>
    <s v=" 104.4408 "/>
    <x v="0"/>
    <n v="8123518"/>
    <m/>
    <m/>
    <m/>
  </r>
  <r>
    <x v="7"/>
    <x v="2"/>
    <s v="F:\images\20210226\plaque 1/@07 EE2 488/C7_02.tif "/>
    <s v=" 72287.1078 "/>
    <s v=" 107.0293 "/>
    <x v="0"/>
    <n v="7736840"/>
    <m/>
    <m/>
    <m/>
  </r>
  <r>
    <x v="7"/>
    <x v="2"/>
    <s v="F:\images\20210226\plaque 1/@07 EE2 488/C7_03.tif "/>
    <s v=" 76137.2291 "/>
    <s v=" 103.5696 "/>
    <x v="0"/>
    <n v="7885503"/>
    <m/>
    <m/>
    <m/>
  </r>
  <r>
    <x v="7"/>
    <x v="3"/>
    <s v="F:\images\20210226\plaque 1/@07 EE2 488/D7_01.tif "/>
    <s v=" 61212.6018 "/>
    <s v=" 94.6576 "/>
    <x v="0"/>
    <n v="5794238"/>
    <m/>
    <m/>
    <m/>
  </r>
  <r>
    <x v="7"/>
    <x v="3"/>
    <s v="F:\images\20210226\plaque 1/@07 EE2 488/D7_02.tif "/>
    <s v=" 47715.5476 "/>
    <s v=" 99.4565 "/>
    <x v="0"/>
    <n v="4745621"/>
    <m/>
    <m/>
    <m/>
  </r>
  <r>
    <x v="7"/>
    <x v="3"/>
    <s v="F:\images\20210226\plaque 1/@07 EE2 488/D7_03.tif "/>
    <s v=" 55956.5374 "/>
    <s v=" 96.816 "/>
    <x v="0"/>
    <n v="5417488"/>
    <m/>
    <m/>
    <m/>
  </r>
  <r>
    <x v="7"/>
    <x v="4"/>
    <s v="F:\images\20210226\plaque 1/@07 EE2 488/E7_01.tif "/>
    <s v=" 54226.1458 "/>
    <s v=" 95.9916 "/>
    <x v="0"/>
    <n v="5205256"/>
    <m/>
    <m/>
    <m/>
  </r>
  <r>
    <x v="7"/>
    <x v="4"/>
    <s v="F:\images\20210226\plaque 1/@07 EE2 488/E7_02.tif "/>
    <s v=" 49532.4587 "/>
    <s v=" 102.524 "/>
    <x v="0"/>
    <n v="5078267"/>
    <m/>
    <m/>
    <m/>
  </r>
  <r>
    <x v="7"/>
    <x v="4"/>
    <s v="F:\images\20210226\plaque 1/@07 EE2 488/E7_03.tif "/>
    <s v=" 55307.6406 "/>
    <s v=" 96.3477 "/>
    <x v="0"/>
    <n v="5328762"/>
    <m/>
    <m/>
    <m/>
  </r>
  <r>
    <x v="7"/>
    <x v="5"/>
    <s v="F:\images\20210226\plaque 1/@07 EE2 488/F7_01.tif "/>
    <s v=" 60542.0751 "/>
    <s v=" 101.5959 "/>
    <x v="0"/>
    <n v="6150828"/>
    <m/>
    <m/>
    <m/>
  </r>
  <r>
    <x v="7"/>
    <x v="5"/>
    <s v="F:\images\20210226\plaque 1/@07 EE2 488/F7_02.tif "/>
    <s v=" 59806.6586 "/>
    <s v=" 107.4412 "/>
    <x v="0"/>
    <n v="6425701"/>
    <m/>
    <m/>
    <m/>
  </r>
  <r>
    <x v="7"/>
    <x v="5"/>
    <s v="F:\images\20210226\plaque 1/@07 EE2 488/F7_03.tif "/>
    <s v=" 59525.47 "/>
    <s v=" 104.0055 "/>
    <x v="0"/>
    <n v="6190973"/>
    <m/>
    <m/>
    <m/>
  </r>
  <r>
    <x v="7"/>
    <x v="6"/>
    <s v="F:\images\20210226\plaque 1/@07 EE2 488/G7_01.tif "/>
    <s v=" 61558.6801 "/>
    <s v=" 92.4227 "/>
    <x v="0"/>
    <n v="5689419"/>
    <m/>
    <m/>
    <m/>
  </r>
  <r>
    <x v="7"/>
    <x v="6"/>
    <s v="F:\images\20210226\plaque 1/@07 EE2 488/G7_02.tif "/>
    <s v=" 54442.4448 "/>
    <s v=" 95.6365 "/>
    <x v="0"/>
    <n v="5206683"/>
    <m/>
    <m/>
    <m/>
  </r>
  <r>
    <x v="7"/>
    <x v="6"/>
    <s v="F:\images\20210226\plaque 1/@07 EE2 488/G7_03.tif "/>
    <s v=" 52149.676 "/>
    <s v=" 92.6321 "/>
    <x v="0"/>
    <n v="4830734"/>
    <m/>
    <m/>
    <m/>
  </r>
  <r>
    <x v="7"/>
    <x v="7"/>
    <s v="F:\images\20210226\plaque 1/@07 EE2 488/H7_01.tif "/>
    <s v=" 56778.4734 "/>
    <s v=" 98.6952 "/>
    <x v="0"/>
    <n v="5603765"/>
    <m/>
    <m/>
    <m/>
  </r>
  <r>
    <x v="7"/>
    <x v="7"/>
    <s v="F:\images\20210226\plaque 1/@07 EE2 488/H7_02.tif "/>
    <s v=" 61212.6018 "/>
    <s v=" 100.1714 "/>
    <x v="0"/>
    <n v="6131751"/>
    <m/>
    <m/>
    <m/>
  </r>
  <r>
    <x v="7"/>
    <x v="7"/>
    <s v="F:\images\20210226\plaque 1/@07 EE2 488/H7_03.tif "/>
    <s v=" 55610.4591 "/>
    <s v=" 104.6534 "/>
    <x v="0"/>
    <n v="5819826"/>
    <m/>
    <m/>
    <m/>
  </r>
  <r>
    <x v="1"/>
    <x v="8"/>
    <s v=" "/>
    <m/>
    <m/>
    <x v="1"/>
    <m/>
    <m/>
    <m/>
    <m/>
  </r>
  <r>
    <x v="1"/>
    <x v="8"/>
    <s v="group "/>
    <s v=" "/>
    <s v=" mean of mean fluo "/>
    <x v="2"/>
    <s v=" mean of total fluo "/>
    <s v=" SD total fluo "/>
    <s v=" n fluorescent "/>
    <s v=" n total"/>
  </r>
  <r>
    <x v="7"/>
    <x v="9"/>
    <s v="F:\images\20210226\plaque 1/@07 EE2 488/ "/>
    <s v=" "/>
    <s v=" 98.633 "/>
    <x v="9"/>
    <s v=" 5873442.92 "/>
    <s v=" 1298746.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226\plaque 1/@08 Cefuroxime ND 0.001/A8_01.tif "/>
    <s v=" 1730.3916 "/>
    <s v=" 64.35 "/>
    <x v="0"/>
    <n v="111351"/>
    <m/>
    <m/>
    <m/>
  </r>
  <r>
    <x v="8"/>
    <x v="0"/>
    <s v="F:\images\20210226\plaque 1/@08 Cefuroxime ND 0.001/A8_02.tif "/>
    <s v=" 6986.456 "/>
    <s v=" 78.3529 "/>
    <x v="0"/>
    <n v="547409"/>
    <m/>
    <m/>
    <m/>
  </r>
  <r>
    <x v="8"/>
    <x v="0"/>
    <s v="F:\images\20210226\plaque 1/@08 Cefuroxime ND 0.001/A8_03.tif "/>
    <s v=" 4412.4985 "/>
    <s v=" 68.5735 "/>
    <x v="0"/>
    <n v="302581"/>
    <m/>
    <m/>
    <m/>
  </r>
  <r>
    <x v="8"/>
    <x v="1"/>
    <s v="F:\images\20210226\plaque 1/@08 Cefuroxime ND 0.001/B8_01.tif "/>
    <s v=" 670.5267 "/>
    <s v=" 64.6129 "/>
    <x v="0"/>
    <n v="43325"/>
    <m/>
    <m/>
    <m/>
  </r>
  <r>
    <x v="8"/>
    <x v="1"/>
    <s v="F:\images\20210226\plaque 1/@08 Cefuroxime ND 0.001/B8_02- exclu.tif"/>
    <m/>
    <m/>
    <x v="1"/>
    <m/>
    <m/>
    <m/>
    <m/>
  </r>
  <r>
    <x v="8"/>
    <x v="1"/>
    <s v="F:\images\20210226\plaque 1/@08 Cefuroxime ND 0.001/B8_03- exclu.tif"/>
    <m/>
    <m/>
    <x v="1"/>
    <m/>
    <m/>
    <m/>
    <m/>
  </r>
  <r>
    <x v="8"/>
    <x v="2"/>
    <s v="F:\images\20210226\plaque 1/@08 Cefuroxime ND 0.001/C8_01.tif "/>
    <s v=" 5969.8509 "/>
    <s v=" 74.1667 "/>
    <x v="0"/>
    <n v="442764"/>
    <m/>
    <m/>
    <m/>
  </r>
  <r>
    <x v="8"/>
    <x v="2"/>
    <s v="F:\images\20210226\plaque 1/@08 Cefuroxime ND 0.001/C8_02.tif "/>
    <s v=" 3266.1141 "/>
    <s v=" 67.3907 "/>
    <x v="0"/>
    <n v="220106"/>
    <m/>
    <m/>
    <m/>
  </r>
  <r>
    <x v="8"/>
    <x v="2"/>
    <s v="F:\images\20210226\plaque 1/@08 Cefuroxime ND 0.001/C8_03- exclu.tif"/>
    <m/>
    <m/>
    <x v="1"/>
    <m/>
    <m/>
    <m/>
    <m/>
  </r>
  <r>
    <x v="8"/>
    <x v="3"/>
    <s v="F:\images\20210226\plaque 1/@08 Cefuroxime ND 0.001/D8_01.tif "/>
    <s v=" 3179.5945 "/>
    <s v=" 67.7823 "/>
    <x v="0"/>
    <n v="215520"/>
    <m/>
    <m/>
    <m/>
  </r>
  <r>
    <x v="8"/>
    <x v="3"/>
    <s v="F:\images\20210226\plaque 1/@08 Cefuroxime ND 0.001/D8_02.tif "/>
    <s v=" 1968.3204 "/>
    <s v=" 65.8352 "/>
    <x v="0"/>
    <n v="129585"/>
    <m/>
    <m/>
    <m/>
  </r>
  <r>
    <x v="8"/>
    <x v="3"/>
    <s v="F:\images\20210226\plaque 1/@08 Cefuroxime ND 0.001/D8_03- exclu.tif"/>
    <m/>
    <m/>
    <x v="1"/>
    <m/>
    <m/>
    <m/>
    <m/>
  </r>
  <r>
    <x v="8"/>
    <x v="4"/>
    <s v="F:\images\20210226\plaque 1/@08 Cefuroxime ND 0.001/E8_01.tif "/>
    <s v=" 216.2989 "/>
    <s v=" 62.6 "/>
    <x v="0"/>
    <n v="13540"/>
    <m/>
    <m/>
    <m/>
  </r>
  <r>
    <x v="8"/>
    <x v="4"/>
    <s v="F:\images\20210226\plaque 1/@08 Cefuroxime ND 0.001/E8_02.tif "/>
    <s v=" 475.8577 "/>
    <s v=" 63.5 "/>
    <x v="0"/>
    <n v="30217"/>
    <m/>
    <m/>
    <m/>
  </r>
  <r>
    <x v="8"/>
    <x v="4"/>
    <s v="F:\images\20210226\plaque 1/@08 Cefuroxime ND 0.001/E8_03- exclu.tif"/>
    <m/>
    <m/>
    <x v="1"/>
    <m/>
    <m/>
    <m/>
    <m/>
  </r>
  <r>
    <x v="8"/>
    <x v="5"/>
    <s v="F:\images\20210226\plaque 1/@08 Cefuroxime ND 0.001/F8_01.tif "/>
    <s v=" 865.1958 "/>
    <s v=" 63.925 "/>
    <x v="0"/>
    <n v="55308"/>
    <m/>
    <m/>
    <m/>
  </r>
  <r>
    <x v="8"/>
    <x v="5"/>
    <s v="F:\images\20210226\plaque 1/@08 Cefuroxime ND 0.001/F8_02.tif "/>
    <s v=" 886.8257 "/>
    <s v=" 64.4146 "/>
    <x v="0"/>
    <n v="57125"/>
    <m/>
    <m/>
    <m/>
  </r>
  <r>
    <x v="8"/>
    <x v="5"/>
    <s v="F:\images\20210226\plaque 1/@08 Cefuroxime ND 0.001/F8_03.tif "/>
    <s v=" 519.1175 "/>
    <s v=" 63.625 "/>
    <x v="0"/>
    <n v="33029"/>
    <m/>
    <m/>
    <m/>
  </r>
  <r>
    <x v="8"/>
    <x v="6"/>
    <s v="F:\images\20210226\plaque 1/@08 Cefuroxime ND 0.001/G8_01.tif "/>
    <s v=" 800.3061 "/>
    <s v=" 65.3784 "/>
    <x v="0"/>
    <n v="52323"/>
    <m/>
    <m/>
    <m/>
  </r>
  <r>
    <x v="8"/>
    <x v="6"/>
    <s v="F:\images\20210226\plaque 1/@08 Cefuroxime ND 0.001/G8_02.tif "/>
    <s v=" 237.9288 "/>
    <s v=" 63.7273 "/>
    <x v="0"/>
    <n v="15163"/>
    <m/>
    <m/>
    <m/>
  </r>
  <r>
    <x v="8"/>
    <x v="6"/>
    <s v="F:\images\20210226\plaque 1/@08 Cefuroxime ND 0.001/G8_03- exclu.tif"/>
    <m/>
    <m/>
    <x v="1"/>
    <m/>
    <m/>
    <m/>
    <m/>
  </r>
  <r>
    <x v="8"/>
    <x v="7"/>
    <s v="F:\images\20210226\plaque 1/@08 Cefuroxime ND 0.001/H8_01.tif "/>
    <s v=" 908.4556 "/>
    <s v=" 62.8095 "/>
    <x v="0"/>
    <n v="57060"/>
    <m/>
    <m/>
    <m/>
  </r>
  <r>
    <x v="8"/>
    <x v="7"/>
    <s v="F:\images\20210226\plaque 1/@08 Cefuroxime ND 0.001/H8_02.tif "/>
    <s v=" 1276.1638 "/>
    <s v=" 64.1864 "/>
    <x v="0"/>
    <n v="81912"/>
    <m/>
    <m/>
    <m/>
  </r>
  <r>
    <x v="8"/>
    <x v="7"/>
    <s v="F:\images\20210226\plaque 1/@08 Cefuroxime ND 0.001/H8_03.tif "/>
    <s v=" 627.2669 "/>
    <s v=" 62.1379 "/>
    <x v="0"/>
    <n v="38977"/>
    <m/>
    <m/>
    <m/>
  </r>
  <r>
    <x v="1"/>
    <x v="8"/>
    <s v=" "/>
    <m/>
    <m/>
    <x v="1"/>
    <m/>
    <m/>
    <m/>
    <m/>
  </r>
  <r>
    <x v="1"/>
    <x v="8"/>
    <s v="group "/>
    <s v=" "/>
    <s v=" mean of mean fluo "/>
    <x v="2"/>
    <s v=" mean of total fluo "/>
    <s v=" SD total fluo "/>
    <s v=" n fluorescent "/>
    <s v=" n total"/>
  </r>
  <r>
    <x v="8"/>
    <x v="9"/>
    <s v="F:\images\20210226\plaque 1/@08 Cefuroxime ND 0.001/ "/>
    <s v=" "/>
    <s v=" 65.6392 "/>
    <x v="10"/>
    <s v=" 105087.125 "/>
    <s v=" 143313.3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226\plaque 1/@09 Cefuroxime ND 0.01/A9_01.tif "/>
    <s v=" 2855.1461 "/>
    <s v=" 64.803 "/>
    <x v="0"/>
    <n v="185022"/>
    <m/>
    <m/>
    <m/>
  </r>
  <r>
    <x v="9"/>
    <x v="0"/>
    <s v="F:\images\20210226\plaque 1/@09 Cefuroxime ND 0.01/A9_02.tif "/>
    <s v=" 4520.648 "/>
    <s v=" 66.7895 "/>
    <x v="0"/>
    <n v="301932"/>
    <m/>
    <m/>
    <m/>
  </r>
  <r>
    <x v="9"/>
    <x v="0"/>
    <s v="F:\images\20210226\plaque 1/@09 Cefuroxime ND 0.01/A9_03.tif "/>
    <s v=" 1665.5019 "/>
    <s v=" 63.3766 "/>
    <x v="0"/>
    <n v="105554"/>
    <m/>
    <m/>
    <m/>
  </r>
  <r>
    <x v="9"/>
    <x v="1"/>
    <s v="F:\images\20210226\plaque 1/@09 Cefuroxime ND 0.01/B9_01.tif "/>
    <s v=" 1860.1709 "/>
    <s v=" 63.4884 "/>
    <x v="0"/>
    <n v="118099"/>
    <m/>
    <m/>
    <m/>
  </r>
  <r>
    <x v="9"/>
    <x v="1"/>
    <s v="F:\images\20210226\plaque 1/@09 Cefuroxime ND 0.01/B9_02.tif "/>
    <s v=" 1578.9823 "/>
    <s v=" 63.2329 "/>
    <x v="0"/>
    <n v="99844"/>
    <m/>
    <m/>
    <m/>
  </r>
  <r>
    <x v="9"/>
    <x v="1"/>
    <s v="F:\images\20210226\plaque 1/@09 Cefuroxime ND 0.01/B9_03- exclu.tif"/>
    <m/>
    <m/>
    <x v="1"/>
    <m/>
    <m/>
    <m/>
    <m/>
  </r>
  <r>
    <x v="9"/>
    <x v="2"/>
    <s v="F:\images\20210226\plaque 1/@09 Cefuroxime ND 0.01/C9_01.tif "/>
    <s v=" 6899.9364 "/>
    <s v=" 68.4232 "/>
    <x v="0"/>
    <n v="472116"/>
    <m/>
    <m/>
    <m/>
  </r>
  <r>
    <x v="9"/>
    <x v="2"/>
    <s v="F:\images\20210226\plaque 1/@09 Cefuroxime ND 0.01/C9_02.tif "/>
    <s v=" 5277.6943 "/>
    <s v=" 67.5 "/>
    <x v="0"/>
    <n v="356244"/>
    <m/>
    <m/>
    <m/>
  </r>
  <r>
    <x v="9"/>
    <x v="2"/>
    <s v="F:\images\20210226\plaque 1/@09 Cefuroxime ND 0.01/C9_03.tif "/>
    <s v=" 5840.0715 "/>
    <s v=" 71.0296 "/>
    <x v="0"/>
    <n v="414818"/>
    <m/>
    <m/>
    <m/>
  </r>
  <r>
    <x v="9"/>
    <x v="3"/>
    <s v="F:\images\20210226\plaque 1/@09 Cefuroxime ND 0.01/D9_01.tif "/>
    <s v=" 1838.541 "/>
    <s v=" 64.6118 "/>
    <x v="0"/>
    <n v="118791"/>
    <m/>
    <m/>
    <m/>
  </r>
  <r>
    <x v="9"/>
    <x v="3"/>
    <s v="F:\images\20210226\plaque 1/@09 Cefuroxime ND 0.01/D9_02.tif "/>
    <s v=" 1319.4236 "/>
    <s v=" 63.1967 "/>
    <x v="0"/>
    <n v="83383"/>
    <m/>
    <m/>
    <m/>
  </r>
  <r>
    <x v="9"/>
    <x v="3"/>
    <s v="F:\images\20210226\plaque 1/@09 Cefuroxime ND 0.01/D9_03.tif "/>
    <s v=" 2119.7297 "/>
    <s v=" 65.6735 "/>
    <x v="0"/>
    <n v="139210"/>
    <m/>
    <m/>
    <m/>
  </r>
  <r>
    <x v="9"/>
    <x v="4"/>
    <s v="F:\images\20210226\plaque 1/@09 Cefuroxime ND 0.01/E9_01.tif "/>
    <s v=" 4780.2067 "/>
    <s v=" 68.1855 "/>
    <x v="0"/>
    <n v="325941"/>
    <m/>
    <m/>
    <m/>
  </r>
  <r>
    <x v="9"/>
    <x v="4"/>
    <s v="F:\images\20210226\plaque 1/@09 Cefuroxime ND 0.01/E9_02.tif "/>
    <s v=" 4109.68 "/>
    <s v=" 68.3211 "/>
    <x v="0"/>
    <n v="280778"/>
    <m/>
    <m/>
    <m/>
  </r>
  <r>
    <x v="9"/>
    <x v="4"/>
    <s v="F:\images\20210226\plaque 1/@09 Cefuroxime ND 0.01/E9_03.tif "/>
    <s v=" 4823.4665 "/>
    <s v=" 70.4305 "/>
    <x v="0"/>
    <n v="339719"/>
    <m/>
    <m/>
    <m/>
  </r>
  <r>
    <x v="9"/>
    <x v="5"/>
    <s v="F:\images\20210226\plaque 1/@09 Cefuroxime ND 0.01/F9_01- exclu.tif"/>
    <m/>
    <m/>
    <x v="1"/>
    <m/>
    <m/>
    <m/>
    <m/>
  </r>
  <r>
    <x v="9"/>
    <x v="5"/>
    <s v="F:\images\20210226\plaque 1/@09 Cefuroxime ND 0.01/F9_02- exclu.tif"/>
    <m/>
    <m/>
    <x v="1"/>
    <m/>
    <m/>
    <m/>
    <m/>
  </r>
  <r>
    <x v="9"/>
    <x v="5"/>
    <s v="F:\images\20210226\plaque 1/@09 Cefuroxime ND 0.01/F9_03- exclu.tif"/>
    <m/>
    <m/>
    <x v="1"/>
    <m/>
    <m/>
    <m/>
    <m/>
  </r>
  <r>
    <x v="9"/>
    <x v="6"/>
    <s v="F:\images\20210226\plaque 1/@09 Cefuroxime ND 0.01/G9_01.tif "/>
    <s v=" 475.8577 "/>
    <s v=" 62.7727 "/>
    <x v="0"/>
    <n v="29871"/>
    <m/>
    <m/>
    <m/>
  </r>
  <r>
    <x v="9"/>
    <x v="6"/>
    <s v="F:\images\20210226\plaque 1/@09 Cefuroxime ND 0.01/G9_02.tif "/>
    <s v=" 389.3381 "/>
    <n v="63"/>
    <x v="0"/>
    <n v="24528"/>
    <m/>
    <m/>
    <m/>
  </r>
  <r>
    <x v="9"/>
    <x v="6"/>
    <s v="F:\images\20210226\plaque 1/@09 Cefuroxime ND 0.01/G9_03- exclu.tif"/>
    <m/>
    <m/>
    <x v="1"/>
    <m/>
    <m/>
    <m/>
    <m/>
  </r>
  <r>
    <x v="9"/>
    <x v="7"/>
    <s v="F:\images\20210226\plaque 1/@09 Cefuroxime ND 0.01/H9_01.tif "/>
    <s v=" 1016.605 "/>
    <s v=" 63.9574 "/>
    <x v="0"/>
    <n v="65019"/>
    <m/>
    <m/>
    <m/>
  </r>
  <r>
    <x v="9"/>
    <x v="7"/>
    <s v="F:\images\20210226\plaque 1/@09 Cefuroxime ND 0.01/H9_02.tif "/>
    <s v=" 2206.2493 "/>
    <s v=" 66.1275 "/>
    <x v="0"/>
    <n v="145894"/>
    <m/>
    <m/>
    <m/>
  </r>
  <r>
    <x v="9"/>
    <x v="7"/>
    <s v="F:\images\20210226\plaque 1/@09 Cefuroxime ND 0.01/H9_03.tif "/>
    <s v=" 3352.6337 "/>
    <s v=" 66.2968 "/>
    <x v="0"/>
    <n v="222269"/>
    <m/>
    <m/>
    <m/>
  </r>
  <r>
    <x v="1"/>
    <x v="8"/>
    <s v=" "/>
    <m/>
    <m/>
    <x v="1"/>
    <m/>
    <m/>
    <m/>
    <m/>
  </r>
  <r>
    <x v="1"/>
    <x v="8"/>
    <s v="group "/>
    <s v=" "/>
    <s v=" mean of mean fluo "/>
    <x v="2"/>
    <s v=" mean of total fluo "/>
    <s v=" SD total fluo "/>
    <s v=" n fluorescent "/>
    <s v=" n total"/>
  </r>
  <r>
    <x v="9"/>
    <x v="9"/>
    <s v="F:\images\20210226\plaque 1/@09 Cefuroxime ND 0.01/ "/>
    <s v=" "/>
    <s v=" 65.596 "/>
    <x v="11"/>
    <s v=" 162248.5 "/>
    <s v=" 142792.0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226\plaque 1/@10 Cefuroxime ND 0.1/A10_01.tif "/>
    <s v=" 173.0392 "/>
    <s v=" 64.375 "/>
    <x v="0"/>
    <n v="11139"/>
    <m/>
    <m/>
    <m/>
  </r>
  <r>
    <x v="10"/>
    <x v="0"/>
    <s v="F:\images\20210226\plaque 1/@10 Cefuroxime ND 0.1/A10_02.tif "/>
    <s v=" 540.7474 "/>
    <n v="66"/>
    <x v="0"/>
    <n v="35689"/>
    <m/>
    <m/>
    <m/>
  </r>
  <r>
    <x v="10"/>
    <x v="0"/>
    <s v="F:\images\20210226\plaque 1/@10 Cefuroxime ND 0.1/A10_03- exclu.tif"/>
    <m/>
    <m/>
    <x v="1"/>
    <m/>
    <m/>
    <m/>
    <m/>
  </r>
  <r>
    <x v="10"/>
    <x v="1"/>
    <s v="F:\images\20210226\plaque 1/@10 Cefuroxime ND 0.1/B10_01.tif "/>
    <s v=" 5256.0644 "/>
    <s v=" 71.679 "/>
    <x v="0"/>
    <n v="376750"/>
    <m/>
    <m/>
    <m/>
  </r>
  <r>
    <x v="10"/>
    <x v="1"/>
    <s v="F:\images\20210226\plaque 1/@10 Cefuroxime ND 0.1/B10_02.tif "/>
    <s v=" 410.968 "/>
    <s v=" 63.7368 "/>
    <x v="0"/>
    <n v="26194"/>
    <m/>
    <m/>
    <m/>
  </r>
  <r>
    <x v="10"/>
    <x v="1"/>
    <s v="F:\images\20210226\plaque 1/@10 Cefuroxime ND 0.1/B10_03- exclu.tif"/>
    <m/>
    <m/>
    <x v="1"/>
    <m/>
    <m/>
    <m/>
    <m/>
  </r>
  <r>
    <x v="10"/>
    <x v="2"/>
    <s v="F:\images\20210226\plaque 1/@10 Cefuroxime ND 0.1/C10_01.tif "/>
    <s v=" 1449.2029 "/>
    <s v=" 64.0299 "/>
    <x v="0"/>
    <n v="92792"/>
    <m/>
    <m/>
    <m/>
  </r>
  <r>
    <x v="10"/>
    <x v="2"/>
    <s v="F:\images\20210226\plaque 1/@10 Cefuroxime ND 0.1/C10_02.tif "/>
    <s v=" 259.5587 "/>
    <s v=" 64.5833 "/>
    <x v="0"/>
    <n v="16763"/>
    <m/>
    <m/>
    <m/>
  </r>
  <r>
    <x v="10"/>
    <x v="2"/>
    <s v="F:\images\20210226\plaque 1/@10 Cefuroxime ND 0.1/C10_03- exclu.tif"/>
    <m/>
    <m/>
    <x v="1"/>
    <m/>
    <m/>
    <m/>
    <m/>
  </r>
  <r>
    <x v="10"/>
    <x v="3"/>
    <s v="F:\images\20210226\plaque 1/@10 Cefuroxime ND 0.1/D10_01.tif "/>
    <s v=" 1492.4627 "/>
    <s v=" 64.9275 "/>
    <x v="0"/>
    <n v="96902"/>
    <m/>
    <m/>
    <m/>
  </r>
  <r>
    <x v="10"/>
    <x v="3"/>
    <s v="F:\images\20210226\plaque 1/@10 Cefuroxime ND 0.1/D10_02.tif "/>
    <s v=" 1492.4627 "/>
    <s v=" 66.2464 "/>
    <x v="0"/>
    <n v="98870"/>
    <m/>
    <m/>
    <m/>
  </r>
  <r>
    <x v="10"/>
    <x v="3"/>
    <s v="F:\images\20210226\plaque 1/@10 Cefuroxime ND 0.1/D10_03.tif "/>
    <s v=" 519.1175 "/>
    <s v=" 62.3333 "/>
    <x v="0"/>
    <n v="32358"/>
    <m/>
    <m/>
    <m/>
  </r>
  <r>
    <x v="10"/>
    <x v="4"/>
    <s v="F:\images\20210226\plaque 1/@10 Cefuroxime ND 0.1/E10_01.tif "/>
    <s v=" 3677.0821 "/>
    <s v=" 66.4471 "/>
    <x v="0"/>
    <n v="244331"/>
    <m/>
    <m/>
    <m/>
  </r>
  <r>
    <x v="10"/>
    <x v="4"/>
    <s v="F:\images\20210226\plaque 1/@10 Cefuroxime ND 0.1/E10_02.tif "/>
    <s v=" 3806.8615 "/>
    <s v=" 66.5852 "/>
    <x v="0"/>
    <n v="253481"/>
    <m/>
    <m/>
    <m/>
  </r>
  <r>
    <x v="10"/>
    <x v="4"/>
    <s v="F:\images\20210226\plaque 1/@10 Cefuroxime ND 0.1/E10_03.tif "/>
    <s v=" 1362.6834 "/>
    <s v=" 65.1587 "/>
    <x v="0"/>
    <n v="88791"/>
    <m/>
    <m/>
    <m/>
  </r>
  <r>
    <x v="10"/>
    <x v="5"/>
    <s v="F:\images\20210226\plaque 1/@10 Cefuroxime ND 0.1/F10_01.tif "/>
    <s v=" 5191.1747 "/>
    <s v=" 68.7958 "/>
    <x v="0"/>
    <n v="357131"/>
    <m/>
    <m/>
    <m/>
  </r>
  <r>
    <x v="10"/>
    <x v="5"/>
    <s v="F:\images\20210226\plaque 1/@10 Cefuroxime ND 0.1/F10_02.tif "/>
    <s v=" 1427.573 "/>
    <s v=" 66.697 "/>
    <x v="0"/>
    <n v="95215"/>
    <m/>
    <m/>
    <m/>
  </r>
  <r>
    <x v="10"/>
    <x v="5"/>
    <s v="F:\images\20210226\plaque 1/@10 Cefuroxime ND 0.1/F10_03.tif "/>
    <s v=" 173.0392 "/>
    <s v=" 63.75 "/>
    <x v="0"/>
    <n v="11031"/>
    <m/>
    <m/>
    <m/>
  </r>
  <r>
    <x v="10"/>
    <x v="6"/>
    <s v="F:\images\20210226\plaque 1/@10 Cefuroxime ND 0.1/G10_01.tif "/>
    <s v=" 778.6762 "/>
    <s v=" 63.4167 "/>
    <x v="0"/>
    <n v="49381"/>
    <m/>
    <m/>
    <m/>
  </r>
  <r>
    <x v="10"/>
    <x v="6"/>
    <s v="F:\images\20210226\plaque 1/@10 Cefuroxime ND 0.1/G10_02.tif "/>
    <s v=" 735.4164 "/>
    <s v=" 63.1176 "/>
    <x v="0"/>
    <n v="46418"/>
    <m/>
    <m/>
    <m/>
  </r>
  <r>
    <x v="10"/>
    <x v="6"/>
    <s v="F:\images\20210226\plaque 1/@10 Cefuroxime ND 0.1/G10_03.tif "/>
    <s v=" 843.5659 "/>
    <s v=" 63.359 "/>
    <x v="0"/>
    <n v="53447"/>
    <m/>
    <m/>
    <m/>
  </r>
  <r>
    <x v="10"/>
    <x v="7"/>
    <s v="F:\images\20210226\plaque 1/@10 Cefuroxime ND 0.1/H10_01.tif "/>
    <s v=" 4434.1284 "/>
    <s v=" 70.2683 "/>
    <x v="0"/>
    <n v="311579"/>
    <m/>
    <m/>
    <m/>
  </r>
  <r>
    <x v="10"/>
    <x v="7"/>
    <s v="F:\images\20210226\plaque 1/@10 Cefuroxime ND 0.1/H10_02.tif "/>
    <s v=" 2509.0678 "/>
    <s v=" 65.6379 "/>
    <x v="0"/>
    <n v="164690"/>
    <m/>
    <m/>
    <m/>
  </r>
  <r>
    <x v="10"/>
    <x v="7"/>
    <s v="F:\images\20210226\plaque 1/@10 Cefuroxime ND 0.1/H10_03.tif "/>
    <s v=" 562.3773 "/>
    <s v=" 63.3846 "/>
    <x v="0"/>
    <n v="35646"/>
    <m/>
    <m/>
    <m/>
  </r>
  <r>
    <x v="1"/>
    <x v="8"/>
    <s v=" "/>
    <m/>
    <m/>
    <x v="1"/>
    <m/>
    <m/>
    <m/>
    <m/>
  </r>
  <r>
    <x v="1"/>
    <x v="8"/>
    <s v="group "/>
    <s v=" "/>
    <s v=" mean of mean fluo "/>
    <x v="2"/>
    <s v=" mean of total fluo "/>
    <s v=" SD total fluo "/>
    <s v=" n fluorescent "/>
    <s v=" n total"/>
  </r>
  <r>
    <x v="10"/>
    <x v="9"/>
    <s v="F:\images\20210226\plaque 1/@10 Cefuroxime ND 0.1/ "/>
    <s v=" "/>
    <s v=" 65.3455 "/>
    <x v="12"/>
    <s v=" 105497.042 "/>
    <s v=" 115719.3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226\plaque 1/@11 Cefuroxime ND 1/A11_01.tif "/>
    <s v=" 4369.2387 "/>
    <s v=" 67.0891 "/>
    <x v="0"/>
    <n v="293128"/>
    <m/>
    <m/>
    <m/>
  </r>
  <r>
    <x v="11"/>
    <x v="0"/>
    <s v="F:\images\20210226\plaque 1/@11 Cefuroxime ND 1/A11_02.tif "/>
    <s v=" 4845.0964 "/>
    <s v=" 67.0223 "/>
    <x v="0"/>
    <n v="324730"/>
    <m/>
    <m/>
    <m/>
  </r>
  <r>
    <x v="11"/>
    <x v="0"/>
    <s v="F:\images\20210226\plaque 1/@11 Cefuroxime ND 1/A11_03.tif "/>
    <s v=" 5883.3313 "/>
    <s v=" 70.1507 "/>
    <x v="0"/>
    <n v="412720"/>
    <m/>
    <m/>
    <m/>
  </r>
  <r>
    <x v="11"/>
    <x v="1"/>
    <s v="F:\images\20210226\plaque 1/@11 Cefuroxime ND 1/B11_01.tif "/>
    <s v=" 173.0392 "/>
    <s v=" 62.875 "/>
    <x v="0"/>
    <n v="10880"/>
    <m/>
    <m/>
    <m/>
  </r>
  <r>
    <x v="11"/>
    <x v="1"/>
    <s v="F:\images\20210226\plaque 1/@11 Cefuroxime ND 1/B11_02.tif "/>
    <s v=" 324.4484 "/>
    <s v=" 64.0667 "/>
    <x v="0"/>
    <n v="20786"/>
    <m/>
    <m/>
    <m/>
  </r>
  <r>
    <x v="11"/>
    <x v="1"/>
    <s v="F:\images\20210226\plaque 1/@11 Cefuroxime ND 1/B11_03.tif "/>
    <s v=" 237.9288 "/>
    <s v=" 62.6364 "/>
    <x v="0"/>
    <n v="14903"/>
    <m/>
    <m/>
    <m/>
  </r>
  <r>
    <x v="11"/>
    <x v="2"/>
    <s v="F:\images\20210226\plaque 1/@11 Cefuroxime ND 1/C11_01.tif "/>
    <s v=" 3871.7511 "/>
    <s v=" 67.7989 "/>
    <x v="0"/>
    <n v="262500"/>
    <m/>
    <m/>
    <m/>
  </r>
  <r>
    <x v="11"/>
    <x v="2"/>
    <s v="F:\images\20210226\plaque 1/@11 Cefuroxime ND 1/C11_02.tif "/>
    <s v=" 1146.3844 "/>
    <s v=" 65.0566 "/>
    <x v="0"/>
    <n v="74580"/>
    <m/>
    <m/>
    <m/>
  </r>
  <r>
    <x v="11"/>
    <x v="2"/>
    <s v="F:\images\20210226\plaque 1/@11 Cefuroxime ND 1/C11_03.tif "/>
    <s v=" 865.1958 "/>
    <s v=" 63.025 "/>
    <x v="0"/>
    <n v="54529"/>
    <m/>
    <m/>
    <m/>
  </r>
  <r>
    <x v="11"/>
    <x v="3"/>
    <s v="F:\images\20210226\plaque 1/@11 Cefuroxime ND 1/D11_01.tif "/>
    <s v=" 973.3453 "/>
    <s v=" 68.5778 "/>
    <x v="0"/>
    <n v="66750"/>
    <m/>
    <m/>
    <m/>
  </r>
  <r>
    <x v="11"/>
    <x v="3"/>
    <s v="F:\images\20210226\plaque 1/@11 Cefuroxime ND 1/D11_02.tif "/>
    <s v=" 843.5659 "/>
    <s v=" 63.3846 "/>
    <x v="0"/>
    <n v="53469"/>
    <m/>
    <m/>
    <m/>
  </r>
  <r>
    <x v="11"/>
    <x v="3"/>
    <s v="F:\images\20210226\plaque 1/@11 Cefuroxime ND 1/D11_03- exclu.tif"/>
    <m/>
    <m/>
    <x v="1"/>
    <m/>
    <m/>
    <m/>
    <m/>
  </r>
  <r>
    <x v="11"/>
    <x v="4"/>
    <s v="F:\images\20210226\plaque 1/@11 Cefuroxime ND 1/E11_01.tif "/>
    <s v=" 2206.2493 "/>
    <s v=" 67.5392 "/>
    <x v="0"/>
    <n v="149008"/>
    <m/>
    <m/>
    <m/>
  </r>
  <r>
    <x v="11"/>
    <x v="4"/>
    <s v="F:\images\20210226\plaque 1/@11 Cefuroxime ND 1/E11_02.tif "/>
    <s v=" 1297.7937 "/>
    <s v=" 67.2667 "/>
    <x v="0"/>
    <n v="87298"/>
    <m/>
    <m/>
    <m/>
  </r>
  <r>
    <x v="11"/>
    <x v="4"/>
    <s v="F:\images\20210226\plaque 1/@11 Cefuroxime ND 1/E11_03.tif "/>
    <s v=" 2941.6657 "/>
    <s v=" 65.7206 "/>
    <x v="0"/>
    <n v="193328"/>
    <m/>
    <m/>
    <m/>
  </r>
  <r>
    <x v="11"/>
    <x v="5"/>
    <s v="F:\images\20210226\plaque 1/@11 Cefuroxime ND 1/F11_01- exclu.tif"/>
    <m/>
    <m/>
    <x v="1"/>
    <m/>
    <m/>
    <m/>
    <m/>
  </r>
  <r>
    <x v="11"/>
    <x v="5"/>
    <s v="F:\images\20210226\plaque 1/@11 Cefuroxime ND 1/F11_02- exclu.tif"/>
    <m/>
    <m/>
    <x v="1"/>
    <m/>
    <m/>
    <m/>
    <m/>
  </r>
  <r>
    <x v="11"/>
    <x v="5"/>
    <s v="F:\images\20210226\plaque 1/@11 Cefuroxime ND 1/F11_03- exclu.tif"/>
    <m/>
    <m/>
    <x v="1"/>
    <m/>
    <m/>
    <m/>
    <m/>
  </r>
  <r>
    <x v="11"/>
    <x v="6"/>
    <s v="F:\images\20210226\plaque 1/@11 Cefuroxime ND 1/G11_01.tif "/>
    <s v=" 757.0463 "/>
    <s v=" 62.6571 "/>
    <x v="0"/>
    <n v="47434"/>
    <m/>
    <m/>
    <m/>
  </r>
  <r>
    <x v="11"/>
    <x v="6"/>
    <s v="F:\images\20210226\plaque 1/@11 Cefuroxime ND 1/G11_02- exclu.tif"/>
    <m/>
    <m/>
    <x v="1"/>
    <m/>
    <m/>
    <m/>
    <m/>
  </r>
  <r>
    <x v="11"/>
    <x v="6"/>
    <s v="F:\images\20210226\plaque 1/@11 Cefuroxime ND 1/G11_03- exclu.tif"/>
    <m/>
    <m/>
    <x v="1"/>
    <m/>
    <m/>
    <m/>
    <m/>
  </r>
  <r>
    <x v="11"/>
    <x v="7"/>
    <s v="F:\images\20210226\plaque 1/@11 Cefuroxime ND 1/H11_01.tif "/>
    <s v=" 4455.7583 "/>
    <s v=" 65.7379 "/>
    <x v="0"/>
    <n v="292912"/>
    <m/>
    <m/>
    <m/>
  </r>
  <r>
    <x v="11"/>
    <x v="7"/>
    <s v="F:\images\20210226\plaque 1/@11 Cefuroxime ND 1/H11_02.tif "/>
    <s v=" 757.0463 "/>
    <s v=" 65.6 "/>
    <x v="0"/>
    <n v="49662"/>
    <m/>
    <m/>
    <m/>
  </r>
  <r>
    <x v="11"/>
    <x v="7"/>
    <s v="F:\images\20210226\plaque 1/@11 Cefuroxime ND 1/H11_03.tif "/>
    <s v=" 302.8185 "/>
    <s v=" 62.7857 "/>
    <x v="0"/>
    <n v="19013"/>
    <m/>
    <m/>
    <m/>
  </r>
  <r>
    <x v="1"/>
    <x v="8"/>
    <s v=" "/>
    <m/>
    <m/>
    <x v="1"/>
    <m/>
    <m/>
    <m/>
    <m/>
  </r>
  <r>
    <x v="1"/>
    <x v="8"/>
    <s v="group "/>
    <s v=" "/>
    <s v=" mean of mean fluo "/>
    <x v="2"/>
    <s v=" mean of total fluo "/>
    <s v=" SD total fluo "/>
    <s v=" n fluorescent "/>
    <s v=" n total"/>
  </r>
  <r>
    <x v="11"/>
    <x v="9"/>
    <s v="F:\images\20210226\plaque 1/@11 Cefuroxime ND 1/ "/>
    <s v=" "/>
    <s v=" 65.1588 "/>
    <x v="13"/>
    <s v=" 124146.583 "/>
    <s v=" 119622.9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226\plaque 1/@12 Cefuroxime ND 10/A12_01.tif "/>
    <s v=" 4931.616 "/>
    <s v=" 69.4518 "/>
    <x v="0"/>
    <n v="342509"/>
    <m/>
    <m/>
    <m/>
  </r>
  <r>
    <x v="12"/>
    <x v="0"/>
    <s v="F:\images\20210226\plaque 1/@12 Cefuroxime ND 10/A12_02.tif "/>
    <s v=" 4477.3882 "/>
    <s v=" 69.4203 "/>
    <x v="0"/>
    <n v="310822"/>
    <m/>
    <m/>
    <m/>
  </r>
  <r>
    <x v="12"/>
    <x v="0"/>
    <s v="F:\images\20210226\plaque 1/@12 Cefuroxime ND 10/A12_03- exclu.tif"/>
    <m/>
    <m/>
    <x v="1"/>
    <m/>
    <m/>
    <m/>
    <m/>
  </r>
  <r>
    <x v="12"/>
    <x v="1"/>
    <s v="F:\images\20210226\plaque 1/@12 Cefuroxime ND 10/B12_01.tif "/>
    <s v=" 151.4093 "/>
    <s v=" 62.2857 "/>
    <x v="0"/>
    <n v="9431"/>
    <m/>
    <m/>
    <m/>
  </r>
  <r>
    <x v="12"/>
    <x v="1"/>
    <s v="F:\images\20210226\plaque 1/@12 Cefuroxime ND 10/B12_02.tif "/>
    <s v=" 692.1566 "/>
    <s v=" 65.3438 "/>
    <x v="0"/>
    <n v="45228"/>
    <m/>
    <m/>
    <m/>
  </r>
  <r>
    <x v="12"/>
    <x v="1"/>
    <s v="F:\images\20210226\plaque 1/@12 Cefuroxime ND 10/B12_03- exclu.tif"/>
    <m/>
    <m/>
    <x v="1"/>
    <m/>
    <m/>
    <m/>
    <m/>
  </r>
  <r>
    <x v="12"/>
    <x v="2"/>
    <s v="F:\images\20210226\plaque 1/@12 Cefuroxime ND 10/C12_01.tif "/>
    <s v=" 3958.2707 "/>
    <s v=" 65.3934 "/>
    <x v="0"/>
    <n v="258845"/>
    <m/>
    <m/>
    <m/>
  </r>
  <r>
    <x v="12"/>
    <x v="2"/>
    <s v="F:\images\20210226\plaque 1/@12 Cefuroxime ND 10/C12_02.tif "/>
    <s v=" 1146.3844 "/>
    <s v=" 65.3962 "/>
    <x v="0"/>
    <n v="74969"/>
    <m/>
    <m/>
    <m/>
  </r>
  <r>
    <x v="12"/>
    <x v="2"/>
    <s v="F:\images\20210226\plaque 1/@12 Cefuroxime ND 10/C12_03.tif "/>
    <s v=" 1384.3133 "/>
    <s v=" 64.3438 "/>
    <x v="0"/>
    <n v="89072"/>
    <m/>
    <m/>
    <m/>
  </r>
  <r>
    <x v="12"/>
    <x v="3"/>
    <s v="F:\images\20210226\plaque 1/@12 Cefuroxime ND 10/D12_01.tif "/>
    <s v=" 5775.1819 "/>
    <s v=" 74.9775 "/>
    <x v="0"/>
    <n v="433009"/>
    <m/>
    <m/>
    <m/>
  </r>
  <r>
    <x v="12"/>
    <x v="3"/>
    <s v="F:\images\20210226\plaque 1/@12 Cefuroxime ND 10/D12_02.tif "/>
    <s v=" 497.4876 "/>
    <s v=" 62.4348 "/>
    <x v="0"/>
    <n v="31061"/>
    <m/>
    <m/>
    <m/>
  </r>
  <r>
    <x v="12"/>
    <x v="3"/>
    <s v="F:\images\20210226\plaque 1/@12 Cefuroxime ND 10/D12_03.tif "/>
    <s v=" 497.4876 "/>
    <s v=" 63.1304 "/>
    <x v="0"/>
    <n v="31407"/>
    <m/>
    <m/>
    <m/>
  </r>
  <r>
    <x v="12"/>
    <x v="4"/>
    <s v="F:\images\20210226\plaque 1/@12 Cefuroxime ND 10/E12_01.tif "/>
    <s v=" 1773.6514 "/>
    <s v=" 63.3415 "/>
    <x v="0"/>
    <n v="112346"/>
    <m/>
    <m/>
    <m/>
  </r>
  <r>
    <x v="12"/>
    <x v="4"/>
    <s v="F:\images\20210226\plaque 1/@12 Cefuroxime ND 10/E12_02.tif "/>
    <s v=" 2444.1781 "/>
    <s v=" 64.885 "/>
    <x v="0"/>
    <n v="158590"/>
    <m/>
    <m/>
    <m/>
  </r>
  <r>
    <x v="12"/>
    <x v="4"/>
    <s v="F:\images\20210226\plaque 1/@12 Cefuroxime ND 10/E12_03.tif "/>
    <s v=" 1557.3524 "/>
    <s v=" 64.4306 "/>
    <x v="0"/>
    <n v="100341"/>
    <m/>
    <m/>
    <m/>
  </r>
  <r>
    <x v="12"/>
    <x v="5"/>
    <s v="F:\images\20210226\plaque 1/@12 Cefuroxime ND 10/F12_01.tif "/>
    <s v=" 3331.0038 "/>
    <s v=" 73.7987 "/>
    <x v="0"/>
    <n v="245824"/>
    <m/>
    <m/>
    <m/>
  </r>
  <r>
    <x v="12"/>
    <x v="5"/>
    <s v="F:\images\20210226\plaque 1/@12 Cefuroxime ND 10/F12_02.tif "/>
    <s v=" 930.0855 "/>
    <s v=" 62.9302 "/>
    <x v="0"/>
    <n v="58530"/>
    <m/>
    <m/>
    <m/>
  </r>
  <r>
    <x v="12"/>
    <x v="5"/>
    <s v="F:\images\20210226\plaque 1/@12 Cefuroxime ND 10/F12_03- exclu.tif"/>
    <m/>
    <m/>
    <x v="1"/>
    <m/>
    <m/>
    <m/>
    <m/>
  </r>
  <r>
    <x v="12"/>
    <x v="6"/>
    <s v="F:\images\20210226\plaque 1/@12 Cefuroxime ND 10/G12_01.tif "/>
    <s v=" 1103.1246 "/>
    <s v=" 68.0196 "/>
    <x v="0"/>
    <n v="75034"/>
    <m/>
    <m/>
    <m/>
  </r>
  <r>
    <x v="12"/>
    <x v="6"/>
    <s v="F:\images\20210226\plaque 1/@12 Cefuroxime ND 10/G12_02.tif "/>
    <s v=" 1016.605 "/>
    <s v=" 65.7234 "/>
    <x v="0"/>
    <n v="66815"/>
    <m/>
    <m/>
    <m/>
  </r>
  <r>
    <x v="12"/>
    <x v="6"/>
    <s v="F:\images\20210226\plaque 1/@12 Cefuroxime ND 10/G12_03.tif "/>
    <s v=" 843.5659 "/>
    <s v=" 63.5897 "/>
    <x v="0"/>
    <n v="53642"/>
    <m/>
    <m/>
    <m/>
  </r>
  <r>
    <x v="12"/>
    <x v="7"/>
    <s v="F:\images\20210226\plaque 1/@12 Cefuroxime ND 10/H12_01.tif "/>
    <s v=" 7354.1642 "/>
    <s v=" 71.2971 "/>
    <x v="0"/>
    <n v="524330"/>
    <m/>
    <m/>
    <m/>
  </r>
  <r>
    <x v="12"/>
    <x v="7"/>
    <s v="F:\images\20210226\plaque 1/@12 Cefuroxime ND 10/H12_02.tif "/>
    <s v=" 5667.0324 "/>
    <s v=" 69.4084 "/>
    <x v="0"/>
    <n v="393340"/>
    <m/>
    <m/>
    <m/>
  </r>
  <r>
    <x v="12"/>
    <x v="7"/>
    <s v="F:\images\20210226\plaque 1/@12 Cefuroxime ND 10/H12_03.tif "/>
    <s v=" 2119.7297 "/>
    <s v=" 65.0918 "/>
    <x v="0"/>
    <n v="137977"/>
    <m/>
    <m/>
    <m/>
  </r>
  <r>
    <x v="1"/>
    <x v="8"/>
    <s v=" "/>
    <m/>
    <m/>
    <x v="1"/>
    <m/>
    <m/>
    <m/>
    <m/>
  </r>
  <r>
    <x v="1"/>
    <x v="8"/>
    <s v="group "/>
    <s v=" "/>
    <s v=" mean of mean fluo "/>
    <x v="2"/>
    <s v=" mean of total fluo "/>
    <s v=" SD total fluo "/>
    <s v=" n fluorescent "/>
    <s v=" n total"/>
  </r>
  <r>
    <x v="12"/>
    <x v="9"/>
    <s v="F:\images\20210226\plaque 1/@12 Cefuroxime ND 10/ "/>
    <s v=" "/>
    <s v=" 66.1099 "/>
    <x v="14"/>
    <s v=" 149786.167 "/>
    <s v=" 150594.6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226\plaque 2/@01 Testo 30/A1_01.tif "/>
    <s v=" 55459.0498 "/>
    <s v=" 81.4848 "/>
    <x v="0"/>
    <n v="4519069"/>
    <m/>
    <m/>
    <m/>
  </r>
  <r>
    <x v="13"/>
    <x v="0"/>
    <s v="F:\images\20210226\plaque 2/@01 Testo 30/A1_02.tif "/>
    <s v=" 57578.7795 "/>
    <s v=" 81.929 "/>
    <x v="0"/>
    <n v="4717372"/>
    <m/>
    <m/>
    <m/>
  </r>
  <r>
    <x v="13"/>
    <x v="0"/>
    <s v="F:\images\20210226\plaque 2/@01 Testo 30/A1_03- exclu.tif"/>
    <m/>
    <m/>
    <x v="1"/>
    <m/>
    <m/>
    <m/>
    <m/>
  </r>
  <r>
    <x v="13"/>
    <x v="1"/>
    <s v="F:\images\20210226\plaque 2/@01 Testo 30/B1_01.tif "/>
    <s v=" 39366.4082 "/>
    <s v=" 74.3319 "/>
    <x v="0"/>
    <n v="2926179"/>
    <m/>
    <m/>
    <m/>
  </r>
  <r>
    <x v="13"/>
    <x v="1"/>
    <s v="F:\images\20210226\plaque 2/@01 Testo 30/B1_02.tif "/>
    <s v=" 34261.7531 "/>
    <s v=" 71.6755 "/>
    <x v="0"/>
    <n v="2455728"/>
    <m/>
    <m/>
    <m/>
  </r>
  <r>
    <x v="13"/>
    <x v="1"/>
    <s v="F:\images\20210226\plaque 2/@01 Testo 30/B1_03.tif "/>
    <s v=" 34521.3118 "/>
    <s v=" 71.6472 "/>
    <x v="0"/>
    <n v="2473357"/>
    <m/>
    <m/>
    <m/>
  </r>
  <r>
    <x v="13"/>
    <x v="2"/>
    <s v="F:\images\20210226\plaque 2/@01 Testo 30/C1_01.tif "/>
    <s v=" 63375.5913 "/>
    <s v=" 79.4239 "/>
    <x v="0"/>
    <n v="5033536"/>
    <m/>
    <m/>
    <m/>
  </r>
  <r>
    <x v="13"/>
    <x v="2"/>
    <s v="F:\images\20210226\plaque 2/@01 Testo 30/C1_02.tif "/>
    <s v=" 62921.3635 "/>
    <s v=" 81.8797 "/>
    <x v="0"/>
    <n v="5151981"/>
    <m/>
    <m/>
    <m/>
  </r>
  <r>
    <x v="13"/>
    <x v="2"/>
    <s v="F:\images\20210226\plaque 2/@01 Testo 30/C1_03.tif "/>
    <s v=" 59525.47 "/>
    <s v=" 78.568 "/>
    <x v="0"/>
    <n v="4676794"/>
    <m/>
    <m/>
    <m/>
  </r>
  <r>
    <x v="13"/>
    <x v="3"/>
    <s v="F:\images\20210226\plaque 2/@01 Testo 30/D1_01.tif "/>
    <s v=" 32444.8419 "/>
    <s v=" 73.6247 "/>
    <x v="0"/>
    <n v="2388741"/>
    <m/>
    <m/>
    <m/>
  </r>
  <r>
    <x v="13"/>
    <x v="3"/>
    <s v="F:\images\20210226\plaque 2/@01 Testo 30/D1_02.tif "/>
    <s v=" 26907.5889 "/>
    <s v=" 74.3055 "/>
    <x v="0"/>
    <n v="1999381"/>
    <m/>
    <m/>
    <m/>
  </r>
  <r>
    <x v="13"/>
    <x v="3"/>
    <s v="F:\images\20210226\plaque 2/@01 Testo 30/D1_03.tif "/>
    <s v=" 18688.229 "/>
    <s v=" 75.2361 "/>
    <x v="0"/>
    <n v="1406030"/>
    <m/>
    <m/>
    <m/>
  </r>
  <r>
    <x v="13"/>
    <x v="4"/>
    <s v="F:\images\20210226\plaque 2/@01 Testo 30/E1_01.tif "/>
    <s v=" 72589.9264 "/>
    <s v=" 76.4657 "/>
    <x v="0"/>
    <n v="5550642"/>
    <m/>
    <m/>
    <m/>
  </r>
  <r>
    <x v="13"/>
    <x v="4"/>
    <s v="F:\images\20210226\plaque 2/@01 Testo 30/E1_02- exclu.tif"/>
    <m/>
    <m/>
    <x v="1"/>
    <m/>
    <m/>
    <m/>
    <m/>
  </r>
  <r>
    <x v="13"/>
    <x v="4"/>
    <s v="F:\images\20210226\plaque 2/@01 Testo 30/E1_03.tif "/>
    <s v=" 70275.5276 "/>
    <s v=" 77.0034 "/>
    <x v="0"/>
    <n v="5411454"/>
    <m/>
    <m/>
    <m/>
  </r>
  <r>
    <x v="13"/>
    <x v="5"/>
    <s v="F:\images\20210226\plaque 2/@01 Testo 30/F1_01.tif "/>
    <s v=" 7202.7549 "/>
    <s v=" 65.1471 "/>
    <x v="0"/>
    <n v="469239"/>
    <m/>
    <m/>
    <m/>
  </r>
  <r>
    <x v="13"/>
    <x v="5"/>
    <s v="F:\images\20210226\plaque 2/@01 Testo 30/F1_02.tif "/>
    <s v=" 6078.0004 "/>
    <s v=" 65.6192 "/>
    <x v="0"/>
    <n v="398834"/>
    <m/>
    <m/>
    <m/>
  </r>
  <r>
    <x v="13"/>
    <x v="5"/>
    <s v="F:\images\20210226\plaque 2/@01 Testo 30/F1_03.tif "/>
    <s v=" 2271.1389 "/>
    <s v=" 66.1619 "/>
    <x v="0"/>
    <n v="150263"/>
    <m/>
    <m/>
    <m/>
  </r>
  <r>
    <x v="13"/>
    <x v="6"/>
    <s v="F:\images\20210226\plaque 2/@01 Testo 30/G1_01.tif "/>
    <s v=" 38241.6537 "/>
    <s v=" 77.5136 "/>
    <x v="0"/>
    <n v="2964247"/>
    <m/>
    <m/>
    <m/>
  </r>
  <r>
    <x v="13"/>
    <x v="6"/>
    <s v="F:\images\20210226\plaque 2/@01 Testo 30/G1_02.tif "/>
    <s v=" 33742.6356 "/>
    <s v=" 77.8635 "/>
    <x v="0"/>
    <n v="2627318"/>
    <m/>
    <m/>
    <m/>
  </r>
  <r>
    <x v="13"/>
    <x v="6"/>
    <s v="F:\images\20210226\plaque 2/@01 Testo 30/G1_03.tif "/>
    <s v=" 36121.924 "/>
    <s v=" 74.8 "/>
    <x v="0"/>
    <n v="2701920"/>
    <m/>
    <m/>
    <m/>
  </r>
  <r>
    <x v="13"/>
    <x v="7"/>
    <s v="F:\images\20210226\plaque 2/@01 Testo 30/H1_01.tif "/>
    <s v=" 27102.258 "/>
    <s v=" 74.0056 "/>
    <x v="0"/>
    <n v="2005718"/>
    <m/>
    <m/>
    <m/>
  </r>
  <r>
    <x v="13"/>
    <x v="7"/>
    <s v="F:\images\20210226\plaque 2/@01 Testo 30/H1_02.tif "/>
    <s v=" 29676.2154 "/>
    <s v=" 70.7478 "/>
    <x v="0"/>
    <n v="2099527"/>
    <m/>
    <m/>
    <m/>
  </r>
  <r>
    <x v="13"/>
    <x v="7"/>
    <s v="F:\images\20210226\plaque 2/@01 Testo 30/H1_03.tif "/>
    <s v=" 25696.3148 "/>
    <s v=" 69.7845 "/>
    <x v="0"/>
    <n v="1793205"/>
    <m/>
    <m/>
    <m/>
  </r>
  <r>
    <x v="1"/>
    <x v="8"/>
    <s v=" "/>
    <m/>
    <m/>
    <x v="1"/>
    <m/>
    <m/>
    <m/>
    <m/>
  </r>
  <r>
    <x v="1"/>
    <x v="8"/>
    <s v="group "/>
    <s v=" "/>
    <s v=" mean of mean fluo "/>
    <x v="2"/>
    <s v=" mean of total fluo "/>
    <s v=" SD total fluo "/>
    <s v=" n fluorescent "/>
    <s v=" n total"/>
  </r>
  <r>
    <x v="13"/>
    <x v="9"/>
    <s v="F:\images\20210226\plaque 2/@01 Testo 30/ "/>
    <s v=" "/>
    <s v=" 73.9097 "/>
    <x v="15"/>
    <s v=" 2896706.12 "/>
    <s v=" 1597141.5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226\plaque 2/@02 Testo 30/A2_01.tif "/>
    <s v=" 12804.8976 "/>
    <s v=" 65.6976 "/>
    <x v="0"/>
    <n v="841251"/>
    <m/>
    <m/>
    <m/>
  </r>
  <r>
    <x v="14"/>
    <x v="0"/>
    <s v="F:\images\20210226\plaque 2/@02 Testo 30/A2_02.tif "/>
    <s v=" 15487.0046 "/>
    <s v=" 67.1955 "/>
    <x v="0"/>
    <n v="1040657"/>
    <m/>
    <m/>
    <m/>
  </r>
  <r>
    <x v="14"/>
    <x v="0"/>
    <s v="F:\images\20210226\plaque 2/@02 Testo 30/A2_03.tif "/>
    <s v=" 11982.9616 "/>
    <s v=" 65.769 "/>
    <x v="0"/>
    <n v="788107"/>
    <m/>
    <m/>
    <m/>
  </r>
  <r>
    <x v="14"/>
    <x v="1"/>
    <s v="F:\images\20210226\plaque 2/@02 Testo 30/B2_01.tif "/>
    <s v=" 47499.2486 "/>
    <s v=" 84.3342 "/>
    <x v="0"/>
    <n v="4005813"/>
    <m/>
    <m/>
    <m/>
  </r>
  <r>
    <x v="14"/>
    <x v="1"/>
    <s v="F:\images\20210226\plaque 2/@02 Testo 30/B2_02.tif "/>
    <s v=" 41961.9956 "/>
    <s v=" 81.3624 "/>
    <x v="0"/>
    <n v="3414127"/>
    <m/>
    <m/>
    <m/>
  </r>
  <r>
    <x v="14"/>
    <x v="1"/>
    <s v="F:\images\20210226\plaque 2/@02 Testo 30/B2_03.tif "/>
    <s v=" 46958.5012 "/>
    <s v=" 83.4146 "/>
    <x v="0"/>
    <n v="3917023"/>
    <m/>
    <m/>
    <m/>
  </r>
  <r>
    <x v="14"/>
    <x v="2"/>
    <s v="F:\images\20210226\plaque 2/@02 Testo 30/C2_01.tif "/>
    <s v=" 33245.148 "/>
    <s v=" 81.0202 "/>
    <x v="0"/>
    <n v="2693528"/>
    <m/>
    <m/>
    <m/>
  </r>
  <r>
    <x v="14"/>
    <x v="2"/>
    <s v="F:\images\20210226\plaque 2/@02 Testo 30/C2_02.tif "/>
    <s v=" 32423.212 "/>
    <s v=" 79.0534 "/>
    <x v="0"/>
    <n v="2563164"/>
    <m/>
    <m/>
    <m/>
  </r>
  <r>
    <x v="14"/>
    <x v="2"/>
    <s v="F:\images\20210226\plaque 2/@02 Testo 30/C2_03- exclu.tif"/>
    <m/>
    <m/>
    <x v="1"/>
    <m/>
    <m/>
    <m/>
    <m/>
  </r>
  <r>
    <x v="14"/>
    <x v="3"/>
    <s v="F:\images\20210226\plaque 2/@02 Testo 30/D2_01.tif "/>
    <s v=" 10512.1288 "/>
    <s v=" 65.4156 "/>
    <x v="0"/>
    <n v="687658"/>
    <m/>
    <m/>
    <m/>
  </r>
  <r>
    <x v="14"/>
    <x v="3"/>
    <s v="F:\images\20210226\plaque 2/@02 Testo 30/D2_02.tif "/>
    <s v=" 10447.2391 "/>
    <s v=" 66.4431 "/>
    <x v="0"/>
    <n v="694147"/>
    <m/>
    <m/>
    <m/>
  </r>
  <r>
    <x v="14"/>
    <x v="3"/>
    <s v="F:\images\20210226\plaque 2/@02 Testo 30/D2_03.tif "/>
    <s v=" 7137.8652 "/>
    <s v=" 64.5273 "/>
    <x v="0"/>
    <n v="460587"/>
    <m/>
    <m/>
    <m/>
  </r>
  <r>
    <x v="14"/>
    <x v="4"/>
    <s v="F:\images\20210226\plaque 2/@02 Testo 30/E2_01.tif "/>
    <s v=" 28832.6495 "/>
    <s v=" 69.6002 "/>
    <x v="0"/>
    <n v="2006757"/>
    <m/>
    <m/>
    <m/>
  </r>
  <r>
    <x v="14"/>
    <x v="4"/>
    <s v="F:\images\20210226\plaque 2/@02 Testo 30/E2_02.tif "/>
    <s v=" 23641.4748 "/>
    <s v=" 67.8527 "/>
    <x v="0"/>
    <n v="1604138"/>
    <m/>
    <m/>
    <m/>
  </r>
  <r>
    <x v="14"/>
    <x v="4"/>
    <s v="F:\images\20210226\plaque 2/@02 Testo 30/E2_03.tif "/>
    <s v=" 24571.5603 "/>
    <s v=" 68.4842 "/>
    <x v="0"/>
    <n v="1682763"/>
    <m/>
    <m/>
    <m/>
  </r>
  <r>
    <x v="14"/>
    <x v="5"/>
    <s v="F:\images\20210226\plaque 2/@02 Testo 30/F2_01.tif "/>
    <s v=" 32769.2904 "/>
    <s v=" 73.837 "/>
    <x v="0"/>
    <n v="2419585"/>
    <m/>
    <m/>
    <m/>
  </r>
  <r>
    <x v="14"/>
    <x v="5"/>
    <s v="F:\images\20210226\plaque 2/@02 Testo 30/F2_02.tif "/>
    <s v=" 38847.2908 "/>
    <s v=" 75.5189 "/>
    <x v="0"/>
    <n v="2933706"/>
    <m/>
    <m/>
    <m/>
  </r>
  <r>
    <x v="14"/>
    <x v="5"/>
    <s v="F:\images\20210226\plaque 2/@02 Testo 30/F2_03.tif "/>
    <s v=" 39474.5577 "/>
    <s v=" 74.04 "/>
    <x v="0"/>
    <n v="2922696"/>
    <m/>
    <m/>
    <m/>
  </r>
  <r>
    <x v="14"/>
    <x v="6"/>
    <s v="F:\images\20210226\plaque 2/@02 Testo 30/G2_01.tif "/>
    <s v=" 35797.4756 "/>
    <s v=" 73.6054 "/>
    <x v="0"/>
    <n v="2634889"/>
    <m/>
    <m/>
    <m/>
  </r>
  <r>
    <x v="14"/>
    <x v="6"/>
    <s v="F:\images\20210226\plaque 2/@02 Testo 30/G2_02.tif "/>
    <s v=" 41140.0596 "/>
    <s v=" 73.143 "/>
    <x v="0"/>
    <n v="3009108"/>
    <m/>
    <m/>
    <m/>
  </r>
  <r>
    <x v="14"/>
    <x v="6"/>
    <s v="F:\images\20210226\plaque 2/@02 Testo 30/G2_03.tif "/>
    <s v=" 38220.0238 "/>
    <s v=" 73.5722 "/>
    <x v="0"/>
    <n v="2811930"/>
    <m/>
    <m/>
    <m/>
  </r>
  <r>
    <x v="14"/>
    <x v="7"/>
    <s v="F:\images\20210226\plaque 2/@02 Testo 30/H2_01.tif "/>
    <s v=" 1968.3204 "/>
    <s v=" 63.5714 "/>
    <x v="0"/>
    <n v="125129"/>
    <m/>
    <m/>
    <m/>
  </r>
  <r>
    <x v="14"/>
    <x v="7"/>
    <s v="F:\images\20210226\plaque 2/@02 Testo 30/H2_02.tif "/>
    <s v=" 3504.0429 "/>
    <s v=" 63.7407 "/>
    <x v="0"/>
    <n v="223350"/>
    <m/>
    <m/>
    <m/>
  </r>
  <r>
    <x v="14"/>
    <x v="7"/>
    <s v="F:\images\20210226\plaque 2/@02 Testo 30/H2_03.tif "/>
    <s v=" 2725.3667 "/>
    <s v=" 64.1032 "/>
    <x v="0"/>
    <n v="174705"/>
    <m/>
    <m/>
    <m/>
  </r>
  <r>
    <x v="1"/>
    <x v="8"/>
    <s v=" "/>
    <m/>
    <m/>
    <x v="1"/>
    <m/>
    <m/>
    <m/>
    <m/>
  </r>
  <r>
    <x v="1"/>
    <x v="8"/>
    <s v="group "/>
    <s v=" "/>
    <s v=" mean of mean fluo "/>
    <x v="2"/>
    <s v=" mean of total fluo "/>
    <s v=" SD total fluo "/>
    <s v=" n fluorescent "/>
    <s v=" n total"/>
  </r>
  <r>
    <x v="14"/>
    <x v="9"/>
    <s v="F:\images\20210226\plaque 2/@02 Testo 30/ "/>
    <s v=" "/>
    <s v=" 71.8569 "/>
    <x v="16"/>
    <s v=" 1917889.5 "/>
    <s v=" 1220195.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226\plaque 2/@03 Testo + E2/A3_01- exclu.tif"/>
    <m/>
    <m/>
    <x v="1"/>
    <m/>
    <m/>
    <m/>
    <m/>
  </r>
  <r>
    <x v="15"/>
    <x v="0"/>
    <s v="F:\images\20210226\plaque 2/@03 Testo + E2/A3_02.tif "/>
    <s v=" 24787.8592 "/>
    <s v=" 73.3019 "/>
    <x v="0"/>
    <n v="1816998"/>
    <m/>
    <m/>
    <m/>
  </r>
  <r>
    <x v="15"/>
    <x v="0"/>
    <s v="F:\images\20210226\plaque 2/@03 Testo + E2/A3_03.tif "/>
    <s v=" 21867.8235 "/>
    <s v=" 73.2957 "/>
    <x v="0"/>
    <n v="1602818"/>
    <m/>
    <m/>
    <m/>
  </r>
  <r>
    <x v="15"/>
    <x v="1"/>
    <s v="F:\images\20210226\plaque 2/@03 Testo + E2/B3_01- exclu.tif"/>
    <m/>
    <m/>
    <x v="1"/>
    <m/>
    <m/>
    <m/>
    <m/>
  </r>
  <r>
    <x v="15"/>
    <x v="1"/>
    <s v="F:\images\20210226\plaque 2/@03 Testo + E2/B3_02.tif "/>
    <s v=" 20591.6597 "/>
    <s v=" 72.6166 "/>
    <x v="0"/>
    <n v="1495296"/>
    <m/>
    <m/>
    <m/>
  </r>
  <r>
    <x v="15"/>
    <x v="1"/>
    <s v="F:\images\20210226\plaque 2/@03 Testo + E2/B3_03.tif "/>
    <s v=" 15357.2252 "/>
    <s v=" 71.0901 "/>
    <x v="0"/>
    <n v="1091747"/>
    <m/>
    <m/>
    <m/>
  </r>
  <r>
    <x v="15"/>
    <x v="2"/>
    <s v="F:\images\20210226\plaque 2/@03 Testo + E2/C3_01.tif "/>
    <s v=" 58033.0073 "/>
    <s v=" 80.8736 "/>
    <x v="0"/>
    <n v="4693341"/>
    <m/>
    <m/>
    <m/>
  </r>
  <r>
    <x v="15"/>
    <x v="2"/>
    <s v="F:\images\20210226\plaque 2/@03 Testo + E2/C3_02.tif "/>
    <s v=" 56086.3168 "/>
    <s v=" 81.0544 "/>
    <x v="0"/>
    <n v="4546041"/>
    <m/>
    <m/>
    <m/>
  </r>
  <r>
    <x v="15"/>
    <x v="2"/>
    <s v="F:\images\20210226\plaque 2/@03 Testo + E2/C3_03.tif "/>
    <s v=" 50657.2132 "/>
    <s v=" 78.4257 "/>
    <x v="0"/>
    <n v="3972828"/>
    <m/>
    <m/>
    <m/>
  </r>
  <r>
    <x v="15"/>
    <x v="3"/>
    <s v="F:\images\20210226\plaque 2/@03 Testo + E2/D3_01.tif "/>
    <s v=" 58249.3062 "/>
    <s v=" 86.4987 "/>
    <x v="0"/>
    <n v="5038489"/>
    <m/>
    <m/>
    <m/>
  </r>
  <r>
    <x v="15"/>
    <x v="3"/>
    <s v="F:\images\20210226\plaque 2/@03 Testo + E2/D3_02.tif "/>
    <s v=" 51003.2915 "/>
    <s v=" 90.4669 "/>
    <x v="0"/>
    <n v="4614111"/>
    <m/>
    <m/>
    <m/>
  </r>
  <r>
    <x v="15"/>
    <x v="3"/>
    <s v="F:\images\20210226\plaque 2/@03 Testo + E2/D3_03.tif "/>
    <s v=" 58011.3774 "/>
    <s v=" 85.3706 "/>
    <x v="0"/>
    <n v="4952467"/>
    <m/>
    <m/>
    <m/>
  </r>
  <r>
    <x v="15"/>
    <x v="4"/>
    <s v="F:\images\20210226\plaque 2/@03 Testo + E2/E3_01.tif "/>
    <s v=" 32228.543 "/>
    <s v=" 75.4503 "/>
    <x v="0"/>
    <n v="2431654"/>
    <m/>
    <m/>
    <m/>
  </r>
  <r>
    <x v="15"/>
    <x v="4"/>
    <s v="F:\images\20210226\plaque 2/@03 Testo + E2/E3_02.tif "/>
    <s v=" 31817.575 "/>
    <s v=" 73.7111 "/>
    <x v="0"/>
    <n v="2345308"/>
    <m/>
    <m/>
    <m/>
  </r>
  <r>
    <x v="15"/>
    <x v="4"/>
    <s v="F:\images\20210226\plaque 2/@03 Testo + E2/E3_03.tif "/>
    <s v=" 31536.3864 "/>
    <s v=" 73.8951 "/>
    <x v="0"/>
    <n v="2330383"/>
    <m/>
    <m/>
    <m/>
  </r>
  <r>
    <x v="15"/>
    <x v="5"/>
    <s v="F:\images\20210226\plaque 2/@03 Testo + E2/F3_01.tif "/>
    <s v=" 62034.5378 "/>
    <s v=" 82.1315 "/>
    <x v="0"/>
    <n v="5094987"/>
    <m/>
    <m/>
    <m/>
  </r>
  <r>
    <x v="15"/>
    <x v="5"/>
    <s v="F:\images\20210226\plaque 2/@03 Testo + E2/F3_02.tif "/>
    <s v=" 65884.659 "/>
    <s v=" 79.7705 "/>
    <x v="0"/>
    <n v="5255653"/>
    <m/>
    <m/>
    <m/>
  </r>
  <r>
    <x v="15"/>
    <x v="5"/>
    <s v="F:\images\20210226\plaque 2/@03 Testo + E2/F3_03.tif "/>
    <s v=" 61147.7121 "/>
    <s v=" 81.1036 "/>
    <x v="0"/>
    <n v="4959302"/>
    <m/>
    <m/>
    <m/>
  </r>
  <r>
    <x v="15"/>
    <x v="6"/>
    <s v="F:\images\20210226\plaque 2/@03 Testo + E2/G3_01.tif "/>
    <s v=" 29935.7742 "/>
    <s v=" 83.4718 "/>
    <x v="0"/>
    <n v="2498794"/>
    <m/>
    <m/>
    <m/>
  </r>
  <r>
    <x v="15"/>
    <x v="6"/>
    <s v="F:\images\20210226\plaque 2/@03 Testo + E2/G3_02.tif "/>
    <s v=" 33483.0769 "/>
    <s v=" 85.7132 "/>
    <x v="0"/>
    <n v="2869941"/>
    <m/>
    <m/>
    <m/>
  </r>
  <r>
    <x v="15"/>
    <x v="6"/>
    <s v="F:\images\20210226\plaque 2/@03 Testo + E2/G3_03.tif "/>
    <s v=" 30887.4895 "/>
    <s v=" 85.5182 "/>
    <x v="0"/>
    <n v="2641443"/>
    <m/>
    <m/>
    <m/>
  </r>
  <r>
    <x v="15"/>
    <x v="7"/>
    <s v="F:\images\20210226\plaque 2/@03 Testo + E2/H3_01.tif "/>
    <s v=" 35883.9952 "/>
    <s v=" 80.4346 "/>
    <x v="0"/>
    <n v="2886315"/>
    <m/>
    <m/>
    <m/>
  </r>
  <r>
    <x v="15"/>
    <x v="7"/>
    <s v="F:\images\20210226\plaque 2/@03 Testo + E2/H3_02.tif "/>
    <s v=" 37506.2373 "/>
    <s v=" 84.6834 "/>
    <x v="0"/>
    <n v="3176155"/>
    <m/>
    <m/>
    <m/>
  </r>
  <r>
    <x v="15"/>
    <x v="7"/>
    <s v="F:\images\20210226\plaque 2/@03 Testo + E2/H3_03.tif "/>
    <s v=" 38609.3619 "/>
    <s v=" 81.9513 "/>
    <x v="0"/>
    <n v="3164086"/>
    <m/>
    <m/>
    <m/>
  </r>
  <r>
    <x v="1"/>
    <x v="8"/>
    <s v=" "/>
    <m/>
    <m/>
    <x v="1"/>
    <m/>
    <m/>
    <m/>
    <m/>
  </r>
  <r>
    <x v="1"/>
    <x v="8"/>
    <s v="group "/>
    <s v=" "/>
    <s v=" mean of mean fluo "/>
    <x v="2"/>
    <s v=" mean of total fluo "/>
    <s v=" SD total fluo "/>
    <s v=" n fluorescent "/>
    <s v=" n total"/>
  </r>
  <r>
    <x v="15"/>
    <x v="9"/>
    <s v="F:\images\20210226\plaque 2/@03 Testo + E2/ "/>
    <s v=" "/>
    <s v=" 79.1265 "/>
    <x v="17"/>
    <s v=" 3110984.42 "/>
    <s v=" 1513013.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226\plaque 2/@04 Testo + FAD/A4_01.tif "/>
    <s v=" 6164.52 "/>
    <s v=" 71.1439 "/>
    <x v="0"/>
    <n v="438568"/>
    <m/>
    <m/>
    <m/>
  </r>
  <r>
    <x v="16"/>
    <x v="0"/>
    <s v="F:\images\20210226\plaque 2/@04 Testo + FAD/A4_02.tif "/>
    <s v=" 8803.3671 "/>
    <s v=" 69.4619 "/>
    <x v="0"/>
    <n v="611499"/>
    <m/>
    <m/>
    <m/>
  </r>
  <r>
    <x v="16"/>
    <x v="0"/>
    <s v="F:\images\20210226\plaque 2/@04 Testo + FAD/A4_03.tif "/>
    <s v=" 8824.997 "/>
    <s v=" 69.6201 "/>
    <x v="0"/>
    <n v="614397"/>
    <m/>
    <m/>
    <m/>
  </r>
  <r>
    <x v="16"/>
    <x v="1"/>
    <s v="F:\images\20210226\plaque 2/@04 Testo + FAD/B4_01.tif "/>
    <s v=" 1968.3204 "/>
    <s v=" 64.2527 "/>
    <x v="0"/>
    <n v="126470"/>
    <m/>
    <m/>
    <m/>
  </r>
  <r>
    <x v="16"/>
    <x v="1"/>
    <s v="F:\images\20210226\plaque 2/@04 Testo + FAD/B4_02.tif "/>
    <s v=" 735.4164 "/>
    <s v=" 64.9118 "/>
    <x v="0"/>
    <n v="47737"/>
    <m/>
    <m/>
    <m/>
  </r>
  <r>
    <x v="16"/>
    <x v="1"/>
    <s v="F:\images\20210226\plaque 2/@04 Testo + FAD/B4_03.tif "/>
    <s v=" 3222.8543 "/>
    <s v=" 67.9597 "/>
    <x v="0"/>
    <n v="219024"/>
    <m/>
    <m/>
    <m/>
  </r>
  <r>
    <x v="16"/>
    <x v="2"/>
    <s v="F:\images\20210226\plaque 2/@04 Testo + FAD/C4_01.tif "/>
    <s v=" 2184.6194 "/>
    <s v=" 67.802 "/>
    <x v="0"/>
    <n v="148122"/>
    <m/>
    <m/>
    <m/>
  </r>
  <r>
    <x v="16"/>
    <x v="2"/>
    <s v="F:\images\20210226\plaque 2/@04 Testo + FAD/C4_02.tif "/>
    <s v=" 1276.1638 "/>
    <s v=" 65.8305 "/>
    <x v="0"/>
    <n v="84011"/>
    <m/>
    <m/>
    <m/>
  </r>
  <r>
    <x v="16"/>
    <x v="2"/>
    <s v="F:\images\20210226\plaque 2/@04 Testo + FAD/C4_03.tif "/>
    <s v=" 757.0463 "/>
    <s v=" 66.2 "/>
    <x v="0"/>
    <n v="50116"/>
    <m/>
    <m/>
    <m/>
  </r>
  <r>
    <x v="16"/>
    <x v="3"/>
    <s v="F:\images\20210226\plaque 2/@04 Testo + FAD/D4_01- exclu.tif"/>
    <m/>
    <m/>
    <x v="1"/>
    <m/>
    <m/>
    <m/>
    <m/>
  </r>
  <r>
    <x v="16"/>
    <x v="3"/>
    <s v="F:\images\20210226\plaque 2/@04 Testo + FAD/D4_02.tif "/>
    <s v=" 6532.2282 "/>
    <s v=" 66.8709 "/>
    <x v="0"/>
    <n v="436816"/>
    <m/>
    <m/>
    <m/>
  </r>
  <r>
    <x v="16"/>
    <x v="3"/>
    <s v="F:\images\20210226\plaque 2/@04 Testo + FAD/D4_03.tif "/>
    <s v=" 7851.6518 "/>
    <s v=" 75.4242 "/>
    <x v="0"/>
    <n v="592205"/>
    <m/>
    <m/>
    <m/>
  </r>
  <r>
    <x v="16"/>
    <x v="4"/>
    <s v="F:\images\20210226\plaque 2/@04 Testo + FAD/E4_01.tif "/>
    <s v=" 4909.9861 "/>
    <s v=" 73.9692 "/>
    <x v="0"/>
    <n v="363188"/>
    <m/>
    <m/>
    <m/>
  </r>
  <r>
    <x v="16"/>
    <x v="4"/>
    <s v="F:\images\20210226\plaque 2/@04 Testo + FAD/E4_02.tif "/>
    <s v=" 3049.8151 "/>
    <s v=" 70.2199 "/>
    <x v="0"/>
    <n v="214158"/>
    <m/>
    <m/>
    <m/>
  </r>
  <r>
    <x v="16"/>
    <x v="4"/>
    <s v="F:\images\20210226\plaque 2/@04 Testo + FAD/E4_03.tif "/>
    <s v=" 4780.2067 "/>
    <s v=" 70.914 "/>
    <x v="0"/>
    <n v="338984"/>
    <m/>
    <m/>
    <m/>
  </r>
  <r>
    <x v="16"/>
    <x v="5"/>
    <s v="F:\images\20210226\plaque 2/@04 Testo + FAD/F4_01.tif "/>
    <s v=" 6034.7406 "/>
    <s v=" 65.7348 "/>
    <x v="0"/>
    <n v="396692"/>
    <m/>
    <m/>
    <m/>
  </r>
  <r>
    <x v="16"/>
    <x v="5"/>
    <s v="F:\images\20210226\plaque 2/@04 Testo + FAD/F4_02.tif "/>
    <s v=" 4088.0501 "/>
    <s v=" 64.7566 "/>
    <x v="0"/>
    <n v="264728"/>
    <m/>
    <m/>
    <m/>
  </r>
  <r>
    <x v="16"/>
    <x v="5"/>
    <s v="F:\images\20210226\plaque 2/@04 Testo + FAD/F4_03.tif "/>
    <s v=" 13172.6058 "/>
    <s v=" 68.4466 "/>
    <x v="0"/>
    <n v="901621"/>
    <m/>
    <m/>
    <m/>
  </r>
  <r>
    <x v="16"/>
    <x v="6"/>
    <s v="F:\images\20210226\plaque 2/@04 Testo + FAD/G4_01.tif "/>
    <s v=" 951.7154 "/>
    <s v=" 62.9773 "/>
    <x v="0"/>
    <n v="59936"/>
    <m/>
    <m/>
    <m/>
  </r>
  <r>
    <x v="16"/>
    <x v="6"/>
    <s v="F:\images\20210226\plaque 2/@04 Testo + FAD/G4_02.tif "/>
    <s v=" 865.1958 "/>
    <s v=" 64.35 "/>
    <x v="0"/>
    <n v="55675"/>
    <m/>
    <m/>
    <m/>
  </r>
  <r>
    <x v="16"/>
    <x v="6"/>
    <s v="F:\images\20210226\plaque 2/@04 Testo + FAD/G4_03.tif "/>
    <s v=" 237.9288 "/>
    <s v=" 63.5455 "/>
    <x v="0"/>
    <n v="15119"/>
    <m/>
    <m/>
    <m/>
  </r>
  <r>
    <x v="16"/>
    <x v="7"/>
    <s v="F:\images\20210226\plaque 2/@04 Testo + FAD/H4_01.tif "/>
    <s v=" 173.0392 "/>
    <s v=" 62.375 "/>
    <x v="0"/>
    <n v="10793"/>
    <m/>
    <m/>
    <m/>
  </r>
  <r>
    <x v="16"/>
    <x v="7"/>
    <s v="F:\images\20210226\plaque 2/@04 Testo + FAD/H4_02.tif "/>
    <s v=" 64.8897 "/>
    <s v=" 65.3333 "/>
    <x v="0"/>
    <n v="4239"/>
    <m/>
    <m/>
    <m/>
  </r>
  <r>
    <x v="16"/>
    <x v="7"/>
    <s v="F:\images\20210226\plaque 2/@04 Testo + FAD/H4_03.tif "/>
    <s v=" 173.0392 "/>
    <s v=" 62.625 "/>
    <x v="0"/>
    <n v="10837"/>
    <m/>
    <m/>
    <m/>
  </r>
  <r>
    <x v="1"/>
    <x v="8"/>
    <s v=" "/>
    <m/>
    <m/>
    <x v="1"/>
    <m/>
    <m/>
    <m/>
    <m/>
  </r>
  <r>
    <x v="1"/>
    <x v="8"/>
    <s v="group "/>
    <s v=" "/>
    <s v=" mean of mean fluo "/>
    <x v="2"/>
    <s v=" mean of total fluo "/>
    <s v=" SD total fluo "/>
    <s v=" n fluorescent "/>
    <s v=" n total"/>
  </r>
  <r>
    <x v="16"/>
    <x v="9"/>
    <s v="F:\images\20210226\plaque 2/@04 Testo + FAD/ "/>
    <s v=" "/>
    <s v=" 67.7969 "/>
    <x v="18"/>
    <s v=" 284143.833 "/>
    <s v=" 267758.5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226\plaque 2/@05 Cefuroxime D 0.001/A5_01.tif "/>
    <s v=" 14989.517 "/>
    <s v=" 68.5801 "/>
    <x v="0"/>
    <n v="1027982"/>
    <m/>
    <m/>
    <m/>
  </r>
  <r>
    <x v="17"/>
    <x v="0"/>
    <s v="F:\images\20210226\plaque 2/@05 Cefuroxime D 0.001/A5_02.tif "/>
    <s v=" 15941.2323 "/>
    <s v=" 69.4003 "/>
    <x v="0"/>
    <n v="1106326"/>
    <m/>
    <m/>
    <m/>
  </r>
  <r>
    <x v="17"/>
    <x v="0"/>
    <s v="F:\images\20210226\plaque 2/@05 Cefuroxime D 0.001/A5_03.tif "/>
    <s v=" 15962.8622 "/>
    <s v=" 68.626 "/>
    <x v="0"/>
    <n v="1095468"/>
    <m/>
    <m/>
    <m/>
  </r>
  <r>
    <x v="17"/>
    <x v="1"/>
    <s v="F:\images\20210226\plaque 2/@05 Cefuroxime D 0.001/B5_01.tif "/>
    <s v=" 22451.8306 "/>
    <s v=" 69.3372 "/>
    <x v="0"/>
    <n v="1556747"/>
    <m/>
    <m/>
    <m/>
  </r>
  <r>
    <x v="17"/>
    <x v="1"/>
    <s v="F:\images\20210226\plaque 2/@05 Cefuroxime D 0.001/B5_02.tif "/>
    <s v=" 18385.4104 "/>
    <s v=" 69.7141 "/>
    <x v="0"/>
    <n v="1281723"/>
    <m/>
    <m/>
    <m/>
  </r>
  <r>
    <x v="17"/>
    <x v="1"/>
    <s v="F:\images\20210226\plaque 2/@05 Cefuroxime D 0.001/B5_03.tif "/>
    <s v=" 22668.1296 "/>
    <s v=" 69.4761 "/>
    <x v="0"/>
    <n v="1574894"/>
    <m/>
    <m/>
    <m/>
  </r>
  <r>
    <x v="17"/>
    <x v="2"/>
    <s v="F:\images\20210226\plaque 2/@05 Cefuroxime D 0.001/C5_01.tif "/>
    <s v=" 20851.2184 "/>
    <s v=" 70.1815 "/>
    <x v="0"/>
    <n v="1463371"/>
    <m/>
    <m/>
    <m/>
  </r>
  <r>
    <x v="17"/>
    <x v="2"/>
    <s v="F:\images\20210226\plaque 2/@05 Cefuroxime D 0.001/C5_02.tif "/>
    <s v=" 23879.4037 "/>
    <s v=" 67.8832 "/>
    <x v="0"/>
    <n v="1621009"/>
    <m/>
    <m/>
    <m/>
  </r>
  <r>
    <x v="17"/>
    <x v="2"/>
    <s v="F:\images\20210226\plaque 2/@05 Cefuroxime D 0.001/C5_03.tif "/>
    <s v=" 23814.514 "/>
    <s v=" 67.1381 "/>
    <x v="0"/>
    <n v="1598860"/>
    <m/>
    <m/>
    <m/>
  </r>
  <r>
    <x v="17"/>
    <x v="3"/>
    <s v="F:\images\20210226\plaque 2/@05 Cefuroxime D 0.001/D5_01.tif "/>
    <s v=" 39799.0061 "/>
    <s v=" 75.2587 "/>
    <x v="0"/>
    <n v="2995221"/>
    <m/>
    <m/>
    <m/>
  </r>
  <r>
    <x v="17"/>
    <x v="3"/>
    <s v="F:\images\20210226\plaque 2/@05 Cefuroxime D 0.001/D5_02.tif "/>
    <s v=" 43908.6861 "/>
    <s v=" 71.7005 "/>
    <x v="0"/>
    <n v="3148274"/>
    <m/>
    <m/>
    <m/>
  </r>
  <r>
    <x v="17"/>
    <x v="3"/>
    <s v="F:\images\20210226\plaque 2/@05 Cefuroxime D 0.001/D5_03.tif "/>
    <s v=" 42502.7429 "/>
    <s v=" 73.4885 "/>
    <x v="0"/>
    <n v="3123465"/>
    <m/>
    <m/>
    <m/>
  </r>
  <r>
    <x v="17"/>
    <x v="4"/>
    <s v="F:\images\20210226\plaque 2/@05 Cefuroxime D 0.001/E5_01.tif "/>
    <s v=" 29568.066 "/>
    <s v=" 71.8478 "/>
    <x v="0"/>
    <n v="2124402"/>
    <m/>
    <m/>
    <m/>
  </r>
  <r>
    <x v="17"/>
    <x v="4"/>
    <s v="F:\images\20210226\plaque 2/@05 Cefuroxime D 0.001/E5_02.tif "/>
    <s v=" 26799.4394 "/>
    <s v=" 70.9128 "/>
    <x v="0"/>
    <n v="1900424"/>
    <m/>
    <m/>
    <m/>
  </r>
  <r>
    <x v="17"/>
    <x v="4"/>
    <s v="F:\images\20210226\plaque 2/@05 Cefuroxime D 0.001/E5_03.tif "/>
    <s v=" 25480.0159 "/>
    <s v=" 71.5289 "/>
    <x v="0"/>
    <n v="1822557"/>
    <m/>
    <m/>
    <m/>
  </r>
  <r>
    <x v="17"/>
    <x v="5"/>
    <s v="F:\images\20210226\plaque 2/@05 Cefuroxime D 0.001/F5_01.tif "/>
    <s v=" 33937.3047 "/>
    <s v=" 70.6705 "/>
    <x v="0"/>
    <n v="2398366"/>
    <m/>
    <m/>
    <m/>
  </r>
  <r>
    <x v="17"/>
    <x v="5"/>
    <s v="F:\images\20210226\plaque 2/@05 Cefuroxime D 0.001/F5_02.tif "/>
    <s v=" 26712.9199 "/>
    <s v=" 69.6097 "/>
    <x v="0"/>
    <n v="1859479"/>
    <m/>
    <m/>
    <m/>
  </r>
  <r>
    <x v="17"/>
    <x v="5"/>
    <s v="F:\images\20210226\plaque 2/@05 Cefuroxime D 0.001/F5_03.tif "/>
    <s v=" 35191.8386 "/>
    <s v=" 69.4229 "/>
    <x v="0"/>
    <n v="2443118"/>
    <m/>
    <m/>
    <m/>
  </r>
  <r>
    <x v="17"/>
    <x v="6"/>
    <s v="F:\images\20210226\plaque 2/@05 Cefuroxime D 0.001/G5_01.tif "/>
    <s v=" 31017.2689 "/>
    <s v=" 72.0439 "/>
    <x v="0"/>
    <n v="2234606"/>
    <m/>
    <m/>
    <m/>
  </r>
  <r>
    <x v="17"/>
    <x v="6"/>
    <s v="F:\images\20210226\plaque 2/@05 Cefuroxime D 0.001/G5_02.tif "/>
    <s v=" 29459.9165 "/>
    <s v=" 72.036 "/>
    <x v="0"/>
    <n v="2122174"/>
    <m/>
    <m/>
    <m/>
  </r>
  <r>
    <x v="17"/>
    <x v="6"/>
    <s v="F:\images\20210226\plaque 2/@05 Cefuroxime D 0.001/G5_03.tif "/>
    <s v=" 27816.0445 "/>
    <s v=" 72.6835 "/>
    <x v="0"/>
    <n v="2021768"/>
    <m/>
    <m/>
    <m/>
  </r>
  <r>
    <x v="17"/>
    <x v="7"/>
    <s v="F:\images\20210226\plaque 2/@05 Cefuroxime D 0.001/H5_01.tif "/>
    <s v=" 9776.7124 "/>
    <s v=" 66.9956 "/>
    <x v="0"/>
    <n v="654996"/>
    <m/>
    <m/>
    <m/>
  </r>
  <r>
    <x v="17"/>
    <x v="7"/>
    <s v="F:\images\20210226\plaque 2/@05 Cefuroxime D 0.001/H5_02.tif "/>
    <s v=" 7440.6838 "/>
    <s v=" 67.0349 "/>
    <x v="0"/>
    <n v="498785"/>
    <m/>
    <m/>
    <m/>
  </r>
  <r>
    <x v="17"/>
    <x v="7"/>
    <s v="F:\images\20210226\plaque 2/@05 Cefuroxime D 0.001/H5_03.tif "/>
    <s v=" 9452.264 "/>
    <s v=" 67.087 "/>
    <x v="0"/>
    <n v="634124"/>
    <m/>
    <m/>
    <m/>
  </r>
  <r>
    <x v="1"/>
    <x v="8"/>
    <s v=" "/>
    <m/>
    <m/>
    <x v="1"/>
    <m/>
    <m/>
    <m/>
    <m/>
  </r>
  <r>
    <x v="1"/>
    <x v="8"/>
    <s v="group "/>
    <s v=" "/>
    <s v=" mean of mean fluo "/>
    <x v="2"/>
    <s v=" mean of total fluo "/>
    <s v=" SD total fluo "/>
    <s v=" n fluorescent "/>
    <s v=" n total"/>
  </r>
  <r>
    <x v="17"/>
    <x v="9"/>
    <s v="F:\images\20210226\plaque 2/@05 Cefuroxime D 0.001/ "/>
    <s v=" "/>
    <s v=" 70.1107 "/>
    <x v="19"/>
    <s v=" 1762839.12 "/>
    <s v=" 743054.0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226\plaque 2/@06 Cefuroxime D 0.01/A6_01.tif "/>
    <s v=" 24420.151 "/>
    <s v=" 69.2073 "/>
    <x v="0"/>
    <n v="1690052"/>
    <m/>
    <m/>
    <m/>
  </r>
  <r>
    <x v="18"/>
    <x v="0"/>
    <s v="F:\images\20210226\plaque 2/@06 Cefuroxime D 0.01/A6_02.tif "/>
    <s v=" 25263.7169 "/>
    <s v=" 70.1567 "/>
    <x v="0"/>
    <n v="1772418"/>
    <m/>
    <m/>
    <m/>
  </r>
  <r>
    <x v="18"/>
    <x v="0"/>
    <s v="F:\images\20210226\plaque 2/@06 Cefuroxime D 0.01/A6_03.tif "/>
    <s v=" 22668.1296 "/>
    <s v=" 70.354 "/>
    <x v="0"/>
    <n v="1594794"/>
    <m/>
    <m/>
    <m/>
  </r>
  <r>
    <x v="18"/>
    <x v="1"/>
    <s v="F:\images\20210226\plaque 2/@06 Cefuroxime D 0.01/B6_01.tif "/>
    <s v=" 1600.6122 "/>
    <s v=" 65.9865 "/>
    <x v="0"/>
    <n v="105619"/>
    <m/>
    <m/>
    <m/>
  </r>
  <r>
    <x v="18"/>
    <x v="1"/>
    <s v="F:\images\20210226\plaque 2/@06 Cefuroxime D 0.01/B6_02.tif "/>
    <s v=" 735.4164 "/>
    <s v=" 64.5294 "/>
    <x v="0"/>
    <n v="47456"/>
    <m/>
    <m/>
    <m/>
  </r>
  <r>
    <x v="18"/>
    <x v="1"/>
    <s v="F:\images\20210226\plaque 2/@06 Cefuroxime D 0.01/B6_03.tif "/>
    <s v=" 454.2278 "/>
    <s v=" 63.3333 "/>
    <x v="0"/>
    <n v="28768"/>
    <m/>
    <m/>
    <m/>
  </r>
  <r>
    <x v="18"/>
    <x v="2"/>
    <s v="F:\images\20210226\plaque 2/@06 Cefuroxime D 0.01/C6_01.tif "/>
    <s v=" 29697.8453 "/>
    <s v=" 71.528 "/>
    <x v="0"/>
    <n v="2124229"/>
    <m/>
    <m/>
    <m/>
  </r>
  <r>
    <x v="18"/>
    <x v="2"/>
    <s v="F:\images\20210226\plaque 2/@06 Cefuroxime D 0.01/C6_02.tif "/>
    <s v=" 27578.1157 "/>
    <s v=" 72.1655 "/>
    <x v="0"/>
    <n v="1990188"/>
    <m/>
    <m/>
    <m/>
  </r>
  <r>
    <x v="18"/>
    <x v="2"/>
    <s v="F:\images\20210226\plaque 2/@06 Cefuroxime D 0.01/C6_03- exclu.tif"/>
    <m/>
    <m/>
    <x v="1"/>
    <m/>
    <m/>
    <m/>
    <m/>
  </r>
  <r>
    <x v="18"/>
    <x v="3"/>
    <s v="F:\images\20210226\plaque 2/@06 Cefuroxime D 0.01/D6_01.tif "/>
    <s v=" 50440.9143 "/>
    <s v=" 75.0356 "/>
    <x v="0"/>
    <n v="3784864"/>
    <m/>
    <m/>
    <m/>
  </r>
  <r>
    <x v="18"/>
    <x v="3"/>
    <s v="F:\images\20210226\plaque 2/@06 Cefuroxime D 0.01/D6_02.tif "/>
    <s v=" 36965.4899 "/>
    <s v=" 74.9017 "/>
    <x v="0"/>
    <n v="2768778"/>
    <m/>
    <m/>
    <m/>
  </r>
  <r>
    <x v="18"/>
    <x v="3"/>
    <s v="F:\images\20210226\plaque 2/@06 Cefuroxime D 0.01/D6_03.tif "/>
    <s v=" 38760.7712 "/>
    <s v=" 73.668 "/>
    <x v="0"/>
    <n v="2855427"/>
    <m/>
    <m/>
    <m/>
  </r>
  <r>
    <x v="18"/>
    <x v="4"/>
    <s v="F:\images\20210226\plaque 2/@06 Cefuroxime D 0.01/E6_01.tif "/>
    <s v=" 13259.1254 "/>
    <s v=" 68.3589 "/>
    <x v="0"/>
    <n v="906379"/>
    <m/>
    <m/>
    <m/>
  </r>
  <r>
    <x v="18"/>
    <x v="4"/>
    <s v="F:\images\20210226\plaque 2/@06 Cefuroxime D 0.01/E6_02.tif "/>
    <s v=" 10901.4669 "/>
    <s v=" 67.379 "/>
    <x v="0"/>
    <n v="734530"/>
    <m/>
    <m/>
    <m/>
  </r>
  <r>
    <x v="18"/>
    <x v="4"/>
    <s v="F:\images\20210226\plaque 2/@06 Cefuroxime D 0.01/E6_03.tif "/>
    <s v=" 10533.7587 "/>
    <s v=" 66.3142 "/>
    <x v="0"/>
    <n v="698537"/>
    <m/>
    <m/>
    <m/>
  </r>
  <r>
    <x v="18"/>
    <x v="5"/>
    <s v="F:\images\20210226\plaque 2/@06 Cefuroxime D 0.01/F6_01.tif "/>
    <s v=" 5212.8046 "/>
    <s v=" 67.4149 "/>
    <x v="0"/>
    <n v="351421"/>
    <m/>
    <m/>
    <m/>
  </r>
  <r>
    <x v="18"/>
    <x v="5"/>
    <s v="F:\images\20210226\plaque 2/@06 Cefuroxime D 0.01/F6_02.tif "/>
    <s v=" 4715.317 "/>
    <s v=" 68.3532 "/>
    <x v="0"/>
    <n v="322307"/>
    <m/>
    <m/>
    <m/>
  </r>
  <r>
    <x v="18"/>
    <x v="5"/>
    <s v="F:\images\20210226\plaque 2/@06 Cefuroxime D 0.01/F6_03.tif "/>
    <s v=" 3958.2707 "/>
    <s v=" 67.2404 "/>
    <x v="0"/>
    <n v="266156"/>
    <m/>
    <m/>
    <m/>
  </r>
  <r>
    <x v="18"/>
    <x v="6"/>
    <s v="F:\images\20210226\plaque 2/@06 Cefuroxime D 0.01/G6_01.tif "/>
    <s v=" 33785.8954 "/>
    <s v=" 69.1543 "/>
    <x v="0"/>
    <n v="2336440"/>
    <m/>
    <m/>
    <m/>
  </r>
  <r>
    <x v="18"/>
    <x v="6"/>
    <s v="F:\images\20210226\plaque 2/@06 Cefuroxime D 0.01/G6_02.tif "/>
    <s v=" 30173.703 "/>
    <s v=" 68.9326 "/>
    <x v="0"/>
    <n v="2079952"/>
    <m/>
    <m/>
    <m/>
  </r>
  <r>
    <x v="18"/>
    <x v="6"/>
    <s v="F:\images\20210226\plaque 2/@06 Cefuroxime D 0.01/G6_03.tif "/>
    <s v=" 25112.3077 "/>
    <s v=" 67.6038 "/>
    <x v="0"/>
    <n v="1697687"/>
    <m/>
    <m/>
    <m/>
  </r>
  <r>
    <x v="18"/>
    <x v="7"/>
    <s v="F:\images\20210226\plaque 2/@06 Cefuroxime D 0.01/H6_01.tif "/>
    <s v=" 50181.3555 "/>
    <s v=" 74.5754 "/>
    <x v="0"/>
    <n v="3742296"/>
    <m/>
    <m/>
    <m/>
  </r>
  <r>
    <x v="18"/>
    <x v="7"/>
    <s v="F:\images\20210226\plaque 2/@06 Cefuroxime D 0.01/H6_02.tif "/>
    <s v=" 49856.9071 "/>
    <s v=" 76.8781 "/>
    <x v="0"/>
    <n v="3832904"/>
    <m/>
    <m/>
    <m/>
  </r>
  <r>
    <x v="18"/>
    <x v="7"/>
    <s v="F:\images\20210226\plaque 2/@06 Cefuroxime D 0.01/H6_03.tif "/>
    <s v=" 52041.5265 "/>
    <s v=" 72.5183 "/>
    <x v="0"/>
    <n v="3773962"/>
    <m/>
    <m/>
    <m/>
  </r>
  <r>
    <x v="1"/>
    <x v="8"/>
    <s v=" "/>
    <m/>
    <m/>
    <x v="1"/>
    <m/>
    <m/>
    <m/>
    <m/>
  </r>
  <r>
    <x v="1"/>
    <x v="8"/>
    <s v="group "/>
    <s v=" "/>
    <s v=" mean of mean fluo "/>
    <x v="2"/>
    <s v=" mean of total fluo "/>
    <s v=" SD total fluo "/>
    <s v=" n fluorescent "/>
    <s v=" n total"/>
  </r>
  <r>
    <x v="18"/>
    <x v="9"/>
    <s v="F:\images\20210226\plaque 2/@06 Cefuroxime D 0.01/ "/>
    <s v=" "/>
    <s v=" 69.8325 "/>
    <x v="20"/>
    <s v=" 1682272.25 "/>
    <s v=" 128132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226\plaque 2/@07 Cefuroxime D 0.1/A7_01.tif "/>
    <s v=" 12156.0008 "/>
    <s v=" 67.4626 "/>
    <x v="0"/>
    <n v="820076"/>
    <m/>
    <m/>
    <m/>
  </r>
  <r>
    <x v="19"/>
    <x v="0"/>
    <s v="F:\images\20210226\plaque 2/@07 Cefuroxime D 0.1/A7_02.tif "/>
    <s v=" 23706.3645 "/>
    <s v=" 74.0365 "/>
    <x v="0"/>
    <n v="1755136"/>
    <m/>
    <m/>
    <m/>
  </r>
  <r>
    <x v="19"/>
    <x v="0"/>
    <s v="F:\images\20210226\plaque 2/@07 Cefuroxime D 0.1/A7_03.tif "/>
    <s v=" 22019.2327 "/>
    <s v=" 74.722 "/>
    <x v="0"/>
    <n v="1645321"/>
    <m/>
    <m/>
    <m/>
  </r>
  <r>
    <x v="19"/>
    <x v="1"/>
    <s v="F:\images\20210226\plaque 2/@07 Cefuroxime D 0.1/B7_01.tif "/>
    <s v=" 15400.485 "/>
    <s v=" 74.4228 "/>
    <x v="0"/>
    <n v="1146146"/>
    <m/>
    <m/>
    <m/>
  </r>
  <r>
    <x v="19"/>
    <x v="1"/>
    <s v="F:\images\20210226\plaque 2/@07 Cefuroxime D 0.1/B7_02.tif "/>
    <s v=" 15789.8231 "/>
    <s v=" 72.9658 "/>
    <x v="0"/>
    <n v="1152116"/>
    <m/>
    <m/>
    <m/>
  </r>
  <r>
    <x v="19"/>
    <x v="1"/>
    <s v="F:\images\20210226\plaque 2/@07 Cefuroxime D 0.1/B7_03.tif "/>
    <s v=" 16936.2075 "/>
    <s v=" 71.1494 "/>
    <x v="0"/>
    <n v="1205001"/>
    <m/>
    <m/>
    <m/>
  </r>
  <r>
    <x v="19"/>
    <x v="2"/>
    <s v="F:\images\20210226\plaque 2/@07 Cefuroxime D 0.1/C7_01.tif "/>
    <s v=" 26388.4714 "/>
    <s v=" 70.8123 "/>
    <x v="0"/>
    <n v="1868628"/>
    <m/>
    <m/>
    <m/>
  </r>
  <r>
    <x v="19"/>
    <x v="2"/>
    <s v="F:\images\20210226\plaque 2/@07 Cefuroxime D 0.1/C7_02.tif "/>
    <s v=" 23187.247 "/>
    <s v=" 71.5364 "/>
    <x v="0"/>
    <n v="1658732"/>
    <m/>
    <m/>
    <m/>
  </r>
  <r>
    <x v="19"/>
    <x v="2"/>
    <s v="F:\images\20210226\plaque 2/@07 Cefuroxime D 0.1/C7_03.tif "/>
    <s v=" 21867.8235 "/>
    <s v=" 70.8101 "/>
    <x v="0"/>
    <n v="1548463"/>
    <m/>
    <m/>
    <m/>
  </r>
  <r>
    <x v="19"/>
    <x v="3"/>
    <s v="F:\images\20210226\plaque 2/@07 Cefuroxime D 0.1/D7_01.tif "/>
    <s v=" 33396.5573 "/>
    <s v=" 72.2545 "/>
    <x v="0"/>
    <n v="2413053"/>
    <m/>
    <m/>
    <m/>
  </r>
  <r>
    <x v="19"/>
    <x v="3"/>
    <s v="F:\images\20210226\plaque 2/@07 Cefuroxime D 0.1/D7_02.tif "/>
    <s v=" 35689.3261 "/>
    <s v=" 71.9533 "/>
    <x v="0"/>
    <n v="2567966"/>
    <m/>
    <m/>
    <m/>
  </r>
  <r>
    <x v="19"/>
    <x v="3"/>
    <s v="F:\images\20210226\plaque 2/@07 Cefuroxime D 0.1/D7_03.tif "/>
    <s v=" 35213.4685 "/>
    <s v=" 72.5283 "/>
    <x v="0"/>
    <n v="2553971"/>
    <m/>
    <m/>
    <m/>
  </r>
  <r>
    <x v="19"/>
    <x v="4"/>
    <s v="F:\images\20210226\plaque 2/@07 Cefuroxime D 0.1/E7_01.tif "/>
    <s v=" 16698.2787 "/>
    <s v=" 71.3886 "/>
    <x v="0"/>
    <n v="1192067"/>
    <m/>
    <m/>
    <m/>
  </r>
  <r>
    <x v="19"/>
    <x v="4"/>
    <s v="F:\images\20210226\plaque 2/@07 Cefuroxime D 0.1/E7_02.tif "/>
    <s v=" 13864.7625 "/>
    <s v=" 68.2153 "/>
    <x v="0"/>
    <n v="945789"/>
    <m/>
    <m/>
    <m/>
  </r>
  <r>
    <x v="19"/>
    <x v="4"/>
    <s v="F:\images\20210226\plaque 2/@07 Cefuroxime D 0.1/E7_03.tif "/>
    <s v=" 10858.2071 "/>
    <s v=" 70.3665 "/>
    <x v="0"/>
    <n v="764054"/>
    <m/>
    <m/>
    <m/>
  </r>
  <r>
    <x v="19"/>
    <x v="5"/>
    <s v="F:\images\20210226\plaque 2/@07 Cefuroxime D 0.1/F7_01.tif "/>
    <s v=" 1254.5339 "/>
    <s v=" 63.3276 "/>
    <x v="0"/>
    <n v="79447"/>
    <m/>
    <m/>
    <m/>
  </r>
  <r>
    <x v="19"/>
    <x v="5"/>
    <s v="F:\images\20210226\plaque 2/@07 Cefuroxime D 0.1/F7_02.tif "/>
    <s v=" 1189.6442 "/>
    <s v=" 64.8182 "/>
    <x v="0"/>
    <n v="77111"/>
    <m/>
    <m/>
    <m/>
  </r>
  <r>
    <x v="19"/>
    <x v="5"/>
    <s v="F:\images\20210226\plaque 2/@07 Cefuroxime D 0.1/F7_03- exclu.tif"/>
    <m/>
    <m/>
    <x v="1"/>
    <m/>
    <m/>
    <m/>
    <m/>
  </r>
  <r>
    <x v="19"/>
    <x v="6"/>
    <s v="F:\images\20210226\plaque 2/@07 Cefuroxime D 0.1/G7_01.tif "/>
    <s v=" 21629.8946 "/>
    <s v=" 68.332 "/>
    <x v="0"/>
    <n v="1478014"/>
    <m/>
    <m/>
    <m/>
  </r>
  <r>
    <x v="19"/>
    <x v="6"/>
    <s v="F:\images\20210226\plaque 2/@07 Cefuroxime D 0.1/G7_02.tif "/>
    <s v=" 20829.5885 "/>
    <s v=" 68.3053 "/>
    <x v="0"/>
    <n v="1422771"/>
    <m/>
    <m/>
    <m/>
  </r>
  <r>
    <x v="19"/>
    <x v="6"/>
    <s v="F:\images\20210226\plaque 2/@07 Cefuroxime D 0.1/G7_03.tif "/>
    <s v=" 18753.1186 "/>
    <s v=" 67.9666 "/>
    <x v="0"/>
    <n v="1274585"/>
    <m/>
    <m/>
    <m/>
  </r>
  <r>
    <x v="19"/>
    <x v="7"/>
    <s v="F:\images\20210226\plaque 2/@07 Cefuroxime D 0.1/H7_01.tif "/>
    <s v=" 2184.6194 "/>
    <s v=" 65.0792 "/>
    <x v="0"/>
    <n v="142173"/>
    <m/>
    <m/>
    <m/>
  </r>
  <r>
    <x v="19"/>
    <x v="7"/>
    <s v="F:\images\20210226\plaque 2/@07 Cefuroxime D 0.1/H7_02.tif "/>
    <s v=" 3222.8543 "/>
    <s v=" 64.7919 "/>
    <x v="0"/>
    <n v="208815"/>
    <m/>
    <m/>
    <m/>
  </r>
  <r>
    <x v="19"/>
    <x v="7"/>
    <s v="F:\images\20210226\plaque 2/@07 Cefuroxime D 0.1/H7_03.tif "/>
    <s v=" 2595.5874 "/>
    <s v=" 63.3083 "/>
    <x v="0"/>
    <n v="164322"/>
    <m/>
    <m/>
    <m/>
  </r>
  <r>
    <x v="1"/>
    <x v="8"/>
    <s v=" "/>
    <m/>
    <m/>
    <x v="1"/>
    <m/>
    <m/>
    <m/>
    <m/>
  </r>
  <r>
    <x v="1"/>
    <x v="8"/>
    <s v="group "/>
    <s v=" "/>
    <s v=" mean of mean fluo "/>
    <x v="2"/>
    <s v=" mean of total fluo "/>
    <s v=" SD total fluo "/>
    <s v=" n fluorescent "/>
    <s v=" n total"/>
  </r>
  <r>
    <x v="19"/>
    <x v="9"/>
    <s v="F:\images\20210226\plaque 2/@07 Cefuroxime D 0.1/ "/>
    <s v=" "/>
    <s v=" 69.339 "/>
    <x v="21"/>
    <s v=" 1170844.21 "/>
    <s v=" 782112.7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226\plaque 2/@08 Cefuroxime D 1/A8_01.tif "/>
    <s v=" 52214.5656 "/>
    <s v=" 78.6732 "/>
    <x v="0"/>
    <n v="4107885"/>
    <m/>
    <m/>
    <m/>
  </r>
  <r>
    <x v="20"/>
    <x v="0"/>
    <s v="F:\images\20210226\plaque 2/@08 Cefuroxime D 1/A8_02.tif "/>
    <s v=" 53663.7686 "/>
    <s v=" 77.6759 "/>
    <x v="0"/>
    <n v="4168384"/>
    <m/>
    <m/>
    <m/>
  </r>
  <r>
    <x v="20"/>
    <x v="0"/>
    <s v="F:\images\20210226\plaque 2/@08 Cefuroxime D 1/A8_03.tif "/>
    <s v=" 52106.4162 "/>
    <s v=" 73.9826 "/>
    <x v="0"/>
    <n v="3854966"/>
    <m/>
    <m/>
    <m/>
  </r>
  <r>
    <x v="20"/>
    <x v="1"/>
    <s v="F:\images\20210226\plaque 2/@08 Cefuroxime D 1/B8_01.tif "/>
    <s v=" 21175.6668 "/>
    <s v=" 68.0112 "/>
    <x v="0"/>
    <n v="1440183"/>
    <m/>
    <m/>
    <m/>
  </r>
  <r>
    <x v="20"/>
    <x v="1"/>
    <s v="F:\images\20210226\plaque 2/@08 Cefuroxime D 1/B8_02.tif "/>
    <s v=" 20634.9195 "/>
    <s v=" 67.8218 "/>
    <x v="0"/>
    <n v="1399497"/>
    <m/>
    <m/>
    <m/>
  </r>
  <r>
    <x v="20"/>
    <x v="1"/>
    <s v="F:\images\20210226\plaque 2/@08 Cefuroxime D 1/B8_03.tif "/>
    <s v=" 19055.9372 "/>
    <s v=" 68.9455 "/>
    <x v="0"/>
    <n v="1313821"/>
    <m/>
    <m/>
    <m/>
  </r>
  <r>
    <x v="20"/>
    <x v="2"/>
    <s v="F:\images\20210226\plaque 2/@08 Cefuroxime D 1/C8_01.tif "/>
    <s v=" 25544.9056 "/>
    <s v=" 67.8577 "/>
    <x v="0"/>
    <n v="1733420"/>
    <m/>
    <m/>
    <m/>
  </r>
  <r>
    <x v="20"/>
    <x v="2"/>
    <s v="F:\images\20210226\plaque 2/@08 Cefuroxime D 1/C8_02.tif "/>
    <s v=" 30260.2226 "/>
    <s v=" 67.2123 "/>
    <x v="0"/>
    <n v="2033859"/>
    <m/>
    <m/>
    <m/>
  </r>
  <r>
    <x v="20"/>
    <x v="2"/>
    <s v="F:\images\20210226\plaque 2/@08 Cefuroxime D 1/C8_03.tif "/>
    <s v=" 26193.8024 "/>
    <s v=" 67.6135 "/>
    <x v="0"/>
    <n v="1771056"/>
    <m/>
    <m/>
    <m/>
  </r>
  <r>
    <x v="20"/>
    <x v="3"/>
    <s v="F:\images\20210226\plaque 2/@08 Cefuroxime D 1/D8_01.tif "/>
    <s v=" 18947.7877 "/>
    <s v=" 68.9669 "/>
    <x v="0"/>
    <n v="1306770"/>
    <m/>
    <m/>
    <m/>
  </r>
  <r>
    <x v="20"/>
    <x v="3"/>
    <s v="F:\images\20210226\plaque 2/@08 Cefuroxime D 1/D8_02.tif "/>
    <s v=" 21067.5174 "/>
    <s v=" 69.3265 "/>
    <x v="0"/>
    <n v="1460537"/>
    <m/>
    <m/>
    <m/>
  </r>
  <r>
    <x v="20"/>
    <x v="3"/>
    <s v="F:\images\20210226\plaque 2/@08 Cefuroxime D 1/D8_03.tif "/>
    <s v=" 17758.1435 "/>
    <s v=" 67.592 "/>
    <x v="0"/>
    <n v="1200308"/>
    <m/>
    <m/>
    <m/>
  </r>
  <r>
    <x v="20"/>
    <x v="4"/>
    <s v="F:\images\20210226\plaque 2/@08 Cefuroxime D 1/E8_01.tif "/>
    <s v=" 17109.2467 "/>
    <s v=" 67.6131 "/>
    <x v="0"/>
    <n v="1156810"/>
    <m/>
    <m/>
    <m/>
  </r>
  <r>
    <x v="20"/>
    <x v="4"/>
    <s v="F:\images\20210226\plaque 2/@08 Cefuroxime D 1/E8_02.tif "/>
    <s v=" 26193.8024 "/>
    <s v=" 70.45 "/>
    <x v="0"/>
    <n v="1845354"/>
    <m/>
    <m/>
    <m/>
  </r>
  <r>
    <x v="20"/>
    <x v="4"/>
    <s v="F:\images\20210226\plaque 2/@08 Cefuroxime D 1/E8_03.tif "/>
    <s v=" 21824.5637 "/>
    <s v=" 68.7156 "/>
    <x v="0"/>
    <n v="1499687"/>
    <m/>
    <m/>
    <m/>
  </r>
  <r>
    <x v="20"/>
    <x v="5"/>
    <s v="F:\images\20210226\plaque 2/@08 Cefuroxime D 1/F8_01.tif "/>
    <s v=" 10512.1288 "/>
    <s v=" 67.5802 "/>
    <x v="0"/>
    <n v="710412"/>
    <m/>
    <m/>
    <m/>
  </r>
  <r>
    <x v="20"/>
    <x v="5"/>
    <s v="F:\images\20210226\plaque 2/@08 Cefuroxime D 1/F8_02.tif "/>
    <s v=" 10122.7907 "/>
    <s v=" 65.8312 "/>
    <x v="0"/>
    <n v="666395"/>
    <m/>
    <m/>
    <m/>
  </r>
  <r>
    <x v="20"/>
    <x v="5"/>
    <s v="F:\images\20210226\plaque 2/@08 Cefuroxime D 1/F8_03.tif "/>
    <s v=" 8500.5486 "/>
    <s v=" 66.0814 "/>
    <x v="0"/>
    <n v="561728"/>
    <m/>
    <m/>
    <m/>
  </r>
  <r>
    <x v="20"/>
    <x v="6"/>
    <s v="F:\images\20210226\plaque 2/@08 Cefuroxime D 1/G8_01.tif "/>
    <s v=" 7181.125 "/>
    <s v=" 72.3343 "/>
    <x v="0"/>
    <n v="519442"/>
    <m/>
    <m/>
    <m/>
  </r>
  <r>
    <x v="20"/>
    <x v="6"/>
    <s v="F:\images\20210226\plaque 2/@08 Cefuroxime D 1/G8_02.tif "/>
    <s v=" 3417.5234 "/>
    <s v=" 69.8861 "/>
    <x v="0"/>
    <n v="238837"/>
    <m/>
    <m/>
    <m/>
  </r>
  <r>
    <x v="20"/>
    <x v="6"/>
    <s v="F:\images\20210226\plaque 2/@08 Cefuroxime D 1/G8_03.tif "/>
    <s v=" 2876.776 "/>
    <s v=" 69.5639 "/>
    <x v="0"/>
    <n v="200120"/>
    <m/>
    <m/>
    <m/>
  </r>
  <r>
    <x v="20"/>
    <x v="7"/>
    <s v="F:\images\20210226\plaque 2/@08 Cefuroxime D 1/H8_01.tif "/>
    <s v=" 32963.9594 "/>
    <s v=" 75.6483 "/>
    <x v="0"/>
    <n v="2493667"/>
    <m/>
    <m/>
    <m/>
  </r>
  <r>
    <x v="20"/>
    <x v="7"/>
    <s v="F:\images\20210226\plaque 2/@08 Cefuroxime D 1/H8_02.tif "/>
    <s v=" 32574.6213 "/>
    <s v=" 76.2198 "/>
    <x v="0"/>
    <n v="2482831"/>
    <m/>
    <m/>
    <m/>
  </r>
  <r>
    <x v="20"/>
    <x v="7"/>
    <s v="F:\images\20210226\plaque 2/@08 Cefuroxime D 1/H8_03.tif "/>
    <s v=" 31817.575 "/>
    <s v=" 76.2468 "/>
    <x v="0"/>
    <n v="2425987"/>
    <m/>
    <m/>
    <m/>
  </r>
  <r>
    <x v="1"/>
    <x v="8"/>
    <s v=" "/>
    <m/>
    <m/>
    <x v="1"/>
    <m/>
    <m/>
    <m/>
    <m/>
  </r>
  <r>
    <x v="1"/>
    <x v="8"/>
    <s v="group "/>
    <s v=" "/>
    <s v=" mean of mean fluo "/>
    <x v="2"/>
    <s v=" mean of total fluo "/>
    <s v=" SD total fluo "/>
    <s v=" n fluorescent "/>
    <s v=" n total"/>
  </r>
  <r>
    <x v="20"/>
    <x v="9"/>
    <s v="F:\images\20210226\plaque 2/@08 Cefuroxime D 1/ "/>
    <s v=" "/>
    <s v=" 70.4104 "/>
    <x v="22"/>
    <s v=" 1691331.5 "/>
    <s v=" 1116416.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226\plaque 2/@09 Cefuroxime D 10/A9_01.tif "/>
    <s v=" 16135.9014 "/>
    <s v=" 72.0858 "/>
    <x v="0"/>
    <n v="1163169"/>
    <m/>
    <m/>
    <m/>
  </r>
  <r>
    <x v="21"/>
    <x v="0"/>
    <s v="F:\images\20210226\plaque 2/@09 Cefuroxime D 10/A9_02- exclu.tif"/>
    <m/>
    <m/>
    <x v="1"/>
    <m/>
    <m/>
    <m/>
    <m/>
  </r>
  <r>
    <x v="21"/>
    <x v="0"/>
    <s v="F:\images\20210226\plaque 2/@09 Cefuroxime D 10/A9_03.tif "/>
    <s v=" 12891.4172 "/>
    <s v=" 67.5856 "/>
    <x v="0"/>
    <n v="871274"/>
    <m/>
    <m/>
    <m/>
  </r>
  <r>
    <x v="21"/>
    <x v="1"/>
    <s v="F:\images\20210226\plaque 2/@09 Cefuroxime D 10/B9_01.tif "/>
    <s v=" 6294.2993 "/>
    <s v=" 65.5979 "/>
    <x v="0"/>
    <n v="412893"/>
    <m/>
    <m/>
    <m/>
  </r>
  <r>
    <x v="21"/>
    <x v="1"/>
    <s v="F:\images\20210226\plaque 2/@09 Cefuroxime D 10/B9_02.tif "/>
    <s v=" 3677.0821 "/>
    <s v=" 64.4824 "/>
    <x v="0"/>
    <n v="237107"/>
    <m/>
    <m/>
    <m/>
  </r>
  <r>
    <x v="21"/>
    <x v="1"/>
    <s v="F:\images\20210226\plaque 2/@09 Cefuroxime D 10/B9_03.tif "/>
    <s v=" 6121.2602 "/>
    <s v=" 64.6184 "/>
    <x v="0"/>
    <n v="395546"/>
    <m/>
    <m/>
    <m/>
  </r>
  <r>
    <x v="21"/>
    <x v="2"/>
    <s v="F:\images\20210226\plaque 2/@09 Cefuroxime D 10/C9_01.tif "/>
    <s v=" 13561.9439 "/>
    <s v=" 66.1467 "/>
    <x v="0"/>
    <n v="897078"/>
    <m/>
    <m/>
    <m/>
  </r>
  <r>
    <x v="21"/>
    <x v="2"/>
    <s v="F:\images\20210226\plaque 2/@09 Cefuroxime D 10/C9_02.tif "/>
    <s v=" 12869.7873 "/>
    <s v=" 66.9866 "/>
    <x v="0"/>
    <n v="862103"/>
    <m/>
    <m/>
    <m/>
  </r>
  <r>
    <x v="21"/>
    <x v="2"/>
    <s v="F:\images\20210226\plaque 2/@09 Cefuroxime D 10/C9_03.tif "/>
    <s v=" 12696.7481 "/>
    <s v=" 65.3101 "/>
    <x v="0"/>
    <n v="829225"/>
    <m/>
    <m/>
    <m/>
  </r>
  <r>
    <x v="21"/>
    <x v="3"/>
    <s v="F:\images\20210226\plaque 2/@09 Cefuroxime D 10/D9_01.tif "/>
    <s v=" 648.8968 "/>
    <s v=" 70.2333 "/>
    <x v="0"/>
    <n v="45574"/>
    <m/>
    <m/>
    <m/>
  </r>
  <r>
    <x v="21"/>
    <x v="3"/>
    <s v="F:\images\20210226\plaque 2/@09 Cefuroxime D 10/D9_02.tif "/>
    <s v=" 1881.8008 "/>
    <s v=" 66.3218 "/>
    <x v="0"/>
    <n v="124804"/>
    <m/>
    <m/>
    <m/>
  </r>
  <r>
    <x v="21"/>
    <x v="3"/>
    <s v="F:\images\20210226\plaque 2/@09 Cefuroxime D 10/D9_03- exclu.tif"/>
    <m/>
    <m/>
    <x v="1"/>
    <m/>
    <m/>
    <m/>
    <m/>
  </r>
  <r>
    <x v="21"/>
    <x v="4"/>
    <s v="F:\images\20210226\plaque 2/@09 Cefuroxime D 10/E9_01.tif "/>
    <s v=" 11204.2854 "/>
    <s v=" 68.1853 "/>
    <x v="0"/>
    <n v="763968"/>
    <m/>
    <m/>
    <m/>
  </r>
  <r>
    <x v="21"/>
    <x v="4"/>
    <s v="F:\images\20210226\plaque 2/@09 Cefuroxime D 10/E9_02.tif "/>
    <s v=" 11204.2854 "/>
    <s v=" 67.7606 "/>
    <x v="0"/>
    <n v="759209"/>
    <m/>
    <m/>
    <m/>
  </r>
  <r>
    <x v="21"/>
    <x v="4"/>
    <s v="F:\images\20210226\plaque 2/@09 Cefuroxime D 10/E9_03.tif "/>
    <s v=" 10923.0968 "/>
    <s v=" 68.1089 "/>
    <x v="0"/>
    <n v="743960"/>
    <m/>
    <m/>
    <m/>
  </r>
  <r>
    <x v="21"/>
    <x v="5"/>
    <s v="F:\images\20210226\plaque 2/@09 Cefuroxime D 10/F9_01.tif "/>
    <s v=" 2271.1389 "/>
    <s v=" 63.2857 "/>
    <x v="0"/>
    <n v="143731"/>
    <m/>
    <m/>
    <m/>
  </r>
  <r>
    <x v="21"/>
    <x v="5"/>
    <s v="F:\images\20210226\plaque 2/@09 Cefuroxime D 10/F9_02.tif "/>
    <s v=" 6207.7798 "/>
    <s v=" 65.0871 "/>
    <x v="0"/>
    <n v="404046"/>
    <m/>
    <m/>
    <m/>
  </r>
  <r>
    <x v="21"/>
    <x v="5"/>
    <s v="F:\images\20210226\plaque 2/@09 Cefuroxime D 10/F9_03.tif "/>
    <s v=" 5645.4025 "/>
    <s v=" 66.7969 "/>
    <x v="0"/>
    <n v="377096"/>
    <m/>
    <m/>
    <m/>
  </r>
  <r>
    <x v="21"/>
    <x v="6"/>
    <s v="F:\images\20210226\plaque 2/@09 Cefuroxime D 10/G9_01.tif "/>
    <s v=" 47131.5404 "/>
    <s v=" 74.2877 "/>
    <x v="0"/>
    <n v="3501296"/>
    <m/>
    <m/>
    <m/>
  </r>
  <r>
    <x v="21"/>
    <x v="6"/>
    <s v="F:\images\20210226\plaque 2/@09 Cefuroxime D 10/G9_02.tif "/>
    <s v=" 49272.9 "/>
    <s v=" 73.5299 "/>
    <x v="0"/>
    <n v="3623029"/>
    <m/>
    <m/>
    <m/>
  </r>
  <r>
    <x v="21"/>
    <x v="6"/>
    <s v="F:\images\20210226\plaque 2/@09 Cefuroxime D 10/G9_03.tif "/>
    <s v=" 47477.6187 "/>
    <s v=" 74.5544 "/>
    <x v="0"/>
    <n v="3539667"/>
    <m/>
    <m/>
    <m/>
  </r>
  <r>
    <x v="21"/>
    <x v="7"/>
    <s v="F:\images\20210226\plaque 2/@09 Cefuroxime D 10/H9_01.tif "/>
    <s v=" 4434.1284 "/>
    <s v=" 63.5024 "/>
    <x v="0"/>
    <n v="281578"/>
    <m/>
    <m/>
    <m/>
  </r>
  <r>
    <x v="21"/>
    <x v="7"/>
    <s v="F:\images\20210226\plaque 2/@09 Cefuroxime D 10/H9_02.tif "/>
    <s v=" 1470.8328 "/>
    <s v=" 63.0441 "/>
    <x v="0"/>
    <n v="92727"/>
    <m/>
    <m/>
    <m/>
  </r>
  <r>
    <x v="21"/>
    <x v="7"/>
    <s v="F:\images\20210226\plaque 2/@09 Cefuroxime D 10/H9_03.tif "/>
    <s v=" 2703.7368 "/>
    <s v=" 63.808 "/>
    <x v="0"/>
    <n v="172520"/>
    <m/>
    <m/>
    <m/>
  </r>
  <r>
    <x v="1"/>
    <x v="8"/>
    <s v=" "/>
    <m/>
    <m/>
    <x v="1"/>
    <m/>
    <m/>
    <m/>
    <m/>
  </r>
  <r>
    <x v="1"/>
    <x v="8"/>
    <s v="group "/>
    <s v=" "/>
    <s v=" mean of mean fluo "/>
    <x v="2"/>
    <s v=" mean of total fluo "/>
    <s v=" SD total fluo "/>
    <s v=" n fluorescent "/>
    <s v=" n total"/>
  </r>
  <r>
    <x v="21"/>
    <x v="9"/>
    <s v="F:\images\20210226\plaque 2/@09 Cefuroxime D 10/ "/>
    <s v=" "/>
    <s v=" 67.0898 "/>
    <x v="23"/>
    <s v=" 844912.292 "/>
    <s v=" 1097191.02 "/>
    <n v="24"/>
    <n v="24"/>
  </r>
  <r>
    <x v="1"/>
    <x v="8"/>
    <s v=" "/>
    <m/>
    <m/>
    <x v="1"/>
    <m/>
    <m/>
    <m/>
    <m/>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192.168.24.208\images\R&amp;D\Amira\20210302\plaque 1/@01 Evian + 0.2% DMSO/A1_01.tif "/>
    <s v=" 9863.232 "/>
    <s v=" 76.7193 "/>
    <x v="0"/>
    <n v="756700"/>
    <m/>
    <m/>
    <m/>
  </r>
  <r>
    <x v="0"/>
    <x v="0"/>
    <s v="\\192.168.24.208\images\R&amp;D\Amira\20210302\plaque 1/@01 Evian + 0.2% DMSO/A1_02.tif "/>
    <s v=" 14210.8408 "/>
    <s v=" 72.8584 "/>
    <x v="0"/>
    <n v="1035380"/>
    <m/>
    <m/>
    <m/>
  </r>
  <r>
    <x v="0"/>
    <x v="0"/>
    <s v="\\192.168.24.208\images\R&amp;D\Amira\20210302\plaque 1/@01 Evian + 0.2% DMSO/A1_03.tif "/>
    <s v=" 10858.2071 "/>
    <s v=" 68.1116 "/>
    <x v="0"/>
    <n v="739569"/>
    <m/>
    <m/>
    <m/>
  </r>
  <r>
    <x v="0"/>
    <x v="1"/>
    <s v="\\192.168.24.208\images\R&amp;D\Amira\20210302\plaque 1/@01 Evian + 0.2% DMSO/B1_01.tif "/>
    <s v=" 4412.4985 "/>
    <s v=" 68.8873 "/>
    <x v="0"/>
    <n v="303965"/>
    <m/>
    <m/>
    <m/>
  </r>
  <r>
    <x v="0"/>
    <x v="1"/>
    <s v="\\192.168.24.208\images\R&amp;D\Amira\20210302\plaque 1/@01 Evian + 0.2% DMSO/B1_02.tif "/>
    <s v=" 3374.2636 "/>
    <s v=" 68.0769 "/>
    <x v="0"/>
    <n v="229709"/>
    <m/>
    <m/>
    <m/>
  </r>
  <r>
    <x v="0"/>
    <x v="1"/>
    <s v="\\192.168.24.208\images\R&amp;D\Amira\20210302\plaque 1/@01 Evian + 0.2% DMSO/B1_03.tif "/>
    <s v=" 4888.3562 "/>
    <s v=" 69.9425 "/>
    <x v="0"/>
    <n v="341904"/>
    <m/>
    <m/>
    <m/>
  </r>
  <r>
    <x v="0"/>
    <x v="2"/>
    <s v="\\192.168.24.208\images\R&amp;D\Amira\20210302\plaque 1/@01 Evian + 0.2% DMSO/C1_01.tif "/>
    <s v=" 10057.901 "/>
    <s v=" 72.5871 "/>
    <x v="0"/>
    <n v="730074"/>
    <m/>
    <m/>
    <m/>
  </r>
  <r>
    <x v="0"/>
    <x v="2"/>
    <s v="\\192.168.24.208\images\R&amp;D\Amira\20210302\plaque 1/@01 Evian + 0.2% DMSO/C1_02.tif "/>
    <s v=" 7765.1322 "/>
    <s v=" 69.4373 "/>
    <x v="0"/>
    <n v="539190"/>
    <m/>
    <m/>
    <m/>
  </r>
  <r>
    <x v="0"/>
    <x v="2"/>
    <s v="\\192.168.24.208\images\R&amp;D\Amira\20210302\plaque 1/@01 Evian + 0.2% DMSO/C1_03.tif "/>
    <s v=" 5969.8509 "/>
    <s v=" 68.2609 "/>
    <x v="0"/>
    <n v="407507"/>
    <m/>
    <m/>
    <m/>
  </r>
  <r>
    <x v="0"/>
    <x v="3"/>
    <s v="\\192.168.24.208\images\R&amp;D\Amira\20210302\plaque 1/@01 Evian + 0.2% DMSO/D1_01.tif "/>
    <s v=" 5926.5911 "/>
    <s v=" 72.3212 "/>
    <x v="0"/>
    <n v="428618"/>
    <m/>
    <m/>
    <m/>
  </r>
  <r>
    <x v="0"/>
    <x v="3"/>
    <s v="\\192.168.24.208\images\R&amp;D\Amira\20210302\plaque 1/@01 Evian + 0.2% DMSO/D1_02.tif "/>
    <s v=" 4499.0181 "/>
    <s v=" 70.5577 "/>
    <x v="0"/>
    <n v="317440"/>
    <m/>
    <m/>
    <m/>
  </r>
  <r>
    <x v="0"/>
    <x v="3"/>
    <s v="\\192.168.24.208\images\R&amp;D\Amira\20210302\plaque 1/@01 Evian + 0.2% DMSO/D1_03.tif "/>
    <s v=" 519.1175 "/>
    <s v=" 63.625 "/>
    <x v="0"/>
    <n v="33029"/>
    <m/>
    <m/>
    <m/>
  </r>
  <r>
    <x v="0"/>
    <x v="4"/>
    <s v="\\192.168.24.208\images\R&amp;D\Amira\20210302\plaque 1/@01 Evian + 0.2% DMSO/E1_01.tif "/>
    <s v=" 3979.9006 "/>
    <s v=" 67.3478 "/>
    <x v="0"/>
    <n v="268038"/>
    <m/>
    <m/>
    <m/>
  </r>
  <r>
    <x v="0"/>
    <x v="4"/>
    <s v="\\192.168.24.208\images\R&amp;D\Amira\20210302\plaque 1/@01 Evian + 0.2% DMSO/E1_02- exclu.tif"/>
    <m/>
    <m/>
    <x v="1"/>
    <m/>
    <m/>
    <m/>
    <m/>
  </r>
  <r>
    <x v="0"/>
    <x v="4"/>
    <s v="\\192.168.24.208\images\R&amp;D\Amira\20210302\plaque 1/@01 Evian + 0.2% DMSO/E1_03.tif "/>
    <s v=" 4585.5377 "/>
    <s v=" 65.9906 "/>
    <x v="0"/>
    <n v="302602"/>
    <m/>
    <m/>
    <m/>
  </r>
  <r>
    <x v="0"/>
    <x v="5"/>
    <s v="\\192.168.24.208\images\R&amp;D\Amira\20210302\plaque 1/@01 Evian + 0.2% DMSO/F1_01.tif "/>
    <s v=" 1492.4627 "/>
    <s v=" 65.1594 "/>
    <x v="0"/>
    <n v="97248"/>
    <m/>
    <m/>
    <m/>
  </r>
  <r>
    <x v="0"/>
    <x v="5"/>
    <s v="\\192.168.24.208\images\R&amp;D\Amira\20210302\plaque 1/@01 Evian + 0.2% DMSO/F1_02.tif "/>
    <s v=" 1860.1709 "/>
    <s v=" 64.1744 "/>
    <x v="0"/>
    <n v="119375"/>
    <m/>
    <m/>
    <m/>
  </r>
  <r>
    <x v="0"/>
    <x v="5"/>
    <s v="\\192.168.24.208\images\R&amp;D\Amira\20210302\plaque 1/@01 Evian + 0.2% DMSO/F1_03.tif "/>
    <s v=" 1730.3916 "/>
    <s v=" 67.275 "/>
    <x v="0"/>
    <n v="116412"/>
    <m/>
    <m/>
    <m/>
  </r>
  <r>
    <x v="0"/>
    <x v="6"/>
    <s v="\\192.168.24.208\images\R&amp;D\Amira\20210302\plaque 1/@01 Evian + 0.2% DMSO/G1_01.tif "/>
    <s v=" 259.5587 "/>
    <s v=" 62.5 "/>
    <x v="0"/>
    <n v="16222"/>
    <m/>
    <m/>
    <m/>
  </r>
  <r>
    <x v="0"/>
    <x v="6"/>
    <s v="\\192.168.24.208\images\R&amp;D\Amira\20210302\plaque 1/@01 Evian + 0.2% DMSO/G1_02.tif "/>
    <s v=" 237.9288 "/>
    <s v=" 63.6364 "/>
    <x v="0"/>
    <n v="15141"/>
    <m/>
    <m/>
    <m/>
  </r>
  <r>
    <x v="0"/>
    <x v="6"/>
    <s v="\\192.168.24.208\images\R&amp;D\Amira\20210302\plaque 1/@01 Evian + 0.2% DMSO/G1_03.tif "/>
    <s v=" 281.1886 "/>
    <s v=" 62.1538 "/>
    <x v="0"/>
    <n v="17477"/>
    <m/>
    <m/>
    <m/>
  </r>
  <r>
    <x v="0"/>
    <x v="7"/>
    <s v="\\192.168.24.208\images\R&amp;D\Amira\20210302\plaque 1/@01 Evian + 0.2% DMSO/H1_01.tif "/>
    <s v=" 346.0783 "/>
    <s v=" 64.4375 "/>
    <x v="0"/>
    <n v="22300"/>
    <m/>
    <m/>
    <m/>
  </r>
  <r>
    <x v="0"/>
    <x v="7"/>
    <s v="\\192.168.24.208\images\R&amp;D\Amira\20210302\plaque 1/@01 Evian + 0.2% DMSO/H1_02.tif "/>
    <s v=" 129.7794 "/>
    <s v=" 63.5 "/>
    <x v="0"/>
    <n v="8241"/>
    <m/>
    <m/>
    <m/>
  </r>
  <r>
    <x v="0"/>
    <x v="7"/>
    <s v="\\192.168.24.208\images\R&amp;D\Amira\20210302\plaque 1/@01 Evian + 0.2% DMSO/H1_03.tif "/>
    <s v=" 108.1495 "/>
    <s v=" 63.8 "/>
    <x v="0"/>
    <n v="6900"/>
    <m/>
    <m/>
    <m/>
  </r>
  <r>
    <x v="1"/>
    <x v="8"/>
    <s v=" "/>
    <m/>
    <m/>
    <x v="1"/>
    <m/>
    <m/>
    <m/>
    <m/>
  </r>
  <r>
    <x v="1"/>
    <x v="8"/>
    <s v="group "/>
    <s v=" "/>
    <s v=" mean of mean fluo "/>
    <x v="2"/>
    <s v=" mean of total fluo "/>
    <s v=" SD total fluo "/>
    <s v=" n fluorescent "/>
    <s v=" n total"/>
  </r>
  <r>
    <x v="0"/>
    <x v="9"/>
    <s v="\\192.168.24.208\images\R&amp;D\Amira\20210302\plaque 1/@01 Evian + 0.2% DMSO/ "/>
    <s v=" "/>
    <s v=" 67.2174 "/>
    <x v="3"/>
    <s v=" 285933.625 "/>
    <s v=" 292587.6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192.168.24.208\images\R&amp;D\Amira\20210302\plaque 1/@02 EE2 33.8/A2_01.tif "/>
    <s v=" 2119.7297 "/>
    <s v=" 64.7653 "/>
    <x v="0"/>
    <n v="137285"/>
    <m/>
    <m/>
    <m/>
  </r>
  <r>
    <x v="2"/>
    <x v="0"/>
    <s v="\\192.168.24.208\images\R&amp;D\Amira\20210302\plaque 1/@02 EE2 33.8/A2_02.tif "/>
    <s v=" 562.3773 "/>
    <s v=" 63.2692 "/>
    <x v="0"/>
    <n v="35581"/>
    <m/>
    <m/>
    <m/>
  </r>
  <r>
    <x v="2"/>
    <x v="0"/>
    <s v="\\192.168.24.208\images\R&amp;D\Amira\20210302\plaque 1/@02 EE2 33.8/A2_03.tif "/>
    <s v=" 2184.6194 "/>
    <s v=" 64.9802 "/>
    <x v="0"/>
    <n v="141957"/>
    <m/>
    <m/>
    <m/>
  </r>
  <r>
    <x v="2"/>
    <x v="1"/>
    <s v="\\192.168.24.208\images\R&amp;D\Amira\20210302\plaque 1/@02 EE2 33.8/B2_01- exclu.tif"/>
    <m/>
    <m/>
    <x v="1"/>
    <m/>
    <m/>
    <m/>
    <m/>
  </r>
  <r>
    <x v="2"/>
    <x v="1"/>
    <s v="\\192.168.24.208\images\R&amp;D\Amira\20210302\plaque 1/@02 EE2 33.8/B2_02.tif "/>
    <s v=" 281.1886 "/>
    <s v=" 63.0769 "/>
    <x v="0"/>
    <n v="17737"/>
    <m/>
    <m/>
    <m/>
  </r>
  <r>
    <x v="2"/>
    <x v="1"/>
    <s v="\\192.168.24.208\images\R&amp;D\Amira\20210302\plaque 1/@02 EE2 33.8/B2_03.tif "/>
    <s v=" 605.637 "/>
    <s v=" 65.3929 "/>
    <x v="0"/>
    <n v="39604"/>
    <m/>
    <m/>
    <m/>
  </r>
  <r>
    <x v="2"/>
    <x v="2"/>
    <s v="\\192.168.24.208\images\R&amp;D\Amira\20210302\plaque 1/@02 EE2 33.8/C2_01.tif "/>
    <s v=" 757.0463 "/>
    <s v=" 64.5429 "/>
    <x v="0"/>
    <n v="48862"/>
    <m/>
    <m/>
    <m/>
  </r>
  <r>
    <x v="2"/>
    <x v="2"/>
    <s v="\\192.168.24.208\images\R&amp;D\Amira\20210302\plaque 1/@02 EE2 33.8/C2_02.tif "/>
    <s v=" 151.4093 "/>
    <s v=" 63.7143 "/>
    <x v="0"/>
    <n v="9647"/>
    <m/>
    <m/>
    <m/>
  </r>
  <r>
    <x v="2"/>
    <x v="2"/>
    <s v="\\192.168.24.208\images\R&amp;D\Amira\20210302\plaque 1/@02 EE2 33.8/C2_03.tif "/>
    <s v=" 3460.7831 "/>
    <s v=" 66.9688 "/>
    <x v="0"/>
    <n v="231764"/>
    <m/>
    <m/>
    <m/>
  </r>
  <r>
    <x v="2"/>
    <x v="3"/>
    <s v="\\192.168.24.208\images\R&amp;D\Amira\20210302\plaque 1/@02 EE2 33.8/D2_01.tif "/>
    <s v=" 1276.1638 "/>
    <s v=" 65.3898 "/>
    <x v="0"/>
    <n v="83448"/>
    <m/>
    <m/>
    <m/>
  </r>
  <r>
    <x v="2"/>
    <x v="3"/>
    <s v="\\192.168.24.208\images\R&amp;D\Amira\20210302\plaque 1/@02 EE2 33.8/D2_02.tif "/>
    <s v=" 1989.9503 "/>
    <s v=" 65.1087 "/>
    <x v="0"/>
    <n v="129563"/>
    <m/>
    <m/>
    <m/>
  </r>
  <r>
    <x v="2"/>
    <x v="3"/>
    <s v="\\192.168.24.208\images\R&amp;D\Amira\20210302\plaque 1/@02 EE2 33.8/D2_03.tif "/>
    <s v=" 1168.0143 "/>
    <s v=" 63.8333 "/>
    <x v="0"/>
    <n v="74558"/>
    <m/>
    <m/>
    <m/>
  </r>
  <r>
    <x v="2"/>
    <x v="4"/>
    <s v="\\192.168.24.208\images\R&amp;D\Amira\20210302\plaque 1/@02 EE2 33.8/E2_01.tif "/>
    <s v=" 800.3061 "/>
    <s v=" 62.9459 "/>
    <x v="0"/>
    <n v="50376"/>
    <m/>
    <m/>
    <m/>
  </r>
  <r>
    <x v="2"/>
    <x v="4"/>
    <s v="\\192.168.24.208\images\R&amp;D\Amira\20210302\plaque 1/@02 EE2 33.8/E2_02.tif "/>
    <s v=" 930.0855 "/>
    <s v=" 64.9767 "/>
    <x v="0"/>
    <n v="60434"/>
    <m/>
    <m/>
    <m/>
  </r>
  <r>
    <x v="2"/>
    <x v="4"/>
    <s v="\\192.168.24.208\images\R&amp;D\Amira\20210302\plaque 1/@02 EE2 33.8/E2_03.tif "/>
    <s v=" 1276.1638 "/>
    <s v=" 64.5085 "/>
    <x v="0"/>
    <n v="82323"/>
    <m/>
    <m/>
    <m/>
  </r>
  <r>
    <x v="2"/>
    <x v="5"/>
    <s v="\\192.168.24.208\images\R&amp;D\Amira\20210302\plaque 1/@02 EE2 33.8/F2_01- exclu.tif"/>
    <m/>
    <m/>
    <x v="1"/>
    <m/>
    <m/>
    <m/>
    <m/>
  </r>
  <r>
    <x v="2"/>
    <x v="5"/>
    <s v="\\192.168.24.208\images\R&amp;D\Amira\20210302\plaque 1/@02 EE2 33.8/F2_02.tif "/>
    <s v=" 908.4556 "/>
    <s v=" 63.381 "/>
    <x v="0"/>
    <n v="57579"/>
    <m/>
    <m/>
    <m/>
  </r>
  <r>
    <x v="2"/>
    <x v="5"/>
    <s v="\\192.168.24.208\images\R&amp;D\Amira\20210302\plaque 1/@02 EE2 33.8/F2_03.tif "/>
    <s v=" 519.1175 "/>
    <s v=" 64.25 "/>
    <x v="0"/>
    <n v="33353"/>
    <m/>
    <m/>
    <m/>
  </r>
  <r>
    <x v="2"/>
    <x v="6"/>
    <s v="\\192.168.24.208\images\R&amp;D\Amira\20210302\plaque 1/@02 EE2 33.8/G2_01- exclu.tif"/>
    <m/>
    <m/>
    <x v="1"/>
    <m/>
    <m/>
    <m/>
    <m/>
  </r>
  <r>
    <x v="2"/>
    <x v="6"/>
    <s v="\\192.168.24.208\images\R&amp;D\Amira\20210302\plaque 1/@02 EE2 33.8/G2_02.tif "/>
    <s v=" 1276.1638 "/>
    <s v=" 64.3898 "/>
    <x v="0"/>
    <n v="82172"/>
    <m/>
    <m/>
    <m/>
  </r>
  <r>
    <x v="2"/>
    <x v="6"/>
    <s v="\\192.168.24.208\images\R&amp;D\Amira\20210302\plaque 1/@02 EE2 33.8/G2_03.tif "/>
    <s v=" 1038.2349 "/>
    <s v=" 62.7292 "/>
    <x v="0"/>
    <n v="65128"/>
    <m/>
    <m/>
    <m/>
  </r>
  <r>
    <x v="2"/>
    <x v="7"/>
    <s v="\\192.168.24.208\images\R&amp;D\Amira\20210302\plaque 1/@02 EE2 33.8/H2_01.tif "/>
    <s v=" 31882.4647 "/>
    <s v=" 70.1554 "/>
    <x v="0"/>
    <n v="2236726"/>
    <m/>
    <m/>
    <m/>
  </r>
  <r>
    <x v="2"/>
    <x v="7"/>
    <s v="\\192.168.24.208\images\R&amp;D\Amira\20210302\plaque 1/@02 EE2 33.8/H2_02.tif "/>
    <s v=" 32790.9203 "/>
    <s v=" 70.3991 "/>
    <x v="0"/>
    <n v="2308451"/>
    <m/>
    <m/>
    <m/>
  </r>
  <r>
    <x v="2"/>
    <x v="7"/>
    <s v="\\192.168.24.208\images\R&amp;D\Amira\20210302\plaque 1/@02 EE2 33.8/H2_03.tif "/>
    <s v=" 33699.3758 "/>
    <s v=" 69.2895 "/>
    <x v="0"/>
    <n v="2335012"/>
    <m/>
    <m/>
    <m/>
  </r>
  <r>
    <x v="1"/>
    <x v="8"/>
    <s v=" "/>
    <m/>
    <m/>
    <x v="1"/>
    <m/>
    <m/>
    <m/>
    <m/>
  </r>
  <r>
    <x v="1"/>
    <x v="8"/>
    <s v="group "/>
    <s v=" "/>
    <s v=" mean of mean fluo "/>
    <x v="2"/>
    <s v=" mean of total fluo "/>
    <s v=" SD total fluo "/>
    <s v=" n fluorescent "/>
    <s v=" n total"/>
  </r>
  <r>
    <x v="2"/>
    <x v="9"/>
    <s v="\\192.168.24.208\images\R&amp;D\Amira\20210302\plaque 1/@02 EE2 33.8/ "/>
    <s v=" "/>
    <s v=" 64.9523 "/>
    <x v="4"/>
    <s v=" 351354.208 "/>
    <s v=" 751546.57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192.168.24.208\images\R&amp;D\Amira\20210302\plaque 1/@03 EE2 50.6/A3_01.tif "/>
    <s v=" 9019.6661 "/>
    <s v=" 72.0024 "/>
    <x v="0"/>
    <n v="649438"/>
    <m/>
    <m/>
    <m/>
  </r>
  <r>
    <x v="3"/>
    <x v="0"/>
    <s v="\\192.168.24.208\images\R&amp;D\Amira\20210302\plaque 1/@03 EE2 50.6/A3_02.tif "/>
    <s v=" 3915.0109 "/>
    <s v=" 64.1768 "/>
    <x v="0"/>
    <n v="251253"/>
    <m/>
    <m/>
    <m/>
  </r>
  <r>
    <x v="3"/>
    <x v="0"/>
    <s v="\\192.168.24.208\images\R&amp;D\Amira\20210302\plaque 1/@03 EE2 50.6/A3_03.tif "/>
    <s v=" 2790.2564 "/>
    <s v=" 63.8992 "/>
    <x v="0"/>
    <n v="178295"/>
    <m/>
    <m/>
    <m/>
  </r>
  <r>
    <x v="3"/>
    <x v="1"/>
    <s v="\\192.168.24.208\images\R&amp;D\Amira\20210302\plaque 1/@03 EE2 50.6/B3_01.tif "/>
    <s v=" 1881.8008 "/>
    <s v=" 64.0115 "/>
    <x v="0"/>
    <n v="120457"/>
    <m/>
    <m/>
    <m/>
  </r>
  <r>
    <x v="3"/>
    <x v="1"/>
    <s v="\\192.168.24.208\images\R&amp;D\Amira\20210302\plaque 1/@03 EE2 50.6/B3_02.tif "/>
    <s v=" 1016.605 "/>
    <s v=" 62.6809 "/>
    <x v="0"/>
    <n v="63722"/>
    <m/>
    <m/>
    <m/>
  </r>
  <r>
    <x v="3"/>
    <x v="1"/>
    <s v="\\192.168.24.208\images\R&amp;D\Amira\20210302\plaque 1/@03 EE2 50.6/B3_03.tif "/>
    <s v=" 994.9752 "/>
    <s v=" 64.9565 "/>
    <x v="0"/>
    <n v="64630"/>
    <m/>
    <m/>
    <m/>
  </r>
  <r>
    <x v="3"/>
    <x v="2"/>
    <s v="\\192.168.24.208\images\R&amp;D\Amira\20210302\plaque 1/@03 EE2 50.6/C3_01- exclu.tif"/>
    <m/>
    <m/>
    <x v="1"/>
    <m/>
    <m/>
    <m/>
    <m/>
  </r>
  <r>
    <x v="3"/>
    <x v="2"/>
    <s v="\\192.168.24.208\images\R&amp;D\Amira\20210302\plaque 1/@03 EE2 50.6/C3_02.tif "/>
    <s v=" 2011.5802 "/>
    <s v=" 63.8065 "/>
    <x v="0"/>
    <n v="128352"/>
    <m/>
    <m/>
    <m/>
  </r>
  <r>
    <x v="3"/>
    <x v="2"/>
    <s v="\\192.168.24.208\images\R&amp;D\Amira\20210302\plaque 1/@03 EE2 50.6/C3_03.tif "/>
    <s v=" 886.8257 "/>
    <s v=" 62.5854 "/>
    <x v="0"/>
    <n v="55502"/>
    <m/>
    <m/>
    <m/>
  </r>
  <r>
    <x v="3"/>
    <x v="3"/>
    <s v="\\192.168.24.208\images\R&amp;D\Amira\20210302\plaque 1/@03 EE2 50.6/D3_01.tif "/>
    <s v=" 2054.84 "/>
    <s v=" 65.0947 "/>
    <x v="0"/>
    <n v="133759"/>
    <m/>
    <m/>
    <m/>
  </r>
  <r>
    <x v="3"/>
    <x v="3"/>
    <s v="\\192.168.24.208\images\R&amp;D\Amira\20210302\plaque 1/@03 EE2 50.6/D3_02.tif "/>
    <s v=" 627.2669 "/>
    <s v=" 63.1034 "/>
    <x v="0"/>
    <n v="39583"/>
    <m/>
    <m/>
    <m/>
  </r>
  <r>
    <x v="3"/>
    <x v="3"/>
    <s v="\\192.168.24.208\images\R&amp;D\Amira\20210302\plaque 1/@03 EE2 50.6/D3_03.tif "/>
    <s v=" 259.5587 "/>
    <s v=" 63.25 "/>
    <x v="0"/>
    <n v="16417"/>
    <m/>
    <m/>
    <m/>
  </r>
  <r>
    <x v="3"/>
    <x v="4"/>
    <s v="\\192.168.24.208\images\R&amp;D\Amira\20210302\plaque 1/@03 EE2 50.6/E3_01.tif "/>
    <s v=" 37809.0558 "/>
    <s v=" 86.4834 "/>
    <x v="0"/>
    <n v="3269856"/>
    <m/>
    <m/>
    <m/>
  </r>
  <r>
    <x v="3"/>
    <x v="4"/>
    <s v="\\192.168.24.208\images\R&amp;D\Amira\20210302\plaque 1/@03 EE2 50.6/E3_02.tif "/>
    <s v=" 44600.8427 "/>
    <s v=" 85.1431 "/>
    <x v="0"/>
    <n v="3797452"/>
    <m/>
    <m/>
    <m/>
  </r>
  <r>
    <x v="3"/>
    <x v="4"/>
    <s v="\\192.168.24.208\images\R&amp;D\Amira\20210302\plaque 1/@03 EE2 50.6/E3_03.tif "/>
    <s v=" 34759.2407 "/>
    <s v=" 89.3074 "/>
    <x v="0"/>
    <n v="3104258"/>
    <m/>
    <m/>
    <m/>
  </r>
  <r>
    <x v="3"/>
    <x v="5"/>
    <s v="\\192.168.24.208\images\R&amp;D\Amira\20210302\plaque 1/@03 EE2 50.6/F3_01.tif "/>
    <s v=" 627.2669 "/>
    <s v=" 63.1379 "/>
    <x v="0"/>
    <n v="39604"/>
    <m/>
    <m/>
    <m/>
  </r>
  <r>
    <x v="3"/>
    <x v="5"/>
    <s v="\\192.168.24.208\images\R&amp;D\Amira\20210302\plaque 1/@03 EE2 50.6/F3_02.tif "/>
    <s v=" 4001.5305 "/>
    <s v=" 69.0865 "/>
    <x v="0"/>
    <n v="276452"/>
    <m/>
    <m/>
    <m/>
  </r>
  <r>
    <x v="3"/>
    <x v="5"/>
    <s v="\\192.168.24.208\images\R&amp;D\Amira\20210302\plaque 1/@03 EE2 50.6/F3_03.tif "/>
    <s v=" 1600.6122 "/>
    <s v=" 63.3649 "/>
    <x v="0"/>
    <n v="101423"/>
    <m/>
    <m/>
    <m/>
  </r>
  <r>
    <x v="3"/>
    <x v="6"/>
    <s v="\\192.168.24.208\images\R&amp;D\Amira\20210302\plaque 1/@03 EE2 50.6/G3_01.tif "/>
    <s v=" 1470.8328 "/>
    <s v=" 63.1029 "/>
    <x v="0"/>
    <n v="92814"/>
    <m/>
    <m/>
    <m/>
  </r>
  <r>
    <x v="3"/>
    <x v="6"/>
    <s v="\\192.168.24.208\images\R&amp;D\Amira\20210302\plaque 1/@03 EE2 50.6/G3_02.tif "/>
    <s v=" 1146.3844 "/>
    <s v=" 63.1509 "/>
    <x v="0"/>
    <n v="72395"/>
    <m/>
    <m/>
    <m/>
  </r>
  <r>
    <x v="3"/>
    <x v="6"/>
    <s v="\\192.168.24.208\images\R&amp;D\Amira\20210302\plaque 1/@03 EE2 50.6/G3_03.tif "/>
    <s v=" 2682.1069 "/>
    <s v=" 64.5323 "/>
    <x v="0"/>
    <n v="173082"/>
    <m/>
    <m/>
    <m/>
  </r>
  <r>
    <x v="3"/>
    <x v="7"/>
    <s v="\\192.168.24.208\images\R&amp;D\Amira\20210302\plaque 1/@03 EE2 50.6/H3_01.tif "/>
    <s v=" 4434.1284 "/>
    <s v=" 63.5561 "/>
    <x v="0"/>
    <n v="281816"/>
    <m/>
    <m/>
    <m/>
  </r>
  <r>
    <x v="3"/>
    <x v="7"/>
    <s v="\\192.168.24.208\images\R&amp;D\Amira\20210302\plaque 1/@03 EE2 50.6/H3_02.tif "/>
    <s v=" 8500.5486 "/>
    <s v=" 64.8244 "/>
    <x v="0"/>
    <n v="551043"/>
    <m/>
    <m/>
    <m/>
  </r>
  <r>
    <x v="3"/>
    <x v="7"/>
    <s v="\\192.168.24.208\images\R&amp;D\Amira\20210302\plaque 1/@03 EE2 50.6/H3_03.tif "/>
    <s v=" 4239.4593 "/>
    <s v=" 63.9796 "/>
    <x v="0"/>
    <n v="271239"/>
    <m/>
    <m/>
    <m/>
  </r>
  <r>
    <x v="1"/>
    <x v="8"/>
    <s v=" "/>
    <m/>
    <m/>
    <x v="1"/>
    <m/>
    <m/>
    <m/>
    <m/>
  </r>
  <r>
    <x v="1"/>
    <x v="8"/>
    <s v="group "/>
    <s v=" "/>
    <s v=" mean of mean fluo "/>
    <x v="2"/>
    <s v=" mean of total fluo "/>
    <s v=" SD total fluo "/>
    <s v=" n fluorescent "/>
    <s v=" n total"/>
  </r>
  <r>
    <x v="3"/>
    <x v="9"/>
    <s v="\\192.168.24.208\images\R&amp;D\Amira\20210302\plaque 1/@03 EE2 50.6/ "/>
    <s v=" "/>
    <s v=" 67.2211 "/>
    <x v="5"/>
    <s v=" 576416.875 "/>
    <s v=" 1102419.2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192.168.24.208\images\R&amp;D\Amira\20210302\plaque 1/@04 EE2 76/A4_01.tif "/>
    <s v=" 4088.0501 "/>
    <s v=" 63.7407 "/>
    <x v="0"/>
    <n v="260575"/>
    <m/>
    <m/>
    <m/>
  </r>
  <r>
    <x v="4"/>
    <x v="0"/>
    <s v="\\192.168.24.208\images\R&amp;D\Amira\20210302\plaque 1/@04 EE2 76/A4_02.tif "/>
    <s v=" 3633.8223 "/>
    <s v=" 63.5119 "/>
    <x v="0"/>
    <n v="230791"/>
    <m/>
    <m/>
    <m/>
  </r>
  <r>
    <x v="4"/>
    <x v="0"/>
    <s v="\\192.168.24.208\images\R&amp;D\Amira\20210302\plaque 1/@04 EE2 76/A4_03.tif "/>
    <s v=" 2011.5802 "/>
    <s v=" 62.7742 "/>
    <x v="0"/>
    <n v="126275"/>
    <m/>
    <m/>
    <m/>
  </r>
  <r>
    <x v="4"/>
    <x v="1"/>
    <s v="\\192.168.24.208\images\R&amp;D\Amira\20210302\plaque 1/@04 EE2 76/B4_01.tif "/>
    <s v=" 2249.509 "/>
    <s v=" 63.2308 "/>
    <x v="0"/>
    <n v="142238"/>
    <m/>
    <m/>
    <m/>
  </r>
  <r>
    <x v="4"/>
    <x v="1"/>
    <s v="\\192.168.24.208\images\R&amp;D\Amira\20210302\plaque 1/@04 EE2 76/B4_02.tif "/>
    <s v=" 1708.7617 "/>
    <s v=" 63.3291 "/>
    <x v="0"/>
    <n v="108214"/>
    <m/>
    <m/>
    <m/>
  </r>
  <r>
    <x v="4"/>
    <x v="1"/>
    <s v="\\192.168.24.208\images\R&amp;D\Amira\20210302\plaque 1/@04 EE2 76/B4_03.tif "/>
    <s v=" 2400.9183 "/>
    <s v=" 62.8378 "/>
    <x v="0"/>
    <n v="150869"/>
    <m/>
    <m/>
    <m/>
  </r>
  <r>
    <x v="4"/>
    <x v="2"/>
    <s v="\\192.168.24.208\images\R&amp;D\Amira\20210302\plaque 1/@04 EE2 76/C4_01.tif "/>
    <s v=" 2271.1389 "/>
    <s v=" 65.619 "/>
    <x v="0"/>
    <n v="149030"/>
    <m/>
    <m/>
    <m/>
  </r>
  <r>
    <x v="4"/>
    <x v="2"/>
    <s v="\\192.168.24.208\images\R&amp;D\Amira\20210302\plaque 1/@04 EE2 76/C4_02.tif "/>
    <s v=" 1016.605 "/>
    <s v=" 63.9362 "/>
    <x v="0"/>
    <n v="64998"/>
    <m/>
    <m/>
    <m/>
  </r>
  <r>
    <x v="4"/>
    <x v="2"/>
    <s v="\\192.168.24.208\images\R&amp;D\Amira\20210302\plaque 1/@04 EE2 76/C4_03.tif "/>
    <s v=" 1189.6442 "/>
    <s v=" 65.0182 "/>
    <x v="0"/>
    <n v="77349"/>
    <m/>
    <m/>
    <m/>
  </r>
  <r>
    <x v="4"/>
    <x v="3"/>
    <s v="\\192.168.24.208\images\R&amp;D\Amira\20210302\plaque 1/@04 EE2 76/D4_01.tif "/>
    <s v=" 22149.0121 "/>
    <s v=" 66.5967 "/>
    <x v="0"/>
    <n v="1475051"/>
    <m/>
    <m/>
    <m/>
  </r>
  <r>
    <x v="4"/>
    <x v="3"/>
    <s v="\\192.168.24.208\images\R&amp;D\Amira\20210302\plaque 1/@04 EE2 76/D4_02.tif "/>
    <s v=" 25566.5355 "/>
    <s v=" 67.2758 "/>
    <x v="0"/>
    <n v="1720009"/>
    <m/>
    <m/>
    <m/>
  </r>
  <r>
    <x v="4"/>
    <x v="3"/>
    <s v="\\192.168.24.208\images\R&amp;D\Amira\20210302\plaque 1/@04 EE2 76/D4_03.tif "/>
    <s v=" 21954.343 "/>
    <s v=" 67.0749 "/>
    <x v="0"/>
    <n v="1472585"/>
    <m/>
    <m/>
    <m/>
  </r>
  <r>
    <x v="4"/>
    <x v="4"/>
    <s v="\\192.168.24.208\images\R&amp;D\Amira\20210302\plaque 1/@04 EE2 76/E4_01.tif "/>
    <s v=" 27318.5569 "/>
    <s v=" 68.1275 "/>
    <x v="0"/>
    <n v="1861144"/>
    <m/>
    <m/>
    <m/>
  </r>
  <r>
    <x v="4"/>
    <x v="4"/>
    <s v="\\192.168.24.208\images\R&amp;D\Amira\20210302\plaque 1/@04 EE2 76/E4_02.tif "/>
    <s v=" 23143.9873 "/>
    <s v=" 67.2065 "/>
    <x v="0"/>
    <n v="1555427"/>
    <m/>
    <m/>
    <m/>
  </r>
  <r>
    <x v="4"/>
    <x v="4"/>
    <s v="\\192.168.24.208\images\R&amp;D\Amira\20210302\plaque 1/@04 EE2 76/E4_03.tif "/>
    <s v=" 21629.8946 "/>
    <s v=" 67.293 "/>
    <x v="0"/>
    <n v="1455540"/>
    <m/>
    <m/>
    <m/>
  </r>
  <r>
    <x v="4"/>
    <x v="5"/>
    <s v="\\192.168.24.208\images\R&amp;D\Amira\20210302\plaque 1/@04 EE2 76/F4_01.tif "/>
    <s v=" 18644.9692 "/>
    <s v=" 67.9687 "/>
    <x v="0"/>
    <n v="1267274"/>
    <m/>
    <m/>
    <m/>
  </r>
  <r>
    <x v="4"/>
    <x v="5"/>
    <s v="\\192.168.24.208\images\R&amp;D\Amira\20210302\plaque 1/@04 EE2 76/F4_02.tif "/>
    <s v=" 11290.805 "/>
    <s v=" 64.7663 "/>
    <x v="0"/>
    <n v="731263"/>
    <m/>
    <m/>
    <m/>
  </r>
  <r>
    <x v="4"/>
    <x v="5"/>
    <s v="\\192.168.24.208\images\R&amp;D\Amira\20210302\plaque 1/@04 EE2 76/F4_03.tif "/>
    <s v=" 8565.4383 "/>
    <s v=" 64.7753 "/>
    <x v="0"/>
    <n v="554828"/>
    <m/>
    <m/>
    <m/>
  </r>
  <r>
    <x v="4"/>
    <x v="6"/>
    <s v="\\192.168.24.208\images\R&amp;D\Amira\20210302\plaque 1/@04 EE2 76/G4_01.tif "/>
    <s v=" 3309.3739 "/>
    <s v=" 65.3529 "/>
    <x v="0"/>
    <n v="216277"/>
    <m/>
    <m/>
    <m/>
  </r>
  <r>
    <x v="4"/>
    <x v="6"/>
    <s v="\\192.168.24.208\images\R&amp;D\Amira\20210302\plaque 1/@04 EE2 76/G4_02.tif "/>
    <s v=" 1665.5019 "/>
    <s v=" 63.2338 "/>
    <x v="0"/>
    <n v="105316"/>
    <m/>
    <m/>
    <m/>
  </r>
  <r>
    <x v="4"/>
    <x v="6"/>
    <s v="\\192.168.24.208\images\R&amp;D\Amira\20210302\plaque 1/@04 EE2 76/G4_03.tif "/>
    <s v=" 1860.1709 "/>
    <s v=" 63.186 "/>
    <x v="0"/>
    <n v="117537"/>
    <m/>
    <m/>
    <m/>
  </r>
  <r>
    <x v="4"/>
    <x v="7"/>
    <s v="\\192.168.24.208\images\R&amp;D\Amira\20210302\plaque 1/@04 EE2 76/H4_01.tif "/>
    <s v=" 7527.2033 "/>
    <s v=" 64.181 "/>
    <x v="0"/>
    <n v="483104"/>
    <m/>
    <m/>
    <m/>
  </r>
  <r>
    <x v="4"/>
    <x v="7"/>
    <s v="\\192.168.24.208\images\R&amp;D\Amira\20210302\plaque 1/@04 EE2 76/H4_02.tif "/>
    <s v=" 3439.1532 "/>
    <s v=" 63.044 "/>
    <x v="0"/>
    <n v="216818"/>
    <m/>
    <m/>
    <m/>
  </r>
  <r>
    <x v="4"/>
    <x v="7"/>
    <s v="\\192.168.24.208\images\R&amp;D\Amira\20210302\plaque 1/@04 EE2 76/H4_03.tif "/>
    <s v=" 5775.1819 "/>
    <s v=" 64.3933 "/>
    <x v="0"/>
    <n v="371883"/>
    <m/>
    <m/>
    <m/>
  </r>
  <r>
    <x v="1"/>
    <x v="8"/>
    <s v=" "/>
    <m/>
    <m/>
    <x v="1"/>
    <m/>
    <m/>
    <m/>
    <m/>
  </r>
  <r>
    <x v="1"/>
    <x v="8"/>
    <s v="group "/>
    <s v=" "/>
    <s v=" mean of mean fluo "/>
    <x v="2"/>
    <s v=" mean of total fluo "/>
    <s v=" SD total fluo "/>
    <s v=" n fluorescent "/>
    <s v=" n total"/>
  </r>
  <r>
    <x v="4"/>
    <x v="9"/>
    <s v="\\192.168.24.208\images\R&amp;D\Amira\20210302\plaque 1/@04 EE2 76/ "/>
    <s v=" "/>
    <s v=" 64.9364 "/>
    <x v="6"/>
    <s v=" 621433.125 "/>
    <s v=" 632434.65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192.168.24.208\images\R&amp;D\Amira\20210302\plaque 1/@05 EE2 114/A5_01.tif "/>
    <s v=" 35797.4756 "/>
    <s v=" 70.2562 "/>
    <x v="0"/>
    <n v="2514994"/>
    <m/>
    <m/>
    <m/>
  </r>
  <r>
    <x v="5"/>
    <x v="0"/>
    <s v="\\192.168.24.208\images\R&amp;D\Amira\20210302\plaque 1/@05 EE2 114/A5_02.tif "/>
    <s v=" 27621.3754 "/>
    <s v=" 68.0673 "/>
    <x v="0"/>
    <n v="1880114"/>
    <m/>
    <m/>
    <m/>
  </r>
  <r>
    <x v="5"/>
    <x v="0"/>
    <s v="\\192.168.24.208\images\R&amp;D\Amira\20210302\plaque 1/@05 EE2 114/A5_03.tif "/>
    <s v=" 33418.1872 "/>
    <s v=" 69.3735 "/>
    <x v="0"/>
    <n v="2318335"/>
    <m/>
    <m/>
    <m/>
  </r>
  <r>
    <x v="5"/>
    <x v="1"/>
    <s v="\\192.168.24.208\images\R&amp;D\Amira\20210302\plaque 1/@05 EE2 114/B5_01.tif "/>
    <s v=" 49705.4979 "/>
    <s v=" 69.8299 "/>
    <x v="0"/>
    <n v="3470928"/>
    <m/>
    <m/>
    <m/>
  </r>
  <r>
    <x v="5"/>
    <x v="1"/>
    <s v="\\192.168.24.208\images\R&amp;D\Amira\20210302\plaque 1/@05 EE2 114/B5_02.tif "/>
    <s v=" 46677.3126 "/>
    <s v=" 69.968 "/>
    <x v="0"/>
    <n v="3265919"/>
    <m/>
    <m/>
    <m/>
  </r>
  <r>
    <x v="5"/>
    <x v="1"/>
    <s v="\\192.168.24.208\images\R&amp;D\Amira\20210302\plaque 1/@05 EE2 114/B5_03.tif "/>
    <s v=" 45877.0065 "/>
    <s v=" 69.7949 "/>
    <x v="0"/>
    <n v="3201981"/>
    <m/>
    <m/>
    <m/>
  </r>
  <r>
    <x v="5"/>
    <x v="2"/>
    <s v="\\192.168.24.208\images\R&amp;D\Amira\20210302\plaque 1/@05 EE2 114/C5_01.tif "/>
    <s v=" 50029.9463 "/>
    <s v=" 73.8124 "/>
    <x v="0"/>
    <n v="3692829"/>
    <m/>
    <m/>
    <m/>
  </r>
  <r>
    <x v="5"/>
    <x v="2"/>
    <s v="\\192.168.24.208\images\R&amp;D\Amira\20210302\plaque 1/@05 EE2 114/C5_02.tif "/>
    <s v=" 42502.7429 "/>
    <s v=" 71.6519 "/>
    <x v="0"/>
    <n v="3045403"/>
    <m/>
    <m/>
    <m/>
  </r>
  <r>
    <x v="5"/>
    <x v="2"/>
    <s v="\\192.168.24.208\images\R&amp;D\Amira\20210302\plaque 1/@05 EE2 114/C5_03.tif "/>
    <s v=" 35862.3653 "/>
    <s v=" 68.1224 "/>
    <x v="0"/>
    <n v="2443032"/>
    <m/>
    <m/>
    <m/>
  </r>
  <r>
    <x v="5"/>
    <x v="3"/>
    <s v="\\192.168.24.208\images\R&amp;D\Amira\20210302\plaque 1/@05 EE2 114/D5_01.tif "/>
    <s v=" 43411.1985 "/>
    <s v=" 71.5969 "/>
    <x v="0"/>
    <n v="3108108"/>
    <m/>
    <m/>
    <m/>
  </r>
  <r>
    <x v="5"/>
    <x v="3"/>
    <s v="\\192.168.24.208\images\R&amp;D\Amira\20210302\plaque 1/@05 EE2 114/D5_02.tif "/>
    <s v=" 47520.8785 "/>
    <s v=" 72.1165 "/>
    <x v="0"/>
    <n v="3427041"/>
    <m/>
    <m/>
    <m/>
  </r>
  <r>
    <x v="5"/>
    <x v="3"/>
    <s v="\\192.168.24.208\images\R&amp;D\Amira\20210302\plaque 1/@05 EE2 114/D5_03.tif "/>
    <s v=" 40620.9421 "/>
    <s v=" 69.7764 "/>
    <x v="0"/>
    <n v="2834381"/>
    <m/>
    <m/>
    <m/>
  </r>
  <r>
    <x v="5"/>
    <x v="4"/>
    <s v="\\192.168.24.208\images\R&amp;D\Amira\20210302\plaque 1/@05 EE2 114/E5_01.tif "/>
    <s v=" 15357.2252 "/>
    <s v=" 65.793 "/>
    <x v="0"/>
    <n v="1010397"/>
    <m/>
    <m/>
    <m/>
  </r>
  <r>
    <x v="5"/>
    <x v="4"/>
    <s v="\\192.168.24.208\images\R&amp;D\Amira\20210302\plaque 1/@05 EE2 114/E5_02.tif "/>
    <s v=" 23338.6563 "/>
    <s v=" 68.3652 "/>
    <x v="0"/>
    <n v="1595551"/>
    <m/>
    <m/>
    <m/>
  </r>
  <r>
    <x v="5"/>
    <x v="4"/>
    <s v="\\192.168.24.208\images\R&amp;D\Amira\20210302\plaque 1/@05 EE2 114/E5_03.tif "/>
    <s v=" 21197.2967 "/>
    <s v=" 67.5194 "/>
    <x v="0"/>
    <n v="1431228"/>
    <m/>
    <m/>
    <m/>
  </r>
  <r>
    <x v="5"/>
    <x v="5"/>
    <s v="\\192.168.24.208\images\R&amp;D\Amira\20210302\plaque 1/@05 EE2 114/F5_01- exclu.tif"/>
    <m/>
    <m/>
    <x v="1"/>
    <m/>
    <m/>
    <m/>
    <m/>
  </r>
  <r>
    <x v="5"/>
    <x v="5"/>
    <s v="\\192.168.24.208\images\R&amp;D\Amira\20210302\plaque 1/@05 EE2 114/F5_02.tif "/>
    <s v=" 30671.1906 "/>
    <s v=" 66.9013 "/>
    <x v="0"/>
    <n v="2051942"/>
    <m/>
    <m/>
    <m/>
  </r>
  <r>
    <x v="5"/>
    <x v="5"/>
    <s v="\\192.168.24.208\images\R&amp;D\Amira\20210302\plaque 1/@05 EE2 114/F5_03.tif "/>
    <s v=" 23901.0336 "/>
    <s v=" 66.3303 "/>
    <x v="0"/>
    <n v="1585363"/>
    <m/>
    <m/>
    <m/>
  </r>
  <r>
    <x v="5"/>
    <x v="6"/>
    <s v="\\192.168.24.208\images\R&amp;D\Amira\20210302\plaque 1/@05 EE2 114/G5_01.tif "/>
    <s v=" 26691.29 "/>
    <s v=" 67.8023 "/>
    <x v="0"/>
    <n v="1809730"/>
    <m/>
    <m/>
    <m/>
  </r>
  <r>
    <x v="5"/>
    <x v="6"/>
    <s v="\\192.168.24.208\images\R&amp;D\Amira\20210302\plaque 1/@05 EE2 114/G5_02.tif "/>
    <s v=" 22754.6491 "/>
    <s v=" 70.0409 "/>
    <x v="0"/>
    <n v="1593756"/>
    <m/>
    <m/>
    <m/>
  </r>
  <r>
    <x v="5"/>
    <x v="6"/>
    <s v="\\192.168.24.208\images\R&amp;D\Amira\20210302\plaque 1/@05 EE2 114/G5_03.tif "/>
    <s v=" 23187.247 "/>
    <s v=" 67.7304 "/>
    <x v="0"/>
    <n v="1570482"/>
    <m/>
    <m/>
    <m/>
  </r>
  <r>
    <x v="5"/>
    <x v="7"/>
    <s v="\\192.168.24.208\images\R&amp;D\Amira\20210302\plaque 1/@05 EE2 114/H5_01.tif "/>
    <s v=" 35473.0272 "/>
    <s v=" 74.2927 "/>
    <x v="0"/>
    <n v="2635386"/>
    <m/>
    <m/>
    <m/>
  </r>
  <r>
    <x v="5"/>
    <x v="7"/>
    <s v="\\192.168.24.208\images\R&amp;D\Amira\20210302\plaque 1/@05 EE2 114/H5_02.tif "/>
    <s v=" 33915.6748 "/>
    <s v=" 73.2774 "/>
    <x v="0"/>
    <n v="2485253"/>
    <m/>
    <m/>
    <m/>
  </r>
  <r>
    <x v="5"/>
    <x v="7"/>
    <s v="\\192.168.24.208\images\R&amp;D\Amira\20210302\plaque 1/@05 EE2 114/H5_03.tif "/>
    <s v=" 35386.5076 "/>
    <s v=" 74.5831 "/>
    <x v="0"/>
    <n v="2639236"/>
    <m/>
    <m/>
    <m/>
  </r>
  <r>
    <x v="1"/>
    <x v="8"/>
    <s v=" "/>
    <m/>
    <m/>
    <x v="1"/>
    <m/>
    <m/>
    <m/>
    <m/>
  </r>
  <r>
    <x v="1"/>
    <x v="8"/>
    <s v="group "/>
    <s v=" "/>
    <s v=" mean of mean fluo "/>
    <x v="2"/>
    <s v=" mean of total fluo "/>
    <s v=" SD total fluo "/>
    <s v=" n fluorescent "/>
    <s v=" n total"/>
  </r>
  <r>
    <x v="5"/>
    <x v="9"/>
    <s v="\\192.168.24.208\images\R&amp;D\Amira\20210302\plaque 1/@05 EE2 114/ "/>
    <s v=" "/>
    <s v=" 69.5993 "/>
    <x v="7"/>
    <s v=" 2323424.71 "/>
    <s v=" 877020.92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192.168.24.208\images\R&amp;D\Amira\20210302\plaque 1/@06 EE2 170.9/A6_01.tif "/>
    <s v=" 57449.0001 "/>
    <s v=" 103.4823 "/>
    <x v="0"/>
    <n v="5944955"/>
    <m/>
    <m/>
    <m/>
  </r>
  <r>
    <x v="6"/>
    <x v="0"/>
    <s v="\\192.168.24.208\images\R&amp;D\Amira\20210302\plaque 1/@06 EE2 170.9/A6_02.tif "/>
    <s v=" 61493.7904 "/>
    <s v=" 97.4369 "/>
    <x v="0"/>
    <n v="5991762"/>
    <m/>
    <m/>
    <m/>
  </r>
  <r>
    <x v="6"/>
    <x v="0"/>
    <s v="\\192.168.24.208\images\R&amp;D\Amira\20210302\plaque 1/@06 EE2 170.9/A6_03.tif "/>
    <s v=" 58681.9041 "/>
    <s v=" 98.5599 "/>
    <x v="0"/>
    <n v="5783682"/>
    <m/>
    <m/>
    <m/>
  </r>
  <r>
    <x v="6"/>
    <x v="1"/>
    <s v="\\192.168.24.208\images\R&amp;D\Amira\20210302\plaque 1/@06 EE2 170.9/B6_01.tif "/>
    <s v=" 64305.6767 "/>
    <s v=" 79.9691 "/>
    <x v="0"/>
    <n v="5142464"/>
    <m/>
    <m/>
    <m/>
  </r>
  <r>
    <x v="6"/>
    <x v="1"/>
    <s v="\\192.168.24.208\images\R&amp;D\Amira\20210302\plaque 1/@06 EE2 170.9/B6_02.tif "/>
    <s v=" 67852.9795 "/>
    <s v=" 80.1288 "/>
    <x v="0"/>
    <n v="5436977"/>
    <m/>
    <m/>
    <m/>
  </r>
  <r>
    <x v="6"/>
    <x v="1"/>
    <s v="\\192.168.24.208\images\R&amp;D\Amira\20210302\plaque 1/@06 EE2 170.9/B6_03.tif "/>
    <s v=" 66966.1538 "/>
    <s v=" 78.1744 "/>
    <x v="0"/>
    <n v="5235040"/>
    <m/>
    <m/>
    <m/>
  </r>
  <r>
    <x v="6"/>
    <x v="2"/>
    <s v="\\192.168.24.208\images\R&amp;D\Amira\20210302\plaque 1/@06 EE2 170.9/C6_01.tif "/>
    <s v=" 48602.3732 "/>
    <s v=" 74.1397 "/>
    <x v="0"/>
    <n v="3603367"/>
    <m/>
    <m/>
    <m/>
  </r>
  <r>
    <x v="6"/>
    <x v="2"/>
    <s v="\\192.168.24.208\images\R&amp;D\Amira\20210302\plaque 1/@06 EE2 170.9/C6_02.tif "/>
    <s v=" 47088.2806 "/>
    <s v=" 73.3643 "/>
    <x v="0"/>
    <n v="3454597"/>
    <m/>
    <m/>
    <m/>
  </r>
  <r>
    <x v="6"/>
    <x v="2"/>
    <s v="\\192.168.24.208\images\R&amp;D\Amira\20210302\plaque 1/@06 EE2 170.9/C6_03.tif "/>
    <s v=" 41334.7286 "/>
    <s v=" 71.4699 "/>
    <x v="0"/>
    <n v="2954189"/>
    <m/>
    <m/>
    <m/>
  </r>
  <r>
    <x v="6"/>
    <x v="3"/>
    <s v="\\192.168.24.208\images\R&amp;D\Amira\20210302\plaque 1/@06 EE2 170.9/D6_01.tif "/>
    <s v=" 36619.4116 "/>
    <s v=" 83.7236 "/>
    <x v="0"/>
    <n v="3065908"/>
    <m/>
    <m/>
    <m/>
  </r>
  <r>
    <x v="6"/>
    <x v="3"/>
    <s v="\\192.168.24.208\images\R&amp;D\Amira\20210302\plaque 1/@06 EE2 170.9/D6_02.tif "/>
    <s v=" 33764.2655 "/>
    <s v=" 85.1147 "/>
    <x v="0"/>
    <n v="2873834"/>
    <m/>
    <m/>
    <m/>
  </r>
  <r>
    <x v="6"/>
    <x v="3"/>
    <s v="\\192.168.24.208\images\R&amp;D\Amira\20210302\plaque 1/@06 EE2 170.9/D6_03.tif "/>
    <s v=" 34196.8634 "/>
    <s v=" 82.0025 "/>
    <x v="0"/>
    <n v="2804229"/>
    <m/>
    <m/>
    <m/>
  </r>
  <r>
    <x v="6"/>
    <x v="4"/>
    <s v="\\192.168.24.208\images\R&amp;D\Amira\20210302\plaque 1/@06 EE2 170.9/E6_01.tif "/>
    <s v=" 41551.0276 "/>
    <s v=" 74.7522 "/>
    <x v="0"/>
    <n v="3106031"/>
    <m/>
    <m/>
    <m/>
  </r>
  <r>
    <x v="6"/>
    <x v="4"/>
    <s v="\\192.168.24.208\images\R&amp;D\Amira\20210302\plaque 1/@06 EE2 170.9/E6_02.tif "/>
    <s v=" 39972.0453 "/>
    <s v=" 72.9665 "/>
    <x v="0"/>
    <n v="2916618"/>
    <m/>
    <m/>
    <m/>
  </r>
  <r>
    <x v="6"/>
    <x v="4"/>
    <s v="\\192.168.24.208\images\R&amp;D\Amira\20210302\plaque 1/@06 EE2 170.9/E6_03.tif "/>
    <s v=" 33634.4861 "/>
    <s v=" 74.6875 "/>
    <x v="0"/>
    <n v="2512074"/>
    <m/>
    <m/>
    <m/>
  </r>
  <r>
    <x v="6"/>
    <x v="5"/>
    <s v="\\192.168.24.208\images\R&amp;D\Amira\20210302\plaque 1/@06 EE2 170.9/F6_01.tif "/>
    <s v=" 57081.2919 "/>
    <s v=" 77.9307 "/>
    <x v="0"/>
    <n v="4448382"/>
    <m/>
    <m/>
    <m/>
  </r>
  <r>
    <x v="6"/>
    <x v="5"/>
    <s v="\\192.168.24.208\images\R&amp;D\Amira\20210302\plaque 1/@06 EE2 170.9/F6_02.tif "/>
    <s v=" 53252.8006 "/>
    <s v=" 75.1064 "/>
    <x v="0"/>
    <n v="3999627"/>
    <m/>
    <m/>
    <m/>
  </r>
  <r>
    <x v="6"/>
    <x v="5"/>
    <s v="\\192.168.24.208\images\R&amp;D\Amira\20210302\plaque 1/@06 EE2 170.9/F6_03.tif "/>
    <s v=" 51370.9997 "/>
    <s v=" 80.2766 "/>
    <x v="0"/>
    <n v="4123891"/>
    <m/>
    <m/>
    <m/>
  </r>
  <r>
    <x v="6"/>
    <x v="6"/>
    <s v="\\192.168.24.208\images\R&amp;D\Amira\20210302\plaque 1/@06 EE2 170.9/G6_01- exclu.tif"/>
    <m/>
    <m/>
    <x v="1"/>
    <m/>
    <m/>
    <m/>
    <m/>
  </r>
  <r>
    <x v="6"/>
    <x v="6"/>
    <s v="\\192.168.24.208\images\R&amp;D\Amira\20210302\plaque 1/@06 EE2 170.9/G6_02- exclu.tif"/>
    <m/>
    <m/>
    <x v="1"/>
    <m/>
    <m/>
    <m/>
    <m/>
  </r>
  <r>
    <x v="6"/>
    <x v="6"/>
    <s v="\\192.168.24.208\images\R&amp;D\Amira\20210302\plaque 1/@06 EE2 170.9/G6_03- exclu.tif"/>
    <m/>
    <m/>
    <x v="1"/>
    <m/>
    <m/>
    <m/>
    <m/>
  </r>
  <r>
    <x v="6"/>
    <x v="7"/>
    <s v="\\192.168.24.208\images\R&amp;D\Amira\20210302\plaque 1/@06 EE2 170.9/H6_01- exclu.tif"/>
    <m/>
    <m/>
    <x v="1"/>
    <m/>
    <m/>
    <m/>
    <m/>
  </r>
  <r>
    <x v="6"/>
    <x v="7"/>
    <s v="\\192.168.24.208\images\R&amp;D\Amira\20210302\plaque 1/@06 EE2 170.9/H6_02- exclu.tif"/>
    <m/>
    <m/>
    <x v="1"/>
    <m/>
    <m/>
    <m/>
    <m/>
  </r>
  <r>
    <x v="6"/>
    <x v="7"/>
    <s v="\\192.168.24.208\images\R&amp;D\Amira\20210302\plaque 1/@06 EE2 170.9/H6_03- exclu.tif"/>
    <m/>
    <m/>
    <x v="1"/>
    <m/>
    <m/>
    <m/>
    <m/>
  </r>
  <r>
    <x v="1"/>
    <x v="8"/>
    <s v=" "/>
    <m/>
    <m/>
    <x v="1"/>
    <m/>
    <m/>
    <m/>
    <m/>
  </r>
  <r>
    <x v="1"/>
    <x v="8"/>
    <s v="group "/>
    <s v=" "/>
    <s v=" mean of mean fluo "/>
    <x v="2"/>
    <s v=" mean of total fluo "/>
    <s v=" SD total fluo "/>
    <s v=" n fluorescent "/>
    <s v=" n total"/>
  </r>
  <r>
    <x v="6"/>
    <x v="9"/>
    <s v="\\192.168.24.208\images\R&amp;D\Amira\20210302\plaque 1/@06 EE2 170.9/ "/>
    <s v=" "/>
    <s v=" 77.3806 "/>
    <x v="8"/>
    <n v="3060228"/>
    <s v=" 2082753.6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192.168.24.208\images\R&amp;D\Amira\20210302\plaque 1/@07 EE2 488/A7_01.tif "/>
    <s v=" 50116.4659 "/>
    <s v=" 98.3431 "/>
    <x v="0"/>
    <n v="4928609"/>
    <m/>
    <m/>
    <m/>
  </r>
  <r>
    <x v="7"/>
    <x v="0"/>
    <s v="\\192.168.24.208\images\R&amp;D\Amira\20210302\plaque 1/@07 EE2 488/A7_02.tif "/>
    <s v=" 52387.6048 "/>
    <s v=" 100.2085 "/>
    <x v="0"/>
    <n v="5249684"/>
    <m/>
    <m/>
    <m/>
  </r>
  <r>
    <x v="7"/>
    <x v="0"/>
    <s v="\\192.168.24.208\images\R&amp;D\Amira\20210302\plaque 1/@07 EE2 488/A7_03.tif "/>
    <s v=" 65646.7302 "/>
    <s v=" 84.6517 "/>
    <x v="0"/>
    <n v="5557109"/>
    <m/>
    <m/>
    <m/>
  </r>
  <r>
    <x v="7"/>
    <x v="1"/>
    <s v="\\192.168.24.208\images\R&amp;D\Amira\20210302\plaque 1/@07 EE2 488/B7_01.tif "/>
    <s v=" 78408.368 "/>
    <s v=" 104.6946 "/>
    <x v="0"/>
    <n v="8208934"/>
    <m/>
    <m/>
    <m/>
  </r>
  <r>
    <x v="7"/>
    <x v="1"/>
    <s v="\\192.168.24.208\images\R&amp;D\Amira\20210302\plaque 1/@07 EE2 488/B7_02.tif "/>
    <s v=" 76331.8981 "/>
    <s v=" 99.4361 "/>
    <x v="0"/>
    <n v="7590146"/>
    <m/>
    <m/>
    <m/>
  </r>
  <r>
    <x v="7"/>
    <x v="1"/>
    <s v="\\192.168.24.208\images\R&amp;D\Amira\20210302\plaque 1/@07 EE2 488/B7_03.tif "/>
    <s v=" 73390.2325 "/>
    <s v=" 100.2773 "/>
    <x v="0"/>
    <n v="7359377"/>
    <m/>
    <m/>
    <m/>
  </r>
  <r>
    <x v="7"/>
    <x v="2"/>
    <s v="\\192.168.24.208\images\R&amp;D\Amira\20210302\plaque 1/@07 EE2 488/C7_01.tif "/>
    <s v=" 45184.8499 "/>
    <s v=" 94.6453 "/>
    <x v="0"/>
    <n v="4276533"/>
    <m/>
    <m/>
    <m/>
  </r>
  <r>
    <x v="7"/>
    <x v="2"/>
    <s v="\\192.168.24.208\images\R&amp;D\Amira\20210302\plaque 1/@07 EE2 488/C7_02- exclu.tif"/>
    <m/>
    <m/>
    <x v="1"/>
    <m/>
    <m/>
    <m/>
    <m/>
  </r>
  <r>
    <x v="7"/>
    <x v="2"/>
    <s v="\\192.168.24.208\images\R&amp;D\Amira\20210302\plaque 1/@07 EE2 488/C7_03.tif "/>
    <s v=" 44968.5509 "/>
    <s v=" 94.392 "/>
    <x v="0"/>
    <n v="4244672"/>
    <m/>
    <m/>
    <m/>
  </r>
  <r>
    <x v="7"/>
    <x v="3"/>
    <s v="\\192.168.24.208\images\R&amp;D\Amira\20210302\plaque 1/@07 EE2 488/D7_01.tif "/>
    <s v=" 43086.7501 "/>
    <s v=" 94.6596 "/>
    <x v="0"/>
    <n v="4078576"/>
    <m/>
    <m/>
    <m/>
  </r>
  <r>
    <x v="7"/>
    <x v="3"/>
    <s v="\\192.168.24.208\images\R&amp;D\Amira\20210302\plaque 1/@07 EE2 488/D7_02.tif "/>
    <s v=" 42329.7038 "/>
    <s v=" 92.2238 "/>
    <x v="0"/>
    <n v="3903807"/>
    <m/>
    <m/>
    <m/>
  </r>
  <r>
    <x v="7"/>
    <x v="3"/>
    <s v="\\192.168.24.208\images\R&amp;D\Amira\20210302\plaque 1/@07 EE2 488/D7_03.tif "/>
    <s v=" 44708.9922 "/>
    <s v=" 93.7639 "/>
    <x v="0"/>
    <n v="4192090"/>
    <m/>
    <m/>
    <m/>
  </r>
  <r>
    <x v="7"/>
    <x v="4"/>
    <s v="\\192.168.24.208\images\R&amp;D\Amira\20210302\plaque 1/@07 EE2 488/E7_01.tif "/>
    <s v=" 97572.4547 "/>
    <s v=" 121.4691 "/>
    <x v="0"/>
    <n v="11852036"/>
    <m/>
    <m/>
    <m/>
  </r>
  <r>
    <x v="7"/>
    <x v="4"/>
    <s v="\\192.168.24.208\images\R&amp;D\Amira\20210302\plaque 1/@07 EE2 488/E7_02.tif "/>
    <s v=" 87384.7743 "/>
    <s v=" 125.3441 "/>
    <x v="0"/>
    <n v="10953162"/>
    <m/>
    <m/>
    <m/>
  </r>
  <r>
    <x v="7"/>
    <x v="4"/>
    <s v="\\192.168.24.208\images\R&amp;D\Amira\20210302\plaque 1/@07 EE2 488/E7_03.tif "/>
    <s v=" 89180.0556 "/>
    <s v=" 122.0405 "/>
    <x v="0"/>
    <n v="10883579"/>
    <m/>
    <m/>
    <m/>
  </r>
  <r>
    <x v="7"/>
    <x v="5"/>
    <s v="\\192.168.24.208\images\R&amp;D\Amira\20210302\plaque 1/@07 EE2 488/F7_01.tif "/>
    <s v=" 73736.3108 "/>
    <s v=" 99.4403 "/>
    <x v="0"/>
    <n v="7332361"/>
    <m/>
    <m/>
    <m/>
  </r>
  <r>
    <x v="7"/>
    <x v="5"/>
    <s v="\\192.168.24.208\images\R&amp;D\Amira\20210302\plaque 1/@07 EE2 488/F7_02.tif "/>
    <s v=" 63072.7727 "/>
    <s v=" 112.2109 "/>
    <x v="0"/>
    <n v="7077453"/>
    <m/>
    <m/>
    <m/>
  </r>
  <r>
    <x v="7"/>
    <x v="5"/>
    <s v="\\192.168.24.208\images\R&amp;D\Amira\20210302\plaque 1/@07 EE2 488/F7_03.tif "/>
    <s v=" 65019.4633 "/>
    <s v=" 108.5832 "/>
    <x v="0"/>
    <n v="7060019"/>
    <m/>
    <m/>
    <m/>
  </r>
  <r>
    <x v="7"/>
    <x v="6"/>
    <s v="\\192.168.24.208\images\R&amp;D\Amira\20210302\plaque 1/@07 EE2 488/G7_01- exclu.tif"/>
    <m/>
    <m/>
    <x v="1"/>
    <m/>
    <m/>
    <m/>
    <m/>
  </r>
  <r>
    <x v="7"/>
    <x v="6"/>
    <s v="\\192.168.24.208\images\R&amp;D\Amira\20210302\plaque 1/@07 EE2 488/G7_02.tif "/>
    <s v=" 52495.7543 "/>
    <s v=" 102.9979 "/>
    <x v="0"/>
    <n v="5406955"/>
    <m/>
    <m/>
    <m/>
  </r>
  <r>
    <x v="7"/>
    <x v="6"/>
    <s v="\\192.168.24.208\images\R&amp;D\Amira\20210302\plaque 1/@07 EE2 488/G7_03.tif "/>
    <s v=" 58617.0144 "/>
    <s v=" 96.4125 "/>
    <x v="0"/>
    <n v="5651416"/>
    <m/>
    <m/>
    <m/>
  </r>
  <r>
    <x v="7"/>
    <x v="7"/>
    <s v="\\192.168.24.208\images\R&amp;D\Amira\20210302\plaque 1/@07 EE2 488/H7_01.tif "/>
    <s v=" 49921.7968 "/>
    <s v=" 94.1023 "/>
    <x v="0"/>
    <n v="4697754"/>
    <m/>
    <m/>
    <m/>
  </r>
  <r>
    <x v="7"/>
    <x v="7"/>
    <s v="\\192.168.24.208\images\R&amp;D\Amira\20210302\plaque 1/@07 EE2 488/H7_02.tif "/>
    <s v=" 48234.665 "/>
    <s v=" 91.6619 "/>
    <x v="0"/>
    <n v="4421280"/>
    <m/>
    <m/>
    <m/>
  </r>
  <r>
    <x v="7"/>
    <x v="7"/>
    <s v="\\192.168.24.208\images\R&amp;D\Amira\20210302\plaque 1/@07 EE2 488/H7_03.tif "/>
    <s v=" 48515.8537 "/>
    <s v=" 91.1636 "/>
    <x v="0"/>
    <n v="4422881"/>
    <m/>
    <m/>
    <m/>
  </r>
  <r>
    <x v="1"/>
    <x v="8"/>
    <s v=" "/>
    <m/>
    <m/>
    <x v="1"/>
    <m/>
    <m/>
    <m/>
    <m/>
  </r>
  <r>
    <x v="1"/>
    <x v="8"/>
    <s v="group "/>
    <s v=" "/>
    <s v=" mean of mean fluo "/>
    <x v="2"/>
    <s v=" mean of total fluo "/>
    <s v=" SD total fluo "/>
    <s v=" n fluorescent "/>
    <s v=" n total"/>
  </r>
  <r>
    <x v="7"/>
    <x v="9"/>
    <s v="\\192.168.24.208\images\R&amp;D\Amira\20210302\plaque 1/@07 EE2 488/ "/>
    <s v=" "/>
    <s v=" 99.5642 "/>
    <x v="9"/>
    <s v=" 6035414.71 "/>
    <s v=" 2498983.4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192.168.24.208\images\R&amp;D\Amira\20210302\plaque 1/@08 Cefuroxime ND 0.001/A8_01.tif "/>
    <s v=" 497.4876 "/>
    <s v=" 65.1304 "/>
    <x v="0"/>
    <n v="32402"/>
    <m/>
    <m/>
    <m/>
  </r>
  <r>
    <x v="8"/>
    <x v="0"/>
    <s v="\\192.168.24.208\images\R&amp;D\Amira\20210302\plaque 1/@08 Cefuroxime ND 0.001/A8_02.tif "/>
    <s v=" 389.3381 "/>
    <s v=" 62.5 "/>
    <x v="0"/>
    <n v="24334"/>
    <m/>
    <m/>
    <m/>
  </r>
  <r>
    <x v="8"/>
    <x v="0"/>
    <s v="\\192.168.24.208\images\R&amp;D\Amira\20210302\plaque 1/@08 Cefuroxime ND 0.001/A8_03.tif "/>
    <s v=" 367.7082 "/>
    <s v=" 62.9412 "/>
    <x v="0"/>
    <n v="23144"/>
    <m/>
    <m/>
    <m/>
  </r>
  <r>
    <x v="8"/>
    <x v="1"/>
    <s v="\\192.168.24.208\images\R&amp;D\Amira\20210302\plaque 1/@08 Cefuroxime ND 0.001/B8_01.tif "/>
    <s v=" 3525.6728 "/>
    <s v=" 65.8896 "/>
    <x v="0"/>
    <n v="232305"/>
    <m/>
    <m/>
    <m/>
  </r>
  <r>
    <x v="8"/>
    <x v="1"/>
    <s v="\\192.168.24.208\images\R&amp;D\Amira\20210302\plaque 1/@08 Cefuroxime ND 0.001/B8_02.tif "/>
    <s v=" 2119.7297 "/>
    <s v=" 65.9694 "/>
    <x v="0"/>
    <n v="139837"/>
    <m/>
    <m/>
    <m/>
  </r>
  <r>
    <x v="8"/>
    <x v="1"/>
    <s v="\\192.168.24.208\images\R&amp;D\Amira\20210302\plaque 1/@08 Cefuroxime ND 0.001/B8_03.tif "/>
    <s v=" 367.7082 "/>
    <s v=" 62.6471 "/>
    <x v="0"/>
    <n v="23036"/>
    <m/>
    <m/>
    <m/>
  </r>
  <r>
    <x v="8"/>
    <x v="2"/>
    <s v="\\192.168.24.208\images\R&amp;D\Amira\20210302\plaque 1/@08 Cefuroxime ND 0.001/C8_01.tif "/>
    <s v=" 2487.4379 "/>
    <s v=" 66.6783 "/>
    <x v="0"/>
    <n v="165858"/>
    <m/>
    <m/>
    <m/>
  </r>
  <r>
    <x v="8"/>
    <x v="2"/>
    <s v="\\192.168.24.208\images\R&amp;D\Amira\20210302\plaque 1/@08 Cefuroxime ND 0.001/C8_02.tif "/>
    <s v=" 1557.3524 "/>
    <s v=" 64.3056 "/>
    <x v="0"/>
    <n v="100146"/>
    <m/>
    <m/>
    <m/>
  </r>
  <r>
    <x v="8"/>
    <x v="2"/>
    <s v="\\192.168.24.208\images\R&amp;D\Amira\20210302\plaque 1/@08 Cefuroxime ND 0.001/C8_03.tif "/>
    <s v=" 259.5587 "/>
    <s v=" 62.3333 "/>
    <x v="0"/>
    <n v="16179"/>
    <m/>
    <m/>
    <m/>
  </r>
  <r>
    <x v="8"/>
    <x v="3"/>
    <s v="\\192.168.24.208\images\R&amp;D\Amira\20210302\plaque 1/@08 Cefuroxime ND 0.001/D8_01.tif "/>
    <s v=" 973.3453 "/>
    <s v=" 62.8444 "/>
    <x v="0"/>
    <n v="61169"/>
    <m/>
    <m/>
    <m/>
  </r>
  <r>
    <x v="8"/>
    <x v="3"/>
    <s v="\\192.168.24.208\images\R&amp;D\Amira\20210302\plaque 1/@08 Cefuroxime ND 0.001/D8_02.tif "/>
    <s v=" 9062.9258 "/>
    <s v=" 73.0621 "/>
    <x v="0"/>
    <n v="662156"/>
    <m/>
    <m/>
    <m/>
  </r>
  <r>
    <x v="8"/>
    <x v="3"/>
    <s v="\\192.168.24.208\images\R&amp;D\Amira\20210302\plaque 1/@08 Cefuroxime ND 0.001/D8_03.tif "/>
    <s v=" 7051.3456 "/>
    <s v=" 74.3926 "/>
    <x v="0"/>
    <n v="524568"/>
    <m/>
    <m/>
    <m/>
  </r>
  <r>
    <x v="8"/>
    <x v="4"/>
    <s v="\\192.168.24.208\images\R&amp;D\Amira\20210302\plaque 1/@08 Cefuroxime ND 0.001/E8_01.tif "/>
    <s v=" 1946.6905 "/>
    <s v=" 64.0667 "/>
    <x v="0"/>
    <n v="124718"/>
    <m/>
    <m/>
    <m/>
  </r>
  <r>
    <x v="8"/>
    <x v="4"/>
    <s v="\\192.168.24.208\images\R&amp;D\Amira\20210302\plaque 1/@08 Cefuroxime ND 0.001/E8_02.tif "/>
    <s v=" 497.4876 "/>
    <s v=" 63.2609 "/>
    <x v="0"/>
    <n v="31471"/>
    <m/>
    <m/>
    <m/>
  </r>
  <r>
    <x v="8"/>
    <x v="4"/>
    <s v="\\192.168.24.208\images\R&amp;D\Amira\20210302\plaque 1/@08 Cefuroxime ND 0.001/E8_03- exclu.tif"/>
    <m/>
    <m/>
    <x v="1"/>
    <m/>
    <m/>
    <m/>
    <m/>
  </r>
  <r>
    <x v="8"/>
    <x v="5"/>
    <s v="\\192.168.24.208\images\R&amp;D\Amira\20210302\plaque 1/@08 Cefuroxime ND 0.001/F8_01.tif "/>
    <s v=" 3677.0821 "/>
    <s v=" 67.8765 "/>
    <x v="0"/>
    <n v="249587"/>
    <m/>
    <m/>
    <m/>
  </r>
  <r>
    <x v="8"/>
    <x v="5"/>
    <s v="\\192.168.24.208\images\R&amp;D\Amira\20210302\plaque 1/@08 Cefuroxime ND 0.001/F8_02.tif "/>
    <s v=" 1189.6442 "/>
    <s v=" 62.4909 "/>
    <x v="0"/>
    <n v="74342"/>
    <m/>
    <m/>
    <m/>
  </r>
  <r>
    <x v="8"/>
    <x v="5"/>
    <s v="\\192.168.24.208\images\R&amp;D\Amira\20210302\plaque 1/@08 Cefuroxime ND 0.001/F8_03.tif "/>
    <s v=" 259.5587 "/>
    <s v=" 63.3333 "/>
    <x v="0"/>
    <n v="16439"/>
    <m/>
    <m/>
    <m/>
  </r>
  <r>
    <x v="8"/>
    <x v="6"/>
    <s v="\\192.168.24.208\images\R&amp;D\Amira\20210302\plaque 1/@08 Cefuroxime ND 0.001/G8_01.tif "/>
    <s v=" 8781.7372 "/>
    <s v=" 72.2833 "/>
    <x v="0"/>
    <n v="634773"/>
    <m/>
    <m/>
    <m/>
  </r>
  <r>
    <x v="8"/>
    <x v="6"/>
    <s v="\\192.168.24.208\images\R&amp;D\Amira\20210302\plaque 1/@08 Cefuroxime ND 0.001/G8_02.tif "/>
    <s v=" 8435.6589 "/>
    <s v=" 69.8462 "/>
    <x v="0"/>
    <n v="589198"/>
    <m/>
    <m/>
    <m/>
  </r>
  <r>
    <x v="8"/>
    <x v="6"/>
    <s v="\\192.168.24.208\images\R&amp;D\Amira\20210302\plaque 1/@08 Cefuroxime ND 0.001/G8_03.tif "/>
    <s v=" 432.5979 "/>
    <s v=" 63.7 "/>
    <x v="0"/>
    <n v="27556"/>
    <m/>
    <m/>
    <m/>
  </r>
  <r>
    <x v="8"/>
    <x v="7"/>
    <s v="\\192.168.24.208\images\R&amp;D\Amira\20210302\plaque 1/@08 Cefuroxime ND 0.001/H8_01.tif "/>
    <s v=" 4845.0964 "/>
    <s v=" 66.942 "/>
    <x v="0"/>
    <n v="324340"/>
    <m/>
    <m/>
    <m/>
  </r>
  <r>
    <x v="8"/>
    <x v="7"/>
    <s v="\\192.168.24.208\images\R&amp;D\Amira\20210302\plaque 1/@08 Cefuroxime ND 0.001/H8_02.tif "/>
    <s v=" 6662.0075 "/>
    <s v=" 76.5 "/>
    <x v="0"/>
    <n v="509644"/>
    <m/>
    <m/>
    <m/>
  </r>
  <r>
    <x v="8"/>
    <x v="7"/>
    <s v="\\192.168.24.208\images\R&amp;D\Amira\20210302\plaque 1/@08 Cefuroxime ND 0.001/H8_03.tif "/>
    <s v=" 4801.8366 "/>
    <s v=" 67.5811 "/>
    <x v="0"/>
    <n v="324513"/>
    <m/>
    <m/>
    <m/>
  </r>
  <r>
    <x v="1"/>
    <x v="8"/>
    <s v=" "/>
    <m/>
    <m/>
    <x v="1"/>
    <m/>
    <m/>
    <m/>
    <m/>
  </r>
  <r>
    <x v="1"/>
    <x v="8"/>
    <s v="group "/>
    <s v=" "/>
    <s v=" mean of mean fluo "/>
    <x v="2"/>
    <s v=" mean of total fluo "/>
    <s v=" SD total fluo "/>
    <s v=" n fluorescent "/>
    <s v=" n total"/>
  </r>
  <r>
    <x v="8"/>
    <x v="9"/>
    <s v="\\192.168.24.208\images\R&amp;D\Amira\20210302\plaque 1/@08 Cefuroxime ND 0.001/ "/>
    <s v=" "/>
    <s v=" 66.3073 "/>
    <x v="10"/>
    <s v=" 205238.792 "/>
    <s v=" 221297.1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192.168.24.208\images\R&amp;D\Amira\20210302\plaque 1/@09 Cefuroxime ND 0.01/A9_01.tif "/>
    <s v=" 11117.7658 "/>
    <s v=" 72.9883 "/>
    <x v="0"/>
    <n v="811467"/>
    <m/>
    <m/>
    <m/>
  </r>
  <r>
    <x v="9"/>
    <x v="0"/>
    <s v="\\192.168.24.208\images\R&amp;D\Amira\20210302\plaque 1/@09 Cefuroxime ND 0.01/A9_02.tif "/>
    <s v=" 5883.3313 "/>
    <s v=" 66.1728 "/>
    <x v="0"/>
    <n v="389316"/>
    <m/>
    <m/>
    <m/>
  </r>
  <r>
    <x v="9"/>
    <x v="0"/>
    <s v="\\192.168.24.208\images\R&amp;D\Amira\20210302\plaque 1/@09 Cefuroxime ND 0.01/A9_03.tif "/>
    <s v=" 7765.1322 "/>
    <s v=" 72.1671 "/>
    <x v="0"/>
    <n v="560387"/>
    <m/>
    <m/>
    <m/>
  </r>
  <r>
    <x v="9"/>
    <x v="1"/>
    <s v="\\192.168.24.208\images\R&amp;D\Amira\20210302\plaque 1/@09 Cefuroxime ND 0.01/B9_01- exclu.tif"/>
    <m/>
    <m/>
    <x v="1"/>
    <m/>
    <m/>
    <m/>
    <m/>
  </r>
  <r>
    <x v="9"/>
    <x v="1"/>
    <s v="\\192.168.24.208\images\R&amp;D\Amira\20210302\plaque 1/@09 Cefuroxime ND 0.01/B9_02- exclu.tif"/>
    <m/>
    <m/>
    <x v="1"/>
    <m/>
    <m/>
    <m/>
    <m/>
  </r>
  <r>
    <x v="9"/>
    <x v="1"/>
    <s v="\\192.168.24.208\images\R&amp;D\Amira\20210302\plaque 1/@09 Cefuroxime ND 0.01/B9_03- exclu.tif"/>
    <m/>
    <m/>
    <x v="1"/>
    <m/>
    <m/>
    <m/>
    <m/>
  </r>
  <r>
    <x v="9"/>
    <x v="2"/>
    <s v="\\192.168.24.208\images\R&amp;D\Amira\20210302\plaque 1/@09 Cefuroxime ND 0.01/C9_01.tif "/>
    <s v=" 605.637 "/>
    <s v=" 62.8929 "/>
    <x v="0"/>
    <n v="38090"/>
    <m/>
    <m/>
    <m/>
  </r>
  <r>
    <x v="9"/>
    <x v="2"/>
    <s v="\\192.168.24.208\images\R&amp;D\Amira\20210302\plaque 1/@09 Cefuroxime ND 0.01/C9_02.tif "/>
    <s v=" 389.3381 "/>
    <s v=" 63.4444 "/>
    <x v="0"/>
    <n v="24701"/>
    <m/>
    <m/>
    <m/>
  </r>
  <r>
    <x v="9"/>
    <x v="2"/>
    <s v="\\192.168.24.208\images\R&amp;D\Amira\20210302\plaque 1/@09 Cefuroxime ND 0.01/C9_03.tif "/>
    <s v=" 324.4484 "/>
    <s v=" 61.8667 "/>
    <x v="0"/>
    <n v="20073"/>
    <m/>
    <m/>
    <m/>
  </r>
  <r>
    <x v="9"/>
    <x v="3"/>
    <s v="\\192.168.24.208\images\R&amp;D\Amira\20210302\plaque 1/@09 Cefuroxime ND 0.01/D9_01.tif "/>
    <s v=" 302.8185 "/>
    <s v=" 63.5 "/>
    <x v="0"/>
    <n v="19229"/>
    <m/>
    <m/>
    <m/>
  </r>
  <r>
    <x v="9"/>
    <x v="3"/>
    <s v="\\192.168.24.208\images\R&amp;D\Amira\20210302\plaque 1/@09 Cefuroxime ND 0.01/D9_02.tif "/>
    <s v=" 692.1566 "/>
    <n v="63"/>
    <x v="0"/>
    <n v="43606"/>
    <m/>
    <m/>
    <m/>
  </r>
  <r>
    <x v="9"/>
    <x v="3"/>
    <s v="\\192.168.24.208\images\R&amp;D\Amira\20210302\plaque 1/@09 Cefuroxime ND 0.01/D9_03.tif "/>
    <s v=" 432.5979 "/>
    <s v=" 62.9 "/>
    <x v="0"/>
    <n v="27210"/>
    <m/>
    <m/>
    <m/>
  </r>
  <r>
    <x v="9"/>
    <x v="4"/>
    <s v="\\192.168.24.208\images\R&amp;D\Amira\20210302\plaque 1/@09 Cefuroxime ND 0.01/E9_01.tif "/>
    <s v=" 3417.5234 "/>
    <s v=" 64.9684 "/>
    <x v="0"/>
    <n v="222031"/>
    <m/>
    <m/>
    <m/>
  </r>
  <r>
    <x v="9"/>
    <x v="4"/>
    <s v="\\192.168.24.208\images\R&amp;D\Amira\20210302\plaque 1/@09 Cefuroxime ND 0.01/E9_02- exclu.tif"/>
    <m/>
    <m/>
    <x v="1"/>
    <m/>
    <m/>
    <m/>
    <m/>
  </r>
  <r>
    <x v="9"/>
    <x v="4"/>
    <s v="\\192.168.24.208\images\R&amp;D\Amira\20210302\plaque 1/@09 Cefuroxime ND 0.01/E9_03.tif "/>
    <s v=" 648.8968 "/>
    <s v=" 62.6333 "/>
    <x v="0"/>
    <n v="40643"/>
    <m/>
    <m/>
    <m/>
  </r>
  <r>
    <x v="9"/>
    <x v="5"/>
    <s v="\\192.168.24.208\images\R&amp;D\Amira\20210302\plaque 1/@09 Cefuroxime ND 0.01/F9_01.tif "/>
    <s v=" 1687.1318 "/>
    <s v=" 65.0128 "/>
    <x v="0"/>
    <n v="109685"/>
    <m/>
    <m/>
    <m/>
  </r>
  <r>
    <x v="9"/>
    <x v="5"/>
    <s v="\\192.168.24.208\images\R&amp;D\Amira\20210302\plaque 1/@09 Cefuroxime ND 0.01/F9_02.tif "/>
    <s v=" 540.7474 "/>
    <s v=" 66.72 "/>
    <x v="0"/>
    <n v="36079"/>
    <m/>
    <m/>
    <m/>
  </r>
  <r>
    <x v="9"/>
    <x v="5"/>
    <s v="\\192.168.24.208\images\R&amp;D\Amira\20210302\plaque 1/@09 Cefuroxime ND 0.01/F9_03.tif "/>
    <s v=" 389.3381 "/>
    <s v=" 65.8333 "/>
    <x v="0"/>
    <n v="25631"/>
    <m/>
    <m/>
    <m/>
  </r>
  <r>
    <x v="9"/>
    <x v="6"/>
    <s v="\\192.168.24.208\images\R&amp;D\Amira\20210302\plaque 1/@09 Cefuroxime ND 0.01/G9_01.tif "/>
    <s v=" 1643.872 "/>
    <s v=" 66.1711 "/>
    <x v="0"/>
    <n v="108777"/>
    <m/>
    <m/>
    <m/>
  </r>
  <r>
    <x v="9"/>
    <x v="6"/>
    <s v="\\192.168.24.208\images\R&amp;D\Amira\20210302\plaque 1/@09 Cefuroxime ND 0.01/G9_02.tif "/>
    <s v=" 5515.6231 "/>
    <s v=" 68.7961 "/>
    <x v="0"/>
    <n v="379453"/>
    <m/>
    <m/>
    <m/>
  </r>
  <r>
    <x v="9"/>
    <x v="6"/>
    <s v="\\192.168.24.208\images\R&amp;D\Amira\20210302\plaque 1/@09 Cefuroxime ND 0.01/G9_03.tif "/>
    <s v=" 7354.1642 "/>
    <s v=" 69.9059 "/>
    <x v="0"/>
    <n v="514099"/>
    <m/>
    <m/>
    <m/>
  </r>
  <r>
    <x v="9"/>
    <x v="7"/>
    <s v="\\192.168.24.208\images\R&amp;D\Amira\20210302\plaque 1/@09 Cefuroxime ND 0.01/H9_01.tif "/>
    <s v=" 4477.3882 "/>
    <s v=" 68.3527 "/>
    <x v="0"/>
    <n v="306041"/>
    <m/>
    <m/>
    <m/>
  </r>
  <r>
    <x v="9"/>
    <x v="7"/>
    <s v="\\192.168.24.208\images\R&amp;D\Amira\20210302\plaque 1/@09 Cefuroxime ND 0.01/H9_02.tif "/>
    <s v=" 129.7794 "/>
    <s v=" 62.8333 "/>
    <x v="0"/>
    <n v="8154"/>
    <m/>
    <m/>
    <m/>
  </r>
  <r>
    <x v="9"/>
    <x v="7"/>
    <s v="\\192.168.24.208\images\R&amp;D\Amira\20210302\plaque 1/@09 Cefuroxime ND 0.01/H9_03.tif "/>
    <s v=" 64.8897 "/>
    <n v="66"/>
    <x v="0"/>
    <n v="4283"/>
    <m/>
    <m/>
    <m/>
  </r>
  <r>
    <x v="1"/>
    <x v="8"/>
    <s v=" "/>
    <m/>
    <m/>
    <x v="1"/>
    <m/>
    <m/>
    <m/>
    <m/>
  </r>
  <r>
    <x v="1"/>
    <x v="8"/>
    <s v="group "/>
    <s v=" "/>
    <s v=" mean of mean fluo "/>
    <x v="2"/>
    <s v=" mean of total fluo "/>
    <s v=" SD total fluo "/>
    <s v=" n fluorescent "/>
    <s v=" n total"/>
  </r>
  <r>
    <x v="9"/>
    <x v="9"/>
    <s v="\\192.168.24.208\images\R&amp;D\Amira\20210302\plaque 1/@09 Cefuroxime ND 0.01/ "/>
    <s v=" "/>
    <s v=" 67.4312 "/>
    <x v="11"/>
    <s v=" 237734.958 "/>
    <s v=" 326999.75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192.168.24.208\images\R&amp;D\Amira\20210302\plaque 1/@10 Cefuroxime ND 0.1/A10_01.tif "/>
    <s v=" 1081.4947 "/>
    <s v=" 63.78 "/>
    <x v="0"/>
    <n v="68978"/>
    <m/>
    <m/>
    <m/>
  </r>
  <r>
    <x v="10"/>
    <x v="0"/>
    <s v="\\192.168.24.208\images\R&amp;D\Amira\20210302\plaque 1/@10 Cefuroxime ND 0.1/A10_02.tif "/>
    <s v=" 540.7474 "/>
    <s v=" 65.08 "/>
    <x v="0"/>
    <n v="35192"/>
    <m/>
    <m/>
    <m/>
  </r>
  <r>
    <x v="10"/>
    <x v="0"/>
    <s v="\\192.168.24.208\images\R&amp;D\Amira\20210302\plaque 1/@10 Cefuroxime ND 0.1/A10_03.tif "/>
    <s v=" 1816.9111 "/>
    <s v=" 65.1667 "/>
    <x v="0"/>
    <n v="118402"/>
    <m/>
    <m/>
    <m/>
  </r>
  <r>
    <x v="10"/>
    <x v="1"/>
    <s v="\\192.168.24.208\images\R&amp;D\Amira\20210302\plaque 1/@10 Cefuroxime ND 0.1/B10_01.tif "/>
    <s v=" 324.4484 "/>
    <s v=" 64.8667 "/>
    <x v="0"/>
    <n v="21046"/>
    <m/>
    <m/>
    <m/>
  </r>
  <r>
    <x v="10"/>
    <x v="1"/>
    <s v="\\192.168.24.208\images\R&amp;D\Amira\20210302\plaque 1/@10 Cefuroxime ND 0.1/B10_02.tif "/>
    <s v=" 454.2278 "/>
    <s v=" 64.3333 "/>
    <x v="0"/>
    <n v="29222"/>
    <m/>
    <m/>
    <m/>
  </r>
  <r>
    <x v="10"/>
    <x v="1"/>
    <s v="\\192.168.24.208\images\R&amp;D\Amira\20210302\plaque 1/@10 Cefuroxime ND 0.1/B10_03.tif "/>
    <s v=" 237.9288 "/>
    <s v=" 63.5455 "/>
    <x v="0"/>
    <n v="15119"/>
    <m/>
    <m/>
    <m/>
  </r>
  <r>
    <x v="10"/>
    <x v="2"/>
    <s v="\\192.168.24.208\images\R&amp;D\Amira\20210302\plaque 1/@10 Cefuroxime ND 0.1/C10_01.tif "/>
    <s v=" 2422.5482 "/>
    <s v=" 63.7054 "/>
    <x v="0"/>
    <n v="154329"/>
    <m/>
    <m/>
    <m/>
  </r>
  <r>
    <x v="10"/>
    <x v="2"/>
    <s v="\\192.168.24.208\images\R&amp;D\Amira\20210302\plaque 1/@10 Cefuroxime ND 0.1/C10_02.tif "/>
    <s v=" 1665.5019 "/>
    <s v=" 64.2597 "/>
    <x v="0"/>
    <n v="107025"/>
    <m/>
    <m/>
    <m/>
  </r>
  <r>
    <x v="10"/>
    <x v="2"/>
    <s v="\\192.168.24.208\images\R&amp;D\Amira\20210302\plaque 1/@10 Cefuroxime ND 0.1/C10_03.tif "/>
    <s v=" 367.7082 "/>
    <s v=" 61.8824 "/>
    <x v="0"/>
    <n v="22755"/>
    <m/>
    <m/>
    <m/>
  </r>
  <r>
    <x v="10"/>
    <x v="3"/>
    <s v="\\192.168.24.208\images\R&amp;D\Amira\20210302\plaque 1/@10 Cefuroxime ND 0.1/D10_01.tif "/>
    <s v=" 821.936 "/>
    <s v=" 63.6842 "/>
    <x v="0"/>
    <n v="52344"/>
    <m/>
    <m/>
    <m/>
  </r>
  <r>
    <x v="10"/>
    <x v="3"/>
    <s v="\\192.168.24.208\images\R&amp;D\Amira\20210302\plaque 1/@10 Cefuroxime ND 0.1/D10_02.tif "/>
    <s v=" 5558.8829 "/>
    <s v=" 70.8677 "/>
    <x v="0"/>
    <n v="393945"/>
    <m/>
    <m/>
    <m/>
  </r>
  <r>
    <x v="10"/>
    <x v="3"/>
    <s v="\\192.168.24.208\images\R&amp;D\Amira\20210302\plaque 1/@10 Cefuroxime ND 0.1/D10_03.tif "/>
    <s v=" 1016.605 "/>
    <s v=" 63.1277 "/>
    <x v="0"/>
    <n v="64176"/>
    <m/>
    <m/>
    <m/>
  </r>
  <r>
    <x v="10"/>
    <x v="4"/>
    <s v="\\192.168.24.208\images\R&amp;D\Amira\20210302\plaque 1/@10 Cefuroxime ND 0.1/E10_01.tif "/>
    <s v=" 1146.3844 "/>
    <s v=" 65.6792 "/>
    <x v="0"/>
    <n v="75294"/>
    <m/>
    <m/>
    <m/>
  </r>
  <r>
    <x v="10"/>
    <x v="4"/>
    <s v="\\192.168.24.208\images\R&amp;D\Amira\20210302\plaque 1/@10 Cefuroxime ND 0.1/E10_02.tif "/>
    <s v=" 64.8897 "/>
    <n v="63"/>
    <x v="0"/>
    <n v="4088"/>
    <m/>
    <m/>
    <m/>
  </r>
  <r>
    <x v="10"/>
    <x v="4"/>
    <s v="\\192.168.24.208\images\R&amp;D\Amira\20210302\plaque 1/@10 Cefuroxime ND 0.1/E10_03.tif "/>
    <s v=" 129.7794 "/>
    <s v=" 64.8333 "/>
    <x v="0"/>
    <n v="8414"/>
    <m/>
    <m/>
    <m/>
  </r>
  <r>
    <x v="10"/>
    <x v="5"/>
    <s v="\\192.168.24.208\images\R&amp;D\Amira\20210302\plaque 1/@10 Cefuroxime ND 0.1/F10_01.tif "/>
    <s v=" 2703.7368 "/>
    <s v=" 68.376 "/>
    <x v="0"/>
    <n v="184871"/>
    <m/>
    <m/>
    <m/>
  </r>
  <r>
    <x v="10"/>
    <x v="5"/>
    <s v="\\192.168.24.208\images\R&amp;D\Amira\20210302\plaque 1/@10 Cefuroxime ND 0.1/F10_02.tif "/>
    <s v=" 584.0072 "/>
    <s v=" 62.963 "/>
    <x v="0"/>
    <n v="36771"/>
    <m/>
    <m/>
    <m/>
  </r>
  <r>
    <x v="10"/>
    <x v="5"/>
    <s v="\\192.168.24.208\images\R&amp;D\Amira\20210302\plaque 1/@10 Cefuroxime ND 0.1/F10_03.tif "/>
    <s v=" 216.2989 "/>
    <s v=" 64.1 "/>
    <x v="0"/>
    <n v="13865"/>
    <m/>
    <m/>
    <m/>
  </r>
  <r>
    <x v="10"/>
    <x v="6"/>
    <s v="\\192.168.24.208\images\R&amp;D\Amira\20210302\plaque 1/@10 Cefuroxime ND 0.1/G10_01.tif "/>
    <s v=" 281.1886 "/>
    <s v=" 66.5385 "/>
    <x v="0"/>
    <n v="18710"/>
    <m/>
    <m/>
    <m/>
  </r>
  <r>
    <x v="10"/>
    <x v="6"/>
    <s v="\\192.168.24.208\images\R&amp;D\Amira\20210302\plaque 1/@10 Cefuroxime ND 0.1/G10_02.tif "/>
    <s v=" 346.0783 "/>
    <n v="63"/>
    <x v="0"/>
    <n v="21803"/>
    <m/>
    <m/>
    <m/>
  </r>
  <r>
    <x v="10"/>
    <x v="6"/>
    <s v="\\192.168.24.208\images\R&amp;D\Amira\20210302\plaque 1/@10 Cefuroxime ND 0.1/G10_03.tif "/>
    <s v=" 1276.1638 "/>
    <s v=" 66.339 "/>
    <x v="0"/>
    <n v="84659"/>
    <m/>
    <m/>
    <m/>
  </r>
  <r>
    <x v="10"/>
    <x v="7"/>
    <s v="\\192.168.24.208\images\R&amp;D\Amira\20210302\plaque 1/@10 Cefuroxime ND 0.1/H10_01.tif "/>
    <s v=" 281.1886 "/>
    <s v=" 65.6923 "/>
    <x v="0"/>
    <n v="18472"/>
    <m/>
    <m/>
    <m/>
  </r>
  <r>
    <x v="10"/>
    <x v="7"/>
    <s v="\\192.168.24.208\images\R&amp;D\Amira\20210302\plaque 1/@10 Cefuroxime ND 0.1/H10_02.tif "/>
    <s v=" 259.5587 "/>
    <s v=" 63.8333 "/>
    <x v="0"/>
    <n v="16568"/>
    <m/>
    <m/>
    <m/>
  </r>
  <r>
    <x v="10"/>
    <x v="7"/>
    <s v="\\192.168.24.208\images\R&amp;D\Amira\20210302\plaque 1/@10 Cefuroxime ND 0.1/H10_03.tif "/>
    <s v=" 151.4093 "/>
    <s v=" 64.1429 "/>
    <x v="0"/>
    <n v="9712"/>
    <m/>
    <m/>
    <m/>
  </r>
  <r>
    <x v="1"/>
    <x v="8"/>
    <s v=" "/>
    <m/>
    <m/>
    <x v="1"/>
    <m/>
    <m/>
    <m/>
    <m/>
  </r>
  <r>
    <x v="1"/>
    <x v="8"/>
    <s v="group "/>
    <s v=" "/>
    <s v=" mean of mean fluo "/>
    <x v="2"/>
    <s v=" mean of total fluo "/>
    <s v=" SD total fluo "/>
    <s v=" n fluorescent "/>
    <s v=" n total"/>
  </r>
  <r>
    <x v="10"/>
    <x v="9"/>
    <s v="\\192.168.24.208\images\R&amp;D\Amira\20210302\plaque 1/@10 Cefuroxime ND 0.1/ "/>
    <s v=" "/>
    <s v=" 64.6999 "/>
    <x v="12"/>
    <s v=" 65656.6667 "/>
    <s v=" 84981.688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192.168.24.208\images\R&amp;D\Amira\20210302\plaque 1/@11 Cefuroxime ND 1/A11_01.tif "/>
    <s v=" 6597.1179 "/>
    <s v=" 68.3115 "/>
    <x v="0"/>
    <n v="450659"/>
    <m/>
    <m/>
    <m/>
  </r>
  <r>
    <x v="11"/>
    <x v="0"/>
    <s v="\\192.168.24.208\images\R&amp;D\Amira\20210302\plaque 1/@11 Cefuroxime ND 1/A11_02.tif "/>
    <s v=" 4325.9789 "/>
    <s v=" 67.355 "/>
    <x v="0"/>
    <n v="291376"/>
    <m/>
    <m/>
    <m/>
  </r>
  <r>
    <x v="11"/>
    <x v="0"/>
    <s v="\\192.168.24.208\images\R&amp;D\Amira\20210302\plaque 1/@11 Cefuroxime ND 1/A11_03.tif "/>
    <s v=" 1405.9432 "/>
    <s v=" 67.6615 "/>
    <x v="0"/>
    <n v="95128"/>
    <m/>
    <m/>
    <m/>
  </r>
  <r>
    <x v="11"/>
    <x v="1"/>
    <s v="\\192.168.24.208\images\R&amp;D\Amira\20210302\plaque 1/@11 Cefuroxime ND 1/B11_01.tif "/>
    <s v=" 194.6691 "/>
    <s v=" 65.1111 "/>
    <x v="0"/>
    <n v="12675"/>
    <m/>
    <m/>
    <m/>
  </r>
  <r>
    <x v="11"/>
    <x v="1"/>
    <s v="\\192.168.24.208\images\R&amp;D\Amira\20210302\plaque 1/@11 Cefuroxime ND 1/B11_02.tif "/>
    <s v=" 994.9752 "/>
    <s v=" 62.8261 "/>
    <x v="0"/>
    <n v="62510"/>
    <m/>
    <m/>
    <m/>
  </r>
  <r>
    <x v="11"/>
    <x v="1"/>
    <s v="\\192.168.24.208\images\R&amp;D\Amira\20210302\plaque 1/@11 Cefuroxime ND 1/B11_03.tif "/>
    <s v=" 908.4556 "/>
    <s v=" 64.119 "/>
    <x v="0"/>
    <n v="58249"/>
    <m/>
    <m/>
    <m/>
  </r>
  <r>
    <x v="11"/>
    <x v="2"/>
    <s v="\\192.168.24.208\images\R&amp;D\Amira\20210302\plaque 1/@11 Cefuroxime ND 1/C11_01.tif "/>
    <s v=" 1449.2029 "/>
    <s v=" 69.3134 "/>
    <x v="0"/>
    <n v="100449"/>
    <m/>
    <m/>
    <m/>
  </r>
  <r>
    <x v="11"/>
    <x v="2"/>
    <s v="\\192.168.24.208\images\R&amp;D\Amira\20210302\plaque 1/@11 Cefuroxime ND 1/C11_02.tif "/>
    <s v=" 2206.2493 "/>
    <s v=" 65.0392 "/>
    <x v="0"/>
    <n v="143493"/>
    <m/>
    <m/>
    <m/>
  </r>
  <r>
    <x v="11"/>
    <x v="2"/>
    <s v="\\192.168.24.208\images\R&amp;D\Amira\20210302\plaque 1/@11 Cefuroxime ND 1/C11_03.tif "/>
    <s v=" 1384.3133 "/>
    <s v=" 63.875 "/>
    <x v="0"/>
    <n v="88423"/>
    <m/>
    <m/>
    <m/>
  </r>
  <r>
    <x v="11"/>
    <x v="3"/>
    <s v="\\192.168.24.208\images\R&amp;D\Amira\20210302\plaque 1/@11 Cefuroxime ND 1/D11_01.tif "/>
    <s v=" 757.0463 "/>
    <s v=" 63.9429 "/>
    <x v="0"/>
    <n v="48408"/>
    <m/>
    <m/>
    <m/>
  </r>
  <r>
    <x v="11"/>
    <x v="3"/>
    <s v="\\192.168.24.208\images\R&amp;D\Amira\20210302\plaque 1/@11 Cefuroxime ND 1/D11_02.tif "/>
    <s v=" 540.7474 "/>
    <s v=" 62.8 "/>
    <x v="0"/>
    <n v="33959"/>
    <m/>
    <m/>
    <m/>
  </r>
  <r>
    <x v="11"/>
    <x v="3"/>
    <s v="\\192.168.24.208\images\R&amp;D\Amira\20210302\plaque 1/@11 Cefuroxime ND 1/D11_03- exclu.tif"/>
    <m/>
    <m/>
    <x v="1"/>
    <m/>
    <m/>
    <m/>
    <m/>
  </r>
  <r>
    <x v="11"/>
    <x v="4"/>
    <s v="\\192.168.24.208\images\R&amp;D\Amira\20210302\plaque 1/@11 Cefuroxime ND 1/E11_01- exclu.tif"/>
    <m/>
    <m/>
    <x v="1"/>
    <m/>
    <m/>
    <m/>
    <m/>
  </r>
  <r>
    <x v="11"/>
    <x v="4"/>
    <s v="\\192.168.24.208\images\R&amp;D\Amira\20210302\plaque 1/@11 Cefuroxime ND 1/E11_02.tif "/>
    <s v=" 324.4484 "/>
    <s v=" 62.7333 "/>
    <x v="0"/>
    <n v="20354"/>
    <m/>
    <m/>
    <m/>
  </r>
  <r>
    <x v="11"/>
    <x v="4"/>
    <s v="\\192.168.24.208\images\R&amp;D\Amira\20210302\plaque 1/@11 Cefuroxime ND 1/E11_03.tif "/>
    <s v=" 389.3381 "/>
    <s v=" 64.6667 "/>
    <x v="0"/>
    <n v="25177"/>
    <m/>
    <m/>
    <m/>
  </r>
  <r>
    <x v="11"/>
    <x v="5"/>
    <s v="\\192.168.24.208\images\R&amp;D\Amira\20210302\plaque 1/@11 Cefuroxime ND 1/F11_01.tif "/>
    <s v=" 5796.8118 "/>
    <s v=" 67.6866 "/>
    <x v="0"/>
    <n v="392366"/>
    <m/>
    <m/>
    <m/>
  </r>
  <r>
    <x v="11"/>
    <x v="5"/>
    <s v="\\192.168.24.208\images\R&amp;D\Amira\20210302\plaque 1/@11 Cefuroxime ND 1/F11_02- exclu.tif"/>
    <m/>
    <m/>
    <x v="1"/>
    <m/>
    <m/>
    <m/>
    <m/>
  </r>
  <r>
    <x v="11"/>
    <x v="5"/>
    <s v="\\192.168.24.208\images\R&amp;D\Amira\20210302\plaque 1/@11 Cefuroxime ND 1/F11_03.tif "/>
    <s v=" 1384.3133 "/>
    <s v=" 63.7031 "/>
    <x v="0"/>
    <n v="88185"/>
    <m/>
    <m/>
    <m/>
  </r>
  <r>
    <x v="11"/>
    <x v="6"/>
    <s v="\\192.168.24.208\images\R&amp;D\Amira\20210302\plaque 1/@11 Cefuroxime ND 1/G11_01.tif "/>
    <s v=" 281.1886 "/>
    <s v=" 64.9231 "/>
    <x v="0"/>
    <n v="18256"/>
    <m/>
    <m/>
    <m/>
  </r>
  <r>
    <x v="11"/>
    <x v="6"/>
    <s v="\\192.168.24.208\images\R&amp;D\Amira\20210302\plaque 1/@11 Cefuroxime ND 1/G11_02.tif "/>
    <s v=" 410.968 "/>
    <s v=" 65.0526 "/>
    <x v="0"/>
    <n v="26735"/>
    <m/>
    <m/>
    <m/>
  </r>
  <r>
    <x v="11"/>
    <x v="6"/>
    <s v="\\192.168.24.208\images\R&amp;D\Amira\20210302\plaque 1/@11 Cefuroxime ND 1/G11_03.tif "/>
    <s v=" 367.7082 "/>
    <s v=" 61.5294 "/>
    <x v="0"/>
    <n v="22625"/>
    <m/>
    <m/>
    <m/>
  </r>
  <r>
    <x v="11"/>
    <x v="7"/>
    <s v="\\192.168.24.208\images\R&amp;D\Amira\20210302\plaque 1/@11 Cefuroxime ND 1/H11_01.tif "/>
    <s v=" 151.4093 "/>
    <s v=" 64.5714 "/>
    <x v="0"/>
    <n v="9777"/>
    <m/>
    <m/>
    <m/>
  </r>
  <r>
    <x v="11"/>
    <x v="7"/>
    <s v="\\192.168.24.208\images\R&amp;D\Amira\20210302\plaque 1/@11 Cefuroxime ND 1/H11_02- exclu.tif"/>
    <m/>
    <m/>
    <x v="1"/>
    <m/>
    <m/>
    <m/>
    <m/>
  </r>
  <r>
    <x v="11"/>
    <x v="7"/>
    <s v="\\192.168.24.208\images\R&amp;D\Amira\20210302\plaque 1/@11 Cefuroxime ND 1/H11_03.tif "/>
    <s v=" 151.4093 "/>
    <n v="63"/>
    <x v="0"/>
    <n v="9539"/>
    <m/>
    <m/>
    <m/>
  </r>
  <r>
    <x v="1"/>
    <x v="8"/>
    <s v=" "/>
    <m/>
    <m/>
    <x v="1"/>
    <m/>
    <m/>
    <m/>
    <m/>
  </r>
  <r>
    <x v="1"/>
    <x v="8"/>
    <s v="group "/>
    <s v=" "/>
    <s v=" mean of mean fluo "/>
    <x v="2"/>
    <s v=" mean of total fluo "/>
    <s v=" SD total fluo "/>
    <s v=" n fluorescent "/>
    <s v=" n total"/>
  </r>
  <r>
    <x v="11"/>
    <x v="9"/>
    <s v="\\192.168.24.208\images\R&amp;D\Amira\20210302\plaque 1/@11 Cefuroxime ND 1/ "/>
    <s v=" "/>
    <s v=" 64.8148 "/>
    <x v="13"/>
    <s v=" 85702.125 "/>
    <s v=" 120828.5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192.168.24.208\images\R&amp;D\Amira\20210302\plaque 1/@12 Cefuroxime ND 10/A12_01.tif "/>
    <s v=" 540.7474 "/>
    <s v=" 64.32 "/>
    <x v="0"/>
    <n v="34781"/>
    <m/>
    <m/>
    <m/>
  </r>
  <r>
    <x v="12"/>
    <x v="0"/>
    <s v="\\192.168.24.208\images\R&amp;D\Amira\20210302\plaque 1/@12 Cefuroxime ND 10/A12_02.tif "/>
    <s v=" 519.1175 "/>
    <s v=" 63.75 "/>
    <x v="0"/>
    <n v="33094"/>
    <m/>
    <m/>
    <m/>
  </r>
  <r>
    <x v="12"/>
    <x v="0"/>
    <s v="\\192.168.24.208\images\R&amp;D\Amira\20210302\plaque 1/@12 Cefuroxime ND 10/A12_03.tif "/>
    <s v=" 4693.6871 "/>
    <s v=" 71.6774 "/>
    <x v="0"/>
    <n v="336431"/>
    <m/>
    <m/>
    <m/>
  </r>
  <r>
    <x v="12"/>
    <x v="1"/>
    <s v="\\192.168.24.208\images\R&amp;D\Amira\20210302\plaque 1/@12 Cefuroxime ND 10/B12_01.tif "/>
    <s v=" 2400.9183 "/>
    <s v=" 67.6306 "/>
    <x v="0"/>
    <n v="162376"/>
    <m/>
    <m/>
    <m/>
  </r>
  <r>
    <x v="12"/>
    <x v="1"/>
    <s v="\\192.168.24.208\images\R&amp;D\Amira\20210302\plaque 1/@12 Cefuroxime ND 10/B12_02.tif "/>
    <s v=" 1103.1246 "/>
    <s v=" 63.6078 "/>
    <x v="0"/>
    <n v="70167"/>
    <m/>
    <m/>
    <m/>
  </r>
  <r>
    <x v="12"/>
    <x v="1"/>
    <s v="\\192.168.24.208\images\R&amp;D\Amira\20210302\plaque 1/@12 Cefuroxime ND 10/B12_03.tif "/>
    <s v=" 1232.904 "/>
    <s v=" 63.386 "/>
    <x v="0"/>
    <n v="78149"/>
    <m/>
    <m/>
    <m/>
  </r>
  <r>
    <x v="12"/>
    <x v="2"/>
    <s v="\\192.168.24.208\images\R&amp;D\Amira\20210302\plaque 1/@12 Cefuroxime ND 10/C12_01.tif "/>
    <s v=" 410.968 "/>
    <s v=" 63.3684 "/>
    <x v="0"/>
    <n v="26042"/>
    <m/>
    <m/>
    <m/>
  </r>
  <r>
    <x v="12"/>
    <x v="2"/>
    <s v="\\192.168.24.208\images\R&amp;D\Amira\20210302\plaque 1/@12 Cefuroxime ND 10/C12_02.tif "/>
    <s v=" 3266.1141 "/>
    <s v=" 66.3709 "/>
    <x v="0"/>
    <n v="216775"/>
    <m/>
    <m/>
    <m/>
  </r>
  <r>
    <x v="12"/>
    <x v="2"/>
    <s v="\\192.168.24.208\images\R&amp;D\Amira\20210302\plaque 1/@12 Cefuroxime ND 10/C12_03.tif "/>
    <s v=" 2076.4699 "/>
    <s v=" 66.1771 "/>
    <x v="0"/>
    <n v="137415"/>
    <m/>
    <m/>
    <m/>
  </r>
  <r>
    <x v="12"/>
    <x v="3"/>
    <s v="\\192.168.24.208\images\R&amp;D\Amira\20210302\plaque 1/@12 Cefuroxime ND 10/D12_01- exclu.tif"/>
    <m/>
    <m/>
    <x v="1"/>
    <m/>
    <m/>
    <m/>
    <m/>
  </r>
  <r>
    <x v="12"/>
    <x v="3"/>
    <s v="\\192.168.24.208\images\R&amp;D\Amira\20210302\plaque 1/@12 Cefuroxime ND 10/D12_02- exclu.tif"/>
    <m/>
    <m/>
    <x v="1"/>
    <m/>
    <m/>
    <m/>
    <m/>
  </r>
  <r>
    <x v="12"/>
    <x v="3"/>
    <s v="\\192.168.24.208\images\R&amp;D\Amira\20210302\plaque 1/@12 Cefuroxime ND 10/D12_03- exclu.tif"/>
    <m/>
    <m/>
    <x v="1"/>
    <m/>
    <m/>
    <m/>
    <m/>
  </r>
  <r>
    <x v="12"/>
    <x v="4"/>
    <s v="\\192.168.24.208\images\R&amp;D\Amira\20210302\plaque 1/@12 Cefuroxime ND 10/E12_01.tif "/>
    <s v=" 6229.4097 "/>
    <s v=" 68.0833 "/>
    <x v="0"/>
    <n v="424119"/>
    <m/>
    <m/>
    <m/>
  </r>
  <r>
    <x v="12"/>
    <x v="4"/>
    <s v="\\192.168.24.208\images\R&amp;D\Amira\20210302\plaque 1/@12 Cefuroxime ND 10/E12_02.tif "/>
    <s v=" 8673.5877 "/>
    <s v=" 73.0948 "/>
    <x v="0"/>
    <n v="633994"/>
    <m/>
    <m/>
    <m/>
  </r>
  <r>
    <x v="12"/>
    <x v="4"/>
    <s v="\\192.168.24.208\images\R&amp;D\Amira\20210302\plaque 1/@12 Cefuroxime ND 10/E12_03.tif "/>
    <s v=" 7656.9827 "/>
    <s v=" 69.8588 "/>
    <x v="0"/>
    <n v="534907"/>
    <m/>
    <m/>
    <m/>
  </r>
  <r>
    <x v="12"/>
    <x v="5"/>
    <s v="\\192.168.24.208\images\R&amp;D\Amira\20210302\plaque 1/@12 Cefuroxime ND 10/F12_01.tif "/>
    <s v=" 194.6691 "/>
    <s v=" 66.1111 "/>
    <x v="0"/>
    <n v="12870"/>
    <m/>
    <m/>
    <m/>
  </r>
  <r>
    <x v="12"/>
    <x v="5"/>
    <s v="\\192.168.24.208\images\R&amp;D\Amira\20210302\plaque 1/@12 Cefuroxime ND 10/F12_02.tif "/>
    <s v=" 259.5587 "/>
    <s v=" 63.25 "/>
    <x v="0"/>
    <n v="16417"/>
    <m/>
    <m/>
    <m/>
  </r>
  <r>
    <x v="12"/>
    <x v="5"/>
    <s v="\\192.168.24.208\images\R&amp;D\Amira\20210302\plaque 1/@12 Cefuroxime ND 10/F12_03.tif "/>
    <s v=" 367.7082 "/>
    <s v=" 63.8824 "/>
    <x v="0"/>
    <n v="23490"/>
    <m/>
    <m/>
    <m/>
  </r>
  <r>
    <x v="12"/>
    <x v="6"/>
    <s v="\\192.168.24.208\images\R&amp;D\Amira\20210302\plaque 1/@12 Cefuroxime ND 10/G12_01.tif "/>
    <s v=" 129.7794 "/>
    <s v=" 67.1667 "/>
    <x v="0"/>
    <n v="8717"/>
    <m/>
    <m/>
    <m/>
  </r>
  <r>
    <x v="12"/>
    <x v="6"/>
    <s v="\\192.168.24.208\images\R&amp;D\Amira\20210302\plaque 1/@12 Cefuroxime ND 10/G12_02.tif "/>
    <s v=" 216.2989 "/>
    <s v=" 63.1 "/>
    <x v="0"/>
    <n v="13648"/>
    <m/>
    <m/>
    <m/>
  </r>
  <r>
    <x v="12"/>
    <x v="6"/>
    <s v="\\192.168.24.208\images\R&amp;D\Amira\20210302\plaque 1/@12 Cefuroxime ND 10/G12_03.tif "/>
    <s v=" 302.8185 "/>
    <s v=" 62.9286 "/>
    <x v="0"/>
    <n v="19056"/>
    <m/>
    <m/>
    <m/>
  </r>
  <r>
    <x v="12"/>
    <x v="7"/>
    <s v="\\192.168.24.208\images\R&amp;D\Amira\20210302\plaque 1/@12 Cefuroxime ND 10/H12_01.tif "/>
    <s v=" 1925.0606 "/>
    <s v=" 63.5618 "/>
    <x v="0"/>
    <n v="122360"/>
    <m/>
    <m/>
    <m/>
  </r>
  <r>
    <x v="12"/>
    <x v="7"/>
    <s v="\\192.168.24.208\images\R&amp;D\Amira\20210302\plaque 1/@12 Cefuroxime ND 10/H12_02.tif "/>
    <s v=" 1362.6834 "/>
    <s v=" 64.0635 "/>
    <x v="0"/>
    <n v="87298"/>
    <m/>
    <m/>
    <m/>
  </r>
  <r>
    <x v="12"/>
    <x v="7"/>
    <s v="\\192.168.24.208\images\R&amp;D\Amira\20210302\plaque 1/@12 Cefuroxime ND 10/H12_03.tif "/>
    <s v=" 410.968 "/>
    <s v=" 65.6316 "/>
    <x v="0"/>
    <n v="26972"/>
    <m/>
    <m/>
    <m/>
  </r>
  <r>
    <x v="1"/>
    <x v="8"/>
    <s v=" "/>
    <m/>
    <m/>
    <x v="1"/>
    <m/>
    <m/>
    <m/>
    <m/>
  </r>
  <r>
    <x v="1"/>
    <x v="8"/>
    <s v="group "/>
    <s v=" "/>
    <s v=" mean of mean fluo "/>
    <x v="2"/>
    <s v=" mean of total fluo "/>
    <s v=" SD total fluo "/>
    <s v=" n fluorescent "/>
    <s v=" n total"/>
  </r>
  <r>
    <x v="12"/>
    <x v="9"/>
    <s v="\\192.168.24.208\images\R&amp;D\Amira\20210302\plaque 1/@12 Cefuroxime ND 10/ "/>
    <s v=" "/>
    <s v=" 65.4373 "/>
    <x v="14"/>
    <s v=" 127210.792 "/>
    <s v=" 177463.4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192.168.24.208\images\R&amp;D\Amira\20210302\plaque 2/@01 Testo 30/A1_01- exclu.tif"/>
    <m/>
    <m/>
    <x v="1"/>
    <m/>
    <m/>
    <m/>
    <m/>
  </r>
  <r>
    <x v="13"/>
    <x v="0"/>
    <s v="\\192.168.24.208\images\R&amp;D\Amira\20210302\plaque 2/@01 Testo 30/A1_02.tif "/>
    <s v=" 42113.4048 "/>
    <s v=" 73.1998 "/>
    <x v="0"/>
    <n v="3082693"/>
    <m/>
    <m/>
    <m/>
  </r>
  <r>
    <x v="13"/>
    <x v="0"/>
    <s v="\\192.168.24.208\images\R&amp;D\Amira\20210302\plaque 2/@01 Testo 30/A1_03.tif "/>
    <s v=" 38328.1733 "/>
    <s v=" 73.807 "/>
    <x v="0"/>
    <n v="2828887"/>
    <m/>
    <m/>
    <m/>
  </r>
  <r>
    <x v="13"/>
    <x v="1"/>
    <s v="\\192.168.24.208\images\R&amp;D\Amira\20210302\plaque 2/@01 Testo 30/B1_01.tif "/>
    <s v=" 3677.0821 "/>
    <s v=" 63.9176 "/>
    <x v="0"/>
    <n v="235030"/>
    <m/>
    <m/>
    <m/>
  </r>
  <r>
    <x v="13"/>
    <x v="1"/>
    <s v="\\192.168.24.208\images\R&amp;D\Amira\20210302\plaque 2/@01 Testo 30/B1_02.tif "/>
    <s v=" 7916.5414 "/>
    <s v=" 67.3579 "/>
    <x v="0"/>
    <n v="533242"/>
    <m/>
    <m/>
    <m/>
  </r>
  <r>
    <x v="13"/>
    <x v="1"/>
    <s v="\\192.168.24.208\images\R&amp;D\Amira\20210302\plaque 2/@01 Testo 30/B1_03.tif "/>
    <s v=" 6488.9684 "/>
    <s v=" 65.01 "/>
    <x v="0"/>
    <n v="421848"/>
    <m/>
    <m/>
    <m/>
  </r>
  <r>
    <x v="13"/>
    <x v="2"/>
    <s v="\\192.168.24.208\images\R&amp;D\Amira\20210302\plaque 2/@01 Testo 30/C1_01- exclu.tif"/>
    <m/>
    <m/>
    <x v="1"/>
    <m/>
    <m/>
    <m/>
    <m/>
  </r>
  <r>
    <x v="13"/>
    <x v="2"/>
    <s v="\\192.168.24.208\images\R&amp;D\Amira\20210302\plaque 2/@01 Testo 30/C1_02.tif "/>
    <s v=" 30714.4504 "/>
    <s v=" 70.7761 "/>
    <x v="0"/>
    <n v="2173848"/>
    <m/>
    <m/>
    <m/>
  </r>
  <r>
    <x v="13"/>
    <x v="2"/>
    <s v="\\192.168.24.208\images\R&amp;D\Amira\20210302\plaque 2/@01 Testo 30/C1_03.tif "/>
    <s v=" 31384.9771 "/>
    <s v=" 75.6782 "/>
    <x v="0"/>
    <n v="2375157"/>
    <m/>
    <m/>
    <m/>
  </r>
  <r>
    <x v="13"/>
    <x v="3"/>
    <s v="\\192.168.24.208\images\R&amp;D\Amira\20210302\plaque 2/@01 Testo 30/D1_01.tif "/>
    <s v=" 27058.9982 "/>
    <s v=" 68.466 "/>
    <x v="0"/>
    <n v="1852622"/>
    <m/>
    <m/>
    <m/>
  </r>
  <r>
    <x v="13"/>
    <x v="3"/>
    <s v="\\192.168.24.208\images\R&amp;D\Amira\20210302\plaque 2/@01 Testo 30/D1_02.tif "/>
    <s v=" 24138.9624 "/>
    <s v=" 67.3826 "/>
    <x v="0"/>
    <n v="1626546"/>
    <m/>
    <m/>
    <m/>
  </r>
  <r>
    <x v="13"/>
    <x v="3"/>
    <s v="\\192.168.24.208\images\R&amp;D\Amira\20210302\plaque 2/@01 Testo 30/D1_03.tif "/>
    <s v=" 24766.2294 "/>
    <s v=" 67.0192 "/>
    <x v="0"/>
    <n v="1659813"/>
    <m/>
    <m/>
    <m/>
  </r>
  <r>
    <x v="13"/>
    <x v="4"/>
    <s v="\\192.168.24.208\images\R&amp;D\Amira\20210302\plaque 2/@01 Testo 30/E1_01.tif "/>
    <s v=" 46850.3518 "/>
    <s v=" 72.9972 "/>
    <x v="0"/>
    <n v="3419946"/>
    <m/>
    <m/>
    <m/>
  </r>
  <r>
    <x v="13"/>
    <x v="4"/>
    <s v="\\192.168.24.208\images\R&amp;D\Amira\20210302\plaque 2/@01 Testo 30/E1_02.tif "/>
    <s v=" 43346.3088 "/>
    <s v=" 71.4765 "/>
    <x v="0"/>
    <n v="3098244"/>
    <m/>
    <m/>
    <m/>
  </r>
  <r>
    <x v="13"/>
    <x v="4"/>
    <s v="\\192.168.24.208\images\R&amp;D\Amira\20210302\plaque 2/@01 Testo 30/E1_03.tif "/>
    <s v=" 46050.0457 "/>
    <s v=" 72.6914 "/>
    <x v="0"/>
    <n v="3347442"/>
    <m/>
    <m/>
    <m/>
  </r>
  <r>
    <x v="13"/>
    <x v="5"/>
    <s v="\\192.168.24.208\images\R&amp;D\Amira\20210302\plaque 2/@01 Testo 30/F1_01.tif "/>
    <s v=" 54637.1138 "/>
    <s v=" 74.367 "/>
    <x v="0"/>
    <n v="4063197"/>
    <m/>
    <m/>
    <m/>
  </r>
  <r>
    <x v="13"/>
    <x v="5"/>
    <s v="\\192.168.24.208\images\R&amp;D\Amira\20210302\plaque 2/@01 Testo 30/F1_02.tif "/>
    <s v=" 47780.4372 "/>
    <s v=" 71.3074 "/>
    <x v="0"/>
    <n v="3407098"/>
    <m/>
    <m/>
    <m/>
  </r>
  <r>
    <x v="13"/>
    <x v="5"/>
    <s v="\\192.168.24.208\images\R&amp;D\Amira\20210302\plaque 2/@01 Testo 30/F1_03.tif "/>
    <s v=" 49900.1669 "/>
    <s v=" 73.7997 "/>
    <x v="0"/>
    <n v="3682619"/>
    <m/>
    <m/>
    <m/>
  </r>
  <r>
    <x v="13"/>
    <x v="6"/>
    <s v="\\192.168.24.208\images\R&amp;D\Amira\20210302\plaque 2/@01 Testo 30/G1_01.tif "/>
    <s v=" 1773.6514 "/>
    <s v=" 64.2317 "/>
    <x v="0"/>
    <n v="113925"/>
    <m/>
    <m/>
    <m/>
  </r>
  <r>
    <x v="13"/>
    <x v="6"/>
    <s v="\\192.168.24.208\images\R&amp;D\Amira\20210302\plaque 2/@01 Testo 30/G1_02.tif "/>
    <s v=" 670.5267 "/>
    <s v=" 63.1613 "/>
    <x v="0"/>
    <n v="42351"/>
    <m/>
    <m/>
    <m/>
  </r>
  <r>
    <x v="13"/>
    <x v="6"/>
    <s v="\\192.168.24.208\images\R&amp;D\Amira\20210302\plaque 2/@01 Testo 30/G1_03.tif "/>
    <s v=" 692.1566 "/>
    <s v=" 64.375 "/>
    <x v="0"/>
    <n v="44558"/>
    <m/>
    <m/>
    <m/>
  </r>
  <r>
    <x v="13"/>
    <x v="7"/>
    <s v="\\192.168.24.208\images\R&amp;D\Amira\20210302\plaque 2/@01 Testo 30/H1_01- exclu.tif"/>
    <m/>
    <m/>
    <x v="1"/>
    <m/>
    <m/>
    <m/>
    <m/>
  </r>
  <r>
    <x v="13"/>
    <x v="7"/>
    <s v="\\192.168.24.208\images\R&amp;D\Amira\20210302\plaque 2/@01 Testo 30/H1_02.tif "/>
    <s v=" 37809.0558 "/>
    <s v=" 73.1773 "/>
    <x v="0"/>
    <n v="2766766"/>
    <m/>
    <m/>
    <m/>
  </r>
  <r>
    <x v="13"/>
    <x v="7"/>
    <s v="\\192.168.24.208\images\R&amp;D\Amira\20210302\plaque 2/@01 Testo 30/H1_03.tif "/>
    <s v=" 38695.8815 "/>
    <s v=" 74.4612 "/>
    <x v="0"/>
    <n v="2881340"/>
    <m/>
    <m/>
    <m/>
  </r>
  <r>
    <x v="1"/>
    <x v="8"/>
    <s v=" "/>
    <m/>
    <m/>
    <x v="1"/>
    <m/>
    <m/>
    <m/>
    <m/>
  </r>
  <r>
    <x v="1"/>
    <x v="8"/>
    <s v="group "/>
    <s v=" "/>
    <s v=" mean of mean fluo "/>
    <x v="2"/>
    <s v=" mean of total fluo "/>
    <s v=" SD total fluo "/>
    <s v=" n fluorescent "/>
    <s v=" n total"/>
  </r>
  <r>
    <x v="13"/>
    <x v="9"/>
    <s v="\\192.168.24.208\images\R&amp;D\Amira\20210302\plaque 2/@01 Testo 30/ "/>
    <s v=" "/>
    <s v=" 69.9546 "/>
    <x v="15"/>
    <s v=" 2076525.71 "/>
    <s v=" 1262620.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192.168.24.208\images\R&amp;D\Amira\20210302\plaque 2/@02 Testo 30/A2_01.tif "/>
    <s v=" 37333.1981 "/>
    <s v=" 70.1727 "/>
    <x v="0"/>
    <n v="2619770"/>
    <m/>
    <m/>
    <m/>
  </r>
  <r>
    <x v="14"/>
    <x v="0"/>
    <s v="\\192.168.24.208\images\R&amp;D\Amira\20210302\plaque 2/@02 Testo 30/A2_02- exclu.tif"/>
    <m/>
    <m/>
    <x v="1"/>
    <m/>
    <m/>
    <m/>
    <m/>
  </r>
  <r>
    <x v="14"/>
    <x v="0"/>
    <s v="\\192.168.24.208\images\R&amp;D\Amira\20210302\plaque 2/@02 Testo 30/A2_03- exclu.tif"/>
    <m/>
    <m/>
    <x v="1"/>
    <m/>
    <m/>
    <m/>
    <m/>
  </r>
  <r>
    <x v="14"/>
    <x v="1"/>
    <s v="\\192.168.24.208\images\R&amp;D\Amira\20210302\plaque 2/@02 Testo 30/B2_01.tif "/>
    <s v=" 35775.8457 "/>
    <s v=" 69.6808 "/>
    <x v="0"/>
    <n v="2492889"/>
    <m/>
    <m/>
    <m/>
  </r>
  <r>
    <x v="14"/>
    <x v="1"/>
    <s v="\\192.168.24.208\images\R&amp;D\Amira\20210302\plaque 2/@02 Testo 30/B2_02.tif "/>
    <s v=" 27080.6281 "/>
    <s v=" 70.0487 "/>
    <x v="0"/>
    <n v="1896963"/>
    <m/>
    <m/>
    <m/>
  </r>
  <r>
    <x v="14"/>
    <x v="1"/>
    <s v="\\192.168.24.208\images\R&amp;D\Amira\20210302\plaque 2/@02 Testo 30/B2_03.tif "/>
    <s v=" 25696.3148 "/>
    <s v=" 68.4377 "/>
    <x v="0"/>
    <n v="1758597"/>
    <m/>
    <m/>
    <m/>
  </r>
  <r>
    <x v="14"/>
    <x v="2"/>
    <s v="\\192.168.24.208\images\R&amp;D\Amira\20210302\plaque 2/@02 Testo 30/C2_01- exclu.tif"/>
    <m/>
    <m/>
    <x v="1"/>
    <m/>
    <m/>
    <m/>
    <m/>
  </r>
  <r>
    <x v="14"/>
    <x v="2"/>
    <s v="\\192.168.24.208\images\R&amp;D\Amira\20210302\plaque 2/@02 Testo 30/C2_02.tif "/>
    <s v=" 42654.1522 "/>
    <s v=" 76.0522 "/>
    <x v="0"/>
    <n v="3243943"/>
    <m/>
    <m/>
    <m/>
  </r>
  <r>
    <x v="14"/>
    <x v="2"/>
    <s v="\\192.168.24.208\images\R&amp;D\Amira\20210302\plaque 2/@02 Testo 30/C2_03.tif "/>
    <s v=" 49164.7505 "/>
    <s v=" 73.9877 "/>
    <x v="0"/>
    <n v="3637586"/>
    <m/>
    <m/>
    <m/>
  </r>
  <r>
    <x v="14"/>
    <x v="3"/>
    <s v="\\192.168.24.208\images\R&amp;D\Amira\20210302\plaque 2/@02 Testo 30/D2_01.tif "/>
    <s v=" 19726.4639 "/>
    <s v=" 70.6173 "/>
    <x v="0"/>
    <n v="1393030"/>
    <m/>
    <m/>
    <m/>
  </r>
  <r>
    <x v="14"/>
    <x v="3"/>
    <s v="\\192.168.24.208\images\R&amp;D\Amira\20210302\plaque 2/@02 Testo 30/D2_02.tif "/>
    <s v=" 25631.4251 "/>
    <s v=" 70.4565 "/>
    <x v="0"/>
    <n v="1805902"/>
    <m/>
    <m/>
    <m/>
  </r>
  <r>
    <x v="14"/>
    <x v="3"/>
    <s v="\\192.168.24.208\images\R&amp;D\Amira\20210302\plaque 2/@02 Testo 30/D2_03.tif "/>
    <s v=" 21283.8163 "/>
    <s v=" 71.0986 "/>
    <x v="0"/>
    <n v="1513249"/>
    <m/>
    <m/>
    <m/>
  </r>
  <r>
    <x v="14"/>
    <x v="4"/>
    <s v="\\192.168.24.208\images\R&amp;D\Amira\20210302\plaque 2/@02 Testo 30/E2_01.tif "/>
    <s v=" 27361.8167 "/>
    <s v=" 70.2055 "/>
    <x v="0"/>
    <n v="1920951"/>
    <m/>
    <m/>
    <m/>
  </r>
  <r>
    <x v="14"/>
    <x v="4"/>
    <s v="\\192.168.24.208\images\R&amp;D\Amira\20210302\plaque 2/@02 Testo 30/E2_02.tif "/>
    <s v=" 25782.8344 "/>
    <s v=" 69.4899 "/>
    <x v="0"/>
    <n v="1791647"/>
    <m/>
    <m/>
    <m/>
  </r>
  <r>
    <x v="14"/>
    <x v="4"/>
    <s v="\\192.168.24.208\images\R&amp;D\Amira\20210302\plaque 2/@02 Testo 30/E2_03.tif "/>
    <s v=" 23771.2542 "/>
    <s v=" 70.596 "/>
    <x v="0"/>
    <n v="1678155"/>
    <m/>
    <m/>
    <m/>
  </r>
  <r>
    <x v="14"/>
    <x v="5"/>
    <s v="\\192.168.24.208\images\R&amp;D\Amira\20210302\plaque 2/@02 Testo 30/F2_01.tif "/>
    <s v=" 45898.6364 "/>
    <s v=" 76.7177 "/>
    <x v="0"/>
    <n v="3521239"/>
    <m/>
    <m/>
    <m/>
  </r>
  <r>
    <x v="14"/>
    <x v="5"/>
    <s v="\\192.168.24.208\images\R&amp;D\Amira\20210302\plaque 2/@02 Testo 30/F2_02.tif "/>
    <s v=" 43649.1274 "/>
    <s v=" 74.2364 "/>
    <x v="0"/>
    <n v="3240353"/>
    <m/>
    <m/>
    <m/>
  </r>
  <r>
    <x v="14"/>
    <x v="5"/>
    <s v="\\192.168.24.208\images\R&amp;D\Amira\20210302\plaque 2/@02 Testo 30/F2_03.tif "/>
    <s v=" 41464.508 "/>
    <s v=" 75.8894 "/>
    <x v="0"/>
    <n v="3146717"/>
    <m/>
    <m/>
    <m/>
  </r>
  <r>
    <x v="14"/>
    <x v="6"/>
    <s v="\\192.168.24.208\images\R&amp;D\Amira\20210302\plaque 2/@02 Testo 30/G2_01- exclu.tif"/>
    <m/>
    <m/>
    <x v="1"/>
    <m/>
    <m/>
    <m/>
    <m/>
  </r>
  <r>
    <x v="14"/>
    <x v="6"/>
    <s v="\\192.168.24.208\images\R&amp;D\Amira\20210302\plaque 2/@02 Testo 30/G2_02.tif "/>
    <s v=" 4023.1604 "/>
    <s v=" 65.9731 "/>
    <x v="0"/>
    <n v="265420"/>
    <m/>
    <m/>
    <m/>
  </r>
  <r>
    <x v="14"/>
    <x v="6"/>
    <s v="\\192.168.24.208\images\R&amp;D\Amira\20210302\plaque 2/@02 Testo 30/G2_03.tif "/>
    <s v=" 4455.7583 "/>
    <s v=" 64.4563 "/>
    <x v="0"/>
    <n v="287202"/>
    <m/>
    <m/>
    <m/>
  </r>
  <r>
    <x v="14"/>
    <x v="7"/>
    <s v="\\192.168.24.208\images\R&amp;D\Amira\20210302\plaque 2/@02 Testo 30/H2_01.tif "/>
    <s v=" 29546.4361 "/>
    <s v=" 73.9949 "/>
    <x v="0"/>
    <n v="2186285"/>
    <m/>
    <m/>
    <m/>
  </r>
  <r>
    <x v="14"/>
    <x v="7"/>
    <s v="\\192.168.24.208\images\R&amp;D\Amira\20210302\plaque 2/@02 Testo 30/H2_02.tif "/>
    <s v=" 31255.1977 "/>
    <s v=" 73.7211 "/>
    <x v="0"/>
    <n v="2304168"/>
    <m/>
    <m/>
    <m/>
  </r>
  <r>
    <x v="14"/>
    <x v="7"/>
    <s v="\\192.168.24.208\images\R&amp;D\Amira\20210302\plaque 2/@02 Testo 30/H2_03.tif "/>
    <s v=" 26345.2117 "/>
    <s v=" 72.1708 "/>
    <x v="0"/>
    <n v="1901354"/>
    <m/>
    <m/>
    <m/>
  </r>
  <r>
    <x v="1"/>
    <x v="8"/>
    <s v=" "/>
    <m/>
    <m/>
    <x v="1"/>
    <m/>
    <m/>
    <m/>
    <m/>
  </r>
  <r>
    <x v="1"/>
    <x v="8"/>
    <s v="group "/>
    <s v=" "/>
    <s v=" mean of mean fluo "/>
    <x v="2"/>
    <s v=" mean of total fluo "/>
    <s v=" SD total fluo "/>
    <s v=" n fluorescent "/>
    <s v=" n total"/>
  </r>
  <r>
    <x v="14"/>
    <x v="9"/>
    <s v="\\192.168.24.208\images\R&amp;D\Amira\20210302\plaque 2/@02 Testo 30/ "/>
    <s v=" "/>
    <s v=" 71.9671 "/>
    <x v="16"/>
    <s v=" 2102259.96 "/>
    <s v=" 924329.53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192.168.24.208\images\R&amp;D\Amira\20210302\plaque 2/@03 Testo + FAD/A3_01.tif "/>
    <s v=" 367.7082 "/>
    <s v=" 63.1176 "/>
    <x v="0"/>
    <n v="23209"/>
    <m/>
    <m/>
    <m/>
  </r>
  <r>
    <x v="15"/>
    <x v="0"/>
    <s v="\\192.168.24.208\images\R&amp;D\Amira\20210302\plaque 2/@03 Testo + FAD/A3_02.tif "/>
    <s v=" 3266.1141 "/>
    <s v=" 68.5033 "/>
    <x v="0"/>
    <n v="223740"/>
    <m/>
    <m/>
    <m/>
  </r>
  <r>
    <x v="15"/>
    <x v="0"/>
    <s v="\\192.168.24.208\images\R&amp;D\Amira\20210302\plaque 2/@03 Testo + FAD/A3_03.tif "/>
    <s v=" 843.5659 "/>
    <s v=" 63.6923 "/>
    <x v="0"/>
    <n v="53729"/>
    <m/>
    <m/>
    <m/>
  </r>
  <r>
    <x v="15"/>
    <x v="1"/>
    <s v="\\192.168.24.208\images\R&amp;D\Amira\20210302\plaque 2/@03 Testo + FAD/B3_01.tif "/>
    <s v=" 1968.3204 "/>
    <s v=" 64.5385 "/>
    <x v="0"/>
    <n v="127032"/>
    <m/>
    <m/>
    <m/>
  </r>
  <r>
    <x v="15"/>
    <x v="1"/>
    <s v="\\192.168.24.208\images\R&amp;D\Amira\20210302\plaque 2/@03 Testo + FAD/B3_02.tif "/>
    <s v=" 4974.8758 "/>
    <s v=" 69.6435 "/>
    <x v="0"/>
    <n v="346468"/>
    <m/>
    <m/>
    <m/>
  </r>
  <r>
    <x v="15"/>
    <x v="1"/>
    <s v="\\192.168.24.208\images\R&amp;D\Amira\20210302\plaque 2/@03 Testo + FAD/B3_03.tif "/>
    <s v=" 454.2278 "/>
    <s v=" 62.5714 "/>
    <x v="0"/>
    <n v="28422"/>
    <m/>
    <m/>
    <m/>
  </r>
  <r>
    <x v="15"/>
    <x v="2"/>
    <s v="\\192.168.24.208\images\R&amp;D\Amira\20210302\plaque 2/@03 Testo + FAD/C3_01.tif "/>
    <s v=" 584.0072 "/>
    <s v=" 63.5926 "/>
    <x v="0"/>
    <n v="37139"/>
    <m/>
    <m/>
    <m/>
  </r>
  <r>
    <x v="15"/>
    <x v="2"/>
    <s v="\\192.168.24.208\images\R&amp;D\Amira\20210302\plaque 2/@03 Testo + FAD/C3_02.tif "/>
    <s v=" 367.7082 "/>
    <s v=" 62.7059 "/>
    <x v="0"/>
    <n v="23057"/>
    <m/>
    <m/>
    <m/>
  </r>
  <r>
    <x v="15"/>
    <x v="2"/>
    <s v="\\192.168.24.208\images\R&amp;D\Amira\20210302\plaque 2/@03 Testo + FAD/C3_03.tif "/>
    <s v=" 2249.509 "/>
    <s v=" 65.3654 "/>
    <x v="0"/>
    <n v="147040"/>
    <m/>
    <m/>
    <m/>
  </r>
  <r>
    <x v="15"/>
    <x v="3"/>
    <s v="\\192.168.24.208\images\R&amp;D\Amira\20210302\plaque 2/@03 Testo + FAD/D3_01.tif "/>
    <s v=" 1470.8328 "/>
    <s v=" 64.0147 "/>
    <x v="0"/>
    <n v="94155"/>
    <m/>
    <m/>
    <m/>
  </r>
  <r>
    <x v="15"/>
    <x v="3"/>
    <s v="\\192.168.24.208\images\R&amp;D\Amira\20210302\plaque 2/@03 Testo + FAD/D3_02.tif "/>
    <s v=" 2422.5482 "/>
    <s v=" 67.0268 "/>
    <x v="0"/>
    <n v="162376"/>
    <m/>
    <m/>
    <m/>
  </r>
  <r>
    <x v="15"/>
    <x v="3"/>
    <s v="\\192.168.24.208\images\R&amp;D\Amira\20210302\plaque 2/@03 Testo + FAD/D3_03.tif "/>
    <s v=" 2941.6657 "/>
    <s v=" 66.3382 "/>
    <x v="0"/>
    <n v="195145"/>
    <m/>
    <m/>
    <m/>
  </r>
  <r>
    <x v="15"/>
    <x v="4"/>
    <s v="\\192.168.24.208\images\R&amp;D\Amira\20210302\plaque 2/@03 Testo + FAD/E3_01.tif "/>
    <s v=" 3374.2636 "/>
    <s v=" 68.4487 "/>
    <x v="0"/>
    <n v="230964"/>
    <m/>
    <m/>
    <m/>
  </r>
  <r>
    <x v="15"/>
    <x v="4"/>
    <s v="\\192.168.24.208\images\R&amp;D\Amira\20210302\plaque 2/@03 Testo + FAD/E3_02.tif "/>
    <s v=" 7765.1322 "/>
    <s v=" 76.5153 "/>
    <x v="0"/>
    <n v="594152"/>
    <m/>
    <m/>
    <m/>
  </r>
  <r>
    <x v="15"/>
    <x v="4"/>
    <s v="\\192.168.24.208\images\R&amp;D\Amira\20210302\plaque 2/@03 Testo + FAD/E3_03.tif "/>
    <s v=" 4996.5057 "/>
    <s v=" 66.4069 "/>
    <x v="0"/>
    <n v="331803"/>
    <m/>
    <m/>
    <m/>
  </r>
  <r>
    <x v="15"/>
    <x v="5"/>
    <s v="\\192.168.24.208\images\R&amp;D\Amira\20210302\plaque 2/@03 Testo + FAD/F3_01- exclu.tif"/>
    <m/>
    <m/>
    <x v="1"/>
    <m/>
    <m/>
    <m/>
    <m/>
  </r>
  <r>
    <x v="15"/>
    <x v="5"/>
    <s v="\\192.168.24.208\images\R&amp;D\Amira\20210302\plaque 2/@03 Testo + FAD/F3_02.tif "/>
    <s v=" 2292.7688 "/>
    <s v=" 65.4434 "/>
    <x v="0"/>
    <n v="150047"/>
    <m/>
    <m/>
    <m/>
  </r>
  <r>
    <x v="15"/>
    <x v="5"/>
    <s v="\\192.168.24.208\images\R&amp;D\Amira\20210302\plaque 2/@03 Testo + FAD/F3_03.tif "/>
    <s v=" 2487.4379 "/>
    <s v=" 64.7217 "/>
    <x v="0"/>
    <n v="160991"/>
    <m/>
    <m/>
    <m/>
  </r>
  <r>
    <x v="15"/>
    <x v="6"/>
    <s v="\\192.168.24.208\images\R&amp;D\Amira\20210302\plaque 2/@03 Testo + FAD/G3_01.tif "/>
    <s v=" 216.2989 "/>
    <s v=" 62.8 "/>
    <x v="0"/>
    <n v="13584"/>
    <m/>
    <m/>
    <m/>
  </r>
  <r>
    <x v="15"/>
    <x v="6"/>
    <s v="\\192.168.24.208\images\R&amp;D\Amira\20210302\plaque 2/@03 Testo + FAD/G3_02.tif "/>
    <s v=" 410.968 "/>
    <n v="63"/>
    <x v="0"/>
    <n v="25891"/>
    <m/>
    <m/>
    <m/>
  </r>
  <r>
    <x v="15"/>
    <x v="6"/>
    <s v="\\192.168.24.208\images\R&amp;D\Amira\20210302\plaque 2/@03 Testo + FAD/G3_03.tif "/>
    <s v=" 475.8577 "/>
    <s v=" 62.7273 "/>
    <x v="0"/>
    <n v="29849"/>
    <m/>
    <m/>
    <m/>
  </r>
  <r>
    <x v="15"/>
    <x v="7"/>
    <s v="\\192.168.24.208\images\R&amp;D\Amira\20210302\plaque 2/@03 Testo + FAD/H3_01.tif "/>
    <s v=" 605.637 "/>
    <s v=" 63.8929 "/>
    <x v="0"/>
    <n v="38696"/>
    <m/>
    <m/>
    <m/>
  </r>
  <r>
    <x v="15"/>
    <x v="7"/>
    <s v="\\192.168.24.208\images\R&amp;D\Amira\20210302\plaque 2/@03 Testo + FAD/H3_02.tif "/>
    <s v=" 259.5587 "/>
    <s v=" 62.6667 "/>
    <x v="0"/>
    <n v="16266"/>
    <m/>
    <m/>
    <m/>
  </r>
  <r>
    <x v="15"/>
    <x v="7"/>
    <s v="\\192.168.24.208\images\R&amp;D\Amira\20210302\plaque 2/@03 Testo + FAD/H3_03.tif "/>
    <s v=" 670.5267 "/>
    <s v=" 64.6129 "/>
    <x v="0"/>
    <n v="43325"/>
    <m/>
    <m/>
    <m/>
  </r>
  <r>
    <x v="1"/>
    <x v="8"/>
    <s v=" "/>
    <m/>
    <m/>
    <x v="1"/>
    <m/>
    <m/>
    <m/>
    <m/>
  </r>
  <r>
    <x v="1"/>
    <x v="8"/>
    <s v="group "/>
    <s v=" "/>
    <s v=" mean of mean fluo "/>
    <x v="2"/>
    <s v=" mean of total fluo "/>
    <s v=" SD total fluo "/>
    <s v=" n fluorescent "/>
    <s v=" n total"/>
  </r>
  <r>
    <x v="15"/>
    <x v="9"/>
    <s v="\\192.168.24.208\images\R&amp;D\Amira\20210302\plaque 2/@03 Testo + FAD/ "/>
    <s v=" "/>
    <s v=" 65.3398 "/>
    <x v="17"/>
    <s v=" 136458.667 "/>
    <s v=" 138680.24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192.168.24.208\images\R&amp;D\Amira\20210302\plaque 2/@04 Testo + E2/A4_01.tif "/>
    <s v=" 37506.2373 "/>
    <s v=" 82.0802 "/>
    <x v="0"/>
    <n v="3078518"/>
    <m/>
    <m/>
    <m/>
  </r>
  <r>
    <x v="16"/>
    <x v="0"/>
    <s v="\\192.168.24.208\images\R&amp;D\Amira\20210302\plaque 2/@04 Testo + E2/A4_02.tif "/>
    <s v=" 30649.5607 "/>
    <s v=" 85.5131 "/>
    <x v="0"/>
    <n v="2620938"/>
    <m/>
    <m/>
    <m/>
  </r>
  <r>
    <x v="16"/>
    <x v="0"/>
    <s v="\\192.168.24.208\images\R&amp;D\Amira\20210302\plaque 2/@04 Testo + E2/A4_03.tif "/>
    <s v=" 28010.7135 "/>
    <s v=" 78.5846 "/>
    <x v="0"/>
    <n v="2201209"/>
    <m/>
    <m/>
    <m/>
  </r>
  <r>
    <x v="16"/>
    <x v="1"/>
    <s v="\\192.168.24.208\images\R&amp;D\Amira\20210302\plaque 2/@04 Testo + E2/B4_01.tif "/>
    <s v=" 42481.1131 "/>
    <s v=" 69.2821 "/>
    <x v="0"/>
    <n v="2943180"/>
    <m/>
    <m/>
    <m/>
  </r>
  <r>
    <x v="16"/>
    <x v="1"/>
    <s v="\\192.168.24.208\images\R&amp;D\Amira\20210302\plaque 2/@04 Testo + E2/B4_02.tif "/>
    <s v=" 52084.7863 "/>
    <s v=" 74.7475 "/>
    <x v="0"/>
    <n v="3893208"/>
    <m/>
    <m/>
    <m/>
  </r>
  <r>
    <x v="16"/>
    <x v="1"/>
    <s v="\\192.168.24.208\images\R&amp;D\Amira\20210302\plaque 2/@04 Testo + E2/B4_03.tif "/>
    <s v=" 41248.2091 "/>
    <s v=" 70.3954 "/>
    <x v="0"/>
    <n v="2903684"/>
    <m/>
    <m/>
    <m/>
  </r>
  <r>
    <x v="16"/>
    <x v="2"/>
    <s v="\\192.168.24.208\images\R&amp;D\Amira\20210302\plaque 2/@04 Testo + E2/C4_01.tif "/>
    <s v=" 24095.7026 "/>
    <s v=" 73.0799 "/>
    <x v="0"/>
    <n v="1760911"/>
    <m/>
    <m/>
    <m/>
  </r>
  <r>
    <x v="16"/>
    <x v="2"/>
    <s v="\\192.168.24.208\images\R&amp;D\Amira\20210302\plaque 2/@04 Testo + E2/C4_02.tif "/>
    <s v=" 21175.6668 "/>
    <s v=" 74.7048 "/>
    <x v="0"/>
    <n v="1581924"/>
    <m/>
    <m/>
    <m/>
  </r>
  <r>
    <x v="16"/>
    <x v="2"/>
    <s v="\\192.168.24.208\images\R&amp;D\Amira\20210302\plaque 2/@04 Testo + E2/C4_03.tif "/>
    <s v=" 21456.8555 "/>
    <s v=" 74.2349 "/>
    <x v="0"/>
    <n v="1592847"/>
    <m/>
    <m/>
    <m/>
  </r>
  <r>
    <x v="16"/>
    <x v="3"/>
    <s v="\\192.168.24.208\images\R&amp;D\Amira\20210302\plaque 2/@04 Testo + E2/D4_01.tif "/>
    <s v=" 13432.1646 "/>
    <s v=" 68.3333 "/>
    <x v="0"/>
    <n v="917865"/>
    <m/>
    <m/>
    <m/>
  </r>
  <r>
    <x v="16"/>
    <x v="3"/>
    <s v="\\192.168.24.208\images\R&amp;D\Amira\20210302\plaque 2/@04 Testo + E2/D4_02.tif "/>
    <s v=" 12848.1574 "/>
    <s v=" 69.0051 "/>
    <x v="0"/>
    <n v="886588"/>
    <m/>
    <m/>
    <m/>
  </r>
  <r>
    <x v="16"/>
    <x v="3"/>
    <s v="\\192.168.24.208\images\R&amp;D\Amira\20210302\plaque 2/@04 Testo + E2/D4_03.tif "/>
    <s v=" 12891.4172 "/>
    <s v=" 67.8121 "/>
    <x v="0"/>
    <n v="874194"/>
    <m/>
    <m/>
    <m/>
  </r>
  <r>
    <x v="16"/>
    <x v="4"/>
    <s v="\\192.168.24.208\images\R&amp;D\Amira\20210302\plaque 2/@04 Testo + E2/E4_01.tif "/>
    <s v=" 42740.6718 "/>
    <s v=" 80.6488 "/>
    <x v="0"/>
    <n v="3446983"/>
    <m/>
    <m/>
    <m/>
  </r>
  <r>
    <x v="16"/>
    <x v="4"/>
    <s v="\\192.168.24.208\images\R&amp;D\Amira\20210302\plaque 2/@04 Testo + E2/E4_02.tif "/>
    <s v=" 41226.5792 "/>
    <s v=" 80.8473 "/>
    <x v="0"/>
    <n v="3333059"/>
    <m/>
    <m/>
    <m/>
  </r>
  <r>
    <x v="16"/>
    <x v="4"/>
    <s v="\\192.168.24.208\images\R&amp;D\Amira\20210302\plaque 2/@04 Testo + E2/E4_03.tif "/>
    <s v=" 39582.7072 "/>
    <s v=" 77.9109 "/>
    <x v="0"/>
    <n v="3083925"/>
    <m/>
    <m/>
    <m/>
  </r>
  <r>
    <x v="16"/>
    <x v="5"/>
    <s v="\\192.168.24.208\images\R&amp;D\Amira\20210302\plaque 2/@04 Testo + E2/F4_01.tif "/>
    <s v=" 51522.409 "/>
    <s v=" 81.7254 "/>
    <x v="0"/>
    <n v="4210692"/>
    <m/>
    <m/>
    <m/>
  </r>
  <r>
    <x v="16"/>
    <x v="5"/>
    <s v="\\192.168.24.208\images\R&amp;D\Amira\20210302\plaque 2/@04 Testo + E2/F4_02.tif "/>
    <s v=" 52084.7863 "/>
    <s v=" 84.6574 "/>
    <x v="0"/>
    <n v="4409362"/>
    <m/>
    <m/>
    <m/>
  </r>
  <r>
    <x v="16"/>
    <x v="5"/>
    <s v="\\192.168.24.208\images\R&amp;D\Amira\20210302\plaque 2/@04 Testo + E2/F4_03.tif "/>
    <s v=" 55978.1673 "/>
    <s v=" 83.8006 "/>
    <x v="0"/>
    <n v="4691005"/>
    <m/>
    <m/>
    <m/>
  </r>
  <r>
    <x v="16"/>
    <x v="6"/>
    <s v="\\192.168.24.208\images\R&amp;D\Amira\20210302\plaque 2/@04 Testo + E2/G4_01.tif "/>
    <s v=" 53209.5408 "/>
    <s v=" 87.0138 "/>
    <x v="0"/>
    <n v="4629965"/>
    <m/>
    <m/>
    <m/>
  </r>
  <r>
    <x v="16"/>
    <x v="6"/>
    <s v="\\192.168.24.208\images\R&amp;D\Amira\20210302\plaque 2/@04 Testo + E2/G4_02.tif "/>
    <s v=" 48905.1918 "/>
    <s v=" 92.927 "/>
    <x v="0"/>
    <n v="4544614"/>
    <m/>
    <m/>
    <m/>
  </r>
  <r>
    <x v="16"/>
    <x v="6"/>
    <s v="\\192.168.24.208\images\R&amp;D\Amira\20210302\plaque 2/@04 Testo + E2/G4_03.tif "/>
    <s v=" 48602.3732 "/>
    <s v=" 89.9381 "/>
    <x v="0"/>
    <n v="4371207"/>
    <m/>
    <m/>
    <m/>
  </r>
  <r>
    <x v="16"/>
    <x v="7"/>
    <s v="\\192.168.24.208\images\R&amp;D\Amira\20210302\plaque 2/@04 Testo + E2/H4_01.tif "/>
    <s v=" 19726.4639 "/>
    <s v=" 67.8213 "/>
    <x v="0"/>
    <n v="1337874"/>
    <m/>
    <m/>
    <m/>
  </r>
  <r>
    <x v="16"/>
    <x v="7"/>
    <s v="\\192.168.24.208\images\R&amp;D\Amira\20210302\plaque 2/@04 Testo + E2/H4_02.tif "/>
    <s v=" 13129.346 "/>
    <s v=" 66.0857 "/>
    <x v="0"/>
    <n v="867662"/>
    <m/>
    <m/>
    <m/>
  </r>
  <r>
    <x v="16"/>
    <x v="7"/>
    <s v="\\192.168.24.208\images\R&amp;D\Amira\20210302\plaque 2/@04 Testo + E2/H4_03.tif "/>
    <s v=" 17303.9157 "/>
    <s v=" 67.3713 "/>
    <x v="0"/>
    <n v="1165786"/>
    <m/>
    <m/>
    <m/>
  </r>
  <r>
    <x v="1"/>
    <x v="8"/>
    <s v=" "/>
    <m/>
    <m/>
    <x v="1"/>
    <m/>
    <m/>
    <m/>
    <m/>
  </r>
  <r>
    <x v="1"/>
    <x v="8"/>
    <s v="group "/>
    <s v=" "/>
    <s v=" mean of mean fluo "/>
    <x v="2"/>
    <s v=" mean of total fluo "/>
    <s v=" SD total fluo "/>
    <s v=" n fluorescent "/>
    <s v=" n total"/>
  </r>
  <r>
    <x v="16"/>
    <x v="9"/>
    <s v="\\192.168.24.208\images\R&amp;D\Amira\20210302\plaque 2/@04 Testo + E2/ "/>
    <s v=" "/>
    <s v=" 77.0217 "/>
    <x v="18"/>
    <n v="2722800"/>
    <s v=" 1364572.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192.168.24.208\images\R&amp;D\Amira\20210302\plaque 2/@05 Cefuroxime D 0.001/A5_01.tif "/>
    <s v=" 17758.1435 "/>
    <s v=" 67.2168 "/>
    <x v="0"/>
    <n v="1193646"/>
    <m/>
    <m/>
    <m/>
  </r>
  <r>
    <x v="17"/>
    <x v="0"/>
    <s v="\\192.168.24.208\images\R&amp;D\Amira\20210302\plaque 2/@05 Cefuroxime D 0.001/A5_02.tif "/>
    <s v=" 19034.3073 "/>
    <s v=" 67.6307 "/>
    <x v="0"/>
    <n v="1287303"/>
    <m/>
    <m/>
    <m/>
  </r>
  <r>
    <x v="17"/>
    <x v="0"/>
    <s v="\\192.168.24.208\images\R&amp;D\Amira\20210302\plaque 2/@05 Cefuroxime D 0.001/A5_03.tif "/>
    <s v=" 12826.5275 "/>
    <s v=" 67.4587 "/>
    <x v="0"/>
    <n v="865261"/>
    <m/>
    <m/>
    <m/>
  </r>
  <r>
    <x v="17"/>
    <x v="1"/>
    <s v="\\192.168.24.208\images\R&amp;D\Amira\20210302\plaque 2/@05 Cefuroxime D 0.001/B5_01.tif "/>
    <s v=" 39323.1484 "/>
    <s v=" 69.9961 "/>
    <x v="0"/>
    <n v="2752469"/>
    <m/>
    <m/>
    <m/>
  </r>
  <r>
    <x v="17"/>
    <x v="1"/>
    <s v="\\192.168.24.208\images\R&amp;D\Amira\20210302\plaque 2/@05 Cefuroxime D 0.001/B5_02- exclu.tif"/>
    <m/>
    <m/>
    <x v="1"/>
    <m/>
    <m/>
    <m/>
    <m/>
  </r>
  <r>
    <x v="17"/>
    <x v="1"/>
    <s v="\\192.168.24.208\images\R&amp;D\Amira\20210302\plaque 2/@05 Cefuroxime D 0.001/B5_03.tif "/>
    <s v=" 38544.4722 "/>
    <s v=" 69.7452 "/>
    <x v="0"/>
    <n v="2688293"/>
    <m/>
    <m/>
    <m/>
  </r>
  <r>
    <x v="17"/>
    <x v="2"/>
    <s v="\\192.168.24.208\images\R&amp;D\Amira\20210302\plaque 2/@05 Cefuroxime D 0.001/C5_01.tif "/>
    <s v=" 52560.6439 "/>
    <s v=" 77.8551 "/>
    <x v="0"/>
    <n v="4092117"/>
    <m/>
    <m/>
    <m/>
  </r>
  <r>
    <x v="17"/>
    <x v="2"/>
    <s v="\\192.168.24.208\images\R&amp;D\Amira\20210302\plaque 2/@05 Cefuroxime D 0.001/C5_02.tif "/>
    <s v=" 50851.8823 "/>
    <s v=" 75.6253 "/>
    <x v="0"/>
    <n v="3845687"/>
    <m/>
    <m/>
    <m/>
  </r>
  <r>
    <x v="17"/>
    <x v="2"/>
    <s v="\\192.168.24.208\images\R&amp;D\Amira\20210302\plaque 2/@05 Cefuroxime D 0.001/C5_03.tif "/>
    <s v=" 52776.9429 "/>
    <s v=" 77.4311 "/>
    <x v="0"/>
    <n v="4086579"/>
    <m/>
    <m/>
    <m/>
  </r>
  <r>
    <x v="17"/>
    <x v="3"/>
    <s v="\\192.168.24.208\images\R&amp;D\Amira\20210302\plaque 2/@05 Cefuroxime D 0.001/D5_01.tif "/>
    <s v=" 28897.5392 "/>
    <s v=" 69.8937 "/>
    <x v="0"/>
    <n v="2019756"/>
    <m/>
    <m/>
    <m/>
  </r>
  <r>
    <x v="17"/>
    <x v="3"/>
    <s v="\\192.168.24.208\images\R&amp;D\Amira\20210302\plaque 2/@05 Cefuroxime D 0.001/D5_02.tif "/>
    <s v=" 27383.4466 "/>
    <s v=" 68.816 "/>
    <x v="0"/>
    <n v="1884418"/>
    <m/>
    <m/>
    <m/>
  </r>
  <r>
    <x v="17"/>
    <x v="3"/>
    <s v="\\192.168.24.208\images\R&amp;D\Amira\20210302\plaque 2/@05 Cefuroxime D 0.001/D5_03.tif "/>
    <s v=" 26561.5106 "/>
    <s v=" 68.4585 "/>
    <x v="0"/>
    <n v="1818360"/>
    <m/>
    <m/>
    <m/>
  </r>
  <r>
    <x v="17"/>
    <x v="4"/>
    <s v="\\192.168.24.208\images\R&amp;D\Amira\20210302\plaque 2/@05 Cefuroxime D 0.001/E5_01.tif "/>
    <s v=" 1211.2741 "/>
    <s v=" 63.9107 "/>
    <x v="0"/>
    <n v="77413"/>
    <m/>
    <m/>
    <m/>
  </r>
  <r>
    <x v="17"/>
    <x v="4"/>
    <s v="\\192.168.24.208\images\R&amp;D\Amira\20210302\plaque 2/@05 Cefuroxime D 0.001/E5_02.tif "/>
    <s v=" 2746.9966 "/>
    <s v=" 65.3071 "/>
    <x v="0"/>
    <n v="179398"/>
    <m/>
    <m/>
    <m/>
  </r>
  <r>
    <x v="17"/>
    <x v="4"/>
    <s v="\\192.168.24.208\images\R&amp;D\Amira\20210302\plaque 2/@05 Cefuroxime D 0.001/E5_03- exclu.tif"/>
    <m/>
    <m/>
    <x v="1"/>
    <m/>
    <m/>
    <m/>
    <m/>
  </r>
  <r>
    <x v="17"/>
    <x v="5"/>
    <s v="\\192.168.24.208\images\R&amp;D\Amira\20210302\plaque 2/@05 Cefuroxime D 0.001/F5_01.tif "/>
    <s v=" 55069.7117 "/>
    <s v=" 73.4584 "/>
    <x v="0"/>
    <n v="4045331"/>
    <m/>
    <m/>
    <m/>
  </r>
  <r>
    <x v="17"/>
    <x v="5"/>
    <s v="\\192.168.24.208\images\R&amp;D\Amira\20210302\plaque 2/@05 Cefuroxime D 0.001/F5_02.tif "/>
    <s v=" 56518.9147 "/>
    <s v=" 74.054 "/>
    <x v="0"/>
    <n v="4185450"/>
    <m/>
    <m/>
    <m/>
  </r>
  <r>
    <x v="17"/>
    <x v="5"/>
    <s v="\\192.168.24.208\images\R&amp;D\Amira\20210302\plaque 2/@05 Cefuroxime D 0.001/F5_03.tif "/>
    <s v=" 57686.929 "/>
    <s v=" 74.5613 "/>
    <x v="0"/>
    <n v="4301213"/>
    <m/>
    <m/>
    <m/>
  </r>
  <r>
    <x v="17"/>
    <x v="6"/>
    <s v="\\192.168.24.208\images\R&amp;D\Amira\20210302\plaque 2/@05 Cefuroxime D 0.001/G5_01.tif "/>
    <s v=" 20959.3679 "/>
    <s v=" 67.3529 "/>
    <x v="0"/>
    <n v="1411675"/>
    <m/>
    <m/>
    <m/>
  </r>
  <r>
    <x v="17"/>
    <x v="6"/>
    <s v="\\192.168.24.208\images\R&amp;D\Amira\20210302\plaque 2/@05 Cefuroxime D 0.001/G5_02.tif "/>
    <s v=" 16200.7911 "/>
    <s v=" 66.4179 "/>
    <x v="0"/>
    <n v="1076022"/>
    <m/>
    <m/>
    <m/>
  </r>
  <r>
    <x v="17"/>
    <x v="6"/>
    <s v="\\192.168.24.208\images\R&amp;D\Amira\20210302\plaque 2/@05 Cefuroxime D 0.001/G5_03.tif "/>
    <s v=" 24160.5923 "/>
    <s v=" 67.5792 "/>
    <x v="0"/>
    <n v="1632754"/>
    <m/>
    <m/>
    <m/>
  </r>
  <r>
    <x v="17"/>
    <x v="7"/>
    <s v="\\192.168.24.208\images\R&amp;D\Amira\20210302\plaque 2/@05 Cefuroxime D 0.001/H5_01.tif "/>
    <s v=" 15422.1149 "/>
    <s v=" 69.2917 "/>
    <x v="0"/>
    <n v="1068625"/>
    <m/>
    <m/>
    <m/>
  </r>
  <r>
    <x v="17"/>
    <x v="7"/>
    <s v="\\192.168.24.208\images\R&amp;D\Amira\20210302\plaque 2/@05 Cefuroxime D 0.001/H5_02.tif "/>
    <s v=" 13475.4244 "/>
    <s v=" 66.7512 "/>
    <x v="0"/>
    <n v="899501"/>
    <m/>
    <m/>
    <m/>
  </r>
  <r>
    <x v="17"/>
    <x v="7"/>
    <s v="\\192.168.24.208\images\R&amp;D\Amira\20210302\plaque 2/@05 Cefuroxime D 0.001/H5_03.tif "/>
    <s v=" 14751.5881 "/>
    <s v=" 69.6891 "/>
    <x v="0"/>
    <n v="1028026"/>
    <m/>
    <m/>
    <m/>
  </r>
  <r>
    <x v="1"/>
    <x v="8"/>
    <s v=" "/>
    <m/>
    <m/>
    <x v="1"/>
    <m/>
    <m/>
    <m/>
    <m/>
  </r>
  <r>
    <x v="1"/>
    <x v="8"/>
    <s v="group "/>
    <s v=" "/>
    <s v=" mean of mean fluo "/>
    <x v="2"/>
    <s v=" mean of total fluo "/>
    <s v=" SD total fluo "/>
    <s v=" n fluorescent "/>
    <s v=" n total"/>
  </r>
  <r>
    <x v="17"/>
    <x v="9"/>
    <s v="\\192.168.24.208\images\R&amp;D\Amira\20210302\plaque 2/@05 Cefuroxime D 0.001/ "/>
    <s v=" "/>
    <s v=" 69.8682 "/>
    <x v="19"/>
    <s v=" 1999896.42 "/>
    <s v=" 140540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192.168.24.208\images\R&amp;D\Amira\20210302\plaque 2/@06 Cefuroxime D 0.01/A6_01.tif "/>
    <s v=" 39128.4794 "/>
    <s v=" 70.9287 "/>
    <x v="0"/>
    <n v="2775332"/>
    <m/>
    <m/>
    <m/>
  </r>
  <r>
    <x v="18"/>
    <x v="0"/>
    <s v="\\192.168.24.208\images\R&amp;D\Amira\20210302\plaque 2/@06 Cefuroxime D 0.01/A6_02.tif "/>
    <s v=" 42459.4832 "/>
    <s v=" 71.1467 "/>
    <x v="0"/>
    <n v="3020853"/>
    <m/>
    <m/>
    <m/>
  </r>
  <r>
    <x v="18"/>
    <x v="0"/>
    <s v="\\192.168.24.208\images\R&amp;D\Amira\20210302\plaque 2/@06 Cefuroxime D 0.01/A6_03.tif "/>
    <s v=" 36554.5219 "/>
    <s v=" 70.5609 "/>
    <x v="0"/>
    <n v="2579322"/>
    <m/>
    <m/>
    <m/>
  </r>
  <r>
    <x v="18"/>
    <x v="1"/>
    <s v="\\192.168.24.208\images\R&amp;D\Amira\20210302\plaque 2/@06 Cefuroxime D 0.01/B6_01.tif "/>
    <s v=" 53382.5799 "/>
    <s v=" 73.2528 "/>
    <x v="0"/>
    <n v="3910425"/>
    <m/>
    <m/>
    <m/>
  </r>
  <r>
    <x v="18"/>
    <x v="1"/>
    <s v="\\192.168.24.208\images\R&amp;D\Amira\20210302\plaque 2/@06 Cefuroxime D 0.01/B6_02.tif "/>
    <s v=" 48515.8537 "/>
    <s v=" 71.6714 "/>
    <x v="0"/>
    <n v="3477200"/>
    <m/>
    <m/>
    <m/>
  </r>
  <r>
    <x v="18"/>
    <x v="1"/>
    <s v="\\192.168.24.208\images\R&amp;D\Amira\20210302\plaque 2/@06 Cefuroxime D 0.01/B6_03.tif "/>
    <s v=" 47499.2486 "/>
    <s v=" 71.7395 "/>
    <x v="0"/>
    <n v="3407574"/>
    <m/>
    <m/>
    <m/>
  </r>
  <r>
    <x v="18"/>
    <x v="2"/>
    <s v="\\192.168.24.208\images\R&amp;D\Amira\20210302\plaque 2/@06 Cefuroxime D 0.01/C6_01- exclu.tif"/>
    <m/>
    <m/>
    <x v="1"/>
    <m/>
    <m/>
    <m/>
    <m/>
  </r>
  <r>
    <x v="18"/>
    <x v="2"/>
    <s v="\\192.168.24.208\images\R&amp;D\Amira\20210302\plaque 2/@06 Cefuroxime D 0.01/C6_02- exclu.tif"/>
    <m/>
    <m/>
    <x v="1"/>
    <m/>
    <m/>
    <m/>
    <m/>
  </r>
  <r>
    <x v="18"/>
    <x v="2"/>
    <s v="\\192.168.24.208\images\R&amp;D\Amira\20210302\plaque 2/@06 Cefuroxime D 0.01/C6_03- exclu.tif"/>
    <m/>
    <m/>
    <x v="1"/>
    <m/>
    <m/>
    <m/>
    <m/>
  </r>
  <r>
    <x v="18"/>
    <x v="3"/>
    <s v="\\192.168.24.208\images\R&amp;D\Amira\20210302\plaque 2/@06 Cefuroxime D 0.01/D6_01- exclu.tif"/>
    <m/>
    <m/>
    <x v="1"/>
    <m/>
    <m/>
    <m/>
    <m/>
  </r>
  <r>
    <x v="18"/>
    <x v="3"/>
    <s v="\\192.168.24.208\images\R&amp;D\Amira\20210302\plaque 2/@06 Cefuroxime D 0.01/D6_02.tif "/>
    <s v=" 19553.4247 "/>
    <s v=" 71.0874 "/>
    <x v="0"/>
    <n v="1390002"/>
    <m/>
    <m/>
    <m/>
  </r>
  <r>
    <x v="18"/>
    <x v="3"/>
    <s v="\\192.168.24.208\images\R&amp;D\Amira\20210302\plaque 2/@06 Cefuroxime D 0.01/D6_03.tif "/>
    <s v=" 19142.4567 "/>
    <s v=" 70.191 "/>
    <x v="0"/>
    <n v="1343627"/>
    <m/>
    <m/>
    <m/>
  </r>
  <r>
    <x v="18"/>
    <x v="4"/>
    <s v="\\192.168.24.208\images\R&amp;D\Amira\20210302\plaque 2/@06 Cefuroxime D 0.01/E6_01.tif "/>
    <s v=" 68761.435 "/>
    <s v=" 72.9623 "/>
    <x v="0"/>
    <n v="5016989"/>
    <m/>
    <m/>
    <m/>
  </r>
  <r>
    <x v="18"/>
    <x v="4"/>
    <s v="\\192.168.24.208\images\R&amp;D\Amira\20210302\plaque 2/@06 Cefuroxime D 0.01/E6_02.tif "/>
    <s v=" 65581.8405 "/>
    <s v=" 74.3885 "/>
    <x v="0"/>
    <n v="4878536"/>
    <m/>
    <m/>
    <m/>
  </r>
  <r>
    <x v="18"/>
    <x v="4"/>
    <s v="\\192.168.24.208\images\R&amp;D\Amira\20210302\plaque 2/@06 Cefuroxime D 0.01/E6_03.tif "/>
    <s v=" 60715.1142 "/>
    <s v=" 72.6245 "/>
    <x v="0"/>
    <n v="4409405"/>
    <m/>
    <m/>
    <m/>
  </r>
  <r>
    <x v="18"/>
    <x v="5"/>
    <s v="\\192.168.24.208\images\R&amp;D\Amira\20210302\plaque 2/@06 Cefuroxime D 0.01/F6_01.tif "/>
    <s v=" 15400.485 "/>
    <s v=" 66.5913 "/>
    <x v="0"/>
    <n v="1025538"/>
    <m/>
    <m/>
    <m/>
  </r>
  <r>
    <x v="18"/>
    <x v="5"/>
    <s v="\\192.168.24.208\images\R&amp;D\Amira\20210302\plaque 2/@06 Cefuroxime D 0.01/F6_02.tif "/>
    <s v=" 21867.8235 "/>
    <s v=" 68.2463 "/>
    <x v="0"/>
    <n v="1492398"/>
    <m/>
    <m/>
    <m/>
  </r>
  <r>
    <x v="18"/>
    <x v="5"/>
    <s v="\\192.168.24.208\images\R&amp;D\Amira\20210302\plaque 2/@06 Cefuroxime D 0.01/F6_03.tif "/>
    <s v=" 23879.4037 "/>
    <s v=" 67.7844 "/>
    <x v="0"/>
    <n v="1618652"/>
    <m/>
    <m/>
    <m/>
  </r>
  <r>
    <x v="18"/>
    <x v="6"/>
    <s v="\\192.168.24.208\images\R&amp;D\Amira\20210302\plaque 2/@06 Cefuroxime D 0.01/G6_01.tif "/>
    <s v=" 68566.766 "/>
    <s v=" 79.6735 "/>
    <x v="0"/>
    <n v="5462954"/>
    <m/>
    <m/>
    <m/>
  </r>
  <r>
    <x v="18"/>
    <x v="6"/>
    <s v="\\192.168.24.208\images\R&amp;D\Amira\20210302\plaque 2/@06 Cefuroxime D 0.01/G6_02.tif "/>
    <s v=" 63072.7727 "/>
    <s v=" 79.0453 "/>
    <x v="0"/>
    <n v="4985604"/>
    <m/>
    <m/>
    <m/>
  </r>
  <r>
    <x v="18"/>
    <x v="6"/>
    <s v="\\192.168.24.208\images\R&amp;D\Amira\20210302\plaque 2/@06 Cefuroxime D 0.01/G6_03.tif "/>
    <s v=" 61926.3883 "/>
    <s v=" 79.5148 "/>
    <x v="0"/>
    <n v="4924067"/>
    <m/>
    <m/>
    <m/>
  </r>
  <r>
    <x v="18"/>
    <x v="7"/>
    <s v="\\192.168.24.208\images\R&amp;D\Amira\20210302\plaque 2/@06 Cefuroxime D 0.01/H6_01.tif "/>
    <s v=" 42697.412 "/>
    <s v=" 69.7751 "/>
    <x v="0"/>
    <n v="2979215"/>
    <m/>
    <m/>
    <m/>
  </r>
  <r>
    <x v="18"/>
    <x v="7"/>
    <s v="\\192.168.24.208\images\R&amp;D\Amira\20210302\plaque 2/@06 Cefuroxime D 0.01/H6_02.tif "/>
    <s v=" 38739.1413 "/>
    <s v=" 69.3205 "/>
    <x v="0"/>
    <n v="2685416"/>
    <m/>
    <m/>
    <m/>
  </r>
  <r>
    <x v="18"/>
    <x v="7"/>
    <s v="\\192.168.24.208\images\R&amp;D\Amira\20210302\plaque 2/@06 Cefuroxime D 0.01/H6_03.tif "/>
    <s v=" 42459.4832 "/>
    <s v=" 69.2359 "/>
    <x v="0"/>
    <n v="2939719"/>
    <m/>
    <m/>
    <m/>
  </r>
  <r>
    <x v="1"/>
    <x v="8"/>
    <s v=" "/>
    <m/>
    <m/>
    <x v="1"/>
    <m/>
    <m/>
    <m/>
    <m/>
  </r>
  <r>
    <x v="1"/>
    <x v="8"/>
    <s v="group "/>
    <s v=" "/>
    <s v=" mean of mean fluo "/>
    <x v="2"/>
    <s v=" mean of total fluo "/>
    <s v=" SD total fluo "/>
    <s v=" n fluorescent "/>
    <s v=" n total"/>
  </r>
  <r>
    <x v="18"/>
    <x v="9"/>
    <s v="\\192.168.24.208\images\R&amp;D\Amira\20210302\plaque 2/@06 Cefuroxime D 0.01/ "/>
    <s v=" "/>
    <s v=" 72.2932 "/>
    <x v="20"/>
    <s v=" 2773993.33 "/>
    <s v=" 1631085.6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192.168.24.208\images\R&amp;D\Amira\20210302\plaque 2/@07 Cefuroxime D 0.1/A7_01.tif "/>
    <s v=" 670.5267 "/>
    <s v=" 63.871 "/>
    <x v="0"/>
    <n v="42827"/>
    <m/>
    <m/>
    <m/>
  </r>
  <r>
    <x v="19"/>
    <x v="0"/>
    <s v="\\192.168.24.208\images\R&amp;D\Amira\20210302\plaque 2/@07 Cefuroxime D 0.1/A7_02.tif "/>
    <s v=" 194.6691 "/>
    <s v=" 63.7778 "/>
    <x v="0"/>
    <n v="12416"/>
    <m/>
    <m/>
    <m/>
  </r>
  <r>
    <x v="19"/>
    <x v="0"/>
    <s v="\\192.168.24.208\images\R&amp;D\Amira\20210302\plaque 2/@07 Cefuroxime D 0.1/A7_03.tif "/>
    <s v=" 389.3381 "/>
    <s v=" 63.8333 "/>
    <x v="0"/>
    <n v="24853"/>
    <m/>
    <m/>
    <m/>
  </r>
  <r>
    <x v="19"/>
    <x v="1"/>
    <s v="\\192.168.24.208\images\R&amp;D\Amira\20210302\plaque 2/@07 Cefuroxime D 0.1/B7_01- exclu.tif"/>
    <m/>
    <m/>
    <x v="1"/>
    <m/>
    <m/>
    <m/>
    <m/>
  </r>
  <r>
    <x v="19"/>
    <x v="1"/>
    <s v="\\192.168.24.208\images\R&amp;D\Amira\20210302\plaque 2/@07 Cefuroxime D 0.1/B7_02.tif "/>
    <s v=" 29719.4752 "/>
    <s v=" 73.5167 "/>
    <x v="0"/>
    <n v="2184879"/>
    <m/>
    <m/>
    <m/>
  </r>
  <r>
    <x v="19"/>
    <x v="1"/>
    <s v="\\192.168.24.208\images\R&amp;D\Amira\20210302\plaque 2/@07 Cefuroxime D 0.1/B7_03.tif "/>
    <s v=" 31428.2369 "/>
    <s v=" 71.7123 "/>
    <x v="0"/>
    <n v="2253792"/>
    <m/>
    <m/>
    <m/>
  </r>
  <r>
    <x v="19"/>
    <x v="2"/>
    <s v="\\192.168.24.208\images\R&amp;D\Amira\20210302\plaque 2/@07 Cefuroxime D 0.1/C7_01.tif "/>
    <s v=" 18385.4104 "/>
    <s v=" 67.5071 "/>
    <x v="0"/>
    <n v="1241145"/>
    <m/>
    <m/>
    <m/>
  </r>
  <r>
    <x v="19"/>
    <x v="2"/>
    <s v="\\192.168.24.208\images\R&amp;D\Amira\20210302\plaque 2/@07 Cefuroxime D 0.1/C7_02.tif "/>
    <s v=" 23901.0336 "/>
    <s v=" 67.7638 "/>
    <x v="0"/>
    <n v="1619625"/>
    <m/>
    <m/>
    <m/>
  </r>
  <r>
    <x v="19"/>
    <x v="2"/>
    <s v="\\192.168.24.208\images\R&amp;D\Amira\20210302\plaque 2/@07 Cefuroxime D 0.1/C7_03.tif "/>
    <s v=" 24722.9696 "/>
    <s v=" 66.3176 "/>
    <x v="0"/>
    <n v="1639568"/>
    <m/>
    <m/>
    <m/>
  </r>
  <r>
    <x v="19"/>
    <x v="3"/>
    <s v="\\192.168.24.208\images\R&amp;D\Amira\20210302\plaque 2/@07 Cefuroxime D 0.1/D7_01.tif "/>
    <s v=" 30390.002 "/>
    <s v=" 68.5801 "/>
    <x v="0"/>
    <n v="2084148"/>
    <m/>
    <m/>
    <m/>
  </r>
  <r>
    <x v="19"/>
    <x v="3"/>
    <s v="\\192.168.24.208\images\R&amp;D\Amira\20210302\plaque 2/@07 Cefuroxime D 0.1/D7_02.tif "/>
    <s v=" 32098.7636 "/>
    <s v=" 69.5364 "/>
    <x v="0"/>
    <n v="2232032"/>
    <m/>
    <m/>
    <m/>
  </r>
  <r>
    <x v="19"/>
    <x v="3"/>
    <s v="\\192.168.24.208\images\R&amp;D\Amira\20210302\plaque 2/@07 Cefuroxime D 0.1/D7_03.tif "/>
    <s v=" 27513.226 "/>
    <s v=" 69.0079 "/>
    <x v="0"/>
    <n v="1898629"/>
    <m/>
    <m/>
    <m/>
  </r>
  <r>
    <x v="19"/>
    <x v="4"/>
    <s v="\\192.168.24.208\images\R&amp;D\Amira\20210302\plaque 2/@07 Cefuroxime D 0.1/E7_01.tif "/>
    <s v=" 35559.5468 "/>
    <s v=" 74.1101 "/>
    <x v="0"/>
    <n v="2635321"/>
    <m/>
    <m/>
    <m/>
  </r>
  <r>
    <x v="19"/>
    <x v="4"/>
    <s v="\\192.168.24.208\images\R&amp;D\Amira\20210302\plaque 2/@07 Cefuroxime D 0.1/E7_02.tif "/>
    <s v=" 35710.956 "/>
    <s v=" 76.1369 "/>
    <x v="0"/>
    <n v="2718921"/>
    <m/>
    <m/>
    <m/>
  </r>
  <r>
    <x v="19"/>
    <x v="4"/>
    <s v="\\192.168.24.208\images\R&amp;D\Amira\20210302\plaque 2/@07 Cefuroxime D 0.1/E7_03.tif "/>
    <s v=" 31795.9451 "/>
    <s v=" 73.3993 "/>
    <x v="0"/>
    <n v="2333801"/>
    <m/>
    <m/>
    <m/>
  </r>
  <r>
    <x v="19"/>
    <x v="5"/>
    <s v="\\192.168.24.208\images\R&amp;D\Amira\20210302\plaque 2/@07 Cefuroxime D 0.1/F7_01.tif "/>
    <s v=" 48818.6722 "/>
    <s v=" 76.1972 "/>
    <x v="0"/>
    <n v="3719844"/>
    <m/>
    <m/>
    <m/>
  </r>
  <r>
    <x v="19"/>
    <x v="5"/>
    <s v="\\192.168.24.208\images\R&amp;D\Amira\20210302\plaque 2/@07 Cefuroxime D 0.1/F7_02.tif "/>
    <s v=" 49683.868 "/>
    <s v=" 77.1471 "/>
    <x v="0"/>
    <n v="3832969"/>
    <m/>
    <m/>
    <m/>
  </r>
  <r>
    <x v="19"/>
    <x v="5"/>
    <s v="\\192.168.24.208\images\R&amp;D\Amira\20210302\plaque 2/@07 Cefuroxime D 0.1/F7_03.tif "/>
    <s v=" 52798.5728 "/>
    <s v=" 77.6563 "/>
    <x v="0"/>
    <n v="4100141"/>
    <m/>
    <m/>
    <m/>
  </r>
  <r>
    <x v="19"/>
    <x v="6"/>
    <s v="\\192.168.24.208\images\R&amp;D\Amira\20210302\plaque 2/@07 Cefuroxime D 0.1/G7_01.tif "/>
    <s v=" 24571.5603 "/>
    <s v=" 67.4401 "/>
    <x v="0"/>
    <n v="1657109"/>
    <m/>
    <m/>
    <m/>
  </r>
  <r>
    <x v="19"/>
    <x v="6"/>
    <s v="\\192.168.24.208\images\R&amp;D\Amira\20210302\plaque 2/@07 Cefuroxime D 0.1/G7_02.tif "/>
    <s v=" 24182.2222 "/>
    <s v=" 67.2952 "/>
    <x v="0"/>
    <n v="1627347"/>
    <m/>
    <m/>
    <m/>
  </r>
  <r>
    <x v="19"/>
    <x v="6"/>
    <s v="\\192.168.24.208\images\R&amp;D\Amira\20210302\plaque 2/@07 Cefuroxime D 0.1/G7_03.tif "/>
    <s v=" 24831.119 "/>
    <s v=" 67.4338 "/>
    <x v="0"/>
    <n v="1674457"/>
    <m/>
    <m/>
    <m/>
  </r>
  <r>
    <x v="19"/>
    <x v="7"/>
    <s v="\\192.168.24.208\images\R&amp;D\Amira\20210302\plaque 2/@07 Cefuroxime D 0.1/H7_01- exclu.tif"/>
    <m/>
    <m/>
    <x v="1"/>
    <m/>
    <m/>
    <m/>
    <m/>
  </r>
  <r>
    <x v="19"/>
    <x v="7"/>
    <s v="\\192.168.24.208\images\R&amp;D\Amira\20210302\plaque 2/@07 Cefuroxime D 0.1/H7_02- exclu.tif"/>
    <m/>
    <m/>
    <x v="1"/>
    <m/>
    <m/>
    <m/>
    <m/>
  </r>
  <r>
    <x v="19"/>
    <x v="7"/>
    <s v="\\192.168.24.208\images\R&amp;D\Amira\20210302\plaque 2/@07 Cefuroxime D 0.1/H7_03- exclu.tif"/>
    <m/>
    <m/>
    <x v="1"/>
    <m/>
    <m/>
    <m/>
    <m/>
  </r>
  <r>
    <x v="1"/>
    <x v="8"/>
    <s v=" "/>
    <m/>
    <m/>
    <x v="1"/>
    <m/>
    <m/>
    <m/>
    <m/>
  </r>
  <r>
    <x v="1"/>
    <x v="8"/>
    <s v="group "/>
    <s v=" "/>
    <s v=" mean of mean fluo "/>
    <x v="2"/>
    <s v=" mean of total fluo "/>
    <s v=" SD total fluo "/>
    <s v=" n fluorescent "/>
    <s v=" n total"/>
  </r>
  <r>
    <x v="19"/>
    <x v="9"/>
    <s v="\\192.168.24.208\images\R&amp;D\Amira\20210302\plaque 2/@07 Cefuroxime D 0.1/ "/>
    <s v=" "/>
    <s v=" 69.2112 "/>
    <x v="21"/>
    <s v=" 1654749.12 "/>
    <s v=" 1272912.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192.168.24.208\images\R&amp;D\Amira\20210302\plaque 2/@08 Cefuroxime D 1/A8_01.tif "/>
    <s v=" 5364.2139 "/>
    <s v=" 64.6532 "/>
    <x v="0"/>
    <n v="346814"/>
    <m/>
    <m/>
    <m/>
  </r>
  <r>
    <x v="20"/>
    <x v="0"/>
    <s v="\\192.168.24.208\images\R&amp;D\Amira\20210302\plaque 2/@08 Cefuroxime D 1/A8_02.tif "/>
    <s v=" 6510.5983 "/>
    <s v=" 64.2492 "/>
    <x v="0"/>
    <n v="418301"/>
    <m/>
    <m/>
    <m/>
  </r>
  <r>
    <x v="20"/>
    <x v="0"/>
    <s v="\\192.168.24.208\images\R&amp;D\Amira\20210302\plaque 2/@08 Cefuroxime D 1/A8_03.tif "/>
    <s v=" 12523.709 "/>
    <s v=" 66.5354 "/>
    <x v="0"/>
    <n v="833270"/>
    <m/>
    <m/>
    <m/>
  </r>
  <r>
    <x v="20"/>
    <x v="1"/>
    <s v="\\192.168.24.208\images\R&amp;D\Amira\20210302\plaque 2/@08 Cefuroxime D 1/B8_01.tif "/>
    <s v=" 13778.2429 "/>
    <s v=" 68.6735 "/>
    <x v="0"/>
    <n v="946200"/>
    <m/>
    <m/>
    <m/>
  </r>
  <r>
    <x v="20"/>
    <x v="1"/>
    <s v="\\192.168.24.208\images\R&amp;D\Amira\20210302\plaque 2/@08 Cefuroxime D 1/B8_02.tif "/>
    <s v=" 16633.389 "/>
    <s v=" 67.814 "/>
    <x v="0"/>
    <n v="1127977"/>
    <m/>
    <m/>
    <m/>
  </r>
  <r>
    <x v="20"/>
    <x v="1"/>
    <s v="\\192.168.24.208\images\R&amp;D\Amira\20210302\plaque 2/@08 Cefuroxime D 1/B8_03.tif "/>
    <s v=" 14318.9902 "/>
    <s v=" 68.1949 "/>
    <x v="0"/>
    <n v="976482"/>
    <m/>
    <m/>
    <m/>
  </r>
  <r>
    <x v="20"/>
    <x v="2"/>
    <s v="\\192.168.24.208\images\R&amp;D\Amira\20210302\plaque 2/@08 Cefuroxime D 1/C8_01.tif "/>
    <s v=" 33612.8563 "/>
    <s v=" 71.2117 "/>
    <x v="0"/>
    <n v="2393629"/>
    <m/>
    <m/>
    <m/>
  </r>
  <r>
    <x v="20"/>
    <x v="2"/>
    <s v="\\192.168.24.208\images\R&amp;D\Amira\20210302\plaque 2/@08 Cefuroxime D 1/C8_02.tif "/>
    <s v=" 30757.7102 "/>
    <s v=" 69.8179 "/>
    <x v="0"/>
    <n v="2147438"/>
    <m/>
    <m/>
    <m/>
  </r>
  <r>
    <x v="20"/>
    <x v="2"/>
    <s v="\\192.168.24.208\images\R&amp;D\Amira\20210302\plaque 2/@08 Cefuroxime D 1/C8_03.tif "/>
    <s v=" 31839.2049 "/>
    <s v=" 70.8594 "/>
    <x v="0"/>
    <n v="2256106"/>
    <m/>
    <m/>
    <m/>
  </r>
  <r>
    <x v="20"/>
    <x v="3"/>
    <s v="\\192.168.24.208\images\R&amp;D\Amira\20210302\plaque 2/@08 Cefuroxime D 1/D8_01.tif "/>
    <s v=" 47412.729 "/>
    <s v=" 79.1163 "/>
    <x v="0"/>
    <n v="3751121"/>
    <m/>
    <m/>
    <m/>
  </r>
  <r>
    <x v="20"/>
    <x v="3"/>
    <s v="\\192.168.24.208\images\R&amp;D\Amira\20210302\plaque 2/@08 Cefuroxime D 1/D8_02.tif "/>
    <s v=" 48840.3021 "/>
    <s v=" 77.7706 "/>
    <x v="0"/>
    <n v="3798339"/>
    <m/>
    <m/>
    <m/>
  </r>
  <r>
    <x v="20"/>
    <x v="3"/>
    <s v="\\192.168.24.208\images\R&amp;D\Amira\20210302\plaque 2/@08 Cefuroxime D 1/D8_03.tif "/>
    <s v=" 49618.9783 "/>
    <s v=" 77.7973 "/>
    <x v="0"/>
    <n v="3860222"/>
    <m/>
    <m/>
    <m/>
  </r>
  <r>
    <x v="20"/>
    <x v="4"/>
    <s v="\\192.168.24.208\images\R&amp;D\Amira\20210302\plaque 2/@08 Cefuroxime D 1/E8_01.tif "/>
    <s v=" 20851.2184 "/>
    <s v=" 68.2853 "/>
    <x v="0"/>
    <n v="1423831"/>
    <m/>
    <m/>
    <m/>
  </r>
  <r>
    <x v="20"/>
    <x v="4"/>
    <s v="\\192.168.24.208\images\R&amp;D\Amira\20210302\plaque 2/@08 Cefuroxime D 1/E8_02.tif "/>
    <s v=" 16460.3498 "/>
    <s v=" 67.1367 "/>
    <x v="0"/>
    <n v="1105093"/>
    <m/>
    <m/>
    <m/>
  </r>
  <r>
    <x v="20"/>
    <x v="4"/>
    <s v="\\192.168.24.208\images\R&amp;D\Amira\20210302\plaque 2/@08 Cefuroxime D 1/E8_03.tif "/>
    <s v=" 24614.8201 "/>
    <s v=" 69.3919 "/>
    <x v="0"/>
    <n v="1708070"/>
    <m/>
    <m/>
    <m/>
  </r>
  <r>
    <x v="20"/>
    <x v="5"/>
    <s v="\\192.168.24.208\images\R&amp;D\Amira\20210302\plaque 2/@08 Cefuroxime D 1/F8_01.tif "/>
    <s v=" 8954.7764 "/>
    <s v=" 70.814 "/>
    <x v="0"/>
    <n v="634124"/>
    <m/>
    <m/>
    <m/>
  </r>
  <r>
    <x v="20"/>
    <x v="5"/>
    <s v="\\192.168.24.208\images\R&amp;D\Amira\20210302\plaque 2/@08 Cefuroxime D 1/F8_02.tif "/>
    <s v=" 7873.2816 "/>
    <s v=" 70.6044 "/>
    <x v="0"/>
    <n v="555888"/>
    <m/>
    <m/>
    <m/>
  </r>
  <r>
    <x v="20"/>
    <x v="5"/>
    <s v="\\192.168.24.208\images\R&amp;D\Amira\20210302\plaque 2/@08 Cefuroxime D 1/F8_03.tif "/>
    <s v=" 6294.2993 "/>
    <s v=" 68.2784 "/>
    <x v="0"/>
    <n v="429764"/>
    <m/>
    <m/>
    <m/>
  </r>
  <r>
    <x v="20"/>
    <x v="6"/>
    <s v="\\192.168.24.208\images\R&amp;D\Amira\20210302\plaque 2/@08 Cefuroxime D 1/G8_01.tif "/>
    <s v=" 36446.3724 "/>
    <s v=" 68.6742 "/>
    <x v="0"/>
    <n v="2502925"/>
    <m/>
    <m/>
    <m/>
  </r>
  <r>
    <x v="20"/>
    <x v="6"/>
    <s v="\\192.168.24.208\images\R&amp;D\Amira\20210302\plaque 2/@08 Cefuroxime D 1/G8_02.tif "/>
    <s v=" 40729.0916 "/>
    <s v=" 69.4647 "/>
    <x v="0"/>
    <n v="2829233"/>
    <m/>
    <m/>
    <m/>
  </r>
  <r>
    <x v="20"/>
    <x v="6"/>
    <s v="\\192.168.24.208\images\R&amp;D\Amira\20210302\plaque 2/@08 Cefuroxime D 1/G8_03.tif "/>
    <s v=" 40967.0204 "/>
    <s v=" 72.4229 "/>
    <x v="0"/>
    <n v="2966951"/>
    <m/>
    <m/>
    <m/>
  </r>
  <r>
    <x v="20"/>
    <x v="7"/>
    <s v="\\192.168.24.208\images\R&amp;D\Amira\20210302\plaque 2/@08 Cefuroxime D 1/H8_01.tif "/>
    <s v=" 57903.2279 "/>
    <s v=" 75.4445 "/>
    <x v="0"/>
    <n v="4368482"/>
    <m/>
    <m/>
    <m/>
  </r>
  <r>
    <x v="20"/>
    <x v="7"/>
    <s v="\\192.168.24.208\images\R&amp;D\Amira\20210302\plaque 2/@08 Cefuroxime D 1/H8_02.tif "/>
    <s v=" 55264.3808 "/>
    <s v=" 73.935 "/>
    <x v="0"/>
    <n v="4085974"/>
    <m/>
    <m/>
    <m/>
  </r>
  <r>
    <x v="20"/>
    <x v="7"/>
    <s v="\\192.168.24.208\images\R&amp;D\Amira\20210302\plaque 2/@08 Cefuroxime D 1/H8_03.tif "/>
    <s v=" 50462.5442 "/>
    <s v=" 73.4925 "/>
    <x v="0"/>
    <n v="3708618"/>
    <m/>
    <m/>
    <m/>
  </r>
  <r>
    <x v="1"/>
    <x v="8"/>
    <s v=" "/>
    <m/>
    <m/>
    <x v="1"/>
    <m/>
    <m/>
    <m/>
    <m/>
  </r>
  <r>
    <x v="1"/>
    <x v="8"/>
    <s v="group "/>
    <s v=" "/>
    <s v=" mean of mean fluo "/>
    <x v="2"/>
    <s v=" mean of total fluo "/>
    <s v=" SD total fluo "/>
    <s v=" n fluorescent "/>
    <s v=" n total"/>
  </r>
  <r>
    <x v="20"/>
    <x v="9"/>
    <s v="\\192.168.24.208\images\R&amp;D\Amira\20210302\plaque 2/@08 Cefuroxime D 1/ "/>
    <s v=" "/>
    <s v=" 70.6099 "/>
    <x v="22"/>
    <s v=" 2048952.17 "/>
    <s v=" 1348926.9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192.168.24.208\images\R&amp;D\Amira\20210302\plaque 2/@09 Cefuroxime D 10/A9_01.tif "/>
    <s v=" 11961.3317 "/>
    <s v=" 72.7685 "/>
    <x v="0"/>
    <n v="870409"/>
    <m/>
    <m/>
    <m/>
  </r>
  <r>
    <x v="21"/>
    <x v="0"/>
    <s v="\\192.168.24.208\images\R&amp;D\Amira\20210302\plaque 2/@09 Cefuroxime D 10/A9_02.tif "/>
    <s v=" 20332.101 "/>
    <s v=" 72.8809 "/>
    <x v="0"/>
    <n v="1481821"/>
    <m/>
    <m/>
    <m/>
  </r>
  <r>
    <x v="21"/>
    <x v="0"/>
    <s v="\\192.168.24.208\images\R&amp;D\Amira\20210302\plaque 2/@09 Cefuroxime D 10/A9_03.tif "/>
    <s v=" 8284.2496 "/>
    <s v=" 70.8642 "/>
    <x v="0"/>
    <n v="587057"/>
    <m/>
    <m/>
    <m/>
  </r>
  <r>
    <x v="21"/>
    <x v="1"/>
    <s v="\\192.168.24.208\images\R&amp;D\Amira\20210302\plaque 2/@09 Cefuroxime D 10/B9_01.tif "/>
    <s v=" 28313.5321 "/>
    <s v=" 74.2979 "/>
    <x v="0"/>
    <n v="2103637"/>
    <m/>
    <m/>
    <m/>
  </r>
  <r>
    <x v="21"/>
    <x v="1"/>
    <s v="\\192.168.24.208\images\R&amp;D\Amira\20210302\plaque 2/@09 Cefuroxime D 10/B9_02.tif "/>
    <s v=" 28594.7207 "/>
    <s v=" 72.5673 "/>
    <x v="0"/>
    <n v="2075042"/>
    <m/>
    <m/>
    <m/>
  </r>
  <r>
    <x v="21"/>
    <x v="1"/>
    <s v="\\192.168.24.208\images\R&amp;D\Amira\20210302\plaque 2/@09 Cefuroxime D 10/B9_03- exclu.tif"/>
    <m/>
    <m/>
    <x v="1"/>
    <m/>
    <m/>
    <m/>
    <m/>
  </r>
  <r>
    <x v="21"/>
    <x v="2"/>
    <s v="\\192.168.24.208\images\R&amp;D\Amira\20210302\plaque 2/@09 Cefuroxime D 10/C9_01.tif "/>
    <s v=" 7765.1322 "/>
    <s v=" 66.9387 "/>
    <x v="0"/>
    <n v="519788"/>
    <m/>
    <m/>
    <m/>
  </r>
  <r>
    <x v="21"/>
    <x v="2"/>
    <s v="\\192.168.24.208\images\R&amp;D\Amira\20210302\plaque 2/@09 Cefuroxime D 10/C9_02.tif "/>
    <s v=" 2465.808 "/>
    <s v=" 65.2982 "/>
    <x v="0"/>
    <n v="161013"/>
    <m/>
    <m/>
    <m/>
  </r>
  <r>
    <x v="21"/>
    <x v="2"/>
    <s v="\\192.168.24.208\images\R&amp;D\Amira\20210302\plaque 2/@09 Cefuroxime D 10/C9_03- exclu.tif"/>
    <m/>
    <m/>
    <x v="1"/>
    <m/>
    <m/>
    <m/>
    <m/>
  </r>
  <r>
    <x v="21"/>
    <x v="3"/>
    <s v="\\192.168.24.208\images\R&amp;D\Amira\20210302\plaque 2/@09 Cefuroxime D 10/D9_01.tif "/>
    <s v=" 34889.02 "/>
    <s v=" 71.5059 "/>
    <x v="0"/>
    <n v="2494770"/>
    <m/>
    <m/>
    <m/>
  </r>
  <r>
    <x v="21"/>
    <x v="3"/>
    <s v="\\192.168.24.208\images\R&amp;D\Amira\20210302\plaque 2/@09 Cefuroxime D 10/D9_02.tif "/>
    <s v=" 36619.4116 "/>
    <s v=" 72.5576 "/>
    <x v="0"/>
    <n v="2657016"/>
    <m/>
    <m/>
    <m/>
  </r>
  <r>
    <x v="21"/>
    <x v="3"/>
    <s v="\\192.168.24.208\images\R&amp;D\Amira\20210302\plaque 2/@09 Cefuroxime D 10/D9_03.tif "/>
    <s v=" 36576.1518 "/>
    <s v=" 70.1413 "/>
    <x v="0"/>
    <n v="2565500"/>
    <m/>
    <m/>
    <m/>
  </r>
  <r>
    <x v="21"/>
    <x v="4"/>
    <s v="\\192.168.24.208\images\R&amp;D\Amira\20210302\plaque 2/@09 Cefuroxime D 10/E9_01.tif "/>
    <s v=" 24960.8984 "/>
    <s v=" 72.8969 "/>
    <x v="0"/>
    <n v="1819572"/>
    <m/>
    <m/>
    <m/>
  </r>
  <r>
    <x v="21"/>
    <x v="4"/>
    <s v="\\192.168.24.208\images\R&amp;D\Amira\20210302\plaque 2/@09 Cefuroxime D 10/E9_02.tif "/>
    <s v=" 24982.5283 "/>
    <s v=" 72.0944 "/>
    <x v="0"/>
    <n v="1801100"/>
    <m/>
    <m/>
    <m/>
  </r>
  <r>
    <x v="21"/>
    <x v="4"/>
    <s v="\\192.168.24.208\images\R&amp;D\Amira\20210302\plaque 2/@09 Cefuroxime D 10/E9_03.tif "/>
    <s v=" 23057.4677 "/>
    <s v=" 71.7139 "/>
    <x v="0"/>
    <n v="1653541"/>
    <m/>
    <m/>
    <m/>
  </r>
  <r>
    <x v="21"/>
    <x v="5"/>
    <s v="\\192.168.24.208\images\R&amp;D\Amira\20210302\plaque 2/@09 Cefuroxime D 10/F9_01.tif "/>
    <s v=" 44362.9139 "/>
    <s v=" 76.018 "/>
    <x v="0"/>
    <n v="3372382"/>
    <m/>
    <m/>
    <m/>
  </r>
  <r>
    <x v="21"/>
    <x v="5"/>
    <s v="\\192.168.24.208\images\R&amp;D\Amira\20210302\plaque 2/@09 Cefuroxime D 10/F9_02.tif "/>
    <s v=" 49056.601 "/>
    <s v=" 73.9828 "/>
    <x v="0"/>
    <n v="3629345"/>
    <m/>
    <m/>
    <m/>
  </r>
  <r>
    <x v="21"/>
    <x v="5"/>
    <s v="\\192.168.24.208\images\R&amp;D\Amira\20210302\plaque 2/@09 Cefuroxime D 10/F9_03.tif "/>
    <s v=" 45184.8499 "/>
    <s v=" 74.9895 "/>
    <x v="0"/>
    <n v="3388388"/>
    <m/>
    <m/>
    <m/>
  </r>
  <r>
    <x v="21"/>
    <x v="6"/>
    <s v="\\192.168.24.208\images\R&amp;D\Amira\20210302\plaque 2/@09 Cefuroxime D 10/G9_01.tif "/>
    <s v=" 3439.1532 "/>
    <s v=" 65.4214 "/>
    <x v="0"/>
    <n v="224994"/>
    <m/>
    <m/>
    <m/>
  </r>
  <r>
    <x v="21"/>
    <x v="6"/>
    <s v="\\192.168.24.208\images\R&amp;D\Amira\20210302\plaque 2/@09 Cefuroxime D 10/G9_02.tif "/>
    <s v=" 5537.253 "/>
    <s v=" 65.5469 "/>
    <x v="0"/>
    <n v="362950"/>
    <m/>
    <m/>
    <m/>
  </r>
  <r>
    <x v="21"/>
    <x v="6"/>
    <s v="\\192.168.24.208\images\R&amp;D\Amira\20210302\plaque 2/@09 Cefuroxime D 10/G9_03.tif "/>
    <s v=" 3417.5234 "/>
    <s v=" 63.4177 "/>
    <x v="0"/>
    <n v="216732"/>
    <m/>
    <m/>
    <m/>
  </r>
  <r>
    <x v="21"/>
    <x v="7"/>
    <s v="\\192.168.24.208\images\R&amp;D\Amira\20210302\plaque 2/@09 Cefuroxime D 10/H9_01.tif "/>
    <s v=" 4672.0572 "/>
    <s v=" 64.5093 "/>
    <x v="0"/>
    <n v="301391"/>
    <m/>
    <m/>
    <m/>
  </r>
  <r>
    <x v="21"/>
    <x v="7"/>
    <s v="\\192.168.24.208\images\R&amp;D\Amira\20210302\plaque 2/@09 Cefuroxime D 10/H9_02.tif "/>
    <s v=" 13994.5418 "/>
    <s v=" 67.8284 "/>
    <x v="0"/>
    <n v="949228"/>
    <m/>
    <m/>
    <m/>
  </r>
  <r>
    <x v="21"/>
    <x v="7"/>
    <s v="\\192.168.24.208\images\R&amp;D\Amira\20210302\plaque 2/@09 Cefuroxime D 10/H9_03- exclu.tif"/>
    <m/>
    <m/>
    <x v="1"/>
    <m/>
    <m/>
    <m/>
    <m/>
  </r>
  <r>
    <x v="1"/>
    <x v="8"/>
    <s v=" "/>
    <m/>
    <m/>
    <x v="1"/>
    <m/>
    <m/>
    <m/>
    <m/>
  </r>
  <r>
    <x v="1"/>
    <x v="8"/>
    <s v="group "/>
    <s v=" "/>
    <s v=" mean of mean fluo "/>
    <x v="2"/>
    <s v=" mean of total fluo "/>
    <s v=" SD total fluo "/>
    <s v=" n fluorescent "/>
    <s v=" n total"/>
  </r>
  <r>
    <x v="21"/>
    <x v="9"/>
    <s v="\\192.168.24.208\images\R&amp;D\Amira\20210302\plaque 2/@09 Cefuroxime D 10/ "/>
    <s v=" "/>
    <s v=" 69.9265 "/>
    <x v="23"/>
    <s v=" 1471728.75 "/>
    <s v=" 1145937.54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485462D9-A564-42D7-B816-9003603DD435}"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1A411058-D20B-4292-9AD2-9E6A4D73882D}"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279C7FCB-6A28-4404-92E4-1144E393951B}"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4" zoomScale="55" zoomScaleNormal="55" workbookViewId="0">
      <selection activeCell="E46" sqref="E46"/>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59"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202" t="s">
        <v>36</v>
      </c>
      <c r="B1" s="203"/>
      <c r="C1" s="203"/>
      <c r="D1" s="203"/>
      <c r="E1" s="203"/>
      <c r="F1" s="203"/>
      <c r="G1" s="203"/>
      <c r="H1" s="203"/>
      <c r="I1" s="204"/>
    </row>
    <row r="2" spans="1:9" ht="21" x14ac:dyDescent="0.5">
      <c r="A2" s="188" t="s">
        <v>17</v>
      </c>
      <c r="B2" s="42" t="s">
        <v>115</v>
      </c>
      <c r="C2" s="205"/>
      <c r="D2" s="206"/>
      <c r="E2" s="42" t="s">
        <v>21</v>
      </c>
      <c r="F2" s="217"/>
      <c r="G2" s="218"/>
      <c r="H2" s="218"/>
      <c r="I2" s="219"/>
    </row>
    <row r="3" spans="1:9" ht="21" x14ac:dyDescent="0.5">
      <c r="A3" s="189" t="s">
        <v>18</v>
      </c>
      <c r="B3" s="43" t="s">
        <v>115</v>
      </c>
      <c r="C3" s="207"/>
      <c r="D3" s="208"/>
      <c r="E3" s="43" t="s">
        <v>21</v>
      </c>
      <c r="F3" s="214"/>
      <c r="G3" s="215"/>
      <c r="H3" s="215"/>
      <c r="I3" s="216"/>
    </row>
    <row r="4" spans="1:9" ht="21.5" thickBot="1" x14ac:dyDescent="0.55000000000000004">
      <c r="A4" s="190" t="s">
        <v>22</v>
      </c>
      <c r="B4" s="178" t="s">
        <v>115</v>
      </c>
      <c r="C4" s="209"/>
      <c r="D4" s="210"/>
      <c r="E4" s="178" t="s">
        <v>21</v>
      </c>
      <c r="F4" s="211"/>
      <c r="G4" s="212"/>
      <c r="H4" s="212"/>
      <c r="I4" s="213"/>
    </row>
    <row r="5" spans="1:9" s="1" customFormat="1" ht="65.25" customHeight="1" thickBot="1" x14ac:dyDescent="0.4">
      <c r="A5" s="202" t="s">
        <v>37</v>
      </c>
      <c r="B5" s="203"/>
      <c r="C5" s="203"/>
      <c r="D5" s="203"/>
      <c r="E5" s="203"/>
      <c r="F5" s="203"/>
      <c r="G5" s="203"/>
      <c r="H5" s="203"/>
      <c r="I5" s="204"/>
    </row>
    <row r="6" spans="1:9" s="109" customFormat="1" ht="39" customHeight="1" x14ac:dyDescent="0.5">
      <c r="A6" s="75" t="s">
        <v>35</v>
      </c>
      <c r="B6" s="100" t="s">
        <v>7</v>
      </c>
      <c r="C6" s="64" t="s">
        <v>19</v>
      </c>
      <c r="D6" s="64" t="s">
        <v>75</v>
      </c>
      <c r="E6" s="156" t="s">
        <v>51</v>
      </c>
      <c r="F6" s="108" t="s">
        <v>78</v>
      </c>
    </row>
    <row r="7" spans="1:9" s="165" customFormat="1" ht="39" customHeight="1" x14ac:dyDescent="0.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5">
      <c r="A15" s="160" t="s">
        <v>4263</v>
      </c>
      <c r="B15" s="161" t="s">
        <v>112</v>
      </c>
      <c r="C15" s="162">
        <v>1E-3</v>
      </c>
      <c r="D15" s="163" t="s">
        <v>129</v>
      </c>
      <c r="E15" s="164" t="s">
        <v>4268</v>
      </c>
      <c r="F15" s="110"/>
    </row>
    <row r="16" spans="1:9" s="111" customFormat="1" ht="39" customHeight="1" x14ac:dyDescent="0.35">
      <c r="A16" s="160" t="s">
        <v>4264</v>
      </c>
      <c r="B16" s="40" t="s">
        <v>112</v>
      </c>
      <c r="C16" s="105">
        <v>0.01</v>
      </c>
      <c r="D16" s="163" t="s">
        <v>129</v>
      </c>
      <c r="E16" s="164" t="s">
        <v>4268</v>
      </c>
      <c r="F16" s="110"/>
    </row>
    <row r="17" spans="1:6" s="111" customFormat="1" ht="39" customHeight="1" x14ac:dyDescent="0.35">
      <c r="A17" s="160" t="s">
        <v>4265</v>
      </c>
      <c r="B17" s="101" t="s">
        <v>112</v>
      </c>
      <c r="C17" s="105">
        <v>0.1</v>
      </c>
      <c r="D17" s="163" t="s">
        <v>129</v>
      </c>
      <c r="E17" s="164" t="s">
        <v>4268</v>
      </c>
      <c r="F17" s="110"/>
    </row>
    <row r="18" spans="1:6" s="111" customFormat="1" ht="39" customHeight="1" x14ac:dyDescent="0.35">
      <c r="A18" s="160" t="s">
        <v>4266</v>
      </c>
      <c r="B18" s="40" t="s">
        <v>112</v>
      </c>
      <c r="C18" s="105">
        <v>1</v>
      </c>
      <c r="D18" s="163" t="s">
        <v>129</v>
      </c>
      <c r="E18" s="164" t="s">
        <v>4268</v>
      </c>
      <c r="F18" s="110"/>
    </row>
    <row r="19" spans="1:6" s="111" customFormat="1" ht="39" customHeight="1" x14ac:dyDescent="0.35">
      <c r="A19" s="160" t="s">
        <v>4267</v>
      </c>
      <c r="B19" s="101" t="s">
        <v>112</v>
      </c>
      <c r="C19" s="105">
        <v>10</v>
      </c>
      <c r="D19" s="163" t="s">
        <v>129</v>
      </c>
      <c r="E19" s="164" t="s">
        <v>4268</v>
      </c>
      <c r="F19" s="110"/>
    </row>
    <row r="20" spans="1:6" s="111" customFormat="1" ht="39" customHeight="1" x14ac:dyDescent="0.35">
      <c r="A20" s="160" t="s">
        <v>112</v>
      </c>
      <c r="B20" s="40"/>
      <c r="C20" s="105"/>
      <c r="D20" s="105"/>
      <c r="E20" s="40"/>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3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3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4">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130</v>
      </c>
      <c r="F38" s="177"/>
    </row>
    <row r="39" spans="1:6" s="111"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Cefuroxime-0,001mg/L + Testostérone</v>
      </c>
      <c r="B39" s="191" t="str">
        <f>B15</f>
        <v xml:space="preserve"> </v>
      </c>
      <c r="C39" s="201">
        <f t="shared" ref="C39:E39" si="0">C15</f>
        <v>1E-3</v>
      </c>
      <c r="D39" s="201" t="str">
        <f t="shared" si="0"/>
        <v>mg/L</v>
      </c>
      <c r="E39" s="201" t="str">
        <f t="shared" si="0"/>
        <v>Cefuroxime</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Cefuroxime-0,01mg/L + Testostérone</v>
      </c>
      <c r="B40" s="193" t="str">
        <f t="shared" ref="B40:E40" si="1">B16</f>
        <v xml:space="preserve"> </v>
      </c>
      <c r="C40" s="107">
        <f t="shared" si="1"/>
        <v>0.01</v>
      </c>
      <c r="D40" s="107" t="str">
        <f t="shared" si="1"/>
        <v>mg/L</v>
      </c>
      <c r="E40" s="107" t="str">
        <f t="shared" si="1"/>
        <v>Cefuroxime</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Cefuroxime-0,1mg/L + Testostérone</v>
      </c>
      <c r="B41" s="193" t="str">
        <f t="shared" ref="B41:E41" si="2">B17</f>
        <v xml:space="preserve"> </v>
      </c>
      <c r="C41" s="107">
        <f t="shared" si="2"/>
        <v>0.1</v>
      </c>
      <c r="D41" s="107" t="str">
        <f t="shared" si="2"/>
        <v>mg/L</v>
      </c>
      <c r="E41" s="107" t="str">
        <f t="shared" si="2"/>
        <v>Cefuroxime</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Cefuroxime-1mg/L + Testostérone</v>
      </c>
      <c r="B42" s="193" t="str">
        <f t="shared" ref="B42:E42" si="3">B18</f>
        <v xml:space="preserve"> </v>
      </c>
      <c r="C42" s="107">
        <f t="shared" si="3"/>
        <v>1</v>
      </c>
      <c r="D42" s="107" t="str">
        <f t="shared" si="3"/>
        <v>mg/L</v>
      </c>
      <c r="E42" s="107" t="str">
        <f t="shared" si="3"/>
        <v>Cefuroxime</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Cefuroxime-10mg/L + Testostérone</v>
      </c>
      <c r="B43" s="193" t="str">
        <f t="shared" ref="B43:E43" si="4">B19</f>
        <v xml:space="preserve"> </v>
      </c>
      <c r="C43" s="107">
        <f t="shared" si="4"/>
        <v>10</v>
      </c>
      <c r="D43" s="107" t="str">
        <f t="shared" si="4"/>
        <v>mg/L</v>
      </c>
      <c r="E43" s="107" t="str">
        <f t="shared" si="4"/>
        <v>Cefuroxime</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C20:D38 A21: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zoomScale="70" zoomScaleNormal="70" workbookViewId="0">
      <selection activeCell="AB5" sqref="AB5:AF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J1" s="1" t="s">
        <v>1640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D2" s="1" t="s">
        <v>167</v>
      </c>
      <c r="E2" s="1" t="s">
        <v>168</v>
      </c>
      <c r="F2" s="1" t="s">
        <v>112</v>
      </c>
      <c r="G2" s="1">
        <v>271780</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169</v>
      </c>
      <c r="D3" s="1" t="s">
        <v>170</v>
      </c>
      <c r="E3" s="1" t="s">
        <v>171</v>
      </c>
      <c r="F3" s="1" t="s">
        <v>112</v>
      </c>
      <c r="G3" s="1">
        <v>35603</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172</v>
      </c>
      <c r="D4" s="1" t="s">
        <v>173</v>
      </c>
      <c r="E4" s="1" t="s">
        <v>174</v>
      </c>
      <c r="F4" s="1" t="s">
        <v>112</v>
      </c>
      <c r="G4" s="1">
        <v>63592</v>
      </c>
      <c r="K4" s="118" t="s">
        <v>100</v>
      </c>
      <c r="L4" s="1" t="s">
        <v>1641</v>
      </c>
      <c r="M4" s="1" t="s">
        <v>1642</v>
      </c>
      <c r="N4" s="1" t="s">
        <v>1643</v>
      </c>
      <c r="O4" s="1" t="s">
        <v>1644</v>
      </c>
      <c r="P4" s="1" t="s">
        <v>1645</v>
      </c>
      <c r="Q4" s="1" t="s">
        <v>1646</v>
      </c>
      <c r="R4" s="1" t="s">
        <v>1647</v>
      </c>
      <c r="S4" s="1" t="s">
        <v>1648</v>
      </c>
      <c r="T4" s="1" t="s">
        <v>1649</v>
      </c>
      <c r="U4" s="1" t="s">
        <v>1650</v>
      </c>
      <c r="V4" s="1" t="s">
        <v>1651</v>
      </c>
      <c r="W4" s="1" t="s">
        <v>1652</v>
      </c>
      <c r="X4" s="1" t="s">
        <v>1653</v>
      </c>
      <c r="Y4" s="1" t="s">
        <v>1654</v>
      </c>
      <c r="Z4" s="1" t="s">
        <v>1655</v>
      </c>
      <c r="AA4" s="1" t="s">
        <v>1656</v>
      </c>
      <c r="AB4" s="1" t="s">
        <v>1657</v>
      </c>
      <c r="AC4" s="1" t="s">
        <v>1658</v>
      </c>
      <c r="AD4" s="1" t="s">
        <v>1659</v>
      </c>
      <c r="AE4" s="1" t="s">
        <v>1660</v>
      </c>
      <c r="AF4" s="1" t="s">
        <v>1661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175</v>
      </c>
      <c r="D5" s="1" t="s">
        <v>176</v>
      </c>
      <c r="E5" s="1">
        <v>64</v>
      </c>
      <c r="F5" s="1" t="s">
        <v>112</v>
      </c>
      <c r="G5" s="1">
        <v>63678</v>
      </c>
      <c r="K5" s="145" t="s">
        <v>164</v>
      </c>
      <c r="L5" s="44">
        <v>123658.33333333333</v>
      </c>
      <c r="M5" s="44">
        <v>127486.33333333333</v>
      </c>
      <c r="N5" s="44">
        <v>209096</v>
      </c>
      <c r="O5" s="44">
        <v>116952.66666666667</v>
      </c>
      <c r="P5" s="44">
        <v>1199154</v>
      </c>
      <c r="Q5" s="44">
        <v>3185355.3333333335</v>
      </c>
      <c r="R5" s="44">
        <v>7612367.666666667</v>
      </c>
      <c r="S5" s="44">
        <v>197805.33333333334</v>
      </c>
      <c r="T5" s="44">
        <v>305241.33333333331</v>
      </c>
      <c r="U5" s="44">
        <v>59215.666666666664</v>
      </c>
      <c r="V5" s="44">
        <v>282940.66666666669</v>
      </c>
      <c r="W5" s="44">
        <v>220120.33333333334</v>
      </c>
      <c r="X5" s="44">
        <v>61861.666666666664</v>
      </c>
      <c r="Y5" s="44">
        <v>2955624</v>
      </c>
      <c r="Z5" s="44">
        <v>3910951.6666666665</v>
      </c>
      <c r="AA5" s="44">
        <v>457018</v>
      </c>
      <c r="AB5" s="44">
        <v>2238023.5</v>
      </c>
      <c r="AC5" s="44">
        <v>981088.66666666663</v>
      </c>
      <c r="AD5" s="44">
        <v>2259978</v>
      </c>
      <c r="AE5" s="44">
        <v>3407169.6666666665</v>
      </c>
      <c r="AF5" s="44">
        <v>1930749.5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177</v>
      </c>
      <c r="D6" s="1" t="s">
        <v>178</v>
      </c>
      <c r="E6" s="1" t="s">
        <v>179</v>
      </c>
      <c r="F6" s="1" t="s">
        <v>112</v>
      </c>
      <c r="G6" s="1">
        <v>11334</v>
      </c>
      <c r="K6" s="145" t="s">
        <v>1662</v>
      </c>
      <c r="L6" s="44">
        <v>33555</v>
      </c>
      <c r="M6" s="44">
        <v>401825.66666666669</v>
      </c>
      <c r="N6" s="44">
        <v>163471.33333333334</v>
      </c>
      <c r="O6" s="44">
        <v>553458.66666666663</v>
      </c>
      <c r="P6" s="44">
        <v>4232790</v>
      </c>
      <c r="Q6" s="44">
        <v>4620318.333333333</v>
      </c>
      <c r="R6" s="44">
        <v>7013284</v>
      </c>
      <c r="S6" s="44">
        <v>193991</v>
      </c>
      <c r="T6" s="44">
        <v>318889.66666666669</v>
      </c>
      <c r="U6" s="44">
        <v>94155</v>
      </c>
      <c r="V6" s="44">
        <v>283171</v>
      </c>
      <c r="W6" s="44">
        <v>75654</v>
      </c>
      <c r="X6" s="44"/>
      <c r="Y6" s="44">
        <v>2706930.6666666665</v>
      </c>
      <c r="Z6" s="44">
        <v>3085720.6666666665</v>
      </c>
      <c r="AA6" s="44">
        <v>464350.66666666669</v>
      </c>
      <c r="AB6" s="44">
        <v>3521282</v>
      </c>
      <c r="AC6" s="44">
        <v>2408164.3333333335</v>
      </c>
      <c r="AD6" s="44">
        <v>3128014.3333333335</v>
      </c>
      <c r="AE6" s="44">
        <v>2930728.3333333335</v>
      </c>
      <c r="AF6" s="44">
        <v>1848772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180</v>
      </c>
      <c r="D7" s="1" t="s">
        <v>181</v>
      </c>
      <c r="E7" s="1" t="s">
        <v>182</v>
      </c>
      <c r="F7" s="1" t="s">
        <v>112</v>
      </c>
      <c r="G7" s="1">
        <v>25653</v>
      </c>
      <c r="K7" s="145" t="s">
        <v>1663</v>
      </c>
      <c r="L7" s="44">
        <v>20613</v>
      </c>
      <c r="M7" s="44">
        <v>186536.33333333334</v>
      </c>
      <c r="N7" s="44">
        <v>302443.66666666669</v>
      </c>
      <c r="O7" s="44">
        <v>1733621.3333333333</v>
      </c>
      <c r="P7" s="44">
        <v>2365942.6666666665</v>
      </c>
      <c r="Q7" s="44">
        <v>4747509.333333333</v>
      </c>
      <c r="R7" s="44">
        <v>7236721</v>
      </c>
      <c r="S7" s="44">
        <v>71674</v>
      </c>
      <c r="T7" s="44">
        <v>242377.33333333334</v>
      </c>
      <c r="U7" s="44">
        <v>548339.33333333337</v>
      </c>
      <c r="V7" s="44">
        <v>76252.666666666672</v>
      </c>
      <c r="W7" s="44">
        <v>160753.33333333334</v>
      </c>
      <c r="X7" s="44">
        <v>3367183.3333333335</v>
      </c>
      <c r="Y7" s="44">
        <v>2052677</v>
      </c>
      <c r="Z7" s="44">
        <v>4963520</v>
      </c>
      <c r="AA7" s="44">
        <v>113196.33333333333</v>
      </c>
      <c r="AB7" s="44">
        <v>5464079</v>
      </c>
      <c r="AC7" s="44">
        <v>4137604</v>
      </c>
      <c r="AD7" s="44">
        <v>3508942</v>
      </c>
      <c r="AE7" s="44">
        <v>2955775.6666666665</v>
      </c>
      <c r="AF7" s="44">
        <v>4322575.666666667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183</v>
      </c>
      <c r="D8" s="1" t="s">
        <v>184</v>
      </c>
      <c r="E8" s="1" t="s">
        <v>185</v>
      </c>
      <c r="F8" s="1" t="s">
        <v>112</v>
      </c>
      <c r="G8" s="1">
        <v>22365</v>
      </c>
      <c r="K8" s="145" t="s">
        <v>1664</v>
      </c>
      <c r="L8" s="44">
        <v>101249.33333333333</v>
      </c>
      <c r="M8" s="44">
        <v>315306</v>
      </c>
      <c r="N8" s="44">
        <v>73253.333333333328</v>
      </c>
      <c r="O8" s="44">
        <v>89764</v>
      </c>
      <c r="P8" s="44">
        <v>3684458</v>
      </c>
      <c r="Q8" s="44">
        <v>4510200.666666667</v>
      </c>
      <c r="R8" s="44">
        <v>8207290.333333333</v>
      </c>
      <c r="S8" s="44">
        <v>156982.66666666666</v>
      </c>
      <c r="T8" s="44">
        <v>42906.333333333336</v>
      </c>
      <c r="U8" s="44">
        <v>264728.33333333331</v>
      </c>
      <c r="V8" s="44">
        <v>113037.66666666667</v>
      </c>
      <c r="W8" s="44">
        <v>14438</v>
      </c>
      <c r="X8" s="44">
        <v>3806868.6666666665</v>
      </c>
      <c r="Y8" s="44">
        <v>3526480.3333333335</v>
      </c>
      <c r="Z8" s="44">
        <v>5173661.333333333</v>
      </c>
      <c r="AA8" s="44">
        <v>455273.33333333331</v>
      </c>
      <c r="AB8" s="44">
        <v>3632272.3333333335</v>
      </c>
      <c r="AC8" s="44">
        <v>3069311</v>
      </c>
      <c r="AD8" s="44">
        <v>5133062.666666667</v>
      </c>
      <c r="AE8" s="44">
        <v>3976209</v>
      </c>
      <c r="AF8" s="44">
        <v>3604723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186</v>
      </c>
      <c r="D9" s="1" t="s">
        <v>187</v>
      </c>
      <c r="E9" s="1" t="s">
        <v>188</v>
      </c>
      <c r="F9" s="1" t="s">
        <v>112</v>
      </c>
      <c r="G9" s="1">
        <v>20137</v>
      </c>
      <c r="K9" s="145" t="s">
        <v>1665</v>
      </c>
      <c r="L9" s="44">
        <v>32812.333333333336</v>
      </c>
      <c r="M9" s="44">
        <v>450399.5</v>
      </c>
      <c r="N9" s="44">
        <v>648767</v>
      </c>
      <c r="O9" s="44">
        <v>1819550</v>
      </c>
      <c r="P9" s="44">
        <v>1846414.3333333333</v>
      </c>
      <c r="Q9" s="44">
        <v>4614990.666666667</v>
      </c>
      <c r="R9" s="44">
        <v>604786.66666666663</v>
      </c>
      <c r="S9" s="44">
        <v>242961.33333333334</v>
      </c>
      <c r="T9" s="44">
        <v>367095.33333333331</v>
      </c>
      <c r="U9" s="44">
        <v>244922.66666666666</v>
      </c>
      <c r="V9" s="44">
        <v>77709</v>
      </c>
      <c r="W9" s="44">
        <v>370058.33333333331</v>
      </c>
      <c r="X9" s="44">
        <v>4572322</v>
      </c>
      <c r="Y9" s="44">
        <v>4271796</v>
      </c>
      <c r="Z9" s="44">
        <v>4825023.5</v>
      </c>
      <c r="AA9" s="44">
        <v>129606.66666666667</v>
      </c>
      <c r="AB9" s="44">
        <v>3217180</v>
      </c>
      <c r="AC9" s="44">
        <v>5300629.333333333</v>
      </c>
      <c r="AD9" s="44">
        <v>3421539.6666666665</v>
      </c>
      <c r="AE9" s="44">
        <v>2998119.5</v>
      </c>
      <c r="AF9" s="44">
        <v>4224347.333333333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189</v>
      </c>
      <c r="D10" s="1" t="s">
        <v>190</v>
      </c>
      <c r="E10" s="1" t="s">
        <v>191</v>
      </c>
      <c r="F10" s="1" t="s">
        <v>112</v>
      </c>
      <c r="G10" s="1">
        <v>19337</v>
      </c>
      <c r="K10" s="145" t="s">
        <v>1666</v>
      </c>
      <c r="L10" s="44">
        <v>308153.66666666669</v>
      </c>
      <c r="M10" s="44">
        <v>412713</v>
      </c>
      <c r="N10" s="44">
        <v>120233.33333333333</v>
      </c>
      <c r="O10" s="44">
        <v>972083.33333333337</v>
      </c>
      <c r="P10" s="44">
        <v>1352942.6666666667</v>
      </c>
      <c r="Q10" s="44">
        <v>5370839.666666667</v>
      </c>
      <c r="R10" s="44">
        <v>2704977</v>
      </c>
      <c r="S10" s="44">
        <v>318305.33333333331</v>
      </c>
      <c r="T10" s="44">
        <v>44795.666666666664</v>
      </c>
      <c r="U10" s="44">
        <v>320028.66666666669</v>
      </c>
      <c r="V10" s="44">
        <v>52236</v>
      </c>
      <c r="W10" s="44">
        <v>60639.5</v>
      </c>
      <c r="X10" s="44">
        <v>1792959.6666666667</v>
      </c>
      <c r="Y10" s="44">
        <v>81361</v>
      </c>
      <c r="Z10" s="44">
        <v>3859054</v>
      </c>
      <c r="AA10" s="44">
        <v>44947</v>
      </c>
      <c r="AB10" s="44">
        <v>3081957.3333333335</v>
      </c>
      <c r="AC10" s="44">
        <v>1014932.3333333334</v>
      </c>
      <c r="AD10" s="44">
        <v>2809153.6666666665</v>
      </c>
      <c r="AE10" s="44">
        <v>2959582.3333333335</v>
      </c>
      <c r="AF10" s="44">
        <v>1740027.5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192</v>
      </c>
      <c r="D11" s="1" t="s">
        <v>173</v>
      </c>
      <c r="E11" s="1" t="s">
        <v>193</v>
      </c>
      <c r="F11" s="1" t="s">
        <v>112</v>
      </c>
      <c r="G11" s="1">
        <v>64089</v>
      </c>
      <c r="K11" s="145" t="s">
        <v>1667</v>
      </c>
      <c r="L11" s="44">
        <v>30188</v>
      </c>
      <c r="M11" s="44">
        <v>34096</v>
      </c>
      <c r="N11" s="44">
        <v>74940.333333333328</v>
      </c>
      <c r="O11" s="44">
        <v>1154012.3333333333</v>
      </c>
      <c r="P11" s="44">
        <v>5514477</v>
      </c>
      <c r="Q11" s="44">
        <v>43894.333333333336</v>
      </c>
      <c r="R11" s="44">
        <v>7059038.666666667</v>
      </c>
      <c r="S11" s="44">
        <v>128604</v>
      </c>
      <c r="T11" s="44">
        <v>233595.66666666666</v>
      </c>
      <c r="U11" s="44">
        <v>450897</v>
      </c>
      <c r="V11" s="44">
        <v>56468.333333333336</v>
      </c>
      <c r="W11" s="44">
        <v>159809</v>
      </c>
      <c r="X11" s="44">
        <v>2133025</v>
      </c>
      <c r="Y11" s="44">
        <v>455352.33333333331</v>
      </c>
      <c r="Z11" s="44">
        <v>5123458.666666667</v>
      </c>
      <c r="AA11" s="44"/>
      <c r="AB11" s="44">
        <v>3882566</v>
      </c>
      <c r="AC11" s="44">
        <v>4009202</v>
      </c>
      <c r="AD11" s="44">
        <v>284087</v>
      </c>
      <c r="AE11" s="44">
        <v>4195659</v>
      </c>
      <c r="AF11" s="44">
        <v>3187129</v>
      </c>
      <c r="AG11"/>
    </row>
    <row r="12" spans="1:144" x14ac:dyDescent="0.3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194</v>
      </c>
      <c r="D12" s="1" t="s">
        <v>195</v>
      </c>
      <c r="E12" s="1" t="s">
        <v>196</v>
      </c>
      <c r="F12" s="1" t="s">
        <v>112</v>
      </c>
      <c r="G12" s="1">
        <v>84140</v>
      </c>
      <c r="K12" s="145" t="s">
        <v>1668</v>
      </c>
      <c r="L12" s="44">
        <v>81919.666666666672</v>
      </c>
      <c r="M12" s="44">
        <v>40635.333333333336</v>
      </c>
      <c r="N12" s="44">
        <v>458626</v>
      </c>
      <c r="O12" s="44">
        <v>330274</v>
      </c>
      <c r="P12" s="44">
        <v>2284549.3333333335</v>
      </c>
      <c r="Q12" s="44">
        <v>3387036</v>
      </c>
      <c r="R12" s="44">
        <v>6640392</v>
      </c>
      <c r="S12" s="44">
        <v>53079.666666666664</v>
      </c>
      <c r="T12" s="44">
        <v>9074</v>
      </c>
      <c r="U12" s="44">
        <v>190696</v>
      </c>
      <c r="V12" s="44">
        <v>191922</v>
      </c>
      <c r="W12" s="44">
        <v>285038.5</v>
      </c>
      <c r="X12" s="44">
        <v>854770</v>
      </c>
      <c r="Y12" s="44">
        <v>2884036.3333333335</v>
      </c>
      <c r="Z12" s="44">
        <v>3420010.6666666665</v>
      </c>
      <c r="AA12" s="44">
        <v>222016.66666666666</v>
      </c>
      <c r="AB12" s="44">
        <v>2879638</v>
      </c>
      <c r="AC12" s="44">
        <v>2365632.6666666665</v>
      </c>
      <c r="AD12" s="44">
        <v>4209632</v>
      </c>
      <c r="AE12" s="44">
        <v>4265912.666666667</v>
      </c>
      <c r="AF12" s="44">
        <v>3189382</v>
      </c>
      <c r="AG12"/>
    </row>
    <row r="13" spans="1:144" x14ac:dyDescent="0.3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197</v>
      </c>
      <c r="D13" s="1" t="s">
        <v>198</v>
      </c>
      <c r="E13" s="1" t="s">
        <v>199</v>
      </c>
      <c r="F13" s="1" t="s">
        <v>112</v>
      </c>
      <c r="G13" s="1">
        <v>155519</v>
      </c>
      <c r="K13"/>
      <c r="L13"/>
      <c r="M13"/>
      <c r="N13"/>
      <c r="O13"/>
      <c r="P13"/>
      <c r="Q13"/>
      <c r="R13"/>
      <c r="S13"/>
      <c r="T13"/>
      <c r="U13"/>
      <c r="V13"/>
      <c r="W13"/>
      <c r="X13"/>
      <c r="Y13"/>
      <c r="Z13"/>
      <c r="AA13"/>
      <c r="AB13"/>
      <c r="AC13"/>
      <c r="AD13"/>
      <c r="AE13"/>
      <c r="AF13"/>
      <c r="AG13"/>
    </row>
    <row r="14" spans="1:144" x14ac:dyDescent="0.3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200</v>
      </c>
      <c r="D14" s="1" t="s">
        <v>201</v>
      </c>
      <c r="E14" s="1" t="s">
        <v>202</v>
      </c>
      <c r="F14" s="1" t="s">
        <v>112</v>
      </c>
      <c r="G14" s="1">
        <v>80809</v>
      </c>
      <c r="K14"/>
      <c r="L14"/>
      <c r="M14"/>
      <c r="N14"/>
      <c r="O14"/>
      <c r="P14"/>
      <c r="Q14"/>
      <c r="R14"/>
      <c r="S14"/>
      <c r="T14"/>
      <c r="U14"/>
      <c r="V14"/>
      <c r="W14"/>
      <c r="X14"/>
      <c r="Y14"/>
      <c r="Z14"/>
      <c r="AA14"/>
      <c r="AB14"/>
      <c r="AC14"/>
      <c r="AD14"/>
      <c r="AE14"/>
      <c r="AF14"/>
      <c r="AG14"/>
    </row>
    <row r="15" spans="1:144" x14ac:dyDescent="0.3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203</v>
      </c>
      <c r="D15" s="1" t="s">
        <v>204</v>
      </c>
      <c r="E15" s="1">
        <v>60</v>
      </c>
      <c r="F15" s="1" t="s">
        <v>112</v>
      </c>
      <c r="G15" s="1">
        <v>5191</v>
      </c>
    </row>
    <row r="16" spans="1:144" x14ac:dyDescent="0.3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205</v>
      </c>
      <c r="D16" s="1" t="s">
        <v>206</v>
      </c>
      <c r="E16" s="1" t="s">
        <v>207</v>
      </c>
      <c r="F16" s="1" t="s">
        <v>112</v>
      </c>
      <c r="G16" s="1">
        <v>12437</v>
      </c>
      <c r="M16"/>
      <c r="N16"/>
      <c r="O16"/>
      <c r="P16"/>
      <c r="Q16"/>
      <c r="R16"/>
      <c r="S16"/>
      <c r="T16"/>
      <c r="U16"/>
      <c r="V16"/>
      <c r="W16"/>
      <c r="X16"/>
      <c r="Y16"/>
      <c r="Z16"/>
      <c r="AA16"/>
      <c r="AB16"/>
      <c r="AC16"/>
      <c r="AD16"/>
      <c r="AE16"/>
      <c r="AF16"/>
      <c r="AG16"/>
      <c r="AH16"/>
    </row>
    <row r="17" spans="1:34" x14ac:dyDescent="0.3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208</v>
      </c>
      <c r="D17" s="1" t="s">
        <v>209</v>
      </c>
      <c r="E17" s="1" t="s">
        <v>210</v>
      </c>
      <c r="F17" s="1" t="s">
        <v>112</v>
      </c>
      <c r="G17" s="1">
        <v>354687</v>
      </c>
      <c r="M17"/>
      <c r="N17"/>
      <c r="O17"/>
      <c r="P17"/>
      <c r="Q17"/>
      <c r="R17"/>
      <c r="S17"/>
      <c r="T17"/>
      <c r="U17"/>
      <c r="V17"/>
      <c r="W17"/>
      <c r="X17"/>
      <c r="Y17"/>
      <c r="Z17"/>
      <c r="AA17"/>
      <c r="AB17"/>
      <c r="AC17"/>
      <c r="AD17"/>
      <c r="AE17"/>
      <c r="AF17"/>
      <c r="AG17"/>
      <c r="AH17"/>
    </row>
    <row r="18" spans="1:34" x14ac:dyDescent="0.3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211</v>
      </c>
      <c r="D18" s="1" t="s">
        <v>212</v>
      </c>
      <c r="E18" s="1" t="s">
        <v>213</v>
      </c>
      <c r="F18" s="1" t="s">
        <v>112</v>
      </c>
      <c r="G18" s="1">
        <v>380859</v>
      </c>
      <c r="M18"/>
      <c r="N18"/>
      <c r="O18"/>
      <c r="P18"/>
      <c r="Q18"/>
      <c r="R18"/>
      <c r="S18"/>
      <c r="T18"/>
      <c r="U18"/>
      <c r="V18"/>
      <c r="W18"/>
      <c r="X18"/>
      <c r="Y18"/>
      <c r="Z18"/>
      <c r="AA18"/>
      <c r="AB18"/>
      <c r="AC18"/>
      <c r="AD18"/>
      <c r="AE18"/>
      <c r="AF18"/>
      <c r="AG18"/>
      <c r="AH18"/>
    </row>
    <row r="19" spans="1:34" x14ac:dyDescent="0.3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214</v>
      </c>
      <c r="D19" s="1" t="s">
        <v>215</v>
      </c>
      <c r="E19" s="1" t="s">
        <v>216</v>
      </c>
      <c r="F19" s="1" t="s">
        <v>112</v>
      </c>
      <c r="G19" s="1">
        <v>188915</v>
      </c>
      <c r="K19"/>
      <c r="L19"/>
      <c r="M19"/>
      <c r="N19"/>
      <c r="O19"/>
      <c r="P19"/>
      <c r="Q19"/>
      <c r="R19"/>
      <c r="S19"/>
      <c r="T19"/>
      <c r="U19"/>
      <c r="V19"/>
      <c r="W19"/>
      <c r="X19"/>
      <c r="Y19"/>
      <c r="Z19"/>
      <c r="AA19"/>
      <c r="AB19"/>
      <c r="AC19"/>
      <c r="AD19"/>
      <c r="AE19"/>
      <c r="AF19"/>
      <c r="AG19"/>
      <c r="AH19"/>
    </row>
    <row r="20" spans="1:34" x14ac:dyDescent="0.3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217</v>
      </c>
      <c r="D20" s="1" t="s">
        <v>218</v>
      </c>
      <c r="E20" s="1" t="s">
        <v>219</v>
      </c>
      <c r="F20" s="1" t="s">
        <v>112</v>
      </c>
      <c r="G20" s="1">
        <v>43627</v>
      </c>
      <c r="K20"/>
      <c r="L20"/>
      <c r="M20"/>
      <c r="N20"/>
      <c r="O20"/>
      <c r="P20"/>
      <c r="Q20"/>
      <c r="R20"/>
      <c r="S20"/>
      <c r="T20"/>
      <c r="U20"/>
      <c r="V20"/>
      <c r="W20"/>
      <c r="X20"/>
      <c r="Y20"/>
      <c r="Z20"/>
      <c r="AA20"/>
      <c r="AB20"/>
      <c r="AC20"/>
      <c r="AD20"/>
      <c r="AE20"/>
      <c r="AF20"/>
      <c r="AG20"/>
      <c r="AH20"/>
    </row>
    <row r="21" spans="1:34" x14ac:dyDescent="0.3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220</v>
      </c>
      <c r="D21" s="1" t="s">
        <v>190</v>
      </c>
      <c r="E21" s="1" t="s">
        <v>221</v>
      </c>
      <c r="F21" s="1" t="s">
        <v>112</v>
      </c>
      <c r="G21" s="1">
        <v>19813</v>
      </c>
      <c r="K21"/>
      <c r="L21"/>
      <c r="M21"/>
      <c r="N21"/>
      <c r="O21"/>
      <c r="P21"/>
      <c r="Q21"/>
      <c r="R21"/>
      <c r="S21"/>
      <c r="T21"/>
      <c r="U21"/>
      <c r="V21"/>
      <c r="W21"/>
      <c r="X21"/>
      <c r="Y21"/>
      <c r="Z21"/>
      <c r="AA21"/>
      <c r="AB21"/>
      <c r="AC21"/>
      <c r="AD21"/>
      <c r="AE21"/>
      <c r="AF21"/>
      <c r="AG21"/>
      <c r="AH21"/>
    </row>
    <row r="22" spans="1:34" x14ac:dyDescent="0.3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222</v>
      </c>
      <c r="D22" s="1" t="s">
        <v>223</v>
      </c>
      <c r="E22" s="1" t="s">
        <v>224</v>
      </c>
      <c r="F22" s="1" t="s">
        <v>112</v>
      </c>
      <c r="G22" s="1">
        <v>27124</v>
      </c>
      <c r="K22"/>
      <c r="L22"/>
      <c r="M22"/>
      <c r="N22"/>
      <c r="O22"/>
      <c r="P22"/>
      <c r="Q22"/>
      <c r="R22"/>
      <c r="S22"/>
      <c r="T22"/>
      <c r="U22"/>
      <c r="V22"/>
      <c r="W22"/>
      <c r="X22"/>
      <c r="Y22"/>
      <c r="Z22"/>
      <c r="AA22"/>
      <c r="AB22"/>
      <c r="AC22"/>
      <c r="AD22"/>
      <c r="AE22"/>
      <c r="AF22"/>
      <c r="AG22"/>
      <c r="AH22"/>
    </row>
    <row r="23" spans="1:34" x14ac:dyDescent="0.3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225</v>
      </c>
      <c r="D23" s="1" t="s">
        <v>226</v>
      </c>
      <c r="E23" s="1" t="s">
        <v>227</v>
      </c>
      <c r="F23" s="1" t="s">
        <v>112</v>
      </c>
      <c r="G23" s="1">
        <v>69367</v>
      </c>
      <c r="K23"/>
      <c r="L23"/>
      <c r="M23"/>
      <c r="N23"/>
      <c r="O23"/>
      <c r="P23"/>
      <c r="Q23"/>
      <c r="R23"/>
      <c r="S23"/>
      <c r="T23"/>
      <c r="U23"/>
      <c r="V23"/>
      <c r="W23"/>
      <c r="X23"/>
      <c r="Y23"/>
      <c r="Z23"/>
      <c r="AA23"/>
      <c r="AB23"/>
      <c r="AC23"/>
      <c r="AD23"/>
      <c r="AE23"/>
      <c r="AF23"/>
      <c r="AG23"/>
      <c r="AH23"/>
    </row>
    <row r="24" spans="1:34" x14ac:dyDescent="0.3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228</v>
      </c>
      <c r="D24" s="1" t="s">
        <v>229</v>
      </c>
      <c r="E24" s="1" t="s">
        <v>230</v>
      </c>
      <c r="F24" s="1" t="s">
        <v>112</v>
      </c>
      <c r="G24" s="1">
        <v>94285</v>
      </c>
      <c r="K24"/>
      <c r="L24"/>
      <c r="M24"/>
      <c r="N24"/>
      <c r="O24"/>
      <c r="P24"/>
      <c r="Q24"/>
      <c r="R24"/>
      <c r="S24"/>
      <c r="T24"/>
      <c r="U24"/>
      <c r="V24"/>
      <c r="W24"/>
      <c r="X24"/>
      <c r="Y24"/>
      <c r="Z24"/>
      <c r="AA24"/>
      <c r="AB24"/>
      <c r="AC24"/>
      <c r="AD24"/>
      <c r="AE24"/>
      <c r="AF24"/>
      <c r="AG24"/>
      <c r="AH24"/>
    </row>
    <row r="25" spans="1:34" x14ac:dyDescent="0.3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231</v>
      </c>
      <c r="D25" s="1" t="s">
        <v>232</v>
      </c>
      <c r="E25" s="1" t="s">
        <v>233</v>
      </c>
      <c r="F25" s="1" t="s">
        <v>112</v>
      </c>
      <c r="G25" s="1">
        <v>82107</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234</v>
      </c>
      <c r="D27" s="1" t="s">
        <v>112</v>
      </c>
      <c r="E27" s="1" t="s">
        <v>235</v>
      </c>
      <c r="F27" s="1" t="s">
        <v>236</v>
      </c>
      <c r="G27" s="1" t="s">
        <v>237</v>
      </c>
      <c r="H27" s="1" t="s">
        <v>238</v>
      </c>
      <c r="I27" s="1" t="s">
        <v>239</v>
      </c>
      <c r="J27" s="1" t="s">
        <v>240</v>
      </c>
      <c r="K27"/>
      <c r="L27"/>
      <c r="M27"/>
      <c r="N27"/>
      <c r="O27"/>
      <c r="P27"/>
      <c r="Q27"/>
      <c r="R27"/>
      <c r="S27"/>
      <c r="T27"/>
      <c r="U27"/>
      <c r="V27"/>
      <c r="W27"/>
      <c r="X27"/>
      <c r="Y27"/>
      <c r="Z27"/>
      <c r="AA27"/>
      <c r="AB27"/>
      <c r="AC27"/>
      <c r="AD27"/>
      <c r="AE27"/>
      <c r="AF27"/>
      <c r="AG27"/>
      <c r="AH27"/>
    </row>
    <row r="28" spans="1:34" x14ac:dyDescent="0.3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241</v>
      </c>
      <c r="D28" s="1" t="s">
        <v>112</v>
      </c>
      <c r="E28" s="1" t="s">
        <v>242</v>
      </c>
      <c r="F28" s="1" t="s">
        <v>243</v>
      </c>
      <c r="G28" s="1" t="s">
        <v>244</v>
      </c>
      <c r="H28" s="1" t="s">
        <v>245</v>
      </c>
      <c r="I28" s="1">
        <v>24</v>
      </c>
      <c r="J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246</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247</v>
      </c>
      <c r="D35" s="1" t="s">
        <v>248</v>
      </c>
      <c r="E35" s="1" t="s">
        <v>249</v>
      </c>
      <c r="F35" s="1" t="s">
        <v>112</v>
      </c>
      <c r="G35" s="1">
        <v>246386</v>
      </c>
      <c r="K35"/>
      <c r="L35"/>
      <c r="M35"/>
      <c r="N35"/>
      <c r="O35"/>
      <c r="P35"/>
      <c r="Q35"/>
      <c r="R35"/>
      <c r="S35"/>
      <c r="T35"/>
      <c r="U35"/>
      <c r="V35"/>
      <c r="W35"/>
      <c r="X35"/>
      <c r="Y35"/>
      <c r="Z35"/>
      <c r="AA35"/>
      <c r="AB35"/>
      <c r="AC35"/>
      <c r="AD35"/>
      <c r="AE35"/>
      <c r="AF35"/>
      <c r="AG35"/>
      <c r="AH35"/>
    </row>
    <row r="36" spans="1:34" x14ac:dyDescent="0.3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250</v>
      </c>
      <c r="D36" s="1" t="s">
        <v>251</v>
      </c>
      <c r="E36" s="1" t="s">
        <v>252</v>
      </c>
      <c r="F36" s="1" t="s">
        <v>112</v>
      </c>
      <c r="G36" s="1">
        <v>31298</v>
      </c>
      <c r="K36"/>
      <c r="L36"/>
      <c r="M36"/>
      <c r="N36"/>
      <c r="O36"/>
      <c r="P36"/>
      <c r="Q36"/>
      <c r="R36"/>
      <c r="S36"/>
      <c r="T36"/>
      <c r="U36"/>
      <c r="V36"/>
      <c r="W36"/>
      <c r="X36"/>
      <c r="Y36"/>
      <c r="Z36"/>
      <c r="AA36"/>
      <c r="AB36"/>
      <c r="AC36"/>
      <c r="AD36"/>
      <c r="AE36"/>
      <c r="AF36"/>
      <c r="AG36"/>
      <c r="AH36"/>
    </row>
    <row r="37" spans="1:34" x14ac:dyDescent="0.3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253</v>
      </c>
      <c r="D37" s="1" t="s">
        <v>254</v>
      </c>
      <c r="E37" s="1" t="s">
        <v>255</v>
      </c>
      <c r="F37" s="1" t="s">
        <v>112</v>
      </c>
      <c r="G37" s="1">
        <v>104775</v>
      </c>
      <c r="K37"/>
      <c r="L37"/>
      <c r="M37"/>
      <c r="N37"/>
      <c r="O37"/>
      <c r="P37"/>
      <c r="Q37"/>
      <c r="R37"/>
      <c r="S37"/>
      <c r="T37"/>
      <c r="U37"/>
      <c r="V37"/>
      <c r="W37"/>
      <c r="X37"/>
      <c r="Y37"/>
      <c r="Z37"/>
      <c r="AA37"/>
      <c r="AB37"/>
      <c r="AC37"/>
      <c r="AD37"/>
      <c r="AE37"/>
      <c r="AF37"/>
      <c r="AG37"/>
      <c r="AH37"/>
    </row>
    <row r="38" spans="1:34" x14ac:dyDescent="0.3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256</v>
      </c>
      <c r="D38" s="1" t="s">
        <v>257</v>
      </c>
      <c r="E38" s="1" t="s">
        <v>258</v>
      </c>
      <c r="F38" s="1" t="s">
        <v>112</v>
      </c>
      <c r="G38" s="1">
        <v>588441</v>
      </c>
      <c r="K38"/>
      <c r="L38"/>
      <c r="M38"/>
      <c r="N38"/>
      <c r="O38"/>
      <c r="P38"/>
      <c r="Q38"/>
      <c r="R38"/>
      <c r="S38"/>
      <c r="T38"/>
      <c r="U38"/>
      <c r="V38"/>
      <c r="W38"/>
      <c r="X38"/>
      <c r="Y38"/>
      <c r="Z38"/>
      <c r="AA38"/>
      <c r="AB38"/>
      <c r="AC38"/>
      <c r="AD38"/>
      <c r="AE38"/>
      <c r="AF38"/>
      <c r="AG38"/>
      <c r="AH38"/>
    </row>
    <row r="39" spans="1:34" x14ac:dyDescent="0.3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259</v>
      </c>
      <c r="D39" s="1" t="s">
        <v>260</v>
      </c>
      <c r="E39" s="1" t="s">
        <v>261</v>
      </c>
      <c r="F39" s="1" t="s">
        <v>112</v>
      </c>
      <c r="G39" s="1">
        <v>525671</v>
      </c>
    </row>
    <row r="40" spans="1:34" x14ac:dyDescent="0.3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262</v>
      </c>
      <c r="D40" s="1" t="s">
        <v>229</v>
      </c>
      <c r="E40" s="1">
        <v>64</v>
      </c>
      <c r="F40" s="1" t="s">
        <v>112</v>
      </c>
      <c r="G40" s="1">
        <v>91365</v>
      </c>
    </row>
    <row r="41" spans="1:34" x14ac:dyDescent="0.3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263</v>
      </c>
      <c r="D41" s="1" t="s">
        <v>264</v>
      </c>
      <c r="E41" s="1" t="s">
        <v>265</v>
      </c>
      <c r="F41" s="1" t="s">
        <v>112</v>
      </c>
      <c r="G41" s="1">
        <v>361522</v>
      </c>
    </row>
    <row r="42" spans="1:34" x14ac:dyDescent="0.3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266</v>
      </c>
      <c r="D42" s="1" t="s">
        <v>267</v>
      </c>
      <c r="E42" s="1" t="s">
        <v>268</v>
      </c>
      <c r="F42" s="1" t="s">
        <v>112</v>
      </c>
      <c r="G42" s="1">
        <v>117667</v>
      </c>
    </row>
    <row r="43" spans="1:34" x14ac:dyDescent="0.3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269</v>
      </c>
      <c r="D43" s="1" t="s">
        <v>201</v>
      </c>
      <c r="E43" s="1" t="s">
        <v>270</v>
      </c>
      <c r="F43" s="1" t="s">
        <v>112</v>
      </c>
      <c r="G43" s="1">
        <v>80420</v>
      </c>
    </row>
    <row r="44" spans="1:34" x14ac:dyDescent="0.3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271</v>
      </c>
      <c r="D44" s="1" t="s">
        <v>272</v>
      </c>
      <c r="E44" s="1" t="s">
        <v>273</v>
      </c>
      <c r="F44" s="1" t="s">
        <v>112</v>
      </c>
      <c r="G44" s="1">
        <v>443845</v>
      </c>
    </row>
    <row r="45" spans="1:34" x14ac:dyDescent="0.3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274</v>
      </c>
      <c r="D45" s="1" t="s">
        <v>275</v>
      </c>
      <c r="E45" s="1" t="s">
        <v>276</v>
      </c>
      <c r="F45" s="1" t="s">
        <v>112</v>
      </c>
      <c r="G45" s="1">
        <v>472051</v>
      </c>
    </row>
    <row r="46" spans="1:34" x14ac:dyDescent="0.3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277</v>
      </c>
      <c r="D46" s="1" t="s">
        <v>278</v>
      </c>
      <c r="E46" s="1" t="s">
        <v>279</v>
      </c>
      <c r="F46" s="1" t="s">
        <v>112</v>
      </c>
      <c r="G46" s="1">
        <v>30022</v>
      </c>
    </row>
    <row r="47" spans="1:34" x14ac:dyDescent="0.3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280</v>
      </c>
      <c r="D47" s="1" t="s">
        <v>281</v>
      </c>
      <c r="E47" s="1" t="s">
        <v>282</v>
      </c>
      <c r="F47" s="1" t="s">
        <v>112</v>
      </c>
      <c r="G47" s="1">
        <v>383412</v>
      </c>
    </row>
    <row r="48" spans="1:34" x14ac:dyDescent="0.3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283</v>
      </c>
      <c r="D48" s="1" t="s">
        <v>284</v>
      </c>
      <c r="E48" s="1" t="s">
        <v>285</v>
      </c>
      <c r="F48" s="1" t="s">
        <v>112</v>
      </c>
      <c r="G48" s="1">
        <v>517387</v>
      </c>
    </row>
    <row r="49" spans="1:10" x14ac:dyDescent="0.3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286</v>
      </c>
    </row>
    <row r="50" spans="1:10" x14ac:dyDescent="0.3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287</v>
      </c>
      <c r="D50" s="1" t="s">
        <v>288</v>
      </c>
      <c r="E50" s="1" t="s">
        <v>289</v>
      </c>
      <c r="F50" s="1" t="s">
        <v>112</v>
      </c>
      <c r="G50" s="1">
        <v>510055</v>
      </c>
    </row>
    <row r="51" spans="1:10" x14ac:dyDescent="0.3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290</v>
      </c>
      <c r="D51" s="1" t="s">
        <v>291</v>
      </c>
      <c r="E51" s="1" t="s">
        <v>292</v>
      </c>
      <c r="F51" s="1" t="s">
        <v>112</v>
      </c>
      <c r="G51" s="1">
        <v>421783</v>
      </c>
    </row>
    <row r="52" spans="1:10" x14ac:dyDescent="0.3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293</v>
      </c>
      <c r="D52" s="1" t="s">
        <v>294</v>
      </c>
      <c r="E52" s="1" t="s">
        <v>295</v>
      </c>
      <c r="F52" s="1" t="s">
        <v>112</v>
      </c>
      <c r="G52" s="1">
        <v>306301</v>
      </c>
    </row>
    <row r="53" spans="1:10" x14ac:dyDescent="0.3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296</v>
      </c>
      <c r="D53" s="1" t="s">
        <v>170</v>
      </c>
      <c r="E53" s="1" t="s">
        <v>297</v>
      </c>
      <c r="F53" s="1" t="s">
        <v>112</v>
      </c>
      <c r="G53" s="1">
        <v>36792</v>
      </c>
    </row>
    <row r="54" spans="1:10" x14ac:dyDescent="0.3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298</v>
      </c>
      <c r="D54" s="1" t="s">
        <v>299</v>
      </c>
      <c r="E54" s="1" t="s">
        <v>300</v>
      </c>
      <c r="F54" s="1" t="s">
        <v>112</v>
      </c>
      <c r="G54" s="1">
        <v>41919</v>
      </c>
    </row>
    <row r="55" spans="1:10" x14ac:dyDescent="0.3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301</v>
      </c>
      <c r="D55" s="1" t="s">
        <v>302</v>
      </c>
      <c r="E55" s="1" t="s">
        <v>303</v>
      </c>
      <c r="F55" s="1" t="s">
        <v>112</v>
      </c>
      <c r="G55" s="1">
        <v>23577</v>
      </c>
    </row>
    <row r="56" spans="1:10" x14ac:dyDescent="0.3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304</v>
      </c>
      <c r="D56" s="1" t="s">
        <v>218</v>
      </c>
      <c r="E56" s="1" t="s">
        <v>305</v>
      </c>
      <c r="F56" s="1" t="s">
        <v>112</v>
      </c>
      <c r="G56" s="1">
        <v>42568</v>
      </c>
    </row>
    <row r="57" spans="1:10" x14ac:dyDescent="0.3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306</v>
      </c>
      <c r="D57" s="1" t="s">
        <v>307</v>
      </c>
      <c r="E57" s="1" t="s">
        <v>308</v>
      </c>
      <c r="F57" s="1" t="s">
        <v>112</v>
      </c>
      <c r="G57" s="1">
        <v>44103</v>
      </c>
    </row>
    <row r="58" spans="1:10" x14ac:dyDescent="0.3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309</v>
      </c>
      <c r="D58" s="1" t="s">
        <v>170</v>
      </c>
      <c r="E58" s="1" t="s">
        <v>310</v>
      </c>
      <c r="F58" s="1" t="s">
        <v>112</v>
      </c>
      <c r="G58" s="1">
        <v>35235</v>
      </c>
    </row>
    <row r="59" spans="1:10"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234</v>
      </c>
      <c r="D60" s="1" t="s">
        <v>112</v>
      </c>
      <c r="E60" s="1" t="s">
        <v>235</v>
      </c>
      <c r="F60" s="1" t="s">
        <v>236</v>
      </c>
      <c r="G60" s="1" t="s">
        <v>237</v>
      </c>
      <c r="H60" s="1" t="s">
        <v>238</v>
      </c>
      <c r="I60" s="1" t="s">
        <v>239</v>
      </c>
      <c r="J60" s="1" t="s">
        <v>240</v>
      </c>
    </row>
    <row r="61" spans="1:10" x14ac:dyDescent="0.3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311</v>
      </c>
      <c r="D61" s="1" t="s">
        <v>112</v>
      </c>
      <c r="E61" s="1" t="s">
        <v>312</v>
      </c>
      <c r="F61" s="1" t="s">
        <v>313</v>
      </c>
      <c r="G61" s="1" t="s">
        <v>314</v>
      </c>
      <c r="H61" s="1" t="s">
        <v>315</v>
      </c>
      <c r="I61" s="1">
        <v>24</v>
      </c>
      <c r="J61" s="1">
        <v>24</v>
      </c>
    </row>
    <row r="62" spans="1:10"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246</v>
      </c>
      <c r="D67" s="1" t="s">
        <v>110</v>
      </c>
      <c r="E67" s="1" t="s">
        <v>111</v>
      </c>
      <c r="F67" s="1" t="s">
        <v>112</v>
      </c>
      <c r="G67" s="1" t="s">
        <v>113</v>
      </c>
    </row>
    <row r="68" spans="1:7" x14ac:dyDescent="0.3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316</v>
      </c>
      <c r="D68" s="1" t="s">
        <v>317</v>
      </c>
      <c r="E68" s="1" t="s">
        <v>318</v>
      </c>
      <c r="F68" s="1" t="s">
        <v>112</v>
      </c>
      <c r="G68" s="1">
        <v>467811</v>
      </c>
    </row>
    <row r="69" spans="1:7" x14ac:dyDescent="0.3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319</v>
      </c>
      <c r="D69" s="1" t="s">
        <v>320</v>
      </c>
      <c r="E69" s="1" t="s">
        <v>321</v>
      </c>
      <c r="F69" s="1" t="s">
        <v>112</v>
      </c>
      <c r="G69" s="1">
        <v>96231</v>
      </c>
    </row>
    <row r="70" spans="1:7" x14ac:dyDescent="0.3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322</v>
      </c>
      <c r="D70" s="1" t="s">
        <v>176</v>
      </c>
      <c r="E70" s="1" t="s">
        <v>323</v>
      </c>
      <c r="F70" s="1" t="s">
        <v>112</v>
      </c>
      <c r="G70" s="1">
        <v>63246</v>
      </c>
    </row>
    <row r="71" spans="1:7" x14ac:dyDescent="0.3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324</v>
      </c>
      <c r="D71" s="1" t="s">
        <v>325</v>
      </c>
      <c r="E71" s="1" t="s">
        <v>326</v>
      </c>
      <c r="F71" s="1" t="s">
        <v>112</v>
      </c>
      <c r="G71" s="1">
        <v>257006</v>
      </c>
    </row>
    <row r="72" spans="1:7" x14ac:dyDescent="0.3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327</v>
      </c>
      <c r="D72" s="1" t="s">
        <v>302</v>
      </c>
      <c r="E72" s="1" t="s">
        <v>328</v>
      </c>
      <c r="F72" s="1" t="s">
        <v>112</v>
      </c>
      <c r="G72" s="1">
        <v>23252</v>
      </c>
    </row>
    <row r="73" spans="1:7" x14ac:dyDescent="0.3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329</v>
      </c>
      <c r="D73" s="1" t="s">
        <v>330</v>
      </c>
      <c r="E73" s="1" t="s">
        <v>331</v>
      </c>
      <c r="F73" s="1" t="s">
        <v>112</v>
      </c>
      <c r="G73" s="1">
        <v>210156</v>
      </c>
    </row>
    <row r="74" spans="1:7" x14ac:dyDescent="0.3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332</v>
      </c>
      <c r="D74" s="1" t="s">
        <v>333</v>
      </c>
      <c r="E74" s="1" t="s">
        <v>334</v>
      </c>
      <c r="F74" s="1" t="s">
        <v>112</v>
      </c>
      <c r="G74" s="1">
        <v>351897</v>
      </c>
    </row>
    <row r="75" spans="1:7" x14ac:dyDescent="0.3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335</v>
      </c>
      <c r="D75" s="1" t="s">
        <v>336</v>
      </c>
      <c r="E75" s="1" t="s">
        <v>337</v>
      </c>
      <c r="F75" s="1" t="s">
        <v>112</v>
      </c>
      <c r="G75" s="1">
        <v>123636</v>
      </c>
    </row>
    <row r="76" spans="1:7" x14ac:dyDescent="0.3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338</v>
      </c>
      <c r="D76" s="1" t="s">
        <v>339</v>
      </c>
      <c r="E76" s="1" t="s">
        <v>340</v>
      </c>
      <c r="F76" s="1" t="s">
        <v>112</v>
      </c>
      <c r="G76" s="1">
        <v>431798</v>
      </c>
    </row>
    <row r="77" spans="1:7" x14ac:dyDescent="0.3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341</v>
      </c>
      <c r="D77" s="1" t="s">
        <v>342</v>
      </c>
      <c r="E77" s="1" t="s">
        <v>343</v>
      </c>
      <c r="F77" s="1" t="s">
        <v>112</v>
      </c>
      <c r="G77" s="1">
        <v>108301</v>
      </c>
    </row>
    <row r="78" spans="1:7" x14ac:dyDescent="0.3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344</v>
      </c>
      <c r="D78" s="1" t="s">
        <v>345</v>
      </c>
      <c r="E78" s="1" t="s">
        <v>346</v>
      </c>
      <c r="F78" s="1" t="s">
        <v>112</v>
      </c>
      <c r="G78" s="1">
        <v>51328</v>
      </c>
    </row>
    <row r="79" spans="1:7" x14ac:dyDescent="0.3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347</v>
      </c>
      <c r="D79" s="1" t="s">
        <v>348</v>
      </c>
      <c r="E79" s="1" t="s">
        <v>349</v>
      </c>
      <c r="F79" s="1" t="s">
        <v>112</v>
      </c>
      <c r="G79" s="1">
        <v>60131</v>
      </c>
    </row>
    <row r="80" spans="1:7" x14ac:dyDescent="0.3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350</v>
      </c>
      <c r="D80" s="1" t="s">
        <v>351</v>
      </c>
      <c r="E80" s="1" t="s">
        <v>352</v>
      </c>
      <c r="F80" s="1" t="s">
        <v>112</v>
      </c>
      <c r="G80" s="1">
        <v>916026</v>
      </c>
    </row>
    <row r="81" spans="1:10" x14ac:dyDescent="0.3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353</v>
      </c>
      <c r="D81" s="1" t="s">
        <v>354</v>
      </c>
      <c r="E81" s="1" t="s">
        <v>355</v>
      </c>
      <c r="F81" s="1" t="s">
        <v>112</v>
      </c>
      <c r="G81" s="1">
        <v>706995</v>
      </c>
    </row>
    <row r="82" spans="1:10" x14ac:dyDescent="0.3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356</v>
      </c>
      <c r="D82" s="1" t="s">
        <v>357</v>
      </c>
      <c r="E82" s="1" t="s">
        <v>358</v>
      </c>
      <c r="F82" s="1" t="s">
        <v>112</v>
      </c>
      <c r="G82" s="1">
        <v>323280</v>
      </c>
    </row>
    <row r="83" spans="1:10" x14ac:dyDescent="0.3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359</v>
      </c>
      <c r="D83" s="1" t="s">
        <v>229</v>
      </c>
      <c r="E83" s="1" t="s">
        <v>179</v>
      </c>
      <c r="F83" s="1" t="s">
        <v>112</v>
      </c>
      <c r="G83" s="1">
        <v>93506</v>
      </c>
    </row>
    <row r="84" spans="1:10" x14ac:dyDescent="0.3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360</v>
      </c>
      <c r="D84" s="1" t="s">
        <v>361</v>
      </c>
      <c r="E84" s="1" t="s">
        <v>362</v>
      </c>
      <c r="F84" s="1" t="s">
        <v>112</v>
      </c>
      <c r="G84" s="1">
        <v>85287</v>
      </c>
    </row>
    <row r="85" spans="1:10" x14ac:dyDescent="0.3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363</v>
      </c>
      <c r="D85" s="1" t="s">
        <v>364</v>
      </c>
      <c r="E85" s="1" t="s">
        <v>365</v>
      </c>
      <c r="F85" s="1" t="s">
        <v>112</v>
      </c>
      <c r="G85" s="1">
        <v>181907</v>
      </c>
    </row>
    <row r="86" spans="1:10" x14ac:dyDescent="0.3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366</v>
      </c>
      <c r="D86" s="1" t="s">
        <v>367</v>
      </c>
      <c r="E86" s="1" t="s">
        <v>368</v>
      </c>
      <c r="F86" s="1" t="s">
        <v>112</v>
      </c>
      <c r="G86" s="1">
        <v>117710</v>
      </c>
    </row>
    <row r="87" spans="1:10" x14ac:dyDescent="0.3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369</v>
      </c>
      <c r="D87" s="1" t="s">
        <v>170</v>
      </c>
      <c r="E87" s="1">
        <v>67</v>
      </c>
      <c r="F87" s="1" t="s">
        <v>112</v>
      </c>
      <c r="G87" s="1">
        <v>37679</v>
      </c>
    </row>
    <row r="88" spans="1:10" x14ac:dyDescent="0.3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370</v>
      </c>
      <c r="D88" s="1" t="s">
        <v>371</v>
      </c>
      <c r="E88" s="1" t="s">
        <v>372</v>
      </c>
      <c r="F88" s="1" t="s">
        <v>112</v>
      </c>
      <c r="G88" s="1">
        <v>69432</v>
      </c>
    </row>
    <row r="89" spans="1:10" x14ac:dyDescent="0.3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373</v>
      </c>
      <c r="D89" s="1" t="s">
        <v>374</v>
      </c>
      <c r="E89" s="1" t="s">
        <v>375</v>
      </c>
      <c r="F89" s="1" t="s">
        <v>112</v>
      </c>
      <c r="G89" s="1">
        <v>525001</v>
      </c>
    </row>
    <row r="90" spans="1:10" x14ac:dyDescent="0.3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376</v>
      </c>
      <c r="D90" s="1" t="s">
        <v>377</v>
      </c>
      <c r="E90" s="1" t="s">
        <v>378</v>
      </c>
      <c r="F90" s="1" t="s">
        <v>112</v>
      </c>
      <c r="G90" s="1">
        <v>506118</v>
      </c>
    </row>
    <row r="91" spans="1:10" x14ac:dyDescent="0.3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379</v>
      </c>
      <c r="D91" s="1" t="s">
        <v>380</v>
      </c>
      <c r="E91" s="1" t="s">
        <v>381</v>
      </c>
      <c r="F91" s="1" t="s">
        <v>112</v>
      </c>
      <c r="G91" s="1">
        <v>344759</v>
      </c>
    </row>
    <row r="92" spans="1:10"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234</v>
      </c>
      <c r="D93" s="1" t="s">
        <v>112</v>
      </c>
      <c r="E93" s="1" t="s">
        <v>235</v>
      </c>
      <c r="F93" s="1" t="s">
        <v>236</v>
      </c>
      <c r="G93" s="1" t="s">
        <v>237</v>
      </c>
      <c r="H93" s="1" t="s">
        <v>238</v>
      </c>
      <c r="I93" s="1" t="s">
        <v>239</v>
      </c>
      <c r="J93" s="1" t="s">
        <v>240</v>
      </c>
    </row>
    <row r="94" spans="1:10" x14ac:dyDescent="0.3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382</v>
      </c>
      <c r="D94" s="1" t="s">
        <v>112</v>
      </c>
      <c r="E94" s="1" t="s">
        <v>383</v>
      </c>
      <c r="F94" s="1" t="s">
        <v>384</v>
      </c>
      <c r="G94" s="1" t="s">
        <v>385</v>
      </c>
      <c r="H94" s="1" t="s">
        <v>386</v>
      </c>
      <c r="I94" s="1">
        <v>24</v>
      </c>
      <c r="J94" s="1">
        <v>24</v>
      </c>
    </row>
    <row r="95" spans="1:10"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246</v>
      </c>
      <c r="D100" s="1" t="s">
        <v>110</v>
      </c>
      <c r="E100" s="1" t="s">
        <v>111</v>
      </c>
      <c r="F100" s="1" t="s">
        <v>112</v>
      </c>
      <c r="G100" s="1" t="s">
        <v>113</v>
      </c>
    </row>
    <row r="101" spans="1:7" x14ac:dyDescent="0.3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387</v>
      </c>
      <c r="D101" s="1" t="s">
        <v>388</v>
      </c>
      <c r="E101" s="1" t="s">
        <v>389</v>
      </c>
      <c r="F101" s="1" t="s">
        <v>112</v>
      </c>
      <c r="G101" s="1">
        <v>173255</v>
      </c>
    </row>
    <row r="102" spans="1:7" x14ac:dyDescent="0.3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390</v>
      </c>
      <c r="D102" s="1" t="s">
        <v>307</v>
      </c>
      <c r="E102" s="1" t="s">
        <v>391</v>
      </c>
      <c r="F102" s="1" t="s">
        <v>112</v>
      </c>
      <c r="G102" s="1">
        <v>44514</v>
      </c>
    </row>
    <row r="103" spans="1:7" x14ac:dyDescent="0.3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392</v>
      </c>
      <c r="D103" s="1" t="s">
        <v>393</v>
      </c>
      <c r="E103" s="1" t="s">
        <v>394</v>
      </c>
      <c r="F103" s="1" t="s">
        <v>112</v>
      </c>
      <c r="G103" s="1">
        <v>133089</v>
      </c>
    </row>
    <row r="104" spans="1:7" x14ac:dyDescent="0.3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395</v>
      </c>
      <c r="D104" s="1" t="s">
        <v>396</v>
      </c>
      <c r="E104" s="1" t="s">
        <v>397</v>
      </c>
      <c r="F104" s="1" t="s">
        <v>112</v>
      </c>
      <c r="G104" s="1">
        <v>623244</v>
      </c>
    </row>
    <row r="105" spans="1:7" x14ac:dyDescent="0.3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398</v>
      </c>
      <c r="D105" s="1" t="s">
        <v>399</v>
      </c>
      <c r="E105" s="1" t="s">
        <v>400</v>
      </c>
      <c r="F105" s="1" t="s">
        <v>112</v>
      </c>
      <c r="G105" s="1">
        <v>386029</v>
      </c>
    </row>
    <row r="106" spans="1:7" x14ac:dyDescent="0.3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401</v>
      </c>
      <c r="D106" s="1" t="s">
        <v>402</v>
      </c>
      <c r="E106" s="1" t="s">
        <v>403</v>
      </c>
      <c r="F106" s="1" t="s">
        <v>112</v>
      </c>
      <c r="G106" s="1">
        <v>651103</v>
      </c>
    </row>
    <row r="107" spans="1:7" x14ac:dyDescent="0.3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404</v>
      </c>
      <c r="D107" s="1" t="s">
        <v>405</v>
      </c>
      <c r="E107" s="1" t="s">
        <v>406</v>
      </c>
      <c r="F107" s="1" t="s">
        <v>112</v>
      </c>
      <c r="G107" s="1">
        <v>1711465</v>
      </c>
    </row>
    <row r="108" spans="1:7" x14ac:dyDescent="0.3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407</v>
      </c>
      <c r="D108" s="1" t="s">
        <v>408</v>
      </c>
      <c r="E108" s="1" t="s">
        <v>409</v>
      </c>
      <c r="F108" s="1" t="s">
        <v>112</v>
      </c>
      <c r="G108" s="1">
        <v>1693664</v>
      </c>
    </row>
    <row r="109" spans="1:7" x14ac:dyDescent="0.3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410</v>
      </c>
      <c r="D109" s="1" t="s">
        <v>411</v>
      </c>
      <c r="E109" s="1" t="s">
        <v>412</v>
      </c>
      <c r="F109" s="1" t="s">
        <v>112</v>
      </c>
      <c r="G109" s="1">
        <v>1795735</v>
      </c>
    </row>
    <row r="110" spans="1:7" x14ac:dyDescent="0.3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413</v>
      </c>
      <c r="D110" s="1" t="s">
        <v>232</v>
      </c>
      <c r="E110" s="1" t="s">
        <v>414</v>
      </c>
      <c r="F110" s="1" t="s">
        <v>112</v>
      </c>
      <c r="G110" s="1">
        <v>80744</v>
      </c>
    </row>
    <row r="111" spans="1:7" x14ac:dyDescent="0.3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415</v>
      </c>
      <c r="D111" s="1" t="s">
        <v>336</v>
      </c>
      <c r="E111" s="1" t="s">
        <v>416</v>
      </c>
      <c r="F111" s="1" t="s">
        <v>112</v>
      </c>
      <c r="G111" s="1">
        <v>125021</v>
      </c>
    </row>
    <row r="112" spans="1:7" x14ac:dyDescent="0.3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417</v>
      </c>
      <c r="D112" s="1" t="s">
        <v>418</v>
      </c>
      <c r="E112" s="1" t="s">
        <v>419</v>
      </c>
      <c r="F112" s="1" t="s">
        <v>112</v>
      </c>
      <c r="G112" s="1">
        <v>63527</v>
      </c>
    </row>
    <row r="113" spans="1:10" x14ac:dyDescent="0.3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420</v>
      </c>
      <c r="D113" s="1" t="s">
        <v>421</v>
      </c>
      <c r="E113" s="1" t="s">
        <v>422</v>
      </c>
      <c r="F113" s="1" t="s">
        <v>112</v>
      </c>
      <c r="G113" s="1">
        <v>1913337</v>
      </c>
    </row>
    <row r="114" spans="1:10" x14ac:dyDescent="0.3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423</v>
      </c>
      <c r="D114" s="1" t="s">
        <v>424</v>
      </c>
      <c r="E114" s="1" t="s">
        <v>425</v>
      </c>
      <c r="F114" s="1" t="s">
        <v>112</v>
      </c>
      <c r="G114" s="1">
        <v>1719512</v>
      </c>
    </row>
    <row r="115" spans="1:10" x14ac:dyDescent="0.3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426</v>
      </c>
      <c r="D115" s="1" t="s">
        <v>427</v>
      </c>
      <c r="E115" s="1" t="s">
        <v>428</v>
      </c>
      <c r="F115" s="1" t="s">
        <v>112</v>
      </c>
      <c r="G115" s="1">
        <v>1825801</v>
      </c>
    </row>
    <row r="116" spans="1:10" x14ac:dyDescent="0.3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429</v>
      </c>
      <c r="D116" s="1" t="s">
        <v>430</v>
      </c>
      <c r="E116" s="1" t="s">
        <v>431</v>
      </c>
      <c r="F116" s="1" t="s">
        <v>112</v>
      </c>
      <c r="G116" s="1">
        <v>1065856</v>
      </c>
    </row>
    <row r="117" spans="1:10" x14ac:dyDescent="0.3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432</v>
      </c>
      <c r="D117" s="1" t="s">
        <v>433</v>
      </c>
      <c r="E117" s="1" t="s">
        <v>434</v>
      </c>
      <c r="F117" s="1" t="s">
        <v>112</v>
      </c>
      <c r="G117" s="1">
        <v>1201324</v>
      </c>
    </row>
    <row r="118" spans="1:10" x14ac:dyDescent="0.3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435</v>
      </c>
      <c r="D118" s="1" t="s">
        <v>436</v>
      </c>
      <c r="E118" s="1" t="s">
        <v>437</v>
      </c>
      <c r="F118" s="1" t="s">
        <v>112</v>
      </c>
      <c r="G118" s="1">
        <v>649070</v>
      </c>
    </row>
    <row r="119" spans="1:10" x14ac:dyDescent="0.3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438</v>
      </c>
      <c r="D119" s="1" t="s">
        <v>439</v>
      </c>
      <c r="E119" s="1" t="s">
        <v>440</v>
      </c>
      <c r="F119" s="1" t="s">
        <v>112</v>
      </c>
      <c r="G119" s="1">
        <v>989308</v>
      </c>
    </row>
    <row r="120" spans="1:10" x14ac:dyDescent="0.3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441</v>
      </c>
      <c r="D120" s="1" t="s">
        <v>442</v>
      </c>
      <c r="E120" s="1" t="s">
        <v>443</v>
      </c>
      <c r="F120" s="1" t="s">
        <v>112</v>
      </c>
      <c r="G120" s="1">
        <v>1267252</v>
      </c>
    </row>
    <row r="121" spans="1:10" x14ac:dyDescent="0.3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444</v>
      </c>
      <c r="D121" s="1" t="s">
        <v>445</v>
      </c>
      <c r="E121" s="1" t="s">
        <v>446</v>
      </c>
      <c r="F121" s="1" t="s">
        <v>112</v>
      </c>
      <c r="G121" s="1">
        <v>1205477</v>
      </c>
    </row>
    <row r="122" spans="1:10" x14ac:dyDescent="0.3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447</v>
      </c>
      <c r="D122" s="1" t="s">
        <v>448</v>
      </c>
      <c r="E122" s="1" t="s">
        <v>449</v>
      </c>
      <c r="F122" s="1" t="s">
        <v>112</v>
      </c>
      <c r="G122" s="1">
        <v>323453</v>
      </c>
    </row>
    <row r="123" spans="1:10" x14ac:dyDescent="0.3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450</v>
      </c>
      <c r="D123" s="1" t="s">
        <v>451</v>
      </c>
      <c r="E123" s="1" t="s">
        <v>452</v>
      </c>
      <c r="F123" s="1" t="s">
        <v>112</v>
      </c>
      <c r="G123" s="1">
        <v>401213</v>
      </c>
    </row>
    <row r="124" spans="1:10" x14ac:dyDescent="0.3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453</v>
      </c>
      <c r="D124" s="1" t="s">
        <v>454</v>
      </c>
      <c r="E124" s="1" t="s">
        <v>455</v>
      </c>
      <c r="F124" s="1" t="s">
        <v>112</v>
      </c>
      <c r="G124" s="1">
        <v>266156</v>
      </c>
    </row>
    <row r="125" spans="1:10"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234</v>
      </c>
      <c r="D126" s="1" t="s">
        <v>112</v>
      </c>
      <c r="E126" s="1" t="s">
        <v>235</v>
      </c>
      <c r="F126" s="1" t="s">
        <v>236</v>
      </c>
      <c r="G126" s="1" t="s">
        <v>237</v>
      </c>
      <c r="H126" s="1" t="s">
        <v>238</v>
      </c>
      <c r="I126" s="1" t="s">
        <v>239</v>
      </c>
      <c r="J126" s="1" t="s">
        <v>240</v>
      </c>
    </row>
    <row r="127" spans="1:10" x14ac:dyDescent="0.3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456</v>
      </c>
      <c r="D127" s="1" t="s">
        <v>112</v>
      </c>
      <c r="E127" s="1" t="s">
        <v>457</v>
      </c>
      <c r="F127" s="1" t="s">
        <v>458</v>
      </c>
      <c r="G127" s="1" t="s">
        <v>459</v>
      </c>
      <c r="H127" s="1" t="s">
        <v>460</v>
      </c>
      <c r="I127" s="1">
        <v>24</v>
      </c>
      <c r="J127" s="1">
        <v>24</v>
      </c>
    </row>
    <row r="128" spans="1:10"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246</v>
      </c>
      <c r="D133" s="1" t="s">
        <v>110</v>
      </c>
      <c r="E133" s="1" t="s">
        <v>111</v>
      </c>
      <c r="F133" s="1" t="s">
        <v>112</v>
      </c>
      <c r="G133" s="1" t="s">
        <v>113</v>
      </c>
    </row>
    <row r="134" spans="1:7" x14ac:dyDescent="0.3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461</v>
      </c>
      <c r="D134" s="1" t="s">
        <v>462</v>
      </c>
      <c r="E134" s="1" t="s">
        <v>463</v>
      </c>
      <c r="F134" s="1" t="s">
        <v>112</v>
      </c>
      <c r="G134" s="1">
        <v>1426924</v>
      </c>
    </row>
    <row r="135" spans="1:7" x14ac:dyDescent="0.3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464</v>
      </c>
      <c r="D135" s="1" t="s">
        <v>465</v>
      </c>
      <c r="E135" s="1" t="s">
        <v>466</v>
      </c>
      <c r="F135" s="1" t="s">
        <v>112</v>
      </c>
      <c r="G135" s="1">
        <v>1317239</v>
      </c>
    </row>
    <row r="136" spans="1:7" x14ac:dyDescent="0.3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467</v>
      </c>
      <c r="D136" s="1" t="s">
        <v>468</v>
      </c>
      <c r="E136" s="1" t="s">
        <v>469</v>
      </c>
      <c r="F136" s="1" t="s">
        <v>112</v>
      </c>
      <c r="G136" s="1">
        <v>853299</v>
      </c>
    </row>
    <row r="137" spans="1:7" x14ac:dyDescent="0.3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470</v>
      </c>
      <c r="D137" s="1" t="s">
        <v>471</v>
      </c>
      <c r="E137" s="1" t="s">
        <v>472</v>
      </c>
      <c r="F137" s="1" t="s">
        <v>112</v>
      </c>
      <c r="G137" s="1">
        <v>4431057</v>
      </c>
    </row>
    <row r="138" spans="1:7" x14ac:dyDescent="0.3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473</v>
      </c>
      <c r="D138" s="1" t="s">
        <v>474</v>
      </c>
      <c r="E138" s="1" t="s">
        <v>475</v>
      </c>
      <c r="F138" s="1" t="s">
        <v>112</v>
      </c>
      <c r="G138" s="1">
        <v>4391474</v>
      </c>
    </row>
    <row r="139" spans="1:7" x14ac:dyDescent="0.3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476</v>
      </c>
      <c r="D139" s="1" t="s">
        <v>477</v>
      </c>
      <c r="E139" s="1" t="s">
        <v>478</v>
      </c>
      <c r="F139" s="1" t="s">
        <v>112</v>
      </c>
      <c r="G139" s="1">
        <v>3875839</v>
      </c>
    </row>
    <row r="140" spans="1:7" x14ac:dyDescent="0.3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479</v>
      </c>
      <c r="D140" s="1" t="s">
        <v>480</v>
      </c>
      <c r="E140" s="1" t="s">
        <v>481</v>
      </c>
      <c r="F140" s="1" t="s">
        <v>112</v>
      </c>
      <c r="G140" s="1">
        <v>2642697</v>
      </c>
    </row>
    <row r="141" spans="1:7" x14ac:dyDescent="0.3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482</v>
      </c>
      <c r="D141" s="1" t="s">
        <v>483</v>
      </c>
      <c r="E141" s="1" t="s">
        <v>484</v>
      </c>
      <c r="F141" s="1" t="s">
        <v>112</v>
      </c>
      <c r="G141" s="1">
        <v>2260432</v>
      </c>
    </row>
    <row r="142" spans="1:7" x14ac:dyDescent="0.3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485</v>
      </c>
      <c r="D142" s="1" t="s">
        <v>486</v>
      </c>
      <c r="E142" s="1" t="s">
        <v>487</v>
      </c>
      <c r="F142" s="1" t="s">
        <v>112</v>
      </c>
      <c r="G142" s="1">
        <v>2194699</v>
      </c>
    </row>
    <row r="143" spans="1:7" x14ac:dyDescent="0.3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488</v>
      </c>
      <c r="D143" s="1" t="s">
        <v>489</v>
      </c>
      <c r="E143" s="1" t="s">
        <v>490</v>
      </c>
      <c r="F143" s="1" t="s">
        <v>112</v>
      </c>
      <c r="G143" s="1">
        <v>3721986</v>
      </c>
    </row>
    <row r="144" spans="1:7" x14ac:dyDescent="0.3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491</v>
      </c>
      <c r="D144" s="1" t="s">
        <v>492</v>
      </c>
      <c r="E144" s="1" t="s">
        <v>493</v>
      </c>
      <c r="F144" s="1" t="s">
        <v>112</v>
      </c>
      <c r="G144" s="1">
        <v>3643599</v>
      </c>
    </row>
    <row r="145" spans="1:10" x14ac:dyDescent="0.3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494</v>
      </c>
      <c r="D145" s="1" t="s">
        <v>495</v>
      </c>
      <c r="E145" s="1" t="s">
        <v>496</v>
      </c>
      <c r="F145" s="1" t="s">
        <v>112</v>
      </c>
      <c r="G145" s="1">
        <v>3687789</v>
      </c>
    </row>
    <row r="146" spans="1:10" x14ac:dyDescent="0.3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497</v>
      </c>
      <c r="D146" s="1" t="s">
        <v>498</v>
      </c>
      <c r="E146" s="1" t="s">
        <v>499</v>
      </c>
      <c r="F146" s="1" t="s">
        <v>112</v>
      </c>
      <c r="G146" s="1">
        <v>1889220</v>
      </c>
    </row>
    <row r="147" spans="1:10" x14ac:dyDescent="0.3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500</v>
      </c>
      <c r="D147" s="1" t="s">
        <v>501</v>
      </c>
      <c r="E147" s="1" t="s">
        <v>502</v>
      </c>
      <c r="F147" s="1" t="s">
        <v>112</v>
      </c>
      <c r="G147" s="1">
        <v>1843170</v>
      </c>
    </row>
    <row r="148" spans="1:10" x14ac:dyDescent="0.3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503</v>
      </c>
      <c r="D148" s="1" t="s">
        <v>504</v>
      </c>
      <c r="E148" s="1" t="s">
        <v>505</v>
      </c>
      <c r="F148" s="1" t="s">
        <v>112</v>
      </c>
      <c r="G148" s="1">
        <v>1806853</v>
      </c>
    </row>
    <row r="149" spans="1:10" x14ac:dyDescent="0.3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506</v>
      </c>
      <c r="D149" s="1" t="s">
        <v>507</v>
      </c>
      <c r="E149" s="1" t="s">
        <v>508</v>
      </c>
      <c r="F149" s="1" t="s">
        <v>112</v>
      </c>
      <c r="G149" s="1">
        <v>1465534</v>
      </c>
    </row>
    <row r="150" spans="1:10" x14ac:dyDescent="0.3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509</v>
      </c>
      <c r="D150" s="1" t="s">
        <v>510</v>
      </c>
      <c r="E150" s="1" t="s">
        <v>511</v>
      </c>
      <c r="F150" s="1" t="s">
        <v>112</v>
      </c>
      <c r="G150" s="1">
        <v>1224641</v>
      </c>
    </row>
    <row r="151" spans="1:10" x14ac:dyDescent="0.3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512</v>
      </c>
      <c r="D151" s="1" t="s">
        <v>513</v>
      </c>
      <c r="E151" s="1" t="s">
        <v>514</v>
      </c>
      <c r="F151" s="1" t="s">
        <v>112</v>
      </c>
      <c r="G151" s="1">
        <v>1368653</v>
      </c>
    </row>
    <row r="152" spans="1:10" x14ac:dyDescent="0.3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515</v>
      </c>
      <c r="D152" s="1" t="s">
        <v>516</v>
      </c>
      <c r="E152" s="1" t="s">
        <v>517</v>
      </c>
      <c r="F152" s="1" t="s">
        <v>112</v>
      </c>
      <c r="G152" s="1">
        <v>5728332</v>
      </c>
    </row>
    <row r="153" spans="1:10" x14ac:dyDescent="0.3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518</v>
      </c>
      <c r="D153" s="1" t="s">
        <v>519</v>
      </c>
      <c r="E153" s="1" t="s">
        <v>520</v>
      </c>
      <c r="F153" s="1" t="s">
        <v>112</v>
      </c>
      <c r="G153" s="1">
        <v>5228984</v>
      </c>
    </row>
    <row r="154" spans="1:10" x14ac:dyDescent="0.3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521</v>
      </c>
      <c r="D154" s="1" t="s">
        <v>522</v>
      </c>
      <c r="E154" s="1" t="s">
        <v>523</v>
      </c>
      <c r="F154" s="1" t="s">
        <v>112</v>
      </c>
      <c r="G154" s="1">
        <v>5586115</v>
      </c>
    </row>
    <row r="155" spans="1:10" x14ac:dyDescent="0.3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524</v>
      </c>
      <c r="D155" s="1" t="s">
        <v>525</v>
      </c>
      <c r="E155" s="1" t="s">
        <v>526</v>
      </c>
      <c r="F155" s="1" t="s">
        <v>112</v>
      </c>
      <c r="G155" s="1">
        <v>2578759</v>
      </c>
    </row>
    <row r="156" spans="1:10" x14ac:dyDescent="0.3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527</v>
      </c>
      <c r="D156" s="1" t="s">
        <v>528</v>
      </c>
      <c r="E156" s="1" t="s">
        <v>529</v>
      </c>
      <c r="F156" s="1" t="s">
        <v>112</v>
      </c>
      <c r="G156" s="1">
        <v>2051617</v>
      </c>
    </row>
    <row r="157" spans="1:10" x14ac:dyDescent="0.3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530</v>
      </c>
      <c r="D157" s="1" t="s">
        <v>531</v>
      </c>
      <c r="E157" s="1" t="s">
        <v>532</v>
      </c>
      <c r="F157" s="1" t="s">
        <v>112</v>
      </c>
      <c r="G157" s="1">
        <v>2223272</v>
      </c>
    </row>
    <row r="158" spans="1:10"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234</v>
      </c>
      <c r="D159" s="1" t="s">
        <v>112</v>
      </c>
      <c r="E159" s="1" t="s">
        <v>235</v>
      </c>
      <c r="F159" s="1" t="s">
        <v>236</v>
      </c>
      <c r="G159" s="1" t="s">
        <v>237</v>
      </c>
      <c r="H159" s="1" t="s">
        <v>238</v>
      </c>
      <c r="I159" s="1" t="s">
        <v>239</v>
      </c>
      <c r="J159" s="1" t="s">
        <v>240</v>
      </c>
    </row>
    <row r="160" spans="1:10" x14ac:dyDescent="0.3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533</v>
      </c>
      <c r="D160" s="1" t="s">
        <v>112</v>
      </c>
      <c r="E160" s="1" t="s">
        <v>534</v>
      </c>
      <c r="F160" s="1" t="s">
        <v>535</v>
      </c>
      <c r="G160" s="1">
        <v>2810091</v>
      </c>
      <c r="H160" s="1" t="s">
        <v>536</v>
      </c>
      <c r="I160" s="1">
        <v>24</v>
      </c>
      <c r="J160" s="1">
        <v>24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246</v>
      </c>
      <c r="D166" s="1" t="s">
        <v>110</v>
      </c>
      <c r="E166" s="1" t="s">
        <v>111</v>
      </c>
      <c r="F166" s="1" t="s">
        <v>112</v>
      </c>
      <c r="G166" s="1" t="s">
        <v>113</v>
      </c>
    </row>
    <row r="167" spans="1:7" x14ac:dyDescent="0.3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537</v>
      </c>
      <c r="D167" s="1" t="s">
        <v>538</v>
      </c>
      <c r="E167" s="1" t="s">
        <v>539</v>
      </c>
      <c r="F167" s="1" t="s">
        <v>112</v>
      </c>
      <c r="G167" s="1">
        <v>3462405</v>
      </c>
    </row>
    <row r="168" spans="1:7" x14ac:dyDescent="0.3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540</v>
      </c>
      <c r="D168" s="1" t="s">
        <v>541</v>
      </c>
      <c r="E168" s="1" t="s">
        <v>542</v>
      </c>
      <c r="F168" s="1" t="s">
        <v>112</v>
      </c>
      <c r="G168" s="1">
        <v>3133891</v>
      </c>
    </row>
    <row r="169" spans="1:7" x14ac:dyDescent="0.3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543</v>
      </c>
      <c r="D169" s="1" t="s">
        <v>544</v>
      </c>
      <c r="E169" s="1" t="s">
        <v>545</v>
      </c>
      <c r="F169" s="1" t="s">
        <v>112</v>
      </c>
      <c r="G169" s="1">
        <v>2959770</v>
      </c>
    </row>
    <row r="170" spans="1:7" x14ac:dyDescent="0.3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546</v>
      </c>
      <c r="D170" s="1" t="s">
        <v>547</v>
      </c>
      <c r="E170" s="1" t="s">
        <v>548</v>
      </c>
      <c r="F170" s="1" t="s">
        <v>112</v>
      </c>
      <c r="G170" s="1">
        <v>4788599</v>
      </c>
    </row>
    <row r="171" spans="1:7" x14ac:dyDescent="0.3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549</v>
      </c>
      <c r="D171" s="1" t="s">
        <v>550</v>
      </c>
      <c r="E171" s="1" t="s">
        <v>551</v>
      </c>
      <c r="F171" s="1" t="s">
        <v>112</v>
      </c>
      <c r="G171" s="1">
        <v>4669202</v>
      </c>
    </row>
    <row r="172" spans="1:7" x14ac:dyDescent="0.3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552</v>
      </c>
      <c r="D172" s="1" t="s">
        <v>553</v>
      </c>
      <c r="E172" s="1" t="s">
        <v>554</v>
      </c>
      <c r="F172" s="1" t="s">
        <v>112</v>
      </c>
      <c r="G172" s="1">
        <v>4403154</v>
      </c>
    </row>
    <row r="173" spans="1:7" x14ac:dyDescent="0.3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555</v>
      </c>
      <c r="D173" s="1" t="s">
        <v>556</v>
      </c>
      <c r="E173" s="1" t="s">
        <v>557</v>
      </c>
      <c r="F173" s="1" t="s">
        <v>112</v>
      </c>
      <c r="G173" s="1">
        <v>4926814</v>
      </c>
    </row>
    <row r="174" spans="1:7" x14ac:dyDescent="0.3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558</v>
      </c>
      <c r="D174" s="1" t="s">
        <v>559</v>
      </c>
      <c r="E174" s="1" t="s">
        <v>560</v>
      </c>
      <c r="F174" s="1" t="s">
        <v>112</v>
      </c>
      <c r="G174" s="1">
        <v>4838456</v>
      </c>
    </row>
    <row r="175" spans="1:7" x14ac:dyDescent="0.3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561</v>
      </c>
      <c r="D175" s="1" t="s">
        <v>562</v>
      </c>
      <c r="E175" s="1" t="s">
        <v>563</v>
      </c>
      <c r="F175" s="1" t="s">
        <v>112</v>
      </c>
      <c r="G175" s="1">
        <v>4477258</v>
      </c>
    </row>
    <row r="176" spans="1:7" x14ac:dyDescent="0.3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564</v>
      </c>
      <c r="D176" s="1" t="s">
        <v>565</v>
      </c>
      <c r="E176" s="1" t="s">
        <v>566</v>
      </c>
      <c r="F176" s="1" t="s">
        <v>112</v>
      </c>
      <c r="G176" s="1">
        <v>4429327</v>
      </c>
    </row>
    <row r="177" spans="1:10" x14ac:dyDescent="0.3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567</v>
      </c>
      <c r="D177" s="1" t="s">
        <v>568</v>
      </c>
      <c r="E177" s="1" t="s">
        <v>569</v>
      </c>
      <c r="F177" s="1" t="s">
        <v>112</v>
      </c>
      <c r="G177" s="1">
        <v>4620448</v>
      </c>
    </row>
    <row r="178" spans="1:10" x14ac:dyDescent="0.3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570</v>
      </c>
      <c r="D178" s="1" t="s">
        <v>571</v>
      </c>
      <c r="E178" s="1" t="s">
        <v>572</v>
      </c>
      <c r="F178" s="1" t="s">
        <v>112</v>
      </c>
      <c r="G178" s="1">
        <v>4480827</v>
      </c>
    </row>
    <row r="179" spans="1:10" x14ac:dyDescent="0.3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573</v>
      </c>
      <c r="D179" s="1" t="s">
        <v>574</v>
      </c>
      <c r="E179" s="1" t="s">
        <v>575</v>
      </c>
      <c r="F179" s="1" t="s">
        <v>112</v>
      </c>
      <c r="G179" s="1">
        <v>4791779</v>
      </c>
    </row>
    <row r="180" spans="1:10" x14ac:dyDescent="0.3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576</v>
      </c>
      <c r="D180" s="1" t="s">
        <v>577</v>
      </c>
      <c r="E180" s="1" t="s">
        <v>578</v>
      </c>
      <c r="F180" s="1" t="s">
        <v>112</v>
      </c>
      <c r="G180" s="1">
        <v>4479919</v>
      </c>
    </row>
    <row r="181" spans="1:10" x14ac:dyDescent="0.3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579</v>
      </c>
      <c r="D181" s="1" t="s">
        <v>580</v>
      </c>
      <c r="E181" s="1" t="s">
        <v>581</v>
      </c>
      <c r="F181" s="1" t="s">
        <v>112</v>
      </c>
      <c r="G181" s="1">
        <v>4573274</v>
      </c>
    </row>
    <row r="182" spans="1:10" x14ac:dyDescent="0.3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582</v>
      </c>
      <c r="D182" s="1" t="s">
        <v>583</v>
      </c>
      <c r="E182" s="1" t="s">
        <v>584</v>
      </c>
      <c r="F182" s="1" t="s">
        <v>112</v>
      </c>
      <c r="G182" s="1">
        <v>5367047</v>
      </c>
    </row>
    <row r="183" spans="1:10" x14ac:dyDescent="0.3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585</v>
      </c>
      <c r="D183" s="1" t="s">
        <v>586</v>
      </c>
      <c r="E183" s="1" t="s">
        <v>587</v>
      </c>
      <c r="F183" s="1" t="s">
        <v>112</v>
      </c>
      <c r="G183" s="1">
        <v>5208760</v>
      </c>
    </row>
    <row r="184" spans="1:10" x14ac:dyDescent="0.3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588</v>
      </c>
      <c r="D184" s="1" t="s">
        <v>589</v>
      </c>
      <c r="E184" s="1" t="s">
        <v>590</v>
      </c>
      <c r="F184" s="1" t="s">
        <v>112</v>
      </c>
      <c r="G184" s="1">
        <v>5536712</v>
      </c>
    </row>
    <row r="185" spans="1:10" x14ac:dyDescent="0.3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591</v>
      </c>
      <c r="D185" s="1" t="s">
        <v>592</v>
      </c>
      <c r="E185" s="1" t="s">
        <v>593</v>
      </c>
      <c r="F185" s="1" t="s">
        <v>112</v>
      </c>
      <c r="G185" s="1">
        <v>43671</v>
      </c>
    </row>
    <row r="186" spans="1:10" x14ac:dyDescent="0.3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594</v>
      </c>
      <c r="D186" s="1" t="s">
        <v>595</v>
      </c>
      <c r="E186" s="1" t="s">
        <v>596</v>
      </c>
      <c r="F186" s="1" t="s">
        <v>112</v>
      </c>
      <c r="G186" s="1">
        <v>72828</v>
      </c>
    </row>
    <row r="187" spans="1:10" x14ac:dyDescent="0.3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597</v>
      </c>
      <c r="D187" s="1" t="s">
        <v>598</v>
      </c>
      <c r="E187" s="1" t="s">
        <v>599</v>
      </c>
      <c r="F187" s="1" t="s">
        <v>112</v>
      </c>
      <c r="G187" s="1">
        <v>15184</v>
      </c>
    </row>
    <row r="188" spans="1:10" x14ac:dyDescent="0.3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600</v>
      </c>
    </row>
    <row r="189" spans="1:10" x14ac:dyDescent="0.3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601</v>
      </c>
      <c r="D189" s="1" t="s">
        <v>602</v>
      </c>
      <c r="E189" s="1" t="s">
        <v>603</v>
      </c>
      <c r="F189" s="1" t="s">
        <v>112</v>
      </c>
      <c r="G189" s="1">
        <v>3401604</v>
      </c>
    </row>
    <row r="190" spans="1:10" x14ac:dyDescent="0.3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604</v>
      </c>
      <c r="D190" s="1" t="s">
        <v>605</v>
      </c>
      <c r="E190" s="1" t="s">
        <v>606</v>
      </c>
      <c r="F190" s="1" t="s">
        <v>112</v>
      </c>
      <c r="G190" s="1">
        <v>3372468</v>
      </c>
    </row>
    <row r="191" spans="1:10"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234</v>
      </c>
      <c r="D192" s="1" t="s">
        <v>112</v>
      </c>
      <c r="E192" s="1" t="s">
        <v>235</v>
      </c>
      <c r="F192" s="1" t="s">
        <v>236</v>
      </c>
      <c r="G192" s="1" t="s">
        <v>237</v>
      </c>
      <c r="H192" s="1" t="s">
        <v>238</v>
      </c>
      <c r="I192" s="1" t="s">
        <v>239</v>
      </c>
      <c r="J192" s="1" t="s">
        <v>240</v>
      </c>
    </row>
    <row r="193" spans="1:10" x14ac:dyDescent="0.3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607</v>
      </c>
      <c r="D193" s="1" t="s">
        <v>112</v>
      </c>
      <c r="E193" s="1" t="s">
        <v>608</v>
      </c>
      <c r="F193" s="1" t="s">
        <v>609</v>
      </c>
      <c r="G193" s="1" t="s">
        <v>610</v>
      </c>
      <c r="H193" s="1" t="s">
        <v>611</v>
      </c>
      <c r="I193" s="1">
        <v>24</v>
      </c>
      <c r="J193" s="1">
        <v>24</v>
      </c>
    </row>
    <row r="194" spans="1:10"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246</v>
      </c>
      <c r="D199" s="1" t="s">
        <v>110</v>
      </c>
      <c r="E199" s="1" t="s">
        <v>111</v>
      </c>
      <c r="F199" s="1" t="s">
        <v>112</v>
      </c>
      <c r="G199" s="1" t="s">
        <v>113</v>
      </c>
    </row>
    <row r="200" spans="1:10" x14ac:dyDescent="0.3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612</v>
      </c>
      <c r="D200" s="1" t="s">
        <v>613</v>
      </c>
      <c r="E200" s="1" t="s">
        <v>614</v>
      </c>
      <c r="F200" s="1" t="s">
        <v>112</v>
      </c>
      <c r="G200" s="1">
        <v>7393704</v>
      </c>
    </row>
    <row r="201" spans="1:10" x14ac:dyDescent="0.3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615</v>
      </c>
      <c r="D201" s="1" t="s">
        <v>616</v>
      </c>
      <c r="E201" s="1" t="s">
        <v>617</v>
      </c>
      <c r="F201" s="1" t="s">
        <v>112</v>
      </c>
      <c r="G201" s="1">
        <v>8093409</v>
      </c>
    </row>
    <row r="202" spans="1:10" x14ac:dyDescent="0.3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618</v>
      </c>
      <c r="D202" s="1" t="s">
        <v>619</v>
      </c>
      <c r="E202" s="1" t="s">
        <v>620</v>
      </c>
      <c r="F202" s="1" t="s">
        <v>112</v>
      </c>
      <c r="G202" s="1">
        <v>7349990</v>
      </c>
    </row>
    <row r="203" spans="1:10" x14ac:dyDescent="0.3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621</v>
      </c>
      <c r="D203" s="1" t="s">
        <v>622</v>
      </c>
      <c r="E203" s="1" t="s">
        <v>623</v>
      </c>
      <c r="F203" s="1" t="s">
        <v>112</v>
      </c>
      <c r="G203" s="1">
        <v>7124238</v>
      </c>
    </row>
    <row r="204" spans="1:10" x14ac:dyDescent="0.3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624</v>
      </c>
      <c r="D204" s="1" t="s">
        <v>625</v>
      </c>
      <c r="E204" s="1" t="s">
        <v>626</v>
      </c>
      <c r="F204" s="1" t="s">
        <v>112</v>
      </c>
      <c r="G204" s="1">
        <v>7368894</v>
      </c>
    </row>
    <row r="205" spans="1:10" x14ac:dyDescent="0.3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627</v>
      </c>
      <c r="D205" s="1" t="s">
        <v>628</v>
      </c>
      <c r="E205" s="1" t="s">
        <v>629</v>
      </c>
      <c r="F205" s="1" t="s">
        <v>112</v>
      </c>
      <c r="G205" s="1">
        <v>6546720</v>
      </c>
    </row>
    <row r="206" spans="1:10" x14ac:dyDescent="0.3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630</v>
      </c>
      <c r="D206" s="1" t="s">
        <v>631</v>
      </c>
      <c r="E206" s="1" t="s">
        <v>632</v>
      </c>
      <c r="F206" s="1" t="s">
        <v>112</v>
      </c>
      <c r="G206" s="1">
        <v>7210801</v>
      </c>
    </row>
    <row r="207" spans="1:10" x14ac:dyDescent="0.3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633</v>
      </c>
      <c r="D207" s="1" t="s">
        <v>634</v>
      </c>
      <c r="E207" s="1" t="s">
        <v>635</v>
      </c>
      <c r="F207" s="1" t="s">
        <v>112</v>
      </c>
      <c r="G207" s="1">
        <v>7190512</v>
      </c>
    </row>
    <row r="208" spans="1:10" x14ac:dyDescent="0.3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636</v>
      </c>
      <c r="D208" s="1" t="s">
        <v>637</v>
      </c>
      <c r="E208" s="1" t="s">
        <v>638</v>
      </c>
      <c r="F208" s="1" t="s">
        <v>112</v>
      </c>
      <c r="G208" s="1">
        <v>7308850</v>
      </c>
    </row>
    <row r="209" spans="1:7" x14ac:dyDescent="0.3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639</v>
      </c>
      <c r="D209" s="1" t="s">
        <v>640</v>
      </c>
      <c r="E209" s="1" t="s">
        <v>641</v>
      </c>
      <c r="F209" s="1" t="s">
        <v>112</v>
      </c>
      <c r="G209" s="1">
        <v>8361533</v>
      </c>
    </row>
    <row r="210" spans="1:7" x14ac:dyDescent="0.3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642</v>
      </c>
      <c r="D210" s="1" t="s">
        <v>643</v>
      </c>
      <c r="E210" s="1" t="s">
        <v>644</v>
      </c>
      <c r="F210" s="1" t="s">
        <v>112</v>
      </c>
      <c r="G210" s="1">
        <v>8109999</v>
      </c>
    </row>
    <row r="211" spans="1:7" x14ac:dyDescent="0.3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645</v>
      </c>
      <c r="D211" s="1" t="s">
        <v>646</v>
      </c>
      <c r="E211" s="1" t="s">
        <v>647</v>
      </c>
      <c r="F211" s="1" t="s">
        <v>112</v>
      </c>
      <c r="G211" s="1">
        <v>8150339</v>
      </c>
    </row>
    <row r="212" spans="1:7" x14ac:dyDescent="0.3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648</v>
      </c>
      <c r="D212" s="1" t="s">
        <v>649</v>
      </c>
      <c r="E212" s="1" t="s">
        <v>650</v>
      </c>
      <c r="F212" s="1" t="s">
        <v>112</v>
      </c>
      <c r="G212" s="1">
        <v>159456</v>
      </c>
    </row>
    <row r="213" spans="1:7" x14ac:dyDescent="0.3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651</v>
      </c>
      <c r="D213" s="1" t="s">
        <v>652</v>
      </c>
      <c r="E213" s="1" t="s">
        <v>653</v>
      </c>
      <c r="F213" s="1" t="s">
        <v>112</v>
      </c>
      <c r="G213" s="1">
        <v>886999</v>
      </c>
    </row>
    <row r="214" spans="1:7" x14ac:dyDescent="0.3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654</v>
      </c>
      <c r="D214" s="1" t="s">
        <v>655</v>
      </c>
      <c r="E214" s="1" t="s">
        <v>656</v>
      </c>
      <c r="F214" s="1" t="s">
        <v>112</v>
      </c>
      <c r="G214" s="1">
        <v>767905</v>
      </c>
    </row>
    <row r="215" spans="1:7" x14ac:dyDescent="0.3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657</v>
      </c>
      <c r="D215" s="1" t="s">
        <v>658</v>
      </c>
      <c r="E215" s="1" t="s">
        <v>659</v>
      </c>
      <c r="F215" s="1" t="s">
        <v>112</v>
      </c>
      <c r="G215" s="1">
        <v>2577635</v>
      </c>
    </row>
    <row r="216" spans="1:7" x14ac:dyDescent="0.3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660</v>
      </c>
      <c r="D216" s="1" t="s">
        <v>486</v>
      </c>
      <c r="E216" s="1" t="s">
        <v>661</v>
      </c>
      <c r="F216" s="1" t="s">
        <v>112</v>
      </c>
      <c r="G216" s="1">
        <v>2876343</v>
      </c>
    </row>
    <row r="217" spans="1:7" x14ac:dyDescent="0.3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662</v>
      </c>
      <c r="D217" s="1" t="s">
        <v>663</v>
      </c>
      <c r="E217" s="1" t="s">
        <v>664</v>
      </c>
      <c r="F217" s="1" t="s">
        <v>112</v>
      </c>
      <c r="G217" s="1">
        <v>2660953</v>
      </c>
    </row>
    <row r="218" spans="1:7" x14ac:dyDescent="0.3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665</v>
      </c>
      <c r="D218" s="1" t="s">
        <v>666</v>
      </c>
      <c r="E218" s="1" t="s">
        <v>667</v>
      </c>
      <c r="F218" s="1" t="s">
        <v>112</v>
      </c>
      <c r="G218" s="1">
        <v>6949469</v>
      </c>
    </row>
    <row r="219" spans="1:7" x14ac:dyDescent="0.3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668</v>
      </c>
      <c r="D219" s="1" t="s">
        <v>669</v>
      </c>
      <c r="E219" s="1" t="s">
        <v>670</v>
      </c>
      <c r="F219" s="1" t="s">
        <v>112</v>
      </c>
      <c r="G219" s="1">
        <v>6858364</v>
      </c>
    </row>
    <row r="220" spans="1:7" x14ac:dyDescent="0.3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671</v>
      </c>
      <c r="D220" s="1" t="s">
        <v>672</v>
      </c>
      <c r="E220" s="1" t="s">
        <v>673</v>
      </c>
      <c r="F220" s="1" t="s">
        <v>112</v>
      </c>
      <c r="G220" s="1">
        <v>7369283</v>
      </c>
    </row>
    <row r="221" spans="1:7" x14ac:dyDescent="0.3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674</v>
      </c>
      <c r="D221" s="1" t="s">
        <v>675</v>
      </c>
      <c r="E221" s="1" t="s">
        <v>676</v>
      </c>
      <c r="F221" s="1" t="s">
        <v>112</v>
      </c>
      <c r="G221" s="1">
        <v>6758325</v>
      </c>
    </row>
    <row r="222" spans="1:7" x14ac:dyDescent="0.3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677</v>
      </c>
      <c r="D222" s="1" t="s">
        <v>678</v>
      </c>
      <c r="E222" s="1" t="s">
        <v>679</v>
      </c>
      <c r="F222" s="1" t="s">
        <v>112</v>
      </c>
      <c r="G222" s="1">
        <v>7053595</v>
      </c>
    </row>
    <row r="223" spans="1:7" x14ac:dyDescent="0.3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680</v>
      </c>
      <c r="D223" s="1" t="s">
        <v>681</v>
      </c>
      <c r="E223" s="1" t="s">
        <v>682</v>
      </c>
      <c r="F223" s="1" t="s">
        <v>112</v>
      </c>
      <c r="G223" s="1">
        <v>6109256</v>
      </c>
    </row>
    <row r="224" spans="1:7"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234</v>
      </c>
      <c r="D225" s="1" t="s">
        <v>112</v>
      </c>
      <c r="E225" s="1" t="s">
        <v>235</v>
      </c>
      <c r="F225" s="1" t="s">
        <v>236</v>
      </c>
      <c r="G225" s="1" t="s">
        <v>237</v>
      </c>
      <c r="H225" s="1" t="s">
        <v>238</v>
      </c>
      <c r="I225" s="1" t="s">
        <v>239</v>
      </c>
      <c r="J225" s="1" t="s">
        <v>240</v>
      </c>
    </row>
    <row r="226" spans="1:10" x14ac:dyDescent="0.3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683</v>
      </c>
      <c r="D226" s="1" t="s">
        <v>112</v>
      </c>
      <c r="E226" s="1" t="s">
        <v>684</v>
      </c>
      <c r="F226" s="1" t="s">
        <v>685</v>
      </c>
      <c r="G226" s="1" t="s">
        <v>686</v>
      </c>
      <c r="H226" s="1" t="s">
        <v>687</v>
      </c>
      <c r="I226" s="1">
        <v>24</v>
      </c>
      <c r="J226" s="1">
        <v>24</v>
      </c>
    </row>
    <row r="227" spans="1:10"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246</v>
      </c>
      <c r="D232" s="1" t="s">
        <v>110</v>
      </c>
      <c r="E232" s="1" t="s">
        <v>111</v>
      </c>
      <c r="F232" s="1" t="s">
        <v>112</v>
      </c>
      <c r="G232" s="1" t="s">
        <v>113</v>
      </c>
    </row>
    <row r="233" spans="1:10" x14ac:dyDescent="0.35">
      <c r="A233" s="1" t="str">
        <f t="shared" si="3"/>
        <v>08 Cefuroxime ND 0.001</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688</v>
      </c>
      <c r="D233" s="1" t="s">
        <v>689</v>
      </c>
      <c r="E233" s="1" t="s">
        <v>690</v>
      </c>
      <c r="F233" s="1" t="s">
        <v>112</v>
      </c>
      <c r="G233" s="1">
        <v>166377</v>
      </c>
    </row>
    <row r="234" spans="1:10" x14ac:dyDescent="0.35">
      <c r="A234" s="1" t="str">
        <f t="shared" si="3"/>
        <v>08 Cefuroxime ND 0.001</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691</v>
      </c>
      <c r="D234" s="1" t="s">
        <v>692</v>
      </c>
      <c r="E234" s="1" t="s">
        <v>693</v>
      </c>
      <c r="F234" s="1" t="s">
        <v>112</v>
      </c>
      <c r="G234" s="1">
        <v>316770</v>
      </c>
    </row>
    <row r="235" spans="1:10" x14ac:dyDescent="0.35">
      <c r="A235" s="1" t="str">
        <f t="shared" si="3"/>
        <v>08 Cefuroxime ND 0.001</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694</v>
      </c>
      <c r="D235" s="1" t="s">
        <v>367</v>
      </c>
      <c r="E235" s="1" t="s">
        <v>695</v>
      </c>
      <c r="F235" s="1" t="s">
        <v>112</v>
      </c>
      <c r="G235" s="1">
        <v>110269</v>
      </c>
    </row>
    <row r="236" spans="1:10" x14ac:dyDescent="0.35">
      <c r="A236" s="1" t="str">
        <f t="shared" si="3"/>
        <v>08 Cefuroxime ND 0.001</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696</v>
      </c>
      <c r="D236" s="1" t="s">
        <v>307</v>
      </c>
      <c r="E236" s="1" t="s">
        <v>697</v>
      </c>
      <c r="F236" s="1" t="s">
        <v>112</v>
      </c>
      <c r="G236" s="1">
        <v>45617</v>
      </c>
    </row>
    <row r="237" spans="1:10" x14ac:dyDescent="0.35">
      <c r="A237" s="1" t="str">
        <f t="shared" si="3"/>
        <v>08 Cefuroxime ND 0.001</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698</v>
      </c>
      <c r="D237" s="1" t="s">
        <v>699</v>
      </c>
      <c r="E237" s="1" t="s">
        <v>700</v>
      </c>
      <c r="F237" s="1" t="s">
        <v>112</v>
      </c>
      <c r="G237" s="1">
        <v>293063</v>
      </c>
    </row>
    <row r="238" spans="1:10" x14ac:dyDescent="0.35">
      <c r="A238" s="1" t="str">
        <f t="shared" si="3"/>
        <v>08 Cefuroxime ND 0.001</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701</v>
      </c>
      <c r="D238" s="1" t="s">
        <v>248</v>
      </c>
      <c r="E238" s="1" t="s">
        <v>702</v>
      </c>
      <c r="F238" s="1" t="s">
        <v>112</v>
      </c>
      <c r="G238" s="1">
        <v>243293</v>
      </c>
    </row>
    <row r="239" spans="1:10" x14ac:dyDescent="0.35">
      <c r="A239" s="1" t="str">
        <f t="shared" si="3"/>
        <v>08 Cefuroxime ND 0.001</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703</v>
      </c>
      <c r="D239" s="1" t="s">
        <v>361</v>
      </c>
      <c r="E239" s="1" t="s">
        <v>704</v>
      </c>
      <c r="F239" s="1" t="s">
        <v>112</v>
      </c>
      <c r="G239" s="1">
        <v>82691</v>
      </c>
    </row>
    <row r="240" spans="1:10" x14ac:dyDescent="0.35">
      <c r="A240" s="1" t="str">
        <f t="shared" si="3"/>
        <v>08 Cefuroxime ND 0.001</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705</v>
      </c>
      <c r="D240" s="1" t="s">
        <v>187</v>
      </c>
      <c r="E240" s="1" t="s">
        <v>706</v>
      </c>
      <c r="F240" s="1" t="s">
        <v>112</v>
      </c>
      <c r="G240" s="1">
        <v>20613</v>
      </c>
    </row>
    <row r="241" spans="1:7" x14ac:dyDescent="0.35">
      <c r="A241" s="1" t="str">
        <f t="shared" si="3"/>
        <v>08 Cefuroxime ND 0.001</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707</v>
      </c>
      <c r="D241" s="1" t="s">
        <v>342</v>
      </c>
      <c r="E241" s="1" t="s">
        <v>708</v>
      </c>
      <c r="F241" s="1" t="s">
        <v>112</v>
      </c>
      <c r="G241" s="1">
        <v>111718</v>
      </c>
    </row>
    <row r="242" spans="1:7" x14ac:dyDescent="0.35">
      <c r="A242" s="1" t="str">
        <f t="shared" si="3"/>
        <v>08 Cefuroxime ND 0.001</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709</v>
      </c>
      <c r="D242" s="1" t="s">
        <v>710</v>
      </c>
      <c r="E242" s="1" t="s">
        <v>711</v>
      </c>
      <c r="F242" s="1" t="s">
        <v>112</v>
      </c>
      <c r="G242" s="1">
        <v>16417</v>
      </c>
    </row>
    <row r="243" spans="1:7" x14ac:dyDescent="0.35">
      <c r="A243" s="1" t="str">
        <f t="shared" si="3"/>
        <v>08 Cefuroxime ND 0.001</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712</v>
      </c>
      <c r="D243" s="1" t="s">
        <v>713</v>
      </c>
      <c r="E243" s="1" t="s">
        <v>714</v>
      </c>
      <c r="F243" s="1" t="s">
        <v>112</v>
      </c>
      <c r="G243" s="1">
        <v>38696</v>
      </c>
    </row>
    <row r="244" spans="1:7" x14ac:dyDescent="0.35">
      <c r="A244" s="1" t="str">
        <f t="shared" si="3"/>
        <v>08 Cefuroxime ND 0.001</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715</v>
      </c>
      <c r="D244" s="1" t="s">
        <v>716</v>
      </c>
      <c r="E244" s="1" t="s">
        <v>717</v>
      </c>
      <c r="F244" s="1" t="s">
        <v>112</v>
      </c>
      <c r="G244" s="1">
        <v>415835</v>
      </c>
    </row>
    <row r="245" spans="1:7" x14ac:dyDescent="0.35">
      <c r="A245" s="1" t="str">
        <f t="shared" si="3"/>
        <v>08 Cefuroxime ND 0.001</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718</v>
      </c>
      <c r="D245" s="1" t="s">
        <v>719</v>
      </c>
      <c r="E245" s="1" t="s">
        <v>720</v>
      </c>
      <c r="F245" s="1" t="s">
        <v>112</v>
      </c>
      <c r="G245" s="1">
        <v>360830</v>
      </c>
    </row>
    <row r="246" spans="1:7" x14ac:dyDescent="0.35">
      <c r="A246" s="1" t="str">
        <f t="shared" si="3"/>
        <v>08 Cefuroxime ND 0.001</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721</v>
      </c>
      <c r="D246" s="1" t="s">
        <v>367</v>
      </c>
      <c r="E246" s="1" t="s">
        <v>722</v>
      </c>
      <c r="F246" s="1" t="s">
        <v>112</v>
      </c>
      <c r="G246" s="1">
        <v>112886</v>
      </c>
    </row>
    <row r="247" spans="1:7" x14ac:dyDescent="0.35">
      <c r="A247" s="1" t="str">
        <f t="shared" si="3"/>
        <v>08 Cefuroxime ND 0.001</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723</v>
      </c>
      <c r="D247" s="1" t="s">
        <v>724</v>
      </c>
      <c r="E247" s="1" t="s">
        <v>725</v>
      </c>
      <c r="F247" s="1" t="s">
        <v>112</v>
      </c>
      <c r="G247" s="1">
        <v>255168</v>
      </c>
    </row>
    <row r="248" spans="1:7" x14ac:dyDescent="0.35">
      <c r="A248" s="1" t="str">
        <f t="shared" si="3"/>
        <v>08 Cefuroxime ND 0.001</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726</v>
      </c>
      <c r="D248" s="1" t="s">
        <v>727</v>
      </c>
      <c r="E248" s="1" t="s">
        <v>728</v>
      </c>
      <c r="F248" s="1" t="s">
        <v>112</v>
      </c>
      <c r="G248" s="1">
        <v>582969</v>
      </c>
    </row>
    <row r="249" spans="1:7" x14ac:dyDescent="0.35">
      <c r="A249" s="1" t="str">
        <f t="shared" si="3"/>
        <v>08 Cefuroxime ND 0.001</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729</v>
      </c>
      <c r="D249" s="1" t="s">
        <v>730</v>
      </c>
      <c r="E249" s="1" t="s">
        <v>731</v>
      </c>
      <c r="F249" s="1" t="s">
        <v>112</v>
      </c>
      <c r="G249" s="1">
        <v>176824</v>
      </c>
    </row>
    <row r="250" spans="1:7" x14ac:dyDescent="0.35">
      <c r="A250" s="1" t="str">
        <f t="shared" si="3"/>
        <v>08 Cefuroxime ND 0.001</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732</v>
      </c>
      <c r="D250" s="1" t="s">
        <v>733</v>
      </c>
      <c r="E250" s="1" t="s">
        <v>734</v>
      </c>
      <c r="F250" s="1" t="s">
        <v>112</v>
      </c>
      <c r="G250" s="1">
        <v>195123</v>
      </c>
    </row>
    <row r="251" spans="1:7" x14ac:dyDescent="0.35">
      <c r="A251" s="1" t="str">
        <f t="shared" si="3"/>
        <v>08 Cefuroxime ND 0.001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735</v>
      </c>
      <c r="D251" s="1" t="s">
        <v>736</v>
      </c>
      <c r="E251" s="1" t="s">
        <v>737</v>
      </c>
      <c r="F251" s="1" t="s">
        <v>112</v>
      </c>
      <c r="G251" s="1">
        <v>206522</v>
      </c>
    </row>
    <row r="252" spans="1:7" x14ac:dyDescent="0.35">
      <c r="A252" s="1" t="str">
        <f t="shared" si="3"/>
        <v>08 Cefuroxime ND 0.001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738</v>
      </c>
      <c r="D252" s="1" t="s">
        <v>739</v>
      </c>
      <c r="E252" s="1" t="s">
        <v>740</v>
      </c>
      <c r="F252" s="1" t="s">
        <v>112</v>
      </c>
      <c r="G252" s="1">
        <v>32618</v>
      </c>
    </row>
    <row r="253" spans="1:7" x14ac:dyDescent="0.35">
      <c r="A253" s="1" t="str">
        <f t="shared" si="3"/>
        <v>08 Cefuroxime ND 0.001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741</v>
      </c>
      <c r="D253" s="1" t="s">
        <v>742</v>
      </c>
      <c r="E253" s="1" t="s">
        <v>743</v>
      </c>
      <c r="F253" s="1" t="s">
        <v>112</v>
      </c>
      <c r="G253" s="1">
        <v>146672</v>
      </c>
    </row>
    <row r="254" spans="1:7" x14ac:dyDescent="0.35">
      <c r="A254" s="1" t="str">
        <f t="shared" si="3"/>
        <v>08 Cefuroxime ND 0.001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744</v>
      </c>
      <c r="D254" s="1" t="s">
        <v>745</v>
      </c>
      <c r="E254" s="1" t="s">
        <v>746</v>
      </c>
      <c r="F254" s="1" t="s">
        <v>112</v>
      </c>
      <c r="G254" s="1">
        <v>38847</v>
      </c>
    </row>
    <row r="255" spans="1:7" x14ac:dyDescent="0.35">
      <c r="A255" s="1" t="str">
        <f t="shared" si="3"/>
        <v>08 Cefuroxime ND 0.001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747</v>
      </c>
      <c r="D255" s="1" t="s">
        <v>748</v>
      </c>
      <c r="E255" s="1" t="s">
        <v>749</v>
      </c>
      <c r="F255" s="1" t="s">
        <v>112</v>
      </c>
      <c r="G255" s="1">
        <v>110572</v>
      </c>
    </row>
    <row r="256" spans="1:7" x14ac:dyDescent="0.35">
      <c r="A256" s="1" t="str">
        <f t="shared" si="3"/>
        <v>08 Cefuroxime ND 0.001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750</v>
      </c>
      <c r="D256" s="1" t="s">
        <v>751</v>
      </c>
      <c r="E256" s="1" t="s">
        <v>752</v>
      </c>
      <c r="F256" s="1" t="s">
        <v>112</v>
      </c>
      <c r="G256" s="1">
        <v>9820</v>
      </c>
    </row>
    <row r="257" spans="1:10"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234</v>
      </c>
      <c r="D258" s="1" t="s">
        <v>112</v>
      </c>
      <c r="E258" s="1" t="s">
        <v>235</v>
      </c>
      <c r="F258" s="1" t="s">
        <v>236</v>
      </c>
      <c r="G258" s="1" t="s">
        <v>237</v>
      </c>
      <c r="H258" s="1" t="s">
        <v>238</v>
      </c>
      <c r="I258" s="1" t="s">
        <v>239</v>
      </c>
      <c r="J258" s="1" t="s">
        <v>240</v>
      </c>
    </row>
    <row r="259" spans="1:10" x14ac:dyDescent="0.35">
      <c r="A259" s="1" t="str">
        <f t="shared" si="4"/>
        <v>08 Cefuroxime ND 0.001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753</v>
      </c>
      <c r="D259" s="1" t="s">
        <v>112</v>
      </c>
      <c r="E259" s="1" t="s">
        <v>754</v>
      </c>
      <c r="F259" s="1" t="s">
        <v>755</v>
      </c>
      <c r="G259" s="1" t="s">
        <v>756</v>
      </c>
      <c r="H259" s="1" t="s">
        <v>757</v>
      </c>
      <c r="I259" s="1">
        <v>24</v>
      </c>
      <c r="J259" s="1">
        <v>24</v>
      </c>
    </row>
    <row r="260" spans="1:10"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246</v>
      </c>
      <c r="D265" s="1" t="s">
        <v>110</v>
      </c>
      <c r="E265" s="1" t="s">
        <v>111</v>
      </c>
      <c r="F265" s="1" t="s">
        <v>112</v>
      </c>
      <c r="G265" s="1" t="s">
        <v>113</v>
      </c>
    </row>
    <row r="266" spans="1:10" x14ac:dyDescent="0.35">
      <c r="A266" s="1" t="str">
        <f t="shared" si="4"/>
        <v>09 Cefuroxime ND 0.01</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758</v>
      </c>
      <c r="D266" s="1" t="s">
        <v>759</v>
      </c>
      <c r="E266" s="1" t="s">
        <v>760</v>
      </c>
      <c r="F266" s="1" t="s">
        <v>112</v>
      </c>
      <c r="G266" s="1">
        <v>635703</v>
      </c>
    </row>
    <row r="267" spans="1:10" x14ac:dyDescent="0.35">
      <c r="A267" s="1" t="str">
        <f t="shared" si="4"/>
        <v>09 Cefuroxime ND 0.01</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761</v>
      </c>
      <c r="D267" s="1" t="s">
        <v>762</v>
      </c>
      <c r="E267" s="1" t="s">
        <v>763</v>
      </c>
      <c r="F267" s="1" t="s">
        <v>112</v>
      </c>
      <c r="G267" s="1">
        <v>41097</v>
      </c>
    </row>
    <row r="268" spans="1:10" x14ac:dyDescent="0.35">
      <c r="A268" s="1" t="str">
        <f t="shared" si="4"/>
        <v>09 Cefuroxime ND 0.01</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764</v>
      </c>
      <c r="D268" s="1" t="s">
        <v>765</v>
      </c>
      <c r="E268" s="1" t="s">
        <v>766</v>
      </c>
      <c r="F268" s="1" t="s">
        <v>112</v>
      </c>
      <c r="G268" s="1">
        <v>238924</v>
      </c>
    </row>
    <row r="269" spans="1:10" x14ac:dyDescent="0.35">
      <c r="A269" s="1" t="str">
        <f t="shared" si="4"/>
        <v>09 Cefuroxime ND 0.01</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767</v>
      </c>
      <c r="D269" s="1" t="s">
        <v>768</v>
      </c>
      <c r="E269" s="1" t="s">
        <v>769</v>
      </c>
      <c r="F269" s="1" t="s">
        <v>112</v>
      </c>
      <c r="G269" s="1">
        <v>455937</v>
      </c>
    </row>
    <row r="270" spans="1:10" x14ac:dyDescent="0.35">
      <c r="A270" s="1" t="str">
        <f t="shared" si="4"/>
        <v>09 Cefuroxime ND 0.01</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770</v>
      </c>
      <c r="D270" s="1" t="s">
        <v>771</v>
      </c>
      <c r="E270" s="1" t="s">
        <v>772</v>
      </c>
      <c r="F270" s="1" t="s">
        <v>112</v>
      </c>
      <c r="G270" s="1">
        <v>377117</v>
      </c>
    </row>
    <row r="271" spans="1:10" x14ac:dyDescent="0.35">
      <c r="A271" s="1" t="str">
        <f t="shared" si="4"/>
        <v>09 Cefuroxime ND 0.01</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773</v>
      </c>
      <c r="D271" s="1" t="s">
        <v>774</v>
      </c>
      <c r="E271" s="1" t="s">
        <v>775</v>
      </c>
      <c r="F271" s="1" t="s">
        <v>112</v>
      </c>
      <c r="G271" s="1">
        <v>123615</v>
      </c>
    </row>
    <row r="272" spans="1:10" x14ac:dyDescent="0.35">
      <c r="A272" s="1" t="str">
        <f t="shared" si="4"/>
        <v>09 Cefuroxime ND 0.01</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776</v>
      </c>
      <c r="D272" s="1" t="s">
        <v>777</v>
      </c>
      <c r="E272" s="1" t="s">
        <v>778</v>
      </c>
      <c r="F272" s="1" t="s">
        <v>112</v>
      </c>
      <c r="G272" s="1">
        <v>396800</v>
      </c>
    </row>
    <row r="273" spans="1:7" x14ac:dyDescent="0.35">
      <c r="A273" s="1" t="str">
        <f t="shared" si="4"/>
        <v>09 Cefuroxime ND 0.01</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779</v>
      </c>
      <c r="D273" s="1" t="s">
        <v>780</v>
      </c>
      <c r="E273" s="1" t="s">
        <v>781</v>
      </c>
      <c r="F273" s="1" t="s">
        <v>112</v>
      </c>
      <c r="G273" s="1">
        <v>89353</v>
      </c>
    </row>
    <row r="274" spans="1:7" x14ac:dyDescent="0.35">
      <c r="A274" s="1" t="str">
        <f t="shared" si="4"/>
        <v>09 Cefuroxime ND 0.01</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782</v>
      </c>
      <c r="D274" s="1" t="s">
        <v>783</v>
      </c>
      <c r="E274" s="1" t="s">
        <v>784</v>
      </c>
      <c r="F274" s="1" t="s">
        <v>112</v>
      </c>
      <c r="G274" s="1">
        <v>240979</v>
      </c>
    </row>
    <row r="275" spans="1:7" x14ac:dyDescent="0.35">
      <c r="A275" s="1" t="str">
        <f t="shared" si="4"/>
        <v>09 Cefuroxime ND 0.01</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785</v>
      </c>
      <c r="D275" s="1" t="s">
        <v>170</v>
      </c>
      <c r="E275" s="1" t="s">
        <v>786</v>
      </c>
      <c r="F275" s="1" t="s">
        <v>112</v>
      </c>
      <c r="G275" s="1">
        <v>35257</v>
      </c>
    </row>
    <row r="276" spans="1:7" x14ac:dyDescent="0.35">
      <c r="A276" s="1" t="str">
        <f t="shared" si="4"/>
        <v>09 Cefuroxime ND 0.01</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787</v>
      </c>
      <c r="D276" s="1" t="s">
        <v>307</v>
      </c>
      <c r="E276" s="1" t="s">
        <v>788</v>
      </c>
      <c r="F276" s="1" t="s">
        <v>112</v>
      </c>
      <c r="G276" s="1">
        <v>48602</v>
      </c>
    </row>
    <row r="277" spans="1:7" x14ac:dyDescent="0.35">
      <c r="A277" s="1" t="str">
        <f t="shared" si="4"/>
        <v>09 Cefuroxime ND 0.01</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789</v>
      </c>
      <c r="D277" s="1" t="s">
        <v>307</v>
      </c>
      <c r="E277" s="1" t="s">
        <v>790</v>
      </c>
      <c r="F277" s="1" t="s">
        <v>112</v>
      </c>
      <c r="G277" s="1">
        <v>44860</v>
      </c>
    </row>
    <row r="278" spans="1:7" x14ac:dyDescent="0.35">
      <c r="A278" s="1" t="str">
        <f t="shared" si="4"/>
        <v>09 Cefuroxime ND 0.01</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791</v>
      </c>
      <c r="D278" s="1" t="s">
        <v>792</v>
      </c>
      <c r="E278" s="1" t="s">
        <v>793</v>
      </c>
      <c r="F278" s="1" t="s">
        <v>112</v>
      </c>
      <c r="G278" s="1">
        <v>638947</v>
      </c>
    </row>
    <row r="279" spans="1:7" x14ac:dyDescent="0.35">
      <c r="A279" s="1" t="str">
        <f t="shared" si="4"/>
        <v>09 Cefuroxime ND 0.01</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794</v>
      </c>
      <c r="D279" s="1" t="s">
        <v>795</v>
      </c>
      <c r="E279" s="1" t="s">
        <v>796</v>
      </c>
      <c r="F279" s="1" t="s">
        <v>112</v>
      </c>
      <c r="G279" s="1">
        <v>184243</v>
      </c>
    </row>
    <row r="280" spans="1:7" x14ac:dyDescent="0.35">
      <c r="A280" s="1" t="str">
        <f t="shared" si="4"/>
        <v>09 Cefuroxime ND 0.01</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797</v>
      </c>
      <c r="D280" s="1" t="s">
        <v>798</v>
      </c>
      <c r="E280" s="1" t="s">
        <v>799</v>
      </c>
      <c r="F280" s="1" t="s">
        <v>112</v>
      </c>
      <c r="G280" s="1">
        <v>278096</v>
      </c>
    </row>
    <row r="281" spans="1:7" x14ac:dyDescent="0.35">
      <c r="A281" s="1" t="str">
        <f t="shared" si="4"/>
        <v>09 Cefuroxime ND 0.01</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800</v>
      </c>
      <c r="D281" s="1" t="s">
        <v>195</v>
      </c>
      <c r="E281" s="1" t="s">
        <v>801</v>
      </c>
      <c r="F281" s="1" t="s">
        <v>112</v>
      </c>
      <c r="G281" s="1">
        <v>85287</v>
      </c>
    </row>
    <row r="282" spans="1:7" x14ac:dyDescent="0.35">
      <c r="A282" s="1" t="str">
        <f t="shared" si="4"/>
        <v>09 Cefuroxime ND 0.01</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802</v>
      </c>
      <c r="D282" s="1" t="s">
        <v>803</v>
      </c>
      <c r="E282" s="1" t="s">
        <v>804</v>
      </c>
      <c r="F282" s="1" t="s">
        <v>112</v>
      </c>
      <c r="G282" s="1">
        <v>35192</v>
      </c>
    </row>
    <row r="283" spans="1:7" x14ac:dyDescent="0.35">
      <c r="A283" s="1" t="str">
        <f t="shared" si="4"/>
        <v>09 Cefuroxime ND 0.01</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805</v>
      </c>
      <c r="D283" s="1" t="s">
        <v>806</v>
      </c>
      <c r="E283" s="1" t="s">
        <v>807</v>
      </c>
      <c r="F283" s="1" t="s">
        <v>112</v>
      </c>
      <c r="G283" s="1">
        <v>13908</v>
      </c>
    </row>
    <row r="284" spans="1:7" x14ac:dyDescent="0.35">
      <c r="A284" s="1" t="str">
        <f t="shared" si="4"/>
        <v>09 Cefuroxime ND 0.01</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808</v>
      </c>
      <c r="D284" s="1" t="s">
        <v>809</v>
      </c>
      <c r="E284" s="1" t="s">
        <v>810</v>
      </c>
      <c r="F284" s="1" t="s">
        <v>112</v>
      </c>
      <c r="G284" s="1">
        <v>49727</v>
      </c>
    </row>
    <row r="285" spans="1:7" x14ac:dyDescent="0.35">
      <c r="A285" s="1" t="str">
        <f t="shared" si="4"/>
        <v>09 Cefuroxime ND 0.01</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811</v>
      </c>
      <c r="D285" s="1" t="s">
        <v>812</v>
      </c>
      <c r="E285" s="1" t="s">
        <v>813</v>
      </c>
      <c r="F285" s="1" t="s">
        <v>112</v>
      </c>
      <c r="G285" s="1">
        <v>109253</v>
      </c>
    </row>
    <row r="286" spans="1:7" x14ac:dyDescent="0.35">
      <c r="A286" s="1" t="str">
        <f t="shared" si="4"/>
        <v>09 Cefuroxime ND 0.01</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814</v>
      </c>
      <c r="D286" s="1" t="s">
        <v>815</v>
      </c>
      <c r="E286" s="1" t="s">
        <v>816</v>
      </c>
      <c r="F286" s="1" t="s">
        <v>112</v>
      </c>
      <c r="G286" s="1">
        <v>541807</v>
      </c>
    </row>
    <row r="287" spans="1:7" x14ac:dyDescent="0.35">
      <c r="A287" s="1" t="str">
        <f t="shared" si="4"/>
        <v>09 Cefuroxime ND 0.01</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817</v>
      </c>
      <c r="D287" s="1" t="s">
        <v>818</v>
      </c>
      <c r="E287" s="1" t="s">
        <v>819</v>
      </c>
      <c r="F287" s="1" t="s">
        <v>112</v>
      </c>
      <c r="G287" s="1">
        <v>8263</v>
      </c>
    </row>
    <row r="288" spans="1:7" x14ac:dyDescent="0.35">
      <c r="A288" s="1" t="str">
        <f t="shared" si="4"/>
        <v>09 Cefuroxime ND 0.01</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820</v>
      </c>
      <c r="D288" s="1" t="s">
        <v>751</v>
      </c>
      <c r="E288" s="1" t="s">
        <v>821</v>
      </c>
      <c r="F288" s="1" t="s">
        <v>112</v>
      </c>
      <c r="G288" s="1">
        <v>9885</v>
      </c>
    </row>
    <row r="289" spans="1:10" x14ac:dyDescent="0.35">
      <c r="A289" s="1" t="str">
        <f t="shared" si="4"/>
        <v>09 Cefuroxime ND 0.01</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822</v>
      </c>
    </row>
    <row r="290" spans="1:10"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234</v>
      </c>
      <c r="D291" s="1" t="s">
        <v>112</v>
      </c>
      <c r="E291" s="1" t="s">
        <v>235</v>
      </c>
      <c r="F291" s="1" t="s">
        <v>236</v>
      </c>
      <c r="G291" s="1" t="s">
        <v>237</v>
      </c>
      <c r="H291" s="1" t="s">
        <v>238</v>
      </c>
      <c r="I291" s="1" t="s">
        <v>239</v>
      </c>
      <c r="J291" s="1" t="s">
        <v>240</v>
      </c>
    </row>
    <row r="292" spans="1:10" x14ac:dyDescent="0.35">
      <c r="A292" s="1" t="str">
        <f t="shared" si="4"/>
        <v>09 Cefuroxime ND 0.01</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823</v>
      </c>
      <c r="D292" s="1" t="s">
        <v>112</v>
      </c>
      <c r="E292" s="1" t="s">
        <v>824</v>
      </c>
      <c r="F292" s="1" t="s">
        <v>825</v>
      </c>
      <c r="G292" s="1" t="s">
        <v>826</v>
      </c>
      <c r="H292" s="1" t="s">
        <v>827</v>
      </c>
      <c r="I292" s="1">
        <v>24</v>
      </c>
      <c r="J292" s="1">
        <v>24</v>
      </c>
    </row>
    <row r="293" spans="1:10"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246</v>
      </c>
      <c r="D298" s="1" t="s">
        <v>110</v>
      </c>
      <c r="E298" s="1" t="s">
        <v>111</v>
      </c>
      <c r="F298" s="1" t="s">
        <v>112</v>
      </c>
      <c r="G298" s="1" t="s">
        <v>113</v>
      </c>
    </row>
    <row r="299" spans="1:10" x14ac:dyDescent="0.35">
      <c r="A299" s="1" t="str">
        <f t="shared" si="4"/>
        <v>10 Cefuroxime ND 0.1</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828</v>
      </c>
      <c r="D299" s="1" t="s">
        <v>598</v>
      </c>
      <c r="E299" s="1" t="s">
        <v>829</v>
      </c>
      <c r="F299" s="1" t="s">
        <v>112</v>
      </c>
      <c r="G299" s="1">
        <v>14925</v>
      </c>
    </row>
    <row r="300" spans="1:10" x14ac:dyDescent="0.35">
      <c r="A300" s="1" t="str">
        <f t="shared" si="4"/>
        <v>10 Cefuroxime ND 0.1</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830</v>
      </c>
      <c r="D300" s="1" t="s">
        <v>831</v>
      </c>
      <c r="E300" s="1" t="s">
        <v>832</v>
      </c>
      <c r="F300" s="1" t="s">
        <v>112</v>
      </c>
      <c r="G300" s="1">
        <v>143320</v>
      </c>
    </row>
    <row r="301" spans="1:10" x14ac:dyDescent="0.35">
      <c r="A301" s="1" t="str">
        <f t="shared" si="4"/>
        <v>10 Cefuroxime ND 0.1</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833</v>
      </c>
      <c r="D301" s="1" t="s">
        <v>190</v>
      </c>
      <c r="E301" s="1" t="s">
        <v>834</v>
      </c>
      <c r="F301" s="1" t="s">
        <v>112</v>
      </c>
      <c r="G301" s="1">
        <v>19402</v>
      </c>
    </row>
    <row r="302" spans="1:10" x14ac:dyDescent="0.35">
      <c r="A302" s="1" t="str">
        <f t="shared" si="4"/>
        <v>10 Cefuroxime ND 0.1</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835</v>
      </c>
      <c r="D302" s="1" t="s">
        <v>836</v>
      </c>
      <c r="E302" s="1" t="s">
        <v>837</v>
      </c>
      <c r="F302" s="1" t="s">
        <v>112</v>
      </c>
      <c r="G302" s="1">
        <v>107198</v>
      </c>
    </row>
    <row r="303" spans="1:10" x14ac:dyDescent="0.35">
      <c r="A303" s="1" t="str">
        <f t="shared" si="4"/>
        <v>10 Cefuroxime ND 0.1</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838</v>
      </c>
      <c r="D303" s="1" t="s">
        <v>839</v>
      </c>
      <c r="E303" s="1" t="s">
        <v>596</v>
      </c>
      <c r="F303" s="1" t="s">
        <v>112</v>
      </c>
      <c r="G303" s="1">
        <v>67226</v>
      </c>
    </row>
    <row r="304" spans="1:10" x14ac:dyDescent="0.35">
      <c r="A304" s="1" t="str">
        <f t="shared" si="4"/>
        <v>10 Cefuroxime ND 0.1</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840</v>
      </c>
      <c r="D304" s="1" t="s">
        <v>342</v>
      </c>
      <c r="E304" s="1" t="s">
        <v>841</v>
      </c>
      <c r="F304" s="1" t="s">
        <v>112</v>
      </c>
      <c r="G304" s="1">
        <v>108041</v>
      </c>
    </row>
    <row r="305" spans="1:7" x14ac:dyDescent="0.35">
      <c r="A305" s="1" t="str">
        <f t="shared" si="4"/>
        <v>10 Cefuroxime ND 0.1</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842</v>
      </c>
      <c r="D305" s="1" t="s">
        <v>843</v>
      </c>
      <c r="E305" s="1" t="s">
        <v>844</v>
      </c>
      <c r="F305" s="1" t="s">
        <v>112</v>
      </c>
      <c r="G305" s="1">
        <v>776816</v>
      </c>
    </row>
    <row r="306" spans="1:7" x14ac:dyDescent="0.35">
      <c r="A306" s="1" t="str">
        <f t="shared" si="4"/>
        <v>10 Cefuroxime ND 0.1</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845</v>
      </c>
      <c r="D306" s="1" t="s">
        <v>291</v>
      </c>
      <c r="E306" s="1" t="s">
        <v>846</v>
      </c>
      <c r="F306" s="1" t="s">
        <v>112</v>
      </c>
      <c r="G306" s="1">
        <v>447825</v>
      </c>
    </row>
    <row r="307" spans="1:7" x14ac:dyDescent="0.35">
      <c r="A307" s="1" t="str">
        <f t="shared" si="4"/>
        <v>10 Cefuroxime ND 0.1</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847</v>
      </c>
      <c r="D307" s="1" t="s">
        <v>848</v>
      </c>
      <c r="E307" s="1" t="s">
        <v>849</v>
      </c>
      <c r="F307" s="1" t="s">
        <v>112</v>
      </c>
      <c r="G307" s="1">
        <v>420377</v>
      </c>
    </row>
    <row r="308" spans="1:7" x14ac:dyDescent="0.35">
      <c r="A308" s="1" t="str">
        <f t="shared" si="4"/>
        <v>10 Cefuroxime ND 0.1</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850</v>
      </c>
      <c r="D308" s="1" t="s">
        <v>851</v>
      </c>
      <c r="E308" s="1" t="s">
        <v>852</v>
      </c>
      <c r="F308" s="1" t="s">
        <v>112</v>
      </c>
      <c r="G308" s="1">
        <v>377593</v>
      </c>
    </row>
    <row r="309" spans="1:7" x14ac:dyDescent="0.35">
      <c r="A309" s="1" t="str">
        <f t="shared" si="4"/>
        <v>10 Cefuroxime ND 0.1</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853</v>
      </c>
      <c r="D309" s="1" t="s">
        <v>854</v>
      </c>
      <c r="E309" s="1" t="s">
        <v>855</v>
      </c>
      <c r="F309" s="1" t="s">
        <v>112</v>
      </c>
      <c r="G309" s="1">
        <v>162808</v>
      </c>
    </row>
    <row r="310" spans="1:7" x14ac:dyDescent="0.35">
      <c r="A310" s="1" t="str">
        <f t="shared" si="4"/>
        <v>10 Cefuroxime ND 0.1</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856</v>
      </c>
      <c r="D310" s="1" t="s">
        <v>724</v>
      </c>
      <c r="E310" s="1" t="s">
        <v>857</v>
      </c>
      <c r="F310" s="1" t="s">
        <v>112</v>
      </c>
      <c r="G310" s="1">
        <v>253784</v>
      </c>
    </row>
    <row r="311" spans="1:7" x14ac:dyDescent="0.35">
      <c r="A311" s="1" t="str">
        <f t="shared" si="4"/>
        <v>10 Cefuroxime ND 0.1</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858</v>
      </c>
      <c r="D311" s="1" t="s">
        <v>859</v>
      </c>
      <c r="E311" s="1" t="s">
        <v>860</v>
      </c>
      <c r="F311" s="1" t="s">
        <v>112</v>
      </c>
      <c r="G311" s="1">
        <v>411098</v>
      </c>
    </row>
    <row r="312" spans="1:7" x14ac:dyDescent="0.35">
      <c r="A312" s="1" t="str">
        <f t="shared" si="4"/>
        <v>10 Cefuroxime ND 0.1</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861</v>
      </c>
      <c r="D312" s="1" t="s">
        <v>862</v>
      </c>
      <c r="E312" s="1" t="s">
        <v>863</v>
      </c>
      <c r="F312" s="1" t="s">
        <v>112</v>
      </c>
      <c r="G312" s="1">
        <v>207647</v>
      </c>
    </row>
    <row r="313" spans="1:7" x14ac:dyDescent="0.35">
      <c r="A313" s="1" t="str">
        <f t="shared" si="4"/>
        <v>10 Cefuroxime ND 0.1</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864</v>
      </c>
      <c r="D313" s="1" t="s">
        <v>865</v>
      </c>
      <c r="E313" s="1" t="s">
        <v>866</v>
      </c>
      <c r="F313" s="1" t="s">
        <v>112</v>
      </c>
      <c r="G313" s="1">
        <v>116023</v>
      </c>
    </row>
    <row r="314" spans="1:7" x14ac:dyDescent="0.35">
      <c r="A314" s="1" t="str">
        <f t="shared" si="4"/>
        <v>10 Cefuroxime ND 0.1</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867</v>
      </c>
      <c r="D314" s="1" t="s">
        <v>868</v>
      </c>
      <c r="E314" s="1" t="s">
        <v>869</v>
      </c>
      <c r="F314" s="1" t="s">
        <v>112</v>
      </c>
      <c r="G314" s="1">
        <v>434588</v>
      </c>
    </row>
    <row r="315" spans="1:7" x14ac:dyDescent="0.35">
      <c r="A315" s="1" t="str">
        <f t="shared" si="4"/>
        <v>10 Cefuroxime ND 0.1</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870</v>
      </c>
      <c r="D315" s="1" t="s">
        <v>871</v>
      </c>
      <c r="E315" s="1" t="s">
        <v>185</v>
      </c>
      <c r="F315" s="1" t="s">
        <v>112</v>
      </c>
      <c r="G315" s="1">
        <v>212470</v>
      </c>
    </row>
    <row r="316" spans="1:7" x14ac:dyDescent="0.35">
      <c r="A316" s="1" t="str">
        <f t="shared" si="4"/>
        <v>10 Cefuroxime ND 0.1</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872</v>
      </c>
      <c r="D316" s="1" t="s">
        <v>873</v>
      </c>
      <c r="E316" s="1" t="s">
        <v>874</v>
      </c>
      <c r="F316" s="1" t="s">
        <v>112</v>
      </c>
      <c r="G316" s="1">
        <v>313028</v>
      </c>
    </row>
    <row r="317" spans="1:7" x14ac:dyDescent="0.35">
      <c r="A317" s="1" t="str">
        <f t="shared" si="4"/>
        <v>10 Cefuroxime ND 0.1</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875</v>
      </c>
      <c r="D317" s="1" t="s">
        <v>418</v>
      </c>
      <c r="E317" s="1" t="s">
        <v>876</v>
      </c>
      <c r="F317" s="1" t="s">
        <v>112</v>
      </c>
      <c r="G317" s="1">
        <v>65236</v>
      </c>
    </row>
    <row r="318" spans="1:7" x14ac:dyDescent="0.35">
      <c r="A318" s="1" t="str">
        <f t="shared" si="4"/>
        <v>10 Cefuroxime ND 0.1</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877</v>
      </c>
      <c r="D318" s="1" t="s">
        <v>878</v>
      </c>
      <c r="E318" s="1" t="s">
        <v>879</v>
      </c>
      <c r="F318" s="1" t="s">
        <v>112</v>
      </c>
      <c r="G318" s="1">
        <v>554915</v>
      </c>
    </row>
    <row r="319" spans="1:7" x14ac:dyDescent="0.35">
      <c r="A319" s="1" t="str">
        <f t="shared" si="4"/>
        <v>10 Cefuroxime ND 0.1</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880</v>
      </c>
      <c r="D319" s="1" t="s">
        <v>881</v>
      </c>
      <c r="E319" s="1" t="s">
        <v>882</v>
      </c>
      <c r="F319" s="1" t="s">
        <v>112</v>
      </c>
      <c r="G319" s="1">
        <v>732540</v>
      </c>
    </row>
    <row r="320" spans="1:7" x14ac:dyDescent="0.35">
      <c r="A320" s="1" t="str">
        <f t="shared" si="4"/>
        <v>10 Cefuroxime ND 0.1</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883</v>
      </c>
      <c r="D320" s="1" t="s">
        <v>884</v>
      </c>
      <c r="E320" s="1" t="s">
        <v>885</v>
      </c>
      <c r="F320" s="1" t="s">
        <v>112</v>
      </c>
      <c r="G320" s="1">
        <v>186644</v>
      </c>
    </row>
    <row r="321" spans="1:10" x14ac:dyDescent="0.35">
      <c r="A321" s="1" t="str">
        <f t="shared" si="4"/>
        <v>10 Cefuroxime ND 0.1</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886</v>
      </c>
      <c r="D321" s="1" t="s">
        <v>887</v>
      </c>
      <c r="E321" s="1" t="s">
        <v>888</v>
      </c>
      <c r="F321" s="1" t="s">
        <v>112</v>
      </c>
      <c r="G321" s="1">
        <v>146499</v>
      </c>
    </row>
    <row r="322" spans="1:10" x14ac:dyDescent="0.35">
      <c r="A322" s="1" t="str">
        <f t="shared" ref="A322:A385" si="5">IFERROR(LEFT(RIGHT(C322,LEN(C322)-SEARCH("@",C322)),SEARCH("/",RIGHT(C322,LEN(C322)-SEARCH("@",C322)-1))),"")</f>
        <v>10 Cefuroxime ND 0.1</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889</v>
      </c>
      <c r="D322" s="1" t="s">
        <v>765</v>
      </c>
      <c r="E322" s="1" t="s">
        <v>890</v>
      </c>
      <c r="F322" s="1" t="s">
        <v>112</v>
      </c>
      <c r="G322" s="1">
        <v>238945</v>
      </c>
    </row>
    <row r="323" spans="1:10"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234</v>
      </c>
      <c r="D324" s="1" t="s">
        <v>112</v>
      </c>
      <c r="E324" s="1" t="s">
        <v>235</v>
      </c>
      <c r="F324" s="1" t="s">
        <v>236</v>
      </c>
      <c r="G324" s="1" t="s">
        <v>237</v>
      </c>
      <c r="H324" s="1" t="s">
        <v>238</v>
      </c>
      <c r="I324" s="1" t="s">
        <v>239</v>
      </c>
      <c r="J324" s="1" t="s">
        <v>240</v>
      </c>
    </row>
    <row r="325" spans="1:10" x14ac:dyDescent="0.35">
      <c r="A325" s="1" t="str">
        <f t="shared" si="5"/>
        <v>10 Cefuroxime ND 0.1</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891</v>
      </c>
      <c r="D325" s="1" t="s">
        <v>112</v>
      </c>
      <c r="E325" s="1" t="s">
        <v>892</v>
      </c>
      <c r="F325" s="1" t="s">
        <v>893</v>
      </c>
      <c r="G325" s="1" t="s">
        <v>894</v>
      </c>
      <c r="H325" s="1" t="s">
        <v>895</v>
      </c>
      <c r="I325" s="1">
        <v>24</v>
      </c>
      <c r="J325" s="1">
        <v>24</v>
      </c>
    </row>
    <row r="326" spans="1:10"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246</v>
      </c>
      <c r="D331" s="1" t="s">
        <v>110</v>
      </c>
      <c r="E331" s="1" t="s">
        <v>111</v>
      </c>
      <c r="F331" s="1" t="s">
        <v>112</v>
      </c>
      <c r="G331" s="1" t="s">
        <v>113</v>
      </c>
    </row>
    <row r="332" spans="1:10" x14ac:dyDescent="0.35">
      <c r="A332" s="1" t="str">
        <f t="shared" si="5"/>
        <v>11 Cefuroxime ND 1</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896</v>
      </c>
      <c r="D332" s="1" t="s">
        <v>897</v>
      </c>
      <c r="E332" s="1" t="s">
        <v>898</v>
      </c>
      <c r="F332" s="1" t="s">
        <v>112</v>
      </c>
      <c r="G332" s="1">
        <v>307058</v>
      </c>
    </row>
    <row r="333" spans="1:10" x14ac:dyDescent="0.35">
      <c r="A333" s="1" t="str">
        <f t="shared" si="5"/>
        <v>11 Cefuroxime ND 1</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899</v>
      </c>
      <c r="D333" s="1" t="s">
        <v>900</v>
      </c>
      <c r="E333" s="1" t="s">
        <v>901</v>
      </c>
      <c r="F333" s="1" t="s">
        <v>112</v>
      </c>
      <c r="G333" s="1">
        <v>174748</v>
      </c>
    </row>
    <row r="334" spans="1:10" x14ac:dyDescent="0.35">
      <c r="A334" s="1" t="str">
        <f t="shared" si="5"/>
        <v>11 Cefuroxime ND 1</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902</v>
      </c>
      <c r="D334" s="1" t="s">
        <v>903</v>
      </c>
      <c r="E334" s="1" t="s">
        <v>904</v>
      </c>
      <c r="F334" s="1" t="s">
        <v>112</v>
      </c>
      <c r="G334" s="1">
        <v>367016</v>
      </c>
    </row>
    <row r="335" spans="1:10" x14ac:dyDescent="0.35">
      <c r="A335" s="1" t="str">
        <f t="shared" si="5"/>
        <v>11 Cefuroxime ND 1</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905</v>
      </c>
      <c r="D335" s="1" t="s">
        <v>906</v>
      </c>
      <c r="E335" s="1" t="s">
        <v>907</v>
      </c>
      <c r="F335" s="1" t="s">
        <v>112</v>
      </c>
      <c r="G335" s="1">
        <v>389035</v>
      </c>
    </row>
    <row r="336" spans="1:10" x14ac:dyDescent="0.35">
      <c r="A336" s="1" t="str">
        <f t="shared" si="5"/>
        <v>11 Cefuroxime ND 1</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908</v>
      </c>
      <c r="D336" s="1" t="s">
        <v>909</v>
      </c>
      <c r="E336" s="1" t="s">
        <v>910</v>
      </c>
      <c r="F336" s="1" t="s">
        <v>112</v>
      </c>
      <c r="G336" s="1">
        <v>203818</v>
      </c>
    </row>
    <row r="337" spans="1:7" x14ac:dyDescent="0.35">
      <c r="A337" s="1" t="str">
        <f t="shared" si="5"/>
        <v>11 Cefuroxime ND 1</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911</v>
      </c>
      <c r="D337" s="1" t="s">
        <v>912</v>
      </c>
      <c r="E337" s="1" t="s">
        <v>913</v>
      </c>
      <c r="F337" s="1" t="s">
        <v>112</v>
      </c>
      <c r="G337" s="1">
        <v>256660</v>
      </c>
    </row>
    <row r="338" spans="1:7" x14ac:dyDescent="0.35">
      <c r="A338" s="1" t="str">
        <f t="shared" si="5"/>
        <v>11 Cefuroxime ND 1</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914</v>
      </c>
      <c r="D338" s="1" t="s">
        <v>393</v>
      </c>
      <c r="E338" s="1" t="s">
        <v>915</v>
      </c>
      <c r="F338" s="1" t="s">
        <v>112</v>
      </c>
      <c r="G338" s="1">
        <v>132656</v>
      </c>
    </row>
    <row r="339" spans="1:7" x14ac:dyDescent="0.35">
      <c r="A339" s="1" t="str">
        <f t="shared" si="5"/>
        <v>11 Cefuroxime ND 1</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916</v>
      </c>
      <c r="D339" s="1" t="s">
        <v>348</v>
      </c>
      <c r="E339" s="1" t="s">
        <v>917</v>
      </c>
      <c r="F339" s="1" t="s">
        <v>112</v>
      </c>
      <c r="G339" s="1">
        <v>57817</v>
      </c>
    </row>
    <row r="340" spans="1:7" x14ac:dyDescent="0.35">
      <c r="A340" s="1" t="str">
        <f t="shared" si="5"/>
        <v>11 Cefuroxime ND 1</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918</v>
      </c>
      <c r="D340" s="1" t="s">
        <v>745</v>
      </c>
      <c r="E340" s="1" t="s">
        <v>919</v>
      </c>
      <c r="F340" s="1" t="s">
        <v>112</v>
      </c>
      <c r="G340" s="1">
        <v>38285</v>
      </c>
    </row>
    <row r="341" spans="1:7" x14ac:dyDescent="0.35">
      <c r="A341" s="1" t="str">
        <f t="shared" si="5"/>
        <v>11 Cefuroxime ND 1</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920</v>
      </c>
      <c r="D341" s="1" t="s">
        <v>921</v>
      </c>
      <c r="E341" s="1" t="s">
        <v>922</v>
      </c>
      <c r="F341" s="1" t="s">
        <v>112</v>
      </c>
      <c r="G341" s="1">
        <v>45661</v>
      </c>
    </row>
    <row r="342" spans="1:7" x14ac:dyDescent="0.35">
      <c r="A342" s="1" t="str">
        <f t="shared" si="5"/>
        <v>11 Cefuroxime ND 1</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923</v>
      </c>
      <c r="D342" s="1" t="s">
        <v>307</v>
      </c>
      <c r="E342" s="1" t="s">
        <v>924</v>
      </c>
      <c r="F342" s="1" t="s">
        <v>112</v>
      </c>
      <c r="G342" s="1">
        <v>44622</v>
      </c>
    </row>
    <row r="343" spans="1:7" x14ac:dyDescent="0.35">
      <c r="A343" s="1" t="str">
        <f t="shared" si="5"/>
        <v>11 Cefuroxime ND 1</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925</v>
      </c>
      <c r="D343" s="1" t="s">
        <v>912</v>
      </c>
      <c r="E343" s="1" t="s">
        <v>926</v>
      </c>
      <c r="F343" s="1" t="s">
        <v>112</v>
      </c>
      <c r="G343" s="1">
        <v>248830</v>
      </c>
    </row>
    <row r="344" spans="1:7" x14ac:dyDescent="0.35">
      <c r="A344" s="1" t="str">
        <f t="shared" si="5"/>
        <v>11 Cefuroxime ND 1</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927</v>
      </c>
      <c r="D344" s="1" t="s">
        <v>854</v>
      </c>
      <c r="E344" s="1" t="s">
        <v>928</v>
      </c>
      <c r="F344" s="1" t="s">
        <v>112</v>
      </c>
      <c r="G344" s="1">
        <v>157120</v>
      </c>
    </row>
    <row r="345" spans="1:7" x14ac:dyDescent="0.35">
      <c r="A345" s="1" t="str">
        <f t="shared" si="5"/>
        <v>11 Cefuroxime ND 1</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929</v>
      </c>
      <c r="D345" s="1" t="s">
        <v>178</v>
      </c>
      <c r="E345" s="1" t="s">
        <v>930</v>
      </c>
      <c r="F345" s="1" t="s">
        <v>112</v>
      </c>
      <c r="G345" s="1">
        <v>11096</v>
      </c>
    </row>
    <row r="346" spans="1:7" x14ac:dyDescent="0.35">
      <c r="A346" s="1" t="str">
        <f t="shared" si="5"/>
        <v>11 Cefuroxime ND 1</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931</v>
      </c>
      <c r="D346" s="1" t="s">
        <v>418</v>
      </c>
      <c r="E346" s="1" t="s">
        <v>932</v>
      </c>
      <c r="F346" s="1" t="s">
        <v>112</v>
      </c>
      <c r="G346" s="1">
        <v>64911</v>
      </c>
    </row>
    <row r="347" spans="1:7" x14ac:dyDescent="0.35">
      <c r="A347" s="1" t="str">
        <f t="shared" si="5"/>
        <v>11 Cefuroxime ND 1</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933</v>
      </c>
      <c r="D347" s="1" t="s">
        <v>934</v>
      </c>
      <c r="E347" s="1" t="s">
        <v>935</v>
      </c>
      <c r="F347" s="1" t="s">
        <v>112</v>
      </c>
      <c r="G347" s="1">
        <v>52236</v>
      </c>
    </row>
    <row r="348" spans="1:7" x14ac:dyDescent="0.35">
      <c r="A348" s="1" t="str">
        <f t="shared" si="5"/>
        <v>11 Cefuroxime ND 1</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936</v>
      </c>
    </row>
    <row r="349" spans="1:7" x14ac:dyDescent="0.35">
      <c r="A349" s="1" t="str">
        <f t="shared" si="5"/>
        <v>11 Cefuroxime ND 1</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937</v>
      </c>
    </row>
    <row r="350" spans="1:7" x14ac:dyDescent="0.35">
      <c r="A350" s="1" t="str">
        <f t="shared" si="5"/>
        <v>11 Cefuroxime ND 1</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938</v>
      </c>
      <c r="D350" s="1" t="s">
        <v>232</v>
      </c>
      <c r="E350" s="1" t="s">
        <v>939</v>
      </c>
      <c r="F350" s="1" t="s">
        <v>112</v>
      </c>
      <c r="G350" s="1">
        <v>80571</v>
      </c>
    </row>
    <row r="351" spans="1:7" x14ac:dyDescent="0.35">
      <c r="A351" s="1" t="str">
        <f t="shared" si="5"/>
        <v>11 Cefuroxime ND 1</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940</v>
      </c>
      <c r="D351" s="1" t="s">
        <v>941</v>
      </c>
      <c r="E351" s="1" t="s">
        <v>942</v>
      </c>
      <c r="F351" s="1" t="s">
        <v>112</v>
      </c>
      <c r="G351" s="1">
        <v>59288</v>
      </c>
    </row>
    <row r="352" spans="1:7" x14ac:dyDescent="0.35">
      <c r="A352" s="1" t="str">
        <f t="shared" si="5"/>
        <v>11 Cefuroxime ND 1</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943</v>
      </c>
      <c r="D352" s="1" t="s">
        <v>944</v>
      </c>
      <c r="E352" s="1" t="s">
        <v>945</v>
      </c>
      <c r="F352" s="1" t="s">
        <v>112</v>
      </c>
      <c r="G352" s="1">
        <v>29546</v>
      </c>
    </row>
    <row r="353" spans="1:10" x14ac:dyDescent="0.35">
      <c r="A353" s="1" t="str">
        <f t="shared" si="5"/>
        <v>11 Cefuroxime ND 1</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946</v>
      </c>
      <c r="D353" s="1" t="s">
        <v>947</v>
      </c>
      <c r="E353" s="1" t="s">
        <v>948</v>
      </c>
      <c r="F353" s="1" t="s">
        <v>112</v>
      </c>
      <c r="G353" s="1">
        <v>270503</v>
      </c>
    </row>
    <row r="354" spans="1:10" x14ac:dyDescent="0.35">
      <c r="A354" s="1" t="str">
        <f t="shared" si="5"/>
        <v>11 Cefuroxime ND 1</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949</v>
      </c>
      <c r="D354" s="1" t="s">
        <v>950</v>
      </c>
      <c r="E354" s="1" t="s">
        <v>951</v>
      </c>
      <c r="F354" s="1" t="s">
        <v>112</v>
      </c>
      <c r="G354" s="1">
        <v>286358</v>
      </c>
    </row>
    <row r="355" spans="1:10" x14ac:dyDescent="0.35">
      <c r="A355" s="1" t="str">
        <f t="shared" si="5"/>
        <v>11 Cefuroxime ND 1</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952</v>
      </c>
      <c r="D355" s="1" t="s">
        <v>190</v>
      </c>
      <c r="E355" s="1" t="s">
        <v>953</v>
      </c>
      <c r="F355" s="1" t="s">
        <v>112</v>
      </c>
      <c r="G355" s="1">
        <v>18905</v>
      </c>
    </row>
    <row r="356" spans="1:10"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234</v>
      </c>
      <c r="D357" s="1" t="s">
        <v>112</v>
      </c>
      <c r="E357" s="1" t="s">
        <v>235</v>
      </c>
      <c r="F357" s="1" t="s">
        <v>236</v>
      </c>
      <c r="G357" s="1" t="s">
        <v>237</v>
      </c>
      <c r="H357" s="1" t="s">
        <v>238</v>
      </c>
      <c r="I357" s="1" t="s">
        <v>239</v>
      </c>
      <c r="J357" s="1" t="s">
        <v>240</v>
      </c>
    </row>
    <row r="358" spans="1:10" x14ac:dyDescent="0.35">
      <c r="A358" s="1" t="str">
        <f t="shared" si="5"/>
        <v>11 Cefuroxime ND 1</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954</v>
      </c>
      <c r="D358" s="1" t="s">
        <v>112</v>
      </c>
      <c r="E358" s="1" t="s">
        <v>955</v>
      </c>
      <c r="F358" s="1" t="s">
        <v>956</v>
      </c>
      <c r="G358" s="1" t="s">
        <v>957</v>
      </c>
      <c r="H358" s="1" t="s">
        <v>958</v>
      </c>
      <c r="I358" s="1">
        <v>24</v>
      </c>
      <c r="J358" s="1">
        <v>24</v>
      </c>
    </row>
    <row r="359" spans="1:10"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246</v>
      </c>
      <c r="D364" s="1" t="s">
        <v>110</v>
      </c>
      <c r="E364" s="1" t="s">
        <v>111</v>
      </c>
      <c r="F364" s="1" t="s">
        <v>112</v>
      </c>
      <c r="G364" s="1" t="s">
        <v>113</v>
      </c>
    </row>
    <row r="365" spans="1:10" x14ac:dyDescent="0.35">
      <c r="A365" s="1" t="str">
        <f t="shared" si="5"/>
        <v>12 Cefuroxime ND 10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959</v>
      </c>
      <c r="D365" s="1" t="s">
        <v>357</v>
      </c>
      <c r="E365" s="1" t="s">
        <v>960</v>
      </c>
      <c r="F365" s="1" t="s">
        <v>112</v>
      </c>
      <c r="G365" s="1">
        <v>359857</v>
      </c>
    </row>
    <row r="366" spans="1:10" x14ac:dyDescent="0.35">
      <c r="A366" s="1" t="str">
        <f t="shared" si="5"/>
        <v>12 Cefuroxime ND 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961</v>
      </c>
      <c r="D366" s="1" t="s">
        <v>962</v>
      </c>
      <c r="E366" s="1">
        <v>65</v>
      </c>
      <c r="F366" s="1" t="s">
        <v>112</v>
      </c>
      <c r="G366" s="1">
        <v>196832</v>
      </c>
    </row>
    <row r="367" spans="1:10" x14ac:dyDescent="0.35">
      <c r="A367" s="1" t="str">
        <f t="shared" si="5"/>
        <v>12 Cefuroxime ND 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963</v>
      </c>
      <c r="D367" s="1" t="s">
        <v>964</v>
      </c>
      <c r="E367" s="1" t="s">
        <v>965</v>
      </c>
      <c r="F367" s="1" t="s">
        <v>112</v>
      </c>
      <c r="G367" s="1">
        <v>103672</v>
      </c>
    </row>
    <row r="368" spans="1:10" x14ac:dyDescent="0.35">
      <c r="A368" s="1" t="str">
        <f t="shared" si="5"/>
        <v>12 Cefuroxime ND 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966</v>
      </c>
      <c r="D368" s="1" t="s">
        <v>348</v>
      </c>
      <c r="E368" s="1" t="s">
        <v>967</v>
      </c>
      <c r="F368" s="1" t="s">
        <v>112</v>
      </c>
      <c r="G368" s="1">
        <v>56584</v>
      </c>
    </row>
    <row r="369" spans="1:7" x14ac:dyDescent="0.35">
      <c r="A369" s="1" t="str">
        <f t="shared" si="5"/>
        <v>12 Cefuroxime ND 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968</v>
      </c>
      <c r="D369" s="1" t="s">
        <v>964</v>
      </c>
      <c r="E369" s="1" t="s">
        <v>969</v>
      </c>
      <c r="F369" s="1" t="s">
        <v>112</v>
      </c>
      <c r="G369" s="1">
        <v>101379</v>
      </c>
    </row>
    <row r="370" spans="1:7" x14ac:dyDescent="0.35">
      <c r="A370" s="1" t="str">
        <f t="shared" si="5"/>
        <v>12 Cefuroxime ND 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970</v>
      </c>
      <c r="D370" s="1" t="s">
        <v>226</v>
      </c>
      <c r="E370" s="1" t="s">
        <v>971</v>
      </c>
      <c r="F370" s="1" t="s">
        <v>112</v>
      </c>
      <c r="G370" s="1">
        <v>68999</v>
      </c>
    </row>
    <row r="371" spans="1:7" x14ac:dyDescent="0.35">
      <c r="A371" s="1" t="str">
        <f t="shared" si="5"/>
        <v>12 Cefuroxime ND 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972</v>
      </c>
      <c r="D371" s="1" t="s">
        <v>739</v>
      </c>
      <c r="E371" s="1" t="s">
        <v>973</v>
      </c>
      <c r="F371" s="1" t="s">
        <v>112</v>
      </c>
      <c r="G371" s="1">
        <v>34435</v>
      </c>
    </row>
    <row r="372" spans="1:7" x14ac:dyDescent="0.35">
      <c r="A372" s="1" t="str">
        <f t="shared" si="5"/>
        <v>12 Cefuroxime ND 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974</v>
      </c>
      <c r="D372" s="1" t="s">
        <v>975</v>
      </c>
      <c r="E372" s="1" t="s">
        <v>976</v>
      </c>
      <c r="F372" s="1" t="s">
        <v>112</v>
      </c>
      <c r="G372" s="1">
        <v>398704</v>
      </c>
    </row>
    <row r="373" spans="1:7" x14ac:dyDescent="0.35">
      <c r="A373" s="1" t="str">
        <f t="shared" si="5"/>
        <v>12 Cefuroxime ND 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977</v>
      </c>
      <c r="D373" s="1" t="s">
        <v>921</v>
      </c>
      <c r="E373" s="1" t="s">
        <v>978</v>
      </c>
      <c r="F373" s="1" t="s">
        <v>112</v>
      </c>
      <c r="G373" s="1">
        <v>49121</v>
      </c>
    </row>
    <row r="374" spans="1:7" x14ac:dyDescent="0.35">
      <c r="A374" s="1" t="str">
        <f t="shared" si="5"/>
        <v>12 Cefuroxime ND 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979</v>
      </c>
    </row>
    <row r="375" spans="1:7" x14ac:dyDescent="0.35">
      <c r="A375" s="1" t="str">
        <f t="shared" si="5"/>
        <v>12 Cefuroxime ND 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980</v>
      </c>
      <c r="D375" s="1" t="s">
        <v>981</v>
      </c>
      <c r="E375" s="1" t="s">
        <v>982</v>
      </c>
      <c r="F375" s="1" t="s">
        <v>112</v>
      </c>
      <c r="G375" s="1">
        <v>17931</v>
      </c>
    </row>
    <row r="376" spans="1:7" x14ac:dyDescent="0.35">
      <c r="A376" s="1" t="str">
        <f t="shared" si="5"/>
        <v>12 Cefuroxime ND 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983</v>
      </c>
      <c r="D376" s="1" t="s">
        <v>178</v>
      </c>
      <c r="E376" s="1" t="s">
        <v>711</v>
      </c>
      <c r="F376" s="1" t="s">
        <v>112</v>
      </c>
      <c r="G376" s="1">
        <v>10945</v>
      </c>
    </row>
    <row r="377" spans="1:7" x14ac:dyDescent="0.35">
      <c r="A377" s="1" t="str">
        <f t="shared" si="5"/>
        <v>12 Cefuroxime ND 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984</v>
      </c>
      <c r="D377" s="1" t="s">
        <v>985</v>
      </c>
      <c r="E377" s="1" t="s">
        <v>986</v>
      </c>
      <c r="F377" s="1" t="s">
        <v>112</v>
      </c>
      <c r="G377" s="1">
        <v>273553</v>
      </c>
    </row>
    <row r="378" spans="1:7" x14ac:dyDescent="0.35">
      <c r="A378" s="1" t="str">
        <f t="shared" si="5"/>
        <v>12 Cefuroxime ND 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987</v>
      </c>
      <c r="D378" s="1" t="s">
        <v>988</v>
      </c>
      <c r="E378" s="1" t="s">
        <v>989</v>
      </c>
      <c r="F378" s="1" t="s">
        <v>112</v>
      </c>
      <c r="G378" s="1">
        <v>437356</v>
      </c>
    </row>
    <row r="379" spans="1:7" x14ac:dyDescent="0.35">
      <c r="A379" s="1" t="str">
        <f t="shared" si="5"/>
        <v>12 Cefuroxime ND 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990</v>
      </c>
      <c r="D379" s="1" t="s">
        <v>991</v>
      </c>
      <c r="E379" s="1" t="s">
        <v>992</v>
      </c>
      <c r="F379" s="1" t="s">
        <v>112</v>
      </c>
      <c r="G379" s="1">
        <v>399266</v>
      </c>
    </row>
    <row r="380" spans="1:7" x14ac:dyDescent="0.35">
      <c r="A380" s="1" t="str">
        <f t="shared" si="5"/>
        <v>12 Cefuroxime ND 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993</v>
      </c>
      <c r="D380" s="1" t="s">
        <v>994</v>
      </c>
      <c r="E380" s="1" t="s">
        <v>995</v>
      </c>
      <c r="F380" s="1" t="s">
        <v>112</v>
      </c>
      <c r="G380" s="1">
        <v>62792</v>
      </c>
    </row>
    <row r="381" spans="1:7" x14ac:dyDescent="0.35">
      <c r="A381" s="1" t="str">
        <f t="shared" si="5"/>
        <v>12 Cefuroxime ND 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996</v>
      </c>
      <c r="D381" s="1" t="s">
        <v>997</v>
      </c>
      <c r="E381" s="1" t="s">
        <v>998</v>
      </c>
      <c r="F381" s="1" t="s">
        <v>112</v>
      </c>
      <c r="G381" s="1">
        <v>58487</v>
      </c>
    </row>
    <row r="382" spans="1:7" x14ac:dyDescent="0.35">
      <c r="A382" s="1" t="str">
        <f t="shared" si="5"/>
        <v>12 Cefuroxime ND 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999</v>
      </c>
    </row>
    <row r="383" spans="1:7" x14ac:dyDescent="0.35">
      <c r="A383" s="1" t="str">
        <f t="shared" si="5"/>
        <v>12 Cefuroxime ND 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1000</v>
      </c>
      <c r="D383" s="1" t="s">
        <v>218</v>
      </c>
      <c r="E383" s="1" t="s">
        <v>1001</v>
      </c>
      <c r="F383" s="1" t="s">
        <v>112</v>
      </c>
      <c r="G383" s="1">
        <v>41854</v>
      </c>
    </row>
    <row r="384" spans="1:7" x14ac:dyDescent="0.35">
      <c r="A384" s="1" t="str">
        <f t="shared" si="5"/>
        <v>12 Cefuroxime ND 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1002</v>
      </c>
      <c r="D384" s="1" t="s">
        <v>190</v>
      </c>
      <c r="E384" s="1">
        <v>62</v>
      </c>
      <c r="F384" s="1" t="s">
        <v>112</v>
      </c>
      <c r="G384" s="1">
        <v>18775</v>
      </c>
    </row>
    <row r="385" spans="1:10" x14ac:dyDescent="0.35">
      <c r="A385" s="1" t="str">
        <f t="shared" si="5"/>
        <v>12 Cefuroxime ND 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1003</v>
      </c>
      <c r="D385" s="1" t="s">
        <v>1004</v>
      </c>
      <c r="E385" s="1" t="s">
        <v>1005</v>
      </c>
      <c r="F385" s="1" t="s">
        <v>112</v>
      </c>
      <c r="G385" s="1">
        <v>418798</v>
      </c>
    </row>
    <row r="386" spans="1:10" x14ac:dyDescent="0.35">
      <c r="A386" s="1" t="str">
        <f t="shared" ref="A386:A449" si="6">IFERROR(LEFT(RIGHT(C386,LEN(C386)-SEARCH("@",C386)),SEARCH("/",RIGHT(C386,LEN(C386)-SEARCH("@",C386)-1))),"")</f>
        <v>12 Cefuroxime ND 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1006</v>
      </c>
      <c r="D386" s="1" t="s">
        <v>451</v>
      </c>
      <c r="E386" s="1">
        <v>68</v>
      </c>
      <c r="F386" s="1" t="s">
        <v>112</v>
      </c>
      <c r="G386" s="1">
        <v>429483</v>
      </c>
    </row>
    <row r="387" spans="1:10" x14ac:dyDescent="0.35">
      <c r="A387" s="1" t="str">
        <f t="shared" si="6"/>
        <v>12 Cefuroxime ND 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1007</v>
      </c>
    </row>
    <row r="388" spans="1:10" x14ac:dyDescent="0.35">
      <c r="A388" s="1" t="str">
        <f t="shared" si="6"/>
        <v>12 Cefuroxime ND 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1008</v>
      </c>
      <c r="D388" s="1" t="s">
        <v>1009</v>
      </c>
      <c r="E388" s="1">
        <v>65</v>
      </c>
      <c r="F388" s="1" t="s">
        <v>112</v>
      </c>
      <c r="G388" s="1">
        <v>140594</v>
      </c>
    </row>
    <row r="389" spans="1:10"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234</v>
      </c>
      <c r="D390" s="1" t="s">
        <v>112</v>
      </c>
      <c r="E390" s="1" t="s">
        <v>235</v>
      </c>
      <c r="F390" s="1" t="s">
        <v>236</v>
      </c>
      <c r="G390" s="1" t="s">
        <v>237</v>
      </c>
      <c r="H390" s="1" t="s">
        <v>238</v>
      </c>
      <c r="I390" s="1" t="s">
        <v>239</v>
      </c>
      <c r="J390" s="1" t="s">
        <v>240</v>
      </c>
    </row>
    <row r="391" spans="1:10" x14ac:dyDescent="0.35">
      <c r="A391" s="1" t="str">
        <f t="shared" si="6"/>
        <v>12 Cefuroxime ND 10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1010</v>
      </c>
      <c r="D391" s="1" t="s">
        <v>112</v>
      </c>
      <c r="E391" s="1" t="s">
        <v>1011</v>
      </c>
      <c r="F391" s="1" t="s">
        <v>1012</v>
      </c>
      <c r="G391" s="1" t="s">
        <v>1013</v>
      </c>
      <c r="H391" s="1" t="s">
        <v>1014</v>
      </c>
      <c r="I391" s="1">
        <v>24</v>
      </c>
      <c r="J391" s="1">
        <v>24</v>
      </c>
    </row>
    <row r="392" spans="1:10"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246</v>
      </c>
      <c r="D397" s="1" t="s">
        <v>110</v>
      </c>
      <c r="E397" s="1" t="s">
        <v>111</v>
      </c>
      <c r="F397" s="1" t="s">
        <v>112</v>
      </c>
      <c r="G397" s="1" t="s">
        <v>113</v>
      </c>
    </row>
    <row r="398" spans="1:10" x14ac:dyDescent="0.3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1015</v>
      </c>
      <c r="D398" s="1" t="s">
        <v>762</v>
      </c>
      <c r="E398" s="1" t="s">
        <v>1016</v>
      </c>
      <c r="F398" s="1" t="s">
        <v>112</v>
      </c>
      <c r="G398" s="1">
        <v>40318</v>
      </c>
    </row>
    <row r="399" spans="1:10" x14ac:dyDescent="0.3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1017</v>
      </c>
      <c r="D399" s="1" t="s">
        <v>278</v>
      </c>
      <c r="E399" s="1" t="s">
        <v>1018</v>
      </c>
      <c r="F399" s="1" t="s">
        <v>112</v>
      </c>
      <c r="G399" s="1">
        <v>30239</v>
      </c>
    </row>
    <row r="400" spans="1:10" x14ac:dyDescent="0.3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1019</v>
      </c>
      <c r="D400" s="1" t="s">
        <v>748</v>
      </c>
      <c r="E400" s="1" t="s">
        <v>1020</v>
      </c>
      <c r="F400" s="1" t="s">
        <v>112</v>
      </c>
      <c r="G400" s="1">
        <v>115028</v>
      </c>
    </row>
    <row r="401" spans="1:7" x14ac:dyDescent="0.3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1021</v>
      </c>
    </row>
    <row r="402" spans="1:7" x14ac:dyDescent="0.3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1022</v>
      </c>
    </row>
    <row r="403" spans="1:7" x14ac:dyDescent="0.3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1023</v>
      </c>
    </row>
    <row r="404" spans="1:7" x14ac:dyDescent="0.3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1024</v>
      </c>
      <c r="D404" s="1" t="s">
        <v>1025</v>
      </c>
      <c r="E404" s="1" t="s">
        <v>1026</v>
      </c>
      <c r="F404" s="1" t="s">
        <v>112</v>
      </c>
      <c r="G404" s="1">
        <v>3337817</v>
      </c>
    </row>
    <row r="405" spans="1:7" x14ac:dyDescent="0.3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1027</v>
      </c>
      <c r="D405" s="1" t="s">
        <v>1028</v>
      </c>
      <c r="E405" s="1" t="s">
        <v>1029</v>
      </c>
      <c r="F405" s="1" t="s">
        <v>112</v>
      </c>
      <c r="G405" s="1">
        <v>3464525</v>
      </c>
    </row>
    <row r="406" spans="1:7" x14ac:dyDescent="0.3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1030</v>
      </c>
      <c r="D406" s="1" t="s">
        <v>1031</v>
      </c>
      <c r="E406" s="1" t="s">
        <v>1032</v>
      </c>
      <c r="F406" s="1" t="s">
        <v>112</v>
      </c>
      <c r="G406" s="1">
        <v>3299208</v>
      </c>
    </row>
    <row r="407" spans="1:7" x14ac:dyDescent="0.3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1033</v>
      </c>
      <c r="D407" s="1" t="s">
        <v>1034</v>
      </c>
      <c r="E407" s="1" t="s">
        <v>1035</v>
      </c>
      <c r="F407" s="1" t="s">
        <v>112</v>
      </c>
      <c r="G407" s="1">
        <v>3881939</v>
      </c>
    </row>
    <row r="408" spans="1:7" x14ac:dyDescent="0.3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1036</v>
      </c>
      <c r="D408" s="1" t="s">
        <v>1037</v>
      </c>
      <c r="E408" s="1" t="s">
        <v>1038</v>
      </c>
      <c r="F408" s="1" t="s">
        <v>112</v>
      </c>
      <c r="G408" s="1">
        <v>3793213</v>
      </c>
    </row>
    <row r="409" spans="1:7" x14ac:dyDescent="0.3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1039</v>
      </c>
      <c r="D409" s="1" t="s">
        <v>1040</v>
      </c>
      <c r="E409" s="1" t="s">
        <v>1041</v>
      </c>
      <c r="F409" s="1" t="s">
        <v>112</v>
      </c>
      <c r="G409" s="1">
        <v>3745454</v>
      </c>
    </row>
    <row r="410" spans="1:7" x14ac:dyDescent="0.3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1042</v>
      </c>
    </row>
    <row r="411" spans="1:7" x14ac:dyDescent="0.3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1043</v>
      </c>
      <c r="D411" s="1" t="s">
        <v>1044</v>
      </c>
      <c r="E411" s="1" t="s">
        <v>1045</v>
      </c>
      <c r="F411" s="1" t="s">
        <v>112</v>
      </c>
      <c r="G411" s="1">
        <v>4654559</v>
      </c>
    </row>
    <row r="412" spans="1:7" x14ac:dyDescent="0.3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1046</v>
      </c>
      <c r="D412" s="1" t="s">
        <v>1047</v>
      </c>
      <c r="E412" s="1" t="s">
        <v>1048</v>
      </c>
      <c r="F412" s="1" t="s">
        <v>112</v>
      </c>
      <c r="G412" s="1">
        <v>4490085</v>
      </c>
    </row>
    <row r="413" spans="1:7" x14ac:dyDescent="0.3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1049</v>
      </c>
      <c r="D413" s="1" t="s">
        <v>1050</v>
      </c>
      <c r="E413" s="1" t="s">
        <v>1051</v>
      </c>
      <c r="F413" s="1" t="s">
        <v>112</v>
      </c>
      <c r="G413" s="1">
        <v>1518938</v>
      </c>
    </row>
    <row r="414" spans="1:7" x14ac:dyDescent="0.3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1052</v>
      </c>
      <c r="D414" s="1" t="s">
        <v>1053</v>
      </c>
      <c r="E414" s="1" t="s">
        <v>1054</v>
      </c>
      <c r="F414" s="1" t="s">
        <v>112</v>
      </c>
      <c r="G414" s="1">
        <v>1813623</v>
      </c>
    </row>
    <row r="415" spans="1:7" x14ac:dyDescent="0.3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1055</v>
      </c>
      <c r="D415" s="1" t="s">
        <v>1056</v>
      </c>
      <c r="E415" s="1" t="s">
        <v>1057</v>
      </c>
      <c r="F415" s="1" t="s">
        <v>112</v>
      </c>
      <c r="G415" s="1">
        <v>2046318</v>
      </c>
    </row>
    <row r="416" spans="1:7" x14ac:dyDescent="0.3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1058</v>
      </c>
      <c r="D416" s="1" t="s">
        <v>1059</v>
      </c>
      <c r="E416" s="1" t="s">
        <v>1060</v>
      </c>
      <c r="F416" s="1" t="s">
        <v>112</v>
      </c>
      <c r="G416" s="1">
        <v>2274838</v>
      </c>
    </row>
    <row r="417" spans="1:10" x14ac:dyDescent="0.3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1061</v>
      </c>
      <c r="D417" s="1" t="s">
        <v>1062</v>
      </c>
      <c r="E417" s="1" t="s">
        <v>1063</v>
      </c>
      <c r="F417" s="1" t="s">
        <v>112</v>
      </c>
      <c r="G417" s="1">
        <v>2115296</v>
      </c>
    </row>
    <row r="418" spans="1:10" x14ac:dyDescent="0.3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1064</v>
      </c>
      <c r="D418" s="1" t="s">
        <v>1065</v>
      </c>
      <c r="E418" s="1" t="s">
        <v>1066</v>
      </c>
      <c r="F418" s="1" t="s">
        <v>112</v>
      </c>
      <c r="G418" s="1">
        <v>2008941</v>
      </c>
    </row>
    <row r="419" spans="1:10" x14ac:dyDescent="0.3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1067</v>
      </c>
    </row>
    <row r="420" spans="1:10" x14ac:dyDescent="0.3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1068</v>
      </c>
      <c r="D420" s="1" t="s">
        <v>1069</v>
      </c>
      <c r="E420" s="1" t="s">
        <v>1070</v>
      </c>
      <c r="F420" s="1" t="s">
        <v>112</v>
      </c>
      <c r="G420" s="1">
        <v>996381</v>
      </c>
    </row>
    <row r="421" spans="1:10" x14ac:dyDescent="0.3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1071</v>
      </c>
      <c r="D421" s="1" t="s">
        <v>1072</v>
      </c>
      <c r="E421" s="1" t="s">
        <v>1073</v>
      </c>
      <c r="F421" s="1" t="s">
        <v>112</v>
      </c>
      <c r="G421" s="1">
        <v>713159</v>
      </c>
    </row>
    <row r="422" spans="1:10"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234</v>
      </c>
      <c r="D423" s="1" t="s">
        <v>112</v>
      </c>
      <c r="E423" s="1" t="s">
        <v>235</v>
      </c>
      <c r="F423" s="1" t="s">
        <v>236</v>
      </c>
      <c r="G423" s="1" t="s">
        <v>237</v>
      </c>
      <c r="H423" s="1" t="s">
        <v>238</v>
      </c>
      <c r="I423" s="1" t="s">
        <v>239</v>
      </c>
      <c r="J423" s="1" t="s">
        <v>240</v>
      </c>
    </row>
    <row r="424" spans="1:10" x14ac:dyDescent="0.3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1074</v>
      </c>
      <c r="D424" s="1" t="s">
        <v>112</v>
      </c>
      <c r="E424" s="1" t="s">
        <v>1075</v>
      </c>
      <c r="F424" s="1" t="s">
        <v>1076</v>
      </c>
      <c r="G424" s="1" t="s">
        <v>1077</v>
      </c>
      <c r="H424" s="1" t="s">
        <v>1078</v>
      </c>
      <c r="I424" s="1">
        <v>24</v>
      </c>
      <c r="J424" s="1">
        <v>24</v>
      </c>
    </row>
    <row r="425" spans="1:10"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246</v>
      </c>
      <c r="D430" s="1" t="s">
        <v>110</v>
      </c>
      <c r="E430" s="1" t="s">
        <v>111</v>
      </c>
      <c r="F430" s="1" t="s">
        <v>112</v>
      </c>
      <c r="G430" s="1" t="s">
        <v>113</v>
      </c>
    </row>
    <row r="431" spans="1:10" x14ac:dyDescent="0.3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1079</v>
      </c>
      <c r="D431" s="1" t="s">
        <v>1080</v>
      </c>
      <c r="E431" s="1" t="s">
        <v>1081</v>
      </c>
      <c r="F431" s="1" t="s">
        <v>112</v>
      </c>
      <c r="G431" s="1">
        <v>3265876</v>
      </c>
    </row>
    <row r="432" spans="1:10" x14ac:dyDescent="0.3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1082</v>
      </c>
      <c r="D432" s="1" t="s">
        <v>1083</v>
      </c>
      <c r="E432" s="1" t="s">
        <v>1084</v>
      </c>
      <c r="F432" s="1" t="s">
        <v>112</v>
      </c>
      <c r="G432" s="1">
        <v>2585659</v>
      </c>
    </row>
    <row r="433" spans="1:7" x14ac:dyDescent="0.3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1085</v>
      </c>
      <c r="D433" s="1" t="s">
        <v>1086</v>
      </c>
      <c r="E433" s="1" t="s">
        <v>1087</v>
      </c>
      <c r="F433" s="1" t="s">
        <v>112</v>
      </c>
      <c r="G433" s="1">
        <v>3015337</v>
      </c>
    </row>
    <row r="434" spans="1:7" x14ac:dyDescent="0.3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1088</v>
      </c>
      <c r="D434" s="1" t="s">
        <v>1062</v>
      </c>
      <c r="E434" s="1" t="s">
        <v>1089</v>
      </c>
      <c r="F434" s="1" t="s">
        <v>112</v>
      </c>
      <c r="G434" s="1">
        <v>2056916</v>
      </c>
    </row>
    <row r="435" spans="1:7" x14ac:dyDescent="0.3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1090</v>
      </c>
      <c r="D435" s="1" t="s">
        <v>1091</v>
      </c>
      <c r="E435" s="1" t="s">
        <v>1092</v>
      </c>
      <c r="F435" s="1" t="s">
        <v>112</v>
      </c>
      <c r="G435" s="1">
        <v>3114597</v>
      </c>
    </row>
    <row r="436" spans="1:7" x14ac:dyDescent="0.3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1093</v>
      </c>
      <c r="D436" s="1" t="s">
        <v>1094</v>
      </c>
      <c r="E436" s="1" t="s">
        <v>1095</v>
      </c>
      <c r="F436" s="1" t="s">
        <v>112</v>
      </c>
      <c r="G436" s="1">
        <v>2949279</v>
      </c>
    </row>
    <row r="437" spans="1:7" x14ac:dyDescent="0.3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1096</v>
      </c>
      <c r="D437" s="1" t="s">
        <v>1097</v>
      </c>
      <c r="E437" s="1" t="s">
        <v>1098</v>
      </c>
      <c r="F437" s="1" t="s">
        <v>112</v>
      </c>
      <c r="G437" s="1">
        <v>2291147</v>
      </c>
    </row>
    <row r="438" spans="1:7" x14ac:dyDescent="0.3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1099</v>
      </c>
      <c r="D438" s="1" t="s">
        <v>1100</v>
      </c>
      <c r="E438" s="1" t="s">
        <v>1101</v>
      </c>
      <c r="F438" s="1" t="s">
        <v>112</v>
      </c>
      <c r="G438" s="1">
        <v>2015776</v>
      </c>
    </row>
    <row r="439" spans="1:7" x14ac:dyDescent="0.3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1102</v>
      </c>
      <c r="D439" s="1" t="s">
        <v>1103</v>
      </c>
      <c r="E439" s="1" t="s">
        <v>1104</v>
      </c>
      <c r="F439" s="1" t="s">
        <v>112</v>
      </c>
      <c r="G439" s="1">
        <v>1851108</v>
      </c>
    </row>
    <row r="440" spans="1:7" x14ac:dyDescent="0.3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1105</v>
      </c>
      <c r="D440" s="1" t="s">
        <v>1106</v>
      </c>
      <c r="E440" s="1" t="s">
        <v>1107</v>
      </c>
      <c r="F440" s="1" t="s">
        <v>112</v>
      </c>
      <c r="G440" s="1">
        <v>3170207</v>
      </c>
    </row>
    <row r="441" spans="1:7" x14ac:dyDescent="0.3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1108</v>
      </c>
      <c r="D441" s="1" t="s">
        <v>1109</v>
      </c>
      <c r="E441" s="1" t="s">
        <v>1110</v>
      </c>
      <c r="F441" s="1" t="s">
        <v>112</v>
      </c>
      <c r="G441" s="1">
        <v>3767841</v>
      </c>
    </row>
    <row r="442" spans="1:7" x14ac:dyDescent="0.3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1111</v>
      </c>
      <c r="D442" s="1" t="s">
        <v>1112</v>
      </c>
      <c r="E442" s="1" t="s">
        <v>1113</v>
      </c>
      <c r="F442" s="1" t="s">
        <v>112</v>
      </c>
      <c r="G442" s="1">
        <v>3641393</v>
      </c>
    </row>
    <row r="443" spans="1:7" x14ac:dyDescent="0.3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1114</v>
      </c>
    </row>
    <row r="444" spans="1:7" x14ac:dyDescent="0.3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1115</v>
      </c>
      <c r="D444" s="1" t="s">
        <v>1116</v>
      </c>
      <c r="E444" s="1" t="s">
        <v>1117</v>
      </c>
      <c r="F444" s="1" t="s">
        <v>112</v>
      </c>
      <c r="G444" s="1">
        <v>4216315</v>
      </c>
    </row>
    <row r="445" spans="1:7" x14ac:dyDescent="0.3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1118</v>
      </c>
      <c r="D445" s="1" t="s">
        <v>1119</v>
      </c>
      <c r="E445" s="1" t="s">
        <v>1120</v>
      </c>
      <c r="F445" s="1" t="s">
        <v>112</v>
      </c>
      <c r="G445" s="1">
        <v>4327277</v>
      </c>
    </row>
    <row r="446" spans="1:7" x14ac:dyDescent="0.3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1121</v>
      </c>
      <c r="D446" s="1" t="s">
        <v>994</v>
      </c>
      <c r="E446" s="1" t="s">
        <v>1122</v>
      </c>
      <c r="F446" s="1" t="s">
        <v>112</v>
      </c>
      <c r="G446" s="1">
        <v>60304</v>
      </c>
    </row>
    <row r="447" spans="1:7" x14ac:dyDescent="0.3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1123</v>
      </c>
      <c r="D447" s="1" t="s">
        <v>836</v>
      </c>
      <c r="E447" s="1" t="s">
        <v>1124</v>
      </c>
      <c r="F447" s="1" t="s">
        <v>112</v>
      </c>
      <c r="G447" s="1">
        <v>102418</v>
      </c>
    </row>
    <row r="448" spans="1:7" x14ac:dyDescent="0.3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1125</v>
      </c>
    </row>
    <row r="449" spans="1:10" x14ac:dyDescent="0.3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1126</v>
      </c>
      <c r="D449" s="1" t="s">
        <v>1127</v>
      </c>
      <c r="E449" s="1" t="s">
        <v>1128</v>
      </c>
      <c r="F449" s="1" t="s">
        <v>112</v>
      </c>
      <c r="G449" s="1">
        <v>575009</v>
      </c>
    </row>
    <row r="450" spans="1:10" x14ac:dyDescent="0.3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1129</v>
      </c>
      <c r="D450" s="1" t="s">
        <v>1130</v>
      </c>
      <c r="E450" s="1" t="s">
        <v>1131</v>
      </c>
      <c r="F450" s="1" t="s">
        <v>112</v>
      </c>
      <c r="G450" s="1">
        <v>198757</v>
      </c>
    </row>
    <row r="451" spans="1:10" x14ac:dyDescent="0.3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1132</v>
      </c>
      <c r="D451" s="1" t="s">
        <v>1133</v>
      </c>
      <c r="E451" s="1" t="s">
        <v>1134</v>
      </c>
      <c r="F451" s="1" t="s">
        <v>112</v>
      </c>
      <c r="G451" s="1">
        <v>592291</v>
      </c>
    </row>
    <row r="452" spans="1:10" x14ac:dyDescent="0.3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1135</v>
      </c>
      <c r="D452" s="1" t="s">
        <v>1136</v>
      </c>
      <c r="E452" s="1" t="s">
        <v>1137</v>
      </c>
      <c r="F452" s="1" t="s">
        <v>112</v>
      </c>
      <c r="G452" s="1">
        <v>3088619</v>
      </c>
    </row>
    <row r="453" spans="1:10" x14ac:dyDescent="0.3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1138</v>
      </c>
      <c r="D453" s="1" t="s">
        <v>1139</v>
      </c>
      <c r="E453" s="1" t="s">
        <v>1140</v>
      </c>
      <c r="F453" s="1" t="s">
        <v>112</v>
      </c>
      <c r="G453" s="1">
        <v>2645963</v>
      </c>
    </row>
    <row r="454" spans="1:10" x14ac:dyDescent="0.3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1141</v>
      </c>
      <c r="D454" s="1" t="s">
        <v>1142</v>
      </c>
      <c r="E454" s="1" t="s">
        <v>1143</v>
      </c>
      <c r="F454" s="1" t="s">
        <v>112</v>
      </c>
      <c r="G454" s="1">
        <v>2917527</v>
      </c>
    </row>
    <row r="455" spans="1:10"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234</v>
      </c>
      <c r="D456" s="1" t="s">
        <v>112</v>
      </c>
      <c r="E456" s="1" t="s">
        <v>235</v>
      </c>
      <c r="F456" s="1" t="s">
        <v>236</v>
      </c>
      <c r="G456" s="1" t="s">
        <v>237</v>
      </c>
      <c r="H456" s="1" t="s">
        <v>238</v>
      </c>
      <c r="I456" s="1" t="s">
        <v>239</v>
      </c>
      <c r="J456" s="1" t="s">
        <v>240</v>
      </c>
    </row>
    <row r="457" spans="1:10" x14ac:dyDescent="0.3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1144</v>
      </c>
      <c r="D457" s="1" t="s">
        <v>112</v>
      </c>
      <c r="E457" s="1" t="s">
        <v>1145</v>
      </c>
      <c r="F457" s="1" t="s">
        <v>1146</v>
      </c>
      <c r="G457" s="1" t="s">
        <v>1147</v>
      </c>
      <c r="H457" s="1" t="s">
        <v>1148</v>
      </c>
      <c r="I457" s="1">
        <v>24</v>
      </c>
      <c r="J457" s="1">
        <v>24</v>
      </c>
    </row>
    <row r="458" spans="1:10"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246</v>
      </c>
      <c r="D463" s="1" t="s">
        <v>110</v>
      </c>
      <c r="E463" s="1" t="s">
        <v>111</v>
      </c>
      <c r="F463" s="1" t="s">
        <v>112</v>
      </c>
      <c r="G463" s="1" t="s">
        <v>113</v>
      </c>
    </row>
    <row r="464" spans="1:10" x14ac:dyDescent="0.35">
      <c r="A464" s="1" t="str">
        <f t="shared" si="7"/>
        <v>03 Testo + 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1149</v>
      </c>
      <c r="D464" s="1" t="s">
        <v>1150</v>
      </c>
      <c r="E464" s="1" t="s">
        <v>1151</v>
      </c>
      <c r="F464" s="1" t="s">
        <v>112</v>
      </c>
      <c r="G464" s="1">
        <v>3394336</v>
      </c>
    </row>
    <row r="465" spans="1:7" x14ac:dyDescent="0.35">
      <c r="A465" s="1" t="str">
        <f t="shared" si="7"/>
        <v>03 Testo + 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1152</v>
      </c>
      <c r="D465" s="1" t="s">
        <v>489</v>
      </c>
      <c r="E465" s="1" t="s">
        <v>1153</v>
      </c>
      <c r="F465" s="1" t="s">
        <v>112</v>
      </c>
      <c r="G465" s="1">
        <v>4228471</v>
      </c>
    </row>
    <row r="466" spans="1:7" x14ac:dyDescent="0.35">
      <c r="A466" s="1" t="str">
        <f t="shared" si="7"/>
        <v>03 Testo + 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1154</v>
      </c>
      <c r="D466" s="1" t="s">
        <v>1155</v>
      </c>
      <c r="E466" s="1" t="s">
        <v>1156</v>
      </c>
      <c r="F466" s="1" t="s">
        <v>112</v>
      </c>
      <c r="G466" s="1">
        <v>4110048</v>
      </c>
    </row>
    <row r="467" spans="1:7" x14ac:dyDescent="0.35">
      <c r="A467" s="1" t="str">
        <f t="shared" si="7"/>
        <v>03 Testo + 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1157</v>
      </c>
      <c r="D467" s="1" t="s">
        <v>1119</v>
      </c>
      <c r="E467" s="1" t="s">
        <v>1158</v>
      </c>
      <c r="F467" s="1" t="s">
        <v>112</v>
      </c>
      <c r="G467" s="1">
        <v>4047516</v>
      </c>
    </row>
    <row r="468" spans="1:7" x14ac:dyDescent="0.35">
      <c r="A468" s="1" t="str">
        <f t="shared" si="7"/>
        <v>03 Testo + 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1159</v>
      </c>
      <c r="D468" s="1" t="s">
        <v>1160</v>
      </c>
      <c r="E468" s="1" t="s">
        <v>1161</v>
      </c>
      <c r="F468" s="1" t="s">
        <v>112</v>
      </c>
      <c r="G468" s="1">
        <v>2234000</v>
      </c>
    </row>
    <row r="469" spans="1:7" x14ac:dyDescent="0.35">
      <c r="A469" s="1" t="str">
        <f t="shared" si="7"/>
        <v>03 Testo + 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1162</v>
      </c>
      <c r="D469" s="1" t="s">
        <v>1163</v>
      </c>
      <c r="E469" s="1" t="s">
        <v>1164</v>
      </c>
      <c r="F469" s="1" t="s">
        <v>112</v>
      </c>
      <c r="G469" s="1">
        <v>2975646</v>
      </c>
    </row>
    <row r="470" spans="1:7" x14ac:dyDescent="0.35">
      <c r="A470" s="1" t="str">
        <f t="shared" si="7"/>
        <v>03 Testo + 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1165</v>
      </c>
      <c r="D470" s="1" t="s">
        <v>1166</v>
      </c>
      <c r="E470" s="1" t="s">
        <v>1167</v>
      </c>
      <c r="F470" s="1" t="s">
        <v>112</v>
      </c>
      <c r="G470" s="1">
        <v>5130308</v>
      </c>
    </row>
    <row r="471" spans="1:7" x14ac:dyDescent="0.35">
      <c r="A471" s="1" t="str">
        <f t="shared" si="7"/>
        <v>03 Testo + 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1168</v>
      </c>
    </row>
    <row r="472" spans="1:7" x14ac:dyDescent="0.35">
      <c r="A472" s="1" t="str">
        <f t="shared" si="7"/>
        <v>03 Testo + 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1169</v>
      </c>
      <c r="D472" s="1" t="s">
        <v>1170</v>
      </c>
      <c r="E472" s="1" t="s">
        <v>1171</v>
      </c>
      <c r="F472" s="1" t="s">
        <v>112</v>
      </c>
      <c r="G472" s="1">
        <v>4796732</v>
      </c>
    </row>
    <row r="473" spans="1:7" x14ac:dyDescent="0.35">
      <c r="A473" s="1" t="str">
        <f t="shared" si="7"/>
        <v>03 Testo + 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1172</v>
      </c>
      <c r="D473" s="1" t="s">
        <v>1173</v>
      </c>
      <c r="E473" s="1" t="s">
        <v>1174</v>
      </c>
      <c r="F473" s="1" t="s">
        <v>112</v>
      </c>
      <c r="G473" s="1">
        <v>5372476</v>
      </c>
    </row>
    <row r="474" spans="1:7" x14ac:dyDescent="0.35">
      <c r="A474" s="1" t="str">
        <f t="shared" si="7"/>
        <v>03 Testo + 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1175</v>
      </c>
      <c r="D474" s="1" t="s">
        <v>1176</v>
      </c>
      <c r="E474" s="1" t="s">
        <v>1177</v>
      </c>
      <c r="F474" s="1" t="s">
        <v>112</v>
      </c>
      <c r="G474" s="1">
        <v>5168052</v>
      </c>
    </row>
    <row r="475" spans="1:7" x14ac:dyDescent="0.35">
      <c r="A475" s="1" t="str">
        <f t="shared" si="7"/>
        <v>03 Testo + 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1178</v>
      </c>
      <c r="D475" s="1" t="s">
        <v>1179</v>
      </c>
      <c r="E475" s="1" t="s">
        <v>1180</v>
      </c>
      <c r="F475" s="1" t="s">
        <v>112</v>
      </c>
      <c r="G475" s="1">
        <v>4980456</v>
      </c>
    </row>
    <row r="476" spans="1:7" x14ac:dyDescent="0.35">
      <c r="A476" s="1" t="str">
        <f t="shared" si="7"/>
        <v>03 Testo + 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1181</v>
      </c>
    </row>
    <row r="477" spans="1:7" x14ac:dyDescent="0.35">
      <c r="A477" s="1" t="str">
        <f t="shared" si="7"/>
        <v>03 Testo + 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1182</v>
      </c>
      <c r="D477" s="1" t="s">
        <v>1183</v>
      </c>
      <c r="E477" s="1" t="s">
        <v>1184</v>
      </c>
      <c r="F477" s="1" t="s">
        <v>112</v>
      </c>
      <c r="G477" s="1">
        <v>4823834</v>
      </c>
    </row>
    <row r="478" spans="1:7" x14ac:dyDescent="0.35">
      <c r="A478" s="1" t="str">
        <f t="shared" si="7"/>
        <v>03 Testo + 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1185</v>
      </c>
      <c r="D478" s="1" t="s">
        <v>1186</v>
      </c>
      <c r="E478" s="1" t="s">
        <v>1187</v>
      </c>
      <c r="F478" s="1" t="s">
        <v>112</v>
      </c>
      <c r="G478" s="1">
        <v>4826213</v>
      </c>
    </row>
    <row r="479" spans="1:7" x14ac:dyDescent="0.35">
      <c r="A479" s="1" t="str">
        <f t="shared" si="7"/>
        <v>03 Testo + 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1188</v>
      </c>
      <c r="D479" s="1" t="s">
        <v>1189</v>
      </c>
      <c r="E479" s="1" t="s">
        <v>1190</v>
      </c>
      <c r="F479" s="1" t="s">
        <v>112</v>
      </c>
      <c r="G479" s="1">
        <v>4062613</v>
      </c>
    </row>
    <row r="480" spans="1:7" x14ac:dyDescent="0.35">
      <c r="A480" s="1" t="str">
        <f t="shared" si="7"/>
        <v>03 Testo + 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1191</v>
      </c>
      <c r="D480" s="1" t="s">
        <v>1192</v>
      </c>
      <c r="E480" s="1" t="s">
        <v>1193</v>
      </c>
      <c r="F480" s="1" t="s">
        <v>112</v>
      </c>
      <c r="G480" s="1">
        <v>3666721</v>
      </c>
    </row>
    <row r="481" spans="1:10" x14ac:dyDescent="0.35">
      <c r="A481" s="1" t="str">
        <f t="shared" si="7"/>
        <v>03 Testo + 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1194</v>
      </c>
      <c r="D481" s="1" t="s">
        <v>1195</v>
      </c>
      <c r="E481" s="1" t="s">
        <v>1196</v>
      </c>
      <c r="F481" s="1" t="s">
        <v>112</v>
      </c>
      <c r="G481" s="1">
        <v>3847828</v>
      </c>
    </row>
    <row r="482" spans="1:10" x14ac:dyDescent="0.35">
      <c r="A482" s="1" t="str">
        <f t="shared" si="7"/>
        <v>03 Testo + 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1197</v>
      </c>
      <c r="D482" s="1" t="s">
        <v>1198</v>
      </c>
      <c r="E482" s="1" t="s">
        <v>1199</v>
      </c>
      <c r="F482" s="1" t="s">
        <v>112</v>
      </c>
      <c r="G482" s="1">
        <v>5266577</v>
      </c>
    </row>
    <row r="483" spans="1:10" x14ac:dyDescent="0.35">
      <c r="A483" s="1" t="str">
        <f t="shared" si="7"/>
        <v>03 Testo + 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1200</v>
      </c>
      <c r="D483" s="1" t="s">
        <v>1201</v>
      </c>
      <c r="E483" s="1" t="s">
        <v>1202</v>
      </c>
      <c r="F483" s="1" t="s">
        <v>112</v>
      </c>
      <c r="G483" s="1">
        <v>5051467</v>
      </c>
    </row>
    <row r="484" spans="1:10" x14ac:dyDescent="0.35">
      <c r="A484" s="1" t="str">
        <f t="shared" si="7"/>
        <v>03 Testo + 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1203</v>
      </c>
      <c r="D484" s="1" t="s">
        <v>1204</v>
      </c>
      <c r="E484" s="1" t="s">
        <v>1205</v>
      </c>
      <c r="F484" s="1" t="s">
        <v>112</v>
      </c>
      <c r="G484" s="1">
        <v>5052332</v>
      </c>
    </row>
    <row r="485" spans="1:10" x14ac:dyDescent="0.35">
      <c r="A485" s="1" t="str">
        <f t="shared" si="7"/>
        <v>03 Testo + 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1206</v>
      </c>
      <c r="D485" s="1" t="s">
        <v>1207</v>
      </c>
      <c r="E485" s="1" t="s">
        <v>1208</v>
      </c>
      <c r="F485" s="1" t="s">
        <v>112</v>
      </c>
      <c r="G485" s="1">
        <v>3195644</v>
      </c>
    </row>
    <row r="486" spans="1:10" x14ac:dyDescent="0.35">
      <c r="A486" s="1" t="str">
        <f t="shared" si="7"/>
        <v>03 Testo + 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1209</v>
      </c>
      <c r="D486" s="1" t="s">
        <v>1210</v>
      </c>
      <c r="E486" s="1" t="s">
        <v>1211</v>
      </c>
      <c r="F486" s="1" t="s">
        <v>112</v>
      </c>
      <c r="G486" s="1">
        <v>3446918</v>
      </c>
    </row>
    <row r="487" spans="1:10" x14ac:dyDescent="0.35">
      <c r="A487" s="1" t="str">
        <f t="shared" si="7"/>
        <v>03 Testo + 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1212</v>
      </c>
      <c r="D487" s="1" t="s">
        <v>1213</v>
      </c>
      <c r="E487" s="1" t="s">
        <v>1214</v>
      </c>
      <c r="F487" s="1" t="s">
        <v>112</v>
      </c>
      <c r="G487" s="1">
        <v>3617470</v>
      </c>
    </row>
    <row r="488" spans="1:10"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234</v>
      </c>
      <c r="D489" s="1" t="s">
        <v>112</v>
      </c>
      <c r="E489" s="1" t="s">
        <v>235</v>
      </c>
      <c r="F489" s="1" t="s">
        <v>236</v>
      </c>
      <c r="G489" s="1" t="s">
        <v>237</v>
      </c>
      <c r="H489" s="1" t="s">
        <v>238</v>
      </c>
      <c r="I489" s="1" t="s">
        <v>239</v>
      </c>
      <c r="J489" s="1" t="s">
        <v>240</v>
      </c>
    </row>
    <row r="490" spans="1:10" x14ac:dyDescent="0.35">
      <c r="A490" s="1" t="str">
        <f t="shared" si="7"/>
        <v>03 Testo + 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1215</v>
      </c>
      <c r="D490" s="1" t="s">
        <v>112</v>
      </c>
      <c r="E490" s="1" t="s">
        <v>1216</v>
      </c>
      <c r="F490" s="1" t="s">
        <v>1217</v>
      </c>
      <c r="G490" s="1" t="s">
        <v>1218</v>
      </c>
      <c r="H490" s="1" t="s">
        <v>1219</v>
      </c>
      <c r="I490" s="1">
        <v>24</v>
      </c>
      <c r="J490" s="1">
        <v>24</v>
      </c>
    </row>
    <row r="491" spans="1:10"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246</v>
      </c>
      <c r="D496" s="1" t="s">
        <v>110</v>
      </c>
      <c r="E496" s="1" t="s">
        <v>111</v>
      </c>
      <c r="F496" s="1" t="s">
        <v>112</v>
      </c>
      <c r="G496" s="1" t="s">
        <v>113</v>
      </c>
    </row>
    <row r="497" spans="1:7" x14ac:dyDescent="0.35">
      <c r="A497" s="1" t="str">
        <f t="shared" si="7"/>
        <v>04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1220</v>
      </c>
      <c r="D497" s="1" t="s">
        <v>1221</v>
      </c>
      <c r="E497" s="1" t="s">
        <v>1222</v>
      </c>
      <c r="F497" s="1" t="s">
        <v>112</v>
      </c>
      <c r="G497" s="1">
        <v>1023786</v>
      </c>
    </row>
    <row r="498" spans="1:7" x14ac:dyDescent="0.35">
      <c r="A498" s="1" t="str">
        <f t="shared" si="7"/>
        <v>04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1223</v>
      </c>
      <c r="D498" s="1" t="s">
        <v>1224</v>
      </c>
      <c r="E498" s="1" t="s">
        <v>1225</v>
      </c>
      <c r="F498" s="1" t="s">
        <v>112</v>
      </c>
      <c r="G498" s="1">
        <v>132591</v>
      </c>
    </row>
    <row r="499" spans="1:7" x14ac:dyDescent="0.35">
      <c r="A499" s="1" t="str">
        <f t="shared" si="7"/>
        <v>04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1226</v>
      </c>
      <c r="D499" s="1" t="s">
        <v>1227</v>
      </c>
      <c r="E499" s="1" t="s">
        <v>1228</v>
      </c>
      <c r="F499" s="1" t="s">
        <v>112</v>
      </c>
      <c r="G499" s="1">
        <v>214677</v>
      </c>
    </row>
    <row r="500" spans="1:7" x14ac:dyDescent="0.35">
      <c r="A500" s="1" t="str">
        <f t="shared" si="7"/>
        <v>04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1229</v>
      </c>
      <c r="D500" s="1" t="s">
        <v>1230</v>
      </c>
      <c r="E500" s="1" t="s">
        <v>1231</v>
      </c>
      <c r="F500" s="1" t="s">
        <v>112</v>
      </c>
      <c r="G500" s="1">
        <v>713051</v>
      </c>
    </row>
    <row r="501" spans="1:7" x14ac:dyDescent="0.35">
      <c r="A501" s="1" t="str">
        <f t="shared" si="7"/>
        <v>04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1232</v>
      </c>
      <c r="D501" s="1" t="s">
        <v>1233</v>
      </c>
      <c r="E501" s="1" t="s">
        <v>1234</v>
      </c>
      <c r="F501" s="1" t="s">
        <v>112</v>
      </c>
      <c r="G501" s="1">
        <v>304744</v>
      </c>
    </row>
    <row r="502" spans="1:7" x14ac:dyDescent="0.35">
      <c r="A502" s="1" t="str">
        <f t="shared" si="7"/>
        <v>04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1235</v>
      </c>
      <c r="D502" s="1" t="s">
        <v>1236</v>
      </c>
      <c r="E502" s="1" t="s">
        <v>1237</v>
      </c>
      <c r="F502" s="1" t="s">
        <v>112</v>
      </c>
      <c r="G502" s="1">
        <v>375257</v>
      </c>
    </row>
    <row r="503" spans="1:7" x14ac:dyDescent="0.35">
      <c r="A503" s="1" t="str">
        <f t="shared" si="7"/>
        <v>04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1238</v>
      </c>
      <c r="D503" s="1" t="s">
        <v>934</v>
      </c>
      <c r="E503" s="1" t="s">
        <v>1239</v>
      </c>
      <c r="F503" s="1" t="s">
        <v>112</v>
      </c>
      <c r="G503" s="1">
        <v>52085</v>
      </c>
    </row>
    <row r="504" spans="1:7" x14ac:dyDescent="0.35">
      <c r="A504" s="1" t="str">
        <f t="shared" si="7"/>
        <v>04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1240</v>
      </c>
      <c r="D504" s="1" t="s">
        <v>218</v>
      </c>
      <c r="E504" s="1" t="s">
        <v>1241</v>
      </c>
      <c r="F504" s="1" t="s">
        <v>112</v>
      </c>
      <c r="G504" s="1">
        <v>42935</v>
      </c>
    </row>
    <row r="505" spans="1:7" x14ac:dyDescent="0.35">
      <c r="A505" s="1" t="str">
        <f t="shared" si="7"/>
        <v>04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1242</v>
      </c>
      <c r="D505" s="1" t="s">
        <v>1243</v>
      </c>
      <c r="E505" s="1" t="s">
        <v>1244</v>
      </c>
      <c r="F505" s="1" t="s">
        <v>112</v>
      </c>
      <c r="G505" s="1">
        <v>244569</v>
      </c>
    </row>
    <row r="506" spans="1:7" x14ac:dyDescent="0.35">
      <c r="A506" s="1" t="str">
        <f t="shared" si="7"/>
        <v>04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1245</v>
      </c>
      <c r="D506" s="1" t="s">
        <v>1246</v>
      </c>
      <c r="E506" s="1" t="s">
        <v>1247</v>
      </c>
      <c r="F506" s="1" t="s">
        <v>112</v>
      </c>
      <c r="G506" s="1">
        <v>760183</v>
      </c>
    </row>
    <row r="507" spans="1:7" x14ac:dyDescent="0.35">
      <c r="A507" s="1" t="str">
        <f t="shared" si="7"/>
        <v>04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1248</v>
      </c>
      <c r="D507" s="1" t="s">
        <v>374</v>
      </c>
      <c r="E507" s="1" t="s">
        <v>1249</v>
      </c>
      <c r="F507" s="1" t="s">
        <v>112</v>
      </c>
      <c r="G507" s="1">
        <v>482563</v>
      </c>
    </row>
    <row r="508" spans="1:7" x14ac:dyDescent="0.35">
      <c r="A508" s="1" t="str">
        <f t="shared" si="7"/>
        <v>04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1250</v>
      </c>
      <c r="D508" s="1" t="s">
        <v>336</v>
      </c>
      <c r="E508" s="1" t="s">
        <v>1251</v>
      </c>
      <c r="F508" s="1" t="s">
        <v>112</v>
      </c>
      <c r="G508" s="1">
        <v>123074</v>
      </c>
    </row>
    <row r="509" spans="1:7" x14ac:dyDescent="0.35">
      <c r="A509" s="1" t="str">
        <f t="shared" si="7"/>
        <v>04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1252</v>
      </c>
      <c r="D509" s="1" t="s">
        <v>361</v>
      </c>
      <c r="E509" s="1" t="s">
        <v>1253</v>
      </c>
      <c r="F509" s="1" t="s">
        <v>112</v>
      </c>
      <c r="G509" s="1">
        <v>84530</v>
      </c>
    </row>
    <row r="510" spans="1:7" x14ac:dyDescent="0.35">
      <c r="A510" s="1" t="str">
        <f t="shared" si="7"/>
        <v>04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1254</v>
      </c>
      <c r="D510" s="1" t="s">
        <v>713</v>
      </c>
      <c r="E510" s="1" t="s">
        <v>207</v>
      </c>
      <c r="F510" s="1" t="s">
        <v>112</v>
      </c>
      <c r="G510" s="1">
        <v>37312</v>
      </c>
    </row>
    <row r="511" spans="1:7" x14ac:dyDescent="0.35">
      <c r="A511" s="1" t="str">
        <f t="shared" si="7"/>
        <v>04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1255</v>
      </c>
      <c r="D511" s="1" t="s">
        <v>1256</v>
      </c>
      <c r="E511" s="1" t="s">
        <v>1257</v>
      </c>
      <c r="F511" s="1" t="s">
        <v>112</v>
      </c>
      <c r="G511" s="1">
        <v>266978</v>
      </c>
    </row>
    <row r="512" spans="1:7" x14ac:dyDescent="0.35">
      <c r="A512" s="1" t="str">
        <f t="shared" si="7"/>
        <v>04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1258</v>
      </c>
      <c r="D512" s="1" t="s">
        <v>1259</v>
      </c>
      <c r="E512" s="1" t="s">
        <v>1260</v>
      </c>
      <c r="F512" s="1" t="s">
        <v>112</v>
      </c>
      <c r="G512" s="1">
        <v>56065</v>
      </c>
    </row>
    <row r="513" spans="1:10" x14ac:dyDescent="0.35">
      <c r="A513" s="1" t="str">
        <f t="shared" si="7"/>
        <v>04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1261</v>
      </c>
      <c r="D513" s="1" t="s">
        <v>345</v>
      </c>
      <c r="E513" s="1" t="s">
        <v>1262</v>
      </c>
      <c r="F513" s="1" t="s">
        <v>112</v>
      </c>
      <c r="G513" s="1">
        <v>52777</v>
      </c>
    </row>
    <row r="514" spans="1:10" x14ac:dyDescent="0.35">
      <c r="A514" s="1" t="str">
        <f t="shared" ref="A514:A577" si="8">IFERROR(LEFT(RIGHT(C514,LEN(C514)-SEARCH("@",C514)),SEARCH("/",RIGHT(C514,LEN(C514)-SEARCH("@",C514)-1))),"")</f>
        <v>04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1263</v>
      </c>
      <c r="D514" s="1" t="s">
        <v>181</v>
      </c>
      <c r="E514" s="1" t="s">
        <v>1264</v>
      </c>
      <c r="F514" s="1" t="s">
        <v>112</v>
      </c>
      <c r="G514" s="1">
        <v>25999</v>
      </c>
    </row>
    <row r="515" spans="1:10" x14ac:dyDescent="0.35">
      <c r="A515" s="1" t="str">
        <f t="shared" si="8"/>
        <v>04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1265</v>
      </c>
    </row>
    <row r="516" spans="1:10" x14ac:dyDescent="0.35">
      <c r="A516" s="1" t="str">
        <f t="shared" si="8"/>
        <v>04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1266</v>
      </c>
    </row>
    <row r="517" spans="1:10" x14ac:dyDescent="0.35">
      <c r="A517" s="1" t="str">
        <f t="shared" si="8"/>
        <v>04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1267</v>
      </c>
    </row>
    <row r="518" spans="1:10" x14ac:dyDescent="0.35">
      <c r="A518" s="1" t="str">
        <f t="shared" si="8"/>
        <v>04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1268</v>
      </c>
      <c r="D518" s="1" t="s">
        <v>1269</v>
      </c>
      <c r="E518" s="1" t="s">
        <v>1270</v>
      </c>
      <c r="F518" s="1" t="s">
        <v>112</v>
      </c>
      <c r="G518" s="1">
        <v>71725</v>
      </c>
    </row>
    <row r="519" spans="1:10" x14ac:dyDescent="0.35">
      <c r="A519" s="1" t="str">
        <f t="shared" si="8"/>
        <v>04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1271</v>
      </c>
      <c r="D519" s="1" t="s">
        <v>1272</v>
      </c>
      <c r="E519" s="1" t="s">
        <v>1273</v>
      </c>
      <c r="F519" s="1" t="s">
        <v>112</v>
      </c>
      <c r="G519" s="1">
        <v>561750</v>
      </c>
    </row>
    <row r="520" spans="1:10" x14ac:dyDescent="0.35">
      <c r="A520" s="1" t="str">
        <f t="shared" si="8"/>
        <v>04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1274</v>
      </c>
      <c r="D520" s="1" t="s">
        <v>739</v>
      </c>
      <c r="E520" s="1" t="s">
        <v>1275</v>
      </c>
      <c r="F520" s="1" t="s">
        <v>112</v>
      </c>
      <c r="G520" s="1">
        <v>32575</v>
      </c>
    </row>
    <row r="521" spans="1:10"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234</v>
      </c>
      <c r="D522" s="1" t="s">
        <v>112</v>
      </c>
      <c r="E522" s="1" t="s">
        <v>235</v>
      </c>
      <c r="F522" s="1" t="s">
        <v>236</v>
      </c>
      <c r="G522" s="1" t="s">
        <v>237</v>
      </c>
      <c r="H522" s="1" t="s">
        <v>238</v>
      </c>
      <c r="I522" s="1" t="s">
        <v>239</v>
      </c>
      <c r="J522" s="1" t="s">
        <v>240</v>
      </c>
    </row>
    <row r="523" spans="1:10" x14ac:dyDescent="0.35">
      <c r="A523" s="1" t="str">
        <f t="shared" si="8"/>
        <v>04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1276</v>
      </c>
      <c r="D523" s="1" t="s">
        <v>112</v>
      </c>
      <c r="E523" s="1" t="s">
        <v>1277</v>
      </c>
      <c r="F523" s="1" t="s">
        <v>1278</v>
      </c>
      <c r="G523" s="1">
        <v>360465</v>
      </c>
      <c r="H523" s="1" t="s">
        <v>1279</v>
      </c>
      <c r="I523" s="1">
        <v>24</v>
      </c>
      <c r="J523" s="1">
        <v>24</v>
      </c>
    </row>
    <row r="524" spans="1:10"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246</v>
      </c>
      <c r="D529" s="1" t="s">
        <v>110</v>
      </c>
      <c r="E529" s="1" t="s">
        <v>111</v>
      </c>
      <c r="F529" s="1" t="s">
        <v>112</v>
      </c>
      <c r="G529" s="1" t="s">
        <v>113</v>
      </c>
    </row>
    <row r="530" spans="1:7" x14ac:dyDescent="0.35">
      <c r="A530" s="1" t="str">
        <f t="shared" si="8"/>
        <v>05 Cefuroxime D 0.001</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1280</v>
      </c>
      <c r="D530" s="1" t="s">
        <v>1281</v>
      </c>
      <c r="E530" s="1" t="s">
        <v>1282</v>
      </c>
      <c r="F530" s="1" t="s">
        <v>112</v>
      </c>
      <c r="G530" s="1">
        <v>2142960</v>
      </c>
    </row>
    <row r="531" spans="1:7" x14ac:dyDescent="0.35">
      <c r="A531" s="1" t="str">
        <f t="shared" si="8"/>
        <v>05 Cefuroxime D 0.001</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1283</v>
      </c>
    </row>
    <row r="532" spans="1:7" x14ac:dyDescent="0.35">
      <c r="A532" s="1" t="str">
        <f t="shared" si="8"/>
        <v>05 Cefuroxime D 0.001</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1284</v>
      </c>
      <c r="D532" s="1" t="s">
        <v>1285</v>
      </c>
      <c r="E532" s="1" t="s">
        <v>1286</v>
      </c>
      <c r="F532" s="1" t="s">
        <v>112</v>
      </c>
      <c r="G532" s="1">
        <v>2333087</v>
      </c>
    </row>
    <row r="533" spans="1:7" x14ac:dyDescent="0.35">
      <c r="A533" s="1" t="str">
        <f t="shared" si="8"/>
        <v>05 Cefuroxime D 0.001</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1287</v>
      </c>
      <c r="D533" s="1" t="s">
        <v>1288</v>
      </c>
      <c r="E533" s="1" t="s">
        <v>1289</v>
      </c>
      <c r="F533" s="1" t="s">
        <v>112</v>
      </c>
      <c r="G533" s="1">
        <v>3857454</v>
      </c>
    </row>
    <row r="534" spans="1:7" x14ac:dyDescent="0.35">
      <c r="A534" s="1" t="str">
        <f t="shared" si="8"/>
        <v>05 Cefuroxime D 0.001</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1290</v>
      </c>
      <c r="D534" s="1" t="s">
        <v>1291</v>
      </c>
      <c r="E534" s="1" t="s">
        <v>1292</v>
      </c>
      <c r="F534" s="1" t="s">
        <v>112</v>
      </c>
      <c r="G534" s="1">
        <v>3142369</v>
      </c>
    </row>
    <row r="535" spans="1:7" x14ac:dyDescent="0.35">
      <c r="A535" s="1" t="str">
        <f t="shared" si="8"/>
        <v>05 Cefuroxime D 0.001</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1293</v>
      </c>
      <c r="D535" s="1" t="s">
        <v>1294</v>
      </c>
      <c r="E535" s="1" t="s">
        <v>1295</v>
      </c>
      <c r="F535" s="1" t="s">
        <v>112</v>
      </c>
      <c r="G535" s="1">
        <v>3564023</v>
      </c>
    </row>
    <row r="536" spans="1:7" x14ac:dyDescent="0.35">
      <c r="A536" s="1" t="str">
        <f t="shared" si="8"/>
        <v>05 Cefuroxime D 0.001</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1296</v>
      </c>
    </row>
    <row r="537" spans="1:7" x14ac:dyDescent="0.35">
      <c r="A537" s="1" t="str">
        <f t="shared" si="8"/>
        <v>05 Cefuroxime D 0.001</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1297</v>
      </c>
      <c r="D537" s="1" t="s">
        <v>1298</v>
      </c>
      <c r="E537" s="1" t="s">
        <v>1299</v>
      </c>
      <c r="F537" s="1" t="s">
        <v>112</v>
      </c>
      <c r="G537" s="1">
        <v>5273368</v>
      </c>
    </row>
    <row r="538" spans="1:7" x14ac:dyDescent="0.35">
      <c r="A538" s="1" t="str">
        <f t="shared" si="8"/>
        <v>05 Cefuroxime D 0.001</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1300</v>
      </c>
      <c r="D538" s="1" t="s">
        <v>1301</v>
      </c>
      <c r="E538" s="1" t="s">
        <v>1302</v>
      </c>
      <c r="F538" s="1" t="s">
        <v>112</v>
      </c>
      <c r="G538" s="1">
        <v>5654790</v>
      </c>
    </row>
    <row r="539" spans="1:7" x14ac:dyDescent="0.35">
      <c r="A539" s="1" t="str">
        <f t="shared" si="8"/>
        <v>05 Cefuroxime D 0.001</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1303</v>
      </c>
      <c r="D539" s="1" t="s">
        <v>1304</v>
      </c>
      <c r="E539" s="1" t="s">
        <v>1305</v>
      </c>
      <c r="F539" s="1" t="s">
        <v>112</v>
      </c>
      <c r="G539" s="1">
        <v>3821029</v>
      </c>
    </row>
    <row r="540" spans="1:7" x14ac:dyDescent="0.35">
      <c r="A540" s="1" t="str">
        <f t="shared" si="8"/>
        <v>05 Cefuroxime D 0.001</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1306</v>
      </c>
      <c r="D540" s="1" t="s">
        <v>1307</v>
      </c>
      <c r="E540" s="1" t="s">
        <v>1308</v>
      </c>
      <c r="F540" s="1" t="s">
        <v>112</v>
      </c>
      <c r="G540" s="1">
        <v>3544967</v>
      </c>
    </row>
    <row r="541" spans="1:7" x14ac:dyDescent="0.35">
      <c r="A541" s="1" t="str">
        <f t="shared" si="8"/>
        <v>05 Cefuroxime D 0.001</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1309</v>
      </c>
      <c r="D541" s="1" t="s">
        <v>1310</v>
      </c>
      <c r="E541" s="1" t="s">
        <v>1311</v>
      </c>
      <c r="F541" s="1" t="s">
        <v>112</v>
      </c>
      <c r="G541" s="1">
        <v>3530821</v>
      </c>
    </row>
    <row r="542" spans="1:7" x14ac:dyDescent="0.35">
      <c r="A542" s="1" t="str">
        <f t="shared" si="8"/>
        <v>05 Cefuroxime D 0.001</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1312</v>
      </c>
      <c r="D542" s="1" t="s">
        <v>1313</v>
      </c>
      <c r="E542" s="1" t="s">
        <v>1314</v>
      </c>
      <c r="F542" s="1" t="s">
        <v>112</v>
      </c>
      <c r="G542" s="1">
        <v>3233280</v>
      </c>
    </row>
    <row r="543" spans="1:7" x14ac:dyDescent="0.35">
      <c r="A543" s="1" t="str">
        <f t="shared" si="8"/>
        <v>05 Cefuroxime D 0.001</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1315</v>
      </c>
      <c r="D543" s="1" t="s">
        <v>1316</v>
      </c>
      <c r="E543" s="1" t="s">
        <v>1317</v>
      </c>
      <c r="F543" s="1" t="s">
        <v>112</v>
      </c>
      <c r="G543" s="1">
        <v>3248183</v>
      </c>
    </row>
    <row r="544" spans="1:7" x14ac:dyDescent="0.35">
      <c r="A544" s="1" t="str">
        <f t="shared" si="8"/>
        <v>05 Cefuroxime D 0.001</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1318</v>
      </c>
      <c r="D544" s="1" t="s">
        <v>1319</v>
      </c>
      <c r="E544" s="1" t="s">
        <v>1320</v>
      </c>
      <c r="F544" s="1" t="s">
        <v>112</v>
      </c>
      <c r="G544" s="1">
        <v>3170077</v>
      </c>
    </row>
    <row r="545" spans="1:10" x14ac:dyDescent="0.35">
      <c r="A545" s="1" t="str">
        <f t="shared" si="8"/>
        <v>05 Cefuroxime D 0.001</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1321</v>
      </c>
      <c r="D545" s="1" t="s">
        <v>1322</v>
      </c>
      <c r="E545" s="1" t="s">
        <v>1323</v>
      </c>
      <c r="F545" s="1" t="s">
        <v>112</v>
      </c>
      <c r="G545" s="1">
        <v>3450855</v>
      </c>
    </row>
    <row r="546" spans="1:10" x14ac:dyDescent="0.35">
      <c r="A546" s="1" t="str">
        <f t="shared" si="8"/>
        <v>05 Cefuroxime D 0.001</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1324</v>
      </c>
      <c r="D546" s="1" t="s">
        <v>1325</v>
      </c>
      <c r="E546" s="1" t="s">
        <v>1326</v>
      </c>
      <c r="F546" s="1" t="s">
        <v>112</v>
      </c>
      <c r="G546" s="1">
        <v>3135751</v>
      </c>
    </row>
    <row r="547" spans="1:10" x14ac:dyDescent="0.35">
      <c r="A547" s="1" t="str">
        <f t="shared" si="8"/>
        <v>05 Cefuroxime D 0.001</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1327</v>
      </c>
      <c r="D547" s="1" t="s">
        <v>1328</v>
      </c>
      <c r="E547" s="1" t="s">
        <v>1329</v>
      </c>
      <c r="F547" s="1" t="s">
        <v>112</v>
      </c>
      <c r="G547" s="1">
        <v>2659266</v>
      </c>
    </row>
    <row r="548" spans="1:10" x14ac:dyDescent="0.35">
      <c r="A548" s="1" t="str">
        <f t="shared" si="8"/>
        <v>05 Cefuroxime D 0.001</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1330</v>
      </c>
      <c r="D548" s="1" t="s">
        <v>1331</v>
      </c>
      <c r="E548" s="1" t="s">
        <v>1332</v>
      </c>
      <c r="F548" s="1" t="s">
        <v>112</v>
      </c>
      <c r="G548" s="1">
        <v>3882826</v>
      </c>
    </row>
    <row r="549" spans="1:10" x14ac:dyDescent="0.35">
      <c r="A549" s="1" t="str">
        <f t="shared" si="8"/>
        <v>05 Cefuroxime D 0.001</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1333</v>
      </c>
      <c r="D549" s="1" t="s">
        <v>1334</v>
      </c>
      <c r="E549" s="1" t="s">
        <v>1335</v>
      </c>
      <c r="F549" s="1" t="s">
        <v>112</v>
      </c>
      <c r="G549" s="1">
        <v>3930368</v>
      </c>
    </row>
    <row r="550" spans="1:10" x14ac:dyDescent="0.35">
      <c r="A550" s="1" t="str">
        <f t="shared" si="8"/>
        <v>05 Cefuroxime D 0.001</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1336</v>
      </c>
      <c r="D550" s="1" t="s">
        <v>1337</v>
      </c>
      <c r="E550" s="1" t="s">
        <v>1338</v>
      </c>
      <c r="F550" s="1" t="s">
        <v>112</v>
      </c>
      <c r="G550" s="1">
        <v>3834504</v>
      </c>
    </row>
    <row r="551" spans="1:10" x14ac:dyDescent="0.35">
      <c r="A551" s="1" t="str">
        <f t="shared" si="8"/>
        <v>05 Cefuroxime D 0.001</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1339</v>
      </c>
      <c r="D551" s="1" t="s">
        <v>1340</v>
      </c>
      <c r="E551" s="1" t="s">
        <v>1341</v>
      </c>
      <c r="F551" s="1" t="s">
        <v>112</v>
      </c>
      <c r="G551" s="1">
        <v>2841173</v>
      </c>
    </row>
    <row r="552" spans="1:10" x14ac:dyDescent="0.35">
      <c r="A552" s="1" t="str">
        <f t="shared" si="8"/>
        <v>05 Cefuroxime D 0.001</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1342</v>
      </c>
      <c r="D552" s="1" t="s">
        <v>538</v>
      </c>
      <c r="E552" s="1" t="s">
        <v>1343</v>
      </c>
      <c r="F552" s="1" t="s">
        <v>112</v>
      </c>
      <c r="G552" s="1">
        <v>3123205</v>
      </c>
    </row>
    <row r="553" spans="1:10" x14ac:dyDescent="0.35">
      <c r="A553" s="1" t="str">
        <f t="shared" si="8"/>
        <v>05 Cefuroxime D 0.001</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1344</v>
      </c>
      <c r="D553" s="1" t="s">
        <v>1345</v>
      </c>
      <c r="E553" s="1" t="s">
        <v>1346</v>
      </c>
      <c r="F553" s="1" t="s">
        <v>112</v>
      </c>
      <c r="G553" s="1">
        <v>2674536</v>
      </c>
    </row>
    <row r="554" spans="1:10"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234</v>
      </c>
      <c r="D555" s="1" t="s">
        <v>112</v>
      </c>
      <c r="E555" s="1" t="s">
        <v>235</v>
      </c>
      <c r="F555" s="1" t="s">
        <v>236</v>
      </c>
      <c r="G555" s="1" t="s">
        <v>237</v>
      </c>
      <c r="H555" s="1" t="s">
        <v>238</v>
      </c>
      <c r="I555" s="1" t="s">
        <v>239</v>
      </c>
      <c r="J555" s="1" t="s">
        <v>240</v>
      </c>
    </row>
    <row r="556" spans="1:10" x14ac:dyDescent="0.35">
      <c r="A556" s="1" t="str">
        <f t="shared" si="8"/>
        <v>05 Cefuroxime D 0.001</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1347</v>
      </c>
      <c r="D556" s="1" t="s">
        <v>112</v>
      </c>
      <c r="E556" s="1" t="s">
        <v>1348</v>
      </c>
      <c r="F556" s="1" t="s">
        <v>1349</v>
      </c>
      <c r="G556" s="1" t="s">
        <v>1350</v>
      </c>
      <c r="H556" s="1" t="s">
        <v>1351</v>
      </c>
      <c r="I556" s="1">
        <v>24</v>
      </c>
      <c r="J556" s="1">
        <v>24</v>
      </c>
    </row>
    <row r="557" spans="1:10"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246</v>
      </c>
      <c r="D562" s="1" t="s">
        <v>110</v>
      </c>
      <c r="E562" s="1" t="s">
        <v>111</v>
      </c>
      <c r="F562" s="1" t="s">
        <v>112</v>
      </c>
      <c r="G562" s="1" t="s">
        <v>113</v>
      </c>
    </row>
    <row r="563" spans="1:7" x14ac:dyDescent="0.35">
      <c r="A563" s="1" t="str">
        <f t="shared" si="8"/>
        <v>06 Cefuroxime D 0.01</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1352</v>
      </c>
      <c r="D563" s="1" t="s">
        <v>1353</v>
      </c>
      <c r="E563" s="1" t="s">
        <v>1354</v>
      </c>
      <c r="F563" s="1" t="s">
        <v>112</v>
      </c>
      <c r="G563" s="1">
        <v>1041674</v>
      </c>
    </row>
    <row r="564" spans="1:7" x14ac:dyDescent="0.35">
      <c r="A564" s="1" t="str">
        <f t="shared" si="8"/>
        <v>06 Cefuroxime D 0.01</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1355</v>
      </c>
      <c r="D564" s="1" t="s">
        <v>1356</v>
      </c>
      <c r="E564" s="1" t="s">
        <v>1357</v>
      </c>
      <c r="F564" s="1" t="s">
        <v>112</v>
      </c>
      <c r="G564" s="1">
        <v>834373</v>
      </c>
    </row>
    <row r="565" spans="1:7" x14ac:dyDescent="0.35">
      <c r="A565" s="1" t="str">
        <f t="shared" si="8"/>
        <v>06 Cefuroxime D 0.01</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1358</v>
      </c>
      <c r="D565" s="1" t="s">
        <v>1359</v>
      </c>
      <c r="E565" s="1" t="s">
        <v>1360</v>
      </c>
      <c r="F565" s="1" t="s">
        <v>112</v>
      </c>
      <c r="G565" s="1">
        <v>1067219</v>
      </c>
    </row>
    <row r="566" spans="1:7" x14ac:dyDescent="0.35">
      <c r="A566" s="1" t="str">
        <f t="shared" si="8"/>
        <v>06 Cefuroxime D 0.01</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1361</v>
      </c>
      <c r="D566" s="1" t="s">
        <v>1362</v>
      </c>
      <c r="E566" s="1" t="s">
        <v>1363</v>
      </c>
      <c r="F566" s="1" t="s">
        <v>112</v>
      </c>
      <c r="G566" s="1">
        <v>2348747</v>
      </c>
    </row>
    <row r="567" spans="1:7" x14ac:dyDescent="0.35">
      <c r="A567" s="1" t="str">
        <f t="shared" si="8"/>
        <v>06 Cefuroxime D 0.01</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1364</v>
      </c>
      <c r="D567" s="1" t="s">
        <v>1365</v>
      </c>
      <c r="E567" s="1" t="s">
        <v>1366</v>
      </c>
      <c r="F567" s="1" t="s">
        <v>112</v>
      </c>
      <c r="G567" s="1">
        <v>2681025</v>
      </c>
    </row>
    <row r="568" spans="1:7" x14ac:dyDescent="0.35">
      <c r="A568" s="1" t="str">
        <f t="shared" si="8"/>
        <v>06 Cefuroxime D 0.01</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1367</v>
      </c>
      <c r="D568" s="1" t="s">
        <v>1368</v>
      </c>
      <c r="E568" s="1" t="s">
        <v>1369</v>
      </c>
      <c r="F568" s="1" t="s">
        <v>112</v>
      </c>
      <c r="G568" s="1">
        <v>2194721</v>
      </c>
    </row>
    <row r="569" spans="1:7" x14ac:dyDescent="0.35">
      <c r="A569" s="1" t="str">
        <f t="shared" si="8"/>
        <v>06 Cefuroxime D 0.01</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1370</v>
      </c>
      <c r="D569" s="1" t="s">
        <v>1371</v>
      </c>
      <c r="E569" s="1" t="s">
        <v>1372</v>
      </c>
      <c r="F569" s="1" t="s">
        <v>112</v>
      </c>
      <c r="G569" s="1">
        <v>4220122</v>
      </c>
    </row>
    <row r="570" spans="1:7" x14ac:dyDescent="0.35">
      <c r="A570" s="1" t="str">
        <f t="shared" si="8"/>
        <v>06 Cefuroxime D 0.01</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1373</v>
      </c>
      <c r="D570" s="1" t="s">
        <v>1374</v>
      </c>
      <c r="E570" s="1" t="s">
        <v>1375</v>
      </c>
      <c r="F570" s="1" t="s">
        <v>112</v>
      </c>
      <c r="G570" s="1">
        <v>4015698</v>
      </c>
    </row>
    <row r="571" spans="1:7" x14ac:dyDescent="0.35">
      <c r="A571" s="1" t="str">
        <f t="shared" si="8"/>
        <v>06 Cefuroxime D 0.01</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1376</v>
      </c>
      <c r="D571" s="1" t="s">
        <v>1037</v>
      </c>
      <c r="E571" s="1" t="s">
        <v>1377</v>
      </c>
      <c r="F571" s="1" t="s">
        <v>112</v>
      </c>
      <c r="G571" s="1">
        <v>4176992</v>
      </c>
    </row>
    <row r="572" spans="1:7" x14ac:dyDescent="0.35">
      <c r="A572" s="1" t="str">
        <f t="shared" si="8"/>
        <v>06 Cefuroxime D 0.01</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1378</v>
      </c>
      <c r="D572" s="1" t="s">
        <v>1379</v>
      </c>
      <c r="E572" s="1" t="s">
        <v>1380</v>
      </c>
      <c r="F572" s="1" t="s">
        <v>112</v>
      </c>
      <c r="G572" s="1">
        <v>3167049</v>
      </c>
    </row>
    <row r="573" spans="1:7" x14ac:dyDescent="0.35">
      <c r="A573" s="1" t="str">
        <f t="shared" si="8"/>
        <v>06 Cefuroxime D 0.01</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1381</v>
      </c>
      <c r="D573" s="1" t="s">
        <v>1382</v>
      </c>
      <c r="E573" s="1" t="s">
        <v>1383</v>
      </c>
      <c r="F573" s="1" t="s">
        <v>112</v>
      </c>
      <c r="G573" s="1">
        <v>2890122</v>
      </c>
    </row>
    <row r="574" spans="1:7" x14ac:dyDescent="0.35">
      <c r="A574" s="1" t="str">
        <f t="shared" si="8"/>
        <v>06 Cefuroxime D 0.01</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1384</v>
      </c>
      <c r="D574" s="1" t="s">
        <v>1385</v>
      </c>
      <c r="E574" s="1" t="s">
        <v>1386</v>
      </c>
      <c r="F574" s="1" t="s">
        <v>112</v>
      </c>
      <c r="G574" s="1">
        <v>3150762</v>
      </c>
    </row>
    <row r="575" spans="1:7" x14ac:dyDescent="0.35">
      <c r="A575" s="1" t="str">
        <f t="shared" si="8"/>
        <v>06 Cefuroxime D 0.01</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1387</v>
      </c>
      <c r="D575" s="1" t="s">
        <v>1388</v>
      </c>
      <c r="E575" s="1" t="s">
        <v>1389</v>
      </c>
      <c r="F575" s="1" t="s">
        <v>112</v>
      </c>
      <c r="G575" s="1">
        <v>5684553</v>
      </c>
    </row>
    <row r="576" spans="1:7" x14ac:dyDescent="0.35">
      <c r="A576" s="1" t="str">
        <f t="shared" si="8"/>
        <v>06 Cefuroxime D 0.01</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1390</v>
      </c>
      <c r="D576" s="1" t="s">
        <v>1391</v>
      </c>
      <c r="E576" s="1" t="s">
        <v>1392</v>
      </c>
      <c r="F576" s="1" t="s">
        <v>112</v>
      </c>
      <c r="G576" s="1">
        <v>4880916</v>
      </c>
    </row>
    <row r="577" spans="1:10" x14ac:dyDescent="0.35">
      <c r="A577" s="1" t="str">
        <f t="shared" si="8"/>
        <v>06 Cefuroxime D 0.01</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1393</v>
      </c>
      <c r="D577" s="1" t="s">
        <v>1394</v>
      </c>
      <c r="E577" s="1" t="s">
        <v>1395</v>
      </c>
      <c r="F577" s="1" t="s">
        <v>112</v>
      </c>
      <c r="G577" s="1">
        <v>5336419</v>
      </c>
    </row>
    <row r="578" spans="1:10" x14ac:dyDescent="0.35">
      <c r="A578" s="1" t="str">
        <f t="shared" ref="A578:A641" si="9">IFERROR(LEFT(RIGHT(C578,LEN(C578)-SEARCH("@",C578)),SEARCH("/",RIGHT(C578,LEN(C578)-SEARCH("@",C578)-1))),"")</f>
        <v>06 Cefuroxime D 0.01</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1396</v>
      </c>
      <c r="D578" s="1" t="s">
        <v>1397</v>
      </c>
      <c r="E578" s="1" t="s">
        <v>1398</v>
      </c>
      <c r="F578" s="1" t="s">
        <v>112</v>
      </c>
      <c r="G578" s="1">
        <v>1116773</v>
      </c>
    </row>
    <row r="579" spans="1:10" x14ac:dyDescent="0.35">
      <c r="A579" s="1" t="str">
        <f t="shared" si="9"/>
        <v>06 Cefuroxime D 0.01</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1399</v>
      </c>
      <c r="D579" s="1" t="s">
        <v>1246</v>
      </c>
      <c r="E579" s="1" t="s">
        <v>1400</v>
      </c>
      <c r="F579" s="1" t="s">
        <v>112</v>
      </c>
      <c r="G579" s="1">
        <v>756051</v>
      </c>
    </row>
    <row r="580" spans="1:10" x14ac:dyDescent="0.35">
      <c r="A580" s="1" t="str">
        <f t="shared" si="9"/>
        <v>06 Cefuroxime D 0.01</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1401</v>
      </c>
      <c r="D580" s="1" t="s">
        <v>1402</v>
      </c>
      <c r="E580" s="1" t="s">
        <v>1403</v>
      </c>
      <c r="F580" s="1" t="s">
        <v>112</v>
      </c>
      <c r="G580" s="1">
        <v>1171973</v>
      </c>
    </row>
    <row r="581" spans="1:10" x14ac:dyDescent="0.35">
      <c r="A581" s="1" t="str">
        <f t="shared" si="9"/>
        <v>06 Cefuroxime D 0.01</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1404</v>
      </c>
      <c r="D581" s="1" t="s">
        <v>1405</v>
      </c>
      <c r="E581" s="1" t="s">
        <v>1406</v>
      </c>
      <c r="F581" s="1" t="s">
        <v>112</v>
      </c>
      <c r="G581" s="1">
        <v>4170525</v>
      </c>
    </row>
    <row r="582" spans="1:10" x14ac:dyDescent="0.35">
      <c r="A582" s="1" t="str">
        <f t="shared" si="9"/>
        <v>06 Cefuroxime D 0.01</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1407</v>
      </c>
      <c r="D582" s="1" t="s">
        <v>1408</v>
      </c>
      <c r="E582" s="1" t="s">
        <v>1409</v>
      </c>
      <c r="F582" s="1" t="s">
        <v>112</v>
      </c>
      <c r="G582" s="1">
        <v>3773746</v>
      </c>
    </row>
    <row r="583" spans="1:10" x14ac:dyDescent="0.35">
      <c r="A583" s="1" t="str">
        <f t="shared" si="9"/>
        <v>06 Cefuroxime D 0.01</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1410</v>
      </c>
      <c r="D583" s="1" t="s">
        <v>1411</v>
      </c>
      <c r="E583" s="1" t="s">
        <v>1412</v>
      </c>
      <c r="F583" s="1" t="s">
        <v>112</v>
      </c>
      <c r="G583" s="1">
        <v>4083335</v>
      </c>
    </row>
    <row r="584" spans="1:10" x14ac:dyDescent="0.35">
      <c r="A584" s="1" t="str">
        <f t="shared" si="9"/>
        <v>06 Cefuroxime D 0.01</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1413</v>
      </c>
      <c r="D584" s="1" t="s">
        <v>1414</v>
      </c>
      <c r="E584" s="1" t="s">
        <v>1415</v>
      </c>
      <c r="F584" s="1" t="s">
        <v>112</v>
      </c>
      <c r="G584" s="1">
        <v>2958234</v>
      </c>
    </row>
    <row r="585" spans="1:10" x14ac:dyDescent="0.35">
      <c r="A585" s="1" t="str">
        <f t="shared" si="9"/>
        <v>06 Cefuroxime D 0.01</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1416</v>
      </c>
      <c r="D585" s="1" t="s">
        <v>1417</v>
      </c>
      <c r="E585" s="1" t="s">
        <v>1418</v>
      </c>
      <c r="F585" s="1" t="s">
        <v>112</v>
      </c>
      <c r="G585" s="1">
        <v>2584643</v>
      </c>
    </row>
    <row r="586" spans="1:10" x14ac:dyDescent="0.35">
      <c r="A586" s="1" t="str">
        <f t="shared" si="9"/>
        <v>06 Cefuroxime D 0.01</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1419</v>
      </c>
      <c r="D586" s="1" t="s">
        <v>1420</v>
      </c>
      <c r="E586" s="1" t="s">
        <v>1421</v>
      </c>
      <c r="F586" s="1" t="s">
        <v>112</v>
      </c>
      <c r="G586" s="1">
        <v>1554021</v>
      </c>
    </row>
    <row r="587" spans="1:10"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234</v>
      </c>
      <c r="D588" s="1" t="s">
        <v>112</v>
      </c>
      <c r="E588" s="1" t="s">
        <v>235</v>
      </c>
      <c r="F588" s="1" t="s">
        <v>236</v>
      </c>
      <c r="G588" s="1" t="s">
        <v>237</v>
      </c>
      <c r="H588" s="1" t="s">
        <v>238</v>
      </c>
      <c r="I588" s="1" t="s">
        <v>239</v>
      </c>
      <c r="J588" s="1" t="s">
        <v>240</v>
      </c>
    </row>
    <row r="589" spans="1:10" x14ac:dyDescent="0.35">
      <c r="A589" s="1" t="str">
        <f t="shared" si="9"/>
        <v>06 Cefuroxime D 0.01</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1422</v>
      </c>
      <c r="D589" s="1" t="s">
        <v>112</v>
      </c>
      <c r="E589" s="1" t="s">
        <v>1423</v>
      </c>
      <c r="F589" s="1" t="s">
        <v>1424</v>
      </c>
      <c r="G589" s="1" t="s">
        <v>1425</v>
      </c>
      <c r="H589" s="1" t="s">
        <v>1426</v>
      </c>
      <c r="I589" s="1">
        <v>24</v>
      </c>
      <c r="J589" s="1">
        <v>24</v>
      </c>
    </row>
    <row r="590" spans="1:10"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246</v>
      </c>
      <c r="D595" s="1" t="s">
        <v>110</v>
      </c>
      <c r="E595" s="1" t="s">
        <v>111</v>
      </c>
      <c r="F595" s="1" t="s">
        <v>112</v>
      </c>
      <c r="G595" s="1" t="s">
        <v>113</v>
      </c>
    </row>
    <row r="596" spans="1:7" x14ac:dyDescent="0.35">
      <c r="A596" s="1" t="str">
        <f t="shared" si="9"/>
        <v>07 Cefuroxime D 0.1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1427</v>
      </c>
      <c r="D596" s="1" t="s">
        <v>1428</v>
      </c>
      <c r="E596" s="1" t="s">
        <v>1429</v>
      </c>
      <c r="F596" s="1" t="s">
        <v>112</v>
      </c>
      <c r="G596" s="1">
        <v>1987333</v>
      </c>
    </row>
    <row r="597" spans="1:7" x14ac:dyDescent="0.35">
      <c r="A597" s="1" t="str">
        <f t="shared" si="9"/>
        <v>07 Cefuroxime D 0.1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1430</v>
      </c>
      <c r="D597" s="1" t="s">
        <v>1431</v>
      </c>
      <c r="E597" s="1" t="s">
        <v>1432</v>
      </c>
      <c r="F597" s="1" t="s">
        <v>112</v>
      </c>
      <c r="G597" s="1">
        <v>2321515</v>
      </c>
    </row>
    <row r="598" spans="1:7" x14ac:dyDescent="0.35">
      <c r="A598" s="1" t="str">
        <f t="shared" si="9"/>
        <v>07 Cefuroxime D 0.1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1433</v>
      </c>
      <c r="D598" s="1" t="s">
        <v>1434</v>
      </c>
      <c r="E598" s="1" t="s">
        <v>1435</v>
      </c>
      <c r="F598" s="1" t="s">
        <v>112</v>
      </c>
      <c r="G598" s="1">
        <v>2471086</v>
      </c>
    </row>
    <row r="599" spans="1:7" x14ac:dyDescent="0.35">
      <c r="A599" s="1" t="str">
        <f t="shared" si="9"/>
        <v>07 Cefuroxime D 0.1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1436</v>
      </c>
      <c r="D599" s="1" t="s">
        <v>1437</v>
      </c>
      <c r="E599" s="1" t="s">
        <v>1438</v>
      </c>
      <c r="F599" s="1" t="s">
        <v>112</v>
      </c>
      <c r="G599" s="1">
        <v>3002662</v>
      </c>
    </row>
    <row r="600" spans="1:7" x14ac:dyDescent="0.35">
      <c r="A600" s="1" t="str">
        <f t="shared" si="9"/>
        <v>07 Cefuroxime D 0.1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1439</v>
      </c>
      <c r="D600" s="1" t="s">
        <v>1440</v>
      </c>
      <c r="E600" s="1" t="s">
        <v>1441</v>
      </c>
      <c r="F600" s="1" t="s">
        <v>112</v>
      </c>
      <c r="G600" s="1">
        <v>3257873</v>
      </c>
    </row>
    <row r="601" spans="1:7" x14ac:dyDescent="0.35">
      <c r="A601" s="1" t="str">
        <f t="shared" si="9"/>
        <v>07 Cefuroxime D 0.1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1442</v>
      </c>
      <c r="D601" s="1" t="s">
        <v>1443</v>
      </c>
      <c r="E601" s="1" t="s">
        <v>1444</v>
      </c>
      <c r="F601" s="1" t="s">
        <v>112</v>
      </c>
      <c r="G601" s="1">
        <v>3123508</v>
      </c>
    </row>
    <row r="602" spans="1:7" x14ac:dyDescent="0.35">
      <c r="A602" s="1" t="str">
        <f t="shared" si="9"/>
        <v>07 Cefuroxime D 0.1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1445</v>
      </c>
      <c r="D602" s="1" t="s">
        <v>1446</v>
      </c>
      <c r="E602" s="1" t="s">
        <v>1447</v>
      </c>
      <c r="F602" s="1" t="s">
        <v>112</v>
      </c>
      <c r="G602" s="1">
        <v>3491606</v>
      </c>
    </row>
    <row r="603" spans="1:7" x14ac:dyDescent="0.35">
      <c r="A603" s="1" t="str">
        <f t="shared" si="9"/>
        <v>07 Cefuroxime D 0.1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1448</v>
      </c>
      <c r="D603" s="1" t="s">
        <v>1449</v>
      </c>
      <c r="E603" s="1" t="s">
        <v>1450</v>
      </c>
      <c r="F603" s="1" t="s">
        <v>112</v>
      </c>
      <c r="G603" s="1">
        <v>3526278</v>
      </c>
    </row>
    <row r="604" spans="1:7" x14ac:dyDescent="0.35">
      <c r="A604" s="1" t="str">
        <f t="shared" si="9"/>
        <v>07 Cefuroxime D 0.1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1451</v>
      </c>
    </row>
    <row r="605" spans="1:7" x14ac:dyDescent="0.35">
      <c r="A605" s="1" t="str">
        <f t="shared" si="9"/>
        <v>07 Cefuroxime D 0.1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1452</v>
      </c>
      <c r="D605" s="1" t="s">
        <v>1453</v>
      </c>
      <c r="E605" s="1" t="s">
        <v>1454</v>
      </c>
      <c r="F605" s="1" t="s">
        <v>112</v>
      </c>
      <c r="G605" s="1">
        <v>5205472</v>
      </c>
    </row>
    <row r="606" spans="1:7" x14ac:dyDescent="0.35">
      <c r="A606" s="1" t="str">
        <f t="shared" si="9"/>
        <v>07 Cefuroxime D 0.1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1455</v>
      </c>
      <c r="D606" s="1" t="s">
        <v>1456</v>
      </c>
      <c r="E606" s="1" t="s">
        <v>1457</v>
      </c>
      <c r="F606" s="1" t="s">
        <v>112</v>
      </c>
      <c r="G606" s="1">
        <v>5197556</v>
      </c>
    </row>
    <row r="607" spans="1:7" x14ac:dyDescent="0.35">
      <c r="A607" s="1" t="str">
        <f t="shared" si="9"/>
        <v>07 Cefuroxime D 0.1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1458</v>
      </c>
      <c r="D607" s="1" t="s">
        <v>1459</v>
      </c>
      <c r="E607" s="1" t="s">
        <v>1460</v>
      </c>
      <c r="F607" s="1" t="s">
        <v>112</v>
      </c>
      <c r="G607" s="1">
        <v>4996160</v>
      </c>
    </row>
    <row r="608" spans="1:7" x14ac:dyDescent="0.35">
      <c r="A608" s="1" t="str">
        <f t="shared" si="9"/>
        <v>07 Cefuroxime D 0.1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1461</v>
      </c>
      <c r="D608" s="1" t="s">
        <v>1462</v>
      </c>
      <c r="E608" s="1" t="s">
        <v>1463</v>
      </c>
      <c r="F608" s="1" t="s">
        <v>112</v>
      </c>
      <c r="G608" s="1">
        <v>3684177</v>
      </c>
    </row>
    <row r="609" spans="1:10" x14ac:dyDescent="0.35">
      <c r="A609" s="1" t="str">
        <f t="shared" si="9"/>
        <v>07 Cefuroxime D 0.1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1464</v>
      </c>
      <c r="D609" s="1" t="s">
        <v>1465</v>
      </c>
      <c r="E609" s="1" t="s">
        <v>1466</v>
      </c>
      <c r="F609" s="1" t="s">
        <v>112</v>
      </c>
      <c r="G609" s="1">
        <v>3003030</v>
      </c>
    </row>
    <row r="610" spans="1:10" x14ac:dyDescent="0.35">
      <c r="A610" s="1" t="str">
        <f t="shared" si="9"/>
        <v>07 Cefuroxime D 0.1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1467</v>
      </c>
      <c r="D610" s="1" t="s">
        <v>1468</v>
      </c>
      <c r="E610" s="1" t="s">
        <v>1469</v>
      </c>
      <c r="F610" s="1" t="s">
        <v>112</v>
      </c>
      <c r="G610" s="1">
        <v>3577412</v>
      </c>
    </row>
    <row r="611" spans="1:10" x14ac:dyDescent="0.35">
      <c r="A611" s="1" t="str">
        <f t="shared" si="9"/>
        <v>07 Cefuroxime D 0.1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1470</v>
      </c>
      <c r="D611" s="1" t="s">
        <v>1471</v>
      </c>
      <c r="E611" s="1" t="s">
        <v>1472</v>
      </c>
      <c r="F611" s="1" t="s">
        <v>112</v>
      </c>
      <c r="G611" s="1">
        <v>2997211</v>
      </c>
    </row>
    <row r="612" spans="1:10" x14ac:dyDescent="0.35">
      <c r="A612" s="1" t="str">
        <f t="shared" si="9"/>
        <v>07 Cefuroxime D 0.1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1473</v>
      </c>
      <c r="D612" s="1" t="s">
        <v>1340</v>
      </c>
      <c r="E612" s="1" t="s">
        <v>1474</v>
      </c>
      <c r="F612" s="1" t="s">
        <v>112</v>
      </c>
      <c r="G612" s="1">
        <v>2828174</v>
      </c>
    </row>
    <row r="613" spans="1:10" x14ac:dyDescent="0.35">
      <c r="A613" s="1" t="str">
        <f t="shared" si="9"/>
        <v>07 Cefuroxime D 0.1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1475</v>
      </c>
      <c r="D613" s="1" t="s">
        <v>1476</v>
      </c>
      <c r="E613" s="1" t="s">
        <v>1477</v>
      </c>
      <c r="F613" s="1" t="s">
        <v>112</v>
      </c>
      <c r="G613" s="1">
        <v>2602076</v>
      </c>
    </row>
    <row r="614" spans="1:10" x14ac:dyDescent="0.35">
      <c r="A614" s="1" t="str">
        <f t="shared" si="9"/>
        <v>07 Cefuroxime D 0.1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1478</v>
      </c>
      <c r="D614" s="1" t="s">
        <v>774</v>
      </c>
      <c r="E614" s="1" t="s">
        <v>1479</v>
      </c>
      <c r="F614" s="1" t="s">
        <v>112</v>
      </c>
      <c r="G614" s="1">
        <v>121192</v>
      </c>
    </row>
    <row r="615" spans="1:10" x14ac:dyDescent="0.35">
      <c r="A615" s="1" t="str">
        <f t="shared" si="9"/>
        <v>07 Cefuroxime D 0.1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1480</v>
      </c>
      <c r="D615" s="1" t="s">
        <v>1481</v>
      </c>
      <c r="E615" s="1" t="s">
        <v>1482</v>
      </c>
      <c r="F615" s="1" t="s">
        <v>112</v>
      </c>
      <c r="G615" s="1">
        <v>501749</v>
      </c>
    </row>
    <row r="616" spans="1:10" x14ac:dyDescent="0.35">
      <c r="A616" s="1" t="str">
        <f t="shared" si="9"/>
        <v>07 Cefuroxime D 0.1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1483</v>
      </c>
      <c r="D616" s="1" t="s">
        <v>783</v>
      </c>
      <c r="E616" s="1" t="s">
        <v>1484</v>
      </c>
      <c r="F616" s="1" t="s">
        <v>112</v>
      </c>
      <c r="G616" s="1">
        <v>229320</v>
      </c>
    </row>
    <row r="617" spans="1:10" x14ac:dyDescent="0.35">
      <c r="A617" s="1" t="str">
        <f t="shared" si="9"/>
        <v>07 Cefuroxime D 0.1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1485</v>
      </c>
    </row>
    <row r="618" spans="1:10" x14ac:dyDescent="0.35">
      <c r="A618" s="1" t="str">
        <f t="shared" si="9"/>
        <v>07 Cefuroxime D 0.1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1486</v>
      </c>
      <c r="D618" s="1" t="s">
        <v>1487</v>
      </c>
      <c r="E618" s="1" t="s">
        <v>1488</v>
      </c>
      <c r="F618" s="1" t="s">
        <v>112</v>
      </c>
      <c r="G618" s="1">
        <v>4200115</v>
      </c>
    </row>
    <row r="619" spans="1:10" x14ac:dyDescent="0.35">
      <c r="A619" s="1" t="str">
        <f t="shared" si="9"/>
        <v>07 Cefuroxime D 0.1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1489</v>
      </c>
      <c r="D619" s="1" t="s">
        <v>1490</v>
      </c>
      <c r="E619" s="1" t="s">
        <v>1491</v>
      </c>
      <c r="F619" s="1" t="s">
        <v>112</v>
      </c>
      <c r="G619" s="1">
        <v>4219149</v>
      </c>
    </row>
    <row r="620" spans="1:10"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234</v>
      </c>
      <c r="D621" s="1" t="s">
        <v>112</v>
      </c>
      <c r="E621" s="1" t="s">
        <v>235</v>
      </c>
      <c r="F621" s="1" t="s">
        <v>236</v>
      </c>
      <c r="G621" s="1" t="s">
        <v>237</v>
      </c>
      <c r="H621" s="1" t="s">
        <v>238</v>
      </c>
      <c r="I621" s="1" t="s">
        <v>239</v>
      </c>
      <c r="J621" s="1" t="s">
        <v>240</v>
      </c>
    </row>
    <row r="622" spans="1:10" x14ac:dyDescent="0.35">
      <c r="A622" s="1" t="str">
        <f t="shared" si="9"/>
        <v>07 Cefuroxime D 0.1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1492</v>
      </c>
      <c r="D622" s="1" t="s">
        <v>112</v>
      </c>
      <c r="E622" s="1" t="s">
        <v>1493</v>
      </c>
      <c r="F622" s="1" t="s">
        <v>1494</v>
      </c>
      <c r="G622" s="1" t="s">
        <v>1495</v>
      </c>
      <c r="H622" s="1" t="s">
        <v>1496</v>
      </c>
      <c r="I622" s="1">
        <v>24</v>
      </c>
      <c r="J622" s="1">
        <v>24</v>
      </c>
    </row>
    <row r="623" spans="1:10"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246</v>
      </c>
      <c r="D628" s="1" t="s">
        <v>110</v>
      </c>
      <c r="E628" s="1" t="s">
        <v>111</v>
      </c>
      <c r="F628" s="1" t="s">
        <v>112</v>
      </c>
      <c r="G628" s="1" t="s">
        <v>113</v>
      </c>
    </row>
    <row r="629" spans="1:7" x14ac:dyDescent="0.35">
      <c r="A629" s="1" t="str">
        <f t="shared" si="9"/>
        <v>08 Cefuroxime D 1</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1497</v>
      </c>
      <c r="D629" s="1" t="s">
        <v>1498</v>
      </c>
      <c r="E629" s="1" t="s">
        <v>1499</v>
      </c>
      <c r="F629" s="1" t="s">
        <v>112</v>
      </c>
      <c r="G629" s="1">
        <v>3389815</v>
      </c>
    </row>
    <row r="630" spans="1:7" x14ac:dyDescent="0.35">
      <c r="A630" s="1" t="str">
        <f t="shared" si="9"/>
        <v>08 Cefuroxime D 1</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1500</v>
      </c>
      <c r="D630" s="1" t="s">
        <v>1501</v>
      </c>
      <c r="E630" s="1" t="s">
        <v>1502</v>
      </c>
      <c r="F630" s="1" t="s">
        <v>112</v>
      </c>
      <c r="G630" s="1">
        <v>3536877</v>
      </c>
    </row>
    <row r="631" spans="1:7" x14ac:dyDescent="0.35">
      <c r="A631" s="1" t="str">
        <f t="shared" si="9"/>
        <v>08 Cefuroxime D 1</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1503</v>
      </c>
      <c r="D631" s="1" t="s">
        <v>1504</v>
      </c>
      <c r="E631" s="1" t="s">
        <v>1505</v>
      </c>
      <c r="F631" s="1" t="s">
        <v>112</v>
      </c>
      <c r="G631" s="1">
        <v>3294817</v>
      </c>
    </row>
    <row r="632" spans="1:7" x14ac:dyDescent="0.35">
      <c r="A632" s="1" t="str">
        <f t="shared" si="9"/>
        <v>08 Cefuroxime D 1</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1506</v>
      </c>
      <c r="D632" s="1" t="s">
        <v>1507</v>
      </c>
      <c r="E632" s="1" t="s">
        <v>1508</v>
      </c>
      <c r="F632" s="1" t="s">
        <v>112</v>
      </c>
      <c r="G632" s="1">
        <v>2748619</v>
      </c>
    </row>
    <row r="633" spans="1:7" x14ac:dyDescent="0.35">
      <c r="A633" s="1" t="str">
        <f t="shared" si="9"/>
        <v>08 Cefuroxime D 1</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1509</v>
      </c>
      <c r="D633" s="1" t="s">
        <v>1510</v>
      </c>
      <c r="E633" s="1" t="s">
        <v>1511</v>
      </c>
      <c r="F633" s="1" t="s">
        <v>112</v>
      </c>
      <c r="G633" s="1">
        <v>3095368</v>
      </c>
    </row>
    <row r="634" spans="1:7" x14ac:dyDescent="0.35">
      <c r="A634" s="1" t="str">
        <f t="shared" si="9"/>
        <v>08 Cefuroxime D 1</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1512</v>
      </c>
      <c r="D634" s="1" t="s">
        <v>1513</v>
      </c>
      <c r="E634" s="1" t="s">
        <v>1514</v>
      </c>
      <c r="F634" s="1" t="s">
        <v>112</v>
      </c>
      <c r="G634" s="1">
        <v>2948198</v>
      </c>
    </row>
    <row r="635" spans="1:7" x14ac:dyDescent="0.35">
      <c r="A635" s="1" t="str">
        <f t="shared" si="9"/>
        <v>08 Cefuroxime D 1</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1515</v>
      </c>
      <c r="D635" s="1" t="s">
        <v>1516</v>
      </c>
      <c r="E635" s="1" t="s">
        <v>1517</v>
      </c>
      <c r="F635" s="1" t="s">
        <v>112</v>
      </c>
      <c r="G635" s="1">
        <v>2926222</v>
      </c>
    </row>
    <row r="636" spans="1:7" x14ac:dyDescent="0.35">
      <c r="A636" s="1" t="str">
        <f t="shared" si="9"/>
        <v>08 Cefuroxime D 1</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1518</v>
      </c>
      <c r="D636" s="1" t="s">
        <v>1519</v>
      </c>
      <c r="E636" s="1" t="s">
        <v>1520</v>
      </c>
      <c r="F636" s="1" t="s">
        <v>112</v>
      </c>
      <c r="G636" s="1">
        <v>2701314</v>
      </c>
    </row>
    <row r="637" spans="1:7" x14ac:dyDescent="0.35">
      <c r="A637" s="1" t="str">
        <f t="shared" si="9"/>
        <v>08 Cefuroxime D 1</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1521</v>
      </c>
      <c r="D637" s="1" t="s">
        <v>1522</v>
      </c>
      <c r="E637" s="1" t="s">
        <v>1523</v>
      </c>
      <c r="F637" s="1" t="s">
        <v>112</v>
      </c>
      <c r="G637" s="1">
        <v>3239791</v>
      </c>
    </row>
    <row r="638" spans="1:7" x14ac:dyDescent="0.35">
      <c r="A638" s="1" t="str">
        <f t="shared" si="9"/>
        <v>08 Cefuroxime D 1</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1524</v>
      </c>
      <c r="D638" s="1" t="s">
        <v>1525</v>
      </c>
      <c r="E638" s="1" t="s">
        <v>1526</v>
      </c>
      <c r="F638" s="1" t="s">
        <v>112</v>
      </c>
      <c r="G638" s="1">
        <v>4234182</v>
      </c>
    </row>
    <row r="639" spans="1:7" x14ac:dyDescent="0.35">
      <c r="A639" s="1" t="str">
        <f t="shared" si="9"/>
        <v>08 Cefuroxime D 1</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1527</v>
      </c>
      <c r="D639" s="1" t="s">
        <v>1468</v>
      </c>
      <c r="E639" s="1" t="s">
        <v>1528</v>
      </c>
      <c r="F639" s="1" t="s">
        <v>112</v>
      </c>
      <c r="G639" s="1">
        <v>3679634</v>
      </c>
    </row>
    <row r="640" spans="1:7" x14ac:dyDescent="0.35">
      <c r="A640" s="1" t="str">
        <f t="shared" si="9"/>
        <v>08 Cefuroxime D 1</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1529</v>
      </c>
      <c r="D640" s="1" t="s">
        <v>1530</v>
      </c>
      <c r="E640" s="1" t="s">
        <v>1531</v>
      </c>
      <c r="F640" s="1" t="s">
        <v>112</v>
      </c>
      <c r="G640" s="1">
        <v>4014811</v>
      </c>
    </row>
    <row r="641" spans="1:10" x14ac:dyDescent="0.35">
      <c r="A641" s="1" t="str">
        <f t="shared" si="9"/>
        <v>08 Cefuroxime D 1</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1532</v>
      </c>
    </row>
    <row r="642" spans="1:10" x14ac:dyDescent="0.35">
      <c r="A642" s="1" t="str">
        <f t="shared" ref="A642:A705" si="10">IFERROR(LEFT(RIGHT(C642,LEN(C642)-SEARCH("@",C642)),SEARCH("/",RIGHT(C642,LEN(C642)-SEARCH("@",C642)-1))),"")</f>
        <v>08 Cefuroxime D 1</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1533</v>
      </c>
      <c r="D642" s="1" t="s">
        <v>1534</v>
      </c>
      <c r="E642" s="1" t="s">
        <v>1535</v>
      </c>
      <c r="F642" s="1" t="s">
        <v>112</v>
      </c>
      <c r="G642" s="1">
        <v>3006793</v>
      </c>
    </row>
    <row r="643" spans="1:10" x14ac:dyDescent="0.35">
      <c r="A643" s="1" t="str">
        <f t="shared" si="10"/>
        <v>08 Cefuroxime D 1</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1536</v>
      </c>
      <c r="D643" s="1" t="s">
        <v>1537</v>
      </c>
      <c r="E643" s="1" t="s">
        <v>1538</v>
      </c>
      <c r="F643" s="1" t="s">
        <v>112</v>
      </c>
      <c r="G643" s="1">
        <v>2989446</v>
      </c>
    </row>
    <row r="644" spans="1:10" x14ac:dyDescent="0.35">
      <c r="A644" s="1" t="str">
        <f t="shared" si="10"/>
        <v>08 Cefuroxime D 1</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1539</v>
      </c>
      <c r="D644" s="1" t="s">
        <v>1540</v>
      </c>
      <c r="E644" s="1" t="s">
        <v>1541</v>
      </c>
      <c r="F644" s="1" t="s">
        <v>112</v>
      </c>
      <c r="G644" s="1">
        <v>2831764</v>
      </c>
    </row>
    <row r="645" spans="1:10" x14ac:dyDescent="0.35">
      <c r="A645" s="1" t="str">
        <f t="shared" si="10"/>
        <v>08 Cefuroxime D 1</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1542</v>
      </c>
      <c r="D645" s="1" t="s">
        <v>1543</v>
      </c>
      <c r="E645" s="1" t="s">
        <v>1544</v>
      </c>
      <c r="F645" s="1" t="s">
        <v>112</v>
      </c>
      <c r="G645" s="1">
        <v>3138779</v>
      </c>
    </row>
    <row r="646" spans="1:10" x14ac:dyDescent="0.35">
      <c r="A646" s="1" t="str">
        <f t="shared" si="10"/>
        <v>08 Cefuroxime D 1</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1545</v>
      </c>
      <c r="D646" s="1" t="s">
        <v>1546</v>
      </c>
      <c r="E646" s="1" t="s">
        <v>1547</v>
      </c>
      <c r="F646" s="1" t="s">
        <v>112</v>
      </c>
      <c r="G646" s="1">
        <v>2908204</v>
      </c>
    </row>
    <row r="647" spans="1:10" x14ac:dyDescent="0.35">
      <c r="A647" s="1" t="str">
        <f t="shared" si="10"/>
        <v>08 Cefuroxime D 1</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1548</v>
      </c>
      <c r="D647" s="1" t="s">
        <v>1549</v>
      </c>
      <c r="E647" s="1" t="s">
        <v>1550</v>
      </c>
      <c r="F647" s="1" t="s">
        <v>112</v>
      </c>
      <c r="G647" s="1">
        <v>4419658</v>
      </c>
    </row>
    <row r="648" spans="1:10" x14ac:dyDescent="0.35">
      <c r="A648" s="1" t="str">
        <f t="shared" si="10"/>
        <v>08 Cefuroxime D 1</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1551</v>
      </c>
      <c r="D648" s="1" t="s">
        <v>1552</v>
      </c>
      <c r="E648" s="1" t="s">
        <v>1553</v>
      </c>
      <c r="F648" s="1" t="s">
        <v>112</v>
      </c>
      <c r="G648" s="1">
        <v>3696744</v>
      </c>
    </row>
    <row r="649" spans="1:10" x14ac:dyDescent="0.35">
      <c r="A649" s="1" t="str">
        <f t="shared" si="10"/>
        <v>08 Cefuroxime D 1</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1554</v>
      </c>
      <c r="D649" s="1" t="s">
        <v>1555</v>
      </c>
      <c r="E649" s="1" t="s">
        <v>1556</v>
      </c>
      <c r="F649" s="1" t="s">
        <v>112</v>
      </c>
      <c r="G649" s="1">
        <v>4470575</v>
      </c>
    </row>
    <row r="650" spans="1:10" x14ac:dyDescent="0.35">
      <c r="A650" s="1" t="str">
        <f t="shared" si="10"/>
        <v>08 Cefuroxime D 1</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1557</v>
      </c>
      <c r="D650" s="1" t="s">
        <v>1558</v>
      </c>
      <c r="E650" s="1" t="s">
        <v>1559</v>
      </c>
      <c r="F650" s="1" t="s">
        <v>112</v>
      </c>
      <c r="G650" s="1">
        <v>4185882</v>
      </c>
    </row>
    <row r="651" spans="1:10" x14ac:dyDescent="0.35">
      <c r="A651" s="1" t="str">
        <f t="shared" si="10"/>
        <v>08 Cefuroxime D 1</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1560</v>
      </c>
      <c r="D651" s="1" t="s">
        <v>1561</v>
      </c>
      <c r="E651" s="1" t="s">
        <v>1562</v>
      </c>
      <c r="F651" s="1" t="s">
        <v>112</v>
      </c>
      <c r="G651" s="1">
        <v>4431403</v>
      </c>
    </row>
    <row r="652" spans="1:10" x14ac:dyDescent="0.35">
      <c r="A652" s="1" t="str">
        <f t="shared" si="10"/>
        <v>08 Cefuroxime D 1</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1563</v>
      </c>
      <c r="D652" s="1" t="s">
        <v>1564</v>
      </c>
      <c r="E652" s="1" t="s">
        <v>1565</v>
      </c>
      <c r="F652" s="1" t="s">
        <v>112</v>
      </c>
      <c r="G652" s="1">
        <v>4180453</v>
      </c>
    </row>
    <row r="653" spans="1:10"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234</v>
      </c>
      <c r="D654" s="1" t="s">
        <v>112</v>
      </c>
      <c r="E654" s="1" t="s">
        <v>235</v>
      </c>
      <c r="F654" s="1" t="s">
        <v>236</v>
      </c>
      <c r="G654" s="1" t="s">
        <v>237</v>
      </c>
      <c r="H654" s="1" t="s">
        <v>238</v>
      </c>
      <c r="I654" s="1" t="s">
        <v>239</v>
      </c>
      <c r="J654" s="1" t="s">
        <v>240</v>
      </c>
    </row>
    <row r="655" spans="1:10" x14ac:dyDescent="0.35">
      <c r="A655" s="1" t="str">
        <f t="shared" si="10"/>
        <v>08 Cefuroxime D 1</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1566</v>
      </c>
      <c r="D655" s="1" t="s">
        <v>112</v>
      </c>
      <c r="E655" s="1" t="s">
        <v>1567</v>
      </c>
      <c r="F655" s="1" t="s">
        <v>1568</v>
      </c>
      <c r="G655" s="1" t="s">
        <v>1569</v>
      </c>
      <c r="H655" s="1" t="s">
        <v>1570</v>
      </c>
      <c r="I655" s="1">
        <v>24</v>
      </c>
      <c r="J655" s="1">
        <v>24</v>
      </c>
    </row>
    <row r="656" spans="1:10"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246</v>
      </c>
      <c r="D661" s="1" t="s">
        <v>110</v>
      </c>
      <c r="E661" s="1" t="s">
        <v>111</v>
      </c>
      <c r="F661" s="1" t="s">
        <v>112</v>
      </c>
      <c r="G661" s="1" t="s">
        <v>113</v>
      </c>
    </row>
    <row r="662" spans="1:7" x14ac:dyDescent="0.35">
      <c r="A662" s="1" t="str">
        <f t="shared" si="10"/>
        <v>09 Cefuroxime D 10</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1571</v>
      </c>
    </row>
    <row r="663" spans="1:7" x14ac:dyDescent="0.35">
      <c r="A663" s="1" t="str">
        <f t="shared" si="10"/>
        <v>09 Cefuroxime D 10</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1572</v>
      </c>
      <c r="D663" s="1" t="s">
        <v>1573</v>
      </c>
      <c r="E663" s="1" t="s">
        <v>1574</v>
      </c>
      <c r="F663" s="1" t="s">
        <v>112</v>
      </c>
      <c r="G663" s="1">
        <v>2009742</v>
      </c>
    </row>
    <row r="664" spans="1:7" x14ac:dyDescent="0.35">
      <c r="A664" s="1" t="str">
        <f t="shared" si="10"/>
        <v>09 Cefuroxime D 10</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1575</v>
      </c>
      <c r="D664" s="1" t="s">
        <v>1576</v>
      </c>
      <c r="E664" s="1" t="s">
        <v>1577</v>
      </c>
      <c r="F664" s="1" t="s">
        <v>112</v>
      </c>
      <c r="G664" s="1">
        <v>1851757</v>
      </c>
    </row>
    <row r="665" spans="1:7" x14ac:dyDescent="0.35">
      <c r="A665" s="1" t="str">
        <f t="shared" si="10"/>
        <v>09 Cefuroxime D 10</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1578</v>
      </c>
      <c r="D665" s="1" t="s">
        <v>1579</v>
      </c>
      <c r="E665" s="1" t="s">
        <v>1580</v>
      </c>
      <c r="F665" s="1" t="s">
        <v>112</v>
      </c>
      <c r="G665" s="1">
        <v>2239213</v>
      </c>
    </row>
    <row r="666" spans="1:7" x14ac:dyDescent="0.35">
      <c r="A666" s="1" t="str">
        <f t="shared" si="10"/>
        <v>09 Cefuroxime D 10</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1581</v>
      </c>
      <c r="D666" s="1" t="s">
        <v>1582</v>
      </c>
      <c r="E666" s="1" t="s">
        <v>1583</v>
      </c>
      <c r="F666" s="1" t="s">
        <v>112</v>
      </c>
      <c r="G666" s="1">
        <v>1608529</v>
      </c>
    </row>
    <row r="667" spans="1:7" x14ac:dyDescent="0.35">
      <c r="A667" s="1" t="str">
        <f t="shared" si="10"/>
        <v>09 Cefuroxime D 10</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1584</v>
      </c>
      <c r="D667" s="1" t="s">
        <v>1585</v>
      </c>
      <c r="E667" s="1" t="s">
        <v>1586</v>
      </c>
      <c r="F667" s="1" t="s">
        <v>112</v>
      </c>
      <c r="G667" s="1">
        <v>1698574</v>
      </c>
    </row>
    <row r="668" spans="1:7" x14ac:dyDescent="0.35">
      <c r="A668" s="1" t="str">
        <f t="shared" si="10"/>
        <v>09 Cefuroxime D 10</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1587</v>
      </c>
      <c r="D668" s="1" t="s">
        <v>1588</v>
      </c>
      <c r="E668" s="1" t="s">
        <v>1589</v>
      </c>
      <c r="F668" s="1" t="s">
        <v>112</v>
      </c>
      <c r="G668" s="1">
        <v>4265588</v>
      </c>
    </row>
    <row r="669" spans="1:7" x14ac:dyDescent="0.35">
      <c r="A669" s="1" t="str">
        <f t="shared" si="10"/>
        <v>09 Cefuroxime D 10</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1590</v>
      </c>
      <c r="D669" s="1" t="s">
        <v>1591</v>
      </c>
      <c r="E669" s="1" t="s">
        <v>1592</v>
      </c>
      <c r="F669" s="1" t="s">
        <v>112</v>
      </c>
      <c r="G669" s="1">
        <v>4542364</v>
      </c>
    </row>
    <row r="670" spans="1:7" x14ac:dyDescent="0.35">
      <c r="A670" s="1" t="str">
        <f t="shared" si="10"/>
        <v>09 Cefuroxime D 10</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1593</v>
      </c>
      <c r="D670" s="1" t="s">
        <v>571</v>
      </c>
      <c r="E670" s="1" t="s">
        <v>1594</v>
      </c>
      <c r="F670" s="1" t="s">
        <v>112</v>
      </c>
      <c r="G670" s="1">
        <v>4159775</v>
      </c>
    </row>
    <row r="671" spans="1:7" x14ac:dyDescent="0.35">
      <c r="A671" s="1" t="str">
        <f t="shared" si="10"/>
        <v>09 Cefuroxime D 10</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1595</v>
      </c>
      <c r="D671" s="1" t="s">
        <v>1596</v>
      </c>
      <c r="E671" s="1" t="s">
        <v>1597</v>
      </c>
      <c r="F671" s="1" t="s">
        <v>112</v>
      </c>
      <c r="G671" s="1">
        <v>3266006</v>
      </c>
    </row>
    <row r="672" spans="1:7" x14ac:dyDescent="0.35">
      <c r="A672" s="1" t="str">
        <f t="shared" si="10"/>
        <v>09 Cefuroxime D 10</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1598</v>
      </c>
      <c r="D672" s="1" t="s">
        <v>1599</v>
      </c>
      <c r="E672" s="1" t="s">
        <v>1600</v>
      </c>
      <c r="F672" s="1" t="s">
        <v>112</v>
      </c>
      <c r="G672" s="1">
        <v>3682122</v>
      </c>
    </row>
    <row r="673" spans="1:10" x14ac:dyDescent="0.35">
      <c r="A673" s="1" t="str">
        <f t="shared" si="10"/>
        <v>09 Cefuroxime D 10</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1601</v>
      </c>
      <c r="D673" s="1" t="s">
        <v>1602</v>
      </c>
      <c r="E673" s="1" t="s">
        <v>1603</v>
      </c>
      <c r="F673" s="1" t="s">
        <v>112</v>
      </c>
      <c r="G673" s="1">
        <v>3866041</v>
      </c>
    </row>
    <row r="674" spans="1:10" x14ac:dyDescent="0.35">
      <c r="A674" s="1" t="str">
        <f t="shared" si="10"/>
        <v>09 Cefuroxime D 10</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1604</v>
      </c>
      <c r="D674" s="1" t="s">
        <v>1605</v>
      </c>
      <c r="E674" s="1" t="s">
        <v>1606</v>
      </c>
      <c r="F674" s="1" t="s">
        <v>112</v>
      </c>
      <c r="G674" s="1">
        <v>4376636</v>
      </c>
    </row>
    <row r="675" spans="1:10" x14ac:dyDescent="0.35">
      <c r="A675" s="1" t="str">
        <f t="shared" si="10"/>
        <v>09 Cefuroxime D 10</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1607</v>
      </c>
      <c r="D675" s="1" t="s">
        <v>1608</v>
      </c>
      <c r="E675" s="1" t="s">
        <v>1609</v>
      </c>
      <c r="F675" s="1" t="s">
        <v>112</v>
      </c>
      <c r="G675" s="1">
        <v>4316678</v>
      </c>
    </row>
    <row r="676" spans="1:10" x14ac:dyDescent="0.35">
      <c r="A676" s="1" t="str">
        <f t="shared" si="10"/>
        <v>09 Cefuroxime D 10</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1610</v>
      </c>
      <c r="D676" s="1" t="s">
        <v>1611</v>
      </c>
      <c r="E676" s="1" t="s">
        <v>1612</v>
      </c>
      <c r="F676" s="1" t="s">
        <v>112</v>
      </c>
      <c r="G676" s="1">
        <v>3979728</v>
      </c>
    </row>
    <row r="677" spans="1:10" x14ac:dyDescent="0.35">
      <c r="A677" s="1" t="str">
        <f t="shared" si="10"/>
        <v>09 Cefuroxime D 10</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1613</v>
      </c>
      <c r="D677" s="1" t="s">
        <v>1614</v>
      </c>
      <c r="E677" s="1" t="s">
        <v>1615</v>
      </c>
      <c r="F677" s="1" t="s">
        <v>112</v>
      </c>
      <c r="G677" s="1">
        <v>1738697</v>
      </c>
    </row>
    <row r="678" spans="1:10" x14ac:dyDescent="0.35">
      <c r="A678" s="1" t="str">
        <f t="shared" si="10"/>
        <v>09 Cefuroxime D 10</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1616</v>
      </c>
    </row>
    <row r="679" spans="1:10" x14ac:dyDescent="0.35">
      <c r="A679" s="1" t="str">
        <f t="shared" si="10"/>
        <v>09 Cefuroxime D 10</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1617</v>
      </c>
      <c r="D679" s="1" t="s">
        <v>1618</v>
      </c>
      <c r="E679" s="1" t="s">
        <v>1619</v>
      </c>
      <c r="F679" s="1" t="s">
        <v>112</v>
      </c>
      <c r="G679" s="1">
        <v>1741358</v>
      </c>
    </row>
    <row r="680" spans="1:10" x14ac:dyDescent="0.35">
      <c r="A680" s="1" t="str">
        <f t="shared" si="10"/>
        <v>09 Cefuroxime D 10</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1620</v>
      </c>
      <c r="D680" s="1" t="s">
        <v>1621</v>
      </c>
      <c r="E680" s="1" t="s">
        <v>1622</v>
      </c>
      <c r="F680" s="1" t="s">
        <v>112</v>
      </c>
      <c r="G680" s="1">
        <v>3311537</v>
      </c>
    </row>
    <row r="681" spans="1:10" x14ac:dyDescent="0.35">
      <c r="A681" s="1" t="str">
        <f t="shared" si="10"/>
        <v>09 Cefuroxime D 10</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1623</v>
      </c>
      <c r="D681" s="1" t="s">
        <v>1624</v>
      </c>
      <c r="E681" s="1" t="s">
        <v>1625</v>
      </c>
      <c r="F681" s="1" t="s">
        <v>112</v>
      </c>
      <c r="G681" s="1">
        <v>3300960</v>
      </c>
    </row>
    <row r="682" spans="1:10" x14ac:dyDescent="0.35">
      <c r="A682" s="1" t="str">
        <f t="shared" si="10"/>
        <v>09 Cefuroxime D 10</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1626</v>
      </c>
      <c r="D682" s="1" t="s">
        <v>1627</v>
      </c>
      <c r="E682" s="1" t="s">
        <v>1628</v>
      </c>
      <c r="F682" s="1" t="s">
        <v>112</v>
      </c>
      <c r="G682" s="1">
        <v>2948890</v>
      </c>
    </row>
    <row r="683" spans="1:10" x14ac:dyDescent="0.35">
      <c r="A683" s="1" t="str">
        <f t="shared" si="10"/>
        <v>09 Cefuroxime D 10</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1629</v>
      </c>
    </row>
    <row r="684" spans="1:10" x14ac:dyDescent="0.35">
      <c r="A684" s="1" t="str">
        <f t="shared" si="10"/>
        <v>09 Cefuroxime D 10</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1630</v>
      </c>
      <c r="D684" s="1" t="s">
        <v>1631</v>
      </c>
      <c r="E684" s="1" t="s">
        <v>1632</v>
      </c>
      <c r="F684" s="1" t="s">
        <v>112</v>
      </c>
      <c r="G684" s="1">
        <v>3229711</v>
      </c>
    </row>
    <row r="685" spans="1:10" x14ac:dyDescent="0.35">
      <c r="A685" s="1" t="str">
        <f t="shared" si="10"/>
        <v>09 Cefuroxime D 10</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1633</v>
      </c>
      <c r="D685" s="1" t="s">
        <v>1501</v>
      </c>
      <c r="E685" s="1" t="s">
        <v>1634</v>
      </c>
      <c r="F685" s="1" t="s">
        <v>112</v>
      </c>
      <c r="G685" s="1">
        <v>3149053</v>
      </c>
    </row>
    <row r="686" spans="1:10"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234</v>
      </c>
      <c r="D687" s="1" t="s">
        <v>112</v>
      </c>
      <c r="E687" s="1" t="s">
        <v>235</v>
      </c>
      <c r="F687" s="1" t="s">
        <v>236</v>
      </c>
      <c r="G687" s="1" t="s">
        <v>237</v>
      </c>
      <c r="H687" s="1" t="s">
        <v>238</v>
      </c>
      <c r="I687" s="1" t="s">
        <v>239</v>
      </c>
      <c r="J687" s="1" t="s">
        <v>240</v>
      </c>
    </row>
    <row r="688" spans="1:10" x14ac:dyDescent="0.35">
      <c r="A688" s="1" t="str">
        <f t="shared" si="10"/>
        <v>09 Cefuroxime D 10</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1635</v>
      </c>
      <c r="D688" s="1" t="s">
        <v>112</v>
      </c>
      <c r="E688" s="1" t="s">
        <v>1636</v>
      </c>
      <c r="F688" s="1" t="s">
        <v>1637</v>
      </c>
      <c r="G688" s="1" t="s">
        <v>1638</v>
      </c>
      <c r="H688" s="1" t="s">
        <v>1639</v>
      </c>
      <c r="I688" s="1">
        <v>24</v>
      </c>
      <c r="J688" s="1">
        <v>24</v>
      </c>
    </row>
    <row r="689" spans="1:3"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3"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8" zoomScaleNormal="100" zoomScaleSheetLayoutView="40" zoomScalePageLayoutView="30" workbookViewId="0">
      <pane xSplit="1" topLeftCell="B1" activePane="topRight" state="frozen"/>
      <selection pane="topRight" activeCell="V4" sqref="B4:V20"/>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20" t="s">
        <v>40</v>
      </c>
      <c r="B1" s="221"/>
      <c r="C1" s="221"/>
      <c r="D1" s="221"/>
      <c r="E1" s="221"/>
      <c r="F1" s="221"/>
      <c r="G1" s="221"/>
      <c r="H1" s="221"/>
      <c r="I1" s="221"/>
      <c r="J1" s="221"/>
      <c r="K1" s="221"/>
      <c r="L1" s="221"/>
      <c r="M1" s="221"/>
      <c r="N1" s="221"/>
      <c r="O1" s="221"/>
      <c r="P1" s="221"/>
      <c r="Q1" s="221"/>
      <c r="R1" s="221"/>
      <c r="S1" s="221"/>
      <c r="T1" s="221"/>
      <c r="U1" s="221"/>
      <c r="V1" s="221"/>
    </row>
    <row r="2" spans="1:22" ht="15" thickBot="1" x14ac:dyDescent="0.4">
      <c r="A2"/>
      <c r="B2"/>
      <c r="C2"/>
      <c r="D2"/>
      <c r="E2"/>
      <c r="F2"/>
      <c r="G2"/>
      <c r="H2"/>
      <c r="I2"/>
      <c r="J2"/>
      <c r="K2"/>
      <c r="L2"/>
      <c r="M2"/>
      <c r="S2"/>
      <c r="T2"/>
      <c r="U2"/>
      <c r="V2"/>
    </row>
    <row r="3" spans="1:22" ht="15" thickBot="1" x14ac:dyDescent="0.4">
      <c r="A3" s="51" t="s">
        <v>17</v>
      </c>
      <c r="B3" s="228" t="s">
        <v>6</v>
      </c>
      <c r="C3" s="229"/>
      <c r="D3" s="229"/>
      <c r="E3" s="229"/>
      <c r="F3" s="229"/>
      <c r="G3" s="229"/>
      <c r="H3" s="229"/>
      <c r="I3" s="229"/>
      <c r="J3" s="229"/>
      <c r="K3" s="229"/>
      <c r="L3" s="229"/>
      <c r="M3" s="229"/>
      <c r="O3" s="228" t="s">
        <v>3</v>
      </c>
      <c r="P3" s="229"/>
      <c r="Q3" s="229"/>
      <c r="R3" s="229"/>
      <c r="S3" s="229"/>
      <c r="T3" s="229"/>
      <c r="U3" s="229"/>
      <c r="V3" s="229"/>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 0,001mg/L</v>
      </c>
      <c r="J4" s="35" t="str">
        <f>'Page de garde'!A16</f>
        <v>Cefuroxime 0,01mg/L</v>
      </c>
      <c r="K4" s="35" t="str">
        <f>'Page de garde'!A17</f>
        <v>Cefuroxime 0,1mg/L</v>
      </c>
      <c r="L4" s="35" t="str">
        <f>'Page de garde'!A18</f>
        <v>Cefuroxime 1mg/L</v>
      </c>
      <c r="M4" s="35" t="str">
        <f>'Page de garde'!A19</f>
        <v>Cefuroxime 10mg/L</v>
      </c>
      <c r="N4" s="3"/>
      <c r="O4" s="36" t="str">
        <f>'Page de garde'!A36</f>
        <v>Testo -30µg/L</v>
      </c>
      <c r="P4" s="36" t="str">
        <f>'Page de garde'!A37</f>
        <v>Testo 30µg/L + EE2 -64ng/L</v>
      </c>
      <c r="Q4" s="36" t="str">
        <f>'Page de garde'!A38</f>
        <v>Testo 30µg/L + FAD-10µg/L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24" t="s">
        <v>33</v>
      </c>
      <c r="B5" s="195">
        <v>123658.33333333333</v>
      </c>
      <c r="C5" s="195">
        <v>127486.33333333333</v>
      </c>
      <c r="D5" s="195">
        <v>209096</v>
      </c>
      <c r="E5" s="195">
        <v>116952.66666666667</v>
      </c>
      <c r="F5" s="195">
        <v>1199154</v>
      </c>
      <c r="G5" s="195">
        <v>3185355.3333333335</v>
      </c>
      <c r="H5" s="195">
        <v>7612367.666666667</v>
      </c>
      <c r="I5" s="195">
        <v>197805.33333333334</v>
      </c>
      <c r="J5" s="195">
        <v>305241.33333333331</v>
      </c>
      <c r="K5" s="195">
        <v>59215.666666666664</v>
      </c>
      <c r="L5" s="195">
        <v>282940.66666666669</v>
      </c>
      <c r="M5" s="195">
        <v>220120.33333333334</v>
      </c>
      <c r="N5" s="3"/>
      <c r="O5" s="195">
        <v>61861.666666666664</v>
      </c>
      <c r="P5" s="195">
        <v>3910951.6666666665</v>
      </c>
      <c r="Q5" s="195">
        <v>457018</v>
      </c>
      <c r="R5" s="4">
        <v>2238023.5</v>
      </c>
      <c r="S5" s="32">
        <v>981088.66666666663</v>
      </c>
      <c r="T5" s="32">
        <v>2259978</v>
      </c>
      <c r="U5" s="32">
        <v>3407169.6666666665</v>
      </c>
      <c r="V5" s="32">
        <v>1930749.5</v>
      </c>
    </row>
    <row r="6" spans="1:22" x14ac:dyDescent="0.35">
      <c r="A6" s="225"/>
      <c r="B6" s="195">
        <v>33555</v>
      </c>
      <c r="C6" s="195">
        <v>401825.66666666669</v>
      </c>
      <c r="D6" s="195">
        <v>163471.33333333334</v>
      </c>
      <c r="E6" s="195">
        <v>553458.66666666663</v>
      </c>
      <c r="F6" s="195">
        <v>4232790</v>
      </c>
      <c r="G6" s="195">
        <v>4620318.333333333</v>
      </c>
      <c r="H6" s="195">
        <v>7013284</v>
      </c>
      <c r="I6" s="195">
        <v>193991</v>
      </c>
      <c r="J6" s="195">
        <v>318889.66666666669</v>
      </c>
      <c r="K6" s="195">
        <v>94155</v>
      </c>
      <c r="L6" s="195">
        <v>283171</v>
      </c>
      <c r="M6" s="195">
        <v>75654</v>
      </c>
      <c r="N6" s="3"/>
      <c r="O6" s="195"/>
      <c r="P6" s="195">
        <v>3085720.6666666665</v>
      </c>
      <c r="Q6" s="195">
        <v>464350.66666666669</v>
      </c>
      <c r="R6" s="4">
        <v>3521282</v>
      </c>
      <c r="S6" s="32">
        <v>2408164.3333333335</v>
      </c>
      <c r="T6" s="32">
        <v>3128014.3333333335</v>
      </c>
      <c r="U6" s="32">
        <v>2930728.3333333335</v>
      </c>
      <c r="V6" s="32">
        <v>1848772</v>
      </c>
    </row>
    <row r="7" spans="1:22" x14ac:dyDescent="0.35">
      <c r="A7" s="225"/>
      <c r="B7" s="195">
        <v>20613</v>
      </c>
      <c r="C7" s="195">
        <v>186536.33333333334</v>
      </c>
      <c r="D7" s="195">
        <v>302443.66666666669</v>
      </c>
      <c r="E7" s="195">
        <v>1733621.3333333333</v>
      </c>
      <c r="F7" s="195">
        <v>2365942.6666666665</v>
      </c>
      <c r="G7" s="195">
        <v>4747509.333333333</v>
      </c>
      <c r="H7" s="195">
        <v>7236721</v>
      </c>
      <c r="I7" s="195">
        <v>71674</v>
      </c>
      <c r="J7" s="195">
        <v>242377.33333333334</v>
      </c>
      <c r="K7" s="195">
        <v>548339.33333333337</v>
      </c>
      <c r="L7" s="195">
        <v>76252.666666666672</v>
      </c>
      <c r="M7" s="195">
        <v>160753.33333333334</v>
      </c>
      <c r="N7" s="3"/>
      <c r="O7" s="195">
        <v>3367183.3333333335</v>
      </c>
      <c r="P7" s="195">
        <v>4963520</v>
      </c>
      <c r="Q7" s="195">
        <v>113196.33333333333</v>
      </c>
      <c r="R7" s="4">
        <v>5464079</v>
      </c>
      <c r="S7" s="32">
        <v>4137604</v>
      </c>
      <c r="T7" s="32">
        <v>3508942</v>
      </c>
      <c r="U7" s="32">
        <v>2955775.6666666665</v>
      </c>
      <c r="V7" s="32">
        <v>4322575.666666667</v>
      </c>
    </row>
    <row r="8" spans="1:22" x14ac:dyDescent="0.35">
      <c r="A8" s="225"/>
      <c r="B8" s="195">
        <v>101249.33333333333</v>
      </c>
      <c r="C8" s="195">
        <v>315306</v>
      </c>
      <c r="D8" s="195">
        <v>73253.333333333328</v>
      </c>
      <c r="E8" s="195">
        <v>89764</v>
      </c>
      <c r="F8" s="195">
        <v>3684458</v>
      </c>
      <c r="G8" s="195">
        <v>4510200.666666667</v>
      </c>
      <c r="H8" s="195">
        <v>8207290.333333333</v>
      </c>
      <c r="I8" s="195">
        <v>156982.66666666666</v>
      </c>
      <c r="J8" s="195">
        <v>42906.333333333336</v>
      </c>
      <c r="K8" s="195">
        <v>264728.33333333331</v>
      </c>
      <c r="L8" s="195">
        <v>113037.66666666667</v>
      </c>
      <c r="M8" s="195">
        <v>14438</v>
      </c>
      <c r="N8" s="3"/>
      <c r="O8" s="195">
        <v>3806868.6666666665</v>
      </c>
      <c r="P8" s="195">
        <v>5173661.333333333</v>
      </c>
      <c r="Q8" s="195">
        <v>455273.33333333331</v>
      </c>
      <c r="R8" s="4">
        <v>3632272.3333333335</v>
      </c>
      <c r="S8" s="32">
        <v>3069311</v>
      </c>
      <c r="T8" s="32">
        <v>5133062.666666667</v>
      </c>
      <c r="U8" s="32">
        <v>3976209</v>
      </c>
      <c r="V8" s="32">
        <v>3604723</v>
      </c>
    </row>
    <row r="9" spans="1:22" x14ac:dyDescent="0.35">
      <c r="A9" s="225"/>
      <c r="B9" s="195">
        <v>32812.333333333336</v>
      </c>
      <c r="C9" s="195">
        <v>450399.5</v>
      </c>
      <c r="D9" s="195">
        <v>648767</v>
      </c>
      <c r="E9" s="195">
        <v>1819550</v>
      </c>
      <c r="F9" s="195">
        <v>1846414.3333333333</v>
      </c>
      <c r="G9" s="195">
        <v>4614990.666666667</v>
      </c>
      <c r="H9" s="195">
        <v>604786.66666666663</v>
      </c>
      <c r="I9" s="195">
        <v>242961.33333333334</v>
      </c>
      <c r="J9" s="195">
        <v>367095.33333333331</v>
      </c>
      <c r="K9" s="195">
        <v>244922.66666666666</v>
      </c>
      <c r="L9" s="195">
        <v>77709</v>
      </c>
      <c r="M9" s="195">
        <v>370058.33333333331</v>
      </c>
      <c r="N9" s="3"/>
      <c r="O9" s="195">
        <v>4572322</v>
      </c>
      <c r="P9" s="195">
        <v>4825023.5</v>
      </c>
      <c r="Q9" s="195">
        <v>129606.66666666667</v>
      </c>
      <c r="R9" s="4">
        <v>3217180</v>
      </c>
      <c r="S9" s="32">
        <v>5300629.333333333</v>
      </c>
      <c r="T9" s="32">
        <v>3421539.6666666665</v>
      </c>
      <c r="U9" s="32">
        <v>2998119.5</v>
      </c>
      <c r="V9" s="32">
        <v>4224347.333333333</v>
      </c>
    </row>
    <row r="10" spans="1:22" x14ac:dyDescent="0.35">
      <c r="A10" s="225"/>
      <c r="B10" s="195">
        <v>308153.66666666669</v>
      </c>
      <c r="C10" s="195">
        <v>412713</v>
      </c>
      <c r="D10" s="195">
        <v>120233.33333333333</v>
      </c>
      <c r="E10" s="195">
        <v>972083.33333333337</v>
      </c>
      <c r="F10" s="195">
        <v>1352942.6666666667</v>
      </c>
      <c r="G10" s="195">
        <v>5370839.666666667</v>
      </c>
      <c r="H10" s="195">
        <v>2704977</v>
      </c>
      <c r="I10" s="195">
        <v>318305.33333333331</v>
      </c>
      <c r="J10" s="195">
        <v>44795.666666666664</v>
      </c>
      <c r="K10" s="195">
        <v>320028.66666666669</v>
      </c>
      <c r="L10" s="195">
        <v>52236</v>
      </c>
      <c r="M10" s="195">
        <v>60639.5</v>
      </c>
      <c r="N10" s="3"/>
      <c r="O10" s="195">
        <v>1792959.6666666667</v>
      </c>
      <c r="P10" s="195">
        <v>3859054</v>
      </c>
      <c r="Q10" s="195">
        <v>44947</v>
      </c>
      <c r="R10" s="4">
        <v>3081957.3333333335</v>
      </c>
      <c r="S10" s="32">
        <v>1014932.3333333334</v>
      </c>
      <c r="T10" s="32">
        <v>2809153.6666666665</v>
      </c>
      <c r="U10" s="32">
        <v>2959582.3333333335</v>
      </c>
      <c r="V10" s="32">
        <v>1740027.5</v>
      </c>
    </row>
    <row r="11" spans="1:22" x14ac:dyDescent="0.35">
      <c r="A11" s="225"/>
      <c r="B11" s="195">
        <v>30188</v>
      </c>
      <c r="C11" s="195">
        <v>34096</v>
      </c>
      <c r="D11" s="195">
        <v>74940.333333333328</v>
      </c>
      <c r="E11" s="195">
        <v>1154012.3333333333</v>
      </c>
      <c r="F11" s="195">
        <v>5514477</v>
      </c>
      <c r="G11" s="195">
        <v>43894.333333333336</v>
      </c>
      <c r="H11" s="195">
        <v>7059038.666666667</v>
      </c>
      <c r="I11" s="195">
        <v>128604</v>
      </c>
      <c r="J11" s="195">
        <v>233595.66666666666</v>
      </c>
      <c r="K11" s="195">
        <v>450897</v>
      </c>
      <c r="L11" s="195">
        <v>56468.333333333336</v>
      </c>
      <c r="M11" s="195">
        <v>159809</v>
      </c>
      <c r="N11" s="3"/>
      <c r="O11" s="195">
        <v>2133025</v>
      </c>
      <c r="P11" s="195">
        <v>5123458.666666667</v>
      </c>
      <c r="Q11" s="195"/>
      <c r="R11" s="4">
        <v>3882566</v>
      </c>
      <c r="S11" s="32">
        <v>4009202</v>
      </c>
      <c r="T11" s="32">
        <v>284087</v>
      </c>
      <c r="U11" s="32">
        <v>4195659</v>
      </c>
      <c r="V11" s="32">
        <v>3187129</v>
      </c>
    </row>
    <row r="12" spans="1:22" x14ac:dyDescent="0.35">
      <c r="A12" s="225"/>
      <c r="B12" s="195">
        <v>81919.666666666672</v>
      </c>
      <c r="C12" s="195">
        <v>40635.333333333336</v>
      </c>
      <c r="D12" s="195">
        <v>458626</v>
      </c>
      <c r="E12" s="195">
        <v>330274</v>
      </c>
      <c r="F12" s="195">
        <v>2284549.3333333335</v>
      </c>
      <c r="G12" s="195">
        <v>3387036</v>
      </c>
      <c r="H12" s="195">
        <v>6640392</v>
      </c>
      <c r="I12" s="195">
        <v>53079.666666666664</v>
      </c>
      <c r="J12" s="195">
        <v>9074</v>
      </c>
      <c r="K12" s="195">
        <v>190696</v>
      </c>
      <c r="L12" s="195">
        <v>191922</v>
      </c>
      <c r="M12" s="195">
        <v>285038.5</v>
      </c>
      <c r="N12" s="3"/>
      <c r="O12" s="195">
        <v>854770</v>
      </c>
      <c r="P12" s="195">
        <v>3420010.6666666665</v>
      </c>
      <c r="Q12" s="195">
        <v>222016.66666666666</v>
      </c>
      <c r="R12" s="4">
        <v>2879638</v>
      </c>
      <c r="S12" s="32">
        <v>2365632.6666666665</v>
      </c>
      <c r="T12" s="32">
        <v>4209632</v>
      </c>
      <c r="U12" s="32">
        <v>4265912.666666667</v>
      </c>
      <c r="V12" s="32">
        <v>3189382</v>
      </c>
    </row>
    <row r="13" spans="1:22" ht="16.5" x14ac:dyDescent="0.35">
      <c r="A13" s="225"/>
      <c r="B13" s="14"/>
      <c r="C13" s="13"/>
      <c r="D13" s="16"/>
      <c r="E13" s="16"/>
      <c r="F13" s="16"/>
      <c r="G13" s="16"/>
      <c r="H13" s="16"/>
      <c r="I13" s="32"/>
      <c r="J13" s="16"/>
      <c r="K13" s="13"/>
      <c r="L13" s="13"/>
      <c r="M13" s="13"/>
      <c r="N13" s="3"/>
      <c r="O13" s="195">
        <v>2955624</v>
      </c>
      <c r="P13" s="13"/>
      <c r="Q13" s="13"/>
      <c r="R13" s="4"/>
      <c r="S13" s="32"/>
      <c r="T13" s="32"/>
      <c r="U13" s="32"/>
      <c r="V13" s="32"/>
    </row>
    <row r="14" spans="1:22" ht="16.5" x14ac:dyDescent="0.35">
      <c r="A14" s="225"/>
      <c r="B14" s="14"/>
      <c r="C14" s="16"/>
      <c r="D14" s="16"/>
      <c r="E14" s="16"/>
      <c r="F14" s="16"/>
      <c r="G14" s="16"/>
      <c r="H14" s="16"/>
      <c r="I14" s="32"/>
      <c r="J14" s="16"/>
      <c r="K14" s="13"/>
      <c r="L14" s="13"/>
      <c r="M14" s="13"/>
      <c r="N14" s="3"/>
      <c r="O14" s="195">
        <v>2706930.6666666665</v>
      </c>
      <c r="P14" s="13"/>
      <c r="Q14" s="13"/>
      <c r="R14" s="4"/>
      <c r="S14" s="32"/>
      <c r="T14" s="32"/>
      <c r="U14" s="32"/>
      <c r="V14" s="32"/>
    </row>
    <row r="15" spans="1:22" ht="16.5" x14ac:dyDescent="0.35">
      <c r="A15" s="225"/>
      <c r="B15" s="14"/>
      <c r="C15" s="16"/>
      <c r="D15" s="16"/>
      <c r="E15" s="16"/>
      <c r="F15" s="16"/>
      <c r="G15" s="16"/>
      <c r="H15" s="16"/>
      <c r="I15" s="32"/>
      <c r="J15" s="16"/>
      <c r="K15" s="13"/>
      <c r="L15" s="13"/>
      <c r="M15" s="13"/>
      <c r="N15" s="3"/>
      <c r="O15" s="195">
        <v>2052677</v>
      </c>
      <c r="P15" s="13"/>
      <c r="Q15" s="13"/>
      <c r="R15" s="4"/>
      <c r="S15" s="32"/>
      <c r="T15" s="32"/>
      <c r="U15" s="32"/>
      <c r="V15" s="32"/>
    </row>
    <row r="16" spans="1:22" ht="16.5" x14ac:dyDescent="0.35">
      <c r="A16" s="225"/>
      <c r="B16" s="14"/>
      <c r="C16" s="16"/>
      <c r="D16" s="16"/>
      <c r="E16" s="16"/>
      <c r="F16" s="16"/>
      <c r="G16" s="16"/>
      <c r="H16" s="16"/>
      <c r="I16" s="32"/>
      <c r="J16" s="16"/>
      <c r="K16" s="13"/>
      <c r="L16" s="13"/>
      <c r="M16" s="13"/>
      <c r="N16" s="3"/>
      <c r="O16" s="195">
        <v>3526480.3333333335</v>
      </c>
      <c r="P16" s="13"/>
      <c r="Q16" s="13"/>
      <c r="R16" s="4"/>
      <c r="S16" s="32"/>
      <c r="T16" s="32"/>
      <c r="U16" s="32"/>
      <c r="V16" s="32"/>
    </row>
    <row r="17" spans="1:22" s="1" customFormat="1" ht="16.5" x14ac:dyDescent="0.35">
      <c r="A17" s="225"/>
      <c r="B17" s="14"/>
      <c r="C17" s="32"/>
      <c r="D17" s="32"/>
      <c r="E17" s="32"/>
      <c r="F17" s="32"/>
      <c r="G17" s="32"/>
      <c r="H17" s="32"/>
      <c r="I17" s="32"/>
      <c r="J17" s="32"/>
      <c r="K17" s="13"/>
      <c r="L17" s="13"/>
      <c r="M17" s="13"/>
      <c r="N17" s="3"/>
      <c r="O17" s="195">
        <v>4271796</v>
      </c>
      <c r="P17" s="13"/>
      <c r="Q17" s="13"/>
      <c r="R17" s="32"/>
      <c r="S17" s="32"/>
      <c r="T17" s="32"/>
      <c r="U17" s="32"/>
      <c r="V17" s="32"/>
    </row>
    <row r="18" spans="1:22" s="1" customFormat="1" ht="16.5" x14ac:dyDescent="0.35">
      <c r="A18" s="225"/>
      <c r="B18" s="14"/>
      <c r="C18" s="32"/>
      <c r="D18" s="32"/>
      <c r="E18" s="32"/>
      <c r="F18" s="32"/>
      <c r="G18" s="32"/>
      <c r="H18" s="32"/>
      <c r="I18" s="32"/>
      <c r="J18" s="32"/>
      <c r="K18" s="13"/>
      <c r="L18" s="13"/>
      <c r="M18" s="13"/>
      <c r="N18" s="3"/>
      <c r="O18" s="195">
        <v>81361</v>
      </c>
      <c r="P18" s="13"/>
      <c r="Q18" s="13"/>
      <c r="R18" s="32"/>
      <c r="S18" s="32"/>
      <c r="T18" s="32"/>
      <c r="U18" s="32"/>
      <c r="V18" s="32"/>
    </row>
    <row r="19" spans="1:22" s="1" customFormat="1" ht="16.5" x14ac:dyDescent="0.35">
      <c r="A19" s="225"/>
      <c r="B19" s="14"/>
      <c r="C19" s="32"/>
      <c r="D19" s="32"/>
      <c r="E19" s="32"/>
      <c r="F19" s="32"/>
      <c r="G19" s="32"/>
      <c r="H19" s="32"/>
      <c r="I19" s="32"/>
      <c r="J19" s="32"/>
      <c r="K19" s="13"/>
      <c r="L19" s="13"/>
      <c r="M19" s="13"/>
      <c r="N19" s="3"/>
      <c r="O19" s="195">
        <v>455352.33333333331</v>
      </c>
      <c r="P19" s="13"/>
      <c r="Q19" s="13"/>
      <c r="R19" s="32"/>
      <c r="S19" s="32"/>
      <c r="T19" s="32"/>
      <c r="U19" s="32"/>
      <c r="V19" s="32"/>
    </row>
    <row r="20" spans="1:22" ht="16.5" x14ac:dyDescent="0.35">
      <c r="A20" s="225"/>
      <c r="B20" s="14"/>
      <c r="C20" s="16"/>
      <c r="D20" s="16"/>
      <c r="E20" s="16"/>
      <c r="F20" s="16"/>
      <c r="G20" s="16"/>
      <c r="H20" s="16"/>
      <c r="I20" s="32"/>
      <c r="J20" s="16"/>
      <c r="K20" s="13"/>
      <c r="L20" s="13"/>
      <c r="M20" s="13"/>
      <c r="N20" s="3"/>
      <c r="O20" s="195">
        <v>2884036.3333333335</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Cefuroxime 0,001mg/L</v>
      </c>
      <c r="J22" s="68" t="str">
        <f t="shared" si="0"/>
        <v>Cefuroxime 0,01mg/L</v>
      </c>
      <c r="K22" s="68" t="str">
        <f t="shared" si="0"/>
        <v>Cefuroxime 0,1mg/L</v>
      </c>
      <c r="L22" s="68" t="str">
        <f t="shared" si="0"/>
        <v>Cefuroxime 1mg/L</v>
      </c>
      <c r="M22" s="68" t="str">
        <f t="shared" si="0"/>
        <v>Cefuroxime 10mg/L</v>
      </c>
      <c r="N22" s="68" t="s">
        <v>47</v>
      </c>
      <c r="O22" s="68" t="str">
        <f t="shared" ref="O22:V22" si="1">O4</f>
        <v>Testo -30µg/L</v>
      </c>
      <c r="P22" s="68" t="str">
        <f t="shared" si="1"/>
        <v>Testo 30µg/L + EE2 -64ng/L</v>
      </c>
      <c r="Q22" s="68" t="str">
        <f t="shared" si="1"/>
        <v>Testo 30µg/L + FAD-10µg/L</v>
      </c>
      <c r="R22" s="68" t="str">
        <f t="shared" si="1"/>
        <v>Cefuroxime-0,001mg/L + Testostérone</v>
      </c>
      <c r="S22" s="68" t="str">
        <f t="shared" si="1"/>
        <v>Cefuroxime-0,01mg/L + Testostérone</v>
      </c>
      <c r="T22" s="68" t="str">
        <f t="shared" si="1"/>
        <v>Cefuroxime-0,1mg/L + Testostérone</v>
      </c>
      <c r="U22" s="68" t="str">
        <f t="shared" si="1"/>
        <v>Cefuroxime-1mg/L + Testostérone</v>
      </c>
      <c r="V22" s="68" t="str">
        <f t="shared" si="1"/>
        <v>Cefuroxime-10mg/L + Testostérone</v>
      </c>
    </row>
    <row r="23" spans="1:22" x14ac:dyDescent="0.35">
      <c r="A23" s="5" t="s">
        <v>0</v>
      </c>
      <c r="B23" s="5">
        <f t="shared" ref="B23:M23" si="2">AVERAGE(B5:B20)</f>
        <v>91518.666666666657</v>
      </c>
      <c r="C23" s="5">
        <f t="shared" si="2"/>
        <v>246124.77083333334</v>
      </c>
      <c r="D23" s="5">
        <f t="shared" si="2"/>
        <v>256353.875</v>
      </c>
      <c r="E23" s="5">
        <f t="shared" si="2"/>
        <v>846214.54166666651</v>
      </c>
      <c r="F23" s="5">
        <f t="shared" si="2"/>
        <v>2810090.9999999995</v>
      </c>
      <c r="G23" s="5">
        <f t="shared" si="2"/>
        <v>3810018.041666667</v>
      </c>
      <c r="H23" s="5">
        <f t="shared" si="2"/>
        <v>5884857.166666667</v>
      </c>
      <c r="I23" s="5">
        <f t="shared" si="2"/>
        <v>170425.41666666669</v>
      </c>
      <c r="J23" s="5">
        <f t="shared" si="2"/>
        <v>195496.91666666669</v>
      </c>
      <c r="K23" s="5">
        <f t="shared" si="2"/>
        <v>271622.83333333337</v>
      </c>
      <c r="L23" s="5">
        <f t="shared" si="2"/>
        <v>141717.16666666669</v>
      </c>
      <c r="M23" s="5">
        <f t="shared" si="2"/>
        <v>168313.875</v>
      </c>
      <c r="N23" s="5" t="s">
        <v>0</v>
      </c>
      <c r="O23" s="5">
        <f t="shared" ref="O23:V23" si="3">AVERAGE(O5:O20)</f>
        <v>2368216.5333333332</v>
      </c>
      <c r="P23" s="5">
        <f t="shared" si="3"/>
        <v>4295175.0625</v>
      </c>
      <c r="Q23" s="5">
        <f t="shared" si="3"/>
        <v>269486.95238095243</v>
      </c>
      <c r="R23" s="5">
        <f t="shared" si="3"/>
        <v>3489624.7708333335</v>
      </c>
      <c r="S23" s="5">
        <f t="shared" si="3"/>
        <v>2910820.5416666665</v>
      </c>
      <c r="T23" s="5">
        <f t="shared" si="3"/>
        <v>3094301.166666667</v>
      </c>
      <c r="U23" s="5">
        <f t="shared" si="3"/>
        <v>3461144.5208333335</v>
      </c>
      <c r="V23" s="5">
        <f t="shared" si="3"/>
        <v>3005963.25</v>
      </c>
    </row>
    <row r="24" spans="1:22" x14ac:dyDescent="0.35">
      <c r="A24" s="3" t="s">
        <v>1</v>
      </c>
      <c r="B24" s="3">
        <f t="shared" ref="B24:M24" si="4">STDEV(B5:B20)</f>
        <v>95428.202284929066</v>
      </c>
      <c r="C24" s="3">
        <f t="shared" si="4"/>
        <v>170426.60080205771</v>
      </c>
      <c r="D24" s="3">
        <f t="shared" si="4"/>
        <v>204538.60925732003</v>
      </c>
      <c r="E24" s="3">
        <f t="shared" si="4"/>
        <v>686751.78618668451</v>
      </c>
      <c r="F24" s="3">
        <f t="shared" si="4"/>
        <v>1522349.1020165642</v>
      </c>
      <c r="G24" s="3">
        <f t="shared" si="4"/>
        <v>1684495.785444844</v>
      </c>
      <c r="H24" s="3">
        <f t="shared" si="4"/>
        <v>2710276.4414079757</v>
      </c>
      <c r="I24" s="3">
        <f t="shared" si="4"/>
        <v>87738.67958792935</v>
      </c>
      <c r="J24" s="3">
        <f t="shared" si="4"/>
        <v>141982.4784436725</v>
      </c>
      <c r="K24" s="3">
        <f t="shared" si="4"/>
        <v>166894.14720971228</v>
      </c>
      <c r="L24" s="3">
        <f t="shared" si="4"/>
        <v>97799.497413419551</v>
      </c>
      <c r="M24" s="3">
        <f t="shared" si="4"/>
        <v>120116.77457337387</v>
      </c>
      <c r="N24" s="3" t="s">
        <v>1</v>
      </c>
      <c r="O24" s="3">
        <f t="shared" ref="O24:V24" si="5">STDEV(O5:O20)</f>
        <v>1478443.2398921533</v>
      </c>
      <c r="P24" s="3">
        <f t="shared" si="5"/>
        <v>823905.16388839844</v>
      </c>
      <c r="Q24" s="3">
        <f t="shared" si="5"/>
        <v>184535.99941860468</v>
      </c>
      <c r="R24" s="3">
        <f t="shared" si="5"/>
        <v>945155.41536786233</v>
      </c>
      <c r="S24" s="3">
        <f t="shared" si="5"/>
        <v>1526709.5831265079</v>
      </c>
      <c r="T24" s="3">
        <f t="shared" si="5"/>
        <v>1432049.8725129019</v>
      </c>
      <c r="U24" s="3">
        <f t="shared" si="5"/>
        <v>592580.77204791212</v>
      </c>
      <c r="V24" s="3">
        <f t="shared" si="5"/>
        <v>1051575.2982807148</v>
      </c>
    </row>
    <row r="25" spans="1:22" ht="15" thickBot="1" x14ac:dyDescent="0.4"/>
    <row r="26" spans="1:22" ht="15" thickBot="1" x14ac:dyDescent="0.4">
      <c r="B26" s="228" t="s">
        <v>6</v>
      </c>
      <c r="C26" s="229"/>
      <c r="D26" s="229"/>
      <c r="E26" s="229"/>
      <c r="F26" s="229"/>
      <c r="G26" s="229"/>
      <c r="H26" s="229"/>
      <c r="I26" s="229"/>
      <c r="J26" s="229"/>
      <c r="K26" s="229"/>
      <c r="L26" s="229"/>
      <c r="M26" s="229"/>
      <c r="N26" s="1"/>
      <c r="O26" s="228" t="s">
        <v>3</v>
      </c>
      <c r="P26" s="229"/>
      <c r="Q26" s="229"/>
      <c r="R26" s="229"/>
      <c r="S26" s="229"/>
      <c r="T26" s="229"/>
      <c r="U26" s="229"/>
      <c r="V26" s="229"/>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Cefuroxime 0,001mg/L</v>
      </c>
      <c r="J27" s="35" t="str">
        <f t="shared" si="6"/>
        <v>Cefuroxime 0,01mg/L</v>
      </c>
      <c r="K27" s="35" t="str">
        <f t="shared" si="6"/>
        <v>Cefuroxime 0,1mg/L</v>
      </c>
      <c r="L27" s="35" t="str">
        <f t="shared" si="6"/>
        <v>Cefuroxime 1mg/L</v>
      </c>
      <c r="M27" s="35" t="str">
        <f t="shared" si="6"/>
        <v>Cefuroxime 10mg/L</v>
      </c>
      <c r="N27" s="3"/>
      <c r="O27" s="36" t="str">
        <f t="shared" ref="O27:V27" si="7">O4</f>
        <v>Testo -30µg/L</v>
      </c>
      <c r="P27" s="36" t="str">
        <f t="shared" si="7"/>
        <v>Testo 30µg/L + EE2 -64ng/L</v>
      </c>
      <c r="Q27" s="36" t="str">
        <f t="shared" si="7"/>
        <v>Testo 30µg/L + FAD-10µg/L</v>
      </c>
      <c r="R27" s="36" t="str">
        <f t="shared" si="7"/>
        <v>Cefuroxime-0,001mg/L + Testostérone</v>
      </c>
      <c r="S27" s="36" t="str">
        <f t="shared" si="7"/>
        <v>Cefuroxime-0,01mg/L + Testostérone</v>
      </c>
      <c r="T27" s="36" t="str">
        <f t="shared" si="7"/>
        <v>Cefuroxime-0,1mg/L + Testostérone</v>
      </c>
      <c r="U27" s="36" t="str">
        <f t="shared" si="7"/>
        <v>Cefuroxime-1mg/L + Testostérone</v>
      </c>
      <c r="V27" s="36" t="str">
        <f t="shared" si="7"/>
        <v>Cefuroxime-10mg/L + Testostérone</v>
      </c>
    </row>
    <row r="28" spans="1:22" x14ac:dyDescent="0.35">
      <c r="A28" s="226" t="s">
        <v>34</v>
      </c>
      <c r="B28" s="11">
        <f t="shared" ref="B28:M28" si="8">IF(B5="","",(B5/$O$23))</f>
        <v>5.2215805266455369E-2</v>
      </c>
      <c r="C28" s="11">
        <f t="shared" si="8"/>
        <v>5.3832211513992187E-2</v>
      </c>
      <c r="D28" s="11">
        <f t="shared" si="8"/>
        <v>8.8292602072873524E-2</v>
      </c>
      <c r="E28" s="11">
        <f t="shared" si="8"/>
        <v>4.9384279275363561E-2</v>
      </c>
      <c r="F28" s="11">
        <f t="shared" si="8"/>
        <v>0.5063531915775269</v>
      </c>
      <c r="G28" s="11">
        <f t="shared" si="8"/>
        <v>1.3450439554401108</v>
      </c>
      <c r="H28" s="11">
        <f t="shared" si="8"/>
        <v>3.2143883633613686</v>
      </c>
      <c r="I28" s="11">
        <f t="shared" si="8"/>
        <v>8.3525020009431572E-2</v>
      </c>
      <c r="J28" s="11">
        <f t="shared" si="8"/>
        <v>0.12889080412917198</v>
      </c>
      <c r="K28" s="11">
        <f t="shared" si="8"/>
        <v>2.5004329559053833E-2</v>
      </c>
      <c r="L28" s="11">
        <f t="shared" si="8"/>
        <v>0.11947415393997758</v>
      </c>
      <c r="M28" s="11">
        <f t="shared" si="8"/>
        <v>9.2947722573116065E-2</v>
      </c>
      <c r="N28" s="6"/>
      <c r="O28" s="11">
        <f t="shared" ref="O28:V28" si="9">IF(O5="","",(O5/$O$23))</f>
        <v>2.6121626040501701E-2</v>
      </c>
      <c r="P28" s="11">
        <f t="shared" si="9"/>
        <v>1.6514333092514513</v>
      </c>
      <c r="Q28" s="11">
        <f t="shared" si="9"/>
        <v>0.1929798198633188</v>
      </c>
      <c r="R28" s="11">
        <f t="shared" si="9"/>
        <v>0.94502486090235893</v>
      </c>
      <c r="S28" s="11">
        <f t="shared" si="9"/>
        <v>0.41427321060281425</v>
      </c>
      <c r="T28" s="11">
        <f t="shared" si="9"/>
        <v>0.95429533920997323</v>
      </c>
      <c r="U28" s="11">
        <f t="shared" si="9"/>
        <v>1.4387069842262172</v>
      </c>
      <c r="V28" s="11">
        <f t="shared" si="9"/>
        <v>0.81527574561875649</v>
      </c>
    </row>
    <row r="29" spans="1:22" x14ac:dyDescent="0.35">
      <c r="A29" s="227"/>
      <c r="B29" s="11">
        <f t="shared" ref="B29:M29" si="10">IF(B6="","",(B6/$O$23))</f>
        <v>1.416889018706848E-2</v>
      </c>
      <c r="C29" s="11">
        <f t="shared" si="10"/>
        <v>0.16967437774834104</v>
      </c>
      <c r="D29" s="11">
        <f t="shared" si="10"/>
        <v>6.9027190306471989E-2</v>
      </c>
      <c r="E29" s="11">
        <f t="shared" si="10"/>
        <v>0.23370272898469194</v>
      </c>
      <c r="F29" s="11">
        <f t="shared" si="10"/>
        <v>1.7873323407814512</v>
      </c>
      <c r="G29" s="11">
        <f t="shared" si="10"/>
        <v>1.9509695453523843</v>
      </c>
      <c r="H29" s="11">
        <f t="shared" si="10"/>
        <v>2.9614200818573799</v>
      </c>
      <c r="I29" s="11">
        <f t="shared" si="10"/>
        <v>8.1914384630594597E-2</v>
      </c>
      <c r="J29" s="11">
        <f t="shared" si="10"/>
        <v>0.1346539314197846</v>
      </c>
      <c r="K29" s="11">
        <f t="shared" si="10"/>
        <v>3.9757766519547988E-2</v>
      </c>
      <c r="L29" s="11">
        <f t="shared" si="10"/>
        <v>0.11957141419050421</v>
      </c>
      <c r="M29" s="11">
        <f t="shared" si="10"/>
        <v>3.194555858180536E-2</v>
      </c>
      <c r="N29" s="6"/>
      <c r="O29" s="11" t="str">
        <f t="shared" ref="O29:V29" si="11">IF(O6="","",(O6/$O$23))</f>
        <v/>
      </c>
      <c r="P29" s="11">
        <f t="shared" si="11"/>
        <v>1.3029723520777154</v>
      </c>
      <c r="Q29" s="11">
        <f t="shared" si="11"/>
        <v>0.19607610205012788</v>
      </c>
      <c r="R29" s="11">
        <f t="shared" si="11"/>
        <v>1.4868919080822791</v>
      </c>
      <c r="S29" s="11">
        <f t="shared" si="11"/>
        <v>1.0168683055108025</v>
      </c>
      <c r="T29" s="11">
        <f t="shared" si="11"/>
        <v>1.3208312201632015</v>
      </c>
      <c r="U29" s="11">
        <f t="shared" si="11"/>
        <v>1.237525493164364</v>
      </c>
      <c r="V29" s="11">
        <f t="shared" si="11"/>
        <v>0.78066003424011232</v>
      </c>
    </row>
    <row r="30" spans="1:22" x14ac:dyDescent="0.35">
      <c r="A30" s="227"/>
      <c r="B30" s="11">
        <f t="shared" ref="B30:M30" si="12">IF(B7="","",(B7/$O$23))</f>
        <v>8.7040182812112236E-3</v>
      </c>
      <c r="C30" s="11">
        <f t="shared" si="12"/>
        <v>7.8766586884172318E-2</v>
      </c>
      <c r="D30" s="11">
        <f t="shared" si="12"/>
        <v>0.12770946508044537</v>
      </c>
      <c r="E30" s="11">
        <f t="shared" si="12"/>
        <v>0.73203666511575749</v>
      </c>
      <c r="F30" s="11">
        <f t="shared" si="12"/>
        <v>0.99903984005066204</v>
      </c>
      <c r="G30" s="11">
        <f t="shared" si="12"/>
        <v>2.0046770498013018</v>
      </c>
      <c r="H30" s="11">
        <f t="shared" si="12"/>
        <v>3.0557682957369217</v>
      </c>
      <c r="I30" s="11">
        <f t="shared" si="12"/>
        <v>3.0264969014094659E-2</v>
      </c>
      <c r="J30" s="11">
        <f t="shared" si="12"/>
        <v>0.10234593413305</v>
      </c>
      <c r="K30" s="11">
        <f t="shared" si="12"/>
        <v>0.23154104602146744</v>
      </c>
      <c r="L30" s="11">
        <f t="shared" si="12"/>
        <v>3.2198350781437554E-2</v>
      </c>
      <c r="M30" s="11">
        <f t="shared" si="12"/>
        <v>6.7879491199678593E-2</v>
      </c>
      <c r="N30" s="6"/>
      <c r="O30" s="11">
        <f t="shared" ref="O30:V30" si="13">IF(O7="","",(O7/$O$23))</f>
        <v>1.4218224076807393</v>
      </c>
      <c r="P30" s="11">
        <f t="shared" si="13"/>
        <v>2.0958894299305064</v>
      </c>
      <c r="Q30" s="11">
        <f t="shared" si="13"/>
        <v>4.7798134900277137E-2</v>
      </c>
      <c r="R30" s="11">
        <f t="shared" si="13"/>
        <v>2.3072548152128434</v>
      </c>
      <c r="S30" s="11">
        <f t="shared" si="13"/>
        <v>1.7471392255573028</v>
      </c>
      <c r="T30" s="11">
        <f t="shared" si="13"/>
        <v>1.4816812359050051</v>
      </c>
      <c r="U30" s="11">
        <f t="shared" si="13"/>
        <v>1.2481019472093318</v>
      </c>
      <c r="V30" s="11">
        <f t="shared" si="13"/>
        <v>1.8252451183517906</v>
      </c>
    </row>
    <row r="31" spans="1:22" x14ac:dyDescent="0.35">
      <c r="A31" s="227"/>
      <c r="B31" s="11">
        <f t="shared" ref="B31:M31" si="14">IF(B8="","",(B8/$O$23))</f>
        <v>4.2753410386347557E-2</v>
      </c>
      <c r="C31" s="11">
        <f t="shared" si="14"/>
        <v>0.13314069704436937</v>
      </c>
      <c r="D31" s="11">
        <f t="shared" si="14"/>
        <v>3.0931856231164446E-2</v>
      </c>
      <c r="E31" s="11">
        <f t="shared" si="14"/>
        <v>3.7903628632156613E-2</v>
      </c>
      <c r="F31" s="11">
        <f t="shared" si="14"/>
        <v>1.5557943913236763</v>
      </c>
      <c r="G31" s="11">
        <f t="shared" si="14"/>
        <v>1.9044714041914188</v>
      </c>
      <c r="H31" s="11">
        <f t="shared" si="14"/>
        <v>3.4655996264755973</v>
      </c>
      <c r="I31" s="11">
        <f t="shared" si="14"/>
        <v>6.6287294450102091E-2</v>
      </c>
      <c r="J31" s="11">
        <f t="shared" si="14"/>
        <v>1.8117571906713037E-2</v>
      </c>
      <c r="K31" s="11">
        <f t="shared" si="14"/>
        <v>0.11178383800940725</v>
      </c>
      <c r="L31" s="11">
        <f t="shared" si="14"/>
        <v>4.7731136522200901E-2</v>
      </c>
      <c r="M31" s="11">
        <f t="shared" si="14"/>
        <v>6.0965708991475107E-3</v>
      </c>
      <c r="N31" s="6"/>
      <c r="O31" s="11">
        <f t="shared" ref="O31:V31" si="15">IF(O8="","",(O8/$O$23))</f>
        <v>1.6074833585037045</v>
      </c>
      <c r="P31" s="11">
        <f t="shared" si="15"/>
        <v>2.1846234330824705</v>
      </c>
      <c r="Q31" s="11">
        <f t="shared" si="15"/>
        <v>0.1922431192102704</v>
      </c>
      <c r="R31" s="11">
        <f t="shared" si="15"/>
        <v>1.5337585403226643</v>
      </c>
      <c r="S31" s="11">
        <f t="shared" si="15"/>
        <v>1.2960432278039442</v>
      </c>
      <c r="T31" s="11">
        <f t="shared" si="15"/>
        <v>2.1674802934686603</v>
      </c>
      <c r="U31" s="11">
        <f t="shared" si="15"/>
        <v>1.6789887850345218</v>
      </c>
      <c r="V31" s="11">
        <f t="shared" si="15"/>
        <v>1.5221255950469395</v>
      </c>
    </row>
    <row r="32" spans="1:22" x14ac:dyDescent="0.35">
      <c r="A32" s="227"/>
      <c r="B32" s="11">
        <f t="shared" ref="B32:M32" si="16">IF(B9="","",(B9/$O$23))</f>
        <v>1.3855292736745245E-2</v>
      </c>
      <c r="C32" s="11">
        <f t="shared" si="16"/>
        <v>0.1901851007543004</v>
      </c>
      <c r="D32" s="11">
        <f t="shared" si="16"/>
        <v>0.27394750052134875</v>
      </c>
      <c r="E32" s="11">
        <f t="shared" si="16"/>
        <v>0.76832079093668471</v>
      </c>
      <c r="F32" s="11">
        <f t="shared" si="16"/>
        <v>0.77966448901294161</v>
      </c>
      <c r="G32" s="11">
        <f t="shared" si="16"/>
        <v>1.9487198918297113</v>
      </c>
      <c r="H32" s="11">
        <f t="shared" si="16"/>
        <v>0.25537642278656503</v>
      </c>
      <c r="I32" s="11">
        <f t="shared" si="16"/>
        <v>0.102592533205297</v>
      </c>
      <c r="J32" s="11">
        <f t="shared" si="16"/>
        <v>0.15500919285308595</v>
      </c>
      <c r="K32" s="11">
        <f t="shared" si="16"/>
        <v>0.10342072324017218</v>
      </c>
      <c r="L32" s="11">
        <f t="shared" si="16"/>
        <v>3.2813300180208747E-2</v>
      </c>
      <c r="M32" s="11">
        <f t="shared" si="16"/>
        <v>0.15626034533779118</v>
      </c>
      <c r="N32" s="6"/>
      <c r="O32" s="11">
        <f t="shared" ref="O32:V32" si="17">IF(O9="","",(O9/$O$23))</f>
        <v>1.9307026767372173</v>
      </c>
      <c r="P32" s="11">
        <f t="shared" si="17"/>
        <v>2.0374080799143144</v>
      </c>
      <c r="Q32" s="11">
        <f t="shared" si="17"/>
        <v>5.4727540679838739E-2</v>
      </c>
      <c r="R32" s="11">
        <f t="shared" si="17"/>
        <v>1.358482197348621</v>
      </c>
      <c r="S32" s="11">
        <f t="shared" si="17"/>
        <v>2.2382367738445539</v>
      </c>
      <c r="T32" s="11">
        <f t="shared" si="17"/>
        <v>1.4447748415347605</v>
      </c>
      <c r="U32" s="11">
        <f t="shared" si="17"/>
        <v>1.265981998605533</v>
      </c>
      <c r="V32" s="11">
        <f t="shared" si="17"/>
        <v>1.7837673514538985</v>
      </c>
    </row>
    <row r="33" spans="1:22" x14ac:dyDescent="0.35">
      <c r="A33" s="227"/>
      <c r="B33" s="11">
        <f t="shared" ref="B33:M33" si="18">IF(B10="","",(B10/$O$23))</f>
        <v>0.13012056217381926</v>
      </c>
      <c r="C33" s="11">
        <f t="shared" si="18"/>
        <v>0.17427164880869003</v>
      </c>
      <c r="D33" s="11">
        <f t="shared" si="18"/>
        <v>5.0769569269116382E-2</v>
      </c>
      <c r="E33" s="11">
        <f t="shared" si="18"/>
        <v>0.41047063038830239</v>
      </c>
      <c r="F33" s="11">
        <f t="shared" si="18"/>
        <v>0.57129179178660694</v>
      </c>
      <c r="G33" s="11">
        <f t="shared" si="18"/>
        <v>2.2678836968961851</v>
      </c>
      <c r="H33" s="11">
        <f t="shared" si="18"/>
        <v>1.1422000319340169</v>
      </c>
      <c r="I33" s="11">
        <f t="shared" si="18"/>
        <v>0.13440719159464248</v>
      </c>
      <c r="J33" s="11">
        <f t="shared" si="18"/>
        <v>1.8915359316242705E-2</v>
      </c>
      <c r="K33" s="11">
        <f t="shared" si="18"/>
        <v>0.13513488406240332</v>
      </c>
      <c r="L33" s="11">
        <f t="shared" si="18"/>
        <v>2.205710468817491E-2</v>
      </c>
      <c r="M33" s="11">
        <f t="shared" si="18"/>
        <v>2.560555555055101E-2</v>
      </c>
      <c r="N33" s="6"/>
      <c r="O33" s="11">
        <f t="shared" ref="O33:V33" si="19">IF(O10="","",(O10/$O$23))</f>
        <v>0.75709279174021482</v>
      </c>
      <c r="P33" s="11">
        <f t="shared" si="19"/>
        <v>1.6295190687518215</v>
      </c>
      <c r="Q33" s="11">
        <f t="shared" si="19"/>
        <v>1.8979261130626344E-2</v>
      </c>
      <c r="R33" s="11">
        <f t="shared" si="19"/>
        <v>1.3013832518918316</v>
      </c>
      <c r="S33" s="11">
        <f t="shared" si="19"/>
        <v>0.42856399279705509</v>
      </c>
      <c r="T33" s="11">
        <f t="shared" si="19"/>
        <v>1.1861895342452919</v>
      </c>
      <c r="U33" s="11">
        <f t="shared" si="19"/>
        <v>1.2497093452715811</v>
      </c>
      <c r="V33" s="11">
        <f t="shared" si="19"/>
        <v>0.73474172463058562</v>
      </c>
    </row>
    <row r="34" spans="1:22" x14ac:dyDescent="0.35">
      <c r="A34" s="227"/>
      <c r="B34" s="11">
        <f t="shared" ref="B34:M34" si="20">IF(B11="","",(B11/$O$23))</f>
        <v>1.2747145193480056E-2</v>
      </c>
      <c r="C34" s="11">
        <f t="shared" si="20"/>
        <v>1.4397332135845237E-2</v>
      </c>
      <c r="D34" s="11">
        <f t="shared" si="20"/>
        <v>3.1644206633357402E-2</v>
      </c>
      <c r="E34" s="11">
        <f t="shared" si="20"/>
        <v>0.48729173075615156</v>
      </c>
      <c r="F34" s="11">
        <f t="shared" si="20"/>
        <v>2.3285358084373367</v>
      </c>
      <c r="G34" s="11">
        <f t="shared" si="20"/>
        <v>1.853476348784323E-2</v>
      </c>
      <c r="H34" s="11">
        <f t="shared" si="20"/>
        <v>2.9807403872528777</v>
      </c>
      <c r="I34" s="11">
        <f t="shared" si="20"/>
        <v>5.4304155971323348E-2</v>
      </c>
      <c r="J34" s="11">
        <f t="shared" si="20"/>
        <v>9.8637799111162355E-2</v>
      </c>
      <c r="K34" s="11">
        <f t="shared" si="20"/>
        <v>0.19039517445026424</v>
      </c>
      <c r="L34" s="11">
        <f t="shared" si="20"/>
        <v>2.3844244197490053E-2</v>
      </c>
      <c r="M34" s="11">
        <f t="shared" si="20"/>
        <v>6.7480738247808869E-2</v>
      </c>
      <c r="N34" s="6"/>
      <c r="O34" s="11">
        <f t="shared" ref="O34:V34" si="21">IF(O11="","",(O11/$O$23))</f>
        <v>0.90068833232817003</v>
      </c>
      <c r="P34" s="11">
        <f t="shared" si="21"/>
        <v>2.1634249210545162</v>
      </c>
      <c r="Q34" s="11" t="str">
        <f t="shared" si="21"/>
        <v/>
      </c>
      <c r="R34" s="11">
        <f t="shared" si="21"/>
        <v>1.6394472149618753</v>
      </c>
      <c r="S34" s="11">
        <f t="shared" si="21"/>
        <v>1.692920365840421</v>
      </c>
      <c r="T34" s="11">
        <f t="shared" si="21"/>
        <v>0.11995820314628888</v>
      </c>
      <c r="U34" s="11">
        <f t="shared" si="21"/>
        <v>1.7716534535355553</v>
      </c>
      <c r="V34" s="11">
        <f t="shared" si="21"/>
        <v>1.3457929015950345</v>
      </c>
    </row>
    <row r="35" spans="1:22" x14ac:dyDescent="0.35">
      <c r="A35" s="227"/>
      <c r="B35" s="11">
        <f t="shared" ref="B35:M35" si="22">IF(B12="","",(B12/$O$23))</f>
        <v>3.4591290751341208E-2</v>
      </c>
      <c r="C35" s="11">
        <f t="shared" si="22"/>
        <v>1.7158622432273087E-2</v>
      </c>
      <c r="D35" s="11">
        <f t="shared" si="22"/>
        <v>0.19365881182936875</v>
      </c>
      <c r="E35" s="11">
        <f t="shared" si="22"/>
        <v>0.13946106504675473</v>
      </c>
      <c r="F35" s="11">
        <f t="shared" si="22"/>
        <v>0.96467079812071255</v>
      </c>
      <c r="G35" s="11">
        <f t="shared" si="22"/>
        <v>1.4302053686081859</v>
      </c>
      <c r="H35" s="11">
        <f t="shared" si="22"/>
        <v>2.8039631961581892</v>
      </c>
      <c r="I35" s="11">
        <f t="shared" si="22"/>
        <v>2.2413350265718945E-2</v>
      </c>
      <c r="J35" s="11">
        <f t="shared" si="22"/>
        <v>3.831575310906255E-3</v>
      </c>
      <c r="K35" s="11">
        <f t="shared" si="22"/>
        <v>8.0523042262351685E-2</v>
      </c>
      <c r="L35" s="11">
        <f t="shared" si="22"/>
        <v>8.1040731410596242E-2</v>
      </c>
      <c r="M35" s="11">
        <f t="shared" si="22"/>
        <v>0.12035998228540364</v>
      </c>
      <c r="N35" s="6"/>
      <c r="O35" s="11">
        <f t="shared" ref="O35:V35" si="23">IF(O12="","",(O12/$O$23))</f>
        <v>0.36093405648042093</v>
      </c>
      <c r="P35" s="11">
        <f t="shared" si="23"/>
        <v>1.4441292080048536</v>
      </c>
      <c r="Q35" s="11">
        <f t="shared" si="23"/>
        <v>9.3748465793443217E-2</v>
      </c>
      <c r="R35" s="11">
        <f t="shared" si="23"/>
        <v>1.2159521561767099</v>
      </c>
      <c r="S35" s="11">
        <f t="shared" si="23"/>
        <v>0.99890893985820217</v>
      </c>
      <c r="T35" s="11">
        <f t="shared" si="23"/>
        <v>1.777553674146013</v>
      </c>
      <c r="U35" s="11">
        <f t="shared" si="23"/>
        <v>1.8013186744635514</v>
      </c>
      <c r="V35" s="11">
        <f t="shared" si="23"/>
        <v>1.3467442504131379</v>
      </c>
    </row>
    <row r="36" spans="1:22" s="1" customFormat="1" x14ac:dyDescent="0.35">
      <c r="A36" s="227"/>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1.2480379046420531</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7"/>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1.1430249846523044</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7"/>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0.86676069147731094</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1.4890869494816465</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7"/>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1.8038029630623866</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7"/>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3.4355388899123193E-2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7"/>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0.19227647764641342</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7"/>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1.217809390627794</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Cefuroxime 0,001mg/L</v>
      </c>
      <c r="J45" s="70" t="str">
        <f t="shared" si="46"/>
        <v>Cefuroxime 0,01mg/L</v>
      </c>
      <c r="K45" s="70" t="str">
        <f t="shared" si="46"/>
        <v>Cefuroxime 0,1mg/L</v>
      </c>
      <c r="L45" s="70" t="str">
        <f t="shared" si="46"/>
        <v>Cefuroxime 1mg/L</v>
      </c>
      <c r="M45" s="70" t="str">
        <f t="shared" si="46"/>
        <v>Cefuroxime 10mg/L</v>
      </c>
      <c r="N45" s="70" t="str">
        <f>N22</f>
        <v>Nom des groupes</v>
      </c>
      <c r="O45" s="70" t="str">
        <f t="shared" ref="O45:V45" si="47">O4</f>
        <v>Testo -30µg/L</v>
      </c>
      <c r="P45" s="70" t="str">
        <f t="shared" si="47"/>
        <v>Testo 30µg/L + EE2 -64ng/L</v>
      </c>
      <c r="Q45" s="70" t="str">
        <f t="shared" si="47"/>
        <v>Testo 30µg/L + FAD-10µg/L</v>
      </c>
      <c r="R45" s="70" t="str">
        <f t="shared" si="47"/>
        <v>Cefuroxime-0,001mg/L + Testostérone</v>
      </c>
      <c r="S45" s="70" t="str">
        <f t="shared" si="47"/>
        <v>Cefuroxime-0,01mg/L + Testostérone</v>
      </c>
      <c r="T45" s="70" t="str">
        <f t="shared" si="47"/>
        <v>Cefuroxime-0,1mg/L + Testostérone</v>
      </c>
      <c r="U45" s="70" t="str">
        <f t="shared" si="47"/>
        <v>Cefuroxime-1mg/L + Testostérone</v>
      </c>
      <c r="V45" s="70" t="str">
        <f t="shared" si="47"/>
        <v>Cefuroxime-10mg/L + Testostérone</v>
      </c>
    </row>
    <row r="46" spans="1:22" x14ac:dyDescent="0.35">
      <c r="A46" s="8" t="s">
        <v>0</v>
      </c>
      <c r="B46" s="10">
        <f t="shared" ref="B46:H46" si="48">AVERAGE(B28:B43)</f>
        <v>3.8644551872058557E-2</v>
      </c>
      <c r="C46" s="10">
        <f t="shared" si="48"/>
        <v>0.10392832216524796</v>
      </c>
      <c r="D46" s="10">
        <f t="shared" si="48"/>
        <v>0.10824765024301833</v>
      </c>
      <c r="E46" s="10">
        <f t="shared" si="48"/>
        <v>0.35732143989198289</v>
      </c>
      <c r="F46" s="10">
        <f t="shared" si="48"/>
        <v>1.1865853313863644</v>
      </c>
      <c r="G46" s="10">
        <f t="shared" si="48"/>
        <v>1.6088132094508927</v>
      </c>
      <c r="H46" s="10">
        <f t="shared" si="48"/>
        <v>2.4849320506953645</v>
      </c>
      <c r="I46" s="10">
        <f>AVERAGE(I28:I43)</f>
        <v>7.1963612392650589E-2</v>
      </c>
      <c r="J46" s="9">
        <f>AVERAGE(J28:J43)</f>
        <v>8.2550271022514596E-2</v>
      </c>
      <c r="K46" s="9">
        <f>AVERAGE(K28:K43)</f>
        <v>0.11469510051558349</v>
      </c>
      <c r="L46" s="9">
        <f t="shared" ref="L46:M46" si="49">AVERAGE(L28:L43)</f>
        <v>5.9841304488823771E-2</v>
      </c>
      <c r="M46" s="9">
        <f t="shared" si="49"/>
        <v>7.1071995584412781E-2</v>
      </c>
      <c r="N46" s="8" t="s">
        <v>0</v>
      </c>
      <c r="O46" s="10">
        <f>AVERAGE(O28:O43)</f>
        <v>1</v>
      </c>
      <c r="P46" s="10">
        <f>AVERAGE(P28:P43)</f>
        <v>1.8136749752584564</v>
      </c>
      <c r="Q46" s="10">
        <f>AVERAGE(Q28:Q43)</f>
        <v>0.1137932062325575</v>
      </c>
      <c r="R46" s="10">
        <f>AVERAGE(R28:R43)</f>
        <v>1.473524368112398</v>
      </c>
      <c r="S46" s="10">
        <f t="shared" ref="S46:V46" si="50">AVERAGE(S28:S43)</f>
        <v>1.2291192552268868</v>
      </c>
      <c r="T46" s="10">
        <f t="shared" si="50"/>
        <v>1.3065955427273994</v>
      </c>
      <c r="U46" s="10">
        <f t="shared" si="50"/>
        <v>1.4614983351888318</v>
      </c>
      <c r="V46" s="10">
        <f t="shared" si="50"/>
        <v>1.2692940901687821</v>
      </c>
    </row>
    <row r="47" spans="1:22" x14ac:dyDescent="0.35">
      <c r="A47" s="8" t="s">
        <v>1</v>
      </c>
      <c r="B47" s="8">
        <f t="shared" ref="B47:K47" si="51">STDEV(B28:B43)</f>
        <v>4.0295387242572402E-2</v>
      </c>
      <c r="C47" s="8">
        <f t="shared" si="51"/>
        <v>7.1964112404104108E-2</v>
      </c>
      <c r="D47" s="8">
        <f t="shared" si="51"/>
        <v>8.6368204249222938E-2</v>
      </c>
      <c r="E47" s="8">
        <f t="shared" si="51"/>
        <v>0.28998690640000768</v>
      </c>
      <c r="F47" s="8">
        <f t="shared" si="51"/>
        <v>0.64282513046803691</v>
      </c>
      <c r="G47" s="8">
        <f t="shared" si="51"/>
        <v>0.71129297584704676</v>
      </c>
      <c r="H47" s="8">
        <f t="shared" si="51"/>
        <v>1.1444377670960622</v>
      </c>
      <c r="I47" s="8">
        <f>STDEV(I28:I43)</f>
        <v>3.7048419497534145E-2</v>
      </c>
      <c r="J47" s="8">
        <f t="shared" si="51"/>
        <v>5.9953334690991344E-2</v>
      </c>
      <c r="K47" s="8">
        <f t="shared" si="51"/>
        <v>7.047250319412475E-2</v>
      </c>
      <c r="L47" s="8">
        <f t="shared" ref="L47:M47" si="52">STDEV(L28:L43)</f>
        <v>4.1296687206116227E-2</v>
      </c>
      <c r="M47" s="8">
        <f t="shared" si="52"/>
        <v>5.0720351320369353E-2</v>
      </c>
      <c r="N47" s="8" t="s">
        <v>1</v>
      </c>
      <c r="O47" s="8">
        <f>STDEV(O28:O43)</f>
        <v>0.62428549884803053</v>
      </c>
      <c r="P47" s="8">
        <f>STDEV(P28:P43)</f>
        <v>0.34790111136025442</v>
      </c>
      <c r="Q47" s="8">
        <f>STDEV(Q28:Q43)</f>
        <v>7.79219285150691E-2</v>
      </c>
      <c r="R47" s="8">
        <f>STDEV(R28:R43)</f>
        <v>0.39910008314887058</v>
      </c>
      <c r="S47" s="8">
        <f t="shared" ref="S47:V47" si="53">STDEV(S28:S43)</f>
        <v>0.64466638148903577</v>
      </c>
      <c r="T47" s="8">
        <f t="shared" si="53"/>
        <v>0.60469549652930243</v>
      </c>
      <c r="U47" s="8">
        <f t="shared" si="53"/>
        <v>0.25022237777127704</v>
      </c>
      <c r="V47" s="8">
        <f t="shared" si="53"/>
        <v>0.44403680300322473</v>
      </c>
    </row>
    <row r="48" spans="1:22" x14ac:dyDescent="0.35">
      <c r="A48" s="8" t="s">
        <v>2</v>
      </c>
      <c r="B48" s="8">
        <f t="shared" ref="B48:K48" si="54" xml:space="preserve"> B47/SQRT(COUNT(B28:B43))</f>
        <v>1.4246570784880419E-2</v>
      </c>
      <c r="C48" s="8">
        <f t="shared" si="54"/>
        <v>2.5443155941506475E-2</v>
      </c>
      <c r="D48" s="8">
        <f t="shared" si="54"/>
        <v>3.0535771451765163E-2</v>
      </c>
      <c r="E48" s="8">
        <f t="shared" si="54"/>
        <v>0.10252585398537703</v>
      </c>
      <c r="F48" s="8">
        <f t="shared" si="54"/>
        <v>0.227273004435538</v>
      </c>
      <c r="G48" s="8">
        <f t="shared" si="54"/>
        <v>0.25148004331590296</v>
      </c>
      <c r="H48" s="8">
        <f t="shared" si="54"/>
        <v>0.40461985287980812</v>
      </c>
      <c r="I48" s="8">
        <f xml:space="preserve"> I47/SQRT(COUNT(I28:I43))</f>
        <v>1.3098594329475148E-2</v>
      </c>
      <c r="J48" s="8">
        <f t="shared" si="54"/>
        <v>2.1196704757373331E-2</v>
      </c>
      <c r="K48" s="8">
        <f t="shared" si="54"/>
        <v>2.4915792447878119E-2</v>
      </c>
      <c r="L48" s="8">
        <f t="shared" ref="L48:M48" si="55" xml:space="preserve"> L47/SQRT(COUNT(L28:L43))</f>
        <v>1.4600583781992261E-2</v>
      </c>
      <c r="M48" s="8">
        <f t="shared" si="55"/>
        <v>1.7932352181398614E-2</v>
      </c>
      <c r="N48" s="8" t="s">
        <v>2</v>
      </c>
      <c r="O48" s="8">
        <f xml:space="preserve"> O47/SQRT(COUNT(O28:O43))</f>
        <v>0.16118982268781412</v>
      </c>
      <c r="P48" s="8">
        <f xml:space="preserve"> P47/SQRT(COUNT(P28:P43))</f>
        <v>0.12300161751258605</v>
      </c>
      <c r="Q48" s="8">
        <f xml:space="preserve"> Q47/SQRT(COUNT(Q28:Q43))</f>
        <v>2.9451720647060767E-2</v>
      </c>
      <c r="R48" s="8">
        <f xml:space="preserve"> R47/SQRT(COUNT(R28:R43))</f>
        <v>0.14110318758334067</v>
      </c>
      <c r="S48" s="8">
        <f t="shared" ref="S48:V48" si="56" xml:space="preserve"> S47/SQRT(COUNT(S28:S43))</f>
        <v>0.22792398497694547</v>
      </c>
      <c r="T48" s="8">
        <f t="shared" si="56"/>
        <v>0.21379214307441807</v>
      </c>
      <c r="U48" s="8">
        <f t="shared" si="56"/>
        <v>8.8466970063346001E-2</v>
      </c>
      <c r="V48" s="8">
        <f t="shared" si="56"/>
        <v>0.15699071724998767</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22" t="s">
        <v>38</v>
      </c>
      <c r="B50" s="223"/>
      <c r="C50" s="223"/>
      <c r="D50" s="223"/>
      <c r="E50" s="223"/>
      <c r="F50" s="223"/>
      <c r="G50" s="223"/>
      <c r="H50" s="223"/>
      <c r="I50" s="223"/>
      <c r="J50" s="223"/>
      <c r="K50" s="223"/>
      <c r="L50" s="223"/>
      <c r="M50" s="223"/>
      <c r="N50" s="223"/>
      <c r="O50" s="223"/>
      <c r="P50" s="223"/>
      <c r="Q50" s="223"/>
      <c r="R50" s="223"/>
      <c r="S50" s="223"/>
      <c r="T50" s="223"/>
      <c r="U50" s="223"/>
      <c r="V50" s="223"/>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Cefuroxime 0,001mg/L</v>
      </c>
      <c r="J52" s="46" t="str">
        <f>J4</f>
        <v>Cefuroxime 0,01mg/L</v>
      </c>
      <c r="K52" s="46" t="str">
        <f>K27</f>
        <v>Cefuroxime 0,1mg/L</v>
      </c>
      <c r="L52" s="46" t="str">
        <f t="shared" ref="L52:M52" si="58">L27</f>
        <v>Cefuroxime 1mg/L</v>
      </c>
      <c r="M52" s="46" t="str">
        <f t="shared" si="58"/>
        <v>Cefuroxime 10mg/L</v>
      </c>
      <c r="N52" s="47"/>
      <c r="O52" s="46" t="str">
        <f>O27</f>
        <v>Testo -30µg/L</v>
      </c>
      <c r="P52" s="46" t="str">
        <f>P27</f>
        <v>Testo 30µg/L + EE2 -64ng/L</v>
      </c>
      <c r="Q52" s="46" t="str">
        <f>Q27</f>
        <v>Testo 30µg/L + FAD-10µg/L</v>
      </c>
      <c r="R52" s="46" t="str">
        <f>R27</f>
        <v>Cefuroxime-0,001mg/L + Testostérone</v>
      </c>
      <c r="S52" s="46" t="str">
        <f t="shared" ref="S52:V52" si="59">S27</f>
        <v>Cefuroxime-0,01mg/L + Testostérone</v>
      </c>
      <c r="T52" s="46" t="str">
        <f t="shared" si="59"/>
        <v>Cefuroxime-0,1mg/L + Testostérone</v>
      </c>
      <c r="U52" s="46" t="str">
        <f t="shared" si="59"/>
        <v>Cefuroxime-1mg/L + Testostérone</v>
      </c>
      <c r="V52" s="46" t="str">
        <f t="shared" si="59"/>
        <v>Cefuroxime-10mg/L + Testostérone</v>
      </c>
    </row>
    <row r="53" spans="1:22" s="3" customFormat="1" x14ac:dyDescent="0.35">
      <c r="A53" s="61" t="s">
        <v>32</v>
      </c>
      <c r="B53" s="141">
        <f t="shared" ref="B53:M53" si="60">B46</f>
        <v>3.8644551872058557E-2</v>
      </c>
      <c r="C53" s="141">
        <f t="shared" si="60"/>
        <v>0.10392832216524796</v>
      </c>
      <c r="D53" s="141">
        <f t="shared" si="60"/>
        <v>0.10824765024301833</v>
      </c>
      <c r="E53" s="141">
        <f t="shared" si="60"/>
        <v>0.35732143989198289</v>
      </c>
      <c r="F53" s="141">
        <f t="shared" si="60"/>
        <v>1.1865853313863644</v>
      </c>
      <c r="G53" s="141">
        <f t="shared" si="60"/>
        <v>1.6088132094508927</v>
      </c>
      <c r="H53" s="141">
        <f t="shared" si="60"/>
        <v>2.4849320506953645</v>
      </c>
      <c r="I53" s="141">
        <f t="shared" si="60"/>
        <v>7.1963612392650589E-2</v>
      </c>
      <c r="J53" s="141">
        <f t="shared" si="60"/>
        <v>8.2550271022514596E-2</v>
      </c>
      <c r="K53" s="141">
        <f t="shared" si="60"/>
        <v>0.11469510051558349</v>
      </c>
      <c r="L53" s="141">
        <f t="shared" si="60"/>
        <v>5.9841304488823771E-2</v>
      </c>
      <c r="M53" s="141">
        <f t="shared" si="60"/>
        <v>7.1071995584412781E-2</v>
      </c>
      <c r="N53" s="141"/>
      <c r="O53" s="141">
        <f t="shared" ref="O53:V53" si="61">O46</f>
        <v>1</v>
      </c>
      <c r="P53" s="141">
        <f t="shared" si="61"/>
        <v>1.8136749752584564</v>
      </c>
      <c r="Q53" s="141">
        <f t="shared" si="61"/>
        <v>0.1137932062325575</v>
      </c>
      <c r="R53" s="141">
        <f t="shared" si="61"/>
        <v>1.473524368112398</v>
      </c>
      <c r="S53" s="141">
        <f t="shared" si="61"/>
        <v>1.2291192552268868</v>
      </c>
      <c r="T53" s="141">
        <f t="shared" si="61"/>
        <v>1.3065955427273994</v>
      </c>
      <c r="U53" s="141">
        <f t="shared" si="61"/>
        <v>1.4614983351888318</v>
      </c>
      <c r="V53" s="141">
        <f t="shared" si="61"/>
        <v>1.2692940901687821</v>
      </c>
    </row>
    <row r="54" spans="1:22" s="3" customFormat="1" x14ac:dyDescent="0.35">
      <c r="A54" s="61" t="s">
        <v>2</v>
      </c>
      <c r="B54" s="141">
        <f t="shared" ref="B54:M54" si="62">B48</f>
        <v>1.4246570784880419E-2</v>
      </c>
      <c r="C54" s="141">
        <f t="shared" si="62"/>
        <v>2.5443155941506475E-2</v>
      </c>
      <c r="D54" s="141">
        <f t="shared" si="62"/>
        <v>3.0535771451765163E-2</v>
      </c>
      <c r="E54" s="141">
        <f t="shared" si="62"/>
        <v>0.10252585398537703</v>
      </c>
      <c r="F54" s="141">
        <f t="shared" si="62"/>
        <v>0.227273004435538</v>
      </c>
      <c r="G54" s="141">
        <f t="shared" si="62"/>
        <v>0.25148004331590296</v>
      </c>
      <c r="H54" s="141">
        <f t="shared" si="62"/>
        <v>0.40461985287980812</v>
      </c>
      <c r="I54" s="141">
        <f t="shared" si="62"/>
        <v>1.3098594329475148E-2</v>
      </c>
      <c r="J54" s="141">
        <f t="shared" si="62"/>
        <v>2.1196704757373331E-2</v>
      </c>
      <c r="K54" s="141">
        <f t="shared" si="62"/>
        <v>2.4915792447878119E-2</v>
      </c>
      <c r="L54" s="141">
        <f t="shared" si="62"/>
        <v>1.4600583781992261E-2</v>
      </c>
      <c r="M54" s="141">
        <f t="shared" si="62"/>
        <v>1.7932352181398614E-2</v>
      </c>
      <c r="N54" s="141"/>
      <c r="O54" s="141">
        <f t="shared" ref="O54:V54" si="63">O48</f>
        <v>0.16118982268781412</v>
      </c>
      <c r="P54" s="141">
        <f t="shared" si="63"/>
        <v>0.12300161751258605</v>
      </c>
      <c r="Q54" s="141">
        <f t="shared" si="63"/>
        <v>2.9451720647060767E-2</v>
      </c>
      <c r="R54" s="141">
        <f t="shared" si="63"/>
        <v>0.14110318758334067</v>
      </c>
      <c r="S54" s="141">
        <f t="shared" si="63"/>
        <v>0.22792398497694547</v>
      </c>
      <c r="T54" s="141">
        <f t="shared" si="63"/>
        <v>0.21379214307441807</v>
      </c>
      <c r="U54" s="141">
        <f t="shared" si="63"/>
        <v>8.8466970063346001E-2</v>
      </c>
      <c r="V54" s="141">
        <f t="shared" si="63"/>
        <v>0.15699071724998767</v>
      </c>
    </row>
    <row r="55" spans="1:22" s="3" customFormat="1" x14ac:dyDescent="0.35">
      <c r="A55" s="61" t="s">
        <v>79</v>
      </c>
      <c r="B55" s="141">
        <f t="shared" ref="B55:M55" si="64">(B53*100/$B$53)-100</f>
        <v>0</v>
      </c>
      <c r="C55" s="141">
        <f t="shared" si="64"/>
        <v>168.93395609638833</v>
      </c>
      <c r="D55" s="141">
        <f t="shared" si="64"/>
        <v>180.11102470898464</v>
      </c>
      <c r="E55" s="141">
        <f t="shared" si="64"/>
        <v>824.63600321974377</v>
      </c>
      <c r="F55" s="141">
        <f t="shared" si="64"/>
        <v>2970.5112982415239</v>
      </c>
      <c r="G55" s="141">
        <f t="shared" si="64"/>
        <v>4063.1048401783237</v>
      </c>
      <c r="H55" s="141">
        <f t="shared" si="64"/>
        <v>6330.2260740978154</v>
      </c>
      <c r="I55" s="141">
        <f t="shared" si="64"/>
        <v>86.219295881350206</v>
      </c>
      <c r="J55" s="141">
        <f t="shared" si="64"/>
        <v>113.61425355847248</v>
      </c>
      <c r="K55" s="141">
        <f t="shared" si="64"/>
        <v>196.79500721164345</v>
      </c>
      <c r="L55" s="141">
        <f t="shared" si="64"/>
        <v>54.850558720261034</v>
      </c>
      <c r="M55" s="141">
        <f t="shared" si="64"/>
        <v>83.912070761520368</v>
      </c>
      <c r="N55" s="141"/>
      <c r="O55" s="141">
        <f>(O53*100/$O$53)-100</f>
        <v>0</v>
      </c>
      <c r="P55" s="141">
        <f t="shared" ref="P55:V55" si="65">(P53*100/$O$53)-100</f>
        <v>81.367497525845636</v>
      </c>
      <c r="Q55" s="141">
        <f t="shared" si="65"/>
        <v>-88.620679376744249</v>
      </c>
      <c r="R55" s="141">
        <f t="shared" si="65"/>
        <v>47.352436811239784</v>
      </c>
      <c r="S55" s="141">
        <f t="shared" si="65"/>
        <v>22.911925522688676</v>
      </c>
      <c r="T55" s="141">
        <f t="shared" si="65"/>
        <v>30.659554272739939</v>
      </c>
      <c r="U55" s="141">
        <f t="shared" si="65"/>
        <v>46.149833518883185</v>
      </c>
      <c r="V55" s="141">
        <f t="shared" si="65"/>
        <v>26.929409016878211</v>
      </c>
    </row>
    <row r="56" spans="1:22" s="3" customFormat="1" x14ac:dyDescent="0.35">
      <c r="A56" s="61" t="s">
        <v>81</v>
      </c>
      <c r="B56" s="141">
        <f>[1]!SWTEST(B28:B43)</f>
        <v>7.6264412055554454E-3</v>
      </c>
      <c r="C56" s="141">
        <f>[1]!SWTEST(C28:C43)</f>
        <v>0.22388520196474604</v>
      </c>
      <c r="D56" s="141">
        <f>[1]!SWTEST(D28:D43)</f>
        <v>0.14281937213136087</v>
      </c>
      <c r="E56" s="141">
        <f>[1]!SWTEST(E28:E43)</f>
        <v>0.30260398341355166</v>
      </c>
      <c r="F56" s="141">
        <f>[1]!SWTEST(F28:F43)</f>
        <v>0.37507990629587806</v>
      </c>
      <c r="G56" s="141">
        <f>[1]!SWTEST(G28:G43)</f>
        <v>1.7948590131531383E-2</v>
      </c>
      <c r="H56" s="141">
        <f>[1]!SWTEST(H28:H43)</f>
        <v>1.105575318909735E-2</v>
      </c>
      <c r="I56" s="141">
        <f>[1]!SWTEST(I28:I43)</f>
        <v>0.91339807750439217</v>
      </c>
      <c r="J56" s="141">
        <f>[1]!SWTEST(J28:J43)</f>
        <v>0.14474732999942108</v>
      </c>
      <c r="K56" s="141">
        <f>[1]!SWTEST(K28:K43)</f>
        <v>0.80650398424276459</v>
      </c>
      <c r="L56" s="141">
        <f>[1]!SWTEST(L28:L43)</f>
        <v>4.1461646549309505E-2</v>
      </c>
      <c r="M56" s="141">
        <f>[1]!SWTEST(M28:M43)</f>
        <v>0.8172657575531026</v>
      </c>
      <c r="N56" s="141"/>
      <c r="O56" s="141">
        <f>[1]!SWTEST(O28:O43)</f>
        <v>0.41905746000579824</v>
      </c>
      <c r="P56" s="141">
        <f>[1]!SWTEST(P28:P43)</f>
        <v>0.19666840386155671</v>
      </c>
      <c r="Q56" s="141">
        <f>[1]!SWTEST(Q28:Q43)</f>
        <v>7.7725816955122817E-2</v>
      </c>
      <c r="R56" s="141">
        <f>[1]!SWTEST(R28:R43)</f>
        <v>0.33962181586822848</v>
      </c>
      <c r="S56" s="141">
        <f>[1]!SWTEST(S28:S43)</f>
        <v>0.65988332677081707</v>
      </c>
      <c r="T56" s="141">
        <f>[1]!SWTEST(T28:T43)</f>
        <v>0.69469914779666675</v>
      </c>
      <c r="U56" s="141">
        <f>[1]!SWTEST(U28:U43)</f>
        <v>2.77304576108518E-2</v>
      </c>
      <c r="V56" s="141">
        <f>[1]!SWTEST(V28:V43)</f>
        <v>0.18095819919976741</v>
      </c>
    </row>
    <row r="57" spans="1:22" s="3" customFormat="1" x14ac:dyDescent="0.35">
      <c r="A57" s="61" t="s">
        <v>85</v>
      </c>
      <c r="B57" s="141" t="str">
        <f t="shared" ref="B57:M57" si="66">IF(B56&gt;0.05,"Oui","Non")</f>
        <v>Non</v>
      </c>
      <c r="C57" s="141" t="str">
        <f t="shared" si="66"/>
        <v>Oui</v>
      </c>
      <c r="D57" s="141" t="str">
        <f t="shared" si="66"/>
        <v>Oui</v>
      </c>
      <c r="E57" s="141" t="str">
        <f t="shared" si="66"/>
        <v>Oui</v>
      </c>
      <c r="F57" s="141" t="str">
        <f t="shared" si="66"/>
        <v>Oui</v>
      </c>
      <c r="G57" s="141" t="str">
        <f t="shared" si="66"/>
        <v>Non</v>
      </c>
      <c r="H57" s="141" t="str">
        <f t="shared" si="66"/>
        <v>Non</v>
      </c>
      <c r="I57" s="141" t="str">
        <f t="shared" si="66"/>
        <v>Oui</v>
      </c>
      <c r="J57" s="141" t="str">
        <f t="shared" si="66"/>
        <v>Oui</v>
      </c>
      <c r="K57" s="141" t="str">
        <f t="shared" si="66"/>
        <v>Oui</v>
      </c>
      <c r="L57" s="141" t="str">
        <f t="shared" si="66"/>
        <v>Non</v>
      </c>
      <c r="M57" s="141" t="str">
        <f t="shared" si="66"/>
        <v>Oui</v>
      </c>
      <c r="N57" s="141"/>
      <c r="O57" s="141" t="str">
        <f t="shared" ref="O57:V57" si="67">IF(O56&gt;0.05,"Oui","Non")</f>
        <v>Oui</v>
      </c>
      <c r="P57" s="141" t="str">
        <f t="shared" si="67"/>
        <v>Oui</v>
      </c>
      <c r="Q57" s="141" t="str">
        <f t="shared" si="67"/>
        <v>Oui</v>
      </c>
      <c r="R57" s="141" t="str">
        <f t="shared" si="67"/>
        <v>Oui</v>
      </c>
      <c r="S57" s="141" t="str">
        <f t="shared" si="67"/>
        <v>Oui</v>
      </c>
      <c r="T57" s="141" t="str">
        <f t="shared" si="67"/>
        <v>Oui</v>
      </c>
      <c r="U57" s="141" t="str">
        <f t="shared" si="67"/>
        <v>Non</v>
      </c>
      <c r="V57" s="141" t="str">
        <f t="shared" si="67"/>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
        <v>4259</v>
      </c>
      <c r="D59" s="150" t="s">
        <v>4259</v>
      </c>
      <c r="E59" s="150" t="s">
        <v>4259</v>
      </c>
      <c r="F59" s="150" t="s">
        <v>4259</v>
      </c>
      <c r="G59" s="150" t="s">
        <v>4259</v>
      </c>
      <c r="H59" s="150" t="s">
        <v>4259</v>
      </c>
      <c r="I59" s="150" t="s">
        <v>4259</v>
      </c>
      <c r="J59" s="150" t="s">
        <v>4259</v>
      </c>
      <c r="K59" s="150" t="s">
        <v>4259</v>
      </c>
      <c r="L59" s="150" t="s">
        <v>4259</v>
      </c>
      <c r="M59" s="150" t="s">
        <v>4259</v>
      </c>
      <c r="N59" s="150"/>
      <c r="O59" s="150" t="str">
        <f>IF($B57="Non",IF(O$57="Non","Mann Withney",IF(O$57="Oui","Mann Withney","")),IF($B$57="Oui",IF(O$57="Oui","T-Test Welch",IF(O$57="Non","Mann Withney",""))))</f>
        <v>Mann Withney</v>
      </c>
      <c r="P59" s="150" t="str">
        <f>IF($O57="Non",IF(P$57="Non","Mann Withney",IF(P$57="Oui","Mann Withney","")),IF($O$57="Oui",IF(P$57="Oui","T-Test Welch",IF(P$57="Non","Mann Withney",""))))</f>
        <v>T-Test Welch</v>
      </c>
      <c r="Q59" s="150" t="str">
        <f t="shared" ref="Q59" si="68">IF($O57="Non",IF(Q$57="Non","Mann Withney",IF(Q$57="Oui","Mann Withney","")),IF($O$57="Oui",IF(Q$57="Oui","T-Test Welch",IF(Q$57="Non","Mann Withney",""))))</f>
        <v>T-Test Welch</v>
      </c>
      <c r="R59" s="150" t="s">
        <v>4259</v>
      </c>
      <c r="S59" s="150" t="s">
        <v>4259</v>
      </c>
      <c r="T59" s="150" t="s">
        <v>4259</v>
      </c>
      <c r="U59" s="150" t="s">
        <v>4259</v>
      </c>
      <c r="V59" s="150" t="s">
        <v>4259</v>
      </c>
    </row>
    <row r="60" spans="1:22" s="3" customFormat="1" ht="15.5" x14ac:dyDescent="0.35">
      <c r="A60" s="61" t="s">
        <v>83</v>
      </c>
      <c r="B60" s="151"/>
      <c r="C60" s="196">
        <v>0.99990000000000001</v>
      </c>
      <c r="D60" s="196">
        <v>0.99990000000000001</v>
      </c>
      <c r="E60" s="196">
        <v>0.184</v>
      </c>
      <c r="F60" s="196">
        <v>8.0000000000000004E-4</v>
      </c>
      <c r="G60" s="196">
        <v>5.0000000000000001E-4</v>
      </c>
      <c r="H60" s="196">
        <v>1E-4</v>
      </c>
      <c r="I60" s="196">
        <v>0.60140000000000005</v>
      </c>
      <c r="J60" s="196">
        <v>0.54010000000000002</v>
      </c>
      <c r="K60" s="196">
        <v>3.9E-2</v>
      </c>
      <c r="L60" s="196">
        <v>0.99990000000000001</v>
      </c>
      <c r="M60" s="196">
        <v>0.81830000000000003</v>
      </c>
      <c r="N60" s="151"/>
      <c r="O60" s="196">
        <v>2.9999999999999997E-4</v>
      </c>
      <c r="P60" s="198">
        <v>5.9999999999999995E-4</v>
      </c>
      <c r="Q60" s="198">
        <v>1E-4</v>
      </c>
      <c r="R60" s="196">
        <v>0.43109999999999998</v>
      </c>
      <c r="S60" s="196">
        <v>0.99990000000000001</v>
      </c>
      <c r="T60" s="196">
        <v>0.99990000000000001</v>
      </c>
      <c r="U60" s="196">
        <v>0.41510000000000002</v>
      </c>
      <c r="V60" s="196">
        <v>0.99990000000000001</v>
      </c>
    </row>
    <row r="61" spans="1:22" s="3" customFormat="1" ht="15" thickBot="1" x14ac:dyDescent="0.4">
      <c r="A61" s="62" t="s">
        <v>84</v>
      </c>
      <c r="B61" s="142"/>
      <c r="C61" s="142" t="str">
        <f t="shared" ref="C61:M61" si="69">IF(C60&gt;0.05,"NS",IF(C60&gt;0.01,"*",IF(C60&gt;0.001,"**","***")))</f>
        <v>NS</v>
      </c>
      <c r="D61" s="142" t="str">
        <f t="shared" si="69"/>
        <v>NS</v>
      </c>
      <c r="E61" s="142" t="str">
        <f t="shared" si="69"/>
        <v>NS</v>
      </c>
      <c r="F61" s="142" t="str">
        <f t="shared" si="69"/>
        <v>***</v>
      </c>
      <c r="G61" s="142" t="str">
        <f t="shared" si="69"/>
        <v>***</v>
      </c>
      <c r="H61" s="142" t="str">
        <f t="shared" si="69"/>
        <v>***</v>
      </c>
      <c r="I61" s="142" t="str">
        <f t="shared" si="69"/>
        <v>NS</v>
      </c>
      <c r="J61" s="142" t="str">
        <f t="shared" si="69"/>
        <v>NS</v>
      </c>
      <c r="K61" s="142" t="str">
        <f t="shared" si="69"/>
        <v>*</v>
      </c>
      <c r="L61" s="142" t="str">
        <f t="shared" si="69"/>
        <v>NS</v>
      </c>
      <c r="M61" s="142" t="str">
        <f t="shared" si="69"/>
        <v>NS</v>
      </c>
      <c r="N61" s="142"/>
      <c r="O61" s="142" t="str">
        <f>IF(O60&gt;0.05,"NS",IF(O60&gt;0.01,"*",IF(O60&gt;0.001,"**","***")))</f>
        <v>***</v>
      </c>
      <c r="P61" s="142" t="str">
        <f>IF(P60&gt;0.05,"NS",IF(P60&gt;0.01,"*",IF(P60&gt;0.001,"**","***")))</f>
        <v>***</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NS</v>
      </c>
      <c r="U61" s="142" t="str">
        <f t="shared" ref="U61" si="74">IF(U60&gt;0.05,"NS",IF(U60&gt;0.01,"*",IF(U60&gt;0.001,"**","***")))</f>
        <v>NS</v>
      </c>
      <c r="V61" s="142" t="str">
        <f t="shared" ref="V61" si="75">IF(V60&gt;0.05,"NS",IF(V60&gt;0.01,"*",IF(V60&gt;0.001,"**","***")))</f>
        <v>NS</v>
      </c>
    </row>
    <row r="63" spans="1:22" x14ac:dyDescent="0.35">
      <c r="A63" s="2" t="s">
        <v>39</v>
      </c>
    </row>
    <row r="64" spans="1:22" x14ac:dyDescent="0.35">
      <c r="A64" s="1" t="s">
        <v>23</v>
      </c>
      <c r="B64" s="1">
        <f>B46+(3*B47)</f>
        <v>0.15953071359977578</v>
      </c>
    </row>
    <row r="65" spans="1:22" x14ac:dyDescent="0.35">
      <c r="A65" s="1" t="s">
        <v>24</v>
      </c>
      <c r="B65" s="1">
        <f>B46+(10*B47)</f>
        <v>0.44159842429778257</v>
      </c>
    </row>
    <row r="66" spans="1:22" ht="15" thickBot="1" x14ac:dyDescent="0.4"/>
    <row r="67" spans="1:22" s="1" customFormat="1" ht="26.5" thickBot="1" x14ac:dyDescent="0.65">
      <c r="A67" s="222" t="s">
        <v>52</v>
      </c>
      <c r="B67" s="223"/>
      <c r="C67" s="223"/>
      <c r="D67" s="223"/>
      <c r="E67" s="223"/>
      <c r="F67" s="223"/>
      <c r="G67" s="223"/>
      <c r="H67" s="223"/>
      <c r="I67" s="223"/>
      <c r="J67" s="223"/>
      <c r="K67" s="223"/>
      <c r="L67" s="223"/>
      <c r="M67" s="223"/>
      <c r="N67" s="223"/>
      <c r="O67" s="223"/>
      <c r="P67" s="223"/>
      <c r="Q67" s="223"/>
      <c r="R67" s="223"/>
      <c r="S67" s="223"/>
      <c r="T67" s="223"/>
      <c r="U67" s="223"/>
      <c r="V67" s="22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96"/>
      <c r="D69" s="12"/>
      <c r="E69" s="12"/>
      <c r="F69" s="12"/>
      <c r="N69" s="12"/>
      <c r="O69" s="12"/>
      <c r="P69" s="12"/>
      <c r="Q69" s="12"/>
      <c r="R69" s="196"/>
      <c r="S69" s="12"/>
      <c r="T69" s="12"/>
      <c r="U69" s="12"/>
      <c r="V69" s="12"/>
    </row>
    <row r="70" spans="1:22" ht="16.5" x14ac:dyDescent="0.35">
      <c r="A70" s="12"/>
      <c r="B70" s="12"/>
      <c r="C70" s="196"/>
      <c r="D70" s="12"/>
      <c r="E70" s="12"/>
      <c r="F70" s="12"/>
      <c r="J70" s="196"/>
      <c r="N70" s="12"/>
      <c r="O70" s="12"/>
      <c r="P70" s="12"/>
      <c r="Q70" s="12"/>
      <c r="R70" s="196"/>
      <c r="S70" s="12"/>
      <c r="T70" s="12"/>
      <c r="U70" s="12"/>
      <c r="V70" s="12"/>
    </row>
    <row r="71" spans="1:22" ht="16.5" x14ac:dyDescent="0.35">
      <c r="A71" s="12"/>
      <c r="B71" s="12"/>
      <c r="C71" s="196"/>
      <c r="D71" s="12"/>
      <c r="E71" s="12"/>
      <c r="F71" s="12"/>
      <c r="J71" s="196"/>
      <c r="N71" s="12"/>
      <c r="O71" s="12"/>
      <c r="P71" s="12"/>
      <c r="Q71" s="12"/>
      <c r="R71" s="196"/>
      <c r="S71" s="12"/>
      <c r="T71" s="12"/>
      <c r="U71" s="12"/>
      <c r="V71" s="12"/>
    </row>
    <row r="72" spans="1:22" ht="16.5" x14ac:dyDescent="0.35">
      <c r="A72" s="12"/>
      <c r="B72" s="12"/>
      <c r="C72" s="196"/>
      <c r="D72" s="12"/>
      <c r="E72" s="12"/>
      <c r="F72" s="12"/>
      <c r="J72" s="196"/>
      <c r="N72" s="12"/>
      <c r="O72" s="12"/>
      <c r="P72" s="12"/>
      <c r="Q72" s="12"/>
      <c r="R72" s="196"/>
      <c r="S72" s="12"/>
      <c r="T72" s="12"/>
      <c r="U72" s="12"/>
      <c r="V72" s="12"/>
    </row>
    <row r="73" spans="1:22" ht="16.5" x14ac:dyDescent="0.35">
      <c r="A73" s="12"/>
      <c r="B73" s="12"/>
      <c r="C73" s="196"/>
      <c r="D73" s="12"/>
      <c r="E73" s="12"/>
      <c r="F73" s="12"/>
      <c r="J73" s="196"/>
      <c r="N73" s="12"/>
      <c r="O73" s="12"/>
      <c r="P73" s="12"/>
      <c r="Q73" s="12"/>
      <c r="R73" s="196"/>
      <c r="S73" s="12"/>
      <c r="T73" s="12"/>
      <c r="U73" s="12"/>
      <c r="V73" s="12"/>
    </row>
    <row r="74" spans="1:22" ht="16.5" x14ac:dyDescent="0.35">
      <c r="A74" s="12"/>
      <c r="B74" s="12"/>
      <c r="C74" s="196"/>
      <c r="D74" s="12"/>
      <c r="E74" s="12"/>
      <c r="F74" s="12"/>
      <c r="J74" s="196"/>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S1" zoomScaleNormal="100" workbookViewId="0">
      <selection activeCell="AB5" sqref="AB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1640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1669</v>
      </c>
      <c r="D2" s="1" t="s">
        <v>307</v>
      </c>
      <c r="E2" s="1" t="s">
        <v>1670</v>
      </c>
      <c r="F2" s="1" t="s">
        <v>112</v>
      </c>
      <c r="G2" s="1">
        <v>44904</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1671</v>
      </c>
      <c r="D3" s="1" t="s">
        <v>278</v>
      </c>
      <c r="E3" s="1" t="s">
        <v>1672</v>
      </c>
      <c r="F3" s="1" t="s">
        <v>112</v>
      </c>
      <c r="G3" s="1">
        <v>30433</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1673</v>
      </c>
      <c r="K4" s="118" t="s">
        <v>100</v>
      </c>
      <c r="L4" s="1" t="s">
        <v>1641</v>
      </c>
      <c r="M4" s="1" t="s">
        <v>1642</v>
      </c>
      <c r="N4" s="1" t="s">
        <v>1643</v>
      </c>
      <c r="O4" s="1" t="s">
        <v>1644</v>
      </c>
      <c r="P4" s="1" t="s">
        <v>1645</v>
      </c>
      <c r="Q4" s="1" t="s">
        <v>1646</v>
      </c>
      <c r="R4" s="1" t="s">
        <v>1647</v>
      </c>
      <c r="S4" s="1" t="s">
        <v>1648</v>
      </c>
      <c r="T4" s="1" t="s">
        <v>1649</v>
      </c>
      <c r="U4" s="1" t="s">
        <v>1650</v>
      </c>
      <c r="V4" s="1" t="s">
        <v>1651</v>
      </c>
      <c r="W4" s="1" t="s">
        <v>1652</v>
      </c>
      <c r="X4" s="1" t="s">
        <v>1653</v>
      </c>
      <c r="Y4" s="1" t="s">
        <v>1654</v>
      </c>
      <c r="Z4" s="1" t="s">
        <v>1655</v>
      </c>
      <c r="AA4" s="1" t="s">
        <v>1656</v>
      </c>
      <c r="AB4" s="1" t="s">
        <v>1657</v>
      </c>
      <c r="AC4" s="1" t="s">
        <v>1658</v>
      </c>
      <c r="AD4" s="1" t="s">
        <v>1659</v>
      </c>
      <c r="AE4" s="1" t="s">
        <v>1660</v>
      </c>
      <c r="AF4" s="1" t="s">
        <v>1661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1674</v>
      </c>
      <c r="D5" s="1" t="s">
        <v>1675</v>
      </c>
      <c r="E5" s="1" t="s">
        <v>1676</v>
      </c>
      <c r="F5" s="1" t="s">
        <v>112</v>
      </c>
      <c r="G5" s="1">
        <v>465173</v>
      </c>
      <c r="K5" s="145" t="s">
        <v>164</v>
      </c>
      <c r="L5" s="44">
        <v>37668.5</v>
      </c>
      <c r="M5" s="44">
        <v>70282.666666666672</v>
      </c>
      <c r="N5" s="44">
        <v>771567.33333333337</v>
      </c>
      <c r="O5" s="44">
        <v>184611</v>
      </c>
      <c r="P5" s="44">
        <v>992725.33333333337</v>
      </c>
      <c r="Q5" s="44">
        <v>3937015.6666666665</v>
      </c>
      <c r="R5" s="44">
        <v>4372541</v>
      </c>
      <c r="S5" s="44">
        <v>320447</v>
      </c>
      <c r="T5" s="44">
        <v>197502.66666666666</v>
      </c>
      <c r="U5" s="44">
        <v>23414</v>
      </c>
      <c r="V5" s="44">
        <v>343526</v>
      </c>
      <c r="W5" s="44">
        <v>326665.5</v>
      </c>
      <c r="X5" s="44">
        <v>4618220.5</v>
      </c>
      <c r="Y5" s="44">
        <v>890005</v>
      </c>
      <c r="Z5" s="44">
        <v>1709908</v>
      </c>
      <c r="AA5" s="44">
        <v>554821.33333333337</v>
      </c>
      <c r="AB5" s="44">
        <v>1076592</v>
      </c>
      <c r="AC5" s="44">
        <v>1685754.6666666667</v>
      </c>
      <c r="AD5" s="44">
        <v>1406844.3333333333</v>
      </c>
      <c r="AE5" s="44">
        <v>4043745</v>
      </c>
      <c r="AF5" s="44">
        <v>1017221.5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1677</v>
      </c>
      <c r="D6" s="1" t="s">
        <v>187</v>
      </c>
      <c r="E6" s="1" t="s">
        <v>1678</v>
      </c>
      <c r="F6" s="1" t="s">
        <v>112</v>
      </c>
      <c r="G6" s="1">
        <v>20678</v>
      </c>
      <c r="K6" s="145" t="s">
        <v>1662</v>
      </c>
      <c r="L6" s="44">
        <v>172030</v>
      </c>
      <c r="M6" s="44">
        <v>70578.333333333328</v>
      </c>
      <c r="N6" s="44">
        <v>229781.66666666666</v>
      </c>
      <c r="O6" s="44">
        <v>2994060.3333333335</v>
      </c>
      <c r="P6" s="44">
        <v>1579602.3333333333</v>
      </c>
      <c r="Q6" s="44">
        <v>1709670</v>
      </c>
      <c r="R6" s="44">
        <v>8092901</v>
      </c>
      <c r="S6" s="44">
        <v>43325</v>
      </c>
      <c r="T6" s="44">
        <v>108971.5</v>
      </c>
      <c r="U6" s="44">
        <v>201472</v>
      </c>
      <c r="V6" s="44">
        <v>15523</v>
      </c>
      <c r="W6" s="44">
        <v>27329.5</v>
      </c>
      <c r="X6" s="44">
        <v>2618421.3333333335</v>
      </c>
      <c r="Y6" s="44">
        <v>3778987.6666666665</v>
      </c>
      <c r="Z6" s="44">
        <v>1293521.5</v>
      </c>
      <c r="AA6" s="44">
        <v>131077</v>
      </c>
      <c r="AB6" s="44">
        <v>1471121.3333333333</v>
      </c>
      <c r="AC6" s="44">
        <v>60614.333333333336</v>
      </c>
      <c r="AD6" s="44">
        <v>1167754.3333333333</v>
      </c>
      <c r="AE6" s="44">
        <v>1384500.3333333333</v>
      </c>
      <c r="AF6" s="44">
        <v>348515.33333333331</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1679</v>
      </c>
      <c r="D7" s="1" t="s">
        <v>278</v>
      </c>
      <c r="E7" s="1" t="s">
        <v>1018</v>
      </c>
      <c r="F7" s="1" t="s">
        <v>112</v>
      </c>
      <c r="G7" s="1">
        <v>30239</v>
      </c>
      <c r="K7" s="145" t="s">
        <v>1663</v>
      </c>
      <c r="L7" s="44">
        <v>234886.33333333334</v>
      </c>
      <c r="M7" s="44">
        <v>541511.66666666663</v>
      </c>
      <c r="N7" s="44">
        <v>242550.33333333334</v>
      </c>
      <c r="O7" s="44">
        <v>1014600.6666666666</v>
      </c>
      <c r="P7" s="44">
        <v>2609091.6666666665</v>
      </c>
      <c r="Q7" s="44">
        <v>3628342.6666666665</v>
      </c>
      <c r="R7" s="44">
        <v>7915287</v>
      </c>
      <c r="S7" s="44">
        <v>331435</v>
      </c>
      <c r="T7" s="44">
        <v>414392.66666666669</v>
      </c>
      <c r="U7" s="44">
        <v>54777.5</v>
      </c>
      <c r="V7" s="44">
        <v>130536.33333333333</v>
      </c>
      <c r="W7" s="44">
        <v>140962</v>
      </c>
      <c r="X7" s="44">
        <v>4954103.666666667</v>
      </c>
      <c r="Y7" s="44">
        <v>2628346</v>
      </c>
      <c r="Z7" s="44">
        <v>4404070</v>
      </c>
      <c r="AA7" s="44">
        <v>94083</v>
      </c>
      <c r="AB7" s="44">
        <v>1561080</v>
      </c>
      <c r="AC7" s="44">
        <v>2057208.5</v>
      </c>
      <c r="AD7" s="44">
        <v>1691941</v>
      </c>
      <c r="AE7" s="44">
        <v>1846111.6666666667</v>
      </c>
      <c r="AF7" s="44">
        <v>862802</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1680</v>
      </c>
      <c r="D8" s="1" t="s">
        <v>1681</v>
      </c>
      <c r="E8" s="1" t="s">
        <v>1682</v>
      </c>
      <c r="F8" s="1" t="s">
        <v>112</v>
      </c>
      <c r="G8" s="1">
        <v>482260</v>
      </c>
      <c r="K8" s="145" t="s">
        <v>1664</v>
      </c>
      <c r="L8" s="44">
        <v>299725.66666666669</v>
      </c>
      <c r="M8" s="44">
        <v>41129</v>
      </c>
      <c r="N8" s="44">
        <v>419998.5</v>
      </c>
      <c r="O8" s="44">
        <v>2244296</v>
      </c>
      <c r="P8" s="44">
        <v>3541816</v>
      </c>
      <c r="Q8" s="44">
        <v>2857936.5</v>
      </c>
      <c r="R8" s="44">
        <v>5319115.666666667</v>
      </c>
      <c r="S8" s="44">
        <v>172552.5</v>
      </c>
      <c r="T8" s="44">
        <v>113794.66666666667</v>
      </c>
      <c r="U8" s="44">
        <v>76043.333333333328</v>
      </c>
      <c r="V8" s="44">
        <v>60109.5</v>
      </c>
      <c r="W8" s="44">
        <v>165159</v>
      </c>
      <c r="X8" s="44">
        <v>1931384</v>
      </c>
      <c r="Y8" s="44">
        <v>614130.66666666663</v>
      </c>
      <c r="Z8" s="44">
        <v>4868355.666666667</v>
      </c>
      <c r="AA8" s="44">
        <v>514510.5</v>
      </c>
      <c r="AB8" s="44">
        <v>3088986.6666666665</v>
      </c>
      <c r="AC8" s="44">
        <v>3136356.3333333335</v>
      </c>
      <c r="AD8" s="44">
        <v>2511663.3333333335</v>
      </c>
      <c r="AE8" s="44">
        <v>1322538.3333333333</v>
      </c>
      <c r="AF8" s="44">
        <v>85189</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1683</v>
      </c>
      <c r="D9" s="1" t="s">
        <v>278</v>
      </c>
      <c r="E9" s="1" t="s">
        <v>1684</v>
      </c>
      <c r="F9" s="1" t="s">
        <v>112</v>
      </c>
      <c r="G9" s="1">
        <v>30066</v>
      </c>
      <c r="K9" s="145" t="s">
        <v>1665</v>
      </c>
      <c r="L9" s="44">
        <v>33649</v>
      </c>
      <c r="M9" s="44">
        <v>13114.666666666666</v>
      </c>
      <c r="N9" s="44">
        <v>448856.33333333331</v>
      </c>
      <c r="O9" s="44">
        <v>1550193</v>
      </c>
      <c r="P9" s="44">
        <v>2649503.6666666665</v>
      </c>
      <c r="Q9" s="44">
        <v>4269330.5</v>
      </c>
      <c r="R9" s="44">
        <v>5204095</v>
      </c>
      <c r="S9" s="44">
        <v>21878.5</v>
      </c>
      <c r="T9" s="44">
        <v>315479.33333333331</v>
      </c>
      <c r="U9" s="44">
        <v>195534.33333333334</v>
      </c>
      <c r="V9" s="44">
        <v>143211.33333333334</v>
      </c>
      <c r="W9" s="44">
        <v>123759</v>
      </c>
      <c r="X9" s="44">
        <v>5481048</v>
      </c>
      <c r="Y9" s="44">
        <v>1764552.6666666667</v>
      </c>
      <c r="Z9" s="44">
        <v>2369115</v>
      </c>
      <c r="AA9" s="44">
        <v>305443.33333333331</v>
      </c>
      <c r="AB9" s="44">
        <v>1949127.6666666667</v>
      </c>
      <c r="AC9" s="44">
        <v>779815.33333333337</v>
      </c>
      <c r="AD9" s="44">
        <v>967303.33333333337</v>
      </c>
      <c r="AE9" s="44">
        <v>1500617</v>
      </c>
      <c r="AF9" s="44">
        <v>755712.33333333337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1685</v>
      </c>
      <c r="D10" s="1" t="s">
        <v>1686</v>
      </c>
      <c r="E10" s="1" t="s">
        <v>1687</v>
      </c>
      <c r="F10" s="1" t="s">
        <v>112</v>
      </c>
      <c r="G10" s="1">
        <v>192333</v>
      </c>
      <c r="K10" s="145" t="s">
        <v>1666</v>
      </c>
      <c r="L10" s="44">
        <v>120478.5</v>
      </c>
      <c r="M10" s="44">
        <v>65062.5</v>
      </c>
      <c r="N10" s="44">
        <v>41464.333333333336</v>
      </c>
      <c r="O10" s="44">
        <v>1005566.6666666666</v>
      </c>
      <c r="P10" s="44">
        <v>978385</v>
      </c>
      <c r="Q10" s="44">
        <v>3171432.6666666665</v>
      </c>
      <c r="R10" s="44">
        <v>6255834</v>
      </c>
      <c r="S10" s="44">
        <v>48487.333333333336</v>
      </c>
      <c r="T10" s="44"/>
      <c r="U10" s="44">
        <v>154459</v>
      </c>
      <c r="V10" s="44"/>
      <c r="W10" s="44">
        <v>152177</v>
      </c>
      <c r="X10" s="44">
        <v>339445.33333333331</v>
      </c>
      <c r="Y10" s="44">
        <v>2758662.3333333335</v>
      </c>
      <c r="Z10" s="44">
        <v>5103314</v>
      </c>
      <c r="AA10" s="44">
        <v>521013.66666666669</v>
      </c>
      <c r="AB10" s="44">
        <v>2233654.3333333335</v>
      </c>
      <c r="AC10" s="44">
        <v>313294.66666666669</v>
      </c>
      <c r="AD10" s="44">
        <v>78279</v>
      </c>
      <c r="AE10" s="44">
        <v>646178.33333333337</v>
      </c>
      <c r="AF10" s="44">
        <v>308291</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1688</v>
      </c>
      <c r="D11" s="1" t="s">
        <v>454</v>
      </c>
      <c r="E11" s="1" t="s">
        <v>1689</v>
      </c>
      <c r="F11" s="1" t="s">
        <v>112</v>
      </c>
      <c r="G11" s="1">
        <v>282595</v>
      </c>
      <c r="K11" s="145" t="s">
        <v>1667</v>
      </c>
      <c r="L11" s="44">
        <v>76468.666666666672</v>
      </c>
      <c r="M11" s="44">
        <v>116844.66666666667</v>
      </c>
      <c r="N11" s="44">
        <v>296185.33333333331</v>
      </c>
      <c r="O11" s="44">
        <v>233235</v>
      </c>
      <c r="P11" s="44">
        <v>2309078</v>
      </c>
      <c r="Q11" s="44">
        <v>4413861</v>
      </c>
      <c r="R11" s="44">
        <v>5242278.666666667</v>
      </c>
      <c r="S11" s="44">
        <v>33743</v>
      </c>
      <c r="T11" s="44">
        <v>27199.5</v>
      </c>
      <c r="U11" s="44">
        <v>49748.666666666664</v>
      </c>
      <c r="V11" s="44">
        <v>47434</v>
      </c>
      <c r="W11" s="44">
        <v>65163.666666666664</v>
      </c>
      <c r="X11" s="44">
        <v>2764495</v>
      </c>
      <c r="Y11" s="44">
        <v>2818642.3333333335</v>
      </c>
      <c r="Z11" s="44">
        <v>2670059.3333333335</v>
      </c>
      <c r="AA11" s="44">
        <v>43576.666666666664</v>
      </c>
      <c r="AB11" s="44">
        <v>2126182.6666666665</v>
      </c>
      <c r="AC11" s="44">
        <v>2038026.3333333333</v>
      </c>
      <c r="AD11" s="44">
        <v>1391790</v>
      </c>
      <c r="AE11" s="44">
        <v>319466.33333333331</v>
      </c>
      <c r="AF11" s="44">
        <v>3554664</v>
      </c>
      <c r="AG11"/>
    </row>
    <row r="12" spans="1:144" x14ac:dyDescent="0.3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1690</v>
      </c>
      <c r="D12" s="1" t="s">
        <v>1691</v>
      </c>
      <c r="E12" s="1" t="s">
        <v>1692</v>
      </c>
      <c r="F12" s="1" t="s">
        <v>112</v>
      </c>
      <c r="G12" s="1">
        <v>340822</v>
      </c>
      <c r="K12" s="145" t="s">
        <v>1668</v>
      </c>
      <c r="L12" s="44">
        <v>266292.66666666669</v>
      </c>
      <c r="M12" s="44">
        <v>92208.5</v>
      </c>
      <c r="N12" s="44">
        <v>305003</v>
      </c>
      <c r="O12" s="44">
        <v>1819434.6666666667</v>
      </c>
      <c r="P12" s="44">
        <v>2807592.5</v>
      </c>
      <c r="Q12" s="44">
        <v>1371494</v>
      </c>
      <c r="R12" s="44">
        <v>5851780.666666667</v>
      </c>
      <c r="S12" s="44">
        <v>59316.333333333336</v>
      </c>
      <c r="T12" s="44">
        <v>144394</v>
      </c>
      <c r="U12" s="44">
        <v>170638.33333333334</v>
      </c>
      <c r="V12" s="44">
        <v>120529</v>
      </c>
      <c r="W12" s="44">
        <v>351882.33333333331</v>
      </c>
      <c r="X12" s="44">
        <v>1966150</v>
      </c>
      <c r="Y12" s="44">
        <v>174394.66666666666</v>
      </c>
      <c r="Z12" s="44">
        <v>3075518.6666666665</v>
      </c>
      <c r="AA12" s="44">
        <v>8623</v>
      </c>
      <c r="AB12" s="44">
        <v>595968.33333333337</v>
      </c>
      <c r="AC12" s="44">
        <v>3783054</v>
      </c>
      <c r="AD12" s="44">
        <v>171770</v>
      </c>
      <c r="AE12" s="44">
        <v>2467495</v>
      </c>
      <c r="AF12" s="44">
        <v>182275</v>
      </c>
      <c r="AG12"/>
    </row>
    <row r="13" spans="1:144" x14ac:dyDescent="0.3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1693</v>
      </c>
      <c r="D13" s="1" t="s">
        <v>454</v>
      </c>
      <c r="E13" s="1" t="s">
        <v>1694</v>
      </c>
      <c r="F13" s="1" t="s">
        <v>112</v>
      </c>
      <c r="G13" s="1">
        <v>275760</v>
      </c>
      <c r="K13"/>
      <c r="L13"/>
      <c r="M13"/>
      <c r="N13"/>
      <c r="O13"/>
      <c r="P13"/>
      <c r="Q13"/>
      <c r="R13"/>
      <c r="S13"/>
      <c r="T13"/>
      <c r="U13"/>
      <c r="V13"/>
      <c r="W13"/>
      <c r="X13"/>
      <c r="Y13"/>
      <c r="Z13"/>
      <c r="AA13"/>
      <c r="AB13"/>
      <c r="AC13"/>
      <c r="AD13"/>
      <c r="AE13"/>
      <c r="AF13"/>
      <c r="AG13"/>
    </row>
    <row r="14" spans="1:144" x14ac:dyDescent="0.3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1695</v>
      </c>
      <c r="D14" s="1" t="s">
        <v>345</v>
      </c>
      <c r="E14" s="1" t="s">
        <v>1696</v>
      </c>
      <c r="F14" s="1" t="s">
        <v>112</v>
      </c>
      <c r="G14" s="1">
        <v>54118</v>
      </c>
      <c r="K14"/>
      <c r="L14"/>
      <c r="M14"/>
      <c r="N14"/>
      <c r="O14"/>
      <c r="P14"/>
      <c r="Q14"/>
      <c r="R14"/>
      <c r="S14"/>
      <c r="T14"/>
      <c r="U14"/>
      <c r="V14"/>
      <c r="W14"/>
      <c r="X14"/>
      <c r="Y14"/>
      <c r="Z14"/>
      <c r="AA14"/>
      <c r="AB14"/>
      <c r="AC14"/>
      <c r="AD14"/>
      <c r="AE14"/>
      <c r="AF14"/>
      <c r="AG14"/>
    </row>
    <row r="15" spans="1:144" x14ac:dyDescent="0.3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1697</v>
      </c>
      <c r="D15" s="1" t="s">
        <v>806</v>
      </c>
      <c r="E15" s="1" t="s">
        <v>690</v>
      </c>
      <c r="F15" s="1" t="s">
        <v>112</v>
      </c>
      <c r="G15" s="1">
        <v>13865</v>
      </c>
    </row>
    <row r="16" spans="1:144" x14ac:dyDescent="0.3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1698</v>
      </c>
      <c r="D16" s="1" t="s">
        <v>251</v>
      </c>
      <c r="E16" s="1" t="s">
        <v>1699</v>
      </c>
      <c r="F16" s="1" t="s">
        <v>112</v>
      </c>
      <c r="G16" s="1">
        <v>32964</v>
      </c>
    </row>
    <row r="17" spans="1:10" x14ac:dyDescent="0.3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1700</v>
      </c>
    </row>
    <row r="18" spans="1:10" x14ac:dyDescent="0.3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1701</v>
      </c>
      <c r="D18" s="1" t="s">
        <v>1702</v>
      </c>
      <c r="E18" s="1" t="s">
        <v>1703</v>
      </c>
      <c r="F18" s="1" t="s">
        <v>112</v>
      </c>
      <c r="G18" s="1">
        <v>199298</v>
      </c>
    </row>
    <row r="19" spans="1:10" x14ac:dyDescent="0.3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1704</v>
      </c>
      <c r="D19" s="1" t="s">
        <v>762</v>
      </c>
      <c r="E19" s="1" t="s">
        <v>1705</v>
      </c>
      <c r="F19" s="1" t="s">
        <v>112</v>
      </c>
      <c r="G19" s="1">
        <v>41659</v>
      </c>
    </row>
    <row r="20" spans="1:10" x14ac:dyDescent="0.3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1706</v>
      </c>
      <c r="D20" s="1" t="s">
        <v>1707</v>
      </c>
      <c r="E20" s="1" t="s">
        <v>1708</v>
      </c>
      <c r="F20" s="1" t="s">
        <v>112</v>
      </c>
      <c r="G20" s="1">
        <v>140702</v>
      </c>
    </row>
    <row r="21" spans="1:10" x14ac:dyDescent="0.3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1709</v>
      </c>
      <c r="D21" s="1" t="s">
        <v>232</v>
      </c>
      <c r="E21" s="1" t="s">
        <v>1710</v>
      </c>
      <c r="F21" s="1" t="s">
        <v>112</v>
      </c>
      <c r="G21" s="1">
        <v>84724</v>
      </c>
    </row>
    <row r="22" spans="1:10" x14ac:dyDescent="0.3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1711</v>
      </c>
      <c r="D22" s="1" t="s">
        <v>1712</v>
      </c>
      <c r="E22" s="1" t="s">
        <v>1713</v>
      </c>
      <c r="F22" s="1" t="s">
        <v>112</v>
      </c>
      <c r="G22" s="1">
        <v>3980</v>
      </c>
    </row>
    <row r="23" spans="1:10" x14ac:dyDescent="0.3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1714</v>
      </c>
      <c r="D23" s="1" t="s">
        <v>1715</v>
      </c>
      <c r="E23" s="1" t="s">
        <v>1716</v>
      </c>
      <c r="F23" s="1" t="s">
        <v>112</v>
      </c>
      <c r="G23" s="1">
        <v>554244</v>
      </c>
    </row>
    <row r="24" spans="1:10" x14ac:dyDescent="0.3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1717</v>
      </c>
      <c r="D24" s="1" t="s">
        <v>742</v>
      </c>
      <c r="E24" s="1" t="s">
        <v>1718</v>
      </c>
      <c r="F24" s="1" t="s">
        <v>112</v>
      </c>
      <c r="G24" s="1">
        <v>152858</v>
      </c>
    </row>
    <row r="25" spans="1:10" x14ac:dyDescent="0.3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1719</v>
      </c>
      <c r="D25" s="1" t="s">
        <v>229</v>
      </c>
      <c r="E25" s="1" t="s">
        <v>1720</v>
      </c>
      <c r="F25" s="1" t="s">
        <v>112</v>
      </c>
      <c r="G25" s="1">
        <v>91776</v>
      </c>
    </row>
    <row r="26" spans="1:10"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234</v>
      </c>
      <c r="D27" s="1" t="s">
        <v>112</v>
      </c>
      <c r="E27" s="1" t="s">
        <v>235</v>
      </c>
      <c r="F27" s="1" t="s">
        <v>236</v>
      </c>
      <c r="G27" s="1" t="s">
        <v>237</v>
      </c>
      <c r="H27" s="1" t="s">
        <v>238</v>
      </c>
      <c r="I27" s="1" t="s">
        <v>239</v>
      </c>
      <c r="J27" s="1" t="s">
        <v>240</v>
      </c>
    </row>
    <row r="28" spans="1:10" x14ac:dyDescent="0.3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1721</v>
      </c>
      <c r="D28" s="1" t="s">
        <v>112</v>
      </c>
      <c r="E28" s="1" t="s">
        <v>1722</v>
      </c>
      <c r="F28" s="1" t="s">
        <v>1723</v>
      </c>
      <c r="G28" s="1" t="s">
        <v>1724</v>
      </c>
      <c r="H28" s="1" t="s">
        <v>1725</v>
      </c>
      <c r="I28" s="1">
        <v>24</v>
      </c>
      <c r="J28" s="1">
        <v>24</v>
      </c>
    </row>
    <row r="29" spans="1:10"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246</v>
      </c>
      <c r="D34" s="1" t="s">
        <v>110</v>
      </c>
      <c r="E34" s="1" t="s">
        <v>111</v>
      </c>
      <c r="F34" s="1" t="s">
        <v>112</v>
      </c>
      <c r="G34" s="1" t="s">
        <v>113</v>
      </c>
    </row>
    <row r="35" spans="1:7" x14ac:dyDescent="0.3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1726</v>
      </c>
      <c r="D35" s="1" t="s">
        <v>836</v>
      </c>
      <c r="E35" s="1" t="s">
        <v>1727</v>
      </c>
      <c r="F35" s="1" t="s">
        <v>112</v>
      </c>
      <c r="G35" s="1">
        <v>104516</v>
      </c>
    </row>
    <row r="36" spans="1:7" x14ac:dyDescent="0.3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1728</v>
      </c>
      <c r="D36" s="1" t="s">
        <v>418</v>
      </c>
      <c r="E36" s="1" t="s">
        <v>1729</v>
      </c>
      <c r="F36" s="1" t="s">
        <v>112</v>
      </c>
      <c r="G36" s="1">
        <v>65084</v>
      </c>
    </row>
    <row r="37" spans="1:7" x14ac:dyDescent="0.3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1730</v>
      </c>
      <c r="D37" s="1" t="s">
        <v>762</v>
      </c>
      <c r="E37" s="1" t="s">
        <v>1731</v>
      </c>
      <c r="F37" s="1" t="s">
        <v>112</v>
      </c>
      <c r="G37" s="1">
        <v>41248</v>
      </c>
    </row>
    <row r="38" spans="1:7" x14ac:dyDescent="0.3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1732</v>
      </c>
      <c r="D38" s="1" t="s">
        <v>371</v>
      </c>
      <c r="E38" s="1" t="s">
        <v>1733</v>
      </c>
      <c r="F38" s="1" t="s">
        <v>112</v>
      </c>
      <c r="G38" s="1">
        <v>67788</v>
      </c>
    </row>
    <row r="39" spans="1:7" x14ac:dyDescent="0.3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1734</v>
      </c>
      <c r="D39" s="1" t="s">
        <v>1735</v>
      </c>
      <c r="E39" s="1" t="s">
        <v>1736</v>
      </c>
      <c r="F39" s="1" t="s">
        <v>112</v>
      </c>
      <c r="G39" s="1">
        <v>52431</v>
      </c>
    </row>
    <row r="40" spans="1:7" x14ac:dyDescent="0.3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1737</v>
      </c>
      <c r="D40" s="1" t="s">
        <v>780</v>
      </c>
      <c r="E40" s="1" t="s">
        <v>1738</v>
      </c>
      <c r="F40" s="1" t="s">
        <v>112</v>
      </c>
      <c r="G40" s="1">
        <v>91516</v>
      </c>
    </row>
    <row r="41" spans="1:7" x14ac:dyDescent="0.3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1739</v>
      </c>
      <c r="D41" s="1" t="s">
        <v>260</v>
      </c>
      <c r="E41" s="1" t="s">
        <v>1740</v>
      </c>
      <c r="F41" s="1" t="s">
        <v>112</v>
      </c>
      <c r="G41" s="1">
        <v>501381</v>
      </c>
    </row>
    <row r="42" spans="1:7" x14ac:dyDescent="0.3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1741</v>
      </c>
      <c r="D42" s="1" t="s">
        <v>878</v>
      </c>
      <c r="E42" s="1" t="s">
        <v>1742</v>
      </c>
      <c r="F42" s="1" t="s">
        <v>112</v>
      </c>
      <c r="G42" s="1">
        <v>558268</v>
      </c>
    </row>
    <row r="43" spans="1:7" x14ac:dyDescent="0.3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1743</v>
      </c>
      <c r="D43" s="1" t="s">
        <v>1744</v>
      </c>
      <c r="E43" s="1" t="s">
        <v>1745</v>
      </c>
      <c r="F43" s="1" t="s">
        <v>112</v>
      </c>
      <c r="G43" s="1">
        <v>564886</v>
      </c>
    </row>
    <row r="44" spans="1:7" x14ac:dyDescent="0.3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1746</v>
      </c>
      <c r="D44" s="1" t="s">
        <v>170</v>
      </c>
      <c r="E44" s="1" t="s">
        <v>1747</v>
      </c>
      <c r="F44" s="1" t="s">
        <v>112</v>
      </c>
      <c r="G44" s="1">
        <v>37160</v>
      </c>
    </row>
    <row r="45" spans="1:7" x14ac:dyDescent="0.3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1748</v>
      </c>
      <c r="D45" s="1" t="s">
        <v>592</v>
      </c>
      <c r="E45" s="1" t="s">
        <v>1749</v>
      </c>
      <c r="F45" s="1" t="s">
        <v>112</v>
      </c>
      <c r="G45" s="1">
        <v>45098</v>
      </c>
    </row>
    <row r="46" spans="1:7" x14ac:dyDescent="0.3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1750</v>
      </c>
    </row>
    <row r="47" spans="1:7" x14ac:dyDescent="0.3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1751</v>
      </c>
      <c r="D47" s="1" t="s">
        <v>187</v>
      </c>
      <c r="E47" s="1" t="s">
        <v>1752</v>
      </c>
      <c r="F47" s="1" t="s">
        <v>112</v>
      </c>
      <c r="G47" s="1">
        <v>20959</v>
      </c>
    </row>
    <row r="48" spans="1:7" x14ac:dyDescent="0.3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1753</v>
      </c>
      <c r="D48" s="1" t="s">
        <v>818</v>
      </c>
      <c r="E48" s="1" t="s">
        <v>1754</v>
      </c>
      <c r="F48" s="1" t="s">
        <v>112</v>
      </c>
      <c r="G48" s="1">
        <v>8284</v>
      </c>
    </row>
    <row r="49" spans="1:10" x14ac:dyDescent="0.3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1755</v>
      </c>
      <c r="D49" s="1" t="s">
        <v>751</v>
      </c>
      <c r="E49" s="1" t="s">
        <v>1756</v>
      </c>
      <c r="F49" s="1" t="s">
        <v>112</v>
      </c>
      <c r="G49" s="1">
        <v>10101</v>
      </c>
    </row>
    <row r="50" spans="1:10" x14ac:dyDescent="0.3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1757</v>
      </c>
      <c r="D50" s="1" t="s">
        <v>1735</v>
      </c>
      <c r="E50" s="1" t="s">
        <v>1758</v>
      </c>
      <c r="F50" s="1" t="s">
        <v>112</v>
      </c>
      <c r="G50" s="1">
        <v>50311</v>
      </c>
    </row>
    <row r="51" spans="1:10" x14ac:dyDescent="0.3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1759</v>
      </c>
      <c r="D51" s="1" t="s">
        <v>232</v>
      </c>
      <c r="E51" s="1" t="s">
        <v>1760</v>
      </c>
      <c r="F51" s="1" t="s">
        <v>112</v>
      </c>
      <c r="G51" s="1">
        <v>79814</v>
      </c>
    </row>
    <row r="52" spans="1:10" x14ac:dyDescent="0.3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1761</v>
      </c>
    </row>
    <row r="53" spans="1:10" x14ac:dyDescent="0.3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1762</v>
      </c>
      <c r="D53" s="1" t="s">
        <v>839</v>
      </c>
      <c r="E53" s="1" t="s">
        <v>1763</v>
      </c>
      <c r="F53" s="1" t="s">
        <v>112</v>
      </c>
      <c r="G53" s="1">
        <v>68740</v>
      </c>
    </row>
    <row r="54" spans="1:10" x14ac:dyDescent="0.3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1764</v>
      </c>
      <c r="D54" s="1" t="s">
        <v>1765</v>
      </c>
      <c r="E54" s="1" t="s">
        <v>1766</v>
      </c>
      <c r="F54" s="1" t="s">
        <v>112</v>
      </c>
      <c r="G54" s="1">
        <v>240611</v>
      </c>
    </row>
    <row r="55" spans="1:10" x14ac:dyDescent="0.3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1767</v>
      </c>
      <c r="D55" s="1" t="s">
        <v>762</v>
      </c>
      <c r="E55" s="1" t="s">
        <v>1768</v>
      </c>
      <c r="F55" s="1" t="s">
        <v>112</v>
      </c>
      <c r="G55" s="1">
        <v>41183</v>
      </c>
    </row>
    <row r="56" spans="1:10" x14ac:dyDescent="0.3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1769</v>
      </c>
      <c r="D56" s="1" t="s">
        <v>803</v>
      </c>
      <c r="E56" s="1" t="s">
        <v>1770</v>
      </c>
      <c r="F56" s="1" t="s">
        <v>112</v>
      </c>
      <c r="G56" s="1">
        <v>34024</v>
      </c>
    </row>
    <row r="57" spans="1:10" x14ac:dyDescent="0.3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1771</v>
      </c>
      <c r="D57" s="1" t="s">
        <v>742</v>
      </c>
      <c r="E57" s="1" t="s">
        <v>1772</v>
      </c>
      <c r="F57" s="1" t="s">
        <v>112</v>
      </c>
      <c r="G57" s="1">
        <v>150393</v>
      </c>
    </row>
    <row r="58" spans="1:10" x14ac:dyDescent="0.3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1773</v>
      </c>
    </row>
    <row r="59" spans="1:10"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234</v>
      </c>
      <c r="D60" s="1" t="s">
        <v>112</v>
      </c>
      <c r="E60" s="1" t="s">
        <v>235</v>
      </c>
      <c r="F60" s="1" t="s">
        <v>236</v>
      </c>
      <c r="G60" s="1" t="s">
        <v>237</v>
      </c>
      <c r="H60" s="1" t="s">
        <v>238</v>
      </c>
      <c r="I60" s="1" t="s">
        <v>239</v>
      </c>
      <c r="J60" s="1" t="s">
        <v>240</v>
      </c>
    </row>
    <row r="61" spans="1:10" x14ac:dyDescent="0.3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1774</v>
      </c>
      <c r="D61" s="1" t="s">
        <v>112</v>
      </c>
      <c r="E61" s="1" t="s">
        <v>1775</v>
      </c>
      <c r="F61" s="1" t="s">
        <v>1776</v>
      </c>
      <c r="G61" s="1" t="s">
        <v>1777</v>
      </c>
      <c r="H61" s="1" t="s">
        <v>1778</v>
      </c>
      <c r="I61" s="1">
        <v>24</v>
      </c>
      <c r="J61" s="1">
        <v>24</v>
      </c>
    </row>
    <row r="62" spans="1:10"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246</v>
      </c>
      <c r="D67" s="1" t="s">
        <v>110</v>
      </c>
      <c r="E67" s="1" t="s">
        <v>111</v>
      </c>
      <c r="F67" s="1" t="s">
        <v>112</v>
      </c>
      <c r="G67" s="1" t="s">
        <v>113</v>
      </c>
    </row>
    <row r="68" spans="1:7" x14ac:dyDescent="0.3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1779</v>
      </c>
      <c r="D68" s="1" t="s">
        <v>1780</v>
      </c>
      <c r="E68" s="1" t="s">
        <v>1781</v>
      </c>
      <c r="F68" s="1" t="s">
        <v>112</v>
      </c>
      <c r="G68" s="1">
        <v>691400</v>
      </c>
    </row>
    <row r="69" spans="1:7" x14ac:dyDescent="0.3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1782</v>
      </c>
      <c r="D69" s="1" t="s">
        <v>1783</v>
      </c>
      <c r="E69" s="1" t="s">
        <v>1784</v>
      </c>
      <c r="F69" s="1" t="s">
        <v>112</v>
      </c>
      <c r="G69" s="1">
        <v>867640</v>
      </c>
    </row>
    <row r="70" spans="1:7" x14ac:dyDescent="0.3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1785</v>
      </c>
      <c r="D70" s="1" t="s">
        <v>1786</v>
      </c>
      <c r="E70" s="1" t="s">
        <v>1787</v>
      </c>
      <c r="F70" s="1" t="s">
        <v>112</v>
      </c>
      <c r="G70" s="1">
        <v>755662</v>
      </c>
    </row>
    <row r="71" spans="1:7" x14ac:dyDescent="0.3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1788</v>
      </c>
      <c r="D71" s="1" t="s">
        <v>1789</v>
      </c>
      <c r="E71" s="1" t="s">
        <v>1790</v>
      </c>
      <c r="F71" s="1" t="s">
        <v>112</v>
      </c>
      <c r="G71" s="1">
        <v>261570</v>
      </c>
    </row>
    <row r="72" spans="1:7" x14ac:dyDescent="0.3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1791</v>
      </c>
      <c r="D72" s="1" t="s">
        <v>1792</v>
      </c>
      <c r="E72" s="1" t="s">
        <v>1793</v>
      </c>
      <c r="F72" s="1" t="s">
        <v>112</v>
      </c>
      <c r="G72" s="1">
        <v>178966</v>
      </c>
    </row>
    <row r="73" spans="1:7" x14ac:dyDescent="0.3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1794</v>
      </c>
      <c r="D73" s="1" t="s">
        <v>724</v>
      </c>
      <c r="E73" s="1" t="s">
        <v>1795</v>
      </c>
      <c r="F73" s="1" t="s">
        <v>112</v>
      </c>
      <c r="G73" s="1">
        <v>248809</v>
      </c>
    </row>
    <row r="74" spans="1:7" x14ac:dyDescent="0.3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1796</v>
      </c>
      <c r="D74" s="1" t="s">
        <v>1797</v>
      </c>
      <c r="E74" s="1" t="s">
        <v>1798</v>
      </c>
      <c r="F74" s="1" t="s">
        <v>112</v>
      </c>
      <c r="G74" s="1">
        <v>274548</v>
      </c>
    </row>
    <row r="75" spans="1:7" x14ac:dyDescent="0.3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1799</v>
      </c>
      <c r="D75" s="1" t="s">
        <v>733</v>
      </c>
      <c r="E75" s="1" t="s">
        <v>1800</v>
      </c>
      <c r="F75" s="1" t="s">
        <v>112</v>
      </c>
      <c r="G75" s="1">
        <v>204381</v>
      </c>
    </row>
    <row r="76" spans="1:7" x14ac:dyDescent="0.3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1801</v>
      </c>
      <c r="D76" s="1" t="s">
        <v>1243</v>
      </c>
      <c r="E76" s="1" t="s">
        <v>1802</v>
      </c>
      <c r="F76" s="1" t="s">
        <v>112</v>
      </c>
      <c r="G76" s="1">
        <v>248722</v>
      </c>
    </row>
    <row r="77" spans="1:7" x14ac:dyDescent="0.3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1803</v>
      </c>
    </row>
    <row r="78" spans="1:7" x14ac:dyDescent="0.3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1804</v>
      </c>
      <c r="D78" s="1" t="s">
        <v>1805</v>
      </c>
      <c r="E78" s="1" t="s">
        <v>1806</v>
      </c>
      <c r="F78" s="1" t="s">
        <v>112</v>
      </c>
      <c r="G78" s="1">
        <v>507697</v>
      </c>
    </row>
    <row r="79" spans="1:7" x14ac:dyDescent="0.3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1807</v>
      </c>
      <c r="D79" s="1" t="s">
        <v>209</v>
      </c>
      <c r="E79" s="1" t="s">
        <v>1808</v>
      </c>
      <c r="F79" s="1" t="s">
        <v>112</v>
      </c>
      <c r="G79" s="1">
        <v>332300</v>
      </c>
    </row>
    <row r="80" spans="1:7" x14ac:dyDescent="0.3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1809</v>
      </c>
      <c r="D80" s="1" t="s">
        <v>1810</v>
      </c>
      <c r="E80" s="1" t="s">
        <v>1811</v>
      </c>
      <c r="F80" s="1" t="s">
        <v>112</v>
      </c>
      <c r="G80" s="1">
        <v>409194</v>
      </c>
    </row>
    <row r="81" spans="1:10" x14ac:dyDescent="0.3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1812</v>
      </c>
      <c r="D81" s="1" t="s">
        <v>1813</v>
      </c>
      <c r="E81" s="1" t="s">
        <v>1814</v>
      </c>
      <c r="F81" s="1" t="s">
        <v>112</v>
      </c>
      <c r="G81" s="1">
        <v>489247</v>
      </c>
    </row>
    <row r="82" spans="1:10" x14ac:dyDescent="0.3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1815</v>
      </c>
      <c r="D82" s="1" t="s">
        <v>1816</v>
      </c>
      <c r="E82" s="1" t="s">
        <v>1817</v>
      </c>
      <c r="F82" s="1" t="s">
        <v>112</v>
      </c>
      <c r="G82" s="1">
        <v>448128</v>
      </c>
    </row>
    <row r="83" spans="1:10" x14ac:dyDescent="0.3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1818</v>
      </c>
      <c r="D83" s="1" t="s">
        <v>181</v>
      </c>
      <c r="E83" s="1" t="s">
        <v>1819</v>
      </c>
      <c r="F83" s="1" t="s">
        <v>112</v>
      </c>
      <c r="G83" s="1">
        <v>25523</v>
      </c>
    </row>
    <row r="84" spans="1:10" x14ac:dyDescent="0.3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1820</v>
      </c>
      <c r="D84" s="1" t="s">
        <v>745</v>
      </c>
      <c r="E84" s="1" t="s">
        <v>1821</v>
      </c>
      <c r="F84" s="1" t="s">
        <v>112</v>
      </c>
      <c r="G84" s="1">
        <v>38350</v>
      </c>
    </row>
    <row r="85" spans="1:10" x14ac:dyDescent="0.3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1822</v>
      </c>
      <c r="D85" s="1" t="s">
        <v>941</v>
      </c>
      <c r="E85" s="1" t="s">
        <v>1823</v>
      </c>
      <c r="F85" s="1" t="s">
        <v>112</v>
      </c>
      <c r="G85" s="1">
        <v>60520</v>
      </c>
    </row>
    <row r="86" spans="1:10" x14ac:dyDescent="0.3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1824</v>
      </c>
      <c r="D86" s="1" t="s">
        <v>1825</v>
      </c>
      <c r="E86" s="1" t="s">
        <v>1826</v>
      </c>
      <c r="F86" s="1" t="s">
        <v>112</v>
      </c>
      <c r="G86" s="1">
        <v>75856</v>
      </c>
    </row>
    <row r="87" spans="1:10" x14ac:dyDescent="0.3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1827</v>
      </c>
      <c r="D87" s="1" t="s">
        <v>1828</v>
      </c>
      <c r="E87" s="1" t="s">
        <v>1829</v>
      </c>
      <c r="F87" s="1" t="s">
        <v>112</v>
      </c>
      <c r="G87" s="1">
        <v>192052</v>
      </c>
    </row>
    <row r="88" spans="1:10" x14ac:dyDescent="0.3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1830</v>
      </c>
      <c r="D88" s="1" t="s">
        <v>1831</v>
      </c>
      <c r="E88" s="1" t="s">
        <v>1832</v>
      </c>
      <c r="F88" s="1" t="s">
        <v>112</v>
      </c>
      <c r="G88" s="1">
        <v>620648</v>
      </c>
    </row>
    <row r="89" spans="1:10" x14ac:dyDescent="0.3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1833</v>
      </c>
      <c r="D89" s="1" t="s">
        <v>1834</v>
      </c>
      <c r="E89" s="1" t="s">
        <v>1835</v>
      </c>
      <c r="F89" s="1" t="s">
        <v>112</v>
      </c>
      <c r="G89" s="1">
        <v>791935</v>
      </c>
    </row>
    <row r="90" spans="1:10" x14ac:dyDescent="0.3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1836</v>
      </c>
      <c r="D90" s="1" t="s">
        <v>1837</v>
      </c>
      <c r="E90" s="1" t="s">
        <v>1838</v>
      </c>
      <c r="F90" s="1" t="s">
        <v>112</v>
      </c>
      <c r="G90" s="1">
        <v>71508</v>
      </c>
    </row>
    <row r="91" spans="1:10" x14ac:dyDescent="0.3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1839</v>
      </c>
      <c r="D91" s="1" t="s">
        <v>934</v>
      </c>
      <c r="E91" s="1" t="s">
        <v>1840</v>
      </c>
      <c r="F91" s="1" t="s">
        <v>112</v>
      </c>
      <c r="G91" s="1">
        <v>51566</v>
      </c>
    </row>
    <row r="92" spans="1:10"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234</v>
      </c>
      <c r="D93" s="1" t="s">
        <v>112</v>
      </c>
      <c r="E93" s="1" t="s">
        <v>235</v>
      </c>
      <c r="F93" s="1" t="s">
        <v>236</v>
      </c>
      <c r="G93" s="1" t="s">
        <v>237</v>
      </c>
      <c r="H93" s="1" t="s">
        <v>238</v>
      </c>
      <c r="I93" s="1" t="s">
        <v>239</v>
      </c>
      <c r="J93" s="1" t="s">
        <v>240</v>
      </c>
    </row>
    <row r="94" spans="1:10" x14ac:dyDescent="0.3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1841</v>
      </c>
      <c r="D94" s="1" t="s">
        <v>112</v>
      </c>
      <c r="E94" s="1" t="s">
        <v>1842</v>
      </c>
      <c r="F94" s="1" t="s">
        <v>1843</v>
      </c>
      <c r="G94" s="1" t="s">
        <v>1844</v>
      </c>
      <c r="H94" s="1" t="s">
        <v>1845</v>
      </c>
      <c r="I94" s="1">
        <v>24</v>
      </c>
      <c r="J94" s="1">
        <v>24</v>
      </c>
    </row>
    <row r="95" spans="1:10"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246</v>
      </c>
      <c r="D100" s="1" t="s">
        <v>110</v>
      </c>
      <c r="E100" s="1" t="s">
        <v>111</v>
      </c>
      <c r="F100" s="1" t="s">
        <v>112</v>
      </c>
      <c r="G100" s="1" t="s">
        <v>113</v>
      </c>
    </row>
    <row r="101" spans="1:7" x14ac:dyDescent="0.3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1846</v>
      </c>
      <c r="D101" s="1" t="s">
        <v>1847</v>
      </c>
      <c r="E101" s="1" t="s">
        <v>1848</v>
      </c>
      <c r="F101" s="1" t="s">
        <v>112</v>
      </c>
      <c r="G101" s="1">
        <v>345018</v>
      </c>
    </row>
    <row r="102" spans="1:7" x14ac:dyDescent="0.3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1849</v>
      </c>
      <c r="D102" s="1" t="s">
        <v>1837</v>
      </c>
      <c r="E102" s="1" t="s">
        <v>1850</v>
      </c>
      <c r="F102" s="1" t="s">
        <v>112</v>
      </c>
      <c r="G102" s="1">
        <v>71530</v>
      </c>
    </row>
    <row r="103" spans="1:7" x14ac:dyDescent="0.3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1851</v>
      </c>
      <c r="D103" s="1" t="s">
        <v>1009</v>
      </c>
      <c r="E103" s="1" t="s">
        <v>1852</v>
      </c>
      <c r="F103" s="1" t="s">
        <v>112</v>
      </c>
      <c r="G103" s="1">
        <v>137285</v>
      </c>
    </row>
    <row r="104" spans="1:7" x14ac:dyDescent="0.3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1853</v>
      </c>
      <c r="D104" s="1" t="s">
        <v>1854</v>
      </c>
      <c r="E104" s="1" t="s">
        <v>1855</v>
      </c>
      <c r="F104" s="1" t="s">
        <v>112</v>
      </c>
      <c r="G104" s="1">
        <v>3139449</v>
      </c>
    </row>
    <row r="105" spans="1:7" x14ac:dyDescent="0.3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1856</v>
      </c>
      <c r="D105" s="1" t="s">
        <v>1857</v>
      </c>
      <c r="E105" s="1" t="s">
        <v>1858</v>
      </c>
      <c r="F105" s="1" t="s">
        <v>112</v>
      </c>
      <c r="G105" s="1">
        <v>2652669</v>
      </c>
    </row>
    <row r="106" spans="1:7" x14ac:dyDescent="0.3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1859</v>
      </c>
      <c r="D106" s="1" t="s">
        <v>1860</v>
      </c>
      <c r="E106" s="1" t="s">
        <v>1861</v>
      </c>
      <c r="F106" s="1" t="s">
        <v>112</v>
      </c>
      <c r="G106" s="1">
        <v>3190063</v>
      </c>
    </row>
    <row r="107" spans="1:7" x14ac:dyDescent="0.3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1862</v>
      </c>
      <c r="D107" s="1" t="s">
        <v>1863</v>
      </c>
      <c r="E107" s="1" t="s">
        <v>1864</v>
      </c>
      <c r="F107" s="1" t="s">
        <v>112</v>
      </c>
      <c r="G107" s="1">
        <v>1002308</v>
      </c>
    </row>
    <row r="108" spans="1:7" x14ac:dyDescent="0.3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1865</v>
      </c>
      <c r="D108" s="1" t="s">
        <v>1786</v>
      </c>
      <c r="E108" s="1" t="s">
        <v>1866</v>
      </c>
      <c r="F108" s="1" t="s">
        <v>112</v>
      </c>
      <c r="G108" s="1">
        <v>756830</v>
      </c>
    </row>
    <row r="109" spans="1:7" x14ac:dyDescent="0.3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1867</v>
      </c>
      <c r="D109" s="1" t="s">
        <v>1868</v>
      </c>
      <c r="E109" s="1" t="s">
        <v>1869</v>
      </c>
      <c r="F109" s="1" t="s">
        <v>112</v>
      </c>
      <c r="G109" s="1">
        <v>1284664</v>
      </c>
    </row>
    <row r="110" spans="1:7" x14ac:dyDescent="0.3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1870</v>
      </c>
      <c r="D110" s="1" t="s">
        <v>1871</v>
      </c>
      <c r="E110" s="1" t="s">
        <v>1872</v>
      </c>
      <c r="F110" s="1" t="s">
        <v>112</v>
      </c>
      <c r="G110" s="1">
        <v>2266229</v>
      </c>
    </row>
    <row r="111" spans="1:7" x14ac:dyDescent="0.3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1873</v>
      </c>
      <c r="D111" s="1" t="s">
        <v>1874</v>
      </c>
      <c r="E111" s="1" t="s">
        <v>1875</v>
      </c>
      <c r="F111" s="1" t="s">
        <v>112</v>
      </c>
      <c r="G111" s="1">
        <v>2539717</v>
      </c>
    </row>
    <row r="112" spans="1:7" x14ac:dyDescent="0.3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1876</v>
      </c>
      <c r="D112" s="1" t="s">
        <v>1877</v>
      </c>
      <c r="E112" s="1" t="s">
        <v>1878</v>
      </c>
      <c r="F112" s="1" t="s">
        <v>112</v>
      </c>
      <c r="G112" s="1">
        <v>1926942</v>
      </c>
    </row>
    <row r="113" spans="1:10" x14ac:dyDescent="0.3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1879</v>
      </c>
      <c r="D113" s="1" t="s">
        <v>1880</v>
      </c>
      <c r="E113" s="1" t="s">
        <v>1881</v>
      </c>
      <c r="F113" s="1" t="s">
        <v>112</v>
      </c>
      <c r="G113" s="1">
        <v>1681205</v>
      </c>
    </row>
    <row r="114" spans="1:10" x14ac:dyDescent="0.3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1882</v>
      </c>
      <c r="D114" s="1" t="s">
        <v>1883</v>
      </c>
      <c r="E114" s="1" t="s">
        <v>1884</v>
      </c>
      <c r="F114" s="1" t="s">
        <v>112</v>
      </c>
      <c r="G114" s="1">
        <v>1235608</v>
      </c>
    </row>
    <row r="115" spans="1:10" x14ac:dyDescent="0.3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1885</v>
      </c>
      <c r="D115" s="1" t="s">
        <v>1614</v>
      </c>
      <c r="E115" s="1" t="s">
        <v>1886</v>
      </c>
      <c r="F115" s="1" t="s">
        <v>112</v>
      </c>
      <c r="G115" s="1">
        <v>1733766</v>
      </c>
    </row>
    <row r="116" spans="1:10" x14ac:dyDescent="0.3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1887</v>
      </c>
      <c r="D116" s="1" t="s">
        <v>1888</v>
      </c>
      <c r="E116" s="1" t="s">
        <v>1889</v>
      </c>
      <c r="F116" s="1" t="s">
        <v>112</v>
      </c>
      <c r="G116" s="1">
        <v>707060</v>
      </c>
    </row>
    <row r="117" spans="1:10" x14ac:dyDescent="0.3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1890</v>
      </c>
      <c r="D117" s="1" t="s">
        <v>1891</v>
      </c>
      <c r="E117" s="1" t="s">
        <v>1892</v>
      </c>
      <c r="F117" s="1" t="s">
        <v>112</v>
      </c>
      <c r="G117" s="1">
        <v>1243524</v>
      </c>
    </row>
    <row r="118" spans="1:10" x14ac:dyDescent="0.3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1893</v>
      </c>
      <c r="D118" s="1" t="s">
        <v>1894</v>
      </c>
      <c r="E118" s="1" t="s">
        <v>1895</v>
      </c>
      <c r="F118" s="1" t="s">
        <v>112</v>
      </c>
      <c r="G118" s="1">
        <v>1066116</v>
      </c>
    </row>
    <row r="119" spans="1:10" x14ac:dyDescent="0.3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1896</v>
      </c>
      <c r="D119" s="1" t="s">
        <v>1897</v>
      </c>
      <c r="E119" s="1" t="s">
        <v>1898</v>
      </c>
      <c r="F119" s="1" t="s">
        <v>112</v>
      </c>
      <c r="G119" s="1">
        <v>176781</v>
      </c>
    </row>
    <row r="120" spans="1:10" x14ac:dyDescent="0.3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1899</v>
      </c>
      <c r="D120" s="1" t="s">
        <v>1900</v>
      </c>
      <c r="E120" s="1" t="s">
        <v>1901</v>
      </c>
      <c r="F120" s="1" t="s">
        <v>112</v>
      </c>
      <c r="G120" s="1">
        <v>289689</v>
      </c>
    </row>
    <row r="121" spans="1:10" x14ac:dyDescent="0.3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1902</v>
      </c>
    </row>
    <row r="122" spans="1:10" x14ac:dyDescent="0.3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1903</v>
      </c>
      <c r="D122" s="1" t="s">
        <v>1904</v>
      </c>
      <c r="E122" s="1" t="s">
        <v>1905</v>
      </c>
      <c r="F122" s="1" t="s">
        <v>112</v>
      </c>
      <c r="G122" s="1">
        <v>1966525</v>
      </c>
    </row>
    <row r="123" spans="1:10" x14ac:dyDescent="0.3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1906</v>
      </c>
      <c r="D123" s="1" t="s">
        <v>1907</v>
      </c>
      <c r="E123" s="1" t="s">
        <v>1908</v>
      </c>
      <c r="F123" s="1" t="s">
        <v>112</v>
      </c>
      <c r="G123" s="1">
        <v>1835881</v>
      </c>
    </row>
    <row r="124" spans="1:10" x14ac:dyDescent="0.3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1909</v>
      </c>
      <c r="D124" s="1" t="s">
        <v>1910</v>
      </c>
      <c r="E124" s="1" t="s">
        <v>1911</v>
      </c>
      <c r="F124" s="1" t="s">
        <v>112</v>
      </c>
      <c r="G124" s="1">
        <v>1655898</v>
      </c>
    </row>
    <row r="125" spans="1:10"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234</v>
      </c>
      <c r="D126" s="1" t="s">
        <v>112</v>
      </c>
      <c r="E126" s="1" t="s">
        <v>235</v>
      </c>
      <c r="F126" s="1" t="s">
        <v>236</v>
      </c>
      <c r="G126" s="1" t="s">
        <v>237</v>
      </c>
      <c r="H126" s="1" t="s">
        <v>238</v>
      </c>
      <c r="I126" s="1" t="s">
        <v>239</v>
      </c>
      <c r="J126" s="1" t="s">
        <v>240</v>
      </c>
    </row>
    <row r="127" spans="1:10" x14ac:dyDescent="0.3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1912</v>
      </c>
      <c r="D127" s="1" t="s">
        <v>112</v>
      </c>
      <c r="E127" s="1" t="s">
        <v>1913</v>
      </c>
      <c r="F127" s="1" t="s">
        <v>1914</v>
      </c>
      <c r="G127" s="1" t="s">
        <v>1915</v>
      </c>
      <c r="H127" s="1" t="s">
        <v>1916</v>
      </c>
      <c r="I127" s="1">
        <v>24</v>
      </c>
      <c r="J127" s="1">
        <v>24</v>
      </c>
    </row>
    <row r="128" spans="1:10"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246</v>
      </c>
      <c r="D133" s="1" t="s">
        <v>110</v>
      </c>
      <c r="E133" s="1" t="s">
        <v>111</v>
      </c>
      <c r="F133" s="1" t="s">
        <v>112</v>
      </c>
      <c r="G133" s="1" t="s">
        <v>113</v>
      </c>
    </row>
    <row r="134" spans="1:7" x14ac:dyDescent="0.3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1917</v>
      </c>
      <c r="D134" s="1" t="s">
        <v>1918</v>
      </c>
      <c r="E134" s="1" t="s">
        <v>1919</v>
      </c>
      <c r="F134" s="1" t="s">
        <v>112</v>
      </c>
      <c r="G134" s="1">
        <v>1388639</v>
      </c>
    </row>
    <row r="135" spans="1:7" x14ac:dyDescent="0.3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1920</v>
      </c>
      <c r="D135" s="1" t="s">
        <v>1921</v>
      </c>
      <c r="E135" s="1" t="s">
        <v>1922</v>
      </c>
      <c r="F135" s="1" t="s">
        <v>112</v>
      </c>
      <c r="G135" s="1">
        <v>607432</v>
      </c>
    </row>
    <row r="136" spans="1:7" x14ac:dyDescent="0.3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1923</v>
      </c>
      <c r="D136" s="1" t="s">
        <v>1924</v>
      </c>
      <c r="E136" s="1" t="s">
        <v>1925</v>
      </c>
      <c r="F136" s="1" t="s">
        <v>112</v>
      </c>
      <c r="G136" s="1">
        <v>982105</v>
      </c>
    </row>
    <row r="137" spans="1:7" x14ac:dyDescent="0.3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1926</v>
      </c>
      <c r="D137" s="1" t="s">
        <v>1927</v>
      </c>
      <c r="E137" s="1" t="s">
        <v>1875</v>
      </c>
      <c r="F137" s="1" t="s">
        <v>112</v>
      </c>
      <c r="G137" s="1">
        <v>1622978</v>
      </c>
    </row>
    <row r="138" spans="1:7" x14ac:dyDescent="0.3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1928</v>
      </c>
      <c r="D138" s="1" t="s">
        <v>1929</v>
      </c>
      <c r="E138" s="1" t="s">
        <v>1930</v>
      </c>
      <c r="F138" s="1" t="s">
        <v>112</v>
      </c>
      <c r="G138" s="1">
        <v>1310620</v>
      </c>
    </row>
    <row r="139" spans="1:7" x14ac:dyDescent="0.3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1931</v>
      </c>
      <c r="D139" s="1" t="s">
        <v>1932</v>
      </c>
      <c r="E139" s="1" t="s">
        <v>1933</v>
      </c>
      <c r="F139" s="1" t="s">
        <v>112</v>
      </c>
      <c r="G139" s="1">
        <v>1805209</v>
      </c>
    </row>
    <row r="140" spans="1:7" x14ac:dyDescent="0.3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1934</v>
      </c>
      <c r="D140" s="1" t="s">
        <v>1935</v>
      </c>
      <c r="E140" s="1" t="s">
        <v>1936</v>
      </c>
      <c r="F140" s="1" t="s">
        <v>112</v>
      </c>
      <c r="G140" s="1">
        <v>2940195</v>
      </c>
    </row>
    <row r="141" spans="1:7" x14ac:dyDescent="0.3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1937</v>
      </c>
      <c r="D141" s="1" t="s">
        <v>1938</v>
      </c>
      <c r="E141" s="1" t="s">
        <v>1939</v>
      </c>
      <c r="F141" s="1" t="s">
        <v>112</v>
      </c>
      <c r="G141" s="1">
        <v>2375914</v>
      </c>
    </row>
    <row r="142" spans="1:7" x14ac:dyDescent="0.3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1940</v>
      </c>
      <c r="D142" s="1" t="s">
        <v>1941</v>
      </c>
      <c r="E142" s="1" t="s">
        <v>1942</v>
      </c>
      <c r="F142" s="1" t="s">
        <v>112</v>
      </c>
      <c r="G142" s="1">
        <v>2511166</v>
      </c>
    </row>
    <row r="143" spans="1:7" x14ac:dyDescent="0.3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1943</v>
      </c>
      <c r="D143" s="1" t="s">
        <v>1944</v>
      </c>
      <c r="E143" s="1" t="s">
        <v>1945</v>
      </c>
      <c r="F143" s="1" t="s">
        <v>112</v>
      </c>
      <c r="G143" s="1">
        <v>3380926</v>
      </c>
    </row>
    <row r="144" spans="1:7" x14ac:dyDescent="0.3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1946</v>
      </c>
      <c r="D144" s="1" t="s">
        <v>1947</v>
      </c>
      <c r="E144" s="1" t="s">
        <v>1948</v>
      </c>
      <c r="F144" s="1" t="s">
        <v>112</v>
      </c>
      <c r="G144" s="1">
        <v>3693456</v>
      </c>
    </row>
    <row r="145" spans="1:10" x14ac:dyDescent="0.3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1949</v>
      </c>
      <c r="D145" s="1" t="s">
        <v>1950</v>
      </c>
      <c r="E145" s="1" t="s">
        <v>1951</v>
      </c>
      <c r="F145" s="1" t="s">
        <v>112</v>
      </c>
      <c r="G145" s="1">
        <v>3551066</v>
      </c>
    </row>
    <row r="146" spans="1:10" x14ac:dyDescent="0.3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1952</v>
      </c>
      <c r="D146" s="1" t="s">
        <v>1953</v>
      </c>
      <c r="E146" s="1" t="s">
        <v>1954</v>
      </c>
      <c r="F146" s="1" t="s">
        <v>112</v>
      </c>
      <c r="G146" s="1">
        <v>3026671</v>
      </c>
    </row>
    <row r="147" spans="1:10" x14ac:dyDescent="0.3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1955</v>
      </c>
      <c r="D147" s="1" t="s">
        <v>1956</v>
      </c>
      <c r="E147" s="1" t="s">
        <v>1957</v>
      </c>
      <c r="F147" s="1" t="s">
        <v>112</v>
      </c>
      <c r="G147" s="1">
        <v>2447423</v>
      </c>
    </row>
    <row r="148" spans="1:10" x14ac:dyDescent="0.3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1958</v>
      </c>
      <c r="D148" s="1" t="s">
        <v>1507</v>
      </c>
      <c r="E148" s="1" t="s">
        <v>1959</v>
      </c>
      <c r="F148" s="1" t="s">
        <v>112</v>
      </c>
      <c r="G148" s="1">
        <v>2474417</v>
      </c>
    </row>
    <row r="149" spans="1:10" x14ac:dyDescent="0.3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1960</v>
      </c>
      <c r="D149" s="1" t="s">
        <v>1961</v>
      </c>
      <c r="E149" s="1" t="s">
        <v>1962</v>
      </c>
      <c r="F149" s="1" t="s">
        <v>112</v>
      </c>
      <c r="G149" s="1">
        <v>949185</v>
      </c>
    </row>
    <row r="150" spans="1:10" x14ac:dyDescent="0.3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1963</v>
      </c>
      <c r="D150" s="1" t="s">
        <v>1964</v>
      </c>
      <c r="E150" s="1" t="s">
        <v>1965</v>
      </c>
      <c r="F150" s="1" t="s">
        <v>112</v>
      </c>
      <c r="G150" s="1">
        <v>928809</v>
      </c>
    </row>
    <row r="151" spans="1:10" x14ac:dyDescent="0.3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1966</v>
      </c>
      <c r="D151" s="1" t="s">
        <v>1967</v>
      </c>
      <c r="E151" s="1" t="s">
        <v>1968</v>
      </c>
      <c r="F151" s="1" t="s">
        <v>112</v>
      </c>
      <c r="G151" s="1">
        <v>1057161</v>
      </c>
    </row>
    <row r="152" spans="1:10" x14ac:dyDescent="0.3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1969</v>
      </c>
      <c r="D152" s="1" t="s">
        <v>1970</v>
      </c>
      <c r="E152" s="1" t="s">
        <v>1971</v>
      </c>
      <c r="F152" s="1" t="s">
        <v>112</v>
      </c>
      <c r="G152" s="1">
        <v>2448829</v>
      </c>
    </row>
    <row r="153" spans="1:10" x14ac:dyDescent="0.3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1972</v>
      </c>
      <c r="D153" s="1" t="s">
        <v>1973</v>
      </c>
      <c r="E153" s="1" t="s">
        <v>1974</v>
      </c>
      <c r="F153" s="1" t="s">
        <v>112</v>
      </c>
      <c r="G153" s="1">
        <v>2226971</v>
      </c>
    </row>
    <row r="154" spans="1:10" x14ac:dyDescent="0.3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1975</v>
      </c>
      <c r="D154" s="1" t="s">
        <v>1976</v>
      </c>
      <c r="E154" s="1" t="s">
        <v>1977</v>
      </c>
      <c r="F154" s="1" t="s">
        <v>112</v>
      </c>
      <c r="G154" s="1">
        <v>2251434</v>
      </c>
    </row>
    <row r="155" spans="1:10" x14ac:dyDescent="0.3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1978</v>
      </c>
      <c r="D155" s="1" t="s">
        <v>1979</v>
      </c>
      <c r="E155" s="1" t="s">
        <v>1980</v>
      </c>
      <c r="F155" s="1" t="s">
        <v>112</v>
      </c>
      <c r="G155" s="1">
        <v>2855535</v>
      </c>
    </row>
    <row r="156" spans="1:10" x14ac:dyDescent="0.3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1981</v>
      </c>
      <c r="D156" s="1" t="s">
        <v>1510</v>
      </c>
      <c r="E156" s="1" t="s">
        <v>1982</v>
      </c>
      <c r="F156" s="1" t="s">
        <v>112</v>
      </c>
      <c r="G156" s="1">
        <v>2759650</v>
      </c>
    </row>
    <row r="157" spans="1:10" x14ac:dyDescent="0.3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1983</v>
      </c>
    </row>
    <row r="158" spans="1:10"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234</v>
      </c>
      <c r="D159" s="1" t="s">
        <v>112</v>
      </c>
      <c r="E159" s="1" t="s">
        <v>235</v>
      </c>
      <c r="F159" s="1" t="s">
        <v>236</v>
      </c>
      <c r="G159" s="1" t="s">
        <v>237</v>
      </c>
      <c r="H159" s="1" t="s">
        <v>238</v>
      </c>
      <c r="I159" s="1" t="s">
        <v>239</v>
      </c>
      <c r="J159" s="1" t="s">
        <v>240</v>
      </c>
    </row>
    <row r="160" spans="1:10" x14ac:dyDescent="0.3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1984</v>
      </c>
      <c r="D160" s="1" t="s">
        <v>112</v>
      </c>
      <c r="E160" s="1" t="s">
        <v>1985</v>
      </c>
      <c r="F160" s="1" t="s">
        <v>1986</v>
      </c>
      <c r="G160" s="1" t="s">
        <v>1987</v>
      </c>
      <c r="H160" s="1" t="s">
        <v>1988</v>
      </c>
      <c r="I160" s="1">
        <v>24</v>
      </c>
      <c r="J160" s="1">
        <v>24</v>
      </c>
    </row>
    <row r="161" spans="1:7"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246</v>
      </c>
      <c r="D166" s="1" t="s">
        <v>110</v>
      </c>
      <c r="E166" s="1" t="s">
        <v>111</v>
      </c>
      <c r="F166" s="1" t="s">
        <v>112</v>
      </c>
      <c r="G166" s="1" t="s">
        <v>113</v>
      </c>
    </row>
    <row r="167" spans="1:7" x14ac:dyDescent="0.3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1989</v>
      </c>
      <c r="D167" s="1" t="s">
        <v>1990</v>
      </c>
      <c r="E167" s="1" t="s">
        <v>1991</v>
      </c>
      <c r="F167" s="1" t="s">
        <v>112</v>
      </c>
      <c r="G167" s="1">
        <v>4655619</v>
      </c>
    </row>
    <row r="168" spans="1:7" x14ac:dyDescent="0.3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1992</v>
      </c>
      <c r="D168" s="1" t="s">
        <v>1993</v>
      </c>
      <c r="E168" s="1" t="s">
        <v>1994</v>
      </c>
      <c r="F168" s="1" t="s">
        <v>112</v>
      </c>
      <c r="G168" s="1">
        <v>3145289</v>
      </c>
    </row>
    <row r="169" spans="1:7" x14ac:dyDescent="0.3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1995</v>
      </c>
      <c r="D169" s="1" t="s">
        <v>1996</v>
      </c>
      <c r="E169" s="1" t="s">
        <v>1997</v>
      </c>
      <c r="F169" s="1" t="s">
        <v>112</v>
      </c>
      <c r="G169" s="1">
        <v>4010139</v>
      </c>
    </row>
    <row r="170" spans="1:7" x14ac:dyDescent="0.3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1998</v>
      </c>
      <c r="D170" s="1" t="s">
        <v>1999</v>
      </c>
      <c r="E170" s="1" t="s">
        <v>2000</v>
      </c>
      <c r="F170" s="1" t="s">
        <v>112</v>
      </c>
      <c r="G170" s="1">
        <v>1900727</v>
      </c>
    </row>
    <row r="171" spans="1:7" x14ac:dyDescent="0.3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2001</v>
      </c>
      <c r="D171" s="1" t="s">
        <v>2002</v>
      </c>
      <c r="E171" s="1" t="s">
        <v>2003</v>
      </c>
      <c r="F171" s="1" t="s">
        <v>112</v>
      </c>
      <c r="G171" s="1">
        <v>1742980</v>
      </c>
    </row>
    <row r="172" spans="1:7" x14ac:dyDescent="0.3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2004</v>
      </c>
      <c r="D172" s="1" t="s">
        <v>2005</v>
      </c>
      <c r="E172" s="1" t="s">
        <v>2006</v>
      </c>
      <c r="F172" s="1" t="s">
        <v>112</v>
      </c>
      <c r="G172" s="1">
        <v>1485303</v>
      </c>
    </row>
    <row r="173" spans="1:7" x14ac:dyDescent="0.3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2007</v>
      </c>
      <c r="D173" s="1" t="s">
        <v>2008</v>
      </c>
      <c r="E173" s="1" t="s">
        <v>2009</v>
      </c>
      <c r="F173" s="1" t="s">
        <v>112</v>
      </c>
      <c r="G173" s="1">
        <v>3947499</v>
      </c>
    </row>
    <row r="174" spans="1:7" x14ac:dyDescent="0.3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2010</v>
      </c>
      <c r="D174" s="1" t="s">
        <v>2011</v>
      </c>
      <c r="E174" s="1" t="s">
        <v>2012</v>
      </c>
      <c r="F174" s="1" t="s">
        <v>112</v>
      </c>
      <c r="G174" s="1">
        <v>3285473</v>
      </c>
    </row>
    <row r="175" spans="1:7" x14ac:dyDescent="0.3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2013</v>
      </c>
      <c r="D175" s="1" t="s">
        <v>2014</v>
      </c>
      <c r="E175" s="1" t="s">
        <v>2015</v>
      </c>
      <c r="F175" s="1" t="s">
        <v>112</v>
      </c>
      <c r="G175" s="1">
        <v>3652056</v>
      </c>
    </row>
    <row r="176" spans="1:7" x14ac:dyDescent="0.3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2016</v>
      </c>
      <c r="D176" s="1" t="s">
        <v>2017</v>
      </c>
      <c r="E176" s="1" t="s">
        <v>2018</v>
      </c>
      <c r="F176" s="1" t="s">
        <v>112</v>
      </c>
      <c r="G176" s="1">
        <v>3107113</v>
      </c>
    </row>
    <row r="177" spans="1:10" x14ac:dyDescent="0.3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2019</v>
      </c>
      <c r="D177" s="1" t="s">
        <v>480</v>
      </c>
      <c r="E177" s="1" t="s">
        <v>2020</v>
      </c>
      <c r="F177" s="1" t="s">
        <v>112</v>
      </c>
      <c r="G177" s="1">
        <v>2608760</v>
      </c>
    </row>
    <row r="178" spans="1:10" x14ac:dyDescent="0.3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2021</v>
      </c>
    </row>
    <row r="179" spans="1:10" x14ac:dyDescent="0.3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2022</v>
      </c>
      <c r="D179" s="1" t="s">
        <v>2023</v>
      </c>
      <c r="E179" s="1" t="s">
        <v>2024</v>
      </c>
      <c r="F179" s="1" t="s">
        <v>112</v>
      </c>
      <c r="G179" s="1">
        <v>4735260</v>
      </c>
    </row>
    <row r="180" spans="1:10" x14ac:dyDescent="0.3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2025</v>
      </c>
      <c r="D180" s="1" t="s">
        <v>1411</v>
      </c>
      <c r="E180" s="1" t="s">
        <v>2026</v>
      </c>
      <c r="F180" s="1" t="s">
        <v>112</v>
      </c>
      <c r="G180" s="1">
        <v>3803401</v>
      </c>
    </row>
    <row r="181" spans="1:10" x14ac:dyDescent="0.3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2027</v>
      </c>
    </row>
    <row r="182" spans="1:10" x14ac:dyDescent="0.3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2028</v>
      </c>
      <c r="D182" s="1" t="s">
        <v>2029</v>
      </c>
      <c r="E182" s="1" t="s">
        <v>2030</v>
      </c>
      <c r="F182" s="1" t="s">
        <v>112</v>
      </c>
      <c r="G182" s="1">
        <v>3390421</v>
      </c>
    </row>
    <row r="183" spans="1:10" x14ac:dyDescent="0.3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2031</v>
      </c>
      <c r="D183" s="1" t="s">
        <v>2032</v>
      </c>
      <c r="E183" s="1" t="s">
        <v>2033</v>
      </c>
      <c r="F183" s="1" t="s">
        <v>112</v>
      </c>
      <c r="G183" s="1">
        <v>3249437</v>
      </c>
    </row>
    <row r="184" spans="1:10" x14ac:dyDescent="0.3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2034</v>
      </c>
      <c r="D184" s="1" t="s">
        <v>2035</v>
      </c>
      <c r="E184" s="1" t="s">
        <v>2036</v>
      </c>
      <c r="F184" s="1" t="s">
        <v>112</v>
      </c>
      <c r="G184" s="1">
        <v>2874440</v>
      </c>
    </row>
    <row r="185" spans="1:10" x14ac:dyDescent="0.3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2037</v>
      </c>
      <c r="D185" s="1" t="s">
        <v>2038</v>
      </c>
      <c r="E185" s="1" t="s">
        <v>2039</v>
      </c>
      <c r="F185" s="1" t="s">
        <v>112</v>
      </c>
      <c r="G185" s="1">
        <v>4554001</v>
      </c>
    </row>
    <row r="186" spans="1:10" x14ac:dyDescent="0.3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2040</v>
      </c>
      <c r="D186" s="1" t="s">
        <v>1860</v>
      </c>
      <c r="E186" s="1" t="s">
        <v>2041</v>
      </c>
      <c r="F186" s="1" t="s">
        <v>112</v>
      </c>
      <c r="G186" s="1">
        <v>4273721</v>
      </c>
    </row>
    <row r="187" spans="1:10" x14ac:dyDescent="0.3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2042</v>
      </c>
    </row>
    <row r="188" spans="1:10" x14ac:dyDescent="0.3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2043</v>
      </c>
      <c r="D188" s="1" t="s">
        <v>465</v>
      </c>
      <c r="E188" s="1" t="s">
        <v>2044</v>
      </c>
      <c r="F188" s="1" t="s">
        <v>112</v>
      </c>
      <c r="G188" s="1">
        <v>1395042</v>
      </c>
    </row>
    <row r="189" spans="1:10" x14ac:dyDescent="0.3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2045</v>
      </c>
      <c r="D189" s="1" t="s">
        <v>442</v>
      </c>
      <c r="E189" s="1" t="s">
        <v>2046</v>
      </c>
      <c r="F189" s="1" t="s">
        <v>112</v>
      </c>
      <c r="G189" s="1">
        <v>1412735</v>
      </c>
    </row>
    <row r="190" spans="1:10" x14ac:dyDescent="0.3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2047</v>
      </c>
      <c r="D190" s="1" t="s">
        <v>2048</v>
      </c>
      <c r="E190" s="1" t="s">
        <v>2049</v>
      </c>
      <c r="F190" s="1" t="s">
        <v>112</v>
      </c>
      <c r="G190" s="1">
        <v>1306705</v>
      </c>
    </row>
    <row r="191" spans="1:10"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234</v>
      </c>
      <c r="D192" s="1" t="s">
        <v>112</v>
      </c>
      <c r="E192" s="1" t="s">
        <v>235</v>
      </c>
      <c r="F192" s="1" t="s">
        <v>236</v>
      </c>
      <c r="G192" s="1" t="s">
        <v>237</v>
      </c>
      <c r="H192" s="1" t="s">
        <v>238</v>
      </c>
      <c r="I192" s="1" t="s">
        <v>239</v>
      </c>
      <c r="J192" s="1" t="s">
        <v>240</v>
      </c>
    </row>
    <row r="193" spans="1:10" x14ac:dyDescent="0.3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2050</v>
      </c>
      <c r="D193" s="1" t="s">
        <v>112</v>
      </c>
      <c r="E193" s="1" t="s">
        <v>2051</v>
      </c>
      <c r="F193" s="1" t="s">
        <v>2052</v>
      </c>
      <c r="G193" s="1" t="s">
        <v>2053</v>
      </c>
      <c r="H193" s="1" t="s">
        <v>2054</v>
      </c>
      <c r="I193" s="1">
        <v>24</v>
      </c>
      <c r="J193" s="1">
        <v>24</v>
      </c>
    </row>
    <row r="194" spans="1:10"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246</v>
      </c>
      <c r="D199" s="1" t="s">
        <v>110</v>
      </c>
      <c r="E199" s="1" t="s">
        <v>111</v>
      </c>
      <c r="F199" s="1" t="s">
        <v>112</v>
      </c>
      <c r="G199" s="1" t="s">
        <v>113</v>
      </c>
    </row>
    <row r="200" spans="1:10" x14ac:dyDescent="0.3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2055</v>
      </c>
      <c r="D200" s="1" t="s">
        <v>2056</v>
      </c>
      <c r="E200" s="1" t="s">
        <v>2057</v>
      </c>
      <c r="F200" s="1" t="s">
        <v>112</v>
      </c>
      <c r="G200" s="1">
        <v>4945459</v>
      </c>
    </row>
    <row r="201" spans="1:10" x14ac:dyDescent="0.3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2058</v>
      </c>
      <c r="D201" s="1" t="s">
        <v>2059</v>
      </c>
      <c r="E201" s="1" t="s">
        <v>2060</v>
      </c>
      <c r="F201" s="1" t="s">
        <v>112</v>
      </c>
      <c r="G201" s="1">
        <v>3218507</v>
      </c>
    </row>
    <row r="202" spans="1:10" x14ac:dyDescent="0.3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2061</v>
      </c>
      <c r="D202" s="1" t="s">
        <v>2062</v>
      </c>
      <c r="E202" s="1" t="s">
        <v>2063</v>
      </c>
      <c r="F202" s="1" t="s">
        <v>112</v>
      </c>
      <c r="G202" s="1">
        <v>4953657</v>
      </c>
    </row>
    <row r="203" spans="1:10" x14ac:dyDescent="0.3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2064</v>
      </c>
      <c r="D203" s="1" t="s">
        <v>2065</v>
      </c>
      <c r="E203" s="1" t="s">
        <v>2066</v>
      </c>
      <c r="F203" s="1" t="s">
        <v>112</v>
      </c>
      <c r="G203" s="1">
        <v>8261517</v>
      </c>
    </row>
    <row r="204" spans="1:10" x14ac:dyDescent="0.3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2067</v>
      </c>
      <c r="D204" s="1" t="s">
        <v>2068</v>
      </c>
      <c r="E204" s="1" t="s">
        <v>2069</v>
      </c>
      <c r="F204" s="1" t="s">
        <v>112</v>
      </c>
      <c r="G204" s="1">
        <v>7924285</v>
      </c>
    </row>
    <row r="205" spans="1:10" x14ac:dyDescent="0.3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2070</v>
      </c>
    </row>
    <row r="206" spans="1:10" x14ac:dyDescent="0.3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2071</v>
      </c>
      <c r="D206" s="1" t="s">
        <v>2072</v>
      </c>
      <c r="E206" s="1" t="s">
        <v>2073</v>
      </c>
      <c r="F206" s="1" t="s">
        <v>112</v>
      </c>
      <c r="G206" s="1">
        <v>8123518</v>
      </c>
    </row>
    <row r="207" spans="1:10" x14ac:dyDescent="0.3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2074</v>
      </c>
      <c r="D207" s="1" t="s">
        <v>2075</v>
      </c>
      <c r="E207" s="1" t="s">
        <v>2076</v>
      </c>
      <c r="F207" s="1" t="s">
        <v>112</v>
      </c>
      <c r="G207" s="1">
        <v>7736840</v>
      </c>
    </row>
    <row r="208" spans="1:10" x14ac:dyDescent="0.3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2077</v>
      </c>
      <c r="D208" s="1" t="s">
        <v>2078</v>
      </c>
      <c r="E208" s="1" t="s">
        <v>2079</v>
      </c>
      <c r="F208" s="1" t="s">
        <v>112</v>
      </c>
      <c r="G208" s="1">
        <v>7885503</v>
      </c>
    </row>
    <row r="209" spans="1:7" x14ac:dyDescent="0.3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2080</v>
      </c>
      <c r="D209" s="1" t="s">
        <v>1591</v>
      </c>
      <c r="E209" s="1" t="s">
        <v>2081</v>
      </c>
      <c r="F209" s="1" t="s">
        <v>112</v>
      </c>
      <c r="G209" s="1">
        <v>5794238</v>
      </c>
    </row>
    <row r="210" spans="1:7" x14ac:dyDescent="0.3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2082</v>
      </c>
      <c r="D210" s="1" t="s">
        <v>2083</v>
      </c>
      <c r="E210" s="1" t="s">
        <v>2084</v>
      </c>
      <c r="F210" s="1" t="s">
        <v>112</v>
      </c>
      <c r="G210" s="1">
        <v>4745621</v>
      </c>
    </row>
    <row r="211" spans="1:7" x14ac:dyDescent="0.3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2085</v>
      </c>
      <c r="D211" s="1" t="s">
        <v>1996</v>
      </c>
      <c r="E211" s="1" t="s">
        <v>2086</v>
      </c>
      <c r="F211" s="1" t="s">
        <v>112</v>
      </c>
      <c r="G211" s="1">
        <v>5417488</v>
      </c>
    </row>
    <row r="212" spans="1:7" x14ac:dyDescent="0.3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2087</v>
      </c>
      <c r="D212" s="1" t="s">
        <v>2088</v>
      </c>
      <c r="E212" s="1" t="s">
        <v>2089</v>
      </c>
      <c r="F212" s="1" t="s">
        <v>112</v>
      </c>
      <c r="G212" s="1">
        <v>5205256</v>
      </c>
    </row>
    <row r="213" spans="1:7" x14ac:dyDescent="0.3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2090</v>
      </c>
      <c r="D213" s="1" t="s">
        <v>2091</v>
      </c>
      <c r="E213" s="1" t="s">
        <v>2092</v>
      </c>
      <c r="F213" s="1" t="s">
        <v>112</v>
      </c>
      <c r="G213" s="1">
        <v>5078267</v>
      </c>
    </row>
    <row r="214" spans="1:7" x14ac:dyDescent="0.3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2093</v>
      </c>
      <c r="D214" s="1" t="s">
        <v>2094</v>
      </c>
      <c r="E214" s="1" t="s">
        <v>2095</v>
      </c>
      <c r="F214" s="1" t="s">
        <v>112</v>
      </c>
      <c r="G214" s="1">
        <v>5328762</v>
      </c>
    </row>
    <row r="215" spans="1:7" x14ac:dyDescent="0.3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2096</v>
      </c>
      <c r="D215" s="1" t="s">
        <v>2097</v>
      </c>
      <c r="E215" s="1" t="s">
        <v>2098</v>
      </c>
      <c r="F215" s="1" t="s">
        <v>112</v>
      </c>
      <c r="G215" s="1">
        <v>6150828</v>
      </c>
    </row>
    <row r="216" spans="1:7" x14ac:dyDescent="0.3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2099</v>
      </c>
      <c r="D216" s="1" t="s">
        <v>2100</v>
      </c>
      <c r="E216" s="1" t="s">
        <v>2101</v>
      </c>
      <c r="F216" s="1" t="s">
        <v>112</v>
      </c>
      <c r="G216" s="1">
        <v>6425701</v>
      </c>
    </row>
    <row r="217" spans="1:7" x14ac:dyDescent="0.3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2102</v>
      </c>
      <c r="D217" s="1" t="s">
        <v>2103</v>
      </c>
      <c r="E217" s="1" t="s">
        <v>2104</v>
      </c>
      <c r="F217" s="1" t="s">
        <v>112</v>
      </c>
      <c r="G217" s="1">
        <v>6190973</v>
      </c>
    </row>
    <row r="218" spans="1:7" x14ac:dyDescent="0.3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2105</v>
      </c>
      <c r="D218" s="1" t="s">
        <v>2106</v>
      </c>
      <c r="E218" s="1" t="s">
        <v>2107</v>
      </c>
      <c r="F218" s="1" t="s">
        <v>112</v>
      </c>
      <c r="G218" s="1">
        <v>5689419</v>
      </c>
    </row>
    <row r="219" spans="1:7" x14ac:dyDescent="0.3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2108</v>
      </c>
      <c r="D219" s="1" t="s">
        <v>2109</v>
      </c>
      <c r="E219" s="1" t="s">
        <v>2110</v>
      </c>
      <c r="F219" s="1" t="s">
        <v>112</v>
      </c>
      <c r="G219" s="1">
        <v>5206683</v>
      </c>
    </row>
    <row r="220" spans="1:7" x14ac:dyDescent="0.3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2111</v>
      </c>
      <c r="D220" s="1" t="s">
        <v>2112</v>
      </c>
      <c r="E220" s="1" t="s">
        <v>2113</v>
      </c>
      <c r="F220" s="1" t="s">
        <v>112</v>
      </c>
      <c r="G220" s="1">
        <v>4830734</v>
      </c>
    </row>
    <row r="221" spans="1:7" x14ac:dyDescent="0.3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2114</v>
      </c>
      <c r="D221" s="1" t="s">
        <v>2115</v>
      </c>
      <c r="E221" s="1" t="s">
        <v>2116</v>
      </c>
      <c r="F221" s="1" t="s">
        <v>112</v>
      </c>
      <c r="G221" s="1">
        <v>5603765</v>
      </c>
    </row>
    <row r="222" spans="1:7" x14ac:dyDescent="0.3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2117</v>
      </c>
      <c r="D222" s="1" t="s">
        <v>1591</v>
      </c>
      <c r="E222" s="1" t="s">
        <v>2118</v>
      </c>
      <c r="F222" s="1" t="s">
        <v>112</v>
      </c>
      <c r="G222" s="1">
        <v>6131751</v>
      </c>
    </row>
    <row r="223" spans="1:7" x14ac:dyDescent="0.3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2119</v>
      </c>
      <c r="D223" s="1" t="s">
        <v>2120</v>
      </c>
      <c r="E223" s="1" t="s">
        <v>2121</v>
      </c>
      <c r="F223" s="1" t="s">
        <v>112</v>
      </c>
      <c r="G223" s="1">
        <v>5819826</v>
      </c>
    </row>
    <row r="224" spans="1:7"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234</v>
      </c>
      <c r="D225" s="1" t="s">
        <v>112</v>
      </c>
      <c r="E225" s="1" t="s">
        <v>235</v>
      </c>
      <c r="F225" s="1" t="s">
        <v>236</v>
      </c>
      <c r="G225" s="1" t="s">
        <v>237</v>
      </c>
      <c r="H225" s="1" t="s">
        <v>238</v>
      </c>
      <c r="I225" s="1" t="s">
        <v>239</v>
      </c>
      <c r="J225" s="1" t="s">
        <v>240</v>
      </c>
    </row>
    <row r="226" spans="1:10" x14ac:dyDescent="0.3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2122</v>
      </c>
      <c r="D226" s="1" t="s">
        <v>112</v>
      </c>
      <c r="E226" s="1" t="s">
        <v>2123</v>
      </c>
      <c r="F226" s="1" t="s">
        <v>2124</v>
      </c>
      <c r="G226" s="1" t="s">
        <v>2125</v>
      </c>
      <c r="H226" s="1" t="s">
        <v>2126</v>
      </c>
      <c r="I226" s="1">
        <v>24</v>
      </c>
      <c r="J226" s="1">
        <v>24</v>
      </c>
    </row>
    <row r="227" spans="1:10"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246</v>
      </c>
      <c r="D232" s="1" t="s">
        <v>110</v>
      </c>
      <c r="E232" s="1" t="s">
        <v>111</v>
      </c>
      <c r="F232" s="1" t="s">
        <v>112</v>
      </c>
      <c r="G232" s="1" t="s">
        <v>113</v>
      </c>
    </row>
    <row r="233" spans="1:10" x14ac:dyDescent="0.35">
      <c r="A233" s="1" t="str">
        <f t="shared" si="3"/>
        <v>08 Cefuroxime ND 0.001</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2127</v>
      </c>
      <c r="D233" s="1" t="s">
        <v>367</v>
      </c>
      <c r="E233" s="1" t="s">
        <v>2128</v>
      </c>
      <c r="F233" s="1" t="s">
        <v>112</v>
      </c>
      <c r="G233" s="1">
        <v>111351</v>
      </c>
    </row>
    <row r="234" spans="1:10" x14ac:dyDescent="0.35">
      <c r="A234" s="1" t="str">
        <f t="shared" si="3"/>
        <v>08 Cefuroxime ND 0.001</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2129</v>
      </c>
      <c r="D234" s="1" t="s">
        <v>2130</v>
      </c>
      <c r="E234" s="1" t="s">
        <v>2131</v>
      </c>
      <c r="F234" s="1" t="s">
        <v>112</v>
      </c>
      <c r="G234" s="1">
        <v>547409</v>
      </c>
    </row>
    <row r="235" spans="1:10" x14ac:dyDescent="0.35">
      <c r="A235" s="1" t="str">
        <f t="shared" si="3"/>
        <v>08 Cefuroxime ND 0.001</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2132</v>
      </c>
      <c r="D235" s="1" t="s">
        <v>897</v>
      </c>
      <c r="E235" s="1" t="s">
        <v>2133</v>
      </c>
      <c r="F235" s="1" t="s">
        <v>112</v>
      </c>
      <c r="G235" s="1">
        <v>302581</v>
      </c>
    </row>
    <row r="236" spans="1:10" x14ac:dyDescent="0.35">
      <c r="A236" s="1" t="str">
        <f t="shared" si="3"/>
        <v>08 Cefuroxime ND 0.001</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2134</v>
      </c>
      <c r="D236" s="1" t="s">
        <v>218</v>
      </c>
      <c r="E236" s="1" t="s">
        <v>2135</v>
      </c>
      <c r="F236" s="1" t="s">
        <v>112</v>
      </c>
      <c r="G236" s="1">
        <v>43325</v>
      </c>
    </row>
    <row r="237" spans="1:10" x14ac:dyDescent="0.35">
      <c r="A237" s="1" t="str">
        <f t="shared" si="3"/>
        <v>08 Cefuroxime ND 0.001</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2136</v>
      </c>
    </row>
    <row r="238" spans="1:10" x14ac:dyDescent="0.35">
      <c r="A238" s="1" t="str">
        <f t="shared" si="3"/>
        <v>08 Cefuroxime ND 0.001</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2137</v>
      </c>
    </row>
    <row r="239" spans="1:10" x14ac:dyDescent="0.35">
      <c r="A239" s="1" t="str">
        <f t="shared" si="3"/>
        <v>08 Cefuroxime ND 0.001</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2138</v>
      </c>
      <c r="D239" s="1" t="s">
        <v>859</v>
      </c>
      <c r="E239" s="1" t="s">
        <v>2139</v>
      </c>
      <c r="F239" s="1" t="s">
        <v>112</v>
      </c>
      <c r="G239" s="1">
        <v>442764</v>
      </c>
    </row>
    <row r="240" spans="1:10" x14ac:dyDescent="0.35">
      <c r="A240" s="1" t="str">
        <f t="shared" si="3"/>
        <v>08 Cefuroxime ND 0.001</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2140</v>
      </c>
      <c r="D240" s="1" t="s">
        <v>736</v>
      </c>
      <c r="E240" s="1" t="s">
        <v>2141</v>
      </c>
      <c r="F240" s="1" t="s">
        <v>112</v>
      </c>
      <c r="G240" s="1">
        <v>220106</v>
      </c>
    </row>
    <row r="241" spans="1:7" x14ac:dyDescent="0.35">
      <c r="A241" s="1" t="str">
        <f t="shared" si="3"/>
        <v>08 Cefuroxime ND 0.001</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2142</v>
      </c>
    </row>
    <row r="242" spans="1:7" x14ac:dyDescent="0.35">
      <c r="A242" s="1" t="str">
        <f t="shared" si="3"/>
        <v>08 Cefuroxime ND 0.001</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2143</v>
      </c>
      <c r="D242" s="1" t="s">
        <v>2144</v>
      </c>
      <c r="E242" s="1" t="s">
        <v>2145</v>
      </c>
      <c r="F242" s="1" t="s">
        <v>112</v>
      </c>
      <c r="G242" s="1">
        <v>215520</v>
      </c>
    </row>
    <row r="243" spans="1:7" x14ac:dyDescent="0.35">
      <c r="A243" s="1" t="str">
        <f t="shared" si="3"/>
        <v>08 Cefuroxime ND 0.001</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2146</v>
      </c>
      <c r="D243" s="1" t="s">
        <v>2147</v>
      </c>
      <c r="E243" s="1" t="s">
        <v>2148</v>
      </c>
      <c r="F243" s="1" t="s">
        <v>112</v>
      </c>
      <c r="G243" s="1">
        <v>129585</v>
      </c>
    </row>
    <row r="244" spans="1:7" x14ac:dyDescent="0.35">
      <c r="A244" s="1" t="str">
        <f t="shared" si="3"/>
        <v>08 Cefuroxime ND 0.001</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2149</v>
      </c>
    </row>
    <row r="245" spans="1:7" x14ac:dyDescent="0.35">
      <c r="A245" s="1" t="str">
        <f t="shared" si="3"/>
        <v>08 Cefuroxime ND 0.001</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2150</v>
      </c>
      <c r="D245" s="1" t="s">
        <v>806</v>
      </c>
      <c r="E245" s="1" t="s">
        <v>2151</v>
      </c>
      <c r="F245" s="1" t="s">
        <v>112</v>
      </c>
      <c r="G245" s="1">
        <v>13540</v>
      </c>
    </row>
    <row r="246" spans="1:7" x14ac:dyDescent="0.35">
      <c r="A246" s="1" t="str">
        <f t="shared" si="3"/>
        <v>08 Cefuroxime ND 0.001</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2152</v>
      </c>
      <c r="D246" s="1" t="s">
        <v>278</v>
      </c>
      <c r="E246" s="1" t="s">
        <v>2153</v>
      </c>
      <c r="F246" s="1" t="s">
        <v>112</v>
      </c>
      <c r="G246" s="1">
        <v>30217</v>
      </c>
    </row>
    <row r="247" spans="1:7" x14ac:dyDescent="0.35">
      <c r="A247" s="1" t="str">
        <f t="shared" si="3"/>
        <v>08 Cefuroxime ND 0.001</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2154</v>
      </c>
    </row>
    <row r="248" spans="1:7" x14ac:dyDescent="0.35">
      <c r="A248" s="1" t="str">
        <f t="shared" si="3"/>
        <v>08 Cefuroxime ND 0.001</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2155</v>
      </c>
      <c r="D248" s="1" t="s">
        <v>1259</v>
      </c>
      <c r="E248" s="1" t="s">
        <v>2156</v>
      </c>
      <c r="F248" s="1" t="s">
        <v>112</v>
      </c>
      <c r="G248" s="1">
        <v>55308</v>
      </c>
    </row>
    <row r="249" spans="1:7" x14ac:dyDescent="0.35">
      <c r="A249" s="1" t="str">
        <f t="shared" si="3"/>
        <v>08 Cefuroxime ND 0.001</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2157</v>
      </c>
      <c r="D249" s="1" t="s">
        <v>348</v>
      </c>
      <c r="E249" s="1" t="s">
        <v>2158</v>
      </c>
      <c r="F249" s="1" t="s">
        <v>112</v>
      </c>
      <c r="G249" s="1">
        <v>57125</v>
      </c>
    </row>
    <row r="250" spans="1:7" x14ac:dyDescent="0.35">
      <c r="A250" s="1" t="str">
        <f t="shared" si="3"/>
        <v>08 Cefuroxime ND 0.001</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2159</v>
      </c>
      <c r="D250" s="1" t="s">
        <v>739</v>
      </c>
      <c r="E250" s="1" t="s">
        <v>2160</v>
      </c>
      <c r="F250" s="1" t="s">
        <v>112</v>
      </c>
      <c r="G250" s="1">
        <v>33029</v>
      </c>
    </row>
    <row r="251" spans="1:7" x14ac:dyDescent="0.35">
      <c r="A251" s="1" t="str">
        <f t="shared" si="3"/>
        <v>08 Cefuroxime ND 0.001</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2161</v>
      </c>
      <c r="D251" s="1" t="s">
        <v>1735</v>
      </c>
      <c r="E251" s="1" t="s">
        <v>2162</v>
      </c>
      <c r="F251" s="1" t="s">
        <v>112</v>
      </c>
      <c r="G251" s="1">
        <v>52323</v>
      </c>
    </row>
    <row r="252" spans="1:7" x14ac:dyDescent="0.35">
      <c r="A252" s="1" t="str">
        <f t="shared" si="3"/>
        <v>08 Cefuroxime ND 0.001</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2163</v>
      </c>
      <c r="D252" s="1" t="s">
        <v>598</v>
      </c>
      <c r="E252" s="1" t="s">
        <v>2164</v>
      </c>
      <c r="F252" s="1" t="s">
        <v>112</v>
      </c>
      <c r="G252" s="1">
        <v>15163</v>
      </c>
    </row>
    <row r="253" spans="1:7" x14ac:dyDescent="0.35">
      <c r="A253" s="1" t="str">
        <f t="shared" si="3"/>
        <v>08 Cefuroxime ND 0.001</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2165</v>
      </c>
    </row>
    <row r="254" spans="1:7" x14ac:dyDescent="0.35">
      <c r="A254" s="1" t="str">
        <f t="shared" si="3"/>
        <v>08 Cefuroxime ND 0.001</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2166</v>
      </c>
      <c r="D254" s="1" t="s">
        <v>997</v>
      </c>
      <c r="E254" s="1" t="s">
        <v>2167</v>
      </c>
      <c r="F254" s="1" t="s">
        <v>112</v>
      </c>
      <c r="G254" s="1">
        <v>57060</v>
      </c>
    </row>
    <row r="255" spans="1:7" x14ac:dyDescent="0.35">
      <c r="A255" s="1" t="str">
        <f t="shared" si="3"/>
        <v>08 Cefuroxime ND 0.001</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2168</v>
      </c>
      <c r="D255" s="1" t="s">
        <v>232</v>
      </c>
      <c r="E255" s="1" t="s">
        <v>2169</v>
      </c>
      <c r="F255" s="1" t="s">
        <v>112</v>
      </c>
      <c r="G255" s="1">
        <v>81912</v>
      </c>
    </row>
    <row r="256" spans="1:7" x14ac:dyDescent="0.35">
      <c r="A256" s="1" t="str">
        <f t="shared" si="3"/>
        <v>08 Cefuroxime ND 0.001</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2170</v>
      </c>
      <c r="D256" s="1" t="s">
        <v>299</v>
      </c>
      <c r="E256" s="1" t="s">
        <v>2171</v>
      </c>
      <c r="F256" s="1" t="s">
        <v>112</v>
      </c>
      <c r="G256" s="1">
        <v>38977</v>
      </c>
    </row>
    <row r="257" spans="1:10"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234</v>
      </c>
      <c r="D258" s="1" t="s">
        <v>112</v>
      </c>
      <c r="E258" s="1" t="s">
        <v>235</v>
      </c>
      <c r="F258" s="1" t="s">
        <v>236</v>
      </c>
      <c r="G258" s="1" t="s">
        <v>237</v>
      </c>
      <c r="H258" s="1" t="s">
        <v>238</v>
      </c>
      <c r="I258" s="1" t="s">
        <v>239</v>
      </c>
      <c r="J258" s="1" t="s">
        <v>240</v>
      </c>
    </row>
    <row r="259" spans="1:10" x14ac:dyDescent="0.35">
      <c r="A259" s="1" t="str">
        <f t="shared" si="4"/>
        <v>08 Cefuroxime ND 0.001</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2172</v>
      </c>
      <c r="D259" s="1" t="s">
        <v>112</v>
      </c>
      <c r="E259" s="1" t="s">
        <v>2173</v>
      </c>
      <c r="F259" s="1" t="s">
        <v>2174</v>
      </c>
      <c r="G259" s="1" t="s">
        <v>2175</v>
      </c>
      <c r="H259" s="1" t="s">
        <v>2176</v>
      </c>
      <c r="I259" s="1">
        <v>24</v>
      </c>
      <c r="J259" s="1">
        <v>24</v>
      </c>
    </row>
    <row r="260" spans="1:10"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246</v>
      </c>
      <c r="D265" s="1" t="s">
        <v>110</v>
      </c>
      <c r="E265" s="1" t="s">
        <v>111</v>
      </c>
      <c r="F265" s="1" t="s">
        <v>112</v>
      </c>
      <c r="G265" s="1" t="s">
        <v>113</v>
      </c>
    </row>
    <row r="266" spans="1:10" x14ac:dyDescent="0.35">
      <c r="A266" s="1" t="str">
        <f t="shared" si="4"/>
        <v>09 Cefuroxime ND 0.01</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2177</v>
      </c>
      <c r="D266" s="1" t="s">
        <v>2178</v>
      </c>
      <c r="E266" s="1" t="s">
        <v>2179</v>
      </c>
      <c r="F266" s="1" t="s">
        <v>112</v>
      </c>
      <c r="G266" s="1">
        <v>185022</v>
      </c>
    </row>
    <row r="267" spans="1:10" x14ac:dyDescent="0.35">
      <c r="A267" s="1" t="str">
        <f t="shared" si="4"/>
        <v>09 Cefuroxime ND 0.01</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2180</v>
      </c>
      <c r="D267" s="1" t="s">
        <v>2181</v>
      </c>
      <c r="E267" s="1" t="s">
        <v>2182</v>
      </c>
      <c r="F267" s="1" t="s">
        <v>112</v>
      </c>
      <c r="G267" s="1">
        <v>301932</v>
      </c>
    </row>
    <row r="268" spans="1:10" x14ac:dyDescent="0.35">
      <c r="A268" s="1" t="str">
        <f t="shared" si="4"/>
        <v>09 Cefuroxime ND 0.01</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2183</v>
      </c>
      <c r="D268" s="1" t="s">
        <v>342</v>
      </c>
      <c r="E268" s="1" t="s">
        <v>2184</v>
      </c>
      <c r="F268" s="1" t="s">
        <v>112</v>
      </c>
      <c r="G268" s="1">
        <v>105554</v>
      </c>
    </row>
    <row r="269" spans="1:10" x14ac:dyDescent="0.35">
      <c r="A269" s="1" t="str">
        <f t="shared" si="4"/>
        <v>09 Cefuroxime ND 0.01</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2185</v>
      </c>
      <c r="D269" s="1" t="s">
        <v>2186</v>
      </c>
      <c r="E269" s="1" t="s">
        <v>2187</v>
      </c>
      <c r="F269" s="1" t="s">
        <v>112</v>
      </c>
      <c r="G269" s="1">
        <v>118099</v>
      </c>
    </row>
    <row r="270" spans="1:10" x14ac:dyDescent="0.35">
      <c r="A270" s="1" t="str">
        <f t="shared" si="4"/>
        <v>09 Cefuroxime ND 0.01</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2188</v>
      </c>
      <c r="D270" s="1" t="s">
        <v>964</v>
      </c>
      <c r="E270" s="1" t="s">
        <v>2189</v>
      </c>
      <c r="F270" s="1" t="s">
        <v>112</v>
      </c>
      <c r="G270" s="1">
        <v>99844</v>
      </c>
    </row>
    <row r="271" spans="1:10" x14ac:dyDescent="0.35">
      <c r="A271" s="1" t="str">
        <f t="shared" si="4"/>
        <v>09 Cefuroxime ND 0.01</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2190</v>
      </c>
    </row>
    <row r="272" spans="1:10" x14ac:dyDescent="0.35">
      <c r="A272" s="1" t="str">
        <f t="shared" si="4"/>
        <v>09 Cefuroxime ND 0.01</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2191</v>
      </c>
      <c r="D272" s="1" t="s">
        <v>1816</v>
      </c>
      <c r="E272" s="1" t="s">
        <v>2192</v>
      </c>
      <c r="F272" s="1" t="s">
        <v>112</v>
      </c>
      <c r="G272" s="1">
        <v>472116</v>
      </c>
    </row>
    <row r="273" spans="1:7" x14ac:dyDescent="0.35">
      <c r="A273" s="1" t="str">
        <f t="shared" si="4"/>
        <v>09 Cefuroxime ND 0.01</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2193</v>
      </c>
      <c r="D273" s="1" t="s">
        <v>1847</v>
      </c>
      <c r="E273" s="1" t="s">
        <v>2194</v>
      </c>
      <c r="F273" s="1" t="s">
        <v>112</v>
      </c>
      <c r="G273" s="1">
        <v>356244</v>
      </c>
    </row>
    <row r="274" spans="1:7" x14ac:dyDescent="0.35">
      <c r="A274" s="1" t="str">
        <f t="shared" si="4"/>
        <v>09 Cefuroxime ND 0.01</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2195</v>
      </c>
      <c r="D274" s="1" t="s">
        <v>2196</v>
      </c>
      <c r="E274" s="1" t="s">
        <v>2197</v>
      </c>
      <c r="F274" s="1" t="s">
        <v>112</v>
      </c>
      <c r="G274" s="1">
        <v>414818</v>
      </c>
    </row>
    <row r="275" spans="1:7" x14ac:dyDescent="0.35">
      <c r="A275" s="1" t="str">
        <f t="shared" si="4"/>
        <v>09 Cefuroxime ND 0.01</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2198</v>
      </c>
      <c r="D275" s="1" t="s">
        <v>2199</v>
      </c>
      <c r="E275" s="1" t="s">
        <v>2200</v>
      </c>
      <c r="F275" s="1" t="s">
        <v>112</v>
      </c>
      <c r="G275" s="1">
        <v>118791</v>
      </c>
    </row>
    <row r="276" spans="1:7" x14ac:dyDescent="0.35">
      <c r="A276" s="1" t="str">
        <f t="shared" si="4"/>
        <v>09 Cefuroxime ND 0.01</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2201</v>
      </c>
      <c r="D276" s="1" t="s">
        <v>2202</v>
      </c>
      <c r="E276" s="1" t="s">
        <v>2203</v>
      </c>
      <c r="F276" s="1" t="s">
        <v>112</v>
      </c>
      <c r="G276" s="1">
        <v>83383</v>
      </c>
    </row>
    <row r="277" spans="1:7" x14ac:dyDescent="0.35">
      <c r="A277" s="1" t="str">
        <f t="shared" si="4"/>
        <v>09 Cefuroxime ND 0.01</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2204</v>
      </c>
      <c r="D277" s="1" t="s">
        <v>1707</v>
      </c>
      <c r="E277" s="1" t="s">
        <v>2205</v>
      </c>
      <c r="F277" s="1" t="s">
        <v>112</v>
      </c>
      <c r="G277" s="1">
        <v>139210</v>
      </c>
    </row>
    <row r="278" spans="1:7" x14ac:dyDescent="0.35">
      <c r="A278" s="1" t="str">
        <f t="shared" si="4"/>
        <v>09 Cefuroxime ND 0.01</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2206</v>
      </c>
      <c r="D278" s="1" t="s">
        <v>692</v>
      </c>
      <c r="E278" s="1" t="s">
        <v>2207</v>
      </c>
      <c r="F278" s="1" t="s">
        <v>112</v>
      </c>
      <c r="G278" s="1">
        <v>325941</v>
      </c>
    </row>
    <row r="279" spans="1:7" x14ac:dyDescent="0.35">
      <c r="A279" s="1" t="str">
        <f t="shared" si="4"/>
        <v>09 Cefuroxime ND 0.01</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2208</v>
      </c>
      <c r="D279" s="1" t="s">
        <v>1797</v>
      </c>
      <c r="E279" s="1" t="s">
        <v>2209</v>
      </c>
      <c r="F279" s="1" t="s">
        <v>112</v>
      </c>
      <c r="G279" s="1">
        <v>280778</v>
      </c>
    </row>
    <row r="280" spans="1:7" x14ac:dyDescent="0.35">
      <c r="A280" s="1" t="str">
        <f t="shared" si="4"/>
        <v>09 Cefuroxime ND 0.01</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2210</v>
      </c>
      <c r="D280" s="1" t="s">
        <v>2211</v>
      </c>
      <c r="E280" s="1" t="s">
        <v>2212</v>
      </c>
      <c r="F280" s="1" t="s">
        <v>112</v>
      </c>
      <c r="G280" s="1">
        <v>339719</v>
      </c>
    </row>
    <row r="281" spans="1:7" x14ac:dyDescent="0.35">
      <c r="A281" s="1" t="str">
        <f t="shared" si="4"/>
        <v>09 Cefuroxime ND 0.01</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2213</v>
      </c>
    </row>
    <row r="282" spans="1:7" x14ac:dyDescent="0.35">
      <c r="A282" s="1" t="str">
        <f t="shared" si="4"/>
        <v>09 Cefuroxime ND 0.01</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2214</v>
      </c>
    </row>
    <row r="283" spans="1:7" x14ac:dyDescent="0.35">
      <c r="A283" s="1" t="str">
        <f t="shared" si="4"/>
        <v>09 Cefuroxime ND 0.01</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2215</v>
      </c>
    </row>
    <row r="284" spans="1:7" x14ac:dyDescent="0.35">
      <c r="A284" s="1" t="str">
        <f t="shared" si="4"/>
        <v>09 Cefuroxime ND 0.01</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2216</v>
      </c>
      <c r="D284" s="1" t="s">
        <v>278</v>
      </c>
      <c r="E284" s="1" t="s">
        <v>2217</v>
      </c>
      <c r="F284" s="1" t="s">
        <v>112</v>
      </c>
      <c r="G284" s="1">
        <v>29871</v>
      </c>
    </row>
    <row r="285" spans="1:7" x14ac:dyDescent="0.35">
      <c r="A285" s="1" t="str">
        <f t="shared" si="4"/>
        <v>09 Cefuroxime ND 0.01</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2218</v>
      </c>
      <c r="D285" s="1" t="s">
        <v>2219</v>
      </c>
      <c r="E285" s="1">
        <v>63</v>
      </c>
      <c r="F285" s="1" t="s">
        <v>112</v>
      </c>
      <c r="G285" s="1">
        <v>24528</v>
      </c>
    </row>
    <row r="286" spans="1:7" x14ac:dyDescent="0.35">
      <c r="A286" s="1" t="str">
        <f t="shared" si="4"/>
        <v>09 Cefuroxime ND 0.01</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2220</v>
      </c>
    </row>
    <row r="287" spans="1:7" x14ac:dyDescent="0.35">
      <c r="A287" s="1" t="str">
        <f t="shared" si="4"/>
        <v>09 Cefuroxime ND 0.01</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2221</v>
      </c>
      <c r="D287" s="1" t="s">
        <v>418</v>
      </c>
      <c r="E287" s="1" t="s">
        <v>2222</v>
      </c>
      <c r="F287" s="1" t="s">
        <v>112</v>
      </c>
      <c r="G287" s="1">
        <v>65019</v>
      </c>
    </row>
    <row r="288" spans="1:7" x14ac:dyDescent="0.35">
      <c r="A288" s="1" t="str">
        <f t="shared" si="4"/>
        <v>09 Cefuroxime ND 0.01</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2223</v>
      </c>
      <c r="D288" s="1" t="s">
        <v>2224</v>
      </c>
      <c r="E288" s="1" t="s">
        <v>2225</v>
      </c>
      <c r="F288" s="1" t="s">
        <v>112</v>
      </c>
      <c r="G288" s="1">
        <v>145894</v>
      </c>
    </row>
    <row r="289" spans="1:10" x14ac:dyDescent="0.35">
      <c r="A289" s="1" t="str">
        <f t="shared" si="4"/>
        <v>09 Cefuroxime ND 0.01</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2226</v>
      </c>
      <c r="D289" s="1" t="s">
        <v>2227</v>
      </c>
      <c r="E289" s="1" t="s">
        <v>2228</v>
      </c>
      <c r="F289" s="1" t="s">
        <v>112</v>
      </c>
      <c r="G289" s="1">
        <v>222269</v>
      </c>
    </row>
    <row r="290" spans="1:10"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234</v>
      </c>
      <c r="D291" s="1" t="s">
        <v>112</v>
      </c>
      <c r="E291" s="1" t="s">
        <v>235</v>
      </c>
      <c r="F291" s="1" t="s">
        <v>236</v>
      </c>
      <c r="G291" s="1" t="s">
        <v>237</v>
      </c>
      <c r="H291" s="1" t="s">
        <v>238</v>
      </c>
      <c r="I291" s="1" t="s">
        <v>239</v>
      </c>
      <c r="J291" s="1" t="s">
        <v>240</v>
      </c>
    </row>
    <row r="292" spans="1:10" x14ac:dyDescent="0.35">
      <c r="A292" s="1" t="str">
        <f t="shared" si="4"/>
        <v>09 Cefuroxime ND 0.01</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2229</v>
      </c>
      <c r="D292" s="1" t="s">
        <v>112</v>
      </c>
      <c r="E292" s="1" t="s">
        <v>2230</v>
      </c>
      <c r="F292" s="1" t="s">
        <v>2231</v>
      </c>
      <c r="G292" s="1" t="s">
        <v>2232</v>
      </c>
      <c r="H292" s="1" t="s">
        <v>2233</v>
      </c>
      <c r="I292" s="1">
        <v>24</v>
      </c>
      <c r="J292" s="1">
        <v>24</v>
      </c>
    </row>
    <row r="293" spans="1:10"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246</v>
      </c>
      <c r="D298" s="1" t="s">
        <v>110</v>
      </c>
      <c r="E298" s="1" t="s">
        <v>111</v>
      </c>
      <c r="F298" s="1" t="s">
        <v>112</v>
      </c>
      <c r="G298" s="1" t="s">
        <v>113</v>
      </c>
    </row>
    <row r="299" spans="1:10" x14ac:dyDescent="0.35">
      <c r="A299" s="1" t="str">
        <f t="shared" si="4"/>
        <v>10 Cefuroxime ND 0.1</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2234</v>
      </c>
      <c r="D299" s="1" t="s">
        <v>178</v>
      </c>
      <c r="E299" s="1" t="s">
        <v>2235</v>
      </c>
      <c r="F299" s="1" t="s">
        <v>112</v>
      </c>
      <c r="G299" s="1">
        <v>11139</v>
      </c>
    </row>
    <row r="300" spans="1:10" x14ac:dyDescent="0.35">
      <c r="A300" s="1" t="str">
        <f t="shared" si="4"/>
        <v>10 Cefuroxime ND 0.1</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2236</v>
      </c>
      <c r="D300" s="1" t="s">
        <v>803</v>
      </c>
      <c r="E300" s="1">
        <v>66</v>
      </c>
      <c r="F300" s="1" t="s">
        <v>112</v>
      </c>
      <c r="G300" s="1">
        <v>35689</v>
      </c>
    </row>
    <row r="301" spans="1:10" x14ac:dyDescent="0.35">
      <c r="A301" s="1" t="str">
        <f t="shared" si="4"/>
        <v>10 Cefuroxime ND 0.1</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2237</v>
      </c>
    </row>
    <row r="302" spans="1:10" x14ac:dyDescent="0.35">
      <c r="A302" s="1" t="str">
        <f t="shared" si="4"/>
        <v>10 Cefuroxime ND 0.1</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2238</v>
      </c>
      <c r="D302" s="1" t="s">
        <v>2239</v>
      </c>
      <c r="E302" s="1" t="s">
        <v>2240</v>
      </c>
      <c r="F302" s="1" t="s">
        <v>112</v>
      </c>
      <c r="G302" s="1">
        <v>376750</v>
      </c>
    </row>
    <row r="303" spans="1:10" x14ac:dyDescent="0.35">
      <c r="A303" s="1" t="str">
        <f t="shared" si="4"/>
        <v>10 Cefuroxime ND 0.1</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2241</v>
      </c>
      <c r="D303" s="1" t="s">
        <v>181</v>
      </c>
      <c r="E303" s="1" t="s">
        <v>2242</v>
      </c>
      <c r="F303" s="1" t="s">
        <v>112</v>
      </c>
      <c r="G303" s="1">
        <v>26194</v>
      </c>
    </row>
    <row r="304" spans="1:10" x14ac:dyDescent="0.35">
      <c r="A304" s="1" t="str">
        <f t="shared" si="4"/>
        <v>10 Cefuroxime ND 0.1</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2243</v>
      </c>
    </row>
    <row r="305" spans="1:7" x14ac:dyDescent="0.35">
      <c r="A305" s="1" t="str">
        <f t="shared" si="4"/>
        <v>10 Cefuroxime ND 0.1</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2244</v>
      </c>
      <c r="D305" s="1" t="s">
        <v>2245</v>
      </c>
      <c r="E305" s="1" t="s">
        <v>2246</v>
      </c>
      <c r="F305" s="1" t="s">
        <v>112</v>
      </c>
      <c r="G305" s="1">
        <v>92792</v>
      </c>
    </row>
    <row r="306" spans="1:7" x14ac:dyDescent="0.35">
      <c r="A306" s="1" t="str">
        <f t="shared" si="4"/>
        <v>10 Cefuroxime ND 0.1</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2247</v>
      </c>
      <c r="D306" s="1" t="s">
        <v>710</v>
      </c>
      <c r="E306" s="1" t="s">
        <v>2248</v>
      </c>
      <c r="F306" s="1" t="s">
        <v>112</v>
      </c>
      <c r="G306" s="1">
        <v>16763</v>
      </c>
    </row>
    <row r="307" spans="1:7" x14ac:dyDescent="0.35">
      <c r="A307" s="1" t="str">
        <f t="shared" si="4"/>
        <v>10 Cefuroxime ND 0.1</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2249</v>
      </c>
    </row>
    <row r="308" spans="1:7" x14ac:dyDescent="0.35">
      <c r="A308" s="1" t="str">
        <f t="shared" si="4"/>
        <v>10 Cefuroxime ND 0.1</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2250</v>
      </c>
      <c r="D308" s="1" t="s">
        <v>2251</v>
      </c>
      <c r="E308" s="1" t="s">
        <v>2252</v>
      </c>
      <c r="F308" s="1" t="s">
        <v>112</v>
      </c>
      <c r="G308" s="1">
        <v>96902</v>
      </c>
    </row>
    <row r="309" spans="1:7" x14ac:dyDescent="0.35">
      <c r="A309" s="1" t="str">
        <f t="shared" si="4"/>
        <v>10 Cefuroxime ND 0.1</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2253</v>
      </c>
      <c r="D309" s="1" t="s">
        <v>2251</v>
      </c>
      <c r="E309" s="1" t="s">
        <v>2254</v>
      </c>
      <c r="F309" s="1" t="s">
        <v>112</v>
      </c>
      <c r="G309" s="1">
        <v>98870</v>
      </c>
    </row>
    <row r="310" spans="1:7" x14ac:dyDescent="0.35">
      <c r="A310" s="1" t="str">
        <f t="shared" si="4"/>
        <v>10 Cefuroxime ND 0.1</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2255</v>
      </c>
      <c r="D310" s="1" t="s">
        <v>739</v>
      </c>
      <c r="E310" s="1" t="s">
        <v>2256</v>
      </c>
      <c r="F310" s="1" t="s">
        <v>112</v>
      </c>
      <c r="G310" s="1">
        <v>32358</v>
      </c>
    </row>
    <row r="311" spans="1:7" x14ac:dyDescent="0.35">
      <c r="A311" s="1" t="str">
        <f t="shared" si="4"/>
        <v>10 Cefuroxime ND 0.1</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2257</v>
      </c>
      <c r="D311" s="1" t="s">
        <v>248</v>
      </c>
      <c r="E311" s="1" t="s">
        <v>2258</v>
      </c>
      <c r="F311" s="1" t="s">
        <v>112</v>
      </c>
      <c r="G311" s="1">
        <v>244331</v>
      </c>
    </row>
    <row r="312" spans="1:7" x14ac:dyDescent="0.35">
      <c r="A312" s="1" t="str">
        <f t="shared" si="4"/>
        <v>10 Cefuroxime ND 0.1</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2259</v>
      </c>
      <c r="D312" s="1" t="s">
        <v>325</v>
      </c>
      <c r="E312" s="1" t="s">
        <v>2260</v>
      </c>
      <c r="F312" s="1" t="s">
        <v>112</v>
      </c>
      <c r="G312" s="1">
        <v>253481</v>
      </c>
    </row>
    <row r="313" spans="1:7" x14ac:dyDescent="0.35">
      <c r="A313" s="1" t="str">
        <f t="shared" si="4"/>
        <v>10 Cefuroxime ND 0.1</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2261</v>
      </c>
      <c r="D313" s="1" t="s">
        <v>780</v>
      </c>
      <c r="E313" s="1" t="s">
        <v>2262</v>
      </c>
      <c r="F313" s="1" t="s">
        <v>112</v>
      </c>
      <c r="G313" s="1">
        <v>88791</v>
      </c>
    </row>
    <row r="314" spans="1:7" x14ac:dyDescent="0.35">
      <c r="A314" s="1" t="str">
        <f t="shared" si="4"/>
        <v>10 Cefuroxime ND 0.1</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2263</v>
      </c>
      <c r="D314" s="1" t="s">
        <v>209</v>
      </c>
      <c r="E314" s="1" t="s">
        <v>2264</v>
      </c>
      <c r="F314" s="1" t="s">
        <v>112</v>
      </c>
      <c r="G314" s="1">
        <v>357131</v>
      </c>
    </row>
    <row r="315" spans="1:7" x14ac:dyDescent="0.35">
      <c r="A315" s="1" t="str">
        <f t="shared" si="4"/>
        <v>10 Cefuroxime ND 0.1</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2265</v>
      </c>
      <c r="D315" s="1" t="s">
        <v>229</v>
      </c>
      <c r="E315" s="1" t="s">
        <v>2266</v>
      </c>
      <c r="F315" s="1" t="s">
        <v>112</v>
      </c>
      <c r="G315" s="1">
        <v>95215</v>
      </c>
    </row>
    <row r="316" spans="1:7" x14ac:dyDescent="0.35">
      <c r="A316" s="1" t="str">
        <f t="shared" si="4"/>
        <v>10 Cefuroxime ND 0.1</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2267</v>
      </c>
      <c r="D316" s="1" t="s">
        <v>178</v>
      </c>
      <c r="E316" s="1" t="s">
        <v>2268</v>
      </c>
      <c r="F316" s="1" t="s">
        <v>112</v>
      </c>
      <c r="G316" s="1">
        <v>11031</v>
      </c>
    </row>
    <row r="317" spans="1:7" x14ac:dyDescent="0.35">
      <c r="A317" s="1" t="str">
        <f t="shared" si="4"/>
        <v>10 Cefuroxime ND 0.1</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2269</v>
      </c>
      <c r="D317" s="1" t="s">
        <v>345</v>
      </c>
      <c r="E317" s="1" t="s">
        <v>2270</v>
      </c>
      <c r="F317" s="1" t="s">
        <v>112</v>
      </c>
      <c r="G317" s="1">
        <v>49381</v>
      </c>
    </row>
    <row r="318" spans="1:7" x14ac:dyDescent="0.35">
      <c r="A318" s="1" t="str">
        <f t="shared" si="4"/>
        <v>10 Cefuroxime ND 0.1</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2271</v>
      </c>
      <c r="D318" s="1" t="s">
        <v>921</v>
      </c>
      <c r="E318" s="1" t="s">
        <v>2272</v>
      </c>
      <c r="F318" s="1" t="s">
        <v>112</v>
      </c>
      <c r="G318" s="1">
        <v>46418</v>
      </c>
    </row>
    <row r="319" spans="1:7" x14ac:dyDescent="0.35">
      <c r="A319" s="1" t="str">
        <f t="shared" si="4"/>
        <v>10 Cefuroxime ND 0.1</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2273</v>
      </c>
      <c r="D319" s="1" t="s">
        <v>2274</v>
      </c>
      <c r="E319" s="1" t="s">
        <v>2275</v>
      </c>
      <c r="F319" s="1" t="s">
        <v>112</v>
      </c>
      <c r="G319" s="1">
        <v>53447</v>
      </c>
    </row>
    <row r="320" spans="1:7" x14ac:dyDescent="0.35">
      <c r="A320" s="1" t="str">
        <f t="shared" si="4"/>
        <v>10 Cefuroxime ND 0.1</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2276</v>
      </c>
      <c r="D320" s="1" t="s">
        <v>2277</v>
      </c>
      <c r="E320" s="1" t="s">
        <v>2278</v>
      </c>
      <c r="F320" s="1" t="s">
        <v>112</v>
      </c>
      <c r="G320" s="1">
        <v>311579</v>
      </c>
    </row>
    <row r="321" spans="1:10" x14ac:dyDescent="0.35">
      <c r="A321" s="1" t="str">
        <f t="shared" si="4"/>
        <v>10 Cefuroxime ND 0.1</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2279</v>
      </c>
      <c r="D321" s="1" t="s">
        <v>2280</v>
      </c>
      <c r="E321" s="1" t="s">
        <v>2281</v>
      </c>
      <c r="F321" s="1" t="s">
        <v>112</v>
      </c>
      <c r="G321" s="1">
        <v>164690</v>
      </c>
    </row>
    <row r="322" spans="1:10" x14ac:dyDescent="0.35">
      <c r="A322" s="1" t="str">
        <f t="shared" ref="A322:A385" si="5">IFERROR(LEFT(RIGHT(C322,LEN(C322)-SEARCH("@",C322)),SEARCH("/",RIGHT(C322,LEN(C322)-SEARCH("@",C322)-1))),"")</f>
        <v>10 Cefuroxime ND 0.1</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2282</v>
      </c>
      <c r="D322" s="1" t="s">
        <v>170</v>
      </c>
      <c r="E322" s="1" t="s">
        <v>2283</v>
      </c>
      <c r="F322" s="1" t="s">
        <v>112</v>
      </c>
      <c r="G322" s="1">
        <v>35646</v>
      </c>
    </row>
    <row r="323" spans="1:10"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234</v>
      </c>
      <c r="D324" s="1" t="s">
        <v>112</v>
      </c>
      <c r="E324" s="1" t="s">
        <v>235</v>
      </c>
      <c r="F324" s="1" t="s">
        <v>236</v>
      </c>
      <c r="G324" s="1" t="s">
        <v>237</v>
      </c>
      <c r="H324" s="1" t="s">
        <v>238</v>
      </c>
      <c r="I324" s="1" t="s">
        <v>239</v>
      </c>
      <c r="J324" s="1" t="s">
        <v>240</v>
      </c>
    </row>
    <row r="325" spans="1:10" x14ac:dyDescent="0.35">
      <c r="A325" s="1" t="str">
        <f t="shared" si="5"/>
        <v>10 Cefuroxime ND 0.1</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2284</v>
      </c>
      <c r="D325" s="1" t="s">
        <v>112</v>
      </c>
      <c r="E325" s="1" t="s">
        <v>2285</v>
      </c>
      <c r="F325" s="1" t="s">
        <v>2286</v>
      </c>
      <c r="G325" s="1" t="s">
        <v>2287</v>
      </c>
      <c r="H325" s="1" t="s">
        <v>2288</v>
      </c>
      <c r="I325" s="1">
        <v>24</v>
      </c>
      <c r="J325" s="1">
        <v>24</v>
      </c>
    </row>
    <row r="326" spans="1:10"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246</v>
      </c>
      <c r="D331" s="1" t="s">
        <v>110</v>
      </c>
      <c r="E331" s="1" t="s">
        <v>111</v>
      </c>
      <c r="F331" s="1" t="s">
        <v>112</v>
      </c>
      <c r="G331" s="1" t="s">
        <v>113</v>
      </c>
    </row>
    <row r="332" spans="1:10" x14ac:dyDescent="0.35">
      <c r="A332" s="1" t="str">
        <f t="shared" si="5"/>
        <v>11 Cefuroxime ND 1</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2289</v>
      </c>
      <c r="D332" s="1" t="s">
        <v>2290</v>
      </c>
      <c r="E332" s="1" t="s">
        <v>2291</v>
      </c>
      <c r="F332" s="1" t="s">
        <v>112</v>
      </c>
      <c r="G332" s="1">
        <v>293128</v>
      </c>
    </row>
    <row r="333" spans="1:10" x14ac:dyDescent="0.35">
      <c r="A333" s="1" t="str">
        <f t="shared" si="5"/>
        <v>11 Cefuroxime ND 1</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2292</v>
      </c>
      <c r="D333" s="1" t="s">
        <v>2293</v>
      </c>
      <c r="E333" s="1" t="s">
        <v>2294</v>
      </c>
      <c r="F333" s="1" t="s">
        <v>112</v>
      </c>
      <c r="G333" s="1">
        <v>324730</v>
      </c>
    </row>
    <row r="334" spans="1:10" x14ac:dyDescent="0.35">
      <c r="A334" s="1" t="str">
        <f t="shared" si="5"/>
        <v>11 Cefuroxime ND 1</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2295</v>
      </c>
      <c r="D334" s="1" t="s">
        <v>2296</v>
      </c>
      <c r="E334" s="1" t="s">
        <v>2297</v>
      </c>
      <c r="F334" s="1" t="s">
        <v>112</v>
      </c>
      <c r="G334" s="1">
        <v>412720</v>
      </c>
    </row>
    <row r="335" spans="1:10" x14ac:dyDescent="0.35">
      <c r="A335" s="1" t="str">
        <f t="shared" si="5"/>
        <v>11 Cefuroxime ND 1</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2298</v>
      </c>
      <c r="D335" s="1" t="s">
        <v>178</v>
      </c>
      <c r="E335" s="1" t="s">
        <v>2299</v>
      </c>
      <c r="F335" s="1" t="s">
        <v>112</v>
      </c>
      <c r="G335" s="1">
        <v>10880</v>
      </c>
    </row>
    <row r="336" spans="1:10" x14ac:dyDescent="0.35">
      <c r="A336" s="1" t="str">
        <f t="shared" si="5"/>
        <v>11 Cefuroxime ND 1</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2300</v>
      </c>
      <c r="D336" s="1" t="s">
        <v>187</v>
      </c>
      <c r="E336" s="1" t="s">
        <v>2301</v>
      </c>
      <c r="F336" s="1" t="s">
        <v>112</v>
      </c>
      <c r="G336" s="1">
        <v>20786</v>
      </c>
    </row>
    <row r="337" spans="1:7" x14ac:dyDescent="0.35">
      <c r="A337" s="1" t="str">
        <f t="shared" si="5"/>
        <v>11 Cefuroxime ND 1</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2302</v>
      </c>
      <c r="D337" s="1" t="s">
        <v>598</v>
      </c>
      <c r="E337" s="1" t="s">
        <v>2303</v>
      </c>
      <c r="F337" s="1" t="s">
        <v>112</v>
      </c>
      <c r="G337" s="1">
        <v>14903</v>
      </c>
    </row>
    <row r="338" spans="1:7" x14ac:dyDescent="0.35">
      <c r="A338" s="1" t="str">
        <f t="shared" si="5"/>
        <v>11 Cefuroxime ND 1</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2304</v>
      </c>
      <c r="D338" s="1" t="s">
        <v>2305</v>
      </c>
      <c r="E338" s="1" t="s">
        <v>2306</v>
      </c>
      <c r="F338" s="1" t="s">
        <v>112</v>
      </c>
      <c r="G338" s="1">
        <v>262500</v>
      </c>
    </row>
    <row r="339" spans="1:7" x14ac:dyDescent="0.35">
      <c r="A339" s="1" t="str">
        <f t="shared" si="5"/>
        <v>11 Cefuroxime ND 1</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2307</v>
      </c>
      <c r="D339" s="1" t="s">
        <v>1837</v>
      </c>
      <c r="E339" s="1" t="s">
        <v>2308</v>
      </c>
      <c r="F339" s="1" t="s">
        <v>112</v>
      </c>
      <c r="G339" s="1">
        <v>74580</v>
      </c>
    </row>
    <row r="340" spans="1:7" x14ac:dyDescent="0.35">
      <c r="A340" s="1" t="str">
        <f t="shared" si="5"/>
        <v>11 Cefuroxime ND 1</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2309</v>
      </c>
      <c r="D340" s="1" t="s">
        <v>1259</v>
      </c>
      <c r="E340" s="1" t="s">
        <v>2310</v>
      </c>
      <c r="F340" s="1" t="s">
        <v>112</v>
      </c>
      <c r="G340" s="1">
        <v>54529</v>
      </c>
    </row>
    <row r="341" spans="1:7" x14ac:dyDescent="0.35">
      <c r="A341" s="1" t="str">
        <f t="shared" si="5"/>
        <v>11 Cefuroxime ND 1</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2311</v>
      </c>
      <c r="D341" s="1" t="s">
        <v>173</v>
      </c>
      <c r="E341" s="1" t="s">
        <v>2312</v>
      </c>
      <c r="F341" s="1" t="s">
        <v>112</v>
      </c>
      <c r="G341" s="1">
        <v>66750</v>
      </c>
    </row>
    <row r="342" spans="1:7" x14ac:dyDescent="0.35">
      <c r="A342" s="1" t="str">
        <f t="shared" si="5"/>
        <v>11 Cefuroxime ND 1</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2313</v>
      </c>
      <c r="D342" s="1" t="s">
        <v>2274</v>
      </c>
      <c r="E342" s="1" t="s">
        <v>2283</v>
      </c>
      <c r="F342" s="1" t="s">
        <v>112</v>
      </c>
      <c r="G342" s="1">
        <v>53469</v>
      </c>
    </row>
    <row r="343" spans="1:7" x14ac:dyDescent="0.35">
      <c r="A343" s="1" t="str">
        <f t="shared" si="5"/>
        <v>11 Cefuroxime ND 1</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2314</v>
      </c>
    </row>
    <row r="344" spans="1:7" x14ac:dyDescent="0.35">
      <c r="A344" s="1" t="str">
        <f t="shared" si="5"/>
        <v>11 Cefuroxime ND 1</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2315</v>
      </c>
      <c r="D344" s="1" t="s">
        <v>2224</v>
      </c>
      <c r="E344" s="1" t="s">
        <v>2316</v>
      </c>
      <c r="F344" s="1" t="s">
        <v>112</v>
      </c>
      <c r="G344" s="1">
        <v>149008</v>
      </c>
    </row>
    <row r="345" spans="1:7" x14ac:dyDescent="0.35">
      <c r="A345" s="1" t="str">
        <f t="shared" si="5"/>
        <v>11 Cefuroxime ND 1</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2317</v>
      </c>
      <c r="D345" s="1" t="s">
        <v>195</v>
      </c>
      <c r="E345" s="1" t="s">
        <v>2318</v>
      </c>
      <c r="F345" s="1" t="s">
        <v>112</v>
      </c>
      <c r="G345" s="1">
        <v>87298</v>
      </c>
    </row>
    <row r="346" spans="1:7" x14ac:dyDescent="0.35">
      <c r="A346" s="1" t="str">
        <f t="shared" si="5"/>
        <v>11 Cefuroxime ND 1</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2319</v>
      </c>
      <c r="D346" s="1" t="s">
        <v>2320</v>
      </c>
      <c r="E346" s="1" t="s">
        <v>2321</v>
      </c>
      <c r="F346" s="1" t="s">
        <v>112</v>
      </c>
      <c r="G346" s="1">
        <v>193328</v>
      </c>
    </row>
    <row r="347" spans="1:7" x14ac:dyDescent="0.35">
      <c r="A347" s="1" t="str">
        <f t="shared" si="5"/>
        <v>11 Cefuroxime ND 1</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2322</v>
      </c>
    </row>
    <row r="348" spans="1:7" x14ac:dyDescent="0.35">
      <c r="A348" s="1" t="str">
        <f t="shared" si="5"/>
        <v>11 Cefuroxime ND 1</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2323</v>
      </c>
    </row>
    <row r="349" spans="1:7" x14ac:dyDescent="0.35">
      <c r="A349" s="1" t="str">
        <f t="shared" si="5"/>
        <v>11 Cefuroxime ND 1</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2324</v>
      </c>
    </row>
    <row r="350" spans="1:7" x14ac:dyDescent="0.35">
      <c r="A350" s="1" t="str">
        <f t="shared" si="5"/>
        <v>11 Cefuroxime ND 1</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2325</v>
      </c>
      <c r="D350" s="1" t="s">
        <v>809</v>
      </c>
      <c r="E350" s="1" t="s">
        <v>2326</v>
      </c>
      <c r="F350" s="1" t="s">
        <v>112</v>
      </c>
      <c r="G350" s="1">
        <v>47434</v>
      </c>
    </row>
    <row r="351" spans="1:7" x14ac:dyDescent="0.35">
      <c r="A351" s="1" t="str">
        <f t="shared" si="5"/>
        <v>11 Cefuroxime ND 1</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2327</v>
      </c>
    </row>
    <row r="352" spans="1:7" x14ac:dyDescent="0.35">
      <c r="A352" s="1" t="str">
        <f t="shared" si="5"/>
        <v>11 Cefuroxime ND 1</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2328</v>
      </c>
    </row>
    <row r="353" spans="1:10" x14ac:dyDescent="0.35">
      <c r="A353" s="1" t="str">
        <f t="shared" si="5"/>
        <v>11 Cefuroxime ND 1</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2329</v>
      </c>
      <c r="D353" s="1" t="s">
        <v>2330</v>
      </c>
      <c r="E353" s="1" t="s">
        <v>2331</v>
      </c>
      <c r="F353" s="1" t="s">
        <v>112</v>
      </c>
      <c r="G353" s="1">
        <v>292912</v>
      </c>
    </row>
    <row r="354" spans="1:10" x14ac:dyDescent="0.35">
      <c r="A354" s="1" t="str">
        <f t="shared" si="5"/>
        <v>11 Cefuroxime ND 1</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2332</v>
      </c>
      <c r="D354" s="1" t="s">
        <v>809</v>
      </c>
      <c r="E354" s="1" t="s">
        <v>2333</v>
      </c>
      <c r="F354" s="1" t="s">
        <v>112</v>
      </c>
      <c r="G354" s="1">
        <v>49662</v>
      </c>
    </row>
    <row r="355" spans="1:10" x14ac:dyDescent="0.35">
      <c r="A355" s="1" t="str">
        <f t="shared" si="5"/>
        <v>11 Cefuroxime ND 1</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2334</v>
      </c>
      <c r="D355" s="1" t="s">
        <v>190</v>
      </c>
      <c r="E355" s="1" t="s">
        <v>2335</v>
      </c>
      <c r="F355" s="1" t="s">
        <v>112</v>
      </c>
      <c r="G355" s="1">
        <v>19013</v>
      </c>
    </row>
    <row r="356" spans="1:10"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234</v>
      </c>
      <c r="D357" s="1" t="s">
        <v>112</v>
      </c>
      <c r="E357" s="1" t="s">
        <v>235</v>
      </c>
      <c r="F357" s="1" t="s">
        <v>236</v>
      </c>
      <c r="G357" s="1" t="s">
        <v>237</v>
      </c>
      <c r="H357" s="1" t="s">
        <v>238</v>
      </c>
      <c r="I357" s="1" t="s">
        <v>239</v>
      </c>
      <c r="J357" s="1" t="s">
        <v>240</v>
      </c>
    </row>
    <row r="358" spans="1:10" x14ac:dyDescent="0.35">
      <c r="A358" s="1" t="str">
        <f t="shared" si="5"/>
        <v>11 Cefuroxime ND 1</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2336</v>
      </c>
      <c r="D358" s="1" t="s">
        <v>112</v>
      </c>
      <c r="E358" s="1" t="s">
        <v>2337</v>
      </c>
      <c r="F358" s="1" t="s">
        <v>2338</v>
      </c>
      <c r="G358" s="1" t="s">
        <v>2339</v>
      </c>
      <c r="H358" s="1" t="s">
        <v>2340</v>
      </c>
      <c r="I358" s="1">
        <v>24</v>
      </c>
      <c r="J358" s="1">
        <v>24</v>
      </c>
    </row>
    <row r="359" spans="1:10"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246</v>
      </c>
      <c r="D364" s="1" t="s">
        <v>110</v>
      </c>
      <c r="E364" s="1" t="s">
        <v>111</v>
      </c>
      <c r="F364" s="1" t="s">
        <v>112</v>
      </c>
      <c r="G364" s="1" t="s">
        <v>113</v>
      </c>
    </row>
    <row r="365" spans="1:10" x14ac:dyDescent="0.35">
      <c r="A365" s="1" t="str">
        <f t="shared" si="5"/>
        <v>12 Cefuroxime ND 10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2341</v>
      </c>
      <c r="D365" s="1" t="s">
        <v>147</v>
      </c>
      <c r="E365" s="1" t="s">
        <v>2342</v>
      </c>
      <c r="F365" s="1" t="s">
        <v>112</v>
      </c>
      <c r="G365" s="1">
        <v>342509</v>
      </c>
    </row>
    <row r="366" spans="1:10" x14ac:dyDescent="0.35">
      <c r="A366" s="1" t="str">
        <f t="shared" si="5"/>
        <v>12 Cefuroxime ND 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2343</v>
      </c>
      <c r="D366" s="1" t="s">
        <v>1900</v>
      </c>
      <c r="E366" s="1" t="s">
        <v>2344</v>
      </c>
      <c r="F366" s="1" t="s">
        <v>112</v>
      </c>
      <c r="G366" s="1">
        <v>310822</v>
      </c>
    </row>
    <row r="367" spans="1:10" x14ac:dyDescent="0.35">
      <c r="A367" s="1" t="str">
        <f t="shared" si="5"/>
        <v>12 Cefuroxime ND 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2345</v>
      </c>
    </row>
    <row r="368" spans="1:10" x14ac:dyDescent="0.35">
      <c r="A368" s="1" t="str">
        <f t="shared" si="5"/>
        <v>12 Cefuroxime ND 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2346</v>
      </c>
      <c r="D368" s="1" t="s">
        <v>751</v>
      </c>
      <c r="E368" s="1" t="s">
        <v>2347</v>
      </c>
      <c r="F368" s="1" t="s">
        <v>112</v>
      </c>
      <c r="G368" s="1">
        <v>9431</v>
      </c>
    </row>
    <row r="369" spans="1:7" x14ac:dyDescent="0.35">
      <c r="A369" s="1" t="str">
        <f t="shared" si="5"/>
        <v>12 Cefuroxime ND 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2348</v>
      </c>
      <c r="D369" s="1" t="s">
        <v>592</v>
      </c>
      <c r="E369" s="1" t="s">
        <v>2349</v>
      </c>
      <c r="F369" s="1" t="s">
        <v>112</v>
      </c>
      <c r="G369" s="1">
        <v>45228</v>
      </c>
    </row>
    <row r="370" spans="1:7" x14ac:dyDescent="0.35">
      <c r="A370" s="1" t="str">
        <f t="shared" si="5"/>
        <v>12 Cefuroxime ND 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2350</v>
      </c>
    </row>
    <row r="371" spans="1:7" x14ac:dyDescent="0.35">
      <c r="A371" s="1" t="str">
        <f t="shared" si="5"/>
        <v>12 Cefuroxime ND 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2351</v>
      </c>
      <c r="D371" s="1" t="s">
        <v>2352</v>
      </c>
      <c r="E371" s="1" t="s">
        <v>2353</v>
      </c>
      <c r="F371" s="1" t="s">
        <v>112</v>
      </c>
      <c r="G371" s="1">
        <v>258845</v>
      </c>
    </row>
    <row r="372" spans="1:7" x14ac:dyDescent="0.35">
      <c r="A372" s="1" t="str">
        <f t="shared" si="5"/>
        <v>12 Cefuroxime ND 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2354</v>
      </c>
      <c r="D372" s="1" t="s">
        <v>1837</v>
      </c>
      <c r="E372" s="1" t="s">
        <v>2355</v>
      </c>
      <c r="F372" s="1" t="s">
        <v>112</v>
      </c>
      <c r="G372" s="1">
        <v>74969</v>
      </c>
    </row>
    <row r="373" spans="1:7" x14ac:dyDescent="0.35">
      <c r="A373" s="1" t="str">
        <f t="shared" si="5"/>
        <v>12 Cefuroxime ND 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2356</v>
      </c>
      <c r="D373" s="1" t="s">
        <v>2357</v>
      </c>
      <c r="E373" s="1" t="s">
        <v>2358</v>
      </c>
      <c r="F373" s="1" t="s">
        <v>112</v>
      </c>
      <c r="G373" s="1">
        <v>89072</v>
      </c>
    </row>
    <row r="374" spans="1:7" x14ac:dyDescent="0.35">
      <c r="A374" s="1" t="str">
        <f t="shared" si="5"/>
        <v>12 Cefuroxime ND 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2359</v>
      </c>
      <c r="D374" s="1" t="s">
        <v>281</v>
      </c>
      <c r="E374" s="1" t="s">
        <v>2360</v>
      </c>
      <c r="F374" s="1" t="s">
        <v>112</v>
      </c>
      <c r="G374" s="1">
        <v>433009</v>
      </c>
    </row>
    <row r="375" spans="1:7" x14ac:dyDescent="0.35">
      <c r="A375" s="1" t="str">
        <f t="shared" si="5"/>
        <v>12 Cefuroxime ND 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2361</v>
      </c>
      <c r="D375" s="1" t="s">
        <v>251</v>
      </c>
      <c r="E375" s="1" t="s">
        <v>2362</v>
      </c>
      <c r="F375" s="1" t="s">
        <v>112</v>
      </c>
      <c r="G375" s="1">
        <v>31061</v>
      </c>
    </row>
    <row r="376" spans="1:7" x14ac:dyDescent="0.35">
      <c r="A376" s="1" t="str">
        <f t="shared" si="5"/>
        <v>12 Cefuroxime ND 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2363</v>
      </c>
      <c r="D376" s="1" t="s">
        <v>251</v>
      </c>
      <c r="E376" s="1" t="s">
        <v>2364</v>
      </c>
      <c r="F376" s="1" t="s">
        <v>112</v>
      </c>
      <c r="G376" s="1">
        <v>31407</v>
      </c>
    </row>
    <row r="377" spans="1:7" x14ac:dyDescent="0.35">
      <c r="A377" s="1" t="str">
        <f t="shared" si="5"/>
        <v>12 Cefuroxime ND 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2365</v>
      </c>
      <c r="D377" s="1" t="s">
        <v>865</v>
      </c>
      <c r="E377" s="1" t="s">
        <v>2366</v>
      </c>
      <c r="F377" s="1" t="s">
        <v>112</v>
      </c>
      <c r="G377" s="1">
        <v>112346</v>
      </c>
    </row>
    <row r="378" spans="1:7" x14ac:dyDescent="0.35">
      <c r="A378" s="1" t="str">
        <f t="shared" si="5"/>
        <v>12 Cefuroxime ND 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2367</v>
      </c>
      <c r="D378" s="1" t="s">
        <v>854</v>
      </c>
      <c r="E378" s="1" t="s">
        <v>2368</v>
      </c>
      <c r="F378" s="1" t="s">
        <v>112</v>
      </c>
      <c r="G378" s="1">
        <v>158590</v>
      </c>
    </row>
    <row r="379" spans="1:7" x14ac:dyDescent="0.35">
      <c r="A379" s="1" t="str">
        <f t="shared" si="5"/>
        <v>12 Cefuroxime ND 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2369</v>
      </c>
      <c r="D379" s="1" t="s">
        <v>2370</v>
      </c>
      <c r="E379" s="1" t="s">
        <v>2371</v>
      </c>
      <c r="F379" s="1" t="s">
        <v>112</v>
      </c>
      <c r="G379" s="1">
        <v>100341</v>
      </c>
    </row>
    <row r="380" spans="1:7" x14ac:dyDescent="0.35">
      <c r="A380" s="1" t="str">
        <f t="shared" si="5"/>
        <v>12 Cefuroxime ND 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2372</v>
      </c>
      <c r="D380" s="1" t="s">
        <v>1227</v>
      </c>
      <c r="E380" s="1" t="s">
        <v>2373</v>
      </c>
      <c r="F380" s="1" t="s">
        <v>112</v>
      </c>
      <c r="G380" s="1">
        <v>245824</v>
      </c>
    </row>
    <row r="381" spans="1:7" x14ac:dyDescent="0.35">
      <c r="A381" s="1" t="str">
        <f t="shared" si="5"/>
        <v>12 Cefuroxime ND 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2374</v>
      </c>
      <c r="D381" s="1" t="s">
        <v>941</v>
      </c>
      <c r="E381" s="1" t="s">
        <v>2375</v>
      </c>
      <c r="F381" s="1" t="s">
        <v>112</v>
      </c>
      <c r="G381" s="1">
        <v>58530</v>
      </c>
    </row>
    <row r="382" spans="1:7" x14ac:dyDescent="0.35">
      <c r="A382" s="1" t="str">
        <f t="shared" si="5"/>
        <v>12 Cefuroxime ND 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2376</v>
      </c>
    </row>
    <row r="383" spans="1:7" x14ac:dyDescent="0.35">
      <c r="A383" s="1" t="str">
        <f t="shared" si="5"/>
        <v>12 Cefuroxime ND 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2377</v>
      </c>
      <c r="D383" s="1" t="s">
        <v>1269</v>
      </c>
      <c r="E383" s="1" t="s">
        <v>2378</v>
      </c>
      <c r="F383" s="1" t="s">
        <v>112</v>
      </c>
      <c r="G383" s="1">
        <v>75034</v>
      </c>
    </row>
    <row r="384" spans="1:7" x14ac:dyDescent="0.35">
      <c r="A384" s="1" t="str">
        <f t="shared" si="5"/>
        <v>12 Cefuroxime ND 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2379</v>
      </c>
      <c r="D384" s="1" t="s">
        <v>418</v>
      </c>
      <c r="E384" s="1" t="s">
        <v>2380</v>
      </c>
      <c r="F384" s="1" t="s">
        <v>112</v>
      </c>
      <c r="G384" s="1">
        <v>66815</v>
      </c>
    </row>
    <row r="385" spans="1:10" x14ac:dyDescent="0.35">
      <c r="A385" s="1" t="str">
        <f t="shared" si="5"/>
        <v>12 Cefuroxime ND 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2381</v>
      </c>
      <c r="D385" s="1" t="s">
        <v>2274</v>
      </c>
      <c r="E385" s="1" t="s">
        <v>2382</v>
      </c>
      <c r="F385" s="1" t="s">
        <v>112</v>
      </c>
      <c r="G385" s="1">
        <v>53642</v>
      </c>
    </row>
    <row r="386" spans="1:10" x14ac:dyDescent="0.35">
      <c r="A386" s="1" t="str">
        <f t="shared" ref="A386:A449" si="6">IFERROR(LEFT(RIGHT(C386,LEN(C386)-SEARCH("@",C386)),SEARCH("/",RIGHT(C386,LEN(C386)-SEARCH("@",C386)-1))),"")</f>
        <v>12 Cefuroxime ND 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2383</v>
      </c>
      <c r="D386" s="1" t="s">
        <v>2384</v>
      </c>
      <c r="E386" s="1" t="s">
        <v>2385</v>
      </c>
      <c r="F386" s="1" t="s">
        <v>112</v>
      </c>
      <c r="G386" s="1">
        <v>524330</v>
      </c>
    </row>
    <row r="387" spans="1:10" x14ac:dyDescent="0.35">
      <c r="A387" s="1" t="str">
        <f t="shared" si="6"/>
        <v>12 Cefuroxime ND 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2386</v>
      </c>
      <c r="D387" s="1" t="s">
        <v>2387</v>
      </c>
      <c r="E387" s="1" t="s">
        <v>2388</v>
      </c>
      <c r="F387" s="1" t="s">
        <v>112</v>
      </c>
      <c r="G387" s="1">
        <v>393340</v>
      </c>
    </row>
    <row r="388" spans="1:10" x14ac:dyDescent="0.35">
      <c r="A388" s="1" t="str">
        <f t="shared" si="6"/>
        <v>12 Cefuroxime ND 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2389</v>
      </c>
      <c r="D388" s="1" t="s">
        <v>1707</v>
      </c>
      <c r="E388" s="1" t="s">
        <v>2390</v>
      </c>
      <c r="F388" s="1" t="s">
        <v>112</v>
      </c>
      <c r="G388" s="1">
        <v>137977</v>
      </c>
    </row>
    <row r="389" spans="1:10"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234</v>
      </c>
      <c r="D390" s="1" t="s">
        <v>112</v>
      </c>
      <c r="E390" s="1" t="s">
        <v>235</v>
      </c>
      <c r="F390" s="1" t="s">
        <v>236</v>
      </c>
      <c r="G390" s="1" t="s">
        <v>237</v>
      </c>
      <c r="H390" s="1" t="s">
        <v>238</v>
      </c>
      <c r="I390" s="1" t="s">
        <v>239</v>
      </c>
      <c r="J390" s="1" t="s">
        <v>240</v>
      </c>
    </row>
    <row r="391" spans="1:10" x14ac:dyDescent="0.35">
      <c r="A391" s="1" t="str">
        <f t="shared" si="6"/>
        <v>12 Cefuroxime ND 10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2391</v>
      </c>
      <c r="D391" s="1" t="s">
        <v>112</v>
      </c>
      <c r="E391" s="1" t="s">
        <v>2392</v>
      </c>
      <c r="F391" s="1" t="s">
        <v>2393</v>
      </c>
      <c r="G391" s="1" t="s">
        <v>2394</v>
      </c>
      <c r="H391" s="1" t="s">
        <v>2395</v>
      </c>
      <c r="I391" s="1">
        <v>24</v>
      </c>
      <c r="J391" s="1">
        <v>24</v>
      </c>
    </row>
    <row r="392" spans="1:10"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246</v>
      </c>
      <c r="D397" s="1" t="s">
        <v>110</v>
      </c>
      <c r="E397" s="1" t="s">
        <v>111</v>
      </c>
      <c r="F397" s="1" t="s">
        <v>112</v>
      </c>
      <c r="G397" s="1" t="s">
        <v>113</v>
      </c>
    </row>
    <row r="398" spans="1:10" x14ac:dyDescent="0.3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2396</v>
      </c>
      <c r="D398" s="1" t="s">
        <v>2397</v>
      </c>
      <c r="E398" s="1" t="s">
        <v>2398</v>
      </c>
      <c r="F398" s="1" t="s">
        <v>112</v>
      </c>
      <c r="G398" s="1">
        <v>4519069</v>
      </c>
    </row>
    <row r="399" spans="1:10" x14ac:dyDescent="0.3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2399</v>
      </c>
      <c r="D399" s="1" t="s">
        <v>2400</v>
      </c>
      <c r="E399" s="1" t="s">
        <v>2401</v>
      </c>
      <c r="F399" s="1" t="s">
        <v>112</v>
      </c>
      <c r="G399" s="1">
        <v>4717372</v>
      </c>
    </row>
    <row r="400" spans="1:10" x14ac:dyDescent="0.3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2402</v>
      </c>
    </row>
    <row r="401" spans="1:7" x14ac:dyDescent="0.3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2403</v>
      </c>
      <c r="D401" s="1" t="s">
        <v>2404</v>
      </c>
      <c r="E401" s="1" t="s">
        <v>2405</v>
      </c>
      <c r="F401" s="1" t="s">
        <v>112</v>
      </c>
      <c r="G401" s="1">
        <v>2926179</v>
      </c>
    </row>
    <row r="402" spans="1:7" x14ac:dyDescent="0.3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2406</v>
      </c>
      <c r="D402" s="1" t="s">
        <v>2407</v>
      </c>
      <c r="E402" s="1" t="s">
        <v>2408</v>
      </c>
      <c r="F402" s="1" t="s">
        <v>112</v>
      </c>
      <c r="G402" s="1">
        <v>2455728</v>
      </c>
    </row>
    <row r="403" spans="1:7" x14ac:dyDescent="0.3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2409</v>
      </c>
      <c r="D403" s="1" t="s">
        <v>2410</v>
      </c>
      <c r="E403" s="1" t="s">
        <v>2411</v>
      </c>
      <c r="F403" s="1" t="s">
        <v>112</v>
      </c>
      <c r="G403" s="1">
        <v>2473357</v>
      </c>
    </row>
    <row r="404" spans="1:7" x14ac:dyDescent="0.3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2412</v>
      </c>
      <c r="D404" s="1" t="s">
        <v>2413</v>
      </c>
      <c r="E404" s="1" t="s">
        <v>2414</v>
      </c>
      <c r="F404" s="1" t="s">
        <v>112</v>
      </c>
      <c r="G404" s="1">
        <v>5033536</v>
      </c>
    </row>
    <row r="405" spans="1:7" x14ac:dyDescent="0.3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2415</v>
      </c>
      <c r="D405" s="1" t="s">
        <v>2416</v>
      </c>
      <c r="E405" s="1" t="s">
        <v>2417</v>
      </c>
      <c r="F405" s="1" t="s">
        <v>112</v>
      </c>
      <c r="G405" s="1">
        <v>5151981</v>
      </c>
    </row>
    <row r="406" spans="1:7" x14ac:dyDescent="0.3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2418</v>
      </c>
      <c r="D406" s="1" t="s">
        <v>2103</v>
      </c>
      <c r="E406" s="1" t="s">
        <v>2419</v>
      </c>
      <c r="F406" s="1" t="s">
        <v>112</v>
      </c>
      <c r="G406" s="1">
        <v>4676794</v>
      </c>
    </row>
    <row r="407" spans="1:7" x14ac:dyDescent="0.3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2420</v>
      </c>
      <c r="D407" s="1" t="s">
        <v>2421</v>
      </c>
      <c r="E407" s="1" t="s">
        <v>2422</v>
      </c>
      <c r="F407" s="1" t="s">
        <v>112</v>
      </c>
      <c r="G407" s="1">
        <v>2388741</v>
      </c>
    </row>
    <row r="408" spans="1:7" x14ac:dyDescent="0.3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2423</v>
      </c>
      <c r="D408" s="1" t="s">
        <v>2424</v>
      </c>
      <c r="E408" s="1" t="s">
        <v>2425</v>
      </c>
      <c r="F408" s="1" t="s">
        <v>112</v>
      </c>
      <c r="G408" s="1">
        <v>1999381</v>
      </c>
    </row>
    <row r="409" spans="1:7" x14ac:dyDescent="0.3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2426</v>
      </c>
      <c r="D409" s="1" t="s">
        <v>2427</v>
      </c>
      <c r="E409" s="1" t="s">
        <v>2428</v>
      </c>
      <c r="F409" s="1" t="s">
        <v>112</v>
      </c>
      <c r="G409" s="1">
        <v>1406030</v>
      </c>
    </row>
    <row r="410" spans="1:7" x14ac:dyDescent="0.3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2429</v>
      </c>
      <c r="D410" s="1" t="s">
        <v>2430</v>
      </c>
      <c r="E410" s="1" t="s">
        <v>2431</v>
      </c>
      <c r="F410" s="1" t="s">
        <v>112</v>
      </c>
      <c r="G410" s="1">
        <v>5550642</v>
      </c>
    </row>
    <row r="411" spans="1:7" x14ac:dyDescent="0.3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2432</v>
      </c>
    </row>
    <row r="412" spans="1:7" x14ac:dyDescent="0.3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2433</v>
      </c>
      <c r="D412" s="1" t="s">
        <v>2434</v>
      </c>
      <c r="E412" s="1" t="s">
        <v>2435</v>
      </c>
      <c r="F412" s="1" t="s">
        <v>112</v>
      </c>
      <c r="G412" s="1">
        <v>5411454</v>
      </c>
    </row>
    <row r="413" spans="1:7" x14ac:dyDescent="0.3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2436</v>
      </c>
      <c r="D413" s="1" t="s">
        <v>2437</v>
      </c>
      <c r="E413" s="1" t="s">
        <v>2438</v>
      </c>
      <c r="F413" s="1" t="s">
        <v>112</v>
      </c>
      <c r="G413" s="1">
        <v>469239</v>
      </c>
    </row>
    <row r="414" spans="1:7" x14ac:dyDescent="0.3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2439</v>
      </c>
      <c r="D414" s="1" t="s">
        <v>848</v>
      </c>
      <c r="E414" s="1" t="s">
        <v>2440</v>
      </c>
      <c r="F414" s="1" t="s">
        <v>112</v>
      </c>
      <c r="G414" s="1">
        <v>398834</v>
      </c>
    </row>
    <row r="415" spans="1:7" x14ac:dyDescent="0.3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2441</v>
      </c>
      <c r="D415" s="1" t="s">
        <v>2442</v>
      </c>
      <c r="E415" s="1" t="s">
        <v>2443</v>
      </c>
      <c r="F415" s="1" t="s">
        <v>112</v>
      </c>
      <c r="G415" s="1">
        <v>150263</v>
      </c>
    </row>
    <row r="416" spans="1:7" x14ac:dyDescent="0.3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2444</v>
      </c>
      <c r="D416" s="1" t="s">
        <v>2445</v>
      </c>
      <c r="E416" s="1" t="s">
        <v>2446</v>
      </c>
      <c r="F416" s="1" t="s">
        <v>112</v>
      </c>
      <c r="G416" s="1">
        <v>2964247</v>
      </c>
    </row>
    <row r="417" spans="1:10" x14ac:dyDescent="0.3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2447</v>
      </c>
      <c r="D417" s="1" t="s">
        <v>2448</v>
      </c>
      <c r="E417" s="1" t="s">
        <v>2449</v>
      </c>
      <c r="F417" s="1" t="s">
        <v>112</v>
      </c>
      <c r="G417" s="1">
        <v>2627318</v>
      </c>
    </row>
    <row r="418" spans="1:10" x14ac:dyDescent="0.3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2450</v>
      </c>
      <c r="D418" s="1" t="s">
        <v>2451</v>
      </c>
      <c r="E418" s="1" t="s">
        <v>2452</v>
      </c>
      <c r="F418" s="1" t="s">
        <v>112</v>
      </c>
      <c r="G418" s="1">
        <v>2701920</v>
      </c>
    </row>
    <row r="419" spans="1:10" x14ac:dyDescent="0.3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2453</v>
      </c>
      <c r="D419" s="1" t="s">
        <v>2454</v>
      </c>
      <c r="E419" s="1" t="s">
        <v>2455</v>
      </c>
      <c r="F419" s="1" t="s">
        <v>112</v>
      </c>
      <c r="G419" s="1">
        <v>2005718</v>
      </c>
    </row>
    <row r="420" spans="1:10" x14ac:dyDescent="0.3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2456</v>
      </c>
      <c r="D420" s="1" t="s">
        <v>2457</v>
      </c>
      <c r="E420" s="1" t="s">
        <v>2458</v>
      </c>
      <c r="F420" s="1" t="s">
        <v>112</v>
      </c>
      <c r="G420" s="1">
        <v>2099527</v>
      </c>
    </row>
    <row r="421" spans="1:10" x14ac:dyDescent="0.3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2459</v>
      </c>
      <c r="D421" s="1" t="s">
        <v>2460</v>
      </c>
      <c r="E421" s="1" t="s">
        <v>2461</v>
      </c>
      <c r="F421" s="1" t="s">
        <v>112</v>
      </c>
      <c r="G421" s="1">
        <v>1793205</v>
      </c>
    </row>
    <row r="422" spans="1:10"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234</v>
      </c>
      <c r="D423" s="1" t="s">
        <v>112</v>
      </c>
      <c r="E423" s="1" t="s">
        <v>235</v>
      </c>
      <c r="F423" s="1" t="s">
        <v>236</v>
      </c>
      <c r="G423" s="1" t="s">
        <v>237</v>
      </c>
      <c r="H423" s="1" t="s">
        <v>238</v>
      </c>
      <c r="I423" s="1" t="s">
        <v>239</v>
      </c>
      <c r="J423" s="1" t="s">
        <v>240</v>
      </c>
    </row>
    <row r="424" spans="1:10" x14ac:dyDescent="0.3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2462</v>
      </c>
      <c r="D424" s="1" t="s">
        <v>112</v>
      </c>
      <c r="E424" s="1" t="s">
        <v>2463</v>
      </c>
      <c r="F424" s="1" t="s">
        <v>2464</v>
      </c>
      <c r="G424" s="1" t="s">
        <v>2465</v>
      </c>
      <c r="H424" s="1" t="s">
        <v>2466</v>
      </c>
      <c r="I424" s="1">
        <v>24</v>
      </c>
      <c r="J424" s="1">
        <v>24</v>
      </c>
    </row>
    <row r="425" spans="1:10"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246</v>
      </c>
      <c r="D430" s="1" t="s">
        <v>110</v>
      </c>
      <c r="E430" s="1" t="s">
        <v>111</v>
      </c>
      <c r="F430" s="1" t="s">
        <v>112</v>
      </c>
      <c r="G430" s="1" t="s">
        <v>113</v>
      </c>
    </row>
    <row r="431" spans="1:10" x14ac:dyDescent="0.3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2467</v>
      </c>
      <c r="D431" s="1" t="s">
        <v>2468</v>
      </c>
      <c r="E431" s="1" t="s">
        <v>2469</v>
      </c>
      <c r="F431" s="1" t="s">
        <v>112</v>
      </c>
      <c r="G431" s="1">
        <v>841251</v>
      </c>
    </row>
    <row r="432" spans="1:10" x14ac:dyDescent="0.3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2470</v>
      </c>
      <c r="D432" s="1" t="s">
        <v>2471</v>
      </c>
      <c r="E432" s="1" t="s">
        <v>2472</v>
      </c>
      <c r="F432" s="1" t="s">
        <v>112</v>
      </c>
      <c r="G432" s="1">
        <v>1040657</v>
      </c>
    </row>
    <row r="433" spans="1:7" x14ac:dyDescent="0.3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2473</v>
      </c>
      <c r="D433" s="1" t="s">
        <v>2474</v>
      </c>
      <c r="E433" s="1" t="s">
        <v>2475</v>
      </c>
      <c r="F433" s="1" t="s">
        <v>112</v>
      </c>
      <c r="G433" s="1">
        <v>788107</v>
      </c>
    </row>
    <row r="434" spans="1:7" x14ac:dyDescent="0.3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2476</v>
      </c>
      <c r="D434" s="1" t="s">
        <v>2477</v>
      </c>
      <c r="E434" s="1" t="s">
        <v>2478</v>
      </c>
      <c r="F434" s="1" t="s">
        <v>112</v>
      </c>
      <c r="G434" s="1">
        <v>4005813</v>
      </c>
    </row>
    <row r="435" spans="1:7" x14ac:dyDescent="0.3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2479</v>
      </c>
      <c r="D435" s="1" t="s">
        <v>602</v>
      </c>
      <c r="E435" s="1" t="s">
        <v>2480</v>
      </c>
      <c r="F435" s="1" t="s">
        <v>112</v>
      </c>
      <c r="G435" s="1">
        <v>3414127</v>
      </c>
    </row>
    <row r="436" spans="1:7" x14ac:dyDescent="0.3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2481</v>
      </c>
      <c r="D436" s="1" t="s">
        <v>2482</v>
      </c>
      <c r="E436" s="1" t="s">
        <v>2483</v>
      </c>
      <c r="F436" s="1" t="s">
        <v>112</v>
      </c>
      <c r="G436" s="1">
        <v>3917023</v>
      </c>
    </row>
    <row r="437" spans="1:7" x14ac:dyDescent="0.3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2484</v>
      </c>
      <c r="D437" s="1" t="s">
        <v>2485</v>
      </c>
      <c r="E437" s="1" t="s">
        <v>2486</v>
      </c>
      <c r="F437" s="1" t="s">
        <v>112</v>
      </c>
      <c r="G437" s="1">
        <v>2693528</v>
      </c>
    </row>
    <row r="438" spans="1:7" x14ac:dyDescent="0.3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2487</v>
      </c>
      <c r="D438" s="1" t="s">
        <v>2488</v>
      </c>
      <c r="E438" s="1" t="s">
        <v>2489</v>
      </c>
      <c r="F438" s="1" t="s">
        <v>112</v>
      </c>
      <c r="G438" s="1">
        <v>2563164</v>
      </c>
    </row>
    <row r="439" spans="1:7" x14ac:dyDescent="0.3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2490</v>
      </c>
    </row>
    <row r="440" spans="1:7" x14ac:dyDescent="0.3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2491</v>
      </c>
      <c r="D440" s="1" t="s">
        <v>2492</v>
      </c>
      <c r="E440" s="1" t="s">
        <v>2493</v>
      </c>
      <c r="F440" s="1" t="s">
        <v>112</v>
      </c>
      <c r="G440" s="1">
        <v>687658</v>
      </c>
    </row>
    <row r="441" spans="1:7" x14ac:dyDescent="0.3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2494</v>
      </c>
      <c r="D441" s="1" t="s">
        <v>2495</v>
      </c>
      <c r="E441" s="1" t="s">
        <v>2496</v>
      </c>
      <c r="F441" s="1" t="s">
        <v>112</v>
      </c>
      <c r="G441" s="1">
        <v>694147</v>
      </c>
    </row>
    <row r="442" spans="1:7" x14ac:dyDescent="0.3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2497</v>
      </c>
      <c r="D442" s="1" t="s">
        <v>2498</v>
      </c>
      <c r="E442" s="1" t="s">
        <v>2499</v>
      </c>
      <c r="F442" s="1" t="s">
        <v>112</v>
      </c>
      <c r="G442" s="1">
        <v>460587</v>
      </c>
    </row>
    <row r="443" spans="1:7" x14ac:dyDescent="0.3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2500</v>
      </c>
      <c r="D443" s="1" t="s">
        <v>2501</v>
      </c>
      <c r="E443" s="1" t="s">
        <v>2502</v>
      </c>
      <c r="F443" s="1" t="s">
        <v>112</v>
      </c>
      <c r="G443" s="1">
        <v>2006757</v>
      </c>
    </row>
    <row r="444" spans="1:7" x14ac:dyDescent="0.3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2503</v>
      </c>
      <c r="D444" s="1" t="s">
        <v>2504</v>
      </c>
      <c r="E444" s="1" t="s">
        <v>2505</v>
      </c>
      <c r="F444" s="1" t="s">
        <v>112</v>
      </c>
      <c r="G444" s="1">
        <v>1604138</v>
      </c>
    </row>
    <row r="445" spans="1:7" x14ac:dyDescent="0.3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2506</v>
      </c>
      <c r="D445" s="1" t="s">
        <v>2507</v>
      </c>
      <c r="E445" s="1" t="s">
        <v>2508</v>
      </c>
      <c r="F445" s="1" t="s">
        <v>112</v>
      </c>
      <c r="G445" s="1">
        <v>1682763</v>
      </c>
    </row>
    <row r="446" spans="1:7" x14ac:dyDescent="0.3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2509</v>
      </c>
      <c r="D446" s="1" t="s">
        <v>2510</v>
      </c>
      <c r="E446" s="1" t="s">
        <v>2511</v>
      </c>
      <c r="F446" s="1" t="s">
        <v>112</v>
      </c>
      <c r="G446" s="1">
        <v>2419585</v>
      </c>
    </row>
    <row r="447" spans="1:7" x14ac:dyDescent="0.3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2512</v>
      </c>
      <c r="D447" s="1" t="s">
        <v>2513</v>
      </c>
      <c r="E447" s="1" t="s">
        <v>2514</v>
      </c>
      <c r="F447" s="1" t="s">
        <v>112</v>
      </c>
      <c r="G447" s="1">
        <v>2933706</v>
      </c>
    </row>
    <row r="448" spans="1:7" x14ac:dyDescent="0.3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2515</v>
      </c>
      <c r="D448" s="1" t="s">
        <v>2516</v>
      </c>
      <c r="E448" s="1" t="s">
        <v>2517</v>
      </c>
      <c r="F448" s="1" t="s">
        <v>112</v>
      </c>
      <c r="G448" s="1">
        <v>2922696</v>
      </c>
    </row>
    <row r="449" spans="1:10" x14ac:dyDescent="0.3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2518</v>
      </c>
      <c r="D449" s="1" t="s">
        <v>2519</v>
      </c>
      <c r="E449" s="1" t="s">
        <v>2520</v>
      </c>
      <c r="F449" s="1" t="s">
        <v>112</v>
      </c>
      <c r="G449" s="1">
        <v>2634889</v>
      </c>
    </row>
    <row r="450" spans="1:10" x14ac:dyDescent="0.3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2521</v>
      </c>
      <c r="D450" s="1" t="s">
        <v>2522</v>
      </c>
      <c r="E450" s="1" t="s">
        <v>2523</v>
      </c>
      <c r="F450" s="1" t="s">
        <v>112</v>
      </c>
      <c r="G450" s="1">
        <v>3009108</v>
      </c>
    </row>
    <row r="451" spans="1:10" x14ac:dyDescent="0.3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2524</v>
      </c>
      <c r="D451" s="1" t="s">
        <v>2525</v>
      </c>
      <c r="E451" s="1" t="s">
        <v>2526</v>
      </c>
      <c r="F451" s="1" t="s">
        <v>112</v>
      </c>
      <c r="G451" s="1">
        <v>2811930</v>
      </c>
    </row>
    <row r="452" spans="1:10" x14ac:dyDescent="0.3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2527</v>
      </c>
      <c r="D452" s="1" t="s">
        <v>2147</v>
      </c>
      <c r="E452" s="1" t="s">
        <v>2528</v>
      </c>
      <c r="F452" s="1" t="s">
        <v>112</v>
      </c>
      <c r="G452" s="1">
        <v>125129</v>
      </c>
    </row>
    <row r="453" spans="1:10" x14ac:dyDescent="0.3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2529</v>
      </c>
      <c r="D453" s="1" t="s">
        <v>2530</v>
      </c>
      <c r="E453" s="1" t="s">
        <v>2531</v>
      </c>
      <c r="F453" s="1" t="s">
        <v>112</v>
      </c>
      <c r="G453" s="1">
        <v>223350</v>
      </c>
    </row>
    <row r="454" spans="1:10" x14ac:dyDescent="0.3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2532</v>
      </c>
      <c r="D454" s="1" t="s">
        <v>2533</v>
      </c>
      <c r="E454" s="1" t="s">
        <v>2534</v>
      </c>
      <c r="F454" s="1" t="s">
        <v>112</v>
      </c>
      <c r="G454" s="1">
        <v>174705</v>
      </c>
    </row>
    <row r="455" spans="1:10"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234</v>
      </c>
      <c r="D456" s="1" t="s">
        <v>112</v>
      </c>
      <c r="E456" s="1" t="s">
        <v>235</v>
      </c>
      <c r="F456" s="1" t="s">
        <v>236</v>
      </c>
      <c r="G456" s="1" t="s">
        <v>237</v>
      </c>
      <c r="H456" s="1" t="s">
        <v>238</v>
      </c>
      <c r="I456" s="1" t="s">
        <v>239</v>
      </c>
      <c r="J456" s="1" t="s">
        <v>240</v>
      </c>
    </row>
    <row r="457" spans="1:10" x14ac:dyDescent="0.3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2535</v>
      </c>
      <c r="D457" s="1" t="s">
        <v>112</v>
      </c>
      <c r="E457" s="1" t="s">
        <v>2536</v>
      </c>
      <c r="F457" s="1" t="s">
        <v>2537</v>
      </c>
      <c r="G457" s="1" t="s">
        <v>2538</v>
      </c>
      <c r="H457" s="1" t="s">
        <v>2539</v>
      </c>
      <c r="I457" s="1">
        <v>24</v>
      </c>
      <c r="J457" s="1">
        <v>24</v>
      </c>
    </row>
    <row r="458" spans="1:10"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246</v>
      </c>
      <c r="D463" s="1" t="s">
        <v>110</v>
      </c>
      <c r="E463" s="1" t="s">
        <v>111</v>
      </c>
      <c r="F463" s="1" t="s">
        <v>112</v>
      </c>
      <c r="G463" s="1" t="s">
        <v>113</v>
      </c>
    </row>
    <row r="464" spans="1:10" x14ac:dyDescent="0.35">
      <c r="A464" s="1" t="str">
        <f t="shared" si="7"/>
        <v>03 Testo + E2</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2540</v>
      </c>
    </row>
    <row r="465" spans="1:7" x14ac:dyDescent="0.35">
      <c r="A465" s="1" t="str">
        <f t="shared" si="7"/>
        <v>03 Testo + 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2541</v>
      </c>
      <c r="D465" s="1" t="s">
        <v>2542</v>
      </c>
      <c r="E465" s="1" t="s">
        <v>2543</v>
      </c>
      <c r="F465" s="1" t="s">
        <v>112</v>
      </c>
      <c r="G465" s="1">
        <v>1816998</v>
      </c>
    </row>
    <row r="466" spans="1:7" x14ac:dyDescent="0.35">
      <c r="A466" s="1" t="str">
        <f t="shared" si="7"/>
        <v>03 Testo + 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2544</v>
      </c>
      <c r="D466" s="1" t="s">
        <v>2545</v>
      </c>
      <c r="E466" s="1" t="s">
        <v>2546</v>
      </c>
      <c r="F466" s="1" t="s">
        <v>112</v>
      </c>
      <c r="G466" s="1">
        <v>1602818</v>
      </c>
    </row>
    <row r="467" spans="1:7" x14ac:dyDescent="0.35">
      <c r="A467" s="1" t="str">
        <f t="shared" si="7"/>
        <v>03 Testo + 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2547</v>
      </c>
    </row>
    <row r="468" spans="1:7" x14ac:dyDescent="0.35">
      <c r="A468" s="1" t="str">
        <f t="shared" si="7"/>
        <v>03 Testo + 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2548</v>
      </c>
      <c r="D468" s="1" t="s">
        <v>513</v>
      </c>
      <c r="E468" s="1" t="s">
        <v>2549</v>
      </c>
      <c r="F468" s="1" t="s">
        <v>112</v>
      </c>
      <c r="G468" s="1">
        <v>1495296</v>
      </c>
    </row>
    <row r="469" spans="1:7" x14ac:dyDescent="0.35">
      <c r="A469" s="1" t="str">
        <f t="shared" si="7"/>
        <v>03 Testo + 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2550</v>
      </c>
      <c r="D469" s="1" t="s">
        <v>2551</v>
      </c>
      <c r="E469" s="1" t="s">
        <v>2552</v>
      </c>
      <c r="F469" s="1" t="s">
        <v>112</v>
      </c>
      <c r="G469" s="1">
        <v>1091747</v>
      </c>
    </row>
    <row r="470" spans="1:7" x14ac:dyDescent="0.35">
      <c r="A470" s="1" t="str">
        <f t="shared" si="7"/>
        <v>03 Testo + 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2553</v>
      </c>
      <c r="D470" s="1" t="s">
        <v>2554</v>
      </c>
      <c r="E470" s="1" t="s">
        <v>2555</v>
      </c>
      <c r="F470" s="1" t="s">
        <v>112</v>
      </c>
      <c r="G470" s="1">
        <v>4693341</v>
      </c>
    </row>
    <row r="471" spans="1:7" x14ac:dyDescent="0.35">
      <c r="A471" s="1" t="str">
        <f t="shared" si="7"/>
        <v>03 Testo + 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2556</v>
      </c>
      <c r="D471" s="1" t="s">
        <v>2557</v>
      </c>
      <c r="E471" s="1" t="s">
        <v>2558</v>
      </c>
      <c r="F471" s="1" t="s">
        <v>112</v>
      </c>
      <c r="G471" s="1">
        <v>4546041</v>
      </c>
    </row>
    <row r="472" spans="1:7" x14ac:dyDescent="0.35">
      <c r="A472" s="1" t="str">
        <f t="shared" si="7"/>
        <v>03 Testo + 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2559</v>
      </c>
      <c r="D472" s="1" t="s">
        <v>2560</v>
      </c>
      <c r="E472" s="1" t="s">
        <v>2561</v>
      </c>
      <c r="F472" s="1" t="s">
        <v>112</v>
      </c>
      <c r="G472" s="1">
        <v>3972828</v>
      </c>
    </row>
    <row r="473" spans="1:7" x14ac:dyDescent="0.35">
      <c r="A473" s="1" t="str">
        <f t="shared" si="7"/>
        <v>03 Testo + 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2562</v>
      </c>
      <c r="D473" s="1" t="s">
        <v>522</v>
      </c>
      <c r="E473" s="1" t="s">
        <v>2563</v>
      </c>
      <c r="F473" s="1" t="s">
        <v>112</v>
      </c>
      <c r="G473" s="1">
        <v>5038489</v>
      </c>
    </row>
    <row r="474" spans="1:7" x14ac:dyDescent="0.35">
      <c r="A474" s="1" t="str">
        <f t="shared" si="7"/>
        <v>03 Testo + 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2564</v>
      </c>
      <c r="D474" s="1" t="s">
        <v>2565</v>
      </c>
      <c r="E474" s="1" t="s">
        <v>2566</v>
      </c>
      <c r="F474" s="1" t="s">
        <v>112</v>
      </c>
      <c r="G474" s="1">
        <v>4614111</v>
      </c>
    </row>
    <row r="475" spans="1:7" x14ac:dyDescent="0.35">
      <c r="A475" s="1" t="str">
        <f t="shared" si="7"/>
        <v>03 Testo + 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2567</v>
      </c>
      <c r="D475" s="1" t="s">
        <v>2568</v>
      </c>
      <c r="E475" s="1" t="s">
        <v>2569</v>
      </c>
      <c r="F475" s="1" t="s">
        <v>112</v>
      </c>
      <c r="G475" s="1">
        <v>4952467</v>
      </c>
    </row>
    <row r="476" spans="1:7" x14ac:dyDescent="0.35">
      <c r="A476" s="1" t="str">
        <f t="shared" si="7"/>
        <v>03 Testo + 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2570</v>
      </c>
      <c r="D476" s="1" t="s">
        <v>2571</v>
      </c>
      <c r="E476" s="1" t="s">
        <v>2572</v>
      </c>
      <c r="F476" s="1" t="s">
        <v>112</v>
      </c>
      <c r="G476" s="1">
        <v>2431654</v>
      </c>
    </row>
    <row r="477" spans="1:7" x14ac:dyDescent="0.35">
      <c r="A477" s="1" t="str">
        <f t="shared" si="7"/>
        <v>03 Testo + 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2573</v>
      </c>
      <c r="D477" s="1" t="s">
        <v>2574</v>
      </c>
      <c r="E477" s="1" t="s">
        <v>2575</v>
      </c>
      <c r="F477" s="1" t="s">
        <v>112</v>
      </c>
      <c r="G477" s="1">
        <v>2345308</v>
      </c>
    </row>
    <row r="478" spans="1:7" x14ac:dyDescent="0.35">
      <c r="A478" s="1" t="str">
        <f t="shared" si="7"/>
        <v>03 Testo + 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2576</v>
      </c>
      <c r="D478" s="1" t="s">
        <v>2577</v>
      </c>
      <c r="E478" s="1" t="s">
        <v>2578</v>
      </c>
      <c r="F478" s="1" t="s">
        <v>112</v>
      </c>
      <c r="G478" s="1">
        <v>2330383</v>
      </c>
    </row>
    <row r="479" spans="1:7" x14ac:dyDescent="0.35">
      <c r="A479" s="1" t="str">
        <f t="shared" si="7"/>
        <v>03 Testo + 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2579</v>
      </c>
      <c r="D479" s="1" t="s">
        <v>2580</v>
      </c>
      <c r="E479" s="1" t="s">
        <v>2581</v>
      </c>
      <c r="F479" s="1" t="s">
        <v>112</v>
      </c>
      <c r="G479" s="1">
        <v>5094987</v>
      </c>
    </row>
    <row r="480" spans="1:7" x14ac:dyDescent="0.35">
      <c r="A480" s="1" t="str">
        <f t="shared" si="7"/>
        <v>03 Testo + 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2582</v>
      </c>
      <c r="D480" s="1" t="s">
        <v>2583</v>
      </c>
      <c r="E480" s="1" t="s">
        <v>2584</v>
      </c>
      <c r="F480" s="1" t="s">
        <v>112</v>
      </c>
      <c r="G480" s="1">
        <v>5255653</v>
      </c>
    </row>
    <row r="481" spans="1:10" x14ac:dyDescent="0.35">
      <c r="A481" s="1" t="str">
        <f t="shared" si="7"/>
        <v>03 Testo + 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2585</v>
      </c>
      <c r="D481" s="1" t="s">
        <v>2586</v>
      </c>
      <c r="E481" s="1" t="s">
        <v>2587</v>
      </c>
      <c r="F481" s="1" t="s">
        <v>112</v>
      </c>
      <c r="G481" s="1">
        <v>4959302</v>
      </c>
    </row>
    <row r="482" spans="1:10" x14ac:dyDescent="0.35">
      <c r="A482" s="1" t="str">
        <f t="shared" si="7"/>
        <v>03 Testo + 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2588</v>
      </c>
      <c r="D482" s="1" t="s">
        <v>2589</v>
      </c>
      <c r="E482" s="1" t="s">
        <v>2590</v>
      </c>
      <c r="F482" s="1" t="s">
        <v>112</v>
      </c>
      <c r="G482" s="1">
        <v>2498794</v>
      </c>
    </row>
    <row r="483" spans="1:10" x14ac:dyDescent="0.35">
      <c r="A483" s="1" t="str">
        <f t="shared" si="7"/>
        <v>03 Testo + 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2591</v>
      </c>
      <c r="D483" s="1" t="s">
        <v>1059</v>
      </c>
      <c r="E483" s="1" t="s">
        <v>2592</v>
      </c>
      <c r="F483" s="1" t="s">
        <v>112</v>
      </c>
      <c r="G483" s="1">
        <v>2869941</v>
      </c>
    </row>
    <row r="484" spans="1:10" x14ac:dyDescent="0.35">
      <c r="A484" s="1" t="str">
        <f t="shared" si="7"/>
        <v>03 Testo + 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2593</v>
      </c>
      <c r="D484" s="1" t="s">
        <v>2594</v>
      </c>
      <c r="E484" s="1" t="s">
        <v>2595</v>
      </c>
      <c r="F484" s="1" t="s">
        <v>112</v>
      </c>
      <c r="G484" s="1">
        <v>2641443</v>
      </c>
    </row>
    <row r="485" spans="1:10" x14ac:dyDescent="0.35">
      <c r="A485" s="1" t="str">
        <f t="shared" si="7"/>
        <v>03 Testo + 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2596</v>
      </c>
      <c r="D485" s="1" t="s">
        <v>2597</v>
      </c>
      <c r="E485" s="1" t="s">
        <v>2598</v>
      </c>
      <c r="F485" s="1" t="s">
        <v>112</v>
      </c>
      <c r="G485" s="1">
        <v>2886315</v>
      </c>
    </row>
    <row r="486" spans="1:10" x14ac:dyDescent="0.35">
      <c r="A486" s="1" t="str">
        <f t="shared" si="7"/>
        <v>03 Testo + 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2599</v>
      </c>
      <c r="D486" s="1" t="s">
        <v>2600</v>
      </c>
      <c r="E486" s="1" t="s">
        <v>2601</v>
      </c>
      <c r="F486" s="1" t="s">
        <v>112</v>
      </c>
      <c r="G486" s="1">
        <v>3176155</v>
      </c>
    </row>
    <row r="487" spans="1:10" x14ac:dyDescent="0.35">
      <c r="A487" s="1" t="str">
        <f t="shared" si="7"/>
        <v>03 Testo + 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2602</v>
      </c>
      <c r="D487" s="1" t="s">
        <v>2603</v>
      </c>
      <c r="E487" s="1" t="s">
        <v>2604</v>
      </c>
      <c r="F487" s="1" t="s">
        <v>112</v>
      </c>
      <c r="G487" s="1">
        <v>3164086</v>
      </c>
    </row>
    <row r="488" spans="1:10"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234</v>
      </c>
      <c r="D489" s="1" t="s">
        <v>112</v>
      </c>
      <c r="E489" s="1" t="s">
        <v>235</v>
      </c>
      <c r="F489" s="1" t="s">
        <v>236</v>
      </c>
      <c r="G489" s="1" t="s">
        <v>237</v>
      </c>
      <c r="H489" s="1" t="s">
        <v>238</v>
      </c>
      <c r="I489" s="1" t="s">
        <v>239</v>
      </c>
      <c r="J489" s="1" t="s">
        <v>240</v>
      </c>
    </row>
    <row r="490" spans="1:10" x14ac:dyDescent="0.35">
      <c r="A490" s="1" t="str">
        <f t="shared" si="7"/>
        <v>03 Testo + E2</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2605</v>
      </c>
      <c r="D490" s="1" t="s">
        <v>112</v>
      </c>
      <c r="E490" s="1" t="s">
        <v>2606</v>
      </c>
      <c r="F490" s="1" t="s">
        <v>2607</v>
      </c>
      <c r="G490" s="1" t="s">
        <v>2608</v>
      </c>
      <c r="H490" s="1" t="s">
        <v>2609</v>
      </c>
      <c r="I490" s="1">
        <v>24</v>
      </c>
      <c r="J490" s="1">
        <v>24</v>
      </c>
    </row>
    <row r="491" spans="1:10"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246</v>
      </c>
      <c r="D496" s="1" t="s">
        <v>110</v>
      </c>
      <c r="E496" s="1" t="s">
        <v>111</v>
      </c>
      <c r="F496" s="1" t="s">
        <v>112</v>
      </c>
      <c r="G496" s="1" t="s">
        <v>113</v>
      </c>
    </row>
    <row r="497" spans="1:7" x14ac:dyDescent="0.35">
      <c r="A497" s="1" t="str">
        <f t="shared" si="7"/>
        <v>04 Testo +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2610</v>
      </c>
      <c r="D497" s="1" t="s">
        <v>1004</v>
      </c>
      <c r="E497" s="1" t="s">
        <v>2611</v>
      </c>
      <c r="F497" s="1" t="s">
        <v>112</v>
      </c>
      <c r="G497" s="1">
        <v>438568</v>
      </c>
    </row>
    <row r="498" spans="1:7" x14ac:dyDescent="0.35">
      <c r="A498" s="1" t="str">
        <f t="shared" si="7"/>
        <v>04 Testo +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2612</v>
      </c>
      <c r="D498" s="1" t="s">
        <v>2613</v>
      </c>
      <c r="E498" s="1" t="s">
        <v>2614</v>
      </c>
      <c r="F498" s="1" t="s">
        <v>112</v>
      </c>
      <c r="G498" s="1">
        <v>611499</v>
      </c>
    </row>
    <row r="499" spans="1:7" x14ac:dyDescent="0.35">
      <c r="A499" s="1" t="str">
        <f t="shared" si="7"/>
        <v>04 Testo +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2615</v>
      </c>
      <c r="D499" s="1" t="s">
        <v>2616</v>
      </c>
      <c r="E499" s="1" t="s">
        <v>2617</v>
      </c>
      <c r="F499" s="1" t="s">
        <v>112</v>
      </c>
      <c r="G499" s="1">
        <v>614397</v>
      </c>
    </row>
    <row r="500" spans="1:7" x14ac:dyDescent="0.35">
      <c r="A500" s="1" t="str">
        <f t="shared" si="7"/>
        <v>04 Testo +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2618</v>
      </c>
      <c r="D500" s="1" t="s">
        <v>2147</v>
      </c>
      <c r="E500" s="1" t="s">
        <v>2619</v>
      </c>
      <c r="F500" s="1" t="s">
        <v>112</v>
      </c>
      <c r="G500" s="1">
        <v>126470</v>
      </c>
    </row>
    <row r="501" spans="1:7" x14ac:dyDescent="0.35">
      <c r="A501" s="1" t="str">
        <f t="shared" si="7"/>
        <v>04 Testo +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2620</v>
      </c>
      <c r="D501" s="1" t="s">
        <v>921</v>
      </c>
      <c r="E501" s="1" t="s">
        <v>2621</v>
      </c>
      <c r="F501" s="1" t="s">
        <v>112</v>
      </c>
      <c r="G501" s="1">
        <v>47737</v>
      </c>
    </row>
    <row r="502" spans="1:7" x14ac:dyDescent="0.35">
      <c r="A502" s="1" t="str">
        <f t="shared" si="7"/>
        <v>04 Testo +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2622</v>
      </c>
      <c r="D502" s="1" t="s">
        <v>330</v>
      </c>
      <c r="E502" s="1" t="s">
        <v>2623</v>
      </c>
      <c r="F502" s="1" t="s">
        <v>112</v>
      </c>
      <c r="G502" s="1">
        <v>219024</v>
      </c>
    </row>
    <row r="503" spans="1:7" x14ac:dyDescent="0.35">
      <c r="A503" s="1" t="str">
        <f t="shared" si="7"/>
        <v>04 Testo +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2624</v>
      </c>
      <c r="D503" s="1" t="s">
        <v>831</v>
      </c>
      <c r="E503" s="1" t="s">
        <v>2625</v>
      </c>
      <c r="F503" s="1" t="s">
        <v>112</v>
      </c>
      <c r="G503" s="1">
        <v>148122</v>
      </c>
    </row>
    <row r="504" spans="1:7" x14ac:dyDescent="0.35">
      <c r="A504" s="1" t="str">
        <f t="shared" si="7"/>
        <v>04 Testo +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2626</v>
      </c>
      <c r="D504" s="1" t="s">
        <v>232</v>
      </c>
      <c r="E504" s="1" t="s">
        <v>2627</v>
      </c>
      <c r="F504" s="1" t="s">
        <v>112</v>
      </c>
      <c r="G504" s="1">
        <v>84011</v>
      </c>
    </row>
    <row r="505" spans="1:7" x14ac:dyDescent="0.35">
      <c r="A505" s="1" t="str">
        <f t="shared" si="7"/>
        <v>04 Testo +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2628</v>
      </c>
      <c r="D505" s="1" t="s">
        <v>809</v>
      </c>
      <c r="E505" s="1" t="s">
        <v>2629</v>
      </c>
      <c r="F505" s="1" t="s">
        <v>112</v>
      </c>
      <c r="G505" s="1">
        <v>50116</v>
      </c>
    </row>
    <row r="506" spans="1:7" x14ac:dyDescent="0.35">
      <c r="A506" s="1" t="str">
        <f t="shared" si="7"/>
        <v>04 Testo +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2630</v>
      </c>
    </row>
    <row r="507" spans="1:7" x14ac:dyDescent="0.35">
      <c r="A507" s="1" t="str">
        <f t="shared" si="7"/>
        <v>04 Testo +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2631</v>
      </c>
      <c r="D507" s="1" t="s">
        <v>2632</v>
      </c>
      <c r="E507" s="1" t="s">
        <v>2633</v>
      </c>
      <c r="F507" s="1" t="s">
        <v>112</v>
      </c>
      <c r="G507" s="1">
        <v>436816</v>
      </c>
    </row>
    <row r="508" spans="1:7" x14ac:dyDescent="0.35">
      <c r="A508" s="1" t="str">
        <f t="shared" si="7"/>
        <v>04 Testo +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2634</v>
      </c>
      <c r="D508" s="1" t="s">
        <v>2635</v>
      </c>
      <c r="E508" s="1" t="s">
        <v>2636</v>
      </c>
      <c r="F508" s="1" t="s">
        <v>112</v>
      </c>
      <c r="G508" s="1">
        <v>592205</v>
      </c>
    </row>
    <row r="509" spans="1:7" x14ac:dyDescent="0.35">
      <c r="A509" s="1" t="str">
        <f t="shared" si="7"/>
        <v>04 Testo +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2637</v>
      </c>
      <c r="D509" s="1" t="s">
        <v>2638</v>
      </c>
      <c r="E509" s="1" t="s">
        <v>2639</v>
      </c>
      <c r="F509" s="1" t="s">
        <v>112</v>
      </c>
      <c r="G509" s="1">
        <v>363188</v>
      </c>
    </row>
    <row r="510" spans="1:7" x14ac:dyDescent="0.35">
      <c r="A510" s="1" t="str">
        <f t="shared" si="7"/>
        <v>04 Testo +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2640</v>
      </c>
      <c r="D510" s="1" t="s">
        <v>733</v>
      </c>
      <c r="E510" s="1" t="s">
        <v>2641</v>
      </c>
      <c r="F510" s="1" t="s">
        <v>112</v>
      </c>
      <c r="G510" s="1">
        <v>214158</v>
      </c>
    </row>
    <row r="511" spans="1:7" x14ac:dyDescent="0.35">
      <c r="A511" s="1" t="str">
        <f t="shared" si="7"/>
        <v>04 Testo +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2642</v>
      </c>
      <c r="D511" s="1" t="s">
        <v>692</v>
      </c>
      <c r="E511" s="1" t="s">
        <v>2643</v>
      </c>
      <c r="F511" s="1" t="s">
        <v>112</v>
      </c>
      <c r="G511" s="1">
        <v>338984</v>
      </c>
    </row>
    <row r="512" spans="1:7" x14ac:dyDescent="0.35">
      <c r="A512" s="1" t="str">
        <f t="shared" si="7"/>
        <v>04 Testo +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2644</v>
      </c>
      <c r="D512" s="1" t="s">
        <v>2645</v>
      </c>
      <c r="E512" s="1" t="s">
        <v>2646</v>
      </c>
      <c r="F512" s="1" t="s">
        <v>112</v>
      </c>
      <c r="G512" s="1">
        <v>396692</v>
      </c>
    </row>
    <row r="513" spans="1:10" x14ac:dyDescent="0.35">
      <c r="A513" s="1" t="str">
        <f t="shared" si="7"/>
        <v>04 Testo +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2647</v>
      </c>
      <c r="D513" s="1" t="s">
        <v>985</v>
      </c>
      <c r="E513" s="1" t="s">
        <v>2648</v>
      </c>
      <c r="F513" s="1" t="s">
        <v>112</v>
      </c>
      <c r="G513" s="1">
        <v>264728</v>
      </c>
    </row>
    <row r="514" spans="1:10" x14ac:dyDescent="0.35">
      <c r="A514" s="1" t="str">
        <f t="shared" ref="A514:A577" si="8">IFERROR(LEFT(RIGHT(C514,LEN(C514)-SEARCH("@",C514)),SEARCH("/",RIGHT(C514,LEN(C514)-SEARCH("@",C514)-1))),"")</f>
        <v>04 Testo +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2649</v>
      </c>
      <c r="D514" s="1" t="s">
        <v>2650</v>
      </c>
      <c r="E514" s="1" t="s">
        <v>2651</v>
      </c>
      <c r="F514" s="1" t="s">
        <v>112</v>
      </c>
      <c r="G514" s="1">
        <v>901621</v>
      </c>
    </row>
    <row r="515" spans="1:10" x14ac:dyDescent="0.35">
      <c r="A515" s="1" t="str">
        <f t="shared" si="8"/>
        <v>04 Testo +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2652</v>
      </c>
      <c r="D515" s="1" t="s">
        <v>994</v>
      </c>
      <c r="E515" s="1" t="s">
        <v>2653</v>
      </c>
      <c r="F515" s="1" t="s">
        <v>112</v>
      </c>
      <c r="G515" s="1">
        <v>59936</v>
      </c>
    </row>
    <row r="516" spans="1:10" x14ac:dyDescent="0.35">
      <c r="A516" s="1" t="str">
        <f t="shared" si="8"/>
        <v>04 Testo +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2654</v>
      </c>
      <c r="D516" s="1" t="s">
        <v>1259</v>
      </c>
      <c r="E516" s="1" t="s">
        <v>2128</v>
      </c>
      <c r="F516" s="1" t="s">
        <v>112</v>
      </c>
      <c r="G516" s="1">
        <v>55675</v>
      </c>
    </row>
    <row r="517" spans="1:10" x14ac:dyDescent="0.35">
      <c r="A517" s="1" t="str">
        <f t="shared" si="8"/>
        <v>04 Testo +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2655</v>
      </c>
      <c r="D517" s="1" t="s">
        <v>598</v>
      </c>
      <c r="E517" s="1" t="s">
        <v>1018</v>
      </c>
      <c r="F517" s="1" t="s">
        <v>112</v>
      </c>
      <c r="G517" s="1">
        <v>15119</v>
      </c>
    </row>
    <row r="518" spans="1:10" x14ac:dyDescent="0.35">
      <c r="A518" s="1" t="str">
        <f t="shared" si="8"/>
        <v>04 Testo +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2656</v>
      </c>
      <c r="D518" s="1" t="s">
        <v>178</v>
      </c>
      <c r="E518" s="1" t="s">
        <v>2657</v>
      </c>
      <c r="F518" s="1" t="s">
        <v>112</v>
      </c>
      <c r="G518" s="1">
        <v>10793</v>
      </c>
    </row>
    <row r="519" spans="1:10" x14ac:dyDescent="0.35">
      <c r="A519" s="1" t="str">
        <f t="shared" si="8"/>
        <v>04 Testo +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2658</v>
      </c>
      <c r="D519" s="1" t="s">
        <v>1712</v>
      </c>
      <c r="E519" s="1" t="s">
        <v>174</v>
      </c>
      <c r="F519" s="1" t="s">
        <v>112</v>
      </c>
      <c r="G519" s="1">
        <v>4239</v>
      </c>
    </row>
    <row r="520" spans="1:10" x14ac:dyDescent="0.35">
      <c r="A520" s="1" t="str">
        <f t="shared" si="8"/>
        <v>04 Testo +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2659</v>
      </c>
      <c r="D520" s="1" t="s">
        <v>178</v>
      </c>
      <c r="E520" s="1" t="s">
        <v>1826</v>
      </c>
      <c r="F520" s="1" t="s">
        <v>112</v>
      </c>
      <c r="G520" s="1">
        <v>10837</v>
      </c>
    </row>
    <row r="521" spans="1:10"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234</v>
      </c>
      <c r="D522" s="1" t="s">
        <v>112</v>
      </c>
      <c r="E522" s="1" t="s">
        <v>235</v>
      </c>
      <c r="F522" s="1" t="s">
        <v>236</v>
      </c>
      <c r="G522" s="1" t="s">
        <v>237</v>
      </c>
      <c r="H522" s="1" t="s">
        <v>238</v>
      </c>
      <c r="I522" s="1" t="s">
        <v>239</v>
      </c>
      <c r="J522" s="1" t="s">
        <v>240</v>
      </c>
    </row>
    <row r="523" spans="1:10" x14ac:dyDescent="0.35">
      <c r="A523" s="1" t="str">
        <f t="shared" si="8"/>
        <v>04 Testo +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2660</v>
      </c>
      <c r="D523" s="1" t="s">
        <v>112</v>
      </c>
      <c r="E523" s="1" t="s">
        <v>2661</v>
      </c>
      <c r="F523" s="1" t="s">
        <v>2662</v>
      </c>
      <c r="G523" s="1" t="s">
        <v>2663</v>
      </c>
      <c r="H523" s="1" t="s">
        <v>2664</v>
      </c>
      <c r="I523" s="1">
        <v>24</v>
      </c>
      <c r="J523" s="1">
        <v>24</v>
      </c>
    </row>
    <row r="524" spans="1:10"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246</v>
      </c>
      <c r="D529" s="1" t="s">
        <v>110</v>
      </c>
      <c r="E529" s="1" t="s">
        <v>111</v>
      </c>
      <c r="F529" s="1" t="s">
        <v>112</v>
      </c>
      <c r="G529" s="1" t="s">
        <v>113</v>
      </c>
    </row>
    <row r="530" spans="1:7" x14ac:dyDescent="0.35">
      <c r="A530" s="1" t="str">
        <f t="shared" si="8"/>
        <v>05 Cefuroxime D 0.001</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2665</v>
      </c>
      <c r="D530" s="1" t="s">
        <v>2666</v>
      </c>
      <c r="E530" s="1" t="s">
        <v>2667</v>
      </c>
      <c r="F530" s="1" t="s">
        <v>112</v>
      </c>
      <c r="G530" s="1">
        <v>1027982</v>
      </c>
    </row>
    <row r="531" spans="1:7" x14ac:dyDescent="0.35">
      <c r="A531" s="1" t="str">
        <f t="shared" si="8"/>
        <v>05 Cefuroxime D 0.001</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2668</v>
      </c>
      <c r="D531" s="1" t="s">
        <v>2669</v>
      </c>
      <c r="E531" s="1" t="s">
        <v>2670</v>
      </c>
      <c r="F531" s="1" t="s">
        <v>112</v>
      </c>
      <c r="G531" s="1">
        <v>1106326</v>
      </c>
    </row>
    <row r="532" spans="1:7" x14ac:dyDescent="0.35">
      <c r="A532" s="1" t="str">
        <f t="shared" si="8"/>
        <v>05 Cefuroxime D 0.001</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2671</v>
      </c>
      <c r="D532" s="1" t="s">
        <v>2672</v>
      </c>
      <c r="E532" s="1" t="s">
        <v>2673</v>
      </c>
      <c r="F532" s="1" t="s">
        <v>112</v>
      </c>
      <c r="G532" s="1">
        <v>1095468</v>
      </c>
    </row>
    <row r="533" spans="1:7" x14ac:dyDescent="0.35">
      <c r="A533" s="1" t="str">
        <f t="shared" si="8"/>
        <v>05 Cefuroxime D 0.001</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2674</v>
      </c>
      <c r="D533" s="1" t="s">
        <v>2675</v>
      </c>
      <c r="E533" s="1" t="s">
        <v>2676</v>
      </c>
      <c r="F533" s="1" t="s">
        <v>112</v>
      </c>
      <c r="G533" s="1">
        <v>1556747</v>
      </c>
    </row>
    <row r="534" spans="1:7" x14ac:dyDescent="0.35">
      <c r="A534" s="1" t="str">
        <f t="shared" si="8"/>
        <v>05 Cefuroxime D 0.001</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2677</v>
      </c>
      <c r="D534" s="1" t="s">
        <v>2678</v>
      </c>
      <c r="E534" s="1" t="s">
        <v>2679</v>
      </c>
      <c r="F534" s="1" t="s">
        <v>112</v>
      </c>
      <c r="G534" s="1">
        <v>1281723</v>
      </c>
    </row>
    <row r="535" spans="1:7" x14ac:dyDescent="0.35">
      <c r="A535" s="1" t="str">
        <f t="shared" si="8"/>
        <v>05 Cefuroxime D 0.001</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2680</v>
      </c>
      <c r="D535" s="1" t="s">
        <v>2681</v>
      </c>
      <c r="E535" s="1" t="s">
        <v>2682</v>
      </c>
      <c r="F535" s="1" t="s">
        <v>112</v>
      </c>
      <c r="G535" s="1">
        <v>1574894</v>
      </c>
    </row>
    <row r="536" spans="1:7" x14ac:dyDescent="0.35">
      <c r="A536" s="1" t="str">
        <f t="shared" si="8"/>
        <v>05 Cefuroxime D 0.001</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2683</v>
      </c>
      <c r="D536" s="1" t="s">
        <v>2684</v>
      </c>
      <c r="E536" s="1" t="s">
        <v>2685</v>
      </c>
      <c r="F536" s="1" t="s">
        <v>112</v>
      </c>
      <c r="G536" s="1">
        <v>1463371</v>
      </c>
    </row>
    <row r="537" spans="1:7" x14ac:dyDescent="0.35">
      <c r="A537" s="1" t="str">
        <f t="shared" si="8"/>
        <v>05 Cefuroxime D 0.001</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2686</v>
      </c>
      <c r="D537" s="1" t="s">
        <v>2687</v>
      </c>
      <c r="E537" s="1" t="s">
        <v>2688</v>
      </c>
      <c r="F537" s="1" t="s">
        <v>112</v>
      </c>
      <c r="G537" s="1">
        <v>1621009</v>
      </c>
    </row>
    <row r="538" spans="1:7" x14ac:dyDescent="0.35">
      <c r="A538" s="1" t="str">
        <f t="shared" si="8"/>
        <v>05 Cefuroxime D 0.001</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2689</v>
      </c>
      <c r="D538" s="1" t="s">
        <v>2690</v>
      </c>
      <c r="E538" s="1" t="s">
        <v>2691</v>
      </c>
      <c r="F538" s="1" t="s">
        <v>112</v>
      </c>
      <c r="G538" s="1">
        <v>1598860</v>
      </c>
    </row>
    <row r="539" spans="1:7" x14ac:dyDescent="0.35">
      <c r="A539" s="1" t="str">
        <f t="shared" si="8"/>
        <v>05 Cefuroxime D 0.001</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2692</v>
      </c>
      <c r="D539" s="1" t="s">
        <v>2693</v>
      </c>
      <c r="E539" s="1" t="s">
        <v>2694</v>
      </c>
      <c r="F539" s="1" t="s">
        <v>112</v>
      </c>
      <c r="G539" s="1">
        <v>2995221</v>
      </c>
    </row>
    <row r="540" spans="1:7" x14ac:dyDescent="0.35">
      <c r="A540" s="1" t="str">
        <f t="shared" si="8"/>
        <v>05 Cefuroxime D 0.001</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2695</v>
      </c>
      <c r="D540" s="1" t="s">
        <v>1291</v>
      </c>
      <c r="E540" s="1" t="s">
        <v>2696</v>
      </c>
      <c r="F540" s="1" t="s">
        <v>112</v>
      </c>
      <c r="G540" s="1">
        <v>3148274</v>
      </c>
    </row>
    <row r="541" spans="1:7" x14ac:dyDescent="0.35">
      <c r="A541" s="1" t="str">
        <f t="shared" si="8"/>
        <v>05 Cefuroxime D 0.001</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2697</v>
      </c>
      <c r="D541" s="1" t="s">
        <v>2698</v>
      </c>
      <c r="E541" s="1" t="s">
        <v>2699</v>
      </c>
      <c r="F541" s="1" t="s">
        <v>112</v>
      </c>
      <c r="G541" s="1">
        <v>3123465</v>
      </c>
    </row>
    <row r="542" spans="1:7" x14ac:dyDescent="0.35">
      <c r="A542" s="1" t="str">
        <f t="shared" si="8"/>
        <v>05 Cefuroxime D 0.001</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2700</v>
      </c>
      <c r="D542" s="1" t="s">
        <v>2701</v>
      </c>
      <c r="E542" s="1" t="s">
        <v>2702</v>
      </c>
      <c r="F542" s="1" t="s">
        <v>112</v>
      </c>
      <c r="G542" s="1">
        <v>2124402</v>
      </c>
    </row>
    <row r="543" spans="1:7" x14ac:dyDescent="0.35">
      <c r="A543" s="1" t="str">
        <f t="shared" si="8"/>
        <v>05 Cefuroxime D 0.001</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2703</v>
      </c>
      <c r="D543" s="1" t="s">
        <v>2704</v>
      </c>
      <c r="E543" s="1" t="s">
        <v>2705</v>
      </c>
      <c r="F543" s="1" t="s">
        <v>112</v>
      </c>
      <c r="G543" s="1">
        <v>1900424</v>
      </c>
    </row>
    <row r="544" spans="1:7" x14ac:dyDescent="0.35">
      <c r="A544" s="1" t="str">
        <f t="shared" si="8"/>
        <v>05 Cefuroxime D 0.001</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2706</v>
      </c>
      <c r="D544" s="1" t="s">
        <v>2707</v>
      </c>
      <c r="E544" s="1" t="s">
        <v>2708</v>
      </c>
      <c r="F544" s="1" t="s">
        <v>112</v>
      </c>
      <c r="G544" s="1">
        <v>1822557</v>
      </c>
    </row>
    <row r="545" spans="1:10" x14ac:dyDescent="0.35">
      <c r="A545" s="1" t="str">
        <f t="shared" si="8"/>
        <v>05 Cefuroxime D 0.001</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2709</v>
      </c>
      <c r="D545" s="1" t="s">
        <v>2710</v>
      </c>
      <c r="E545" s="1" t="s">
        <v>2711</v>
      </c>
      <c r="F545" s="1" t="s">
        <v>112</v>
      </c>
      <c r="G545" s="1">
        <v>2398366</v>
      </c>
    </row>
    <row r="546" spans="1:10" x14ac:dyDescent="0.35">
      <c r="A546" s="1" t="str">
        <f t="shared" si="8"/>
        <v>05 Cefuroxime D 0.001</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2712</v>
      </c>
      <c r="D546" s="1" t="s">
        <v>2713</v>
      </c>
      <c r="E546" s="1" t="s">
        <v>2714</v>
      </c>
      <c r="F546" s="1" t="s">
        <v>112</v>
      </c>
      <c r="G546" s="1">
        <v>1859479</v>
      </c>
    </row>
    <row r="547" spans="1:10" x14ac:dyDescent="0.35">
      <c r="A547" s="1" t="str">
        <f t="shared" si="8"/>
        <v>05 Cefuroxime D 0.001</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2715</v>
      </c>
      <c r="D547" s="1" t="s">
        <v>2716</v>
      </c>
      <c r="E547" s="1" t="s">
        <v>2717</v>
      </c>
      <c r="F547" s="1" t="s">
        <v>112</v>
      </c>
      <c r="G547" s="1">
        <v>2443118</v>
      </c>
    </row>
    <row r="548" spans="1:10" x14ac:dyDescent="0.35">
      <c r="A548" s="1" t="str">
        <f t="shared" si="8"/>
        <v>05 Cefuroxime D 0.001</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2718</v>
      </c>
      <c r="D548" s="1" t="s">
        <v>2719</v>
      </c>
      <c r="E548" s="1" t="s">
        <v>2720</v>
      </c>
      <c r="F548" s="1" t="s">
        <v>112</v>
      </c>
      <c r="G548" s="1">
        <v>2234606</v>
      </c>
    </row>
    <row r="549" spans="1:10" x14ac:dyDescent="0.35">
      <c r="A549" s="1" t="str">
        <f t="shared" si="8"/>
        <v>05 Cefuroxime D 0.001</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2721</v>
      </c>
      <c r="D549" s="1" t="s">
        <v>2722</v>
      </c>
      <c r="E549" s="1" t="s">
        <v>2723</v>
      </c>
      <c r="F549" s="1" t="s">
        <v>112</v>
      </c>
      <c r="G549" s="1">
        <v>2122174</v>
      </c>
    </row>
    <row r="550" spans="1:10" x14ac:dyDescent="0.35">
      <c r="A550" s="1" t="str">
        <f t="shared" si="8"/>
        <v>05 Cefuroxime D 0.001</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2724</v>
      </c>
      <c r="D550" s="1" t="s">
        <v>2725</v>
      </c>
      <c r="E550" s="1" t="s">
        <v>2726</v>
      </c>
      <c r="F550" s="1" t="s">
        <v>112</v>
      </c>
      <c r="G550" s="1">
        <v>2021768</v>
      </c>
    </row>
    <row r="551" spans="1:10" x14ac:dyDescent="0.35">
      <c r="A551" s="1" t="str">
        <f t="shared" si="8"/>
        <v>05 Cefuroxime D 0.001</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2727</v>
      </c>
      <c r="D551" s="1" t="s">
        <v>2728</v>
      </c>
      <c r="E551" s="1" t="s">
        <v>2729</v>
      </c>
      <c r="F551" s="1" t="s">
        <v>112</v>
      </c>
      <c r="G551" s="1">
        <v>654996</v>
      </c>
    </row>
    <row r="552" spans="1:10" x14ac:dyDescent="0.35">
      <c r="A552" s="1" t="str">
        <f t="shared" si="8"/>
        <v>05 Cefuroxime D 0.001</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2730</v>
      </c>
      <c r="D552" s="1" t="s">
        <v>2731</v>
      </c>
      <c r="E552" s="1" t="s">
        <v>2732</v>
      </c>
      <c r="F552" s="1" t="s">
        <v>112</v>
      </c>
      <c r="G552" s="1">
        <v>498785</v>
      </c>
    </row>
    <row r="553" spans="1:10" x14ac:dyDescent="0.35">
      <c r="A553" s="1" t="str">
        <f t="shared" si="8"/>
        <v>05 Cefuroxime D 0.001</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2733</v>
      </c>
      <c r="D553" s="1" t="s">
        <v>396</v>
      </c>
      <c r="E553" s="1" t="s">
        <v>2734</v>
      </c>
      <c r="F553" s="1" t="s">
        <v>112</v>
      </c>
      <c r="G553" s="1">
        <v>634124</v>
      </c>
    </row>
    <row r="554" spans="1:10"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234</v>
      </c>
      <c r="D555" s="1" t="s">
        <v>112</v>
      </c>
      <c r="E555" s="1" t="s">
        <v>235</v>
      </c>
      <c r="F555" s="1" t="s">
        <v>236</v>
      </c>
      <c r="G555" s="1" t="s">
        <v>237</v>
      </c>
      <c r="H555" s="1" t="s">
        <v>238</v>
      </c>
      <c r="I555" s="1" t="s">
        <v>239</v>
      </c>
      <c r="J555" s="1" t="s">
        <v>240</v>
      </c>
    </row>
    <row r="556" spans="1:10" x14ac:dyDescent="0.35">
      <c r="A556" s="1" t="str">
        <f t="shared" si="8"/>
        <v>05 Cefuroxime D 0.001</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2735</v>
      </c>
      <c r="D556" s="1" t="s">
        <v>112</v>
      </c>
      <c r="E556" s="1" t="s">
        <v>2736</v>
      </c>
      <c r="F556" s="1" t="s">
        <v>2737</v>
      </c>
      <c r="G556" s="1" t="s">
        <v>2738</v>
      </c>
      <c r="H556" s="1" t="s">
        <v>2739</v>
      </c>
      <c r="I556" s="1">
        <v>24</v>
      </c>
      <c r="J556" s="1">
        <v>24</v>
      </c>
    </row>
    <row r="557" spans="1:10"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246</v>
      </c>
      <c r="D562" s="1" t="s">
        <v>110</v>
      </c>
      <c r="E562" s="1" t="s">
        <v>111</v>
      </c>
      <c r="F562" s="1" t="s">
        <v>112</v>
      </c>
      <c r="G562" s="1" t="s">
        <v>113</v>
      </c>
    </row>
    <row r="563" spans="1:7" x14ac:dyDescent="0.35">
      <c r="A563" s="1" t="str">
        <f t="shared" si="8"/>
        <v>06 Cefuroxime D 0.01</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2740</v>
      </c>
      <c r="D563" s="1" t="s">
        <v>2741</v>
      </c>
      <c r="E563" s="1" t="s">
        <v>2742</v>
      </c>
      <c r="F563" s="1" t="s">
        <v>112</v>
      </c>
      <c r="G563" s="1">
        <v>1690052</v>
      </c>
    </row>
    <row r="564" spans="1:7" x14ac:dyDescent="0.35">
      <c r="A564" s="1" t="str">
        <f t="shared" si="8"/>
        <v>06 Cefuroxime D 0.01</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2743</v>
      </c>
      <c r="D564" s="1" t="s">
        <v>1618</v>
      </c>
      <c r="E564" s="1" t="s">
        <v>2744</v>
      </c>
      <c r="F564" s="1" t="s">
        <v>112</v>
      </c>
      <c r="G564" s="1">
        <v>1772418</v>
      </c>
    </row>
    <row r="565" spans="1:7" x14ac:dyDescent="0.35">
      <c r="A565" s="1" t="str">
        <f t="shared" si="8"/>
        <v>06 Cefuroxime D 0.01</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2745</v>
      </c>
      <c r="D565" s="1" t="s">
        <v>2681</v>
      </c>
      <c r="E565" s="1" t="s">
        <v>2746</v>
      </c>
      <c r="F565" s="1" t="s">
        <v>112</v>
      </c>
      <c r="G565" s="1">
        <v>1594794</v>
      </c>
    </row>
    <row r="566" spans="1:7" x14ac:dyDescent="0.35">
      <c r="A566" s="1" t="str">
        <f t="shared" si="8"/>
        <v>06 Cefuroxime D 0.01</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2747</v>
      </c>
      <c r="D566" s="1" t="s">
        <v>254</v>
      </c>
      <c r="E566" s="1" t="s">
        <v>2748</v>
      </c>
      <c r="F566" s="1" t="s">
        <v>112</v>
      </c>
      <c r="G566" s="1">
        <v>105619</v>
      </c>
    </row>
    <row r="567" spans="1:7" x14ac:dyDescent="0.35">
      <c r="A567" s="1" t="str">
        <f t="shared" si="8"/>
        <v>06 Cefuroxime D 0.01</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2749</v>
      </c>
      <c r="D567" s="1" t="s">
        <v>921</v>
      </c>
      <c r="E567" s="1" t="s">
        <v>2750</v>
      </c>
      <c r="F567" s="1" t="s">
        <v>112</v>
      </c>
      <c r="G567" s="1">
        <v>47456</v>
      </c>
    </row>
    <row r="568" spans="1:7" x14ac:dyDescent="0.35">
      <c r="A568" s="1" t="str">
        <f t="shared" si="8"/>
        <v>06 Cefuroxime D 0.01</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2751</v>
      </c>
      <c r="D568" s="1" t="s">
        <v>944</v>
      </c>
      <c r="E568" s="1" t="s">
        <v>763</v>
      </c>
      <c r="F568" s="1" t="s">
        <v>112</v>
      </c>
      <c r="G568" s="1">
        <v>28768</v>
      </c>
    </row>
    <row r="569" spans="1:7" x14ac:dyDescent="0.35">
      <c r="A569" s="1" t="str">
        <f t="shared" si="8"/>
        <v>06 Cefuroxime D 0.01</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2752</v>
      </c>
      <c r="D569" s="1" t="s">
        <v>1100</v>
      </c>
      <c r="E569" s="1" t="s">
        <v>2753</v>
      </c>
      <c r="F569" s="1" t="s">
        <v>112</v>
      </c>
      <c r="G569" s="1">
        <v>2124229</v>
      </c>
    </row>
    <row r="570" spans="1:7" x14ac:dyDescent="0.35">
      <c r="A570" s="1" t="str">
        <f t="shared" si="8"/>
        <v>06 Cefuroxime D 0.01</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2754</v>
      </c>
      <c r="D570" s="1" t="s">
        <v>2755</v>
      </c>
      <c r="E570" s="1" t="s">
        <v>2756</v>
      </c>
      <c r="F570" s="1" t="s">
        <v>112</v>
      </c>
      <c r="G570" s="1">
        <v>1990188</v>
      </c>
    </row>
    <row r="571" spans="1:7" x14ac:dyDescent="0.35">
      <c r="A571" s="1" t="str">
        <f t="shared" si="8"/>
        <v>06 Cefuroxime D 0.01</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2757</v>
      </c>
    </row>
    <row r="572" spans="1:7" x14ac:dyDescent="0.35">
      <c r="A572" s="1" t="str">
        <f t="shared" si="8"/>
        <v>06 Cefuroxime D 0.01</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2758</v>
      </c>
      <c r="D572" s="1" t="s">
        <v>2759</v>
      </c>
      <c r="E572" s="1" t="s">
        <v>2760</v>
      </c>
      <c r="F572" s="1" t="s">
        <v>112</v>
      </c>
      <c r="G572" s="1">
        <v>3784864</v>
      </c>
    </row>
    <row r="573" spans="1:7" x14ac:dyDescent="0.35">
      <c r="A573" s="1" t="str">
        <f t="shared" si="8"/>
        <v>06 Cefuroxime D 0.01</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2761</v>
      </c>
      <c r="D573" s="1" t="s">
        <v>2762</v>
      </c>
      <c r="E573" s="1" t="s">
        <v>2763</v>
      </c>
      <c r="F573" s="1" t="s">
        <v>112</v>
      </c>
      <c r="G573" s="1">
        <v>2768778</v>
      </c>
    </row>
    <row r="574" spans="1:7" x14ac:dyDescent="0.35">
      <c r="A574" s="1" t="str">
        <f t="shared" si="8"/>
        <v>06 Cefuroxime D 0.01</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2764</v>
      </c>
      <c r="D574" s="1" t="s">
        <v>2765</v>
      </c>
      <c r="E574" s="1" t="s">
        <v>2766</v>
      </c>
      <c r="F574" s="1" t="s">
        <v>112</v>
      </c>
      <c r="G574" s="1">
        <v>2855427</v>
      </c>
    </row>
    <row r="575" spans="1:7" x14ac:dyDescent="0.35">
      <c r="A575" s="1" t="str">
        <f t="shared" si="8"/>
        <v>06 Cefuroxime D 0.01</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2767</v>
      </c>
      <c r="D575" s="1" t="s">
        <v>2768</v>
      </c>
      <c r="E575" s="1" t="s">
        <v>2769</v>
      </c>
      <c r="F575" s="1" t="s">
        <v>112</v>
      </c>
      <c r="G575" s="1">
        <v>906379</v>
      </c>
    </row>
    <row r="576" spans="1:7" x14ac:dyDescent="0.35">
      <c r="A576" s="1" t="str">
        <f t="shared" si="8"/>
        <v>06 Cefuroxime D 0.01</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2770</v>
      </c>
      <c r="D576" s="1" t="s">
        <v>2771</v>
      </c>
      <c r="E576" s="1" t="s">
        <v>2772</v>
      </c>
      <c r="F576" s="1" t="s">
        <v>112</v>
      </c>
      <c r="G576" s="1">
        <v>734530</v>
      </c>
    </row>
    <row r="577" spans="1:10" x14ac:dyDescent="0.35">
      <c r="A577" s="1" t="str">
        <f t="shared" si="8"/>
        <v>06 Cefuroxime D 0.01</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2773</v>
      </c>
      <c r="D577" s="1" t="s">
        <v>2774</v>
      </c>
      <c r="E577" s="1" t="s">
        <v>2775</v>
      </c>
      <c r="F577" s="1" t="s">
        <v>112</v>
      </c>
      <c r="G577" s="1">
        <v>698537</v>
      </c>
    </row>
    <row r="578" spans="1:10" x14ac:dyDescent="0.35">
      <c r="A578" s="1" t="str">
        <f t="shared" ref="A578:A641" si="9">IFERROR(LEFT(RIGHT(C578,LEN(C578)-SEARCH("@",C578)),SEARCH("/",RIGHT(C578,LEN(C578)-SEARCH("@",C578)-1))),"")</f>
        <v>06 Cefuroxime D 0.01</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2776</v>
      </c>
      <c r="D578" s="1" t="s">
        <v>903</v>
      </c>
      <c r="E578" s="1" t="s">
        <v>2777</v>
      </c>
      <c r="F578" s="1" t="s">
        <v>112</v>
      </c>
      <c r="G578" s="1">
        <v>351421</v>
      </c>
    </row>
    <row r="579" spans="1:10" x14ac:dyDescent="0.35">
      <c r="A579" s="1" t="str">
        <f t="shared" si="9"/>
        <v>06 Cefuroxime D 0.01</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2778</v>
      </c>
      <c r="D579" s="1" t="s">
        <v>2779</v>
      </c>
      <c r="E579" s="1" t="s">
        <v>2780</v>
      </c>
      <c r="F579" s="1" t="s">
        <v>112</v>
      </c>
      <c r="G579" s="1">
        <v>322307</v>
      </c>
    </row>
    <row r="580" spans="1:10" x14ac:dyDescent="0.35">
      <c r="A580" s="1" t="str">
        <f t="shared" si="9"/>
        <v>06 Cefuroxime D 0.01</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2781</v>
      </c>
      <c r="D580" s="1" t="s">
        <v>2352</v>
      </c>
      <c r="E580" s="1" t="s">
        <v>2782</v>
      </c>
      <c r="F580" s="1" t="s">
        <v>112</v>
      </c>
      <c r="G580" s="1">
        <v>266156</v>
      </c>
    </row>
    <row r="581" spans="1:10" x14ac:dyDescent="0.35">
      <c r="A581" s="1" t="str">
        <f t="shared" si="9"/>
        <v>06 Cefuroxime D 0.01</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2783</v>
      </c>
      <c r="D581" s="1" t="s">
        <v>2784</v>
      </c>
      <c r="E581" s="1" t="s">
        <v>2785</v>
      </c>
      <c r="F581" s="1" t="s">
        <v>112</v>
      </c>
      <c r="G581" s="1">
        <v>2336440</v>
      </c>
    </row>
    <row r="582" spans="1:10" x14ac:dyDescent="0.35">
      <c r="A582" s="1" t="str">
        <f t="shared" si="9"/>
        <v>06 Cefuroxime D 0.01</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2786</v>
      </c>
      <c r="D582" s="1" t="s">
        <v>2787</v>
      </c>
      <c r="E582" s="1" t="s">
        <v>2788</v>
      </c>
      <c r="F582" s="1" t="s">
        <v>112</v>
      </c>
      <c r="G582" s="1">
        <v>2079952</v>
      </c>
    </row>
    <row r="583" spans="1:10" x14ac:dyDescent="0.35">
      <c r="A583" s="1" t="str">
        <f t="shared" si="9"/>
        <v>06 Cefuroxime D 0.01</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2789</v>
      </c>
      <c r="D583" s="1" t="s">
        <v>2790</v>
      </c>
      <c r="E583" s="1" t="s">
        <v>2791</v>
      </c>
      <c r="F583" s="1" t="s">
        <v>112</v>
      </c>
      <c r="G583" s="1">
        <v>1697687</v>
      </c>
    </row>
    <row r="584" spans="1:10" x14ac:dyDescent="0.35">
      <c r="A584" s="1" t="str">
        <f t="shared" si="9"/>
        <v>06 Cefuroxime D 0.01</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2792</v>
      </c>
      <c r="D584" s="1" t="s">
        <v>2793</v>
      </c>
      <c r="E584" s="1" t="s">
        <v>2794</v>
      </c>
      <c r="F584" s="1" t="s">
        <v>112</v>
      </c>
      <c r="G584" s="1">
        <v>3742296</v>
      </c>
    </row>
    <row r="585" spans="1:10" x14ac:dyDescent="0.35">
      <c r="A585" s="1" t="str">
        <f t="shared" si="9"/>
        <v>06 Cefuroxime D 0.01</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2795</v>
      </c>
      <c r="D585" s="1" t="s">
        <v>2796</v>
      </c>
      <c r="E585" s="1" t="s">
        <v>2797</v>
      </c>
      <c r="F585" s="1" t="s">
        <v>112</v>
      </c>
      <c r="G585" s="1">
        <v>3832904</v>
      </c>
    </row>
    <row r="586" spans="1:10" x14ac:dyDescent="0.35">
      <c r="A586" s="1" t="str">
        <f t="shared" si="9"/>
        <v>06 Cefuroxime D 0.01</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2798</v>
      </c>
      <c r="D586" s="1" t="s">
        <v>2799</v>
      </c>
      <c r="E586" s="1" t="s">
        <v>2800</v>
      </c>
      <c r="F586" s="1" t="s">
        <v>112</v>
      </c>
      <c r="G586" s="1">
        <v>3773962</v>
      </c>
    </row>
    <row r="587" spans="1:10"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234</v>
      </c>
      <c r="D588" s="1" t="s">
        <v>112</v>
      </c>
      <c r="E588" s="1" t="s">
        <v>235</v>
      </c>
      <c r="F588" s="1" t="s">
        <v>236</v>
      </c>
      <c r="G588" s="1" t="s">
        <v>237</v>
      </c>
      <c r="H588" s="1" t="s">
        <v>238</v>
      </c>
      <c r="I588" s="1" t="s">
        <v>239</v>
      </c>
      <c r="J588" s="1" t="s">
        <v>240</v>
      </c>
    </row>
    <row r="589" spans="1:10" x14ac:dyDescent="0.35">
      <c r="A589" s="1" t="str">
        <f t="shared" si="9"/>
        <v>06 Cefuroxime D 0.01</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2801</v>
      </c>
      <c r="D589" s="1" t="s">
        <v>112</v>
      </c>
      <c r="E589" s="1" t="s">
        <v>2802</v>
      </c>
      <c r="F589" s="1" t="s">
        <v>2803</v>
      </c>
      <c r="G589" s="1" t="s">
        <v>2804</v>
      </c>
      <c r="H589" s="1" t="s">
        <v>2805</v>
      </c>
      <c r="I589" s="1">
        <v>24</v>
      </c>
      <c r="J589" s="1">
        <v>24</v>
      </c>
    </row>
    <row r="590" spans="1:10"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246</v>
      </c>
      <c r="D595" s="1" t="s">
        <v>110</v>
      </c>
      <c r="E595" s="1" t="s">
        <v>111</v>
      </c>
      <c r="F595" s="1" t="s">
        <v>112</v>
      </c>
      <c r="G595" s="1" t="s">
        <v>113</v>
      </c>
    </row>
    <row r="596" spans="1:7" x14ac:dyDescent="0.35">
      <c r="A596" s="1" t="str">
        <f t="shared" si="9"/>
        <v>07 Cefuroxime D 0.1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2806</v>
      </c>
      <c r="D596" s="1" t="s">
        <v>2807</v>
      </c>
      <c r="E596" s="1" t="s">
        <v>2808</v>
      </c>
      <c r="F596" s="1" t="s">
        <v>112</v>
      </c>
      <c r="G596" s="1">
        <v>820076</v>
      </c>
    </row>
    <row r="597" spans="1:7" x14ac:dyDescent="0.35">
      <c r="A597" s="1" t="str">
        <f t="shared" si="9"/>
        <v>07 Cefuroxime D 0.1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2809</v>
      </c>
      <c r="D597" s="1" t="s">
        <v>2810</v>
      </c>
      <c r="E597" s="1" t="s">
        <v>2811</v>
      </c>
      <c r="F597" s="1" t="s">
        <v>112</v>
      </c>
      <c r="G597" s="1">
        <v>1755136</v>
      </c>
    </row>
    <row r="598" spans="1:7" x14ac:dyDescent="0.35">
      <c r="A598" s="1" t="str">
        <f t="shared" si="9"/>
        <v>07 Cefuroxime D 0.1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2812</v>
      </c>
      <c r="D598" s="1" t="s">
        <v>2813</v>
      </c>
      <c r="E598" s="1" t="s">
        <v>2814</v>
      </c>
      <c r="F598" s="1" t="s">
        <v>112</v>
      </c>
      <c r="G598" s="1">
        <v>1645321</v>
      </c>
    </row>
    <row r="599" spans="1:7" x14ac:dyDescent="0.35">
      <c r="A599" s="1" t="str">
        <f t="shared" si="9"/>
        <v>07 Cefuroxime D 0.1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2815</v>
      </c>
      <c r="D599" s="1" t="s">
        <v>2816</v>
      </c>
      <c r="E599" s="1" t="s">
        <v>2817</v>
      </c>
      <c r="F599" s="1" t="s">
        <v>112</v>
      </c>
      <c r="G599" s="1">
        <v>1146146</v>
      </c>
    </row>
    <row r="600" spans="1:7" x14ac:dyDescent="0.35">
      <c r="A600" s="1" t="str">
        <f t="shared" si="9"/>
        <v>07 Cefuroxime D 0.1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2818</v>
      </c>
      <c r="D600" s="1" t="s">
        <v>1967</v>
      </c>
      <c r="E600" s="1" t="s">
        <v>2819</v>
      </c>
      <c r="F600" s="1" t="s">
        <v>112</v>
      </c>
      <c r="G600" s="1">
        <v>1152116</v>
      </c>
    </row>
    <row r="601" spans="1:7" x14ac:dyDescent="0.35">
      <c r="A601" s="1" t="str">
        <f t="shared" si="9"/>
        <v>07 Cefuroxime D 0.1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2820</v>
      </c>
      <c r="D601" s="1" t="s">
        <v>1402</v>
      </c>
      <c r="E601" s="1" t="s">
        <v>2821</v>
      </c>
      <c r="F601" s="1" t="s">
        <v>112</v>
      </c>
      <c r="G601" s="1">
        <v>1205001</v>
      </c>
    </row>
    <row r="602" spans="1:7" x14ac:dyDescent="0.35">
      <c r="A602" s="1" t="str">
        <f t="shared" si="9"/>
        <v>07 Cefuroxime D 0.1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2822</v>
      </c>
      <c r="D602" s="1" t="s">
        <v>2823</v>
      </c>
      <c r="E602" s="1" t="s">
        <v>2824</v>
      </c>
      <c r="F602" s="1" t="s">
        <v>112</v>
      </c>
      <c r="G602" s="1">
        <v>1868628</v>
      </c>
    </row>
    <row r="603" spans="1:7" x14ac:dyDescent="0.35">
      <c r="A603" s="1" t="str">
        <f t="shared" si="9"/>
        <v>07 Cefuroxime D 0.1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2825</v>
      </c>
      <c r="D603" s="1" t="s">
        <v>2826</v>
      </c>
      <c r="E603" s="1" t="s">
        <v>2827</v>
      </c>
      <c r="F603" s="1" t="s">
        <v>112</v>
      </c>
      <c r="G603" s="1">
        <v>1658732</v>
      </c>
    </row>
    <row r="604" spans="1:7" x14ac:dyDescent="0.35">
      <c r="A604" s="1" t="str">
        <f t="shared" si="9"/>
        <v>07 Cefuroxime D 0.1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2828</v>
      </c>
      <c r="D604" s="1" t="s">
        <v>2545</v>
      </c>
      <c r="E604" s="1" t="s">
        <v>2829</v>
      </c>
      <c r="F604" s="1" t="s">
        <v>112</v>
      </c>
      <c r="G604" s="1">
        <v>1548463</v>
      </c>
    </row>
    <row r="605" spans="1:7" x14ac:dyDescent="0.35">
      <c r="A605" s="1" t="str">
        <f t="shared" si="9"/>
        <v>07 Cefuroxime D 0.1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2830</v>
      </c>
      <c r="D605" s="1" t="s">
        <v>2831</v>
      </c>
      <c r="E605" s="1" t="s">
        <v>2832</v>
      </c>
      <c r="F605" s="1" t="s">
        <v>112</v>
      </c>
      <c r="G605" s="1">
        <v>2413053</v>
      </c>
    </row>
    <row r="606" spans="1:7" x14ac:dyDescent="0.35">
      <c r="A606" s="1" t="str">
        <f t="shared" si="9"/>
        <v>07 Cefuroxime D 0.1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2833</v>
      </c>
      <c r="D606" s="1" t="s">
        <v>2834</v>
      </c>
      <c r="E606" s="1" t="s">
        <v>2835</v>
      </c>
      <c r="F606" s="1" t="s">
        <v>112</v>
      </c>
      <c r="G606" s="1">
        <v>2567966</v>
      </c>
    </row>
    <row r="607" spans="1:7" x14ac:dyDescent="0.35">
      <c r="A607" s="1" t="str">
        <f t="shared" si="9"/>
        <v>07 Cefuroxime D 0.1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2836</v>
      </c>
      <c r="D607" s="1" t="s">
        <v>2837</v>
      </c>
      <c r="E607" s="1" t="s">
        <v>2838</v>
      </c>
      <c r="F607" s="1" t="s">
        <v>112</v>
      </c>
      <c r="G607" s="1">
        <v>2553971</v>
      </c>
    </row>
    <row r="608" spans="1:7" x14ac:dyDescent="0.35">
      <c r="A608" s="1" t="str">
        <f t="shared" si="9"/>
        <v>07 Cefuroxime D 0.1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2839</v>
      </c>
      <c r="D608" s="1" t="s">
        <v>2840</v>
      </c>
      <c r="E608" s="1" t="s">
        <v>2841</v>
      </c>
      <c r="F608" s="1" t="s">
        <v>112</v>
      </c>
      <c r="G608" s="1">
        <v>1192067</v>
      </c>
    </row>
    <row r="609" spans="1:10" x14ac:dyDescent="0.35">
      <c r="A609" s="1" t="str">
        <f t="shared" si="9"/>
        <v>07 Cefuroxime D 0.1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2842</v>
      </c>
      <c r="D609" s="1" t="s">
        <v>2843</v>
      </c>
      <c r="E609" s="1" t="s">
        <v>2844</v>
      </c>
      <c r="F609" s="1" t="s">
        <v>112</v>
      </c>
      <c r="G609" s="1">
        <v>945789</v>
      </c>
    </row>
    <row r="610" spans="1:10" x14ac:dyDescent="0.35">
      <c r="A610" s="1" t="str">
        <f t="shared" si="9"/>
        <v>07 Cefuroxime D 0.1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2845</v>
      </c>
      <c r="D610" s="1" t="s">
        <v>2846</v>
      </c>
      <c r="E610" s="1" t="s">
        <v>2847</v>
      </c>
      <c r="F610" s="1" t="s">
        <v>112</v>
      </c>
      <c r="G610" s="1">
        <v>764054</v>
      </c>
    </row>
    <row r="611" spans="1:10" x14ac:dyDescent="0.35">
      <c r="A611" s="1" t="str">
        <f t="shared" si="9"/>
        <v>07 Cefuroxime D 0.1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2848</v>
      </c>
      <c r="D611" s="1" t="s">
        <v>361</v>
      </c>
      <c r="E611" s="1" t="s">
        <v>2849</v>
      </c>
      <c r="F611" s="1" t="s">
        <v>112</v>
      </c>
      <c r="G611" s="1">
        <v>79447</v>
      </c>
    </row>
    <row r="612" spans="1:10" x14ac:dyDescent="0.35">
      <c r="A612" s="1" t="str">
        <f t="shared" si="9"/>
        <v>07 Cefuroxime D 0.1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2850</v>
      </c>
      <c r="D612" s="1" t="s">
        <v>2851</v>
      </c>
      <c r="E612" s="1" t="s">
        <v>2852</v>
      </c>
      <c r="F612" s="1" t="s">
        <v>112</v>
      </c>
      <c r="G612" s="1">
        <v>77111</v>
      </c>
    </row>
    <row r="613" spans="1:10" x14ac:dyDescent="0.35">
      <c r="A613" s="1" t="str">
        <f t="shared" si="9"/>
        <v>07 Cefuroxime D 0.1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2853</v>
      </c>
    </row>
    <row r="614" spans="1:10" x14ac:dyDescent="0.35">
      <c r="A614" s="1" t="str">
        <f t="shared" si="9"/>
        <v>07 Cefuroxime D 0.1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2854</v>
      </c>
      <c r="D614" s="1" t="s">
        <v>2855</v>
      </c>
      <c r="E614" s="1" t="s">
        <v>2856</v>
      </c>
      <c r="F614" s="1" t="s">
        <v>112</v>
      </c>
      <c r="G614" s="1">
        <v>1478014</v>
      </c>
    </row>
    <row r="615" spans="1:10" x14ac:dyDescent="0.35">
      <c r="A615" s="1" t="str">
        <f t="shared" si="9"/>
        <v>07 Cefuroxime D 0.1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2857</v>
      </c>
      <c r="D615" s="1" t="s">
        <v>2858</v>
      </c>
      <c r="E615" s="1" t="s">
        <v>2859</v>
      </c>
      <c r="F615" s="1" t="s">
        <v>112</v>
      </c>
      <c r="G615" s="1">
        <v>1422771</v>
      </c>
    </row>
    <row r="616" spans="1:10" x14ac:dyDescent="0.35">
      <c r="A616" s="1" t="str">
        <f t="shared" si="9"/>
        <v>07 Cefuroxime D 0.1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2860</v>
      </c>
      <c r="D616" s="1" t="s">
        <v>2861</v>
      </c>
      <c r="E616" s="1" t="s">
        <v>2862</v>
      </c>
      <c r="F616" s="1" t="s">
        <v>112</v>
      </c>
      <c r="G616" s="1">
        <v>1274585</v>
      </c>
    </row>
    <row r="617" spans="1:10" x14ac:dyDescent="0.35">
      <c r="A617" s="1" t="str">
        <f t="shared" si="9"/>
        <v>07 Cefuroxime D 0.1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2863</v>
      </c>
      <c r="D617" s="1" t="s">
        <v>831</v>
      </c>
      <c r="E617" s="1" t="s">
        <v>2864</v>
      </c>
      <c r="F617" s="1" t="s">
        <v>112</v>
      </c>
      <c r="G617" s="1">
        <v>142173</v>
      </c>
    </row>
    <row r="618" spans="1:10" x14ac:dyDescent="0.35">
      <c r="A618" s="1" t="str">
        <f t="shared" si="9"/>
        <v>07 Cefuroxime D 0.1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2865</v>
      </c>
      <c r="D618" s="1" t="s">
        <v>330</v>
      </c>
      <c r="E618" s="1" t="s">
        <v>2866</v>
      </c>
      <c r="F618" s="1" t="s">
        <v>112</v>
      </c>
      <c r="G618" s="1">
        <v>208815</v>
      </c>
    </row>
    <row r="619" spans="1:10" x14ac:dyDescent="0.35">
      <c r="A619" s="1" t="str">
        <f t="shared" si="9"/>
        <v>07 Cefuroxime D 0.1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2867</v>
      </c>
      <c r="D619" s="1" t="s">
        <v>689</v>
      </c>
      <c r="E619" s="1" t="s">
        <v>2868</v>
      </c>
      <c r="F619" s="1" t="s">
        <v>112</v>
      </c>
      <c r="G619" s="1">
        <v>164322</v>
      </c>
    </row>
    <row r="620" spans="1:10"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234</v>
      </c>
      <c r="D621" s="1" t="s">
        <v>112</v>
      </c>
      <c r="E621" s="1" t="s">
        <v>235</v>
      </c>
      <c r="F621" s="1" t="s">
        <v>236</v>
      </c>
      <c r="G621" s="1" t="s">
        <v>237</v>
      </c>
      <c r="H621" s="1" t="s">
        <v>238</v>
      </c>
      <c r="I621" s="1" t="s">
        <v>239</v>
      </c>
      <c r="J621" s="1" t="s">
        <v>240</v>
      </c>
    </row>
    <row r="622" spans="1:10" x14ac:dyDescent="0.35">
      <c r="A622" s="1" t="str">
        <f t="shared" si="9"/>
        <v>07 Cefuroxime D 0.1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2869</v>
      </c>
      <c r="D622" s="1" t="s">
        <v>112</v>
      </c>
      <c r="E622" s="1" t="s">
        <v>2870</v>
      </c>
      <c r="F622" s="1" t="s">
        <v>2871</v>
      </c>
      <c r="G622" s="1" t="s">
        <v>2872</v>
      </c>
      <c r="H622" s="1" t="s">
        <v>2873</v>
      </c>
      <c r="I622" s="1">
        <v>24</v>
      </c>
      <c r="J622" s="1">
        <v>24</v>
      </c>
    </row>
    <row r="623" spans="1:10"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246</v>
      </c>
      <c r="D628" s="1" t="s">
        <v>110</v>
      </c>
      <c r="E628" s="1" t="s">
        <v>111</v>
      </c>
      <c r="F628" s="1" t="s">
        <v>112</v>
      </c>
      <c r="G628" s="1" t="s">
        <v>113</v>
      </c>
    </row>
    <row r="629" spans="1:7" x14ac:dyDescent="0.35">
      <c r="A629" s="1" t="str">
        <f t="shared" si="9"/>
        <v>08 Cefuroxime D 1</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2874</v>
      </c>
      <c r="D629" s="1" t="s">
        <v>2875</v>
      </c>
      <c r="E629" s="1" t="s">
        <v>2876</v>
      </c>
      <c r="F629" s="1" t="s">
        <v>112</v>
      </c>
      <c r="G629" s="1">
        <v>4107885</v>
      </c>
    </row>
    <row r="630" spans="1:7" x14ac:dyDescent="0.35">
      <c r="A630" s="1" t="str">
        <f t="shared" si="9"/>
        <v>08 Cefuroxime D 1</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2877</v>
      </c>
      <c r="D630" s="1" t="s">
        <v>2878</v>
      </c>
      <c r="E630" s="1" t="s">
        <v>2879</v>
      </c>
      <c r="F630" s="1" t="s">
        <v>112</v>
      </c>
      <c r="G630" s="1">
        <v>4168384</v>
      </c>
    </row>
    <row r="631" spans="1:7" x14ac:dyDescent="0.35">
      <c r="A631" s="1" t="str">
        <f t="shared" si="9"/>
        <v>08 Cefuroxime D 1</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2880</v>
      </c>
      <c r="D631" s="1" t="s">
        <v>2881</v>
      </c>
      <c r="E631" s="1" t="s">
        <v>2882</v>
      </c>
      <c r="F631" s="1" t="s">
        <v>112</v>
      </c>
      <c r="G631" s="1">
        <v>3854966</v>
      </c>
    </row>
    <row r="632" spans="1:7" x14ac:dyDescent="0.35">
      <c r="A632" s="1" t="str">
        <f t="shared" si="9"/>
        <v>08 Cefuroxime D 1</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2883</v>
      </c>
      <c r="D632" s="1" t="s">
        <v>2884</v>
      </c>
      <c r="E632" s="1" t="s">
        <v>2885</v>
      </c>
      <c r="F632" s="1" t="s">
        <v>112</v>
      </c>
      <c r="G632" s="1">
        <v>1440183</v>
      </c>
    </row>
    <row r="633" spans="1:7" x14ac:dyDescent="0.35">
      <c r="A633" s="1" t="str">
        <f t="shared" si="9"/>
        <v>08 Cefuroxime D 1</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2886</v>
      </c>
      <c r="D633" s="1" t="s">
        <v>2887</v>
      </c>
      <c r="E633" s="1" t="s">
        <v>2888</v>
      </c>
      <c r="F633" s="1" t="s">
        <v>112</v>
      </c>
      <c r="G633" s="1">
        <v>1399497</v>
      </c>
    </row>
    <row r="634" spans="1:7" x14ac:dyDescent="0.35">
      <c r="A634" s="1" t="str">
        <f t="shared" si="9"/>
        <v>08 Cefuroxime D 1</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2889</v>
      </c>
      <c r="D634" s="1" t="s">
        <v>2890</v>
      </c>
      <c r="E634" s="1" t="s">
        <v>2891</v>
      </c>
      <c r="F634" s="1" t="s">
        <v>112</v>
      </c>
      <c r="G634" s="1">
        <v>1313821</v>
      </c>
    </row>
    <row r="635" spans="1:7" x14ac:dyDescent="0.35">
      <c r="A635" s="1" t="str">
        <f t="shared" si="9"/>
        <v>08 Cefuroxime D 1</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2892</v>
      </c>
      <c r="D635" s="1" t="s">
        <v>658</v>
      </c>
      <c r="E635" s="1" t="s">
        <v>2893</v>
      </c>
      <c r="F635" s="1" t="s">
        <v>112</v>
      </c>
      <c r="G635" s="1">
        <v>1733420</v>
      </c>
    </row>
    <row r="636" spans="1:7" x14ac:dyDescent="0.35">
      <c r="A636" s="1" t="str">
        <f t="shared" si="9"/>
        <v>08 Cefuroxime D 1</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2894</v>
      </c>
      <c r="D636" s="1" t="s">
        <v>2895</v>
      </c>
      <c r="E636" s="1" t="s">
        <v>2896</v>
      </c>
      <c r="F636" s="1" t="s">
        <v>112</v>
      </c>
      <c r="G636" s="1">
        <v>2033859</v>
      </c>
    </row>
    <row r="637" spans="1:7" x14ac:dyDescent="0.35">
      <c r="A637" s="1" t="str">
        <f t="shared" si="9"/>
        <v>08 Cefuroxime D 1</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2897</v>
      </c>
      <c r="D637" s="1" t="s">
        <v>2898</v>
      </c>
      <c r="E637" s="1" t="s">
        <v>2899</v>
      </c>
      <c r="F637" s="1" t="s">
        <v>112</v>
      </c>
      <c r="G637" s="1">
        <v>1771056</v>
      </c>
    </row>
    <row r="638" spans="1:7" x14ac:dyDescent="0.35">
      <c r="A638" s="1" t="str">
        <f t="shared" si="9"/>
        <v>08 Cefuroxime D 1</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2900</v>
      </c>
      <c r="D638" s="1" t="s">
        <v>2901</v>
      </c>
      <c r="E638" s="1" t="s">
        <v>2902</v>
      </c>
      <c r="F638" s="1" t="s">
        <v>112</v>
      </c>
      <c r="G638" s="1">
        <v>1306770</v>
      </c>
    </row>
    <row r="639" spans="1:7" x14ac:dyDescent="0.35">
      <c r="A639" s="1" t="str">
        <f t="shared" si="9"/>
        <v>08 Cefuroxime D 1</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2903</v>
      </c>
      <c r="D639" s="1" t="s">
        <v>2904</v>
      </c>
      <c r="E639" s="1" t="s">
        <v>2905</v>
      </c>
      <c r="F639" s="1" t="s">
        <v>112</v>
      </c>
      <c r="G639" s="1">
        <v>1460537</v>
      </c>
    </row>
    <row r="640" spans="1:7" x14ac:dyDescent="0.35">
      <c r="A640" s="1" t="str">
        <f t="shared" si="9"/>
        <v>08 Cefuroxime D 1</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2906</v>
      </c>
      <c r="D640" s="1" t="s">
        <v>2907</v>
      </c>
      <c r="E640" s="1" t="s">
        <v>2908</v>
      </c>
      <c r="F640" s="1" t="s">
        <v>112</v>
      </c>
      <c r="G640" s="1">
        <v>1200308</v>
      </c>
    </row>
    <row r="641" spans="1:10" x14ac:dyDescent="0.35">
      <c r="A641" s="1" t="str">
        <f t="shared" si="9"/>
        <v>08 Cefuroxime D 1</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2909</v>
      </c>
      <c r="D641" s="1" t="s">
        <v>2910</v>
      </c>
      <c r="E641" s="1" t="s">
        <v>2911</v>
      </c>
      <c r="F641" s="1" t="s">
        <v>112</v>
      </c>
      <c r="G641" s="1">
        <v>1156810</v>
      </c>
    </row>
    <row r="642" spans="1:10" x14ac:dyDescent="0.35">
      <c r="A642" s="1" t="str">
        <f t="shared" ref="A642:A705" si="10">IFERROR(LEFT(RIGHT(C642,LEN(C642)-SEARCH("@",C642)),SEARCH("/",RIGHT(C642,LEN(C642)-SEARCH("@",C642)-1))),"")</f>
        <v>08 Cefuroxime D 1</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2912</v>
      </c>
      <c r="D642" s="1" t="s">
        <v>2898</v>
      </c>
      <c r="E642" s="1" t="s">
        <v>2913</v>
      </c>
      <c r="F642" s="1" t="s">
        <v>112</v>
      </c>
      <c r="G642" s="1">
        <v>1845354</v>
      </c>
    </row>
    <row r="643" spans="1:10" x14ac:dyDescent="0.35">
      <c r="A643" s="1" t="str">
        <f t="shared" si="10"/>
        <v>08 Cefuroxime D 1</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2914</v>
      </c>
      <c r="D643" s="1" t="s">
        <v>2915</v>
      </c>
      <c r="E643" s="1" t="s">
        <v>2916</v>
      </c>
      <c r="F643" s="1" t="s">
        <v>112</v>
      </c>
      <c r="G643" s="1">
        <v>1499687</v>
      </c>
    </row>
    <row r="644" spans="1:10" x14ac:dyDescent="0.35">
      <c r="A644" s="1" t="str">
        <f t="shared" si="10"/>
        <v>08 Cefuroxime D 1</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2917</v>
      </c>
      <c r="D644" s="1" t="s">
        <v>2492</v>
      </c>
      <c r="E644" s="1" t="s">
        <v>2918</v>
      </c>
      <c r="F644" s="1" t="s">
        <v>112</v>
      </c>
      <c r="G644" s="1">
        <v>710412</v>
      </c>
    </row>
    <row r="645" spans="1:10" x14ac:dyDescent="0.35">
      <c r="A645" s="1" t="str">
        <f t="shared" si="10"/>
        <v>08 Cefuroxime D 1</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2919</v>
      </c>
      <c r="D645" s="1" t="s">
        <v>2920</v>
      </c>
      <c r="E645" s="1" t="s">
        <v>2921</v>
      </c>
      <c r="F645" s="1" t="s">
        <v>112</v>
      </c>
      <c r="G645" s="1">
        <v>666395</v>
      </c>
    </row>
    <row r="646" spans="1:10" x14ac:dyDescent="0.35">
      <c r="A646" s="1" t="str">
        <f t="shared" si="10"/>
        <v>08 Cefuroxime D 1</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2922</v>
      </c>
      <c r="D646" s="1" t="s">
        <v>2923</v>
      </c>
      <c r="E646" s="1" t="s">
        <v>2924</v>
      </c>
      <c r="F646" s="1" t="s">
        <v>112</v>
      </c>
      <c r="G646" s="1">
        <v>561728</v>
      </c>
    </row>
    <row r="647" spans="1:10" x14ac:dyDescent="0.35">
      <c r="A647" s="1" t="str">
        <f t="shared" si="10"/>
        <v>08 Cefuroxime D 1</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2925</v>
      </c>
      <c r="D647" s="1" t="s">
        <v>374</v>
      </c>
      <c r="E647" s="1" t="s">
        <v>2926</v>
      </c>
      <c r="F647" s="1" t="s">
        <v>112</v>
      </c>
      <c r="G647" s="1">
        <v>519442</v>
      </c>
    </row>
    <row r="648" spans="1:10" x14ac:dyDescent="0.35">
      <c r="A648" s="1" t="str">
        <f t="shared" si="10"/>
        <v>08 Cefuroxime D 1</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2927</v>
      </c>
      <c r="D648" s="1" t="s">
        <v>2928</v>
      </c>
      <c r="E648" s="1" t="s">
        <v>2929</v>
      </c>
      <c r="F648" s="1" t="s">
        <v>112</v>
      </c>
      <c r="G648" s="1">
        <v>238837</v>
      </c>
    </row>
    <row r="649" spans="1:10" x14ac:dyDescent="0.35">
      <c r="A649" s="1" t="str">
        <f t="shared" si="10"/>
        <v>08 Cefuroxime D 1</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2930</v>
      </c>
      <c r="D649" s="1" t="s">
        <v>215</v>
      </c>
      <c r="E649" s="1" t="s">
        <v>2931</v>
      </c>
      <c r="F649" s="1" t="s">
        <v>112</v>
      </c>
      <c r="G649" s="1">
        <v>200120</v>
      </c>
    </row>
    <row r="650" spans="1:10" x14ac:dyDescent="0.35">
      <c r="A650" s="1" t="str">
        <f t="shared" si="10"/>
        <v>08 Cefuroxime D 1</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2932</v>
      </c>
      <c r="D650" s="1" t="s">
        <v>1160</v>
      </c>
      <c r="E650" s="1" t="s">
        <v>2933</v>
      </c>
      <c r="F650" s="1" t="s">
        <v>112</v>
      </c>
      <c r="G650" s="1">
        <v>2493667</v>
      </c>
    </row>
    <row r="651" spans="1:10" x14ac:dyDescent="0.35">
      <c r="A651" s="1" t="str">
        <f t="shared" si="10"/>
        <v>08 Cefuroxime D 1</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2934</v>
      </c>
      <c r="D651" s="1" t="s">
        <v>2935</v>
      </c>
      <c r="E651" s="1" t="s">
        <v>2936</v>
      </c>
      <c r="F651" s="1" t="s">
        <v>112</v>
      </c>
      <c r="G651" s="1">
        <v>2482831</v>
      </c>
    </row>
    <row r="652" spans="1:10" x14ac:dyDescent="0.35">
      <c r="A652" s="1" t="str">
        <f t="shared" si="10"/>
        <v>08 Cefuroxime D 1</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2937</v>
      </c>
      <c r="D652" s="1" t="s">
        <v>2574</v>
      </c>
      <c r="E652" s="1" t="s">
        <v>2938</v>
      </c>
      <c r="F652" s="1" t="s">
        <v>112</v>
      </c>
      <c r="G652" s="1">
        <v>2425987</v>
      </c>
    </row>
    <row r="653" spans="1:10"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234</v>
      </c>
      <c r="D654" s="1" t="s">
        <v>112</v>
      </c>
      <c r="E654" s="1" t="s">
        <v>235</v>
      </c>
      <c r="F654" s="1" t="s">
        <v>236</v>
      </c>
      <c r="G654" s="1" t="s">
        <v>237</v>
      </c>
      <c r="H654" s="1" t="s">
        <v>238</v>
      </c>
      <c r="I654" s="1" t="s">
        <v>239</v>
      </c>
      <c r="J654" s="1" t="s">
        <v>240</v>
      </c>
    </row>
    <row r="655" spans="1:10" x14ac:dyDescent="0.35">
      <c r="A655" s="1" t="str">
        <f t="shared" si="10"/>
        <v>08 Cefuroxime D 1</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2939</v>
      </c>
      <c r="D655" s="1" t="s">
        <v>112</v>
      </c>
      <c r="E655" s="1" t="s">
        <v>2940</v>
      </c>
      <c r="F655" s="1" t="s">
        <v>2941</v>
      </c>
      <c r="G655" s="1" t="s">
        <v>2942</v>
      </c>
      <c r="H655" s="1" t="s">
        <v>2943</v>
      </c>
      <c r="I655" s="1">
        <v>24</v>
      </c>
      <c r="J655" s="1">
        <v>24</v>
      </c>
    </row>
    <row r="656" spans="1:10"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246</v>
      </c>
      <c r="D661" s="1" t="s">
        <v>110</v>
      </c>
      <c r="E661" s="1" t="s">
        <v>111</v>
      </c>
      <c r="F661" s="1" t="s">
        <v>112</v>
      </c>
      <c r="G661" s="1" t="s">
        <v>113</v>
      </c>
    </row>
    <row r="662" spans="1:7" x14ac:dyDescent="0.35">
      <c r="A662" s="1" t="str">
        <f t="shared" si="10"/>
        <v>09 Cefuroxime D 10</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2944</v>
      </c>
      <c r="D662" s="1" t="s">
        <v>1894</v>
      </c>
      <c r="E662" s="1" t="s">
        <v>2945</v>
      </c>
      <c r="F662" s="1" t="s">
        <v>112</v>
      </c>
      <c r="G662" s="1">
        <v>1163169</v>
      </c>
    </row>
    <row r="663" spans="1:7" x14ac:dyDescent="0.35">
      <c r="A663" s="1" t="str">
        <f t="shared" si="10"/>
        <v>09 Cefuroxime D 10</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2946</v>
      </c>
    </row>
    <row r="664" spans="1:7" x14ac:dyDescent="0.35">
      <c r="A664" s="1" t="str">
        <f t="shared" si="10"/>
        <v>09 Cefuroxime D 10</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2947</v>
      </c>
      <c r="D664" s="1" t="s">
        <v>2948</v>
      </c>
      <c r="E664" s="1" t="s">
        <v>2949</v>
      </c>
      <c r="F664" s="1" t="s">
        <v>112</v>
      </c>
      <c r="G664" s="1">
        <v>871274</v>
      </c>
    </row>
    <row r="665" spans="1:7" x14ac:dyDescent="0.35">
      <c r="A665" s="1" t="str">
        <f t="shared" si="10"/>
        <v>09 Cefuroxime D 10</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2950</v>
      </c>
      <c r="D665" s="1" t="s">
        <v>339</v>
      </c>
      <c r="E665" s="1" t="s">
        <v>2951</v>
      </c>
      <c r="F665" s="1" t="s">
        <v>112</v>
      </c>
      <c r="G665" s="1">
        <v>412893</v>
      </c>
    </row>
    <row r="666" spans="1:7" x14ac:dyDescent="0.35">
      <c r="A666" s="1" t="str">
        <f t="shared" si="10"/>
        <v>09 Cefuroxime D 10</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2952</v>
      </c>
      <c r="D666" s="1" t="s">
        <v>248</v>
      </c>
      <c r="E666" s="1" t="s">
        <v>2953</v>
      </c>
      <c r="F666" s="1" t="s">
        <v>112</v>
      </c>
      <c r="G666" s="1">
        <v>237107</v>
      </c>
    </row>
    <row r="667" spans="1:7" x14ac:dyDescent="0.35">
      <c r="A667" s="1" t="str">
        <f t="shared" si="10"/>
        <v>09 Cefuroxime D 10</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2954</v>
      </c>
      <c r="D667" s="1" t="s">
        <v>2955</v>
      </c>
      <c r="E667" s="1" t="s">
        <v>2956</v>
      </c>
      <c r="F667" s="1" t="s">
        <v>112</v>
      </c>
      <c r="G667" s="1">
        <v>395546</v>
      </c>
    </row>
    <row r="668" spans="1:7" x14ac:dyDescent="0.35">
      <c r="A668" s="1" t="str">
        <f t="shared" si="10"/>
        <v>09 Cefuroxime D 10</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2957</v>
      </c>
      <c r="D668" s="1" t="s">
        <v>2958</v>
      </c>
      <c r="E668" s="1" t="s">
        <v>2959</v>
      </c>
      <c r="F668" s="1" t="s">
        <v>112</v>
      </c>
      <c r="G668" s="1">
        <v>897078</v>
      </c>
    </row>
    <row r="669" spans="1:7" x14ac:dyDescent="0.35">
      <c r="A669" s="1" t="str">
        <f t="shared" si="10"/>
        <v>09 Cefuroxime D 10</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2960</v>
      </c>
      <c r="D669" s="1" t="s">
        <v>2961</v>
      </c>
      <c r="E669" s="1" t="s">
        <v>2962</v>
      </c>
      <c r="F669" s="1" t="s">
        <v>112</v>
      </c>
      <c r="G669" s="1">
        <v>862103</v>
      </c>
    </row>
    <row r="670" spans="1:7" x14ac:dyDescent="0.35">
      <c r="A670" s="1" t="str">
        <f t="shared" si="10"/>
        <v>09 Cefuroxime D 10</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2963</v>
      </c>
      <c r="D670" s="1" t="s">
        <v>2964</v>
      </c>
      <c r="E670" s="1" t="s">
        <v>2965</v>
      </c>
      <c r="F670" s="1" t="s">
        <v>112</v>
      </c>
      <c r="G670" s="1">
        <v>829225</v>
      </c>
    </row>
    <row r="671" spans="1:7" x14ac:dyDescent="0.35">
      <c r="A671" s="1" t="str">
        <f t="shared" si="10"/>
        <v>09 Cefuroxime D 10</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2966</v>
      </c>
      <c r="D671" s="1" t="s">
        <v>762</v>
      </c>
      <c r="E671" s="1" t="s">
        <v>2967</v>
      </c>
      <c r="F671" s="1" t="s">
        <v>112</v>
      </c>
      <c r="G671" s="1">
        <v>45574</v>
      </c>
    </row>
    <row r="672" spans="1:7" x14ac:dyDescent="0.35">
      <c r="A672" s="1" t="str">
        <f t="shared" si="10"/>
        <v>09 Cefuroxime D 10</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2968</v>
      </c>
      <c r="D672" s="1" t="s">
        <v>2969</v>
      </c>
      <c r="E672" s="1" t="s">
        <v>2970</v>
      </c>
      <c r="F672" s="1" t="s">
        <v>112</v>
      </c>
      <c r="G672" s="1">
        <v>124804</v>
      </c>
    </row>
    <row r="673" spans="1:10" x14ac:dyDescent="0.35">
      <c r="A673" s="1" t="str">
        <f t="shared" si="10"/>
        <v>09 Cefuroxime D 10</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2971</v>
      </c>
    </row>
    <row r="674" spans="1:10" x14ac:dyDescent="0.35">
      <c r="A674" s="1" t="str">
        <f t="shared" si="10"/>
        <v>09 Cefuroxime D 10</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2972</v>
      </c>
      <c r="D674" s="1" t="s">
        <v>2973</v>
      </c>
      <c r="E674" s="1" t="s">
        <v>2974</v>
      </c>
      <c r="F674" s="1" t="s">
        <v>112</v>
      </c>
      <c r="G674" s="1">
        <v>763968</v>
      </c>
    </row>
    <row r="675" spans="1:10" x14ac:dyDescent="0.35">
      <c r="A675" s="1" t="str">
        <f t="shared" si="10"/>
        <v>09 Cefuroxime D 10</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2975</v>
      </c>
      <c r="D675" s="1" t="s">
        <v>2973</v>
      </c>
      <c r="E675" s="1" t="s">
        <v>2976</v>
      </c>
      <c r="F675" s="1" t="s">
        <v>112</v>
      </c>
      <c r="G675" s="1">
        <v>759209</v>
      </c>
    </row>
    <row r="676" spans="1:10" x14ac:dyDescent="0.35">
      <c r="A676" s="1" t="str">
        <f t="shared" si="10"/>
        <v>09 Cefuroxime D 10</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2977</v>
      </c>
      <c r="D676" s="1" t="s">
        <v>2978</v>
      </c>
      <c r="E676" s="1" t="s">
        <v>2979</v>
      </c>
      <c r="F676" s="1" t="s">
        <v>112</v>
      </c>
      <c r="G676" s="1">
        <v>743960</v>
      </c>
    </row>
    <row r="677" spans="1:10" x14ac:dyDescent="0.35">
      <c r="A677" s="1" t="str">
        <f t="shared" si="10"/>
        <v>09 Cefuroxime D 10</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2980</v>
      </c>
      <c r="D677" s="1" t="s">
        <v>2442</v>
      </c>
      <c r="E677" s="1" t="s">
        <v>2981</v>
      </c>
      <c r="F677" s="1" t="s">
        <v>112</v>
      </c>
      <c r="G677" s="1">
        <v>143731</v>
      </c>
    </row>
    <row r="678" spans="1:10" x14ac:dyDescent="0.35">
      <c r="A678" s="1" t="str">
        <f t="shared" si="10"/>
        <v>09 Cefuroxime D 10</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2982</v>
      </c>
      <c r="D678" s="1" t="s">
        <v>988</v>
      </c>
      <c r="E678" s="1" t="s">
        <v>2983</v>
      </c>
      <c r="F678" s="1" t="s">
        <v>112</v>
      </c>
      <c r="G678" s="1">
        <v>404046</v>
      </c>
    </row>
    <row r="679" spans="1:10" x14ac:dyDescent="0.35">
      <c r="A679" s="1" t="str">
        <f t="shared" si="10"/>
        <v>09 Cefuroxime D 10</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2984</v>
      </c>
      <c r="D679" s="1" t="s">
        <v>906</v>
      </c>
      <c r="E679" s="1" t="s">
        <v>2985</v>
      </c>
      <c r="F679" s="1" t="s">
        <v>112</v>
      </c>
      <c r="G679" s="1">
        <v>377096</v>
      </c>
    </row>
    <row r="680" spans="1:10" x14ac:dyDescent="0.35">
      <c r="A680" s="1" t="str">
        <f t="shared" si="10"/>
        <v>09 Cefuroxime D 10</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2986</v>
      </c>
      <c r="D680" s="1" t="s">
        <v>2987</v>
      </c>
      <c r="E680" s="1" t="s">
        <v>2988</v>
      </c>
      <c r="F680" s="1" t="s">
        <v>112</v>
      </c>
      <c r="G680" s="1">
        <v>3501296</v>
      </c>
    </row>
    <row r="681" spans="1:10" x14ac:dyDescent="0.35">
      <c r="A681" s="1" t="str">
        <f t="shared" si="10"/>
        <v>09 Cefuroxime D 10</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2989</v>
      </c>
      <c r="D681" s="1" t="s">
        <v>2990</v>
      </c>
      <c r="E681" s="1" t="s">
        <v>2991</v>
      </c>
      <c r="F681" s="1" t="s">
        <v>112</v>
      </c>
      <c r="G681" s="1">
        <v>3623029</v>
      </c>
    </row>
    <row r="682" spans="1:10" x14ac:dyDescent="0.35">
      <c r="A682" s="1" t="str">
        <f t="shared" si="10"/>
        <v>09 Cefuroxime D 10</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2992</v>
      </c>
      <c r="D682" s="1" t="s">
        <v>2993</v>
      </c>
      <c r="E682" s="1" t="s">
        <v>2994</v>
      </c>
      <c r="F682" s="1" t="s">
        <v>112</v>
      </c>
      <c r="G682" s="1">
        <v>3539667</v>
      </c>
    </row>
    <row r="683" spans="1:10" x14ac:dyDescent="0.35">
      <c r="A683" s="1" t="str">
        <f t="shared" si="10"/>
        <v>09 Cefuroxime D 10</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2995</v>
      </c>
      <c r="D683" s="1" t="s">
        <v>2277</v>
      </c>
      <c r="E683" s="1" t="s">
        <v>2996</v>
      </c>
      <c r="F683" s="1" t="s">
        <v>112</v>
      </c>
      <c r="G683" s="1">
        <v>281578</v>
      </c>
    </row>
    <row r="684" spans="1:10" x14ac:dyDescent="0.35">
      <c r="A684" s="1" t="str">
        <f t="shared" si="10"/>
        <v>09 Cefuroxime D 10</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2997</v>
      </c>
      <c r="D684" s="1" t="s">
        <v>2998</v>
      </c>
      <c r="E684" s="1" t="s">
        <v>2999</v>
      </c>
      <c r="F684" s="1" t="s">
        <v>112</v>
      </c>
      <c r="G684" s="1">
        <v>92727</v>
      </c>
    </row>
    <row r="685" spans="1:10" x14ac:dyDescent="0.35">
      <c r="A685" s="1" t="str">
        <f t="shared" si="10"/>
        <v>09 Cefuroxime D 10</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3000</v>
      </c>
      <c r="D685" s="1" t="s">
        <v>730</v>
      </c>
      <c r="E685" s="1" t="s">
        <v>3001</v>
      </c>
      <c r="F685" s="1" t="s">
        <v>112</v>
      </c>
      <c r="G685" s="1">
        <v>172520</v>
      </c>
    </row>
    <row r="686" spans="1:10"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234</v>
      </c>
      <c r="D687" s="1" t="s">
        <v>112</v>
      </c>
      <c r="E687" s="1" t="s">
        <v>235</v>
      </c>
      <c r="F687" s="1" t="s">
        <v>236</v>
      </c>
      <c r="G687" s="1" t="s">
        <v>237</v>
      </c>
      <c r="H687" s="1" t="s">
        <v>238</v>
      </c>
      <c r="I687" s="1" t="s">
        <v>239</v>
      </c>
      <c r="J687" s="1" t="s">
        <v>240</v>
      </c>
    </row>
    <row r="688" spans="1:10" x14ac:dyDescent="0.35">
      <c r="A688" s="1" t="str">
        <f t="shared" si="10"/>
        <v>09 Cefuroxime D 10</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3002</v>
      </c>
      <c r="D688" s="1" t="s">
        <v>112</v>
      </c>
      <c r="E688" s="1" t="s">
        <v>3003</v>
      </c>
      <c r="F688" s="1" t="s">
        <v>3004</v>
      </c>
      <c r="G688" s="1" t="s">
        <v>3005</v>
      </c>
      <c r="H688" s="1" t="s">
        <v>3006</v>
      </c>
      <c r="I688" s="1">
        <v>24</v>
      </c>
      <c r="J688" s="1">
        <v>24</v>
      </c>
    </row>
    <row r="689" spans="1:3"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3"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6"/>
  <sheetViews>
    <sheetView showGridLines="0" topLeftCell="I1" zoomScale="40" zoomScaleNormal="40" zoomScaleSheetLayoutView="40" zoomScalePageLayoutView="30" workbookViewId="0">
      <selection activeCell="X11" activeCellId="1" sqref="B4:V4 X11"/>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20" t="s">
        <v>43</v>
      </c>
      <c r="B1" s="221"/>
      <c r="C1" s="221"/>
      <c r="D1" s="221"/>
      <c r="E1" s="221"/>
      <c r="F1" s="221"/>
      <c r="G1" s="221"/>
      <c r="H1" s="221"/>
      <c r="I1" s="221"/>
      <c r="J1" s="221"/>
      <c r="K1" s="221"/>
      <c r="L1" s="221"/>
      <c r="M1" s="221"/>
      <c r="N1" s="221"/>
      <c r="O1" s="221"/>
      <c r="P1" s="221"/>
      <c r="Q1" s="221"/>
      <c r="R1" s="221"/>
      <c r="S1" s="221"/>
      <c r="T1" s="221"/>
      <c r="U1" s="221"/>
      <c r="V1" s="221"/>
    </row>
    <row r="2" spans="1:22" customFormat="1" ht="15" thickBot="1" x14ac:dyDescent="0.4"/>
    <row r="3" spans="1:22" ht="15" thickBot="1" x14ac:dyDescent="0.4">
      <c r="A3" s="51" t="s">
        <v>18</v>
      </c>
      <c r="B3" s="228" t="s">
        <v>6</v>
      </c>
      <c r="C3" s="229"/>
      <c r="D3" s="229"/>
      <c r="E3" s="229"/>
      <c r="F3" s="229"/>
      <c r="G3" s="229"/>
      <c r="H3" s="229"/>
      <c r="I3" s="229"/>
      <c r="J3" s="229"/>
      <c r="K3" s="229"/>
      <c r="L3" s="229"/>
      <c r="M3" s="229"/>
      <c r="O3" s="228" t="s">
        <v>3</v>
      </c>
      <c r="P3" s="229"/>
      <c r="Q3" s="229"/>
      <c r="R3" s="229"/>
      <c r="S3" s="229"/>
      <c r="T3" s="229"/>
      <c r="U3" s="229"/>
      <c r="V3" s="229"/>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 0,001mg/L</v>
      </c>
      <c r="J4" s="35" t="str">
        <f>'Page de garde'!A16</f>
        <v>Cefuroxime 0,01mg/L</v>
      </c>
      <c r="K4" s="35" t="str">
        <f>'Page de garde'!A17</f>
        <v>Cefuroxime 0,1mg/L</v>
      </c>
      <c r="L4" s="35" t="str">
        <f>'Page de garde'!A18</f>
        <v>Cefuroxime 1mg/L</v>
      </c>
      <c r="M4" s="35" t="str">
        <f>'Page de garde'!A19</f>
        <v>Cefuroxime 10mg/L</v>
      </c>
      <c r="N4" s="3"/>
      <c r="O4" s="36" t="str">
        <f>'Page de garde'!A36</f>
        <v>Testo -30µg/L</v>
      </c>
      <c r="P4" s="36" t="str">
        <f>'Page de garde'!A37</f>
        <v>Testo 30µg/L + EE2 -64ng/L</v>
      </c>
      <c r="Q4" s="36" t="str">
        <f>'Page de garde'!A38</f>
        <v>Testo 30µg/L + FAD-10µg/L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30" t="s">
        <v>33</v>
      </c>
      <c r="B5" s="195">
        <v>37668.5</v>
      </c>
      <c r="C5" s="195">
        <v>70282.666666666672</v>
      </c>
      <c r="D5" s="195">
        <v>771567.33333333337</v>
      </c>
      <c r="E5" s="195">
        <v>184611</v>
      </c>
      <c r="F5" s="195">
        <v>992725.33333333337</v>
      </c>
      <c r="G5" s="195">
        <v>3937015.6666666665</v>
      </c>
      <c r="H5" s="195">
        <v>4372541</v>
      </c>
      <c r="I5" s="195">
        <v>320447</v>
      </c>
      <c r="J5" s="195">
        <v>197502.66666666666</v>
      </c>
      <c r="K5" s="195">
        <v>23414</v>
      </c>
      <c r="L5" s="195">
        <v>343526</v>
      </c>
      <c r="M5" s="195">
        <v>326665.5</v>
      </c>
      <c r="N5" s="3"/>
      <c r="O5" s="195">
        <v>4618220.5</v>
      </c>
      <c r="P5" s="195">
        <v>1709908</v>
      </c>
      <c r="Q5" s="195">
        <v>554821.33333333337</v>
      </c>
      <c r="R5" s="195">
        <v>1076592</v>
      </c>
      <c r="S5" s="195">
        <v>1685754.6666666667</v>
      </c>
      <c r="T5" s="195">
        <v>1406844.3333333333</v>
      </c>
      <c r="U5" s="195">
        <v>4043745</v>
      </c>
      <c r="V5" s="195">
        <v>1017221.5</v>
      </c>
    </row>
    <row r="6" spans="1:22" x14ac:dyDescent="0.35">
      <c r="A6" s="230"/>
      <c r="B6" s="195">
        <v>172030</v>
      </c>
      <c r="C6" s="195">
        <v>70578.333333333328</v>
      </c>
      <c r="D6" s="195">
        <v>229781.66666666666</v>
      </c>
      <c r="E6" s="195">
        <v>2994060.3333333335</v>
      </c>
      <c r="F6" s="195">
        <v>1579602.3333333333</v>
      </c>
      <c r="G6" s="195">
        <v>1709670</v>
      </c>
      <c r="H6" s="195">
        <v>8092901</v>
      </c>
      <c r="I6" s="195">
        <v>43325</v>
      </c>
      <c r="J6" s="195">
        <v>108971.5</v>
      </c>
      <c r="K6" s="195">
        <v>201472</v>
      </c>
      <c r="L6" s="195">
        <v>15523</v>
      </c>
      <c r="M6" s="195">
        <v>27329.5</v>
      </c>
      <c r="N6" s="3"/>
      <c r="O6" s="195">
        <v>2618421.3333333335</v>
      </c>
      <c r="P6" s="195">
        <v>1293521.5</v>
      </c>
      <c r="Q6" s="195">
        <v>131077</v>
      </c>
      <c r="R6" s="195">
        <v>1471121.3333333333</v>
      </c>
      <c r="S6" s="195">
        <v>60614.333333333336</v>
      </c>
      <c r="T6" s="195">
        <v>1167754.3333333333</v>
      </c>
      <c r="U6" s="195">
        <v>1384500.3333333333</v>
      </c>
      <c r="V6" s="195">
        <v>348515.33333333331</v>
      </c>
    </row>
    <row r="7" spans="1:22" x14ac:dyDescent="0.35">
      <c r="A7" s="230"/>
      <c r="B7" s="195">
        <v>234886.33333333334</v>
      </c>
      <c r="C7" s="195">
        <v>541511.66666666663</v>
      </c>
      <c r="D7" s="195">
        <v>242550.33333333334</v>
      </c>
      <c r="E7" s="195">
        <v>1014600.6666666666</v>
      </c>
      <c r="F7" s="195">
        <v>2609091.6666666665</v>
      </c>
      <c r="G7" s="195">
        <v>3628342.6666666665</v>
      </c>
      <c r="H7" s="195">
        <v>7915287</v>
      </c>
      <c r="I7" s="195">
        <v>331435</v>
      </c>
      <c r="J7" s="195">
        <v>414392.66666666669</v>
      </c>
      <c r="K7" s="195">
        <v>54777.5</v>
      </c>
      <c r="L7" s="195">
        <v>130536.33333333333</v>
      </c>
      <c r="M7" s="195">
        <v>140962</v>
      </c>
      <c r="N7" s="3"/>
      <c r="O7" s="195">
        <v>4954103.666666667</v>
      </c>
      <c r="P7" s="195">
        <v>4404070</v>
      </c>
      <c r="Q7" s="195">
        <v>94083</v>
      </c>
      <c r="R7" s="195">
        <v>1561080</v>
      </c>
      <c r="S7" s="195">
        <v>2057208.5</v>
      </c>
      <c r="T7" s="195">
        <v>1691941</v>
      </c>
      <c r="U7" s="195">
        <v>1846111.6666666667</v>
      </c>
      <c r="V7" s="195">
        <v>862802</v>
      </c>
    </row>
    <row r="8" spans="1:22" x14ac:dyDescent="0.35">
      <c r="A8" s="230"/>
      <c r="B8" s="195">
        <v>299725.66666666669</v>
      </c>
      <c r="C8" s="195">
        <v>41129</v>
      </c>
      <c r="D8" s="195">
        <v>419998.5</v>
      </c>
      <c r="E8" s="195">
        <v>2244296</v>
      </c>
      <c r="F8" s="195">
        <v>3541816</v>
      </c>
      <c r="G8" s="195">
        <v>2857936.5</v>
      </c>
      <c r="H8" s="195">
        <v>5319115.666666667</v>
      </c>
      <c r="I8" s="195">
        <v>172552.5</v>
      </c>
      <c r="J8" s="195">
        <v>113794.66666666667</v>
      </c>
      <c r="K8" s="195">
        <v>76043.333333333328</v>
      </c>
      <c r="L8" s="195">
        <v>60109.5</v>
      </c>
      <c r="M8" s="195">
        <v>165159</v>
      </c>
      <c r="N8" s="3"/>
      <c r="O8" s="195">
        <v>1931384</v>
      </c>
      <c r="P8" s="195">
        <v>4868355.666666667</v>
      </c>
      <c r="Q8" s="195">
        <v>514510.5</v>
      </c>
      <c r="R8" s="195">
        <v>3088986.6666666665</v>
      </c>
      <c r="S8" s="195">
        <v>3136356.3333333335</v>
      </c>
      <c r="T8" s="195">
        <v>2511663.3333333335</v>
      </c>
      <c r="U8" s="195">
        <v>1322538.3333333333</v>
      </c>
      <c r="V8" s="195">
        <v>85189</v>
      </c>
    </row>
    <row r="9" spans="1:22" x14ac:dyDescent="0.35">
      <c r="A9" s="230"/>
      <c r="B9" s="195">
        <v>33649</v>
      </c>
      <c r="C9" s="195">
        <v>13114.666666666666</v>
      </c>
      <c r="D9" s="195">
        <v>448856.33333333331</v>
      </c>
      <c r="E9" s="195">
        <v>1550193</v>
      </c>
      <c r="F9" s="195">
        <v>2649503.6666666665</v>
      </c>
      <c r="G9" s="195">
        <v>4269330.5</v>
      </c>
      <c r="H9" s="195">
        <v>5204095</v>
      </c>
      <c r="I9" s="195">
        <v>21878.5</v>
      </c>
      <c r="J9" s="195">
        <v>315479.33333333331</v>
      </c>
      <c r="K9" s="195">
        <v>195534.33333333334</v>
      </c>
      <c r="L9" s="195">
        <v>143211.33333333334</v>
      </c>
      <c r="M9" s="195">
        <v>123759</v>
      </c>
      <c r="N9" s="3"/>
      <c r="O9" s="195">
        <v>5481048</v>
      </c>
      <c r="P9" s="195">
        <v>2369115</v>
      </c>
      <c r="Q9" s="195">
        <v>305443.33333333331</v>
      </c>
      <c r="R9" s="195">
        <v>1949127.6666666667</v>
      </c>
      <c r="S9" s="195">
        <v>779815.33333333337</v>
      </c>
      <c r="T9" s="195">
        <v>967303.33333333337</v>
      </c>
      <c r="U9" s="195">
        <v>1500617</v>
      </c>
      <c r="V9" s="195">
        <v>755712.33333333337</v>
      </c>
    </row>
    <row r="10" spans="1:22" x14ac:dyDescent="0.35">
      <c r="A10" s="230"/>
      <c r="B10" s="195">
        <v>120478.5</v>
      </c>
      <c r="C10" s="195">
        <v>65062.5</v>
      </c>
      <c r="D10" s="195">
        <v>41464.333333333336</v>
      </c>
      <c r="E10" s="195">
        <v>1005566.6666666666</v>
      </c>
      <c r="F10" s="195">
        <v>978385</v>
      </c>
      <c r="G10" s="195">
        <v>3171432.6666666665</v>
      </c>
      <c r="H10" s="195">
        <v>6255834</v>
      </c>
      <c r="I10" s="195">
        <v>48487.333333333336</v>
      </c>
      <c r="J10" s="195"/>
      <c r="K10" s="195">
        <v>154459</v>
      </c>
      <c r="L10" s="195"/>
      <c r="M10" s="195">
        <v>152177</v>
      </c>
      <c r="N10" s="3"/>
      <c r="O10" s="195">
        <v>339445.33333333331</v>
      </c>
      <c r="P10" s="195">
        <v>5103314</v>
      </c>
      <c r="Q10" s="195">
        <v>521013.66666666669</v>
      </c>
      <c r="R10" s="195">
        <v>2233654.3333333335</v>
      </c>
      <c r="S10" s="195">
        <v>313294.66666666669</v>
      </c>
      <c r="T10" s="195">
        <v>78279</v>
      </c>
      <c r="U10" s="195">
        <v>646178.33333333337</v>
      </c>
      <c r="V10" s="195">
        <v>308291</v>
      </c>
    </row>
    <row r="11" spans="1:22" x14ac:dyDescent="0.35">
      <c r="A11" s="230"/>
      <c r="B11" s="195">
        <v>76468.666666666672</v>
      </c>
      <c r="C11" s="195">
        <v>116844.66666666667</v>
      </c>
      <c r="D11" s="195">
        <v>296185.33333333331</v>
      </c>
      <c r="E11" s="195">
        <v>233235</v>
      </c>
      <c r="F11" s="195">
        <v>2309078</v>
      </c>
      <c r="G11" s="195">
        <v>4413861</v>
      </c>
      <c r="H11" s="195">
        <v>5242278.666666667</v>
      </c>
      <c r="I11" s="195">
        <v>33743</v>
      </c>
      <c r="J11" s="195">
        <v>27199.5</v>
      </c>
      <c r="K11" s="195">
        <v>49748.666666666664</v>
      </c>
      <c r="L11" s="195">
        <v>47434</v>
      </c>
      <c r="M11" s="195">
        <v>65163.666666666664</v>
      </c>
      <c r="N11" s="3"/>
      <c r="O11" s="195">
        <v>2764495</v>
      </c>
      <c r="P11" s="195">
        <v>2670059.3333333335</v>
      </c>
      <c r="Q11" s="195">
        <v>43576.666666666664</v>
      </c>
      <c r="R11" s="195">
        <v>2126182.6666666665</v>
      </c>
      <c r="S11" s="195">
        <v>2038026.3333333333</v>
      </c>
      <c r="T11" s="195">
        <v>1391790</v>
      </c>
      <c r="U11" s="195">
        <v>319466.33333333331</v>
      </c>
      <c r="V11" s="195">
        <v>3554664</v>
      </c>
    </row>
    <row r="12" spans="1:22" x14ac:dyDescent="0.35">
      <c r="A12" s="230"/>
      <c r="B12" s="195">
        <v>266292.66666666669</v>
      </c>
      <c r="C12" s="195">
        <v>92208.5</v>
      </c>
      <c r="D12" s="195">
        <v>305003</v>
      </c>
      <c r="E12" s="195">
        <v>1819434.6666666667</v>
      </c>
      <c r="F12" s="195">
        <v>2807592.5</v>
      </c>
      <c r="G12" s="195">
        <v>1371494</v>
      </c>
      <c r="H12" s="195">
        <v>5851780.666666667</v>
      </c>
      <c r="I12" s="195">
        <v>59316.333333333336</v>
      </c>
      <c r="J12" s="195">
        <v>144394</v>
      </c>
      <c r="K12" s="195">
        <v>170638.33333333334</v>
      </c>
      <c r="L12" s="195">
        <v>120529</v>
      </c>
      <c r="M12" s="195">
        <v>351882.33333333331</v>
      </c>
      <c r="N12" s="3"/>
      <c r="O12" s="195">
        <v>1966150</v>
      </c>
      <c r="P12" s="195">
        <v>3075518.6666666665</v>
      </c>
      <c r="Q12" s="195">
        <v>8623</v>
      </c>
      <c r="R12" s="195">
        <v>595968.33333333337</v>
      </c>
      <c r="S12" s="195">
        <v>3783054</v>
      </c>
      <c r="T12" s="195">
        <v>171770</v>
      </c>
      <c r="U12" s="195">
        <v>2467495</v>
      </c>
      <c r="V12" s="195">
        <v>182275</v>
      </c>
    </row>
    <row r="13" spans="1:22" ht="16.5" x14ac:dyDescent="0.35">
      <c r="A13" s="230"/>
      <c r="B13" s="14"/>
      <c r="C13" s="13"/>
      <c r="D13" s="32"/>
      <c r="E13" s="32"/>
      <c r="F13" s="32"/>
      <c r="G13" s="32"/>
      <c r="H13" s="32"/>
      <c r="I13" s="32"/>
      <c r="J13" s="32"/>
      <c r="K13" s="13"/>
      <c r="L13" s="13"/>
      <c r="M13" s="13"/>
      <c r="N13" s="3"/>
      <c r="O13" s="195">
        <v>890005</v>
      </c>
      <c r="P13" s="13"/>
      <c r="Q13" s="13"/>
      <c r="R13" s="32"/>
      <c r="S13" s="32"/>
      <c r="T13" s="32"/>
      <c r="U13" s="32"/>
      <c r="V13" s="32"/>
    </row>
    <row r="14" spans="1:22" ht="16.5" x14ac:dyDescent="0.35">
      <c r="A14" s="230"/>
      <c r="B14" s="14"/>
      <c r="C14" s="32"/>
      <c r="D14" s="32"/>
      <c r="E14" s="32"/>
      <c r="F14" s="32"/>
      <c r="G14" s="32"/>
      <c r="H14" s="32"/>
      <c r="I14" s="32"/>
      <c r="J14" s="32"/>
      <c r="K14" s="13"/>
      <c r="L14" s="13"/>
      <c r="M14" s="13"/>
      <c r="N14" s="3"/>
      <c r="O14" s="195">
        <v>3778987.6666666665</v>
      </c>
      <c r="P14" s="13"/>
      <c r="Q14" s="13"/>
      <c r="R14" s="32"/>
      <c r="S14" s="32"/>
      <c r="T14" s="32"/>
      <c r="U14" s="32"/>
      <c r="V14" s="32"/>
    </row>
    <row r="15" spans="1:22" ht="16.5" x14ac:dyDescent="0.35">
      <c r="A15" s="230"/>
      <c r="B15" s="14"/>
      <c r="C15" s="32"/>
      <c r="D15" s="32"/>
      <c r="E15" s="32"/>
      <c r="F15" s="32"/>
      <c r="G15" s="32"/>
      <c r="H15" s="32"/>
      <c r="I15" s="32"/>
      <c r="J15" s="32"/>
      <c r="K15" s="13"/>
      <c r="L15" s="13"/>
      <c r="M15" s="13"/>
      <c r="N15" s="3"/>
      <c r="O15" s="195">
        <v>2628346</v>
      </c>
      <c r="P15" s="13"/>
      <c r="Q15" s="13"/>
      <c r="R15" s="32"/>
      <c r="S15" s="32"/>
      <c r="T15" s="32"/>
      <c r="U15" s="32"/>
      <c r="V15" s="32"/>
    </row>
    <row r="16" spans="1:22" ht="16.5" x14ac:dyDescent="0.35">
      <c r="A16" s="230"/>
      <c r="B16" s="14"/>
      <c r="C16" s="32"/>
      <c r="D16" s="32"/>
      <c r="E16" s="32"/>
      <c r="F16" s="32"/>
      <c r="G16" s="32"/>
      <c r="H16" s="32"/>
      <c r="I16" s="32"/>
      <c r="J16" s="32"/>
      <c r="K16" s="13"/>
      <c r="L16" s="13"/>
      <c r="M16" s="13"/>
      <c r="N16" s="3"/>
      <c r="O16" s="195">
        <v>614130.66666666663</v>
      </c>
      <c r="P16" s="13"/>
      <c r="Q16" s="13"/>
      <c r="R16" s="32"/>
      <c r="S16" s="32"/>
      <c r="T16" s="32"/>
      <c r="U16" s="32"/>
      <c r="V16" s="32"/>
    </row>
    <row r="17" spans="1:22" ht="16.5" x14ac:dyDescent="0.35">
      <c r="A17" s="230"/>
      <c r="B17" s="14"/>
      <c r="C17" s="32"/>
      <c r="D17" s="32"/>
      <c r="E17" s="32"/>
      <c r="F17" s="32"/>
      <c r="G17" s="32"/>
      <c r="H17" s="32"/>
      <c r="I17" s="32"/>
      <c r="J17" s="32"/>
      <c r="K17" s="13"/>
      <c r="L17" s="13"/>
      <c r="M17" s="13"/>
      <c r="N17" s="3"/>
      <c r="O17" s="195">
        <v>1764552.6666666667</v>
      </c>
      <c r="P17" s="13"/>
      <c r="Q17" s="13"/>
      <c r="R17" s="32"/>
      <c r="S17" s="32"/>
      <c r="T17" s="32"/>
      <c r="U17" s="32"/>
      <c r="V17" s="32"/>
    </row>
    <row r="18" spans="1:22" ht="16.5" x14ac:dyDescent="0.35">
      <c r="A18" s="230"/>
      <c r="B18" s="14"/>
      <c r="C18" s="32"/>
      <c r="D18" s="32"/>
      <c r="E18" s="32"/>
      <c r="F18" s="32"/>
      <c r="G18" s="32"/>
      <c r="H18" s="32"/>
      <c r="I18" s="32"/>
      <c r="J18" s="32"/>
      <c r="K18" s="13"/>
      <c r="L18" s="13"/>
      <c r="M18" s="13"/>
      <c r="N18" s="3"/>
      <c r="O18" s="195">
        <v>2758662.3333333335</v>
      </c>
      <c r="P18" s="13"/>
      <c r="Q18" s="13"/>
      <c r="R18" s="32"/>
      <c r="S18" s="32"/>
      <c r="T18" s="32"/>
      <c r="U18" s="32"/>
      <c r="V18" s="32"/>
    </row>
    <row r="19" spans="1:22" ht="16.5" x14ac:dyDescent="0.35">
      <c r="A19" s="230"/>
      <c r="B19" s="14"/>
      <c r="C19" s="32"/>
      <c r="D19" s="32"/>
      <c r="E19" s="32"/>
      <c r="F19" s="32"/>
      <c r="G19" s="32"/>
      <c r="H19" s="32"/>
      <c r="I19" s="32"/>
      <c r="J19" s="32"/>
      <c r="K19" s="13"/>
      <c r="L19" s="13"/>
      <c r="M19" s="13"/>
      <c r="N19" s="3"/>
      <c r="O19" s="195">
        <v>2818642.3333333335</v>
      </c>
      <c r="P19" s="13"/>
      <c r="Q19" s="13"/>
      <c r="R19" s="32"/>
      <c r="S19" s="32"/>
      <c r="T19" s="32"/>
      <c r="U19" s="32"/>
      <c r="V19" s="32"/>
    </row>
    <row r="20" spans="1:22" ht="16.5" x14ac:dyDescent="0.35">
      <c r="A20" s="230"/>
      <c r="B20" s="14"/>
      <c r="C20" s="32"/>
      <c r="D20" s="32"/>
      <c r="E20" s="32"/>
      <c r="F20" s="32"/>
      <c r="G20" s="32"/>
      <c r="H20" s="32"/>
      <c r="I20" s="32"/>
      <c r="J20" s="32"/>
      <c r="K20" s="13"/>
      <c r="L20" s="13"/>
      <c r="M20" s="13"/>
      <c r="N20" s="3"/>
      <c r="O20" s="195">
        <v>174394.66666666666</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 0,001mg/L</v>
      </c>
      <c r="J22" s="3" t="str">
        <f t="shared" si="0"/>
        <v>Cefuroxime 0,01mg/L</v>
      </c>
      <c r="K22" s="3" t="str">
        <f t="shared" si="0"/>
        <v>Cefuroxime 0,1mg/L</v>
      </c>
      <c r="L22" s="3" t="str">
        <f t="shared" si="0"/>
        <v>Cefuroxime 1mg/L</v>
      </c>
      <c r="M22" s="3" t="str">
        <f t="shared" si="0"/>
        <v>Cefuroxime 10mg/L</v>
      </c>
      <c r="N22" s="3" t="s">
        <v>41</v>
      </c>
      <c r="O22" s="3" t="str">
        <f t="shared" si="0"/>
        <v>Testo -30µg/L</v>
      </c>
      <c r="P22" s="3" t="str">
        <f t="shared" si="0"/>
        <v>Testo 30µg/L + EE2 -64ng/L</v>
      </c>
      <c r="Q22" s="3" t="str">
        <f t="shared" si="0"/>
        <v>Testo 30µg/L + FAD-10µg/L</v>
      </c>
      <c r="R22" s="3" t="str">
        <f t="shared" si="0"/>
        <v>Cefuroxime-0,001mg/L + Testostérone</v>
      </c>
      <c r="S22" s="3" t="str">
        <f t="shared" si="0"/>
        <v>Cefuroxime-0,01mg/L + Testostérone</v>
      </c>
      <c r="T22" s="3" t="str">
        <f t="shared" si="0"/>
        <v>Cefuroxime-0,1mg/L + Testostérone</v>
      </c>
      <c r="U22" s="3" t="str">
        <f t="shared" si="0"/>
        <v>Cefuroxime-1mg/L + Testostérone</v>
      </c>
      <c r="V22" s="3" t="str">
        <f t="shared" si="0"/>
        <v>Cefuroxime-10mg/L + Testostérone</v>
      </c>
    </row>
    <row r="23" spans="1:22" x14ac:dyDescent="0.35">
      <c r="A23" s="5" t="s">
        <v>0</v>
      </c>
      <c r="B23" s="5">
        <f t="shared" ref="B23:J23" si="1">AVERAGE(B5:B20)</f>
        <v>155149.91666666666</v>
      </c>
      <c r="C23" s="5">
        <f t="shared" si="1"/>
        <v>126341.49999999999</v>
      </c>
      <c r="D23" s="5">
        <f t="shared" si="1"/>
        <v>344425.85416666669</v>
      </c>
      <c r="E23" s="5">
        <f t="shared" si="1"/>
        <v>1380749.6666666665</v>
      </c>
      <c r="F23" s="5">
        <f t="shared" si="1"/>
        <v>2183474.3125</v>
      </c>
      <c r="G23" s="5">
        <f t="shared" si="1"/>
        <v>3169885.375</v>
      </c>
      <c r="H23" s="5">
        <f t="shared" si="1"/>
        <v>6031729.125</v>
      </c>
      <c r="I23" s="5">
        <f t="shared" si="1"/>
        <v>128898.08333333334</v>
      </c>
      <c r="J23" s="5">
        <f t="shared" si="1"/>
        <v>188819.19047619047</v>
      </c>
      <c r="K23" s="5"/>
      <c r="L23" s="5">
        <f>AVERAGE(L5:L20)</f>
        <v>122981.30952380951</v>
      </c>
      <c r="M23" s="5"/>
      <c r="N23" s="5" t="s">
        <v>0</v>
      </c>
      <c r="O23" s="5">
        <f>AVERAGE(O5:O20)</f>
        <v>2506311.822916667</v>
      </c>
      <c r="P23" s="5">
        <f>AVERAGE(P5:P20)</f>
        <v>3186732.7708333335</v>
      </c>
      <c r="Q23" s="5">
        <f>AVERAGE(Q5:Q20)</f>
        <v>271643.5625</v>
      </c>
      <c r="R23" s="5">
        <f>AVERAGE(R5:R20)</f>
        <v>1762839.125</v>
      </c>
      <c r="S23" s="5">
        <f>AVERAGE(S5:S20)</f>
        <v>1731765.5208333335</v>
      </c>
      <c r="T23" s="5">
        <f t="shared" ref="T23:V23" si="2">AVERAGE(T5:T20)</f>
        <v>1173418.1666666665</v>
      </c>
      <c r="U23" s="5">
        <f t="shared" si="2"/>
        <v>1691331.5000000002</v>
      </c>
      <c r="V23" s="5">
        <f t="shared" si="2"/>
        <v>889333.77083333326</v>
      </c>
    </row>
    <row r="24" spans="1:22" x14ac:dyDescent="0.35">
      <c r="A24" s="3" t="s">
        <v>1</v>
      </c>
      <c r="B24" s="3">
        <f t="shared" ref="B24:J24" si="3">STDEV(B5:B20)</f>
        <v>104098.09520000761</v>
      </c>
      <c r="C24" s="3">
        <f t="shared" si="3"/>
        <v>170591.51048954102</v>
      </c>
      <c r="D24" s="3">
        <f t="shared" si="3"/>
        <v>213225.46647054813</v>
      </c>
      <c r="E24" s="3">
        <f t="shared" si="3"/>
        <v>970419.94909642998</v>
      </c>
      <c r="F24" s="3">
        <f t="shared" si="3"/>
        <v>916788.66384679219</v>
      </c>
      <c r="G24" s="3">
        <f t="shared" si="3"/>
        <v>1135069.6570784529</v>
      </c>
      <c r="H24" s="3">
        <f t="shared" si="3"/>
        <v>1333510.8149749921</v>
      </c>
      <c r="I24" s="3">
        <f t="shared" si="3"/>
        <v>130250.22101672135</v>
      </c>
      <c r="J24" s="3">
        <f t="shared" si="3"/>
        <v>133604.16813214228</v>
      </c>
      <c r="K24" s="3"/>
      <c r="L24" s="3">
        <f>STDEV(L5:L20)</f>
        <v>108258.83740841894</v>
      </c>
      <c r="M24" s="3"/>
      <c r="N24" s="3" t="s">
        <v>1</v>
      </c>
      <c r="O24" s="3">
        <f>STDEV(O5:O20)</f>
        <v>1605706.9384792424</v>
      </c>
      <c r="P24" s="3">
        <f>STDEV(P5:P20)</f>
        <v>1448946.8223616518</v>
      </c>
      <c r="Q24" s="3">
        <f>STDEV(Q5:Q20)</f>
        <v>231449.75070396619</v>
      </c>
      <c r="R24" s="3">
        <f>STDEV(R5:R20)</f>
        <v>765822.13416179374</v>
      </c>
      <c r="S24" s="3">
        <f>STDEV(S5:S20)</f>
        <v>1314398.3200943931</v>
      </c>
      <c r="T24" s="3">
        <f t="shared" ref="T24:V24" si="4">STDEV(T5:T20)</f>
        <v>793462.9647811359</v>
      </c>
      <c r="U24" s="3">
        <f t="shared" si="4"/>
        <v>1158886.2212204859</v>
      </c>
      <c r="V24" s="3">
        <f t="shared" si="4"/>
        <v>1128562.6336788326</v>
      </c>
    </row>
    <row r="25" spans="1:22" ht="15" thickBot="1" x14ac:dyDescent="0.4"/>
    <row r="26" spans="1:22" ht="15" thickBot="1" x14ac:dyDescent="0.4">
      <c r="B26" s="228" t="s">
        <v>6</v>
      </c>
      <c r="C26" s="229"/>
      <c r="D26" s="229"/>
      <c r="E26" s="229"/>
      <c r="F26" s="229"/>
      <c r="G26" s="229"/>
      <c r="H26" s="229"/>
      <c r="I26" s="229"/>
      <c r="J26" s="229"/>
      <c r="K26" s="229"/>
      <c r="L26" s="229"/>
      <c r="M26" s="229"/>
      <c r="O26" s="228" t="s">
        <v>3</v>
      </c>
      <c r="P26" s="229"/>
      <c r="Q26" s="229"/>
      <c r="R26" s="229"/>
      <c r="S26" s="229"/>
      <c r="T26" s="229"/>
      <c r="U26" s="229"/>
      <c r="V26" s="22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Cefuroxime 0,001mg/L</v>
      </c>
      <c r="J27" s="35" t="str">
        <f t="shared" si="5"/>
        <v>Cefuroxime 0,01mg/L</v>
      </c>
      <c r="K27" s="35" t="str">
        <f t="shared" si="5"/>
        <v>Cefuroxime 0,1mg/L</v>
      </c>
      <c r="L27" s="35" t="str">
        <f t="shared" si="5"/>
        <v>Cefuroxime 1mg/L</v>
      </c>
      <c r="M27" s="35" t="str">
        <f t="shared" si="5"/>
        <v>Cefuroxime 10mg/L</v>
      </c>
      <c r="N27" s="3"/>
      <c r="O27" s="36" t="str">
        <f>O4</f>
        <v>Testo -30µg/L</v>
      </c>
      <c r="P27" s="36" t="str">
        <f t="shared" ref="P27:R27" si="6">P4</f>
        <v>Testo 30µg/L + EE2 -64ng/L</v>
      </c>
      <c r="Q27" s="36" t="str">
        <f t="shared" si="6"/>
        <v>Testo 30µg/L + FAD-10µg/L</v>
      </c>
      <c r="R27" s="36" t="str">
        <f t="shared" si="6"/>
        <v>Cefuroxime-0,001mg/L + Testostérone</v>
      </c>
      <c r="S27" s="36" t="str">
        <f t="shared" ref="S27:V27" si="7">S4</f>
        <v>Cefuroxime-0,01mg/L + Testostérone</v>
      </c>
      <c r="T27" s="36" t="str">
        <f t="shared" si="7"/>
        <v>Cefuroxime-0,1mg/L + Testostérone</v>
      </c>
      <c r="U27" s="36" t="str">
        <f t="shared" si="7"/>
        <v>Cefuroxime-1mg/L + Testostérone</v>
      </c>
      <c r="V27" s="36" t="str">
        <f t="shared" si="7"/>
        <v>Cefuroxime-10mg/L + Testostérone</v>
      </c>
    </row>
    <row r="28" spans="1:22" x14ac:dyDescent="0.35">
      <c r="A28" s="231" t="s">
        <v>34</v>
      </c>
      <c r="B28" s="11">
        <f t="shared" ref="B28:M28" si="8">IF(B5="","",(B5/$O$23))</f>
        <v>1.5029454697366461E-2</v>
      </c>
      <c r="C28" s="11">
        <f t="shared" si="8"/>
        <v>2.804226753591926E-2</v>
      </c>
      <c r="D28" s="11">
        <f t="shared" si="8"/>
        <v>0.30784969622632125</v>
      </c>
      <c r="E28" s="11">
        <f t="shared" si="8"/>
        <v>7.3658432407330263E-2</v>
      </c>
      <c r="F28" s="11">
        <f t="shared" si="8"/>
        <v>0.39609011307223152</v>
      </c>
      <c r="G28" s="11">
        <f t="shared" si="8"/>
        <v>1.5708403202938446</v>
      </c>
      <c r="H28" s="11">
        <f t="shared" si="8"/>
        <v>1.7446117278860971</v>
      </c>
      <c r="I28" s="11">
        <f t="shared" si="8"/>
        <v>0.12785599823213004</v>
      </c>
      <c r="J28" s="11">
        <f t="shared" si="8"/>
        <v>7.8802112674402638E-2</v>
      </c>
      <c r="K28" s="11">
        <f t="shared" si="8"/>
        <v>9.3420139449178572E-3</v>
      </c>
      <c r="L28" s="11">
        <f t="shared" si="8"/>
        <v>0.13706434963875683</v>
      </c>
      <c r="M28" s="11">
        <f t="shared" si="8"/>
        <v>0.13033713403619904</v>
      </c>
      <c r="N28" s="6"/>
      <c r="O28" s="11">
        <f t="shared" ref="O28:S37" si="9">IF(O5="","",(O5/$O$23))</f>
        <v>1.8426360430385891</v>
      </c>
      <c r="P28" s="11">
        <f t="shared" si="9"/>
        <v>0.68224072693801163</v>
      </c>
      <c r="Q28" s="11">
        <f t="shared" si="9"/>
        <v>0.22136963495933712</v>
      </c>
      <c r="R28" s="11">
        <f t="shared" si="9"/>
        <v>0.42955229678769141</v>
      </c>
      <c r="S28" s="11">
        <f t="shared" si="9"/>
        <v>0.67260372442599969</v>
      </c>
      <c r="T28" s="11">
        <f t="shared" ref="T28:V28" si="10">IF(T5="","",(T5/$O$23))</f>
        <v>0.56132055096645883</v>
      </c>
      <c r="U28" s="11">
        <f t="shared" si="10"/>
        <v>1.6134245400056317</v>
      </c>
      <c r="V28" s="11">
        <f t="shared" si="10"/>
        <v>0.40586390356497226</v>
      </c>
    </row>
    <row r="29" spans="1:22" x14ac:dyDescent="0.35">
      <c r="A29" s="231"/>
      <c r="B29" s="11">
        <f t="shared" ref="B29:M29" si="11">IF(B6="","",(B6/$O$23))</f>
        <v>6.8638705857359664E-2</v>
      </c>
      <c r="C29" s="11">
        <f t="shared" si="11"/>
        <v>2.8160236363246813E-2</v>
      </c>
      <c r="D29" s="11">
        <f t="shared" si="11"/>
        <v>9.1681196475889071E-2</v>
      </c>
      <c r="E29" s="11">
        <f t="shared" si="11"/>
        <v>1.1946080714925007</v>
      </c>
      <c r="F29" s="11">
        <f t="shared" si="11"/>
        <v>0.63024972347419428</v>
      </c>
      <c r="G29" s="11">
        <f t="shared" si="11"/>
        <v>0.68214576668692728</v>
      </c>
      <c r="H29" s="11">
        <f t="shared" si="11"/>
        <v>3.2290080292491532</v>
      </c>
      <c r="I29" s="11">
        <f t="shared" si="11"/>
        <v>1.7286356631227736E-2</v>
      </c>
      <c r="J29" s="11">
        <f t="shared" si="11"/>
        <v>4.3478827735483741E-2</v>
      </c>
      <c r="K29" s="11">
        <f t="shared" si="11"/>
        <v>8.0385847506213831E-2</v>
      </c>
      <c r="L29" s="11">
        <f t="shared" si="11"/>
        <v>6.1935629310224611E-3</v>
      </c>
      <c r="M29" s="11">
        <f t="shared" si="11"/>
        <v>1.0904269672317101E-2</v>
      </c>
      <c r="N29" s="6"/>
      <c r="O29" s="11">
        <f t="shared" si="9"/>
        <v>1.0447308708324257</v>
      </c>
      <c r="P29" s="11">
        <f t="shared" si="9"/>
        <v>0.51610557320624695</v>
      </c>
      <c r="Q29" s="11">
        <f t="shared" si="9"/>
        <v>5.2298759795763136E-2</v>
      </c>
      <c r="R29" s="11">
        <f t="shared" si="9"/>
        <v>0.58696660163432779</v>
      </c>
      <c r="S29" s="11">
        <f t="shared" si="9"/>
        <v>2.4184673582553145E-2</v>
      </c>
      <c r="T29" s="11">
        <f t="shared" ref="T29:V29" si="12">IF(T6="","",(T6/$O$23))</f>
        <v>0.46592539789178511</v>
      </c>
      <c r="U29" s="11">
        <f t="shared" si="12"/>
        <v>0.55240545915876915</v>
      </c>
      <c r="V29" s="11">
        <f t="shared" si="12"/>
        <v>0.13905505697521547</v>
      </c>
    </row>
    <row r="30" spans="1:22" x14ac:dyDescent="0.35">
      <c r="A30" s="231"/>
      <c r="B30" s="11">
        <f t="shared" ref="B30:M30" si="13">IF(B7="","",(B7/$O$23))</f>
        <v>9.3717920964834042E-2</v>
      </c>
      <c r="C30" s="11">
        <f t="shared" si="13"/>
        <v>0.21605917576388958</v>
      </c>
      <c r="D30" s="11">
        <f t="shared" si="13"/>
        <v>9.6775800646812793E-2</v>
      </c>
      <c r="E30" s="11">
        <f t="shared" si="13"/>
        <v>0.40481821032386411</v>
      </c>
      <c r="F30" s="11">
        <f t="shared" si="13"/>
        <v>1.0410084023904063</v>
      </c>
      <c r="G30" s="11">
        <f t="shared" si="13"/>
        <v>1.4476820615418315</v>
      </c>
      <c r="H30" s="11">
        <f t="shared" si="13"/>
        <v>3.1581413484251746</v>
      </c>
      <c r="I30" s="11">
        <f t="shared" si="13"/>
        <v>0.13224012948807765</v>
      </c>
      <c r="J30" s="11">
        <f t="shared" si="13"/>
        <v>0.16533962888321935</v>
      </c>
      <c r="K30" s="11">
        <f t="shared" si="13"/>
        <v>2.1855819973850599E-2</v>
      </c>
      <c r="L30" s="11">
        <f t="shared" si="13"/>
        <v>5.2083037768789857E-2</v>
      </c>
      <c r="M30" s="11">
        <f t="shared" si="13"/>
        <v>5.6242802156979202E-2</v>
      </c>
      <c r="N30" s="6"/>
      <c r="O30" s="11">
        <f t="shared" si="9"/>
        <v>1.9766509583398264</v>
      </c>
      <c r="P30" s="11">
        <f t="shared" si="9"/>
        <v>1.757191567198872</v>
      </c>
      <c r="Q30" s="11">
        <f t="shared" si="9"/>
        <v>3.7538425641911115E-2</v>
      </c>
      <c r="R30" s="11">
        <f t="shared" si="9"/>
        <v>0.62285944858342746</v>
      </c>
      <c r="S30" s="11">
        <f t="shared" si="9"/>
        <v>0.82081107434028999</v>
      </c>
      <c r="T30" s="11">
        <f t="shared" ref="T30:V30" si="14">IF(T7="","",(T7/$O$23))</f>
        <v>0.67507202596644167</v>
      </c>
      <c r="U30" s="11">
        <f t="shared" si="14"/>
        <v>0.7365849890610553</v>
      </c>
      <c r="V30" s="11">
        <f t="shared" si="14"/>
        <v>0.34425165779888178</v>
      </c>
    </row>
    <row r="31" spans="1:22" x14ac:dyDescent="0.35">
      <c r="A31" s="231"/>
      <c r="B31" s="11">
        <f t="shared" ref="B31:M31" si="15">IF(B8="","",(B8/$O$23))</f>
        <v>0.11958833850046134</v>
      </c>
      <c r="C31" s="11">
        <f t="shared" si="15"/>
        <v>1.6410168768280796E-2</v>
      </c>
      <c r="D31" s="11">
        <f t="shared" si="15"/>
        <v>0.16757631518939878</v>
      </c>
      <c r="E31" s="11">
        <f t="shared" si="15"/>
        <v>0.89545761204934526</v>
      </c>
      <c r="F31" s="11">
        <f t="shared" si="15"/>
        <v>1.4131585573730754</v>
      </c>
      <c r="G31" s="11">
        <f t="shared" si="15"/>
        <v>1.1402956622828109</v>
      </c>
      <c r="H31" s="11">
        <f t="shared" si="15"/>
        <v>2.1222880640911868</v>
      </c>
      <c r="I31" s="11">
        <f t="shared" si="15"/>
        <v>6.8847179517828594E-2</v>
      </c>
      <c r="J31" s="11">
        <f t="shared" si="15"/>
        <v>4.5403235792999035E-2</v>
      </c>
      <c r="K31" s="11">
        <f t="shared" si="15"/>
        <v>3.0340731204323779E-2</v>
      </c>
      <c r="L31" s="11">
        <f t="shared" si="15"/>
        <v>2.3983248792262747E-2</v>
      </c>
      <c r="M31" s="11">
        <f t="shared" si="15"/>
        <v>6.589722734811175E-2</v>
      </c>
      <c r="N31" s="6"/>
      <c r="O31" s="11">
        <f t="shared" si="9"/>
        <v>0.77060802344713553</v>
      </c>
      <c r="P31" s="11">
        <f t="shared" si="9"/>
        <v>1.9424381364491279</v>
      </c>
      <c r="Q31" s="11">
        <f t="shared" si="9"/>
        <v>0.2052859086788528</v>
      </c>
      <c r="R31" s="11">
        <f t="shared" si="9"/>
        <v>1.2324829809372739</v>
      </c>
      <c r="S31" s="11">
        <f t="shared" si="9"/>
        <v>1.2513831298467346</v>
      </c>
      <c r="T31" s="11">
        <f t="shared" ref="T31:V31" si="16">IF(T8="","",(T8/$O$23))</f>
        <v>1.002135213331292</v>
      </c>
      <c r="U31" s="11">
        <f t="shared" si="16"/>
        <v>0.52768307647938928</v>
      </c>
      <c r="V31" s="11">
        <f t="shared" si="16"/>
        <v>3.3989784998445689E-2</v>
      </c>
    </row>
    <row r="32" spans="1:22" x14ac:dyDescent="0.35">
      <c r="A32" s="231"/>
      <c r="B32" s="11">
        <f t="shared" ref="B32:M32" si="17">IF(B9="","",(B9/$O$23))</f>
        <v>1.342570373419924E-2</v>
      </c>
      <c r="C32" s="11">
        <f t="shared" si="17"/>
        <v>5.2326556283825657E-3</v>
      </c>
      <c r="D32" s="11">
        <f t="shared" si="17"/>
        <v>0.17909037863093441</v>
      </c>
      <c r="E32" s="11">
        <f t="shared" si="17"/>
        <v>0.618515615585293</v>
      </c>
      <c r="F32" s="11">
        <f t="shared" si="17"/>
        <v>1.0571324934274791</v>
      </c>
      <c r="G32" s="11">
        <f t="shared" si="17"/>
        <v>1.7034314968165682</v>
      </c>
      <c r="H32" s="11">
        <f t="shared" si="17"/>
        <v>2.0763956633073075</v>
      </c>
      <c r="I32" s="11">
        <f t="shared" si="17"/>
        <v>8.7293607283627471E-3</v>
      </c>
      <c r="J32" s="11">
        <f t="shared" si="17"/>
        <v>0.12587393573645636</v>
      </c>
      <c r="K32" s="11">
        <f t="shared" si="17"/>
        <v>7.8016762138473431E-2</v>
      </c>
      <c r="L32" s="11">
        <f t="shared" si="17"/>
        <v>5.7140269628012288E-2</v>
      </c>
      <c r="M32" s="11">
        <f t="shared" si="17"/>
        <v>4.9378931571243241E-2</v>
      </c>
      <c r="N32" s="6"/>
      <c r="O32" s="11">
        <f t="shared" si="9"/>
        <v>2.1868978751500872</v>
      </c>
      <c r="P32" s="11">
        <f t="shared" si="9"/>
        <v>0.94525947583130054</v>
      </c>
      <c r="Q32" s="11">
        <f t="shared" si="9"/>
        <v>0.1218696454848464</v>
      </c>
      <c r="R32" s="11">
        <f t="shared" si="9"/>
        <v>0.77768761605984482</v>
      </c>
      <c r="S32" s="11">
        <f t="shared" si="9"/>
        <v>0.31114058761684327</v>
      </c>
      <c r="T32" s="11">
        <f t="shared" ref="T32:V32" si="18">IF(T9="","",(T9/$O$23))</f>
        <v>0.38594692188287039</v>
      </c>
      <c r="U32" s="11">
        <f t="shared" si="18"/>
        <v>0.59873515588881876</v>
      </c>
      <c r="V32" s="11">
        <f t="shared" si="18"/>
        <v>0.30152366773496253</v>
      </c>
    </row>
    <row r="33" spans="1:22" x14ac:dyDescent="0.35">
      <c r="A33" s="231"/>
      <c r="B33" s="11">
        <f t="shared" ref="B33:M33" si="19">IF(B10="","",(B10/$O$23))</f>
        <v>4.8070036177619638E-2</v>
      </c>
      <c r="C33" s="11">
        <f t="shared" si="19"/>
        <v>2.5959459395712741E-2</v>
      </c>
      <c r="D33" s="11">
        <f t="shared" si="19"/>
        <v>1.6543964304122423E-2</v>
      </c>
      <c r="E33" s="11">
        <f t="shared" si="19"/>
        <v>0.40121371070917261</v>
      </c>
      <c r="F33" s="11">
        <f t="shared" si="19"/>
        <v>0.39036842545051931</v>
      </c>
      <c r="G33" s="11">
        <f t="shared" si="19"/>
        <v>1.265378329092339</v>
      </c>
      <c r="H33" s="11">
        <f t="shared" si="19"/>
        <v>2.4960317957244067</v>
      </c>
      <c r="I33" s="11">
        <f t="shared" si="19"/>
        <v>1.9346089696415842E-2</v>
      </c>
      <c r="J33" s="11" t="str">
        <f t="shared" si="19"/>
        <v/>
      </c>
      <c r="K33" s="11">
        <f t="shared" si="19"/>
        <v>6.1628005975829306E-2</v>
      </c>
      <c r="L33" s="11" t="str">
        <f t="shared" si="19"/>
        <v/>
      </c>
      <c r="M33" s="11">
        <f t="shared" si="19"/>
        <v>6.0717504744843463E-2</v>
      </c>
      <c r="N33" s="6"/>
      <c r="O33" s="11">
        <f t="shared" si="9"/>
        <v>0.13543619362506579</v>
      </c>
      <c r="P33" s="11">
        <f t="shared" si="9"/>
        <v>2.036184784884878</v>
      </c>
      <c r="Q33" s="11">
        <f t="shared" si="9"/>
        <v>0.2078806243910816</v>
      </c>
      <c r="R33" s="11">
        <f t="shared" si="9"/>
        <v>0.89121166524840711</v>
      </c>
      <c r="S33" s="11">
        <f t="shared" si="9"/>
        <v>0.12500226979022774</v>
      </c>
      <c r="T33" s="11">
        <f t="shared" ref="T33:V33" si="20">IF(T10="","",(T10/$O$23))</f>
        <v>3.1232745775784786E-2</v>
      </c>
      <c r="U33" s="11">
        <f t="shared" si="20"/>
        <v>0.25782040663294525</v>
      </c>
      <c r="V33" s="11">
        <f t="shared" si="20"/>
        <v>0.1230058435590959</v>
      </c>
    </row>
    <row r="34" spans="1:22" x14ac:dyDescent="0.35">
      <c r="A34" s="231"/>
      <c r="B34" s="11">
        <f t="shared" ref="B34:M34" si="21">IF(B11="","",(B11/$O$23))</f>
        <v>3.0510436078810772E-2</v>
      </c>
      <c r="C34" s="11">
        <f t="shared" si="21"/>
        <v>4.6620163380425336E-2</v>
      </c>
      <c r="D34" s="11">
        <f t="shared" si="21"/>
        <v>0.11817577151619305</v>
      </c>
      <c r="E34" s="11">
        <f t="shared" si="21"/>
        <v>9.3059051099466841E-2</v>
      </c>
      <c r="F34" s="11">
        <f t="shared" si="21"/>
        <v>0.92130515400627988</v>
      </c>
      <c r="G34" s="11">
        <f t="shared" si="21"/>
        <v>1.7610981042508362</v>
      </c>
      <c r="H34" s="11">
        <f t="shared" si="21"/>
        <v>2.0916306657190313</v>
      </c>
      <c r="I34" s="11">
        <f t="shared" si="21"/>
        <v>1.3463209043451068E-2</v>
      </c>
      <c r="J34" s="11">
        <f t="shared" si="21"/>
        <v>1.0852400627607128E-2</v>
      </c>
      <c r="K34" s="11">
        <f t="shared" si="21"/>
        <v>1.9849352427653122E-2</v>
      </c>
      <c r="L34" s="11">
        <f t="shared" si="21"/>
        <v>1.8925817436714516E-2</v>
      </c>
      <c r="M34" s="11">
        <f t="shared" si="21"/>
        <v>2.5999824152301142E-2</v>
      </c>
      <c r="N34" s="6"/>
      <c r="O34" s="11">
        <f t="shared" si="9"/>
        <v>1.1030131904269109</v>
      </c>
      <c r="P34" s="11">
        <f t="shared" si="9"/>
        <v>1.0653340533765303</v>
      </c>
      <c r="Q34" s="11">
        <f t="shared" si="9"/>
        <v>1.738676978188422E-2</v>
      </c>
      <c r="R34" s="11">
        <f t="shared" si="9"/>
        <v>0.84833125999157066</v>
      </c>
      <c r="S34" s="11">
        <f t="shared" si="9"/>
        <v>0.81315753079823228</v>
      </c>
      <c r="T34" s="11">
        <f t="shared" ref="T34:V34" si="22">IF(T11="","",(T11/$O$23))</f>
        <v>0.55531398259149334</v>
      </c>
      <c r="U34" s="11">
        <f t="shared" si="22"/>
        <v>0.12746471943844609</v>
      </c>
      <c r="V34" s="11">
        <f t="shared" si="22"/>
        <v>1.4182848149610272</v>
      </c>
    </row>
    <row r="35" spans="1:22" x14ac:dyDescent="0.35">
      <c r="A35" s="231"/>
      <c r="B35" s="11">
        <f t="shared" ref="B35:M35" si="23">IF(B12="","",(B12/$O$23))</f>
        <v>0.10624881717901098</v>
      </c>
      <c r="C35" s="11">
        <f t="shared" si="23"/>
        <v>3.6790513916458455E-2</v>
      </c>
      <c r="D35" s="11">
        <f t="shared" si="23"/>
        <v>0.12169395572058518</v>
      </c>
      <c r="E35" s="11">
        <f t="shared" si="23"/>
        <v>0.72594106209391707</v>
      </c>
      <c r="F35" s="11">
        <f t="shared" si="23"/>
        <v>1.1202087762298962</v>
      </c>
      <c r="G35" s="11">
        <f t="shared" si="23"/>
        <v>0.54721602773431166</v>
      </c>
      <c r="H35" s="11">
        <f t="shared" si="23"/>
        <v>2.3348174848637875</v>
      </c>
      <c r="I35" s="11">
        <f t="shared" si="23"/>
        <v>2.3666781120756642E-2</v>
      </c>
      <c r="J35" s="11">
        <f t="shared" si="23"/>
        <v>5.7612144937322508E-2</v>
      </c>
      <c r="K35" s="11">
        <f t="shared" si="23"/>
        <v>6.808344108386187E-2</v>
      </c>
      <c r="L35" s="11">
        <f t="shared" si="23"/>
        <v>4.8090185306526201E-2</v>
      </c>
      <c r="M35" s="11">
        <f t="shared" si="23"/>
        <v>0.14039846523320379</v>
      </c>
      <c r="N35" s="6"/>
      <c r="O35" s="11">
        <f t="shared" si="9"/>
        <v>0.78447940197318899</v>
      </c>
      <c r="P35" s="11">
        <f t="shared" si="9"/>
        <v>1.2271093479053206</v>
      </c>
      <c r="Q35" s="11">
        <f t="shared" si="9"/>
        <v>3.4405136348777095E-3</v>
      </c>
      <c r="R35" s="11">
        <f t="shared" si="9"/>
        <v>0.237786985595347</v>
      </c>
      <c r="S35" s="11">
        <f t="shared" si="9"/>
        <v>1.5094107466634186</v>
      </c>
      <c r="T35" s="11">
        <f t="shared" ref="T35:V35" si="24">IF(T12="","",(T12/$O$23))</f>
        <v>6.8534967767939714E-2</v>
      </c>
      <c r="U35" s="11">
        <f t="shared" si="24"/>
        <v>0.98451237289720206</v>
      </c>
      <c r="V35" s="11">
        <f t="shared" si="24"/>
        <v>7.2726385573157193E-2</v>
      </c>
    </row>
    <row r="36" spans="1:22" x14ac:dyDescent="0.35">
      <c r="A36" s="231"/>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0.35510545490076956</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31"/>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1.5077883095444007</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31"/>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1.0486907399021557</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31"/>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0.24503362313153243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31"/>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0.7040435473879727</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31"/>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1.1006859992875901</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31"/>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1.1246175785314687</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31"/>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6.9582190480879019E-2</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Cefuroxime 0,001mg/L</v>
      </c>
      <c r="J45" s="7" t="str">
        <f t="shared" si="41"/>
        <v>Cefuroxime 0,01mg/L</v>
      </c>
      <c r="K45" s="7" t="str">
        <f t="shared" ref="K45:M45" si="42">K4</f>
        <v>Cefuroxime 0,1mg/L</v>
      </c>
      <c r="L45" s="7" t="str">
        <f t="shared" si="42"/>
        <v>Cefuroxime 1mg/L</v>
      </c>
      <c r="M45" s="7" t="str">
        <f t="shared" si="42"/>
        <v>Cefuroxime 10mg/L</v>
      </c>
      <c r="N45" s="7"/>
      <c r="O45" s="7" t="str">
        <f t="shared" si="41"/>
        <v>Testo -30µg/L</v>
      </c>
      <c r="P45" s="7" t="str">
        <f t="shared" si="41"/>
        <v>Testo 30µg/L + EE2 -64ng/L</v>
      </c>
      <c r="Q45" s="7" t="str">
        <f t="shared" si="41"/>
        <v>Testo 30µg/L + FAD-10µg/L</v>
      </c>
      <c r="R45" s="7" t="str">
        <f t="shared" si="41"/>
        <v>Cefuroxime-0,001mg/L + Testostérone</v>
      </c>
      <c r="S45" s="7" t="str">
        <f t="shared" ref="S45:V45" si="43">S4</f>
        <v>Cefuroxime-0,01mg/L + Testostérone</v>
      </c>
      <c r="T45" s="7" t="str">
        <f t="shared" si="43"/>
        <v>Cefuroxime-0,1mg/L + Testostérone</v>
      </c>
      <c r="U45" s="7" t="str">
        <f t="shared" si="43"/>
        <v>Cefuroxime-1mg/L + Testostérone</v>
      </c>
      <c r="V45" s="7" t="str">
        <f t="shared" si="43"/>
        <v>Cefuroxime-10mg/L + Testostérone</v>
      </c>
    </row>
    <row r="46" spans="1:22" x14ac:dyDescent="0.35">
      <c r="A46" s="8" t="s">
        <v>0</v>
      </c>
      <c r="B46" s="10">
        <f t="shared" ref="B46:H46" si="44">AVERAGE(B28:B43)</f>
        <v>6.1903676648707766E-2</v>
      </c>
      <c r="C46" s="10">
        <f t="shared" si="44"/>
        <v>5.0409330094039438E-2</v>
      </c>
      <c r="D46" s="10">
        <f t="shared" si="44"/>
        <v>0.13742338483878214</v>
      </c>
      <c r="E46" s="10">
        <f t="shared" si="44"/>
        <v>0.55090897072011125</v>
      </c>
      <c r="F46" s="10">
        <f t="shared" si="44"/>
        <v>0.87119020567801031</v>
      </c>
      <c r="G46" s="10">
        <f t="shared" si="44"/>
        <v>1.2647609710874337</v>
      </c>
      <c r="H46" s="10">
        <f t="shared" si="44"/>
        <v>2.4066155974082681</v>
      </c>
      <c r="I46" s="10">
        <f>AVERAGE(I28:I43)</f>
        <v>5.1429388057281283E-2</v>
      </c>
      <c r="J46" s="9">
        <f>AVERAGE(J28:J43)</f>
        <v>7.5337469483927264E-2</v>
      </c>
      <c r="K46" s="9">
        <f t="shared" ref="K46:M46" si="45">AVERAGE(K28:K43)</f>
        <v>4.6187746781890478E-2</v>
      </c>
      <c r="L46" s="9">
        <f t="shared" si="45"/>
        <v>4.9068638786012128E-2</v>
      </c>
      <c r="M46" s="9">
        <f t="shared" si="45"/>
        <v>6.7484519864399836E-2</v>
      </c>
      <c r="N46" s="8" t="s">
        <v>0</v>
      </c>
      <c r="O46" s="10">
        <f t="shared" ref="O46:R46" si="46">AVERAGE(O28:O43)</f>
        <v>0.99999999999999978</v>
      </c>
      <c r="P46" s="10">
        <f t="shared" si="46"/>
        <v>1.2714829582237861</v>
      </c>
      <c r="Q46" s="10">
        <f t="shared" si="46"/>
        <v>0.10838378529606926</v>
      </c>
      <c r="R46" s="10">
        <f t="shared" si="46"/>
        <v>0.70335985685473634</v>
      </c>
      <c r="S46" s="10">
        <f t="shared" ref="S46:V46" si="47">AVERAGE(S28:S43)</f>
        <v>0.69096171713303733</v>
      </c>
      <c r="T46" s="10">
        <f t="shared" si="47"/>
        <v>0.46818522577175825</v>
      </c>
      <c r="U46" s="10">
        <f t="shared" si="47"/>
        <v>0.6748288399452822</v>
      </c>
      <c r="V46" s="10">
        <f t="shared" si="47"/>
        <v>0.35483763939571977</v>
      </c>
    </row>
    <row r="47" spans="1:22" x14ac:dyDescent="0.35">
      <c r="A47" s="8" t="s">
        <v>1</v>
      </c>
      <c r="B47" s="8">
        <f t="shared" ref="B47:J47" si="48">STDEV(B28:B43)</f>
        <v>4.1534375031940629E-2</v>
      </c>
      <c r="C47" s="8">
        <f t="shared" si="48"/>
        <v>6.8064759113261E-2</v>
      </c>
      <c r="D47" s="8">
        <f t="shared" si="48"/>
        <v>8.5075394258967929E-2</v>
      </c>
      <c r="E47" s="8">
        <f t="shared" si="48"/>
        <v>0.38719042867025399</v>
      </c>
      <c r="F47" s="8">
        <f t="shared" si="48"/>
        <v>0.36579193995897097</v>
      </c>
      <c r="G47" s="8">
        <f t="shared" si="48"/>
        <v>0.45288445224566631</v>
      </c>
      <c r="H47" s="8">
        <f t="shared" si="48"/>
        <v>0.53206101602439237</v>
      </c>
      <c r="I47" s="8">
        <f t="shared" si="48"/>
        <v>5.1968881056925091E-2</v>
      </c>
      <c r="J47" s="8">
        <f t="shared" si="48"/>
        <v>5.3307081309883958E-2</v>
      </c>
      <c r="K47" s="8">
        <f t="shared" ref="K47:M47" si="49">STDEV(K28:K43)</f>
        <v>2.8772280695693129E-2</v>
      </c>
      <c r="L47" s="8">
        <f t="shared" si="49"/>
        <v>4.3194480598361867E-2</v>
      </c>
      <c r="M47" s="8">
        <f t="shared" si="49"/>
        <v>4.5812817550196692E-2</v>
      </c>
      <c r="N47" s="8" t="s">
        <v>1</v>
      </c>
      <c r="O47" s="8">
        <f t="shared" ref="O47:R47" si="50">STDEV(O28:O43)</f>
        <v>0.64066526910072841</v>
      </c>
      <c r="P47" s="8">
        <f t="shared" si="50"/>
        <v>0.57811913470346654</v>
      </c>
      <c r="Q47" s="8">
        <f t="shared" si="50"/>
        <v>9.2346749749048163E-2</v>
      </c>
      <c r="R47" s="8">
        <f t="shared" si="50"/>
        <v>0.30555740397481135</v>
      </c>
      <c r="S47" s="8">
        <f t="shared" ref="S47:V47" si="51">STDEV(S28:S43)</f>
        <v>0.52443527101300214</v>
      </c>
      <c r="T47" s="8">
        <f t="shared" si="51"/>
        <v>0.31658589227646866</v>
      </c>
      <c r="U47" s="8">
        <f t="shared" si="51"/>
        <v>0.46238708632505965</v>
      </c>
      <c r="V47" s="8">
        <f t="shared" si="51"/>
        <v>0.45028819772533002</v>
      </c>
    </row>
    <row r="48" spans="1:22" x14ac:dyDescent="0.35">
      <c r="A48" s="8" t="s">
        <v>2</v>
      </c>
      <c r="B48" s="8">
        <f t="shared" ref="B48:J48" si="52" xml:space="preserve"> B47/SQRT(COUNT(B28:B43))</f>
        <v>1.4684619118715221E-2</v>
      </c>
      <c r="C48" s="8">
        <f t="shared" si="52"/>
        <v>2.4064526364407854E-2</v>
      </c>
      <c r="D48" s="8">
        <f t="shared" si="52"/>
        <v>3.0078694096317648E-2</v>
      </c>
      <c r="E48" s="8">
        <f t="shared" si="52"/>
        <v>0.13689248886163141</v>
      </c>
      <c r="F48" s="8">
        <f t="shared" si="52"/>
        <v>0.12932698062418541</v>
      </c>
      <c r="G48" s="8">
        <f t="shared" si="52"/>
        <v>0.16011883363843288</v>
      </c>
      <c r="H48" s="8">
        <f t="shared" si="52"/>
        <v>0.18811197621792608</v>
      </c>
      <c r="I48" s="8">
        <f t="shared" si="52"/>
        <v>1.8373774103014422E-2</v>
      </c>
      <c r="J48" s="8">
        <f t="shared" si="52"/>
        <v>2.0148182894950316E-2</v>
      </c>
      <c r="K48" s="8">
        <f t="shared" ref="K48:M48" si="53" xml:space="preserve"> K47/SQRT(COUNT(K28:K43))</f>
        <v>1.0172537395063703E-2</v>
      </c>
      <c r="L48" s="8">
        <f t="shared" si="53"/>
        <v>1.6325979096267134E-2</v>
      </c>
      <c r="M48" s="8">
        <f t="shared" si="53"/>
        <v>1.6197276977503079E-2</v>
      </c>
      <c r="N48" s="8" t="s">
        <v>2</v>
      </c>
      <c r="O48" s="8">
        <f t="shared" ref="O48:R48" si="54" xml:space="preserve"> O47/SQRT(COUNT(O28:O43))</f>
        <v>0.1601663172751821</v>
      </c>
      <c r="P48" s="8">
        <f t="shared" si="54"/>
        <v>0.20439598024126013</v>
      </c>
      <c r="Q48" s="8">
        <f t="shared" si="54"/>
        <v>3.2649506484044528E-2</v>
      </c>
      <c r="R48" s="8">
        <f t="shared" si="54"/>
        <v>0.10803085619617321</v>
      </c>
      <c r="S48" s="8">
        <f t="shared" ref="S48:V48" si="55" xml:space="preserve"> S47/SQRT(COUNT(S28:S43))</f>
        <v>0.18541586821334932</v>
      </c>
      <c r="T48" s="8">
        <f t="shared" si="55"/>
        <v>0.11193001562834241</v>
      </c>
      <c r="U48" s="8">
        <f t="shared" si="55"/>
        <v>0.16347852213676958</v>
      </c>
      <c r="V48" s="8">
        <f t="shared" si="55"/>
        <v>0.15920091904992487</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22" t="s">
        <v>44</v>
      </c>
      <c r="B50" s="223"/>
      <c r="C50" s="223"/>
      <c r="D50" s="223"/>
      <c r="E50" s="223"/>
      <c r="F50" s="223"/>
      <c r="G50" s="223"/>
      <c r="H50" s="223"/>
      <c r="I50" s="223"/>
      <c r="J50" s="223"/>
      <c r="K50" s="223"/>
      <c r="L50" s="223"/>
      <c r="M50" s="223"/>
      <c r="N50" s="223"/>
      <c r="O50" s="223"/>
      <c r="P50" s="223"/>
      <c r="Q50" s="223"/>
      <c r="R50" s="223"/>
      <c r="S50" s="223"/>
      <c r="T50" s="223"/>
      <c r="U50" s="223"/>
      <c r="V50" s="223"/>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Cefuroxime 0,001mg/L</v>
      </c>
      <c r="J52" s="46" t="str">
        <f>J4</f>
        <v>Cefuroxime 0,01mg/L</v>
      </c>
      <c r="K52" s="46" t="str">
        <f t="shared" ref="K52:M52" si="57">K4</f>
        <v>Cefuroxime 0,1mg/L</v>
      </c>
      <c r="L52" s="46" t="str">
        <f t="shared" si="57"/>
        <v>Cefuroxime 1mg/L</v>
      </c>
      <c r="M52" s="46" t="str">
        <f t="shared" si="57"/>
        <v>Cefuroxime 10mg/L</v>
      </c>
      <c r="N52" s="47"/>
      <c r="O52" s="46" t="str">
        <f>O27</f>
        <v>Testo -30µg/L</v>
      </c>
      <c r="P52" s="46" t="str">
        <f>P27</f>
        <v>Testo 30µg/L + EE2 -64ng/L</v>
      </c>
      <c r="Q52" s="46" t="str">
        <f>Q27</f>
        <v>Testo 30µg/L + FAD-10µg/L</v>
      </c>
      <c r="R52" s="46" t="str">
        <f>R27</f>
        <v>Cefuroxime-0,001mg/L + Testostérone</v>
      </c>
      <c r="S52" s="46" t="str">
        <f t="shared" ref="S52:V52" si="58">S27</f>
        <v>Cefuroxime-0,01mg/L + Testostérone</v>
      </c>
      <c r="T52" s="46" t="str">
        <f t="shared" si="58"/>
        <v>Cefuroxime-0,1mg/L + Testostérone</v>
      </c>
      <c r="U52" s="46" t="str">
        <f t="shared" si="58"/>
        <v>Cefuroxime-1mg/L + Testostérone</v>
      </c>
      <c r="V52" s="46" t="str">
        <f t="shared" si="58"/>
        <v>Cefuroxime-10mg/L + Testostérone</v>
      </c>
    </row>
    <row r="53" spans="1:22" s="3" customFormat="1" x14ac:dyDescent="0.35">
      <c r="A53" s="61" t="s">
        <v>32</v>
      </c>
      <c r="B53" s="141">
        <f t="shared" ref="B53" si="59">B46</f>
        <v>6.1903676648707766E-2</v>
      </c>
      <c r="C53" s="141">
        <f t="shared" ref="C53:V53" si="60">C46</f>
        <v>5.0409330094039438E-2</v>
      </c>
      <c r="D53" s="141">
        <f t="shared" si="60"/>
        <v>0.13742338483878214</v>
      </c>
      <c r="E53" s="141">
        <f t="shared" si="60"/>
        <v>0.55090897072011125</v>
      </c>
      <c r="F53" s="141">
        <f t="shared" si="60"/>
        <v>0.87119020567801031</v>
      </c>
      <c r="G53" s="141">
        <f t="shared" si="60"/>
        <v>1.2647609710874337</v>
      </c>
      <c r="H53" s="141">
        <f t="shared" si="60"/>
        <v>2.4066155974082681</v>
      </c>
      <c r="I53" s="141">
        <f t="shared" si="60"/>
        <v>5.1429388057281283E-2</v>
      </c>
      <c r="J53" s="141">
        <f t="shared" si="60"/>
        <v>7.5337469483927264E-2</v>
      </c>
      <c r="K53" s="141">
        <f t="shared" si="60"/>
        <v>4.6187746781890478E-2</v>
      </c>
      <c r="L53" s="141">
        <f t="shared" si="60"/>
        <v>4.9068638786012128E-2</v>
      </c>
      <c r="M53" s="141">
        <f t="shared" si="60"/>
        <v>6.7484519864399836E-2</v>
      </c>
      <c r="N53" s="141"/>
      <c r="O53" s="141">
        <f t="shared" si="60"/>
        <v>0.99999999999999978</v>
      </c>
      <c r="P53" s="141">
        <f t="shared" si="60"/>
        <v>1.2714829582237861</v>
      </c>
      <c r="Q53" s="141">
        <f t="shared" si="60"/>
        <v>0.10838378529606926</v>
      </c>
      <c r="R53" s="141">
        <f t="shared" si="60"/>
        <v>0.70335985685473634</v>
      </c>
      <c r="S53" s="141">
        <f t="shared" si="60"/>
        <v>0.69096171713303733</v>
      </c>
      <c r="T53" s="141">
        <f t="shared" si="60"/>
        <v>0.46818522577175825</v>
      </c>
      <c r="U53" s="141">
        <f t="shared" si="60"/>
        <v>0.6748288399452822</v>
      </c>
      <c r="V53" s="141">
        <f t="shared" si="60"/>
        <v>0.35483763939571977</v>
      </c>
    </row>
    <row r="54" spans="1:22" s="3" customFormat="1" x14ac:dyDescent="0.35">
      <c r="A54" s="61" t="s">
        <v>2</v>
      </c>
      <c r="B54" s="141">
        <f t="shared" ref="B54" si="61">B48</f>
        <v>1.4684619118715221E-2</v>
      </c>
      <c r="C54" s="141">
        <f t="shared" ref="C54:V54" si="62">C48</f>
        <v>2.4064526364407854E-2</v>
      </c>
      <c r="D54" s="141">
        <f t="shared" si="62"/>
        <v>3.0078694096317648E-2</v>
      </c>
      <c r="E54" s="141">
        <f t="shared" si="62"/>
        <v>0.13689248886163141</v>
      </c>
      <c r="F54" s="141">
        <f t="shared" si="62"/>
        <v>0.12932698062418541</v>
      </c>
      <c r="G54" s="141">
        <f t="shared" si="62"/>
        <v>0.16011883363843288</v>
      </c>
      <c r="H54" s="141">
        <f t="shared" si="62"/>
        <v>0.18811197621792608</v>
      </c>
      <c r="I54" s="141">
        <f t="shared" si="62"/>
        <v>1.8373774103014422E-2</v>
      </c>
      <c r="J54" s="141">
        <f t="shared" si="62"/>
        <v>2.0148182894950316E-2</v>
      </c>
      <c r="K54" s="141">
        <f t="shared" si="62"/>
        <v>1.0172537395063703E-2</v>
      </c>
      <c r="L54" s="141">
        <f t="shared" si="62"/>
        <v>1.6325979096267134E-2</v>
      </c>
      <c r="M54" s="141">
        <f t="shared" si="62"/>
        <v>1.6197276977503079E-2</v>
      </c>
      <c r="N54" s="141"/>
      <c r="O54" s="141">
        <f t="shared" si="62"/>
        <v>0.1601663172751821</v>
      </c>
      <c r="P54" s="141">
        <f t="shared" si="62"/>
        <v>0.20439598024126013</v>
      </c>
      <c r="Q54" s="141">
        <f t="shared" si="62"/>
        <v>3.2649506484044528E-2</v>
      </c>
      <c r="R54" s="141">
        <f t="shared" si="62"/>
        <v>0.10803085619617321</v>
      </c>
      <c r="S54" s="141">
        <f t="shared" si="62"/>
        <v>0.18541586821334932</v>
      </c>
      <c r="T54" s="141">
        <f t="shared" si="62"/>
        <v>0.11193001562834241</v>
      </c>
      <c r="U54" s="141">
        <f t="shared" si="62"/>
        <v>0.16347852213676958</v>
      </c>
      <c r="V54" s="141">
        <f t="shared" si="62"/>
        <v>0.15920091904992487</v>
      </c>
    </row>
    <row r="55" spans="1:22" s="3" customFormat="1" x14ac:dyDescent="0.35">
      <c r="A55" s="61" t="s">
        <v>79</v>
      </c>
      <c r="B55" s="141">
        <f>(B53*100/$B53)-100</f>
        <v>0</v>
      </c>
      <c r="C55" s="141">
        <f t="shared" ref="C55:M55" si="63">(C53*100/$B53)-100</f>
        <v>-18.568116107055602</v>
      </c>
      <c r="D55" s="141">
        <f t="shared" si="63"/>
        <v>121.99551347916722</v>
      </c>
      <c r="E55" s="141">
        <f t="shared" si="63"/>
        <v>789.94547746561261</v>
      </c>
      <c r="F55" s="141">
        <f t="shared" si="63"/>
        <v>1307.3319273455404</v>
      </c>
      <c r="G55" s="141">
        <f t="shared" si="63"/>
        <v>1943.1112327377982</v>
      </c>
      <c r="H55" s="141">
        <f t="shared" si="63"/>
        <v>3787.6779663110788</v>
      </c>
      <c r="I55" s="141">
        <f t="shared" si="63"/>
        <v>-16.92030127849462</v>
      </c>
      <c r="J55" s="141">
        <f t="shared" si="63"/>
        <v>21.701122715947633</v>
      </c>
      <c r="K55" s="141">
        <f t="shared" si="63"/>
        <v>-25.387716396882794</v>
      </c>
      <c r="L55" s="141">
        <f t="shared" si="63"/>
        <v>-20.733886188266609</v>
      </c>
      <c r="M55" s="141">
        <f t="shared" si="63"/>
        <v>9.0153663204244623</v>
      </c>
      <c r="N55" s="141"/>
      <c r="O55" s="141">
        <f>(O53*100/$O53)-100</f>
        <v>0</v>
      </c>
      <c r="P55" s="141">
        <f t="shared" ref="P55:V55" si="64">(P53*100/$O53)-100</f>
        <v>27.148295822378643</v>
      </c>
      <c r="Q55" s="141">
        <f t="shared" si="64"/>
        <v>-89.161621470393072</v>
      </c>
      <c r="R55" s="141">
        <f t="shared" si="64"/>
        <v>-29.664014314526355</v>
      </c>
      <c r="S55" s="141">
        <f t="shared" si="64"/>
        <v>-30.903828286696253</v>
      </c>
      <c r="T55" s="141">
        <f t="shared" si="64"/>
        <v>-53.181477422824166</v>
      </c>
      <c r="U55" s="141">
        <f t="shared" si="64"/>
        <v>-32.517116005471763</v>
      </c>
      <c r="V55" s="141">
        <f t="shared" si="64"/>
        <v>-64.516236060428014</v>
      </c>
    </row>
    <row r="56" spans="1:22" s="3" customFormat="1" x14ac:dyDescent="0.35">
      <c r="A56" s="61" t="s">
        <v>81</v>
      </c>
      <c r="B56" s="141">
        <f>[1]!SWTEST(B28:B43)</f>
        <v>0.41800239888428303</v>
      </c>
      <c r="C56" s="141">
        <f>[1]!SWTEST(C28:C43)</f>
        <v>1.4262629203998234E-4</v>
      </c>
      <c r="D56" s="141">
        <f>[1]!SWTEST(D28:D43)</f>
        <v>0.47313347349743373</v>
      </c>
      <c r="E56" s="141">
        <f>[1]!SWTEST(E28:E43)</f>
        <v>0.75912061510981688</v>
      </c>
      <c r="F56" s="141">
        <f>[1]!SWTEST(F28:F43)</f>
        <v>0.44827628949485732</v>
      </c>
      <c r="G56" s="141">
        <f>[1]!SWTEST(G28:G43)</f>
        <v>0.35596541723078556</v>
      </c>
      <c r="H56" s="141">
        <f>[1]!SWTEST(H28:H43)</f>
        <v>0.20313176708307645</v>
      </c>
      <c r="I56" s="141">
        <f>[1]!SWTEST(I28:I43)</f>
        <v>1.1670216626922802E-2</v>
      </c>
      <c r="J56" s="141">
        <f>[1]!SWTEST(J28:J43)</f>
        <v>0.55351455021899554</v>
      </c>
      <c r="K56" s="141">
        <f>[1]!SWTEST(K28:K43)</f>
        <v>0.17220059946959354</v>
      </c>
      <c r="L56" s="141">
        <f>[1]!SWTEST(L28:L43)</f>
        <v>0.10390247852213763</v>
      </c>
      <c r="M56" s="141">
        <f>[1]!SWTEST(M28:M43)</f>
        <v>0.24605295268774197</v>
      </c>
      <c r="N56" s="141"/>
      <c r="O56" s="141">
        <f>[1]!SWTEST(O28:O43)</f>
        <v>0.4539531750640029</v>
      </c>
      <c r="P56" s="141">
        <f>[1]!SWTEST(P28:P43)</f>
        <v>0.45645020468772257</v>
      </c>
      <c r="Q56" s="141">
        <f>[1]!SWTEST(Q28:Q43)</f>
        <v>9.7990247208829429E-2</v>
      </c>
      <c r="R56" s="141">
        <f>[1]!SWTEST(R28:R43)</f>
        <v>0.98367399659845245</v>
      </c>
      <c r="S56" s="141">
        <f>[1]!SWTEST(S28:S43)</f>
        <v>0.70732928674968409</v>
      </c>
      <c r="T56" s="141">
        <f>[1]!SWTEST(T28:T43)</f>
        <v>0.67989900848368501</v>
      </c>
      <c r="U56" s="141">
        <f>[1]!SWTEST(U28:U43)</f>
        <v>0.36671701843674354</v>
      </c>
      <c r="V56" s="141">
        <f>[1]!SWTEST(V28:V43)</f>
        <v>1.8170094687214311E-3</v>
      </c>
    </row>
    <row r="57" spans="1:22" s="3" customFormat="1" x14ac:dyDescent="0.35">
      <c r="A57" s="61" t="s">
        <v>85</v>
      </c>
      <c r="B57" s="141" t="str">
        <f>IF(B56&gt;0.05,"Oui","Non")</f>
        <v>Oui</v>
      </c>
      <c r="C57" s="141" t="str">
        <f t="shared" ref="C57:V57" si="65">IF(C56&gt;0.05,"Oui","Non")</f>
        <v>Non</v>
      </c>
      <c r="D57" s="141" t="str">
        <f t="shared" si="65"/>
        <v>Oui</v>
      </c>
      <c r="E57" s="141" t="str">
        <f t="shared" si="65"/>
        <v>Oui</v>
      </c>
      <c r="F57" s="141" t="str">
        <f t="shared" si="65"/>
        <v>Oui</v>
      </c>
      <c r="G57" s="141" t="str">
        <f t="shared" si="65"/>
        <v>Oui</v>
      </c>
      <c r="H57" s="141" t="str">
        <f t="shared" si="65"/>
        <v>Oui</v>
      </c>
      <c r="I57" s="141" t="str">
        <f t="shared" si="65"/>
        <v>Non</v>
      </c>
      <c r="J57" s="141" t="str">
        <f t="shared" si="65"/>
        <v>Oui</v>
      </c>
      <c r="K57" s="141" t="str">
        <f t="shared" si="65"/>
        <v>Oui</v>
      </c>
      <c r="L57" s="141" t="str">
        <f t="shared" si="65"/>
        <v>Oui</v>
      </c>
      <c r="M57" s="141" t="str">
        <f t="shared" si="65"/>
        <v>Oui</v>
      </c>
      <c r="N57" s="141"/>
      <c r="O57" s="141" t="str">
        <f t="shared" si="65"/>
        <v>Oui</v>
      </c>
      <c r="P57" s="141" t="str">
        <f t="shared" si="65"/>
        <v>Oui</v>
      </c>
      <c r="Q57" s="141" t="str">
        <f t="shared" si="65"/>
        <v>Oui</v>
      </c>
      <c r="R57" s="141" t="str">
        <f t="shared" si="65"/>
        <v>Oui</v>
      </c>
      <c r="S57" s="141" t="str">
        <f t="shared" si="65"/>
        <v>Oui</v>
      </c>
      <c r="T57" s="141" t="str">
        <f t="shared" si="65"/>
        <v>Oui</v>
      </c>
      <c r="U57" s="141" t="str">
        <f t="shared" si="65"/>
        <v>Oui</v>
      </c>
      <c r="V57" s="141" t="str">
        <f t="shared" si="65"/>
        <v>Non</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
        <v>4259</v>
      </c>
      <c r="D59" s="150" t="s">
        <v>4259</v>
      </c>
      <c r="E59" s="150" t="s">
        <v>4259</v>
      </c>
      <c r="F59" s="150" t="s">
        <v>4259</v>
      </c>
      <c r="G59" s="150" t="s">
        <v>4259</v>
      </c>
      <c r="H59" s="150" t="s">
        <v>4259</v>
      </c>
      <c r="I59" s="150" t="s">
        <v>4259</v>
      </c>
      <c r="J59" s="150" t="s">
        <v>4259</v>
      </c>
      <c r="K59" s="150" t="s">
        <v>4259</v>
      </c>
      <c r="L59" s="150" t="s">
        <v>4259</v>
      </c>
      <c r="M59" s="150" t="s">
        <v>4259</v>
      </c>
      <c r="N59" s="150"/>
      <c r="O59" s="150" t="str">
        <f t="shared" ref="O59" si="66">IF($B57="Non",IF(O57="Non","MW",IF(O57="Oui","MW","")),IF($B57="Oui",IF(O57="Oui","T-Test Welch",IF(O57="Non","MW",""))))</f>
        <v>T-Test Welch</v>
      </c>
      <c r="P59" s="150" t="str">
        <f>IF($O57="Non",IF(P57="Non","MW",IF(P57="Oui","MW","")),IF($O57="Oui",IF(P57="Oui","T-Test Welch",IF(P57="Non","MW",""))))</f>
        <v>T-Test Welch</v>
      </c>
      <c r="Q59" s="150" t="str">
        <f t="shared" ref="Q59" si="67">IF($O57="Non",IF(Q57="Non","MW",IF(Q57="Oui","MW","")),IF($O57="Oui",IF(Q57="Oui","T-Test Welch",IF(Q57="Non","MW",""))))</f>
        <v>T-Test Welch</v>
      </c>
      <c r="R59" s="150" t="s">
        <v>4259</v>
      </c>
      <c r="S59" s="150" t="s">
        <v>4259</v>
      </c>
      <c r="T59" s="150" t="s">
        <v>4259</v>
      </c>
      <c r="U59" s="150" t="s">
        <v>4259</v>
      </c>
      <c r="V59" s="150" t="s">
        <v>4259</v>
      </c>
    </row>
    <row r="60" spans="1:22" s="3" customFormat="1" ht="15.5" x14ac:dyDescent="0.35">
      <c r="A60" s="61" t="s">
        <v>83</v>
      </c>
      <c r="B60" s="151"/>
      <c r="C60" s="199">
        <v>0.99990000000000001</v>
      </c>
      <c r="D60" s="199">
        <v>0.99990000000000001</v>
      </c>
      <c r="E60" s="199">
        <v>0.2064</v>
      </c>
      <c r="F60" s="199">
        <v>2.1499999999999998E-2</v>
      </c>
      <c r="G60" s="199">
        <v>1.4E-3</v>
      </c>
      <c r="H60" s="199">
        <v>1E-4</v>
      </c>
      <c r="I60" s="196">
        <v>0.99990000000000001</v>
      </c>
      <c r="J60" s="196">
        <v>0.99990000000000001</v>
      </c>
      <c r="K60" s="196">
        <v>0.99990000000000001</v>
      </c>
      <c r="L60" s="196">
        <v>0.99990000000000001</v>
      </c>
      <c r="M60" s="196">
        <v>0.99990000000000001</v>
      </c>
      <c r="N60" s="151"/>
      <c r="O60" s="198">
        <v>1E-4</v>
      </c>
      <c r="P60" s="198">
        <v>0.31180000000000002</v>
      </c>
      <c r="Q60" s="198">
        <v>1E-4</v>
      </c>
      <c r="R60" s="196">
        <v>0.99990000000000001</v>
      </c>
      <c r="S60" s="196">
        <v>0.99990000000000001</v>
      </c>
      <c r="T60" s="196">
        <v>0.14410000000000001</v>
      </c>
      <c r="U60" s="196">
        <v>0.99990000000000001</v>
      </c>
      <c r="V60" s="196">
        <v>1.7000000000000001E-2</v>
      </c>
    </row>
    <row r="61" spans="1:22" s="3" customFormat="1" ht="15" thickBot="1" x14ac:dyDescent="0.4">
      <c r="A61" s="62" t="s">
        <v>84</v>
      </c>
      <c r="B61" s="142"/>
      <c r="C61" s="142" t="str">
        <f t="shared" ref="C61:O61" si="68">IF(C60&gt;0.05,"NS",IF(C60&gt;0.01,"*",IF(C60&gt;0.001,"**","***")))</f>
        <v>NS</v>
      </c>
      <c r="D61" s="142" t="str">
        <f t="shared" si="68"/>
        <v>NS</v>
      </c>
      <c r="E61" s="142" t="str">
        <f t="shared" si="68"/>
        <v>NS</v>
      </c>
      <c r="F61" s="142" t="str">
        <f t="shared" si="68"/>
        <v>*</v>
      </c>
      <c r="G61" s="142" t="str">
        <f t="shared" si="68"/>
        <v>**</v>
      </c>
      <c r="H61" s="142" t="str">
        <f t="shared" si="68"/>
        <v>***</v>
      </c>
      <c r="I61" s="142" t="str">
        <f t="shared" si="68"/>
        <v>NS</v>
      </c>
      <c r="J61" s="142" t="str">
        <f t="shared" si="68"/>
        <v>NS</v>
      </c>
      <c r="K61" s="142" t="str">
        <f t="shared" si="68"/>
        <v>NS</v>
      </c>
      <c r="L61" s="142" t="str">
        <f t="shared" si="68"/>
        <v>NS</v>
      </c>
      <c r="M61" s="142" t="str">
        <f t="shared" si="68"/>
        <v>NS</v>
      </c>
      <c r="N61" s="142"/>
      <c r="O61" s="142" t="str">
        <f t="shared" si="68"/>
        <v>***</v>
      </c>
      <c r="P61" s="142" t="str">
        <f>IF(P60&gt;0.05,"NS",IF(P60&gt;0.01,"*",IF(P60&gt;0.001,"**","***")))</f>
        <v>NS</v>
      </c>
      <c r="Q61" s="142" t="str">
        <f t="shared" ref="Q61:V61" si="69">IF(Q60&gt;0.05,"NS",IF(Q60&gt;0.01,"*",IF(Q60&gt;0.001,"**","***")))</f>
        <v>***</v>
      </c>
      <c r="R61" s="142" t="str">
        <f t="shared" si="69"/>
        <v>NS</v>
      </c>
      <c r="S61" s="142" t="str">
        <f t="shared" si="69"/>
        <v>NS</v>
      </c>
      <c r="T61" s="142" t="str">
        <f t="shared" si="69"/>
        <v>NS</v>
      </c>
      <c r="U61" s="142" t="str">
        <f t="shared" si="69"/>
        <v>NS</v>
      </c>
      <c r="V61" s="142" t="str">
        <f t="shared" si="69"/>
        <v>*</v>
      </c>
    </row>
    <row r="63" spans="1:22" x14ac:dyDescent="0.35">
      <c r="A63" s="2" t="s">
        <v>39</v>
      </c>
    </row>
    <row r="64" spans="1:22" x14ac:dyDescent="0.35">
      <c r="A64" s="1" t="s">
        <v>23</v>
      </c>
      <c r="B64" s="1">
        <f>B46+(3*B47)</f>
        <v>0.18650680174452966</v>
      </c>
    </row>
    <row r="65" spans="1:22" x14ac:dyDescent="0.35">
      <c r="A65" s="1" t="s">
        <v>24</v>
      </c>
      <c r="B65" s="1">
        <f>B46+(10*B47)</f>
        <v>0.47724742696811406</v>
      </c>
    </row>
    <row r="66" spans="1:22" ht="15" thickBot="1" x14ac:dyDescent="0.4"/>
    <row r="67" spans="1:22" ht="26.5" thickBot="1" x14ac:dyDescent="0.65">
      <c r="A67" s="222" t="s">
        <v>45</v>
      </c>
      <c r="B67" s="223"/>
      <c r="C67" s="223"/>
      <c r="D67" s="223"/>
      <c r="E67" s="223"/>
      <c r="F67" s="223"/>
      <c r="G67" s="223"/>
      <c r="H67" s="223"/>
      <c r="I67" s="223"/>
      <c r="J67" s="223"/>
      <c r="K67" s="223"/>
      <c r="L67" s="223"/>
      <c r="M67" s="223"/>
      <c r="N67" s="223"/>
      <c r="O67" s="223"/>
      <c r="P67" s="223"/>
      <c r="Q67" s="223"/>
      <c r="R67" s="223"/>
      <c r="S67" s="223"/>
      <c r="T67" s="223"/>
      <c r="U67" s="223"/>
      <c r="V67" s="223"/>
    </row>
    <row r="68" spans="1:22" ht="16.5" x14ac:dyDescent="0.35">
      <c r="A68" s="12"/>
      <c r="B68" s="12"/>
      <c r="C68" s="12"/>
      <c r="D68" s="12"/>
      <c r="E68" s="12"/>
      <c r="F68" s="12"/>
      <c r="N68" s="12"/>
      <c r="O68" s="12"/>
      <c r="P68" s="12"/>
      <c r="Q68" s="12"/>
      <c r="R68" s="12"/>
      <c r="S68" s="12"/>
      <c r="T68" s="12"/>
      <c r="U68" s="12"/>
      <c r="V68" s="12"/>
    </row>
    <row r="69" spans="1:22" ht="19" x14ac:dyDescent="0.4">
      <c r="A69" s="12"/>
      <c r="B69" s="197"/>
      <c r="C69" s="12"/>
      <c r="D69" s="12"/>
      <c r="E69" s="12"/>
      <c r="F69" s="12"/>
      <c r="N69" s="12"/>
      <c r="O69" s="12"/>
      <c r="P69" s="12"/>
      <c r="Q69" s="12"/>
      <c r="R69" s="198"/>
      <c r="S69" s="12"/>
      <c r="T69" s="12"/>
      <c r="U69" s="12"/>
      <c r="V69" s="12"/>
    </row>
    <row r="70" spans="1:22" ht="19" x14ac:dyDescent="0.4">
      <c r="A70" s="12"/>
      <c r="B70" s="197"/>
      <c r="C70" s="12"/>
      <c r="D70" s="12"/>
      <c r="E70" s="12"/>
      <c r="F70" s="12"/>
      <c r="N70" s="12"/>
      <c r="O70" s="12"/>
      <c r="P70" s="12"/>
      <c r="Q70" s="12"/>
      <c r="R70" s="198"/>
      <c r="S70" s="12"/>
      <c r="T70" s="12"/>
      <c r="U70" s="12"/>
      <c r="V70" s="12"/>
    </row>
    <row r="71" spans="1:22" ht="19" x14ac:dyDescent="0.4">
      <c r="A71" s="12"/>
      <c r="B71" s="197"/>
      <c r="C71" s="12"/>
      <c r="D71" s="12"/>
      <c r="E71" s="12"/>
      <c r="F71" s="12"/>
      <c r="N71" s="12"/>
      <c r="O71" s="12"/>
      <c r="P71" s="12"/>
      <c r="Q71" s="12"/>
      <c r="R71" s="198"/>
      <c r="S71" s="12"/>
      <c r="T71" s="12"/>
      <c r="U71" s="12"/>
      <c r="V71" s="12"/>
    </row>
    <row r="72" spans="1:22" ht="19" x14ac:dyDescent="0.4">
      <c r="A72" s="12"/>
      <c r="B72" s="197"/>
      <c r="C72" s="12"/>
      <c r="D72" s="12"/>
      <c r="E72" s="12"/>
      <c r="F72" s="12"/>
      <c r="J72" s="197"/>
      <c r="N72" s="12"/>
      <c r="O72" s="12"/>
      <c r="P72" s="12"/>
      <c r="Q72" s="12"/>
      <c r="R72" s="198"/>
      <c r="S72" s="12"/>
      <c r="T72" s="12"/>
      <c r="U72" s="12"/>
      <c r="V72" s="12"/>
    </row>
    <row r="73" spans="1:22" ht="19" x14ac:dyDescent="0.4">
      <c r="A73" s="12"/>
      <c r="B73" s="197"/>
      <c r="C73" s="12"/>
      <c r="D73" s="12"/>
      <c r="E73" s="12"/>
      <c r="F73" s="12"/>
      <c r="J73" s="197"/>
      <c r="N73" s="12"/>
      <c r="O73" s="12"/>
      <c r="P73" s="12"/>
      <c r="Q73" s="12"/>
      <c r="R73" s="198"/>
      <c r="S73" s="12"/>
      <c r="T73" s="12"/>
      <c r="U73" s="12"/>
      <c r="V73" s="12"/>
    </row>
    <row r="74" spans="1:22" ht="19" x14ac:dyDescent="0.4">
      <c r="A74" s="12"/>
      <c r="B74" s="197"/>
      <c r="C74" s="12"/>
      <c r="D74" s="12"/>
      <c r="E74" s="12"/>
      <c r="F74" s="12"/>
      <c r="J74" s="197"/>
      <c r="N74" s="12"/>
      <c r="O74" s="12"/>
      <c r="P74" s="12"/>
      <c r="Q74" s="12"/>
      <c r="R74" s="12"/>
      <c r="S74" s="12"/>
      <c r="T74" s="12"/>
      <c r="U74" s="12"/>
      <c r="V74" s="12"/>
    </row>
    <row r="75" spans="1:22" ht="19" x14ac:dyDescent="0.4">
      <c r="J75" s="197"/>
    </row>
    <row r="76" spans="1:22" ht="19" x14ac:dyDescent="0.4">
      <c r="J76" s="197"/>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J1" zoomScale="80" zoomScaleNormal="80" workbookViewId="0">
      <selection activeCell="AB5" sqref="AB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J1" s="1" t="s">
        <v>1640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3007</v>
      </c>
      <c r="D2" s="1" t="s">
        <v>3008</v>
      </c>
      <c r="E2" s="1" t="s">
        <v>3009</v>
      </c>
      <c r="F2" s="1" t="s">
        <v>112</v>
      </c>
      <c r="G2" s="1">
        <v>756700</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3010</v>
      </c>
      <c r="D3" s="1" t="s">
        <v>3011</v>
      </c>
      <c r="E3" s="1" t="s">
        <v>3012</v>
      </c>
      <c r="F3" s="1" t="s">
        <v>112</v>
      </c>
      <c r="G3" s="1">
        <v>1035380</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3013</v>
      </c>
      <c r="D4" s="1" t="s">
        <v>2846</v>
      </c>
      <c r="E4" s="1" t="s">
        <v>3014</v>
      </c>
      <c r="F4" s="1" t="s">
        <v>112</v>
      </c>
      <c r="G4" s="1">
        <v>739569</v>
      </c>
      <c r="K4" s="118" t="s">
        <v>100</v>
      </c>
      <c r="L4" s="1" t="s">
        <v>1641</v>
      </c>
      <c r="M4" s="1" t="s">
        <v>1642</v>
      </c>
      <c r="N4" s="1" t="s">
        <v>1643</v>
      </c>
      <c r="O4" s="1" t="s">
        <v>1644</v>
      </c>
      <c r="P4" s="1" t="s">
        <v>1645</v>
      </c>
      <c r="Q4" s="1" t="s">
        <v>1646</v>
      </c>
      <c r="R4" s="1" t="s">
        <v>1647</v>
      </c>
      <c r="S4" s="1" t="s">
        <v>1648</v>
      </c>
      <c r="T4" s="1" t="s">
        <v>1649</v>
      </c>
      <c r="U4" s="1" t="s">
        <v>1650</v>
      </c>
      <c r="V4" s="1" t="s">
        <v>1651</v>
      </c>
      <c r="W4" s="1" t="s">
        <v>1652</v>
      </c>
      <c r="X4" s="1" t="s">
        <v>1653</v>
      </c>
      <c r="Y4" s="1" t="s">
        <v>1654</v>
      </c>
      <c r="Z4" s="1" t="s">
        <v>4257</v>
      </c>
      <c r="AA4" s="1" t="s">
        <v>4258</v>
      </c>
      <c r="AB4" s="1" t="s">
        <v>1657</v>
      </c>
      <c r="AC4" s="1" t="s">
        <v>1658</v>
      </c>
      <c r="AD4" s="1" t="s">
        <v>1659</v>
      </c>
      <c r="AE4" s="1" t="s">
        <v>1660</v>
      </c>
      <c r="AF4" s="1" t="s">
        <v>1661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3015</v>
      </c>
      <c r="D5" s="1" t="s">
        <v>897</v>
      </c>
      <c r="E5" s="1" t="s">
        <v>3016</v>
      </c>
      <c r="F5" s="1" t="s">
        <v>112</v>
      </c>
      <c r="G5" s="1">
        <v>303965</v>
      </c>
      <c r="K5" s="145" t="s">
        <v>164</v>
      </c>
      <c r="L5" s="44">
        <v>843883</v>
      </c>
      <c r="M5" s="44">
        <v>104941</v>
      </c>
      <c r="N5" s="44">
        <v>359662</v>
      </c>
      <c r="O5" s="44">
        <v>205880.33333333334</v>
      </c>
      <c r="P5" s="44">
        <v>2237814.3333333335</v>
      </c>
      <c r="Q5" s="44">
        <v>5906799.666666667</v>
      </c>
      <c r="R5" s="44">
        <v>5245134</v>
      </c>
      <c r="S5" s="44">
        <v>26626.666666666668</v>
      </c>
      <c r="T5" s="44">
        <v>587056.66666666663</v>
      </c>
      <c r="U5" s="44">
        <v>74190.666666666672</v>
      </c>
      <c r="V5" s="44">
        <v>279054.33333333331</v>
      </c>
      <c r="W5" s="44">
        <v>134768.66666666666</v>
      </c>
      <c r="X5" s="44">
        <v>2955790</v>
      </c>
      <c r="Y5" s="44">
        <v>2619770</v>
      </c>
      <c r="Z5" s="44">
        <v>100226</v>
      </c>
      <c r="AA5" s="44">
        <v>2633555</v>
      </c>
      <c r="AB5" s="44">
        <v>1115403.3333333333</v>
      </c>
      <c r="AC5" s="44">
        <v>2791835.6666666665</v>
      </c>
      <c r="AD5" s="44">
        <v>26698.666666666668</v>
      </c>
      <c r="AE5" s="44">
        <v>532795</v>
      </c>
      <c r="AF5" s="44">
        <v>979762.33333333337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3017</v>
      </c>
      <c r="D6" s="1" t="s">
        <v>3018</v>
      </c>
      <c r="E6" s="1" t="s">
        <v>3019</v>
      </c>
      <c r="F6" s="1" t="s">
        <v>112</v>
      </c>
      <c r="G6" s="1">
        <v>229709</v>
      </c>
      <c r="K6" s="145" t="s">
        <v>1662</v>
      </c>
      <c r="L6" s="44">
        <v>291859.33333333331</v>
      </c>
      <c r="M6" s="44">
        <v>28670.5</v>
      </c>
      <c r="N6" s="44">
        <v>82936.333333333328</v>
      </c>
      <c r="O6" s="44">
        <v>133773.66666666666</v>
      </c>
      <c r="P6" s="44">
        <v>3312942.6666666665</v>
      </c>
      <c r="Q6" s="44">
        <v>5271493.666666667</v>
      </c>
      <c r="R6" s="44">
        <v>7719485.666666667</v>
      </c>
      <c r="S6" s="44">
        <v>131726</v>
      </c>
      <c r="T6" s="44"/>
      <c r="U6" s="44">
        <v>21795.666666666668</v>
      </c>
      <c r="V6" s="44">
        <v>44478</v>
      </c>
      <c r="W6" s="44">
        <v>103564</v>
      </c>
      <c r="X6" s="44">
        <v>396706.66666666669</v>
      </c>
      <c r="Y6" s="44">
        <v>2049483</v>
      </c>
      <c r="Z6" s="44">
        <v>167307.33333333334</v>
      </c>
      <c r="AA6" s="44">
        <v>3246690.6666666665</v>
      </c>
      <c r="AB6" s="44">
        <v>2720381</v>
      </c>
      <c r="AC6" s="44">
        <v>3598399.6666666665</v>
      </c>
      <c r="AD6" s="44">
        <v>2219335.5</v>
      </c>
      <c r="AE6" s="44">
        <v>1016886.3333333334</v>
      </c>
      <c r="AF6" s="44">
        <v>2089339.5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3020</v>
      </c>
      <c r="D7" s="1" t="s">
        <v>3021</v>
      </c>
      <c r="E7" s="1" t="s">
        <v>3022</v>
      </c>
      <c r="F7" s="1" t="s">
        <v>112</v>
      </c>
      <c r="G7" s="1">
        <v>341904</v>
      </c>
      <c r="K7" s="145" t="s">
        <v>1663</v>
      </c>
      <c r="L7" s="44">
        <v>558923.66666666663</v>
      </c>
      <c r="M7" s="44">
        <v>96757.666666666672</v>
      </c>
      <c r="N7" s="44">
        <v>91927</v>
      </c>
      <c r="O7" s="44">
        <v>97125.666666666672</v>
      </c>
      <c r="P7" s="44">
        <v>3060421.3333333335</v>
      </c>
      <c r="Q7" s="44">
        <v>3337384.3333333335</v>
      </c>
      <c r="R7" s="44">
        <v>4260602.5</v>
      </c>
      <c r="S7" s="44">
        <v>94061</v>
      </c>
      <c r="T7" s="44">
        <v>27621.333333333332</v>
      </c>
      <c r="U7" s="44">
        <v>94703</v>
      </c>
      <c r="V7" s="44">
        <v>110788.33333333333</v>
      </c>
      <c r="W7" s="44">
        <v>126744</v>
      </c>
      <c r="X7" s="44">
        <v>2274502.5</v>
      </c>
      <c r="Y7" s="44">
        <v>3440764.5</v>
      </c>
      <c r="Z7" s="44">
        <v>69078.666666666672</v>
      </c>
      <c r="AA7" s="44">
        <v>1645227.3333333333</v>
      </c>
      <c r="AB7" s="44">
        <v>4008127.6666666665</v>
      </c>
      <c r="AC7" s="44"/>
      <c r="AD7" s="44">
        <v>1500112.6666666667</v>
      </c>
      <c r="AE7" s="44">
        <v>2265724.3333333335</v>
      </c>
      <c r="AF7" s="44">
        <v>340400.5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3023</v>
      </c>
      <c r="D8" s="1" t="s">
        <v>3024</v>
      </c>
      <c r="E8" s="1" t="s">
        <v>3025</v>
      </c>
      <c r="F8" s="1" t="s">
        <v>112</v>
      </c>
      <c r="G8" s="1">
        <v>730074</v>
      </c>
      <c r="K8" s="145" t="s">
        <v>1664</v>
      </c>
      <c r="L8" s="44">
        <v>259695.66666666666</v>
      </c>
      <c r="M8" s="44">
        <v>95856.333333333328</v>
      </c>
      <c r="N8" s="44">
        <v>63253</v>
      </c>
      <c r="O8" s="44">
        <v>1555881.6666666667</v>
      </c>
      <c r="P8" s="44">
        <v>3123176.6666666665</v>
      </c>
      <c r="Q8" s="44">
        <v>2914657</v>
      </c>
      <c r="R8" s="44">
        <v>4058157.6666666665</v>
      </c>
      <c r="S8" s="44">
        <v>415964.33333333331</v>
      </c>
      <c r="T8" s="44">
        <v>30015</v>
      </c>
      <c r="U8" s="44">
        <v>170155</v>
      </c>
      <c r="V8" s="44">
        <v>41183.5</v>
      </c>
      <c r="W8" s="44"/>
      <c r="X8" s="44">
        <v>1712993.6666666667</v>
      </c>
      <c r="Y8" s="44">
        <v>1570727</v>
      </c>
      <c r="Z8" s="44">
        <v>150558.66666666666</v>
      </c>
      <c r="AA8" s="44">
        <v>892882.33333333337</v>
      </c>
      <c r="AB8" s="44">
        <v>1907511.3333333333</v>
      </c>
      <c r="AC8" s="44">
        <v>1366814.5</v>
      </c>
      <c r="AD8" s="44">
        <v>2071603</v>
      </c>
      <c r="AE8" s="44">
        <v>3803227.3333333335</v>
      </c>
      <c r="AF8" s="44">
        <v>2572428.6666666665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3026</v>
      </c>
      <c r="D9" s="1" t="s">
        <v>3027</v>
      </c>
      <c r="E9" s="1" t="s">
        <v>3028</v>
      </c>
      <c r="F9" s="1" t="s">
        <v>112</v>
      </c>
      <c r="G9" s="1">
        <v>539190</v>
      </c>
      <c r="K9" s="145" t="s">
        <v>1665</v>
      </c>
      <c r="L9" s="44">
        <v>285320</v>
      </c>
      <c r="M9" s="44">
        <v>64377.666666666664</v>
      </c>
      <c r="N9" s="44">
        <v>3390522</v>
      </c>
      <c r="O9" s="44">
        <v>1624037</v>
      </c>
      <c r="P9" s="44">
        <v>1345725.3333333333</v>
      </c>
      <c r="Q9" s="44">
        <v>2844907.6666666665</v>
      </c>
      <c r="R9" s="44">
        <v>11229592.333333334</v>
      </c>
      <c r="S9" s="44">
        <v>78094.5</v>
      </c>
      <c r="T9" s="44">
        <v>131337</v>
      </c>
      <c r="U9" s="44">
        <v>29265.333333333332</v>
      </c>
      <c r="V9" s="44">
        <v>22765.5</v>
      </c>
      <c r="W9" s="44">
        <v>531006.66666666663</v>
      </c>
      <c r="X9" s="44">
        <v>3288544</v>
      </c>
      <c r="Y9" s="44">
        <v>1796917.6666666667</v>
      </c>
      <c r="Z9" s="44">
        <v>385639.66666666669</v>
      </c>
      <c r="AA9" s="44">
        <v>3287989</v>
      </c>
      <c r="AB9" s="44">
        <v>128405.5</v>
      </c>
      <c r="AC9" s="44">
        <v>4768310</v>
      </c>
      <c r="AD9" s="44">
        <v>2562681</v>
      </c>
      <c r="AE9" s="44">
        <v>1412331.3333333333</v>
      </c>
      <c r="AF9" s="44">
        <v>1758071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3029</v>
      </c>
      <c r="D10" s="1" t="s">
        <v>859</v>
      </c>
      <c r="E10" s="1" t="s">
        <v>3030</v>
      </c>
      <c r="F10" s="1" t="s">
        <v>112</v>
      </c>
      <c r="G10" s="1">
        <v>407507</v>
      </c>
      <c r="K10" s="145" t="s">
        <v>1666</v>
      </c>
      <c r="L10" s="44">
        <v>111011.66666666667</v>
      </c>
      <c r="M10" s="44">
        <v>45466</v>
      </c>
      <c r="N10" s="44">
        <v>139159.66666666666</v>
      </c>
      <c r="O10" s="44">
        <v>851121.66666666663</v>
      </c>
      <c r="P10" s="44">
        <v>1818652.5</v>
      </c>
      <c r="Q10" s="44">
        <v>4190633.3333333335</v>
      </c>
      <c r="R10" s="44">
        <v>7156611</v>
      </c>
      <c r="S10" s="44">
        <v>113456</v>
      </c>
      <c r="T10" s="44">
        <v>57131.666666666664</v>
      </c>
      <c r="U10" s="44">
        <v>78502.333333333328</v>
      </c>
      <c r="V10" s="44">
        <v>240275.5</v>
      </c>
      <c r="W10" s="44">
        <v>17592.333333333332</v>
      </c>
      <c r="X10" s="44">
        <v>3717638</v>
      </c>
      <c r="Y10" s="44">
        <v>3302769.6666666665</v>
      </c>
      <c r="Z10" s="44">
        <v>155519</v>
      </c>
      <c r="AA10" s="44">
        <v>4437019.666666667</v>
      </c>
      <c r="AB10" s="44">
        <v>4177331.3333333335</v>
      </c>
      <c r="AC10" s="44">
        <v>1378862.6666666667</v>
      </c>
      <c r="AD10" s="44">
        <v>3884318</v>
      </c>
      <c r="AE10" s="44">
        <v>539925.33333333337</v>
      </c>
      <c r="AF10" s="44">
        <v>3463371.6666666665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3031</v>
      </c>
      <c r="D11" s="1" t="s">
        <v>3032</v>
      </c>
      <c r="E11" s="1" t="s">
        <v>3033</v>
      </c>
      <c r="F11" s="1" t="s">
        <v>112</v>
      </c>
      <c r="G11" s="1">
        <v>428618</v>
      </c>
      <c r="K11" s="145" t="s">
        <v>1667</v>
      </c>
      <c r="L11" s="44">
        <v>16280</v>
      </c>
      <c r="M11" s="44">
        <v>73650</v>
      </c>
      <c r="N11" s="44">
        <v>112763.66666666667</v>
      </c>
      <c r="O11" s="44">
        <v>146376.66666666666</v>
      </c>
      <c r="P11" s="44">
        <v>1657989.3333333333</v>
      </c>
      <c r="Q11" s="44"/>
      <c r="R11" s="44">
        <v>5529185.5</v>
      </c>
      <c r="S11" s="44">
        <v>417175.66666666669</v>
      </c>
      <c r="T11" s="44">
        <v>334109.66666666669</v>
      </c>
      <c r="U11" s="44">
        <v>41724</v>
      </c>
      <c r="V11" s="44">
        <v>22538.666666666668</v>
      </c>
      <c r="W11" s="44">
        <v>13807</v>
      </c>
      <c r="X11" s="44">
        <v>66944.666666666672</v>
      </c>
      <c r="Y11" s="44">
        <v>276311</v>
      </c>
      <c r="Z11" s="44">
        <v>23108</v>
      </c>
      <c r="AA11" s="44">
        <v>4515262</v>
      </c>
      <c r="AB11" s="44">
        <v>1373483.6666666667</v>
      </c>
      <c r="AC11" s="44">
        <v>5124208.333333333</v>
      </c>
      <c r="AD11" s="44">
        <v>1652971</v>
      </c>
      <c r="AE11" s="44">
        <v>2766369.6666666665</v>
      </c>
      <c r="AF11" s="44">
        <v>268225.33333333331</v>
      </c>
      <c r="AG11"/>
    </row>
    <row r="12" spans="1:144" x14ac:dyDescent="0.35">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3034</v>
      </c>
      <c r="D12" s="1" t="s">
        <v>294</v>
      </c>
      <c r="E12" s="1" t="s">
        <v>3035</v>
      </c>
      <c r="F12" s="1" t="s">
        <v>112</v>
      </c>
      <c r="G12" s="1">
        <v>317440</v>
      </c>
      <c r="K12" s="145" t="s">
        <v>1668</v>
      </c>
      <c r="L12" s="44">
        <v>12480.333333333334</v>
      </c>
      <c r="M12" s="44">
        <v>2293396.3333333335</v>
      </c>
      <c r="N12" s="44">
        <v>368032.66666666669</v>
      </c>
      <c r="O12" s="44">
        <v>357268.33333333331</v>
      </c>
      <c r="P12" s="44">
        <v>2586625</v>
      </c>
      <c r="Q12" s="44"/>
      <c r="R12" s="44">
        <v>4513971.666666667</v>
      </c>
      <c r="S12" s="44">
        <v>386165.66666666669</v>
      </c>
      <c r="T12" s="44">
        <v>106159.33333333333</v>
      </c>
      <c r="U12" s="44">
        <v>14917.333333333334</v>
      </c>
      <c r="V12" s="44">
        <v>9658</v>
      </c>
      <c r="W12" s="44">
        <v>78876.666666666672</v>
      </c>
      <c r="X12" s="44">
        <v>2824053</v>
      </c>
      <c r="Y12" s="44">
        <v>2130602.3333333335</v>
      </c>
      <c r="Z12" s="44">
        <v>32762.333333333332</v>
      </c>
      <c r="AA12" s="44">
        <v>1123774</v>
      </c>
      <c r="AB12" s="44">
        <v>998717.33333333337</v>
      </c>
      <c r="AC12" s="44">
        <v>2868116.6666666665</v>
      </c>
      <c r="AD12" s="44"/>
      <c r="AE12" s="44">
        <v>4054358</v>
      </c>
      <c r="AF12" s="44">
        <v>625309.5</v>
      </c>
      <c r="AG12"/>
    </row>
    <row r="13" spans="1:144" x14ac:dyDescent="0.35">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3036</v>
      </c>
      <c r="D13" s="1" t="s">
        <v>739</v>
      </c>
      <c r="E13" s="1" t="s">
        <v>2160</v>
      </c>
      <c r="F13" s="1" t="s">
        <v>112</v>
      </c>
      <c r="G13" s="1">
        <v>33029</v>
      </c>
      <c r="K13"/>
      <c r="L13"/>
      <c r="M13"/>
      <c r="N13"/>
      <c r="O13"/>
      <c r="P13"/>
      <c r="Q13"/>
      <c r="R13"/>
      <c r="S13"/>
      <c r="T13"/>
      <c r="U13"/>
      <c r="V13"/>
      <c r="W13"/>
      <c r="X13"/>
      <c r="Y13"/>
      <c r="Z13"/>
      <c r="AA13"/>
      <c r="AB13"/>
      <c r="AC13"/>
      <c r="AD13"/>
      <c r="AE13"/>
      <c r="AF13"/>
      <c r="AG13"/>
    </row>
    <row r="14" spans="1:144" x14ac:dyDescent="0.35">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3037</v>
      </c>
      <c r="D14" s="1" t="s">
        <v>167</v>
      </c>
      <c r="E14" s="1" t="s">
        <v>3038</v>
      </c>
      <c r="F14" s="1" t="s">
        <v>112</v>
      </c>
      <c r="G14" s="1">
        <v>268038</v>
      </c>
      <c r="K14"/>
      <c r="L14"/>
      <c r="M14"/>
      <c r="N14"/>
      <c r="O14"/>
      <c r="P14"/>
      <c r="Q14"/>
      <c r="R14"/>
      <c r="S14"/>
      <c r="T14"/>
      <c r="U14"/>
      <c r="V14"/>
      <c r="W14"/>
      <c r="X14"/>
      <c r="Y14"/>
      <c r="Z14"/>
      <c r="AA14"/>
      <c r="AB14"/>
      <c r="AC14"/>
      <c r="AD14"/>
      <c r="AE14"/>
      <c r="AF14"/>
      <c r="AG14"/>
    </row>
    <row r="15" spans="1:144" x14ac:dyDescent="0.35">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3039</v>
      </c>
    </row>
    <row r="16" spans="1:144" x14ac:dyDescent="0.35">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3040</v>
      </c>
      <c r="D16" s="1" t="s">
        <v>3041</v>
      </c>
      <c r="E16" s="1" t="s">
        <v>3042</v>
      </c>
      <c r="F16" s="1" t="s">
        <v>112</v>
      </c>
      <c r="G16" s="1">
        <v>302602</v>
      </c>
    </row>
    <row r="17" spans="1:10" x14ac:dyDescent="0.35">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3043</v>
      </c>
      <c r="D17" s="1" t="s">
        <v>2251</v>
      </c>
      <c r="E17" s="1" t="s">
        <v>3044</v>
      </c>
      <c r="F17" s="1" t="s">
        <v>112</v>
      </c>
      <c r="G17" s="1">
        <v>97248</v>
      </c>
    </row>
    <row r="18" spans="1:10" x14ac:dyDescent="0.35">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3045</v>
      </c>
      <c r="D18" s="1" t="s">
        <v>2186</v>
      </c>
      <c r="E18" s="1" t="s">
        <v>3046</v>
      </c>
      <c r="F18" s="1" t="s">
        <v>112</v>
      </c>
      <c r="G18" s="1">
        <v>119375</v>
      </c>
    </row>
    <row r="19" spans="1:10" x14ac:dyDescent="0.35">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3047</v>
      </c>
      <c r="D19" s="1" t="s">
        <v>367</v>
      </c>
      <c r="E19" s="1" t="s">
        <v>3048</v>
      </c>
      <c r="F19" s="1" t="s">
        <v>112</v>
      </c>
      <c r="G19" s="1">
        <v>116412</v>
      </c>
    </row>
    <row r="20" spans="1:10" x14ac:dyDescent="0.35">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3049</v>
      </c>
      <c r="D20" s="1" t="s">
        <v>710</v>
      </c>
      <c r="E20" s="1" t="s">
        <v>3050</v>
      </c>
      <c r="F20" s="1" t="s">
        <v>112</v>
      </c>
      <c r="G20" s="1">
        <v>16222</v>
      </c>
    </row>
    <row r="21" spans="1:10" x14ac:dyDescent="0.35">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3051</v>
      </c>
      <c r="D21" s="1" t="s">
        <v>598</v>
      </c>
      <c r="E21" s="1" t="s">
        <v>3052</v>
      </c>
      <c r="F21" s="1" t="s">
        <v>112</v>
      </c>
      <c r="G21" s="1">
        <v>15141</v>
      </c>
    </row>
    <row r="22" spans="1:10" x14ac:dyDescent="0.35">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3053</v>
      </c>
      <c r="D22" s="1" t="s">
        <v>981</v>
      </c>
      <c r="E22" s="1" t="s">
        <v>3054</v>
      </c>
      <c r="F22" s="1" t="s">
        <v>112</v>
      </c>
      <c r="G22" s="1">
        <v>17477</v>
      </c>
    </row>
    <row r="23" spans="1:10" x14ac:dyDescent="0.35">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3055</v>
      </c>
      <c r="D23" s="1" t="s">
        <v>184</v>
      </c>
      <c r="E23" s="1" t="s">
        <v>3056</v>
      </c>
      <c r="F23" s="1" t="s">
        <v>112</v>
      </c>
      <c r="G23" s="1">
        <v>22300</v>
      </c>
    </row>
    <row r="24" spans="1:10" x14ac:dyDescent="0.35">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3057</v>
      </c>
      <c r="D24" s="1" t="s">
        <v>818</v>
      </c>
      <c r="E24" s="1" t="s">
        <v>2153</v>
      </c>
      <c r="F24" s="1" t="s">
        <v>112</v>
      </c>
      <c r="G24" s="1">
        <v>8241</v>
      </c>
    </row>
    <row r="25" spans="1:10" x14ac:dyDescent="0.35">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3058</v>
      </c>
      <c r="D25" s="1" t="s">
        <v>3059</v>
      </c>
      <c r="E25" s="1" t="s">
        <v>971</v>
      </c>
      <c r="F25" s="1" t="s">
        <v>112</v>
      </c>
      <c r="G25" s="1">
        <v>6900</v>
      </c>
    </row>
    <row r="26" spans="1:10"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234</v>
      </c>
      <c r="D27" s="1" t="s">
        <v>112</v>
      </c>
      <c r="E27" s="1" t="s">
        <v>235</v>
      </c>
      <c r="F27" s="1" t="s">
        <v>236</v>
      </c>
      <c r="G27" s="1" t="s">
        <v>237</v>
      </c>
      <c r="H27" s="1" t="s">
        <v>238</v>
      </c>
      <c r="I27" s="1" t="s">
        <v>239</v>
      </c>
      <c r="J27" s="1" t="s">
        <v>240</v>
      </c>
    </row>
    <row r="28" spans="1:10" x14ac:dyDescent="0.35">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3060</v>
      </c>
      <c r="D28" s="1" t="s">
        <v>112</v>
      </c>
      <c r="E28" s="1" t="s">
        <v>3061</v>
      </c>
      <c r="F28" s="1" t="s">
        <v>3062</v>
      </c>
      <c r="G28" s="1" t="s">
        <v>3063</v>
      </c>
      <c r="H28" s="1" t="s">
        <v>3064</v>
      </c>
      <c r="I28" s="1">
        <v>24</v>
      </c>
      <c r="J28" s="1">
        <v>24</v>
      </c>
    </row>
    <row r="29" spans="1:10"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246</v>
      </c>
      <c r="D34" s="1" t="s">
        <v>110</v>
      </c>
      <c r="E34" s="1" t="s">
        <v>111</v>
      </c>
      <c r="F34" s="1" t="s">
        <v>112</v>
      </c>
      <c r="G34" s="1" t="s">
        <v>113</v>
      </c>
    </row>
    <row r="35" spans="1:7" x14ac:dyDescent="0.35">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3065</v>
      </c>
      <c r="D35" s="1" t="s">
        <v>1707</v>
      </c>
      <c r="E35" s="1" t="s">
        <v>3066</v>
      </c>
      <c r="F35" s="1" t="s">
        <v>112</v>
      </c>
      <c r="G35" s="1">
        <v>137285</v>
      </c>
    </row>
    <row r="36" spans="1:7" x14ac:dyDescent="0.35">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3067</v>
      </c>
      <c r="D36" s="1" t="s">
        <v>170</v>
      </c>
      <c r="E36" s="1" t="s">
        <v>3068</v>
      </c>
      <c r="F36" s="1" t="s">
        <v>112</v>
      </c>
      <c r="G36" s="1">
        <v>35581</v>
      </c>
    </row>
    <row r="37" spans="1:7" x14ac:dyDescent="0.35">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3069</v>
      </c>
      <c r="D37" s="1" t="s">
        <v>831</v>
      </c>
      <c r="E37" s="1" t="s">
        <v>3070</v>
      </c>
      <c r="F37" s="1" t="s">
        <v>112</v>
      </c>
      <c r="G37" s="1">
        <v>141957</v>
      </c>
    </row>
    <row r="38" spans="1:7" x14ac:dyDescent="0.35">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3071</v>
      </c>
    </row>
    <row r="39" spans="1:7" x14ac:dyDescent="0.35">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3072</v>
      </c>
      <c r="D39" s="1" t="s">
        <v>981</v>
      </c>
      <c r="E39" s="1" t="s">
        <v>3073</v>
      </c>
      <c r="F39" s="1" t="s">
        <v>112</v>
      </c>
      <c r="G39" s="1">
        <v>17737</v>
      </c>
    </row>
    <row r="40" spans="1:7" x14ac:dyDescent="0.35">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3074</v>
      </c>
      <c r="D40" s="1" t="s">
        <v>745</v>
      </c>
      <c r="E40" s="1" t="s">
        <v>3075</v>
      </c>
      <c r="F40" s="1" t="s">
        <v>112</v>
      </c>
      <c r="G40" s="1">
        <v>39604</v>
      </c>
    </row>
    <row r="41" spans="1:7" x14ac:dyDescent="0.35">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3076</v>
      </c>
      <c r="D41" s="1" t="s">
        <v>809</v>
      </c>
      <c r="E41" s="1" t="s">
        <v>3077</v>
      </c>
      <c r="F41" s="1" t="s">
        <v>112</v>
      </c>
      <c r="G41" s="1">
        <v>48862</v>
      </c>
    </row>
    <row r="42" spans="1:7" x14ac:dyDescent="0.35">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3078</v>
      </c>
      <c r="D42" s="1" t="s">
        <v>751</v>
      </c>
      <c r="E42" s="1" t="s">
        <v>3079</v>
      </c>
      <c r="F42" s="1" t="s">
        <v>112</v>
      </c>
      <c r="G42" s="1">
        <v>9647</v>
      </c>
    </row>
    <row r="43" spans="1:7" x14ac:dyDescent="0.35">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3080</v>
      </c>
      <c r="D43" s="1" t="s">
        <v>3081</v>
      </c>
      <c r="E43" s="1" t="s">
        <v>3082</v>
      </c>
      <c r="F43" s="1" t="s">
        <v>112</v>
      </c>
      <c r="G43" s="1">
        <v>231764</v>
      </c>
    </row>
    <row r="44" spans="1:7" x14ac:dyDescent="0.35">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3083</v>
      </c>
      <c r="D44" s="1" t="s">
        <v>232</v>
      </c>
      <c r="E44" s="1" t="s">
        <v>3084</v>
      </c>
      <c r="F44" s="1" t="s">
        <v>112</v>
      </c>
      <c r="G44" s="1">
        <v>83448</v>
      </c>
    </row>
    <row r="45" spans="1:7" x14ac:dyDescent="0.35">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3085</v>
      </c>
      <c r="D45" s="1" t="s">
        <v>3086</v>
      </c>
      <c r="E45" s="1" t="s">
        <v>3087</v>
      </c>
      <c r="F45" s="1" t="s">
        <v>112</v>
      </c>
      <c r="G45" s="1">
        <v>129563</v>
      </c>
    </row>
    <row r="46" spans="1:7" x14ac:dyDescent="0.35">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3088</v>
      </c>
      <c r="D46" s="1" t="s">
        <v>3089</v>
      </c>
      <c r="E46" s="1" t="s">
        <v>1754</v>
      </c>
      <c r="F46" s="1" t="s">
        <v>112</v>
      </c>
      <c r="G46" s="1">
        <v>74558</v>
      </c>
    </row>
    <row r="47" spans="1:7" x14ac:dyDescent="0.35">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3090</v>
      </c>
      <c r="D47" s="1" t="s">
        <v>1735</v>
      </c>
      <c r="E47" s="1" t="s">
        <v>3091</v>
      </c>
      <c r="F47" s="1" t="s">
        <v>112</v>
      </c>
      <c r="G47" s="1">
        <v>50376</v>
      </c>
    </row>
    <row r="48" spans="1:7" x14ac:dyDescent="0.35">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3092</v>
      </c>
      <c r="D48" s="1" t="s">
        <v>941</v>
      </c>
      <c r="E48" s="1" t="s">
        <v>3093</v>
      </c>
      <c r="F48" s="1" t="s">
        <v>112</v>
      </c>
      <c r="G48" s="1">
        <v>60434</v>
      </c>
    </row>
    <row r="49" spans="1:10" x14ac:dyDescent="0.35">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3094</v>
      </c>
      <c r="D49" s="1" t="s">
        <v>232</v>
      </c>
      <c r="E49" s="1" t="s">
        <v>3095</v>
      </c>
      <c r="F49" s="1" t="s">
        <v>112</v>
      </c>
      <c r="G49" s="1">
        <v>82323</v>
      </c>
    </row>
    <row r="50" spans="1:10" x14ac:dyDescent="0.35">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3096</v>
      </c>
    </row>
    <row r="51" spans="1:10" x14ac:dyDescent="0.35">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3097</v>
      </c>
      <c r="D51" s="1" t="s">
        <v>997</v>
      </c>
      <c r="E51" s="1" t="s">
        <v>3098</v>
      </c>
      <c r="F51" s="1" t="s">
        <v>112</v>
      </c>
      <c r="G51" s="1">
        <v>57579</v>
      </c>
    </row>
    <row r="52" spans="1:10" x14ac:dyDescent="0.35">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3099</v>
      </c>
      <c r="D52" s="1" t="s">
        <v>739</v>
      </c>
      <c r="E52" s="1" t="s">
        <v>3100</v>
      </c>
      <c r="F52" s="1" t="s">
        <v>112</v>
      </c>
      <c r="G52" s="1">
        <v>33353</v>
      </c>
    </row>
    <row r="53" spans="1:10" x14ac:dyDescent="0.35">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3101</v>
      </c>
    </row>
    <row r="54" spans="1:10" x14ac:dyDescent="0.35">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3102</v>
      </c>
      <c r="D54" s="1" t="s">
        <v>232</v>
      </c>
      <c r="E54" s="1" t="s">
        <v>3103</v>
      </c>
      <c r="F54" s="1" t="s">
        <v>112</v>
      </c>
      <c r="G54" s="1">
        <v>82172</v>
      </c>
    </row>
    <row r="55" spans="1:10" x14ac:dyDescent="0.35">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3104</v>
      </c>
      <c r="D55" s="1" t="s">
        <v>839</v>
      </c>
      <c r="E55" s="1" t="s">
        <v>3105</v>
      </c>
      <c r="F55" s="1" t="s">
        <v>112</v>
      </c>
      <c r="G55" s="1">
        <v>65128</v>
      </c>
    </row>
    <row r="56" spans="1:10" x14ac:dyDescent="0.35">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3106</v>
      </c>
      <c r="D56" s="1" t="s">
        <v>3107</v>
      </c>
      <c r="E56" s="1" t="s">
        <v>3108</v>
      </c>
      <c r="F56" s="1" t="s">
        <v>112</v>
      </c>
      <c r="G56" s="1">
        <v>2236726</v>
      </c>
    </row>
    <row r="57" spans="1:10" x14ac:dyDescent="0.35">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3109</v>
      </c>
      <c r="D57" s="1" t="s">
        <v>3110</v>
      </c>
      <c r="E57" s="1" t="s">
        <v>3111</v>
      </c>
      <c r="F57" s="1" t="s">
        <v>112</v>
      </c>
      <c r="G57" s="1">
        <v>2308451</v>
      </c>
    </row>
    <row r="58" spans="1:10" x14ac:dyDescent="0.35">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3112</v>
      </c>
      <c r="D58" s="1" t="s">
        <v>3113</v>
      </c>
      <c r="E58" s="1" t="s">
        <v>3114</v>
      </c>
      <c r="F58" s="1" t="s">
        <v>112</v>
      </c>
      <c r="G58" s="1">
        <v>2335012</v>
      </c>
    </row>
    <row r="59" spans="1:10"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234</v>
      </c>
      <c r="D60" s="1" t="s">
        <v>112</v>
      </c>
      <c r="E60" s="1" t="s">
        <v>235</v>
      </c>
      <c r="F60" s="1" t="s">
        <v>236</v>
      </c>
      <c r="G60" s="1" t="s">
        <v>237</v>
      </c>
      <c r="H60" s="1" t="s">
        <v>238</v>
      </c>
      <c r="I60" s="1" t="s">
        <v>239</v>
      </c>
      <c r="J60" s="1" t="s">
        <v>240</v>
      </c>
    </row>
    <row r="61" spans="1:10" x14ac:dyDescent="0.35">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3115</v>
      </c>
      <c r="D61" s="1" t="s">
        <v>112</v>
      </c>
      <c r="E61" s="1" t="s">
        <v>3116</v>
      </c>
      <c r="F61" s="1" t="s">
        <v>3117</v>
      </c>
      <c r="G61" s="1" t="s">
        <v>3118</v>
      </c>
      <c r="H61" s="1" t="s">
        <v>3119</v>
      </c>
      <c r="I61" s="1">
        <v>24</v>
      </c>
      <c r="J61" s="1">
        <v>24</v>
      </c>
    </row>
    <row r="62" spans="1:10"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246</v>
      </c>
      <c r="D67" s="1" t="s">
        <v>110</v>
      </c>
      <c r="E67" s="1" t="s">
        <v>111</v>
      </c>
      <c r="F67" s="1" t="s">
        <v>112</v>
      </c>
      <c r="G67" s="1" t="s">
        <v>113</v>
      </c>
    </row>
    <row r="68" spans="1:7" x14ac:dyDescent="0.35">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3120</v>
      </c>
      <c r="D68" s="1" t="s">
        <v>3121</v>
      </c>
      <c r="E68" s="1" t="s">
        <v>3122</v>
      </c>
      <c r="F68" s="1" t="s">
        <v>112</v>
      </c>
      <c r="G68" s="1">
        <v>649438</v>
      </c>
    </row>
    <row r="69" spans="1:7" x14ac:dyDescent="0.35">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3123</v>
      </c>
      <c r="D69" s="1" t="s">
        <v>724</v>
      </c>
      <c r="E69" s="1" t="s">
        <v>3124</v>
      </c>
      <c r="F69" s="1" t="s">
        <v>112</v>
      </c>
      <c r="G69" s="1">
        <v>251253</v>
      </c>
    </row>
    <row r="70" spans="1:7" x14ac:dyDescent="0.35">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3125</v>
      </c>
      <c r="D70" s="1" t="s">
        <v>1792</v>
      </c>
      <c r="E70" s="1" t="s">
        <v>3126</v>
      </c>
      <c r="F70" s="1" t="s">
        <v>112</v>
      </c>
      <c r="G70" s="1">
        <v>178295</v>
      </c>
    </row>
    <row r="71" spans="1:7" x14ac:dyDescent="0.35">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3127</v>
      </c>
      <c r="D71" s="1" t="s">
        <v>2969</v>
      </c>
      <c r="E71" s="1" t="s">
        <v>3128</v>
      </c>
      <c r="F71" s="1" t="s">
        <v>112</v>
      </c>
      <c r="G71" s="1">
        <v>120457</v>
      </c>
    </row>
    <row r="72" spans="1:7" x14ac:dyDescent="0.35">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3129</v>
      </c>
      <c r="D72" s="1" t="s">
        <v>418</v>
      </c>
      <c r="E72" s="1" t="s">
        <v>3130</v>
      </c>
      <c r="F72" s="1" t="s">
        <v>112</v>
      </c>
      <c r="G72" s="1">
        <v>63722</v>
      </c>
    </row>
    <row r="73" spans="1:7" x14ac:dyDescent="0.35">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3131</v>
      </c>
      <c r="D73" s="1" t="s">
        <v>176</v>
      </c>
      <c r="E73" s="1" t="s">
        <v>3132</v>
      </c>
      <c r="F73" s="1" t="s">
        <v>112</v>
      </c>
      <c r="G73" s="1">
        <v>64630</v>
      </c>
    </row>
    <row r="74" spans="1:7" x14ac:dyDescent="0.35">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3133</v>
      </c>
    </row>
    <row r="75" spans="1:7" x14ac:dyDescent="0.35">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3134</v>
      </c>
      <c r="D75" s="1" t="s">
        <v>1224</v>
      </c>
      <c r="E75" s="1" t="s">
        <v>3135</v>
      </c>
      <c r="F75" s="1" t="s">
        <v>112</v>
      </c>
      <c r="G75" s="1">
        <v>128352</v>
      </c>
    </row>
    <row r="76" spans="1:7" x14ac:dyDescent="0.35">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3136</v>
      </c>
      <c r="D76" s="1" t="s">
        <v>348</v>
      </c>
      <c r="E76" s="1" t="s">
        <v>3137</v>
      </c>
      <c r="F76" s="1" t="s">
        <v>112</v>
      </c>
      <c r="G76" s="1">
        <v>55502</v>
      </c>
    </row>
    <row r="77" spans="1:7" x14ac:dyDescent="0.35">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3138</v>
      </c>
      <c r="D77" s="1" t="s">
        <v>393</v>
      </c>
      <c r="E77" s="1" t="s">
        <v>3139</v>
      </c>
      <c r="F77" s="1" t="s">
        <v>112</v>
      </c>
      <c r="G77" s="1">
        <v>133759</v>
      </c>
    </row>
    <row r="78" spans="1:7" x14ac:dyDescent="0.35">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3140</v>
      </c>
      <c r="D78" s="1" t="s">
        <v>299</v>
      </c>
      <c r="E78" s="1" t="s">
        <v>3141</v>
      </c>
      <c r="F78" s="1" t="s">
        <v>112</v>
      </c>
      <c r="G78" s="1">
        <v>39583</v>
      </c>
    </row>
    <row r="79" spans="1:7" x14ac:dyDescent="0.35">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3142</v>
      </c>
      <c r="D79" s="1" t="s">
        <v>710</v>
      </c>
      <c r="E79" s="1" t="s">
        <v>711</v>
      </c>
      <c r="F79" s="1" t="s">
        <v>112</v>
      </c>
      <c r="G79" s="1">
        <v>16417</v>
      </c>
    </row>
    <row r="80" spans="1:7" x14ac:dyDescent="0.35">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3143</v>
      </c>
      <c r="D80" s="1" t="s">
        <v>3144</v>
      </c>
      <c r="E80" s="1" t="s">
        <v>3145</v>
      </c>
      <c r="F80" s="1" t="s">
        <v>112</v>
      </c>
      <c r="G80" s="1">
        <v>3269856</v>
      </c>
    </row>
    <row r="81" spans="1:10" x14ac:dyDescent="0.35">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3146</v>
      </c>
      <c r="D81" s="1" t="s">
        <v>553</v>
      </c>
      <c r="E81" s="1" t="s">
        <v>3147</v>
      </c>
      <c r="F81" s="1" t="s">
        <v>112</v>
      </c>
      <c r="G81" s="1">
        <v>3797452</v>
      </c>
    </row>
    <row r="82" spans="1:10" x14ac:dyDescent="0.35">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3148</v>
      </c>
      <c r="D82" s="1" t="s">
        <v>3149</v>
      </c>
      <c r="E82" s="1" t="s">
        <v>3150</v>
      </c>
      <c r="F82" s="1" t="s">
        <v>112</v>
      </c>
      <c r="G82" s="1">
        <v>3104258</v>
      </c>
    </row>
    <row r="83" spans="1:10" x14ac:dyDescent="0.35">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3151</v>
      </c>
      <c r="D83" s="1" t="s">
        <v>299</v>
      </c>
      <c r="E83" s="1" t="s">
        <v>3152</v>
      </c>
      <c r="F83" s="1" t="s">
        <v>112</v>
      </c>
      <c r="G83" s="1">
        <v>39604</v>
      </c>
    </row>
    <row r="84" spans="1:10" x14ac:dyDescent="0.35">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3153</v>
      </c>
      <c r="D84" s="1" t="s">
        <v>3154</v>
      </c>
      <c r="E84" s="1" t="s">
        <v>3155</v>
      </c>
      <c r="F84" s="1" t="s">
        <v>112</v>
      </c>
      <c r="G84" s="1">
        <v>276452</v>
      </c>
    </row>
    <row r="85" spans="1:10" x14ac:dyDescent="0.35">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3156</v>
      </c>
      <c r="D85" s="1" t="s">
        <v>254</v>
      </c>
      <c r="E85" s="1" t="s">
        <v>3157</v>
      </c>
      <c r="F85" s="1" t="s">
        <v>112</v>
      </c>
      <c r="G85" s="1">
        <v>101423</v>
      </c>
    </row>
    <row r="86" spans="1:10" x14ac:dyDescent="0.35">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3158</v>
      </c>
      <c r="D86" s="1" t="s">
        <v>2998</v>
      </c>
      <c r="E86" s="1" t="s">
        <v>3159</v>
      </c>
      <c r="F86" s="1" t="s">
        <v>112</v>
      </c>
      <c r="G86" s="1">
        <v>92814</v>
      </c>
    </row>
    <row r="87" spans="1:10" x14ac:dyDescent="0.35">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3160</v>
      </c>
      <c r="D87" s="1" t="s">
        <v>1837</v>
      </c>
      <c r="E87" s="1" t="s">
        <v>3161</v>
      </c>
      <c r="F87" s="1" t="s">
        <v>112</v>
      </c>
      <c r="G87" s="1">
        <v>72395</v>
      </c>
    </row>
    <row r="88" spans="1:10" x14ac:dyDescent="0.35">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3162</v>
      </c>
      <c r="D88" s="1" t="s">
        <v>388</v>
      </c>
      <c r="E88" s="1" t="s">
        <v>3163</v>
      </c>
      <c r="F88" s="1" t="s">
        <v>112</v>
      </c>
      <c r="G88" s="1">
        <v>173082</v>
      </c>
    </row>
    <row r="89" spans="1:10" x14ac:dyDescent="0.35">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3164</v>
      </c>
      <c r="D89" s="1" t="s">
        <v>2277</v>
      </c>
      <c r="E89" s="1" t="s">
        <v>3165</v>
      </c>
      <c r="F89" s="1" t="s">
        <v>112</v>
      </c>
      <c r="G89" s="1">
        <v>281816</v>
      </c>
    </row>
    <row r="90" spans="1:10" x14ac:dyDescent="0.35">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3166</v>
      </c>
      <c r="D90" s="1" t="s">
        <v>2923</v>
      </c>
      <c r="E90" s="1" t="s">
        <v>3167</v>
      </c>
      <c r="F90" s="1" t="s">
        <v>112</v>
      </c>
      <c r="G90" s="1">
        <v>551043</v>
      </c>
    </row>
    <row r="91" spans="1:10" x14ac:dyDescent="0.35">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3168</v>
      </c>
      <c r="D91" s="1" t="s">
        <v>3169</v>
      </c>
      <c r="E91" s="1" t="s">
        <v>3170</v>
      </c>
      <c r="F91" s="1" t="s">
        <v>112</v>
      </c>
      <c r="G91" s="1">
        <v>271239</v>
      </c>
    </row>
    <row r="92" spans="1:10"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234</v>
      </c>
      <c r="D93" s="1" t="s">
        <v>112</v>
      </c>
      <c r="E93" s="1" t="s">
        <v>235</v>
      </c>
      <c r="F93" s="1" t="s">
        <v>236</v>
      </c>
      <c r="G93" s="1" t="s">
        <v>237</v>
      </c>
      <c r="H93" s="1" t="s">
        <v>238</v>
      </c>
      <c r="I93" s="1" t="s">
        <v>239</v>
      </c>
      <c r="J93" s="1" t="s">
        <v>240</v>
      </c>
    </row>
    <row r="94" spans="1:10" x14ac:dyDescent="0.35">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3171</v>
      </c>
      <c r="D94" s="1" t="s">
        <v>112</v>
      </c>
      <c r="E94" s="1" t="s">
        <v>3172</v>
      </c>
      <c r="F94" s="1" t="s">
        <v>3173</v>
      </c>
      <c r="G94" s="1" t="s">
        <v>3174</v>
      </c>
      <c r="H94" s="1" t="s">
        <v>3175</v>
      </c>
      <c r="I94" s="1">
        <v>24</v>
      </c>
      <c r="J94" s="1">
        <v>24</v>
      </c>
    </row>
    <row r="95" spans="1:10"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246</v>
      </c>
      <c r="D100" s="1" t="s">
        <v>110</v>
      </c>
      <c r="E100" s="1" t="s">
        <v>111</v>
      </c>
      <c r="F100" s="1" t="s">
        <v>112</v>
      </c>
      <c r="G100" s="1" t="s">
        <v>113</v>
      </c>
    </row>
    <row r="101" spans="1:7" x14ac:dyDescent="0.3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3176</v>
      </c>
      <c r="D101" s="1" t="s">
        <v>985</v>
      </c>
      <c r="E101" s="1" t="s">
        <v>2531</v>
      </c>
      <c r="F101" s="1" t="s">
        <v>112</v>
      </c>
      <c r="G101" s="1">
        <v>260575</v>
      </c>
    </row>
    <row r="102" spans="1:7" x14ac:dyDescent="0.3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3177</v>
      </c>
      <c r="D102" s="1" t="s">
        <v>765</v>
      </c>
      <c r="E102" s="1" t="s">
        <v>3178</v>
      </c>
      <c r="F102" s="1" t="s">
        <v>112</v>
      </c>
      <c r="G102" s="1">
        <v>230791</v>
      </c>
    </row>
    <row r="103" spans="1:7" x14ac:dyDescent="0.3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3179</v>
      </c>
      <c r="D103" s="1" t="s">
        <v>1224</v>
      </c>
      <c r="E103" s="1" t="s">
        <v>3180</v>
      </c>
      <c r="F103" s="1" t="s">
        <v>112</v>
      </c>
      <c r="G103" s="1">
        <v>126275</v>
      </c>
    </row>
    <row r="104" spans="1:7" x14ac:dyDescent="0.3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3181</v>
      </c>
      <c r="D104" s="1" t="s">
        <v>887</v>
      </c>
      <c r="E104" s="1" t="s">
        <v>3182</v>
      </c>
      <c r="F104" s="1" t="s">
        <v>112</v>
      </c>
      <c r="G104" s="1">
        <v>142238</v>
      </c>
    </row>
    <row r="105" spans="1:7" x14ac:dyDescent="0.3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3183</v>
      </c>
      <c r="D105" s="1" t="s">
        <v>748</v>
      </c>
      <c r="E105" s="1" t="s">
        <v>3184</v>
      </c>
      <c r="F105" s="1" t="s">
        <v>112</v>
      </c>
      <c r="G105" s="1">
        <v>108214</v>
      </c>
    </row>
    <row r="106" spans="1:7" x14ac:dyDescent="0.3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3185</v>
      </c>
      <c r="D106" s="1" t="s">
        <v>3186</v>
      </c>
      <c r="E106" s="1" t="s">
        <v>3187</v>
      </c>
      <c r="F106" s="1" t="s">
        <v>112</v>
      </c>
      <c r="G106" s="1">
        <v>150869</v>
      </c>
    </row>
    <row r="107" spans="1:7" x14ac:dyDescent="0.3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3188</v>
      </c>
      <c r="D107" s="1" t="s">
        <v>2442</v>
      </c>
      <c r="E107" s="1" t="s">
        <v>3189</v>
      </c>
      <c r="F107" s="1" t="s">
        <v>112</v>
      </c>
      <c r="G107" s="1">
        <v>149030</v>
      </c>
    </row>
    <row r="108" spans="1:7" x14ac:dyDescent="0.3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3190</v>
      </c>
      <c r="D108" s="1" t="s">
        <v>418</v>
      </c>
      <c r="E108" s="1" t="s">
        <v>3191</v>
      </c>
      <c r="F108" s="1" t="s">
        <v>112</v>
      </c>
      <c r="G108" s="1">
        <v>64998</v>
      </c>
    </row>
    <row r="109" spans="1:7" x14ac:dyDescent="0.3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3192</v>
      </c>
      <c r="D109" s="1" t="s">
        <v>2851</v>
      </c>
      <c r="E109" s="1" t="s">
        <v>3193</v>
      </c>
      <c r="F109" s="1" t="s">
        <v>112</v>
      </c>
      <c r="G109" s="1">
        <v>77349</v>
      </c>
    </row>
    <row r="110" spans="1:7" x14ac:dyDescent="0.3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3194</v>
      </c>
      <c r="D110" s="1" t="s">
        <v>3195</v>
      </c>
      <c r="E110" s="1" t="s">
        <v>3196</v>
      </c>
      <c r="F110" s="1" t="s">
        <v>112</v>
      </c>
      <c r="G110" s="1">
        <v>1475051</v>
      </c>
    </row>
    <row r="111" spans="1:7" x14ac:dyDescent="0.3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3197</v>
      </c>
      <c r="D111" s="1" t="s">
        <v>3198</v>
      </c>
      <c r="E111" s="1" t="s">
        <v>3199</v>
      </c>
      <c r="F111" s="1" t="s">
        <v>112</v>
      </c>
      <c r="G111" s="1">
        <v>1720009</v>
      </c>
    </row>
    <row r="112" spans="1:7" x14ac:dyDescent="0.3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3200</v>
      </c>
      <c r="D112" s="1" t="s">
        <v>3201</v>
      </c>
      <c r="E112" s="1" t="s">
        <v>3202</v>
      </c>
      <c r="F112" s="1" t="s">
        <v>112</v>
      </c>
      <c r="G112" s="1">
        <v>1472585</v>
      </c>
    </row>
    <row r="113" spans="1:10" x14ac:dyDescent="0.3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3203</v>
      </c>
      <c r="D113" s="1" t="s">
        <v>3204</v>
      </c>
      <c r="E113" s="1" t="s">
        <v>3205</v>
      </c>
      <c r="F113" s="1" t="s">
        <v>112</v>
      </c>
      <c r="G113" s="1">
        <v>1861144</v>
      </c>
    </row>
    <row r="114" spans="1:10" x14ac:dyDescent="0.3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3206</v>
      </c>
      <c r="D114" s="1" t="s">
        <v>3207</v>
      </c>
      <c r="E114" s="1" t="s">
        <v>3208</v>
      </c>
      <c r="F114" s="1" t="s">
        <v>112</v>
      </c>
      <c r="G114" s="1">
        <v>1555427</v>
      </c>
    </row>
    <row r="115" spans="1:10" x14ac:dyDescent="0.3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3209</v>
      </c>
      <c r="D115" s="1" t="s">
        <v>2855</v>
      </c>
      <c r="E115" s="1" t="s">
        <v>3210</v>
      </c>
      <c r="F115" s="1" t="s">
        <v>112</v>
      </c>
      <c r="G115" s="1">
        <v>1455540</v>
      </c>
    </row>
    <row r="116" spans="1:10" x14ac:dyDescent="0.3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3211</v>
      </c>
      <c r="D116" s="1" t="s">
        <v>3212</v>
      </c>
      <c r="E116" s="1" t="s">
        <v>3213</v>
      </c>
      <c r="F116" s="1" t="s">
        <v>112</v>
      </c>
      <c r="G116" s="1">
        <v>1267274</v>
      </c>
    </row>
    <row r="117" spans="1:10" x14ac:dyDescent="0.3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3214</v>
      </c>
      <c r="D117" s="1" t="s">
        <v>3215</v>
      </c>
      <c r="E117" s="1" t="s">
        <v>3216</v>
      </c>
      <c r="F117" s="1" t="s">
        <v>112</v>
      </c>
      <c r="G117" s="1">
        <v>731263</v>
      </c>
    </row>
    <row r="118" spans="1:10" x14ac:dyDescent="0.3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3217</v>
      </c>
      <c r="D118" s="1" t="s">
        <v>3218</v>
      </c>
      <c r="E118" s="1" t="s">
        <v>3219</v>
      </c>
      <c r="F118" s="1" t="s">
        <v>112</v>
      </c>
      <c r="G118" s="1">
        <v>554828</v>
      </c>
    </row>
    <row r="119" spans="1:10" x14ac:dyDescent="0.3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3220</v>
      </c>
      <c r="D119" s="1" t="s">
        <v>3221</v>
      </c>
      <c r="E119" s="1" t="s">
        <v>3222</v>
      </c>
      <c r="F119" s="1" t="s">
        <v>112</v>
      </c>
      <c r="G119" s="1">
        <v>216277</v>
      </c>
    </row>
    <row r="120" spans="1:10" x14ac:dyDescent="0.3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3223</v>
      </c>
      <c r="D120" s="1" t="s">
        <v>342</v>
      </c>
      <c r="E120" s="1" t="s">
        <v>3224</v>
      </c>
      <c r="F120" s="1" t="s">
        <v>112</v>
      </c>
      <c r="G120" s="1">
        <v>105316</v>
      </c>
    </row>
    <row r="121" spans="1:10" x14ac:dyDescent="0.3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3225</v>
      </c>
      <c r="D121" s="1" t="s">
        <v>2186</v>
      </c>
      <c r="E121" s="1" t="s">
        <v>3226</v>
      </c>
      <c r="F121" s="1" t="s">
        <v>112</v>
      </c>
      <c r="G121" s="1">
        <v>117537</v>
      </c>
    </row>
    <row r="122" spans="1:10" x14ac:dyDescent="0.3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3227</v>
      </c>
      <c r="D122" s="1" t="s">
        <v>3228</v>
      </c>
      <c r="E122" s="1" t="s">
        <v>3229</v>
      </c>
      <c r="F122" s="1" t="s">
        <v>112</v>
      </c>
      <c r="G122" s="1">
        <v>483104</v>
      </c>
    </row>
    <row r="123" spans="1:10" x14ac:dyDescent="0.3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3230</v>
      </c>
      <c r="D123" s="1" t="s">
        <v>3231</v>
      </c>
      <c r="E123" s="1" t="s">
        <v>3232</v>
      </c>
      <c r="F123" s="1" t="s">
        <v>112</v>
      </c>
      <c r="G123" s="1">
        <v>216818</v>
      </c>
    </row>
    <row r="124" spans="1:10" x14ac:dyDescent="0.3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3233</v>
      </c>
      <c r="D124" s="1" t="s">
        <v>281</v>
      </c>
      <c r="E124" s="1" t="s">
        <v>3234</v>
      </c>
      <c r="F124" s="1" t="s">
        <v>112</v>
      </c>
      <c r="G124" s="1">
        <v>371883</v>
      </c>
    </row>
    <row r="125" spans="1:10"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234</v>
      </c>
      <c r="D126" s="1" t="s">
        <v>112</v>
      </c>
      <c r="E126" s="1" t="s">
        <v>235</v>
      </c>
      <c r="F126" s="1" t="s">
        <v>236</v>
      </c>
      <c r="G126" s="1" t="s">
        <v>237</v>
      </c>
      <c r="H126" s="1" t="s">
        <v>238</v>
      </c>
      <c r="I126" s="1" t="s">
        <v>239</v>
      </c>
      <c r="J126" s="1" t="s">
        <v>240</v>
      </c>
    </row>
    <row r="127" spans="1:10" x14ac:dyDescent="0.3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3235</v>
      </c>
      <c r="D127" s="1" t="s">
        <v>112</v>
      </c>
      <c r="E127" s="1" t="s">
        <v>3236</v>
      </c>
      <c r="F127" s="1" t="s">
        <v>3237</v>
      </c>
      <c r="G127" s="1" t="s">
        <v>3238</v>
      </c>
      <c r="H127" s="1" t="s">
        <v>3239</v>
      </c>
      <c r="I127" s="1">
        <v>24</v>
      </c>
      <c r="J127" s="1">
        <v>24</v>
      </c>
    </row>
    <row r="128" spans="1:10"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246</v>
      </c>
      <c r="D133" s="1" t="s">
        <v>110</v>
      </c>
      <c r="E133" s="1" t="s">
        <v>111</v>
      </c>
      <c r="F133" s="1" t="s">
        <v>112</v>
      </c>
      <c r="G133" s="1" t="s">
        <v>113</v>
      </c>
    </row>
    <row r="134" spans="1:7" x14ac:dyDescent="0.3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3240</v>
      </c>
      <c r="D134" s="1" t="s">
        <v>2519</v>
      </c>
      <c r="E134" s="1" t="s">
        <v>3241</v>
      </c>
      <c r="F134" s="1" t="s">
        <v>112</v>
      </c>
      <c r="G134" s="1">
        <v>2514994</v>
      </c>
    </row>
    <row r="135" spans="1:7" x14ac:dyDescent="0.3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3242</v>
      </c>
      <c r="D135" s="1" t="s">
        <v>3243</v>
      </c>
      <c r="E135" s="1" t="s">
        <v>3244</v>
      </c>
      <c r="F135" s="1" t="s">
        <v>112</v>
      </c>
      <c r="G135" s="1">
        <v>1880114</v>
      </c>
    </row>
    <row r="136" spans="1:7" x14ac:dyDescent="0.3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3245</v>
      </c>
      <c r="D136" s="1" t="s">
        <v>3246</v>
      </c>
      <c r="E136" s="1" t="s">
        <v>3247</v>
      </c>
      <c r="F136" s="1" t="s">
        <v>112</v>
      </c>
      <c r="G136" s="1">
        <v>2318335</v>
      </c>
    </row>
    <row r="137" spans="1:7" x14ac:dyDescent="0.3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3248</v>
      </c>
      <c r="D137" s="1" t="s">
        <v>1599</v>
      </c>
      <c r="E137" s="1" t="s">
        <v>3249</v>
      </c>
      <c r="F137" s="1" t="s">
        <v>112</v>
      </c>
      <c r="G137" s="1">
        <v>3470928</v>
      </c>
    </row>
    <row r="138" spans="1:7" x14ac:dyDescent="0.3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3250</v>
      </c>
      <c r="D138" s="1" t="s">
        <v>3251</v>
      </c>
      <c r="E138" s="1" t="s">
        <v>3252</v>
      </c>
      <c r="F138" s="1" t="s">
        <v>112</v>
      </c>
      <c r="G138" s="1">
        <v>3265919</v>
      </c>
    </row>
    <row r="139" spans="1:7" x14ac:dyDescent="0.3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3253</v>
      </c>
      <c r="D139" s="1" t="s">
        <v>3254</v>
      </c>
      <c r="E139" s="1" t="s">
        <v>3255</v>
      </c>
      <c r="F139" s="1" t="s">
        <v>112</v>
      </c>
      <c r="G139" s="1">
        <v>3201981</v>
      </c>
    </row>
    <row r="140" spans="1:7" x14ac:dyDescent="0.3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3256</v>
      </c>
      <c r="D140" s="1" t="s">
        <v>3257</v>
      </c>
      <c r="E140" s="1" t="s">
        <v>3258</v>
      </c>
      <c r="F140" s="1" t="s">
        <v>112</v>
      </c>
      <c r="G140" s="1">
        <v>3692829</v>
      </c>
    </row>
    <row r="141" spans="1:7" x14ac:dyDescent="0.3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3259</v>
      </c>
      <c r="D141" s="1" t="s">
        <v>2698</v>
      </c>
      <c r="E141" s="1" t="s">
        <v>3260</v>
      </c>
      <c r="F141" s="1" t="s">
        <v>112</v>
      </c>
      <c r="G141" s="1">
        <v>3045403</v>
      </c>
    </row>
    <row r="142" spans="1:7" x14ac:dyDescent="0.3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3261</v>
      </c>
      <c r="D142" s="1" t="s">
        <v>3262</v>
      </c>
      <c r="E142" s="1" t="s">
        <v>3263</v>
      </c>
      <c r="F142" s="1" t="s">
        <v>112</v>
      </c>
      <c r="G142" s="1">
        <v>2443032</v>
      </c>
    </row>
    <row r="143" spans="1:7" x14ac:dyDescent="0.3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3264</v>
      </c>
      <c r="D143" s="1" t="s">
        <v>3265</v>
      </c>
      <c r="E143" s="1" t="s">
        <v>3266</v>
      </c>
      <c r="F143" s="1" t="s">
        <v>112</v>
      </c>
      <c r="G143" s="1">
        <v>3108108</v>
      </c>
    </row>
    <row r="144" spans="1:7" x14ac:dyDescent="0.3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3267</v>
      </c>
      <c r="D144" s="1" t="s">
        <v>3268</v>
      </c>
      <c r="E144" s="1" t="s">
        <v>3269</v>
      </c>
      <c r="F144" s="1" t="s">
        <v>112</v>
      </c>
      <c r="G144" s="1">
        <v>3427041</v>
      </c>
    </row>
    <row r="145" spans="1:10" x14ac:dyDescent="0.3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3270</v>
      </c>
      <c r="D145" s="1" t="s">
        <v>3271</v>
      </c>
      <c r="E145" s="1" t="s">
        <v>3272</v>
      </c>
      <c r="F145" s="1" t="s">
        <v>112</v>
      </c>
      <c r="G145" s="1">
        <v>2834381</v>
      </c>
    </row>
    <row r="146" spans="1:10" x14ac:dyDescent="0.3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3273</v>
      </c>
      <c r="D146" s="1" t="s">
        <v>2551</v>
      </c>
      <c r="E146" s="1" t="s">
        <v>3274</v>
      </c>
      <c r="F146" s="1" t="s">
        <v>112</v>
      </c>
      <c r="G146" s="1">
        <v>1010397</v>
      </c>
    </row>
    <row r="147" spans="1:10" x14ac:dyDescent="0.3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3275</v>
      </c>
      <c r="D147" s="1" t="s">
        <v>3276</v>
      </c>
      <c r="E147" s="1" t="s">
        <v>3277</v>
      </c>
      <c r="F147" s="1" t="s">
        <v>112</v>
      </c>
      <c r="G147" s="1">
        <v>1595551</v>
      </c>
    </row>
    <row r="148" spans="1:10" x14ac:dyDescent="0.3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3278</v>
      </c>
      <c r="D148" s="1" t="s">
        <v>462</v>
      </c>
      <c r="E148" s="1" t="s">
        <v>3279</v>
      </c>
      <c r="F148" s="1" t="s">
        <v>112</v>
      </c>
      <c r="G148" s="1">
        <v>1431228</v>
      </c>
    </row>
    <row r="149" spans="1:10" x14ac:dyDescent="0.3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3280</v>
      </c>
    </row>
    <row r="150" spans="1:10" x14ac:dyDescent="0.3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3281</v>
      </c>
      <c r="D150" s="1" t="s">
        <v>3282</v>
      </c>
      <c r="E150" s="1" t="s">
        <v>3283</v>
      </c>
      <c r="F150" s="1" t="s">
        <v>112</v>
      </c>
      <c r="G150" s="1">
        <v>2051942</v>
      </c>
    </row>
    <row r="151" spans="1:10" x14ac:dyDescent="0.3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3284</v>
      </c>
      <c r="D151" s="1" t="s">
        <v>3285</v>
      </c>
      <c r="E151" s="1" t="s">
        <v>3286</v>
      </c>
      <c r="F151" s="1" t="s">
        <v>112</v>
      </c>
      <c r="G151" s="1">
        <v>1585363</v>
      </c>
    </row>
    <row r="152" spans="1:10" x14ac:dyDescent="0.3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3287</v>
      </c>
      <c r="D152" s="1" t="s">
        <v>3288</v>
      </c>
      <c r="E152" s="1" t="s">
        <v>3289</v>
      </c>
      <c r="F152" s="1" t="s">
        <v>112</v>
      </c>
      <c r="G152" s="1">
        <v>1809730</v>
      </c>
    </row>
    <row r="153" spans="1:10" x14ac:dyDescent="0.3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3290</v>
      </c>
      <c r="D153" s="1" t="s">
        <v>3291</v>
      </c>
      <c r="E153" s="1" t="s">
        <v>3292</v>
      </c>
      <c r="F153" s="1" t="s">
        <v>112</v>
      </c>
      <c r="G153" s="1">
        <v>1593756</v>
      </c>
    </row>
    <row r="154" spans="1:10" x14ac:dyDescent="0.3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3293</v>
      </c>
      <c r="D154" s="1" t="s">
        <v>2826</v>
      </c>
      <c r="E154" s="1" t="s">
        <v>3294</v>
      </c>
      <c r="F154" s="1" t="s">
        <v>112</v>
      </c>
      <c r="G154" s="1">
        <v>1570482</v>
      </c>
    </row>
    <row r="155" spans="1:10" x14ac:dyDescent="0.3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3295</v>
      </c>
      <c r="D155" s="1" t="s">
        <v>1417</v>
      </c>
      <c r="E155" s="1" t="s">
        <v>3296</v>
      </c>
      <c r="F155" s="1" t="s">
        <v>112</v>
      </c>
      <c r="G155" s="1">
        <v>2635386</v>
      </c>
    </row>
    <row r="156" spans="1:10" x14ac:dyDescent="0.3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3297</v>
      </c>
      <c r="D156" s="1" t="s">
        <v>3298</v>
      </c>
      <c r="E156" s="1" t="s">
        <v>3299</v>
      </c>
      <c r="F156" s="1" t="s">
        <v>112</v>
      </c>
      <c r="G156" s="1">
        <v>2485253</v>
      </c>
    </row>
    <row r="157" spans="1:10" x14ac:dyDescent="0.3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3300</v>
      </c>
      <c r="D157" s="1" t="s">
        <v>3301</v>
      </c>
      <c r="E157" s="1" t="s">
        <v>3302</v>
      </c>
      <c r="F157" s="1" t="s">
        <v>112</v>
      </c>
      <c r="G157" s="1">
        <v>2639236</v>
      </c>
    </row>
    <row r="158" spans="1:10"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234</v>
      </c>
      <c r="D159" s="1" t="s">
        <v>112</v>
      </c>
      <c r="E159" s="1" t="s">
        <v>235</v>
      </c>
      <c r="F159" s="1" t="s">
        <v>236</v>
      </c>
      <c r="G159" s="1" t="s">
        <v>237</v>
      </c>
      <c r="H159" s="1" t="s">
        <v>238</v>
      </c>
      <c r="I159" s="1" t="s">
        <v>239</v>
      </c>
      <c r="J159" s="1" t="s">
        <v>240</v>
      </c>
    </row>
    <row r="160" spans="1:10" x14ac:dyDescent="0.3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3303</v>
      </c>
      <c r="D160" s="1" t="s">
        <v>112</v>
      </c>
      <c r="E160" s="1" t="s">
        <v>3304</v>
      </c>
      <c r="F160" s="1" t="s">
        <v>3305</v>
      </c>
      <c r="G160" s="1" t="s">
        <v>3306</v>
      </c>
      <c r="H160" s="1" t="s">
        <v>3307</v>
      </c>
      <c r="I160" s="1">
        <v>24</v>
      </c>
      <c r="J160" s="1">
        <v>24</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246</v>
      </c>
      <c r="D166" s="1" t="s">
        <v>110</v>
      </c>
      <c r="E166" s="1" t="s">
        <v>111</v>
      </c>
      <c r="F166" s="1" t="s">
        <v>112</v>
      </c>
      <c r="G166" s="1" t="s">
        <v>113</v>
      </c>
    </row>
    <row r="167" spans="1:7" x14ac:dyDescent="0.35">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3308</v>
      </c>
      <c r="D167" s="1" t="s">
        <v>3309</v>
      </c>
      <c r="E167" s="1" t="s">
        <v>3310</v>
      </c>
      <c r="F167" s="1" t="s">
        <v>112</v>
      </c>
      <c r="G167" s="1">
        <v>5944955</v>
      </c>
    </row>
    <row r="168" spans="1:7" x14ac:dyDescent="0.35">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3311</v>
      </c>
      <c r="D168" s="1" t="s">
        <v>3312</v>
      </c>
      <c r="E168" s="1" t="s">
        <v>3313</v>
      </c>
      <c r="F168" s="1" t="s">
        <v>112</v>
      </c>
      <c r="G168" s="1">
        <v>5991762</v>
      </c>
    </row>
    <row r="169" spans="1:7" x14ac:dyDescent="0.35">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3314</v>
      </c>
      <c r="D169" s="1" t="s">
        <v>3315</v>
      </c>
      <c r="E169" s="1" t="s">
        <v>3316</v>
      </c>
      <c r="F169" s="1" t="s">
        <v>112</v>
      </c>
      <c r="G169" s="1">
        <v>5783682</v>
      </c>
    </row>
    <row r="170" spans="1:7" x14ac:dyDescent="0.35">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3317</v>
      </c>
      <c r="D170" s="1" t="s">
        <v>3318</v>
      </c>
      <c r="E170" s="1" t="s">
        <v>3319</v>
      </c>
      <c r="F170" s="1" t="s">
        <v>112</v>
      </c>
      <c r="G170" s="1">
        <v>5142464</v>
      </c>
    </row>
    <row r="171" spans="1:7" x14ac:dyDescent="0.35">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3320</v>
      </c>
      <c r="D171" s="1" t="s">
        <v>3321</v>
      </c>
      <c r="E171" s="1" t="s">
        <v>3322</v>
      </c>
      <c r="F171" s="1" t="s">
        <v>112</v>
      </c>
      <c r="G171" s="1">
        <v>5436977</v>
      </c>
    </row>
    <row r="172" spans="1:7" x14ac:dyDescent="0.35">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3323</v>
      </c>
      <c r="D172" s="1" t="s">
        <v>3324</v>
      </c>
      <c r="E172" s="1" t="s">
        <v>3325</v>
      </c>
      <c r="F172" s="1" t="s">
        <v>112</v>
      </c>
      <c r="G172" s="1">
        <v>5235040</v>
      </c>
    </row>
    <row r="173" spans="1:7" x14ac:dyDescent="0.35">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3326</v>
      </c>
      <c r="D173" s="1" t="s">
        <v>3327</v>
      </c>
      <c r="E173" s="1" t="s">
        <v>3328</v>
      </c>
      <c r="F173" s="1" t="s">
        <v>112</v>
      </c>
      <c r="G173" s="1">
        <v>3603367</v>
      </c>
    </row>
    <row r="174" spans="1:7" x14ac:dyDescent="0.35">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3329</v>
      </c>
      <c r="D174" s="1" t="s">
        <v>3330</v>
      </c>
      <c r="E174" s="1" t="s">
        <v>3331</v>
      </c>
      <c r="F174" s="1" t="s">
        <v>112</v>
      </c>
      <c r="G174" s="1">
        <v>3454597</v>
      </c>
    </row>
    <row r="175" spans="1:7" x14ac:dyDescent="0.35">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3332</v>
      </c>
      <c r="D175" s="1" t="s">
        <v>3333</v>
      </c>
      <c r="E175" s="1" t="s">
        <v>3334</v>
      </c>
      <c r="F175" s="1" t="s">
        <v>112</v>
      </c>
      <c r="G175" s="1">
        <v>2954189</v>
      </c>
    </row>
    <row r="176" spans="1:7" x14ac:dyDescent="0.35">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3335</v>
      </c>
      <c r="D176" s="1" t="s">
        <v>1519</v>
      </c>
      <c r="E176" s="1" t="s">
        <v>3336</v>
      </c>
      <c r="F176" s="1" t="s">
        <v>112</v>
      </c>
      <c r="G176" s="1">
        <v>3065908</v>
      </c>
    </row>
    <row r="177" spans="1:10" x14ac:dyDescent="0.35">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3337</v>
      </c>
      <c r="D177" s="1" t="s">
        <v>3338</v>
      </c>
      <c r="E177" s="1" t="s">
        <v>3339</v>
      </c>
      <c r="F177" s="1" t="s">
        <v>112</v>
      </c>
      <c r="G177" s="1">
        <v>2873834</v>
      </c>
    </row>
    <row r="178" spans="1:10" x14ac:dyDescent="0.35">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3340</v>
      </c>
      <c r="D178" s="1" t="s">
        <v>3341</v>
      </c>
      <c r="E178" s="1" t="s">
        <v>3342</v>
      </c>
      <c r="F178" s="1" t="s">
        <v>112</v>
      </c>
      <c r="G178" s="1">
        <v>2804229</v>
      </c>
    </row>
    <row r="179" spans="1:10" x14ac:dyDescent="0.35">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3343</v>
      </c>
      <c r="D179" s="1" t="s">
        <v>3344</v>
      </c>
      <c r="E179" s="1" t="s">
        <v>3345</v>
      </c>
      <c r="F179" s="1" t="s">
        <v>112</v>
      </c>
      <c r="G179" s="1">
        <v>3106031</v>
      </c>
    </row>
    <row r="180" spans="1:10" x14ac:dyDescent="0.35">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3346</v>
      </c>
      <c r="D180" s="1" t="s">
        <v>541</v>
      </c>
      <c r="E180" s="1" t="s">
        <v>3347</v>
      </c>
      <c r="F180" s="1" t="s">
        <v>112</v>
      </c>
      <c r="G180" s="1">
        <v>2916618</v>
      </c>
    </row>
    <row r="181" spans="1:10" x14ac:dyDescent="0.35">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3348</v>
      </c>
      <c r="D181" s="1" t="s">
        <v>1431</v>
      </c>
      <c r="E181" s="1" t="s">
        <v>3349</v>
      </c>
      <c r="F181" s="1" t="s">
        <v>112</v>
      </c>
      <c r="G181" s="1">
        <v>2512074</v>
      </c>
    </row>
    <row r="182" spans="1:10" x14ac:dyDescent="0.35">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3350</v>
      </c>
      <c r="D182" s="1" t="s">
        <v>3351</v>
      </c>
      <c r="E182" s="1" t="s">
        <v>3352</v>
      </c>
      <c r="F182" s="1" t="s">
        <v>112</v>
      </c>
      <c r="G182" s="1">
        <v>4448382</v>
      </c>
    </row>
    <row r="183" spans="1:10" x14ac:dyDescent="0.35">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3353</v>
      </c>
      <c r="D183" s="1" t="s">
        <v>3354</v>
      </c>
      <c r="E183" s="1" t="s">
        <v>3355</v>
      </c>
      <c r="F183" s="1" t="s">
        <v>112</v>
      </c>
      <c r="G183" s="1">
        <v>3999627</v>
      </c>
    </row>
    <row r="184" spans="1:10" x14ac:dyDescent="0.35">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3356</v>
      </c>
      <c r="D184" s="1" t="s">
        <v>3357</v>
      </c>
      <c r="E184" s="1" t="s">
        <v>3358</v>
      </c>
      <c r="F184" s="1" t="s">
        <v>112</v>
      </c>
      <c r="G184" s="1">
        <v>4123891</v>
      </c>
    </row>
    <row r="185" spans="1:10" x14ac:dyDescent="0.35">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3359</v>
      </c>
    </row>
    <row r="186" spans="1:10" x14ac:dyDescent="0.35">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3360</v>
      </c>
    </row>
    <row r="187" spans="1:10" x14ac:dyDescent="0.35">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3361</v>
      </c>
    </row>
    <row r="188" spans="1:10" x14ac:dyDescent="0.35">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3362</v>
      </c>
    </row>
    <row r="189" spans="1:10" x14ac:dyDescent="0.35">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3363</v>
      </c>
    </row>
    <row r="190" spans="1:10" x14ac:dyDescent="0.35">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3364</v>
      </c>
    </row>
    <row r="191" spans="1:10"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234</v>
      </c>
      <c r="D192" s="1" t="s">
        <v>112</v>
      </c>
      <c r="E192" s="1" t="s">
        <v>235</v>
      </c>
      <c r="F192" s="1" t="s">
        <v>236</v>
      </c>
      <c r="G192" s="1" t="s">
        <v>237</v>
      </c>
      <c r="H192" s="1" t="s">
        <v>238</v>
      </c>
      <c r="I192" s="1" t="s">
        <v>239</v>
      </c>
      <c r="J192" s="1" t="s">
        <v>240</v>
      </c>
    </row>
    <row r="193" spans="1:10" x14ac:dyDescent="0.35">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3365</v>
      </c>
      <c r="D193" s="1" t="s">
        <v>112</v>
      </c>
      <c r="E193" s="1" t="s">
        <v>3366</v>
      </c>
      <c r="F193" s="1" t="s">
        <v>3367</v>
      </c>
      <c r="G193" s="1">
        <v>3060228</v>
      </c>
      <c r="H193" s="1" t="s">
        <v>3368</v>
      </c>
      <c r="I193" s="1">
        <v>24</v>
      </c>
      <c r="J193" s="1">
        <v>24</v>
      </c>
    </row>
    <row r="194" spans="1:10"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246</v>
      </c>
      <c r="D199" s="1" t="s">
        <v>110</v>
      </c>
      <c r="E199" s="1" t="s">
        <v>111</v>
      </c>
      <c r="F199" s="1" t="s">
        <v>112</v>
      </c>
      <c r="G199" s="1" t="s">
        <v>113</v>
      </c>
    </row>
    <row r="200" spans="1:10" x14ac:dyDescent="0.3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3369</v>
      </c>
      <c r="D200" s="1" t="s">
        <v>3370</v>
      </c>
      <c r="E200" s="1" t="s">
        <v>3371</v>
      </c>
      <c r="F200" s="1" t="s">
        <v>112</v>
      </c>
      <c r="G200" s="1">
        <v>4928609</v>
      </c>
    </row>
    <row r="201" spans="1:10" x14ac:dyDescent="0.3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3372</v>
      </c>
      <c r="D201" s="1" t="s">
        <v>3373</v>
      </c>
      <c r="E201" s="1" t="s">
        <v>3374</v>
      </c>
      <c r="F201" s="1" t="s">
        <v>112</v>
      </c>
      <c r="G201" s="1">
        <v>5249684</v>
      </c>
    </row>
    <row r="202" spans="1:10" x14ac:dyDescent="0.3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3375</v>
      </c>
      <c r="D202" s="1" t="s">
        <v>3376</v>
      </c>
      <c r="E202" s="1" t="s">
        <v>3377</v>
      </c>
      <c r="F202" s="1" t="s">
        <v>112</v>
      </c>
      <c r="G202" s="1">
        <v>5557109</v>
      </c>
    </row>
    <row r="203" spans="1:10" x14ac:dyDescent="0.3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3378</v>
      </c>
      <c r="D203" s="1" t="s">
        <v>3379</v>
      </c>
      <c r="E203" s="1" t="s">
        <v>3380</v>
      </c>
      <c r="F203" s="1" t="s">
        <v>112</v>
      </c>
      <c r="G203" s="1">
        <v>8208934</v>
      </c>
    </row>
    <row r="204" spans="1:10" x14ac:dyDescent="0.3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3381</v>
      </c>
      <c r="D204" s="1" t="s">
        <v>3382</v>
      </c>
      <c r="E204" s="1" t="s">
        <v>3383</v>
      </c>
      <c r="F204" s="1" t="s">
        <v>112</v>
      </c>
      <c r="G204" s="1">
        <v>7590146</v>
      </c>
    </row>
    <row r="205" spans="1:10" x14ac:dyDescent="0.3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3384</v>
      </c>
      <c r="D205" s="1" t="s">
        <v>3385</v>
      </c>
      <c r="E205" s="1" t="s">
        <v>3386</v>
      </c>
      <c r="F205" s="1" t="s">
        <v>112</v>
      </c>
      <c r="G205" s="1">
        <v>7359377</v>
      </c>
    </row>
    <row r="206" spans="1:10" x14ac:dyDescent="0.3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3387</v>
      </c>
      <c r="D206" s="1" t="s">
        <v>1624</v>
      </c>
      <c r="E206" s="1" t="s">
        <v>3388</v>
      </c>
      <c r="F206" s="1" t="s">
        <v>112</v>
      </c>
      <c r="G206" s="1">
        <v>4276533</v>
      </c>
    </row>
    <row r="207" spans="1:10" x14ac:dyDescent="0.3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3389</v>
      </c>
    </row>
    <row r="208" spans="1:10" x14ac:dyDescent="0.3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3390</v>
      </c>
      <c r="D208" s="1" t="s">
        <v>3391</v>
      </c>
      <c r="E208" s="1" t="s">
        <v>3392</v>
      </c>
      <c r="F208" s="1" t="s">
        <v>112</v>
      </c>
      <c r="G208" s="1">
        <v>4244672</v>
      </c>
    </row>
    <row r="209" spans="1:7" x14ac:dyDescent="0.3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3393</v>
      </c>
      <c r="D209" s="1" t="s">
        <v>3394</v>
      </c>
      <c r="E209" s="1" t="s">
        <v>3395</v>
      </c>
      <c r="F209" s="1" t="s">
        <v>112</v>
      </c>
      <c r="G209" s="1">
        <v>4078576</v>
      </c>
    </row>
    <row r="210" spans="1:7" x14ac:dyDescent="0.3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3396</v>
      </c>
      <c r="D210" s="1" t="s">
        <v>3397</v>
      </c>
      <c r="E210" s="1" t="s">
        <v>3398</v>
      </c>
      <c r="F210" s="1" t="s">
        <v>112</v>
      </c>
      <c r="G210" s="1">
        <v>3903807</v>
      </c>
    </row>
    <row r="211" spans="1:7" x14ac:dyDescent="0.3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3399</v>
      </c>
      <c r="D211" s="1" t="s">
        <v>3400</v>
      </c>
      <c r="E211" s="1" t="s">
        <v>3401</v>
      </c>
      <c r="F211" s="1" t="s">
        <v>112</v>
      </c>
      <c r="G211" s="1">
        <v>4192090</v>
      </c>
    </row>
    <row r="212" spans="1:7" x14ac:dyDescent="0.3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3402</v>
      </c>
      <c r="D212" s="1" t="s">
        <v>3403</v>
      </c>
      <c r="E212" s="1" t="s">
        <v>3404</v>
      </c>
      <c r="F212" s="1" t="s">
        <v>112</v>
      </c>
      <c r="G212" s="1">
        <v>11852036</v>
      </c>
    </row>
    <row r="213" spans="1:7" x14ac:dyDescent="0.3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3405</v>
      </c>
      <c r="D213" s="1" t="s">
        <v>3406</v>
      </c>
      <c r="E213" s="1" t="s">
        <v>3407</v>
      </c>
      <c r="F213" s="1" t="s">
        <v>112</v>
      </c>
      <c r="G213" s="1">
        <v>10953162</v>
      </c>
    </row>
    <row r="214" spans="1:7" x14ac:dyDescent="0.3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3408</v>
      </c>
      <c r="D214" s="1" t="s">
        <v>3409</v>
      </c>
      <c r="E214" s="1" t="s">
        <v>3410</v>
      </c>
      <c r="F214" s="1" t="s">
        <v>112</v>
      </c>
      <c r="G214" s="1">
        <v>10883579</v>
      </c>
    </row>
    <row r="215" spans="1:7" x14ac:dyDescent="0.3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3411</v>
      </c>
      <c r="D215" s="1" t="s">
        <v>3412</v>
      </c>
      <c r="E215" s="1" t="s">
        <v>3413</v>
      </c>
      <c r="F215" s="1" t="s">
        <v>112</v>
      </c>
      <c r="G215" s="1">
        <v>7332361</v>
      </c>
    </row>
    <row r="216" spans="1:7" x14ac:dyDescent="0.3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3414</v>
      </c>
      <c r="D216" s="1" t="s">
        <v>1183</v>
      </c>
      <c r="E216" s="1" t="s">
        <v>3415</v>
      </c>
      <c r="F216" s="1" t="s">
        <v>112</v>
      </c>
      <c r="G216" s="1">
        <v>7077453</v>
      </c>
    </row>
    <row r="217" spans="1:7" x14ac:dyDescent="0.3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3416</v>
      </c>
      <c r="D217" s="1" t="s">
        <v>3417</v>
      </c>
      <c r="E217" s="1" t="s">
        <v>3418</v>
      </c>
      <c r="F217" s="1" t="s">
        <v>112</v>
      </c>
      <c r="G217" s="1">
        <v>7060019</v>
      </c>
    </row>
    <row r="218" spans="1:7" x14ac:dyDescent="0.3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3419</v>
      </c>
    </row>
    <row r="219" spans="1:7" x14ac:dyDescent="0.3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3420</v>
      </c>
      <c r="D219" s="1" t="s">
        <v>3421</v>
      </c>
      <c r="E219" s="1" t="s">
        <v>3422</v>
      </c>
      <c r="F219" s="1" t="s">
        <v>112</v>
      </c>
      <c r="G219" s="1">
        <v>5406955</v>
      </c>
    </row>
    <row r="220" spans="1:7" x14ac:dyDescent="0.3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3423</v>
      </c>
      <c r="D220" s="1" t="s">
        <v>3424</v>
      </c>
      <c r="E220" s="1" t="s">
        <v>3425</v>
      </c>
      <c r="F220" s="1" t="s">
        <v>112</v>
      </c>
      <c r="G220" s="1">
        <v>5651416</v>
      </c>
    </row>
    <row r="221" spans="1:7" x14ac:dyDescent="0.3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3426</v>
      </c>
      <c r="D221" s="1" t="s">
        <v>3427</v>
      </c>
      <c r="E221" s="1" t="s">
        <v>3428</v>
      </c>
      <c r="F221" s="1" t="s">
        <v>112</v>
      </c>
      <c r="G221" s="1">
        <v>4697754</v>
      </c>
    </row>
    <row r="222" spans="1:7" x14ac:dyDescent="0.3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3429</v>
      </c>
      <c r="D222" s="1" t="s">
        <v>3430</v>
      </c>
      <c r="E222" s="1" t="s">
        <v>3431</v>
      </c>
      <c r="F222" s="1" t="s">
        <v>112</v>
      </c>
      <c r="G222" s="1">
        <v>4421280</v>
      </c>
    </row>
    <row r="223" spans="1:7" x14ac:dyDescent="0.3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3432</v>
      </c>
      <c r="D223" s="1" t="s">
        <v>3433</v>
      </c>
      <c r="E223" s="1" t="s">
        <v>3434</v>
      </c>
      <c r="F223" s="1" t="s">
        <v>112</v>
      </c>
      <c r="G223" s="1">
        <v>4422881</v>
      </c>
    </row>
    <row r="224" spans="1:7"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234</v>
      </c>
      <c r="D225" s="1" t="s">
        <v>112</v>
      </c>
      <c r="E225" s="1" t="s">
        <v>235</v>
      </c>
      <c r="F225" s="1" t="s">
        <v>236</v>
      </c>
      <c r="G225" s="1" t="s">
        <v>237</v>
      </c>
      <c r="H225" s="1" t="s">
        <v>238</v>
      </c>
      <c r="I225" s="1" t="s">
        <v>239</v>
      </c>
      <c r="J225" s="1" t="s">
        <v>240</v>
      </c>
    </row>
    <row r="226" spans="1:10" x14ac:dyDescent="0.3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3435</v>
      </c>
      <c r="D226" s="1" t="s">
        <v>112</v>
      </c>
      <c r="E226" s="1" t="s">
        <v>3436</v>
      </c>
      <c r="F226" s="1" t="s">
        <v>3437</v>
      </c>
      <c r="G226" s="1" t="s">
        <v>3438</v>
      </c>
      <c r="H226" s="1" t="s">
        <v>3439</v>
      </c>
      <c r="I226" s="1">
        <v>24</v>
      </c>
      <c r="J226" s="1">
        <v>24</v>
      </c>
    </row>
    <row r="227" spans="1:10"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246</v>
      </c>
      <c r="D232" s="1" t="s">
        <v>110</v>
      </c>
      <c r="E232" s="1" t="s">
        <v>111</v>
      </c>
      <c r="F232" s="1" t="s">
        <v>112</v>
      </c>
      <c r="G232" s="1" t="s">
        <v>113</v>
      </c>
    </row>
    <row r="233" spans="1:10" x14ac:dyDescent="0.35">
      <c r="A233" s="1" t="str">
        <f t="shared" si="3"/>
        <v>08 Cefuroxime ND 0.001</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3440</v>
      </c>
      <c r="D233" s="1" t="s">
        <v>251</v>
      </c>
      <c r="E233" s="1" t="s">
        <v>3441</v>
      </c>
      <c r="F233" s="1" t="s">
        <v>112</v>
      </c>
      <c r="G233" s="1">
        <v>32402</v>
      </c>
    </row>
    <row r="234" spans="1:10" x14ac:dyDescent="0.35">
      <c r="A234" s="1" t="str">
        <f t="shared" si="3"/>
        <v>08 Cefuroxime ND 0.001</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3442</v>
      </c>
      <c r="D234" s="1" t="s">
        <v>2219</v>
      </c>
      <c r="E234" s="1" t="s">
        <v>3050</v>
      </c>
      <c r="F234" s="1" t="s">
        <v>112</v>
      </c>
      <c r="G234" s="1">
        <v>24334</v>
      </c>
    </row>
    <row r="235" spans="1:10" x14ac:dyDescent="0.35">
      <c r="A235" s="1" t="str">
        <f t="shared" si="3"/>
        <v>08 Cefuroxime ND 0.001</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3443</v>
      </c>
      <c r="D235" s="1" t="s">
        <v>302</v>
      </c>
      <c r="E235" s="1" t="s">
        <v>3444</v>
      </c>
      <c r="F235" s="1" t="s">
        <v>112</v>
      </c>
      <c r="G235" s="1">
        <v>23144</v>
      </c>
    </row>
    <row r="236" spans="1:10" x14ac:dyDescent="0.35">
      <c r="A236" s="1" t="str">
        <f t="shared" si="3"/>
        <v>08 Cefuroxime ND 0.001</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3445</v>
      </c>
      <c r="D236" s="1" t="s">
        <v>3446</v>
      </c>
      <c r="E236" s="1" t="s">
        <v>3447</v>
      </c>
      <c r="F236" s="1" t="s">
        <v>112</v>
      </c>
      <c r="G236" s="1">
        <v>232305</v>
      </c>
    </row>
    <row r="237" spans="1:10" x14ac:dyDescent="0.35">
      <c r="A237" s="1" t="str">
        <f t="shared" si="3"/>
        <v>08 Cefuroxime ND 0.001</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3448</v>
      </c>
      <c r="D237" s="1" t="s">
        <v>1707</v>
      </c>
      <c r="E237" s="1" t="s">
        <v>3449</v>
      </c>
      <c r="F237" s="1" t="s">
        <v>112</v>
      </c>
      <c r="G237" s="1">
        <v>139837</v>
      </c>
    </row>
    <row r="238" spans="1:10" x14ac:dyDescent="0.35">
      <c r="A238" s="1" t="str">
        <f t="shared" si="3"/>
        <v>08 Cefuroxime ND 0.001</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3450</v>
      </c>
      <c r="D238" s="1" t="s">
        <v>302</v>
      </c>
      <c r="E238" s="1" t="s">
        <v>3451</v>
      </c>
      <c r="F238" s="1" t="s">
        <v>112</v>
      </c>
      <c r="G238" s="1">
        <v>23036</v>
      </c>
    </row>
    <row r="239" spans="1:10" x14ac:dyDescent="0.35">
      <c r="A239" s="1" t="str">
        <f t="shared" si="3"/>
        <v>08 Cefuroxime ND 0.001</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3452</v>
      </c>
      <c r="D239" s="1" t="s">
        <v>649</v>
      </c>
      <c r="E239" s="1" t="s">
        <v>3453</v>
      </c>
      <c r="F239" s="1" t="s">
        <v>112</v>
      </c>
      <c r="G239" s="1">
        <v>165858</v>
      </c>
    </row>
    <row r="240" spans="1:10" x14ac:dyDescent="0.35">
      <c r="A240" s="1" t="str">
        <f t="shared" si="3"/>
        <v>08 Cefuroxime ND 0.001</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3454</v>
      </c>
      <c r="D240" s="1" t="s">
        <v>2370</v>
      </c>
      <c r="E240" s="1" t="s">
        <v>3455</v>
      </c>
      <c r="F240" s="1" t="s">
        <v>112</v>
      </c>
      <c r="G240" s="1">
        <v>100146</v>
      </c>
    </row>
    <row r="241" spans="1:7" x14ac:dyDescent="0.35">
      <c r="A241" s="1" t="str">
        <f t="shared" si="3"/>
        <v>08 Cefuroxime ND 0.001</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3456</v>
      </c>
      <c r="D241" s="1" t="s">
        <v>710</v>
      </c>
      <c r="E241" s="1" t="s">
        <v>2256</v>
      </c>
      <c r="F241" s="1" t="s">
        <v>112</v>
      </c>
      <c r="G241" s="1">
        <v>16179</v>
      </c>
    </row>
    <row r="242" spans="1:7" x14ac:dyDescent="0.35">
      <c r="A242" s="1" t="str">
        <f t="shared" si="3"/>
        <v>08 Cefuroxime ND 0.001</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3457</v>
      </c>
      <c r="D242" s="1" t="s">
        <v>173</v>
      </c>
      <c r="E242" s="1" t="s">
        <v>3458</v>
      </c>
      <c r="F242" s="1" t="s">
        <v>112</v>
      </c>
      <c r="G242" s="1">
        <v>61169</v>
      </c>
    </row>
    <row r="243" spans="1:7" x14ac:dyDescent="0.35">
      <c r="A243" s="1" t="str">
        <f t="shared" si="3"/>
        <v>08 Cefuroxime ND 0.001</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3459</v>
      </c>
      <c r="D243" s="1" t="s">
        <v>3460</v>
      </c>
      <c r="E243" s="1" t="s">
        <v>3461</v>
      </c>
      <c r="F243" s="1" t="s">
        <v>112</v>
      </c>
      <c r="G243" s="1">
        <v>662156</v>
      </c>
    </row>
    <row r="244" spans="1:7" x14ac:dyDescent="0.35">
      <c r="A244" s="1" t="str">
        <f t="shared" si="3"/>
        <v>08 Cefuroxime ND 0.001</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3462</v>
      </c>
      <c r="D244" s="1" t="s">
        <v>815</v>
      </c>
      <c r="E244" s="1" t="s">
        <v>3463</v>
      </c>
      <c r="F244" s="1" t="s">
        <v>112</v>
      </c>
      <c r="G244" s="1">
        <v>524568</v>
      </c>
    </row>
    <row r="245" spans="1:7" x14ac:dyDescent="0.35">
      <c r="A245" s="1" t="str">
        <f t="shared" si="3"/>
        <v>08 Cefuroxime ND 0.001</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3464</v>
      </c>
      <c r="D245" s="1" t="s">
        <v>336</v>
      </c>
      <c r="E245" s="1" t="s">
        <v>2301</v>
      </c>
      <c r="F245" s="1" t="s">
        <v>112</v>
      </c>
      <c r="G245" s="1">
        <v>124718</v>
      </c>
    </row>
    <row r="246" spans="1:7" x14ac:dyDescent="0.35">
      <c r="A246" s="1" t="str">
        <f t="shared" si="3"/>
        <v>08 Cefuroxime ND 0.001</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3465</v>
      </c>
      <c r="D246" s="1" t="s">
        <v>251</v>
      </c>
      <c r="E246" s="1" t="s">
        <v>3466</v>
      </c>
      <c r="F246" s="1" t="s">
        <v>112</v>
      </c>
      <c r="G246" s="1">
        <v>31471</v>
      </c>
    </row>
    <row r="247" spans="1:7" x14ac:dyDescent="0.35">
      <c r="A247" s="1" t="str">
        <f t="shared" si="3"/>
        <v>08 Cefuroxime ND 0.001</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3467</v>
      </c>
    </row>
    <row r="248" spans="1:7" x14ac:dyDescent="0.35">
      <c r="A248" s="1" t="str">
        <f t="shared" si="3"/>
        <v>08 Cefuroxime ND 0.001</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3468</v>
      </c>
      <c r="D248" s="1" t="s">
        <v>248</v>
      </c>
      <c r="E248" s="1" t="s">
        <v>3469</v>
      </c>
      <c r="F248" s="1" t="s">
        <v>112</v>
      </c>
      <c r="G248" s="1">
        <v>249587</v>
      </c>
    </row>
    <row r="249" spans="1:7" x14ac:dyDescent="0.35">
      <c r="A249" s="1" t="str">
        <f t="shared" si="3"/>
        <v>08 Cefuroxime ND 0.001</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3470</v>
      </c>
      <c r="D249" s="1" t="s">
        <v>2851</v>
      </c>
      <c r="E249" s="1" t="s">
        <v>3471</v>
      </c>
      <c r="F249" s="1" t="s">
        <v>112</v>
      </c>
      <c r="G249" s="1">
        <v>74342</v>
      </c>
    </row>
    <row r="250" spans="1:7" x14ac:dyDescent="0.35">
      <c r="A250" s="1" t="str">
        <f t="shared" si="3"/>
        <v>08 Cefuroxime ND 0.001</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3472</v>
      </c>
      <c r="D250" s="1" t="s">
        <v>710</v>
      </c>
      <c r="E250" s="1" t="s">
        <v>763</v>
      </c>
      <c r="F250" s="1" t="s">
        <v>112</v>
      </c>
      <c r="G250" s="1">
        <v>16439</v>
      </c>
    </row>
    <row r="251" spans="1:7" x14ac:dyDescent="0.35">
      <c r="A251" s="1" t="str">
        <f t="shared" si="3"/>
        <v>08 Cefuroxime ND 0.001</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3473</v>
      </c>
      <c r="D251" s="1" t="s">
        <v>3474</v>
      </c>
      <c r="E251" s="1" t="s">
        <v>3475</v>
      </c>
      <c r="F251" s="1" t="s">
        <v>112</v>
      </c>
      <c r="G251" s="1">
        <v>634773</v>
      </c>
    </row>
    <row r="252" spans="1:7" x14ac:dyDescent="0.35">
      <c r="A252" s="1" t="str">
        <f t="shared" si="3"/>
        <v>08 Cefuroxime ND 0.001</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3476</v>
      </c>
      <c r="D252" s="1" t="s">
        <v>3477</v>
      </c>
      <c r="E252" s="1" t="s">
        <v>3478</v>
      </c>
      <c r="F252" s="1" t="s">
        <v>112</v>
      </c>
      <c r="G252" s="1">
        <v>589198</v>
      </c>
    </row>
    <row r="253" spans="1:7" x14ac:dyDescent="0.35">
      <c r="A253" s="1" t="str">
        <f t="shared" si="3"/>
        <v>08 Cefuroxime ND 0.001</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3479</v>
      </c>
      <c r="D253" s="1" t="s">
        <v>223</v>
      </c>
      <c r="E253" s="1" t="s">
        <v>3480</v>
      </c>
      <c r="F253" s="1" t="s">
        <v>112</v>
      </c>
      <c r="G253" s="1">
        <v>27556</v>
      </c>
    </row>
    <row r="254" spans="1:7" x14ac:dyDescent="0.35">
      <c r="A254" s="1" t="str">
        <f t="shared" si="3"/>
        <v>08 Cefuroxime ND 0.001</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3481</v>
      </c>
      <c r="D254" s="1" t="s">
        <v>2293</v>
      </c>
      <c r="E254" s="1" t="s">
        <v>3482</v>
      </c>
      <c r="F254" s="1" t="s">
        <v>112</v>
      </c>
      <c r="G254" s="1">
        <v>324340</v>
      </c>
    </row>
    <row r="255" spans="1:7" x14ac:dyDescent="0.35">
      <c r="A255" s="1" t="str">
        <f t="shared" si="3"/>
        <v>08 Cefuroxime ND 0.001</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3483</v>
      </c>
      <c r="D255" s="1" t="s">
        <v>3484</v>
      </c>
      <c r="E255" s="1" t="s">
        <v>3485</v>
      </c>
      <c r="F255" s="1" t="s">
        <v>112</v>
      </c>
      <c r="G255" s="1">
        <v>509644</v>
      </c>
    </row>
    <row r="256" spans="1:7" x14ac:dyDescent="0.35">
      <c r="A256" s="1" t="str">
        <f t="shared" si="3"/>
        <v>08 Cefuroxime ND 0.001</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3486</v>
      </c>
      <c r="D256" s="1" t="s">
        <v>3487</v>
      </c>
      <c r="E256" s="1" t="s">
        <v>3488</v>
      </c>
      <c r="F256" s="1" t="s">
        <v>112</v>
      </c>
      <c r="G256" s="1">
        <v>324513</v>
      </c>
    </row>
    <row r="257" spans="1:10"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234</v>
      </c>
      <c r="D258" s="1" t="s">
        <v>112</v>
      </c>
      <c r="E258" s="1" t="s">
        <v>235</v>
      </c>
      <c r="F258" s="1" t="s">
        <v>236</v>
      </c>
      <c r="G258" s="1" t="s">
        <v>237</v>
      </c>
      <c r="H258" s="1" t="s">
        <v>238</v>
      </c>
      <c r="I258" s="1" t="s">
        <v>239</v>
      </c>
      <c r="J258" s="1" t="s">
        <v>240</v>
      </c>
    </row>
    <row r="259" spans="1:10" x14ac:dyDescent="0.35">
      <c r="A259" s="1" t="str">
        <f t="shared" si="4"/>
        <v>08 Cefuroxime ND 0.001</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3489</v>
      </c>
      <c r="D259" s="1" t="s">
        <v>112</v>
      </c>
      <c r="E259" s="1" t="s">
        <v>3490</v>
      </c>
      <c r="F259" s="1" t="s">
        <v>3491</v>
      </c>
      <c r="G259" s="1" t="s">
        <v>3492</v>
      </c>
      <c r="H259" s="1" t="s">
        <v>3493</v>
      </c>
      <c r="I259" s="1">
        <v>24</v>
      </c>
      <c r="J259" s="1">
        <v>24</v>
      </c>
    </row>
    <row r="260" spans="1:10"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246</v>
      </c>
      <c r="D265" s="1" t="s">
        <v>110</v>
      </c>
      <c r="E265" s="1" t="s">
        <v>111</v>
      </c>
      <c r="F265" s="1" t="s">
        <v>112</v>
      </c>
      <c r="G265" s="1" t="s">
        <v>113</v>
      </c>
    </row>
    <row r="266" spans="1:10" x14ac:dyDescent="0.35">
      <c r="A266" s="1" t="str">
        <f t="shared" si="4"/>
        <v>09 Cefuroxime ND 0.01</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3494</v>
      </c>
      <c r="D266" s="1" t="s">
        <v>3495</v>
      </c>
      <c r="E266" s="1" t="s">
        <v>3496</v>
      </c>
      <c r="F266" s="1" t="s">
        <v>112</v>
      </c>
      <c r="G266" s="1">
        <v>811467</v>
      </c>
    </row>
    <row r="267" spans="1:10" x14ac:dyDescent="0.35">
      <c r="A267" s="1" t="str">
        <f t="shared" si="4"/>
        <v>09 Cefuroxime ND 0.01</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3497</v>
      </c>
      <c r="D267" s="1" t="s">
        <v>2296</v>
      </c>
      <c r="E267" s="1" t="s">
        <v>3498</v>
      </c>
      <c r="F267" s="1" t="s">
        <v>112</v>
      </c>
      <c r="G267" s="1">
        <v>389316</v>
      </c>
    </row>
    <row r="268" spans="1:10" x14ac:dyDescent="0.35">
      <c r="A268" s="1" t="str">
        <f t="shared" si="4"/>
        <v>09 Cefuroxime ND 0.01</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3499</v>
      </c>
      <c r="D268" s="1" t="s">
        <v>3027</v>
      </c>
      <c r="E268" s="1" t="s">
        <v>3500</v>
      </c>
      <c r="F268" s="1" t="s">
        <v>112</v>
      </c>
      <c r="G268" s="1">
        <v>560387</v>
      </c>
    </row>
    <row r="269" spans="1:10" x14ac:dyDescent="0.35">
      <c r="A269" s="1" t="str">
        <f t="shared" si="4"/>
        <v>09 Cefuroxime ND 0.01</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3501</v>
      </c>
    </row>
    <row r="270" spans="1:10" x14ac:dyDescent="0.35">
      <c r="A270" s="1" t="str">
        <f t="shared" si="4"/>
        <v>09 Cefuroxime ND 0.01</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3502</v>
      </c>
    </row>
    <row r="271" spans="1:10" x14ac:dyDescent="0.35">
      <c r="A271" s="1" t="str">
        <f t="shared" si="4"/>
        <v>09 Cefuroxime ND 0.01</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3503</v>
      </c>
    </row>
    <row r="272" spans="1:10" x14ac:dyDescent="0.35">
      <c r="A272" s="1" t="str">
        <f t="shared" si="4"/>
        <v>09 Cefuroxime ND 0.01</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3504</v>
      </c>
      <c r="D272" s="1" t="s">
        <v>745</v>
      </c>
      <c r="E272" s="1" t="s">
        <v>3505</v>
      </c>
      <c r="F272" s="1" t="s">
        <v>112</v>
      </c>
      <c r="G272" s="1">
        <v>38090</v>
      </c>
    </row>
    <row r="273" spans="1:7" x14ac:dyDescent="0.35">
      <c r="A273" s="1" t="str">
        <f t="shared" si="4"/>
        <v>09 Cefuroxime ND 0.01</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3506</v>
      </c>
      <c r="D273" s="1" t="s">
        <v>2219</v>
      </c>
      <c r="E273" s="1" t="s">
        <v>3507</v>
      </c>
      <c r="F273" s="1" t="s">
        <v>112</v>
      </c>
      <c r="G273" s="1">
        <v>24701</v>
      </c>
    </row>
    <row r="274" spans="1:7" x14ac:dyDescent="0.35">
      <c r="A274" s="1" t="str">
        <f t="shared" si="4"/>
        <v>09 Cefuroxime ND 0.01</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3508</v>
      </c>
      <c r="D274" s="1" t="s">
        <v>187</v>
      </c>
      <c r="E274" s="1" t="s">
        <v>3509</v>
      </c>
      <c r="F274" s="1" t="s">
        <v>112</v>
      </c>
      <c r="G274" s="1">
        <v>20073</v>
      </c>
    </row>
    <row r="275" spans="1:7" x14ac:dyDescent="0.35">
      <c r="A275" s="1" t="str">
        <f t="shared" si="4"/>
        <v>09 Cefuroxime ND 0.01</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3510</v>
      </c>
      <c r="D275" s="1" t="s">
        <v>190</v>
      </c>
      <c r="E275" s="1" t="s">
        <v>2153</v>
      </c>
      <c r="F275" s="1" t="s">
        <v>112</v>
      </c>
      <c r="G275" s="1">
        <v>19229</v>
      </c>
    </row>
    <row r="276" spans="1:7" x14ac:dyDescent="0.35">
      <c r="A276" s="1" t="str">
        <f t="shared" si="4"/>
        <v>09 Cefuroxime ND 0.01</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3511</v>
      </c>
      <c r="D276" s="1" t="s">
        <v>592</v>
      </c>
      <c r="E276" s="1">
        <v>63</v>
      </c>
      <c r="F276" s="1" t="s">
        <v>112</v>
      </c>
      <c r="G276" s="1">
        <v>43606</v>
      </c>
    </row>
    <row r="277" spans="1:7" x14ac:dyDescent="0.35">
      <c r="A277" s="1" t="str">
        <f t="shared" si="4"/>
        <v>09 Cefuroxime ND 0.01</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3512</v>
      </c>
      <c r="D277" s="1" t="s">
        <v>223</v>
      </c>
      <c r="E277" s="1" t="s">
        <v>3513</v>
      </c>
      <c r="F277" s="1" t="s">
        <v>112</v>
      </c>
      <c r="G277" s="1">
        <v>27210</v>
      </c>
    </row>
    <row r="278" spans="1:7" x14ac:dyDescent="0.35">
      <c r="A278" s="1" t="str">
        <f t="shared" si="4"/>
        <v>09 Cefuroxime ND 0.01</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3514</v>
      </c>
      <c r="D278" s="1" t="s">
        <v>2928</v>
      </c>
      <c r="E278" s="1" t="s">
        <v>3515</v>
      </c>
      <c r="F278" s="1" t="s">
        <v>112</v>
      </c>
      <c r="G278" s="1">
        <v>222031</v>
      </c>
    </row>
    <row r="279" spans="1:7" x14ac:dyDescent="0.35">
      <c r="A279" s="1" t="str">
        <f t="shared" si="4"/>
        <v>09 Cefuroxime ND 0.01</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3516</v>
      </c>
    </row>
    <row r="280" spans="1:7" x14ac:dyDescent="0.35">
      <c r="A280" s="1" t="str">
        <f t="shared" si="4"/>
        <v>09 Cefuroxime ND 0.01</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3517</v>
      </c>
      <c r="D280" s="1" t="s">
        <v>762</v>
      </c>
      <c r="E280" s="1" t="s">
        <v>3518</v>
      </c>
      <c r="F280" s="1" t="s">
        <v>112</v>
      </c>
      <c r="G280" s="1">
        <v>40643</v>
      </c>
    </row>
    <row r="281" spans="1:7" x14ac:dyDescent="0.35">
      <c r="A281" s="1" t="str">
        <f t="shared" si="4"/>
        <v>09 Cefuroxime ND 0.01</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3519</v>
      </c>
      <c r="D281" s="1" t="s">
        <v>3520</v>
      </c>
      <c r="E281" s="1" t="s">
        <v>3521</v>
      </c>
      <c r="F281" s="1" t="s">
        <v>112</v>
      </c>
      <c r="G281" s="1">
        <v>109685</v>
      </c>
    </row>
    <row r="282" spans="1:7" x14ac:dyDescent="0.35">
      <c r="A282" s="1" t="str">
        <f t="shared" si="4"/>
        <v>09 Cefuroxime ND 0.01</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3522</v>
      </c>
      <c r="D282" s="1" t="s">
        <v>803</v>
      </c>
      <c r="E282" s="1" t="s">
        <v>3523</v>
      </c>
      <c r="F282" s="1" t="s">
        <v>112</v>
      </c>
      <c r="G282" s="1">
        <v>36079</v>
      </c>
    </row>
    <row r="283" spans="1:7" x14ac:dyDescent="0.35">
      <c r="A283" s="1" t="str">
        <f t="shared" si="4"/>
        <v>09 Cefuroxime ND 0.01</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3524</v>
      </c>
      <c r="D283" s="1" t="s">
        <v>2219</v>
      </c>
      <c r="E283" s="1" t="s">
        <v>3525</v>
      </c>
      <c r="F283" s="1" t="s">
        <v>112</v>
      </c>
      <c r="G283" s="1">
        <v>25631</v>
      </c>
    </row>
    <row r="284" spans="1:7" x14ac:dyDescent="0.35">
      <c r="A284" s="1" t="str">
        <f t="shared" si="4"/>
        <v>09 Cefuroxime ND 0.01</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3526</v>
      </c>
      <c r="D284" s="1" t="s">
        <v>812</v>
      </c>
      <c r="E284" s="1" t="s">
        <v>3527</v>
      </c>
      <c r="F284" s="1" t="s">
        <v>112</v>
      </c>
      <c r="G284" s="1">
        <v>108777</v>
      </c>
    </row>
    <row r="285" spans="1:7" x14ac:dyDescent="0.35">
      <c r="A285" s="1" t="str">
        <f t="shared" si="4"/>
        <v>09 Cefuroxime ND 0.01</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3528</v>
      </c>
      <c r="D285" s="1" t="s">
        <v>851</v>
      </c>
      <c r="E285" s="1" t="s">
        <v>3529</v>
      </c>
      <c r="F285" s="1" t="s">
        <v>112</v>
      </c>
      <c r="G285" s="1">
        <v>379453</v>
      </c>
    </row>
    <row r="286" spans="1:7" x14ac:dyDescent="0.35">
      <c r="A286" s="1" t="str">
        <f t="shared" si="4"/>
        <v>09 Cefuroxime ND 0.01</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3530</v>
      </c>
      <c r="D286" s="1" t="s">
        <v>2384</v>
      </c>
      <c r="E286" s="1" t="s">
        <v>3531</v>
      </c>
      <c r="F286" s="1" t="s">
        <v>112</v>
      </c>
      <c r="G286" s="1">
        <v>514099</v>
      </c>
    </row>
    <row r="287" spans="1:7" x14ac:dyDescent="0.35">
      <c r="A287" s="1" t="str">
        <f t="shared" si="4"/>
        <v>09 Cefuroxime ND 0.01</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3532</v>
      </c>
      <c r="D287" s="1" t="s">
        <v>1900</v>
      </c>
      <c r="E287" s="1" t="s">
        <v>3533</v>
      </c>
      <c r="F287" s="1" t="s">
        <v>112</v>
      </c>
      <c r="G287" s="1">
        <v>306041</v>
      </c>
    </row>
    <row r="288" spans="1:7" x14ac:dyDescent="0.35">
      <c r="A288" s="1" t="str">
        <f t="shared" si="4"/>
        <v>09 Cefuroxime ND 0.01</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3534</v>
      </c>
      <c r="D288" s="1" t="s">
        <v>818</v>
      </c>
      <c r="E288" s="1" t="s">
        <v>740</v>
      </c>
      <c r="F288" s="1" t="s">
        <v>112</v>
      </c>
      <c r="G288" s="1">
        <v>8154</v>
      </c>
    </row>
    <row r="289" spans="1:10" x14ac:dyDescent="0.35">
      <c r="A289" s="1" t="str">
        <f t="shared" si="4"/>
        <v>09 Cefuroxime ND 0.01</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3535</v>
      </c>
      <c r="D289" s="1" t="s">
        <v>1712</v>
      </c>
      <c r="E289" s="1">
        <v>66</v>
      </c>
      <c r="F289" s="1" t="s">
        <v>112</v>
      </c>
      <c r="G289" s="1">
        <v>4283</v>
      </c>
    </row>
    <row r="290" spans="1:10"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234</v>
      </c>
      <c r="D291" s="1" t="s">
        <v>112</v>
      </c>
      <c r="E291" s="1" t="s">
        <v>235</v>
      </c>
      <c r="F291" s="1" t="s">
        <v>236</v>
      </c>
      <c r="G291" s="1" t="s">
        <v>237</v>
      </c>
      <c r="H291" s="1" t="s">
        <v>238</v>
      </c>
      <c r="I291" s="1" t="s">
        <v>239</v>
      </c>
      <c r="J291" s="1" t="s">
        <v>240</v>
      </c>
    </row>
    <row r="292" spans="1:10" x14ac:dyDescent="0.35">
      <c r="A292" s="1" t="str">
        <f t="shared" si="4"/>
        <v>09 Cefuroxime ND 0.01</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3536</v>
      </c>
      <c r="D292" s="1" t="s">
        <v>112</v>
      </c>
      <c r="E292" s="1" t="s">
        <v>3537</v>
      </c>
      <c r="F292" s="1" t="s">
        <v>3538</v>
      </c>
      <c r="G292" s="1" t="s">
        <v>3539</v>
      </c>
      <c r="H292" s="1" t="s">
        <v>3540</v>
      </c>
      <c r="I292" s="1">
        <v>24</v>
      </c>
      <c r="J292" s="1">
        <v>24</v>
      </c>
    </row>
    <row r="293" spans="1:10"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246</v>
      </c>
      <c r="D298" s="1" t="s">
        <v>110</v>
      </c>
      <c r="E298" s="1" t="s">
        <v>111</v>
      </c>
      <c r="F298" s="1" t="s">
        <v>112</v>
      </c>
      <c r="G298" s="1" t="s">
        <v>113</v>
      </c>
    </row>
    <row r="299" spans="1:10" x14ac:dyDescent="0.35">
      <c r="A299" s="1" t="str">
        <f t="shared" si="4"/>
        <v>10 Cefuroxime ND 0.1</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3541</v>
      </c>
      <c r="D299" s="1" t="s">
        <v>226</v>
      </c>
      <c r="E299" s="1" t="s">
        <v>3542</v>
      </c>
      <c r="F299" s="1" t="s">
        <v>112</v>
      </c>
      <c r="G299" s="1">
        <v>68978</v>
      </c>
    </row>
    <row r="300" spans="1:10" x14ac:dyDescent="0.35">
      <c r="A300" s="1" t="str">
        <f t="shared" si="4"/>
        <v>10 Cefuroxime ND 0.1</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3543</v>
      </c>
      <c r="D300" s="1" t="s">
        <v>803</v>
      </c>
      <c r="E300" s="1" t="s">
        <v>804</v>
      </c>
      <c r="F300" s="1" t="s">
        <v>112</v>
      </c>
      <c r="G300" s="1">
        <v>35192</v>
      </c>
    </row>
    <row r="301" spans="1:10" x14ac:dyDescent="0.35">
      <c r="A301" s="1" t="str">
        <f t="shared" si="4"/>
        <v>10 Cefuroxime ND 0.1</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3544</v>
      </c>
      <c r="D301" s="1" t="s">
        <v>267</v>
      </c>
      <c r="E301" s="1" t="s">
        <v>3545</v>
      </c>
      <c r="F301" s="1" t="s">
        <v>112</v>
      </c>
      <c r="G301" s="1">
        <v>118402</v>
      </c>
    </row>
    <row r="302" spans="1:10" x14ac:dyDescent="0.35">
      <c r="A302" s="1" t="str">
        <f t="shared" si="4"/>
        <v>10 Cefuroxime ND 0.1</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3546</v>
      </c>
      <c r="D302" s="1" t="s">
        <v>187</v>
      </c>
      <c r="E302" s="1" t="s">
        <v>3547</v>
      </c>
      <c r="F302" s="1" t="s">
        <v>112</v>
      </c>
      <c r="G302" s="1">
        <v>21046</v>
      </c>
    </row>
    <row r="303" spans="1:10" x14ac:dyDescent="0.35">
      <c r="A303" s="1" t="str">
        <f t="shared" si="4"/>
        <v>10 Cefuroxime ND 0.1</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3548</v>
      </c>
      <c r="D303" s="1" t="s">
        <v>944</v>
      </c>
      <c r="E303" s="1" t="s">
        <v>3549</v>
      </c>
      <c r="F303" s="1" t="s">
        <v>112</v>
      </c>
      <c r="G303" s="1">
        <v>29222</v>
      </c>
    </row>
    <row r="304" spans="1:10" x14ac:dyDescent="0.35">
      <c r="A304" s="1" t="str">
        <f t="shared" si="4"/>
        <v>10 Cefuroxime ND 0.1</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3550</v>
      </c>
      <c r="D304" s="1" t="s">
        <v>598</v>
      </c>
      <c r="E304" s="1" t="s">
        <v>1018</v>
      </c>
      <c r="F304" s="1" t="s">
        <v>112</v>
      </c>
      <c r="G304" s="1">
        <v>15119</v>
      </c>
    </row>
    <row r="305" spans="1:7" x14ac:dyDescent="0.35">
      <c r="A305" s="1" t="str">
        <f t="shared" si="4"/>
        <v>10 Cefuroxime ND 0.1</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3551</v>
      </c>
      <c r="D305" s="1" t="s">
        <v>3552</v>
      </c>
      <c r="E305" s="1" t="s">
        <v>3553</v>
      </c>
      <c r="F305" s="1" t="s">
        <v>112</v>
      </c>
      <c r="G305" s="1">
        <v>154329</v>
      </c>
    </row>
    <row r="306" spans="1:7" x14ac:dyDescent="0.35">
      <c r="A306" s="1" t="str">
        <f t="shared" si="4"/>
        <v>10 Cefuroxime ND 0.1</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3554</v>
      </c>
      <c r="D306" s="1" t="s">
        <v>342</v>
      </c>
      <c r="E306" s="1" t="s">
        <v>3555</v>
      </c>
      <c r="F306" s="1" t="s">
        <v>112</v>
      </c>
      <c r="G306" s="1">
        <v>107025</v>
      </c>
    </row>
    <row r="307" spans="1:7" x14ac:dyDescent="0.35">
      <c r="A307" s="1" t="str">
        <f t="shared" si="4"/>
        <v>10 Cefuroxime ND 0.1</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3556</v>
      </c>
      <c r="D307" s="1" t="s">
        <v>302</v>
      </c>
      <c r="E307" s="1" t="s">
        <v>3557</v>
      </c>
      <c r="F307" s="1" t="s">
        <v>112</v>
      </c>
      <c r="G307" s="1">
        <v>22755</v>
      </c>
    </row>
    <row r="308" spans="1:7" x14ac:dyDescent="0.35">
      <c r="A308" s="1" t="str">
        <f t="shared" si="4"/>
        <v>10 Cefuroxime ND 0.1</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3558</v>
      </c>
      <c r="D308" s="1" t="s">
        <v>934</v>
      </c>
      <c r="E308" s="1" t="s">
        <v>3559</v>
      </c>
      <c r="F308" s="1" t="s">
        <v>112</v>
      </c>
      <c r="G308" s="1">
        <v>52344</v>
      </c>
    </row>
    <row r="309" spans="1:7" x14ac:dyDescent="0.35">
      <c r="A309" s="1" t="str">
        <f t="shared" si="4"/>
        <v>10 Cefuroxime ND 0.1</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3560</v>
      </c>
      <c r="D309" s="1" t="s">
        <v>777</v>
      </c>
      <c r="E309" s="1" t="s">
        <v>3561</v>
      </c>
      <c r="F309" s="1" t="s">
        <v>112</v>
      </c>
      <c r="G309" s="1">
        <v>393945</v>
      </c>
    </row>
    <row r="310" spans="1:7" x14ac:dyDescent="0.35">
      <c r="A310" s="1" t="str">
        <f t="shared" si="4"/>
        <v>10 Cefuroxime ND 0.1</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3562</v>
      </c>
      <c r="D310" s="1" t="s">
        <v>418</v>
      </c>
      <c r="E310" s="1" t="s">
        <v>3563</v>
      </c>
      <c r="F310" s="1" t="s">
        <v>112</v>
      </c>
      <c r="G310" s="1">
        <v>64176</v>
      </c>
    </row>
    <row r="311" spans="1:7" x14ac:dyDescent="0.35">
      <c r="A311" s="1" t="str">
        <f t="shared" si="4"/>
        <v>10 Cefuroxime ND 0.1</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3564</v>
      </c>
      <c r="D311" s="1" t="s">
        <v>1837</v>
      </c>
      <c r="E311" s="1" t="s">
        <v>3565</v>
      </c>
      <c r="F311" s="1" t="s">
        <v>112</v>
      </c>
      <c r="G311" s="1">
        <v>75294</v>
      </c>
    </row>
    <row r="312" spans="1:7" x14ac:dyDescent="0.35">
      <c r="A312" s="1" t="str">
        <f t="shared" si="4"/>
        <v>10 Cefuroxime ND 0.1</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3566</v>
      </c>
      <c r="D312" s="1" t="s">
        <v>1712</v>
      </c>
      <c r="E312" s="1">
        <v>63</v>
      </c>
      <c r="F312" s="1" t="s">
        <v>112</v>
      </c>
      <c r="G312" s="1">
        <v>4088</v>
      </c>
    </row>
    <row r="313" spans="1:7" x14ac:dyDescent="0.35">
      <c r="A313" s="1" t="str">
        <f t="shared" si="4"/>
        <v>10 Cefuroxime ND 0.1</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3567</v>
      </c>
      <c r="D313" s="1" t="s">
        <v>818</v>
      </c>
      <c r="E313" s="1" t="s">
        <v>196</v>
      </c>
      <c r="F313" s="1" t="s">
        <v>112</v>
      </c>
      <c r="G313" s="1">
        <v>8414</v>
      </c>
    </row>
    <row r="314" spans="1:7" x14ac:dyDescent="0.35">
      <c r="A314" s="1" t="str">
        <f t="shared" si="4"/>
        <v>10 Cefuroxime ND 0.1</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3568</v>
      </c>
      <c r="D314" s="1" t="s">
        <v>730</v>
      </c>
      <c r="E314" s="1" t="s">
        <v>3569</v>
      </c>
      <c r="F314" s="1" t="s">
        <v>112</v>
      </c>
      <c r="G314" s="1">
        <v>184871</v>
      </c>
    </row>
    <row r="315" spans="1:7" x14ac:dyDescent="0.35">
      <c r="A315" s="1" t="str">
        <f t="shared" si="4"/>
        <v>10 Cefuroxime ND 0.1</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3570</v>
      </c>
      <c r="D315" s="1" t="s">
        <v>713</v>
      </c>
      <c r="E315" s="1" t="s">
        <v>3571</v>
      </c>
      <c r="F315" s="1" t="s">
        <v>112</v>
      </c>
      <c r="G315" s="1">
        <v>36771</v>
      </c>
    </row>
    <row r="316" spans="1:7" x14ac:dyDescent="0.35">
      <c r="A316" s="1" t="str">
        <f t="shared" si="4"/>
        <v>10 Cefuroxime ND 0.1</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3572</v>
      </c>
      <c r="D316" s="1" t="s">
        <v>806</v>
      </c>
      <c r="E316" s="1" t="s">
        <v>690</v>
      </c>
      <c r="F316" s="1" t="s">
        <v>112</v>
      </c>
      <c r="G316" s="1">
        <v>13865</v>
      </c>
    </row>
    <row r="317" spans="1:7" x14ac:dyDescent="0.35">
      <c r="A317" s="1" t="str">
        <f t="shared" si="4"/>
        <v>10 Cefuroxime ND 0.1</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3573</v>
      </c>
      <c r="D317" s="1" t="s">
        <v>981</v>
      </c>
      <c r="E317" s="1" t="s">
        <v>3574</v>
      </c>
      <c r="F317" s="1" t="s">
        <v>112</v>
      </c>
      <c r="G317" s="1">
        <v>18710</v>
      </c>
    </row>
    <row r="318" spans="1:7" x14ac:dyDescent="0.35">
      <c r="A318" s="1" t="str">
        <f t="shared" si="4"/>
        <v>10 Cefuroxime ND 0.1</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3575</v>
      </c>
      <c r="D318" s="1" t="s">
        <v>184</v>
      </c>
      <c r="E318" s="1">
        <v>63</v>
      </c>
      <c r="F318" s="1" t="s">
        <v>112</v>
      </c>
      <c r="G318" s="1">
        <v>21803</v>
      </c>
    </row>
    <row r="319" spans="1:7" x14ac:dyDescent="0.35">
      <c r="A319" s="1" t="str">
        <f t="shared" si="4"/>
        <v>10 Cefuroxime ND 0.1</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3576</v>
      </c>
      <c r="D319" s="1" t="s">
        <v>232</v>
      </c>
      <c r="E319" s="1" t="s">
        <v>3577</v>
      </c>
      <c r="F319" s="1" t="s">
        <v>112</v>
      </c>
      <c r="G319" s="1">
        <v>84659</v>
      </c>
    </row>
    <row r="320" spans="1:7" x14ac:dyDescent="0.35">
      <c r="A320" s="1" t="str">
        <f t="shared" si="4"/>
        <v>10 Cefuroxime ND 0.1</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3578</v>
      </c>
      <c r="D320" s="1" t="s">
        <v>981</v>
      </c>
      <c r="E320" s="1" t="s">
        <v>3579</v>
      </c>
      <c r="F320" s="1" t="s">
        <v>112</v>
      </c>
      <c r="G320" s="1">
        <v>18472</v>
      </c>
    </row>
    <row r="321" spans="1:10" x14ac:dyDescent="0.35">
      <c r="A321" s="1" t="str">
        <f t="shared" si="4"/>
        <v>10 Cefuroxime ND 0.1</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3580</v>
      </c>
      <c r="D321" s="1" t="s">
        <v>710</v>
      </c>
      <c r="E321" s="1" t="s">
        <v>1754</v>
      </c>
      <c r="F321" s="1" t="s">
        <v>112</v>
      </c>
      <c r="G321" s="1">
        <v>16568</v>
      </c>
    </row>
    <row r="322" spans="1:10" x14ac:dyDescent="0.35">
      <c r="A322" s="1" t="str">
        <f t="shared" ref="A322:A385" si="5">IFERROR(LEFT(RIGHT(C322,LEN(C322)-SEARCH("@",C322)),SEARCH("/",RIGHT(C322,LEN(C322)-SEARCH("@",C322)-1))),"")</f>
        <v>10 Cefuroxime ND 0.1</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3581</v>
      </c>
      <c r="D322" s="1" t="s">
        <v>751</v>
      </c>
      <c r="E322" s="1" t="s">
        <v>746</v>
      </c>
      <c r="F322" s="1" t="s">
        <v>112</v>
      </c>
      <c r="G322" s="1">
        <v>9712</v>
      </c>
    </row>
    <row r="323" spans="1:10"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234</v>
      </c>
      <c r="D324" s="1" t="s">
        <v>112</v>
      </c>
      <c r="E324" s="1" t="s">
        <v>235</v>
      </c>
      <c r="F324" s="1" t="s">
        <v>236</v>
      </c>
      <c r="G324" s="1" t="s">
        <v>237</v>
      </c>
      <c r="H324" s="1" t="s">
        <v>238</v>
      </c>
      <c r="I324" s="1" t="s">
        <v>239</v>
      </c>
      <c r="J324" s="1" t="s">
        <v>240</v>
      </c>
    </row>
    <row r="325" spans="1:10" x14ac:dyDescent="0.35">
      <c r="A325" s="1" t="str">
        <f t="shared" si="5"/>
        <v>10 Cefuroxime ND 0.1</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3582</v>
      </c>
      <c r="D325" s="1" t="s">
        <v>112</v>
      </c>
      <c r="E325" s="1" t="s">
        <v>3583</v>
      </c>
      <c r="F325" s="1" t="s">
        <v>3584</v>
      </c>
      <c r="G325" s="1" t="s">
        <v>3585</v>
      </c>
      <c r="H325" s="1" t="s">
        <v>3586</v>
      </c>
      <c r="I325" s="1">
        <v>24</v>
      </c>
      <c r="J325" s="1">
        <v>24</v>
      </c>
    </row>
    <row r="326" spans="1:10"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246</v>
      </c>
      <c r="D331" s="1" t="s">
        <v>110</v>
      </c>
      <c r="E331" s="1" t="s">
        <v>111</v>
      </c>
      <c r="F331" s="1" t="s">
        <v>112</v>
      </c>
      <c r="G331" s="1" t="s">
        <v>113</v>
      </c>
    </row>
    <row r="332" spans="1:10" x14ac:dyDescent="0.35">
      <c r="A332" s="1" t="str">
        <f t="shared" si="5"/>
        <v>11 Cefuroxime ND 1</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3587</v>
      </c>
      <c r="D332" s="1" t="s">
        <v>3588</v>
      </c>
      <c r="E332" s="1" t="s">
        <v>3589</v>
      </c>
      <c r="F332" s="1" t="s">
        <v>112</v>
      </c>
      <c r="G332" s="1">
        <v>450659</v>
      </c>
    </row>
    <row r="333" spans="1:10" x14ac:dyDescent="0.35">
      <c r="A333" s="1" t="str">
        <f t="shared" si="5"/>
        <v>11 Cefuroxime ND 1</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3590</v>
      </c>
      <c r="D333" s="1" t="s">
        <v>3591</v>
      </c>
      <c r="E333" s="1" t="s">
        <v>3592</v>
      </c>
      <c r="F333" s="1" t="s">
        <v>112</v>
      </c>
      <c r="G333" s="1">
        <v>291376</v>
      </c>
    </row>
    <row r="334" spans="1:10" x14ac:dyDescent="0.35">
      <c r="A334" s="1" t="str">
        <f t="shared" si="5"/>
        <v>11 Cefuroxime ND 1</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3593</v>
      </c>
      <c r="D334" s="1" t="s">
        <v>3594</v>
      </c>
      <c r="E334" s="1" t="s">
        <v>3595</v>
      </c>
      <c r="F334" s="1" t="s">
        <v>112</v>
      </c>
      <c r="G334" s="1">
        <v>95128</v>
      </c>
    </row>
    <row r="335" spans="1:10" x14ac:dyDescent="0.35">
      <c r="A335" s="1" t="str">
        <f t="shared" si="5"/>
        <v>11 Cefuroxime ND 1</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3596</v>
      </c>
      <c r="D335" s="1" t="s">
        <v>206</v>
      </c>
      <c r="E335" s="1" t="s">
        <v>3597</v>
      </c>
      <c r="F335" s="1" t="s">
        <v>112</v>
      </c>
      <c r="G335" s="1">
        <v>12675</v>
      </c>
    </row>
    <row r="336" spans="1:10" x14ac:dyDescent="0.35">
      <c r="A336" s="1" t="str">
        <f t="shared" si="5"/>
        <v>11 Cefuroxime ND 1</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3598</v>
      </c>
      <c r="D336" s="1" t="s">
        <v>176</v>
      </c>
      <c r="E336" s="1" t="s">
        <v>3599</v>
      </c>
      <c r="F336" s="1" t="s">
        <v>112</v>
      </c>
      <c r="G336" s="1">
        <v>62510</v>
      </c>
    </row>
    <row r="337" spans="1:7" x14ac:dyDescent="0.35">
      <c r="A337" s="1" t="str">
        <f t="shared" si="5"/>
        <v>11 Cefuroxime ND 1</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3600</v>
      </c>
      <c r="D337" s="1" t="s">
        <v>997</v>
      </c>
      <c r="E337" s="1" t="s">
        <v>3601</v>
      </c>
      <c r="F337" s="1" t="s">
        <v>112</v>
      </c>
      <c r="G337" s="1">
        <v>58249</v>
      </c>
    </row>
    <row r="338" spans="1:7" x14ac:dyDescent="0.35">
      <c r="A338" s="1" t="str">
        <f t="shared" si="5"/>
        <v>11 Cefuroxime ND 1</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3602</v>
      </c>
      <c r="D338" s="1" t="s">
        <v>2245</v>
      </c>
      <c r="E338" s="1" t="s">
        <v>3603</v>
      </c>
      <c r="F338" s="1" t="s">
        <v>112</v>
      </c>
      <c r="G338" s="1">
        <v>100449</v>
      </c>
    </row>
    <row r="339" spans="1:7" x14ac:dyDescent="0.35">
      <c r="A339" s="1" t="str">
        <f t="shared" si="5"/>
        <v>11 Cefuroxime ND 1</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3604</v>
      </c>
      <c r="D339" s="1" t="s">
        <v>2224</v>
      </c>
      <c r="E339" s="1" t="s">
        <v>3605</v>
      </c>
      <c r="F339" s="1" t="s">
        <v>112</v>
      </c>
      <c r="G339" s="1">
        <v>143493</v>
      </c>
    </row>
    <row r="340" spans="1:7" x14ac:dyDescent="0.35">
      <c r="A340" s="1" t="str">
        <f t="shared" si="5"/>
        <v>11 Cefuroxime ND 1</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3606</v>
      </c>
      <c r="D340" s="1" t="s">
        <v>2357</v>
      </c>
      <c r="E340" s="1" t="s">
        <v>3607</v>
      </c>
      <c r="F340" s="1" t="s">
        <v>112</v>
      </c>
      <c r="G340" s="1">
        <v>88423</v>
      </c>
    </row>
    <row r="341" spans="1:7" x14ac:dyDescent="0.35">
      <c r="A341" s="1" t="str">
        <f t="shared" si="5"/>
        <v>11 Cefuroxime ND 1</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3608</v>
      </c>
      <c r="D341" s="1" t="s">
        <v>809</v>
      </c>
      <c r="E341" s="1" t="s">
        <v>3609</v>
      </c>
      <c r="F341" s="1" t="s">
        <v>112</v>
      </c>
      <c r="G341" s="1">
        <v>48408</v>
      </c>
    </row>
    <row r="342" spans="1:7" x14ac:dyDescent="0.35">
      <c r="A342" s="1" t="str">
        <f t="shared" si="5"/>
        <v>11 Cefuroxime ND 1</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3610</v>
      </c>
      <c r="D342" s="1" t="s">
        <v>803</v>
      </c>
      <c r="E342" s="1" t="s">
        <v>3611</v>
      </c>
      <c r="F342" s="1" t="s">
        <v>112</v>
      </c>
      <c r="G342" s="1">
        <v>33959</v>
      </c>
    </row>
    <row r="343" spans="1:7" x14ac:dyDescent="0.35">
      <c r="A343" s="1" t="str">
        <f t="shared" si="5"/>
        <v>11 Cefuroxime ND 1</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3612</v>
      </c>
    </row>
    <row r="344" spans="1:7" x14ac:dyDescent="0.35">
      <c r="A344" s="1" t="str">
        <f t="shared" si="5"/>
        <v>11 Cefuroxime ND 1</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3613</v>
      </c>
    </row>
    <row r="345" spans="1:7" x14ac:dyDescent="0.35">
      <c r="A345" s="1" t="str">
        <f t="shared" si="5"/>
        <v>11 Cefuroxime ND 1</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3614</v>
      </c>
      <c r="D345" s="1" t="s">
        <v>187</v>
      </c>
      <c r="E345" s="1" t="s">
        <v>3615</v>
      </c>
      <c r="F345" s="1" t="s">
        <v>112</v>
      </c>
      <c r="G345" s="1">
        <v>20354</v>
      </c>
    </row>
    <row r="346" spans="1:7" x14ac:dyDescent="0.35">
      <c r="A346" s="1" t="str">
        <f t="shared" si="5"/>
        <v>11 Cefuroxime ND 1</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3616</v>
      </c>
      <c r="D346" s="1" t="s">
        <v>2219</v>
      </c>
      <c r="E346" s="1" t="s">
        <v>3617</v>
      </c>
      <c r="F346" s="1" t="s">
        <v>112</v>
      </c>
      <c r="G346" s="1">
        <v>25177</v>
      </c>
    </row>
    <row r="347" spans="1:7" x14ac:dyDescent="0.35">
      <c r="A347" s="1" t="str">
        <f t="shared" si="5"/>
        <v>11 Cefuroxime ND 1</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3618</v>
      </c>
      <c r="D347" s="1" t="s">
        <v>991</v>
      </c>
      <c r="E347" s="1" t="s">
        <v>3619</v>
      </c>
      <c r="F347" s="1" t="s">
        <v>112</v>
      </c>
      <c r="G347" s="1">
        <v>392366</v>
      </c>
    </row>
    <row r="348" spans="1:7" x14ac:dyDescent="0.35">
      <c r="A348" s="1" t="str">
        <f t="shared" si="5"/>
        <v>11 Cefuroxime ND 1</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3620</v>
      </c>
    </row>
    <row r="349" spans="1:7" x14ac:dyDescent="0.35">
      <c r="A349" s="1" t="str">
        <f t="shared" si="5"/>
        <v>11 Cefuroxime ND 1</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3621</v>
      </c>
      <c r="D349" s="1" t="s">
        <v>2357</v>
      </c>
      <c r="E349" s="1" t="s">
        <v>3622</v>
      </c>
      <c r="F349" s="1" t="s">
        <v>112</v>
      </c>
      <c r="G349" s="1">
        <v>88185</v>
      </c>
    </row>
    <row r="350" spans="1:7" x14ac:dyDescent="0.35">
      <c r="A350" s="1" t="str">
        <f t="shared" si="5"/>
        <v>11 Cefuroxime ND 1</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3623</v>
      </c>
      <c r="D350" s="1" t="s">
        <v>981</v>
      </c>
      <c r="E350" s="1" t="s">
        <v>3624</v>
      </c>
      <c r="F350" s="1" t="s">
        <v>112</v>
      </c>
      <c r="G350" s="1">
        <v>18256</v>
      </c>
    </row>
    <row r="351" spans="1:7" x14ac:dyDescent="0.35">
      <c r="A351" s="1" t="str">
        <f t="shared" si="5"/>
        <v>11 Cefuroxime ND 1</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3625</v>
      </c>
      <c r="D351" s="1" t="s">
        <v>181</v>
      </c>
      <c r="E351" s="1" t="s">
        <v>1766</v>
      </c>
      <c r="F351" s="1" t="s">
        <v>112</v>
      </c>
      <c r="G351" s="1">
        <v>26735</v>
      </c>
    </row>
    <row r="352" spans="1:7" x14ac:dyDescent="0.35">
      <c r="A352" s="1" t="str">
        <f t="shared" si="5"/>
        <v>11 Cefuroxime ND 1</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3626</v>
      </c>
      <c r="D352" s="1" t="s">
        <v>302</v>
      </c>
      <c r="E352" s="1" t="s">
        <v>3627</v>
      </c>
      <c r="F352" s="1" t="s">
        <v>112</v>
      </c>
      <c r="G352" s="1">
        <v>22625</v>
      </c>
    </row>
    <row r="353" spans="1:10" x14ac:dyDescent="0.35">
      <c r="A353" s="1" t="str">
        <f t="shared" si="5"/>
        <v>11 Cefuroxime ND 1</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3628</v>
      </c>
      <c r="D353" s="1" t="s">
        <v>751</v>
      </c>
      <c r="E353" s="1" t="s">
        <v>3629</v>
      </c>
      <c r="F353" s="1" t="s">
        <v>112</v>
      </c>
      <c r="G353" s="1">
        <v>9777</v>
      </c>
    </row>
    <row r="354" spans="1:10" x14ac:dyDescent="0.35">
      <c r="A354" s="1" t="str">
        <f t="shared" si="5"/>
        <v>11 Cefuroxime ND 1</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3630</v>
      </c>
    </row>
    <row r="355" spans="1:10" x14ac:dyDescent="0.35">
      <c r="A355" s="1" t="str">
        <f t="shared" si="5"/>
        <v>11 Cefuroxime ND 1</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3631</v>
      </c>
      <c r="D355" s="1" t="s">
        <v>751</v>
      </c>
      <c r="E355" s="1">
        <v>63</v>
      </c>
      <c r="F355" s="1" t="s">
        <v>112</v>
      </c>
      <c r="G355" s="1">
        <v>9539</v>
      </c>
    </row>
    <row r="356" spans="1:10"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234</v>
      </c>
      <c r="D357" s="1" t="s">
        <v>112</v>
      </c>
      <c r="E357" s="1" t="s">
        <v>235</v>
      </c>
      <c r="F357" s="1" t="s">
        <v>236</v>
      </c>
      <c r="G357" s="1" t="s">
        <v>237</v>
      </c>
      <c r="H357" s="1" t="s">
        <v>238</v>
      </c>
      <c r="I357" s="1" t="s">
        <v>239</v>
      </c>
      <c r="J357" s="1" t="s">
        <v>240</v>
      </c>
    </row>
    <row r="358" spans="1:10" x14ac:dyDescent="0.35">
      <c r="A358" s="1" t="str">
        <f t="shared" si="5"/>
        <v>11 Cefuroxime ND 1</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3632</v>
      </c>
      <c r="D358" s="1" t="s">
        <v>112</v>
      </c>
      <c r="E358" s="1" t="s">
        <v>3633</v>
      </c>
      <c r="F358" s="1" t="s">
        <v>3634</v>
      </c>
      <c r="G358" s="1" t="s">
        <v>3635</v>
      </c>
      <c r="H358" s="1" t="s">
        <v>3636</v>
      </c>
      <c r="I358" s="1">
        <v>24</v>
      </c>
      <c r="J358" s="1">
        <v>24</v>
      </c>
    </row>
    <row r="359" spans="1:10"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246</v>
      </c>
      <c r="D364" s="1" t="s">
        <v>110</v>
      </c>
      <c r="E364" s="1" t="s">
        <v>111</v>
      </c>
      <c r="F364" s="1" t="s">
        <v>112</v>
      </c>
      <c r="G364" s="1" t="s">
        <v>113</v>
      </c>
    </row>
    <row r="365" spans="1:10" x14ac:dyDescent="0.35">
      <c r="A365" s="1" t="str">
        <f t="shared" si="5"/>
        <v>12 Cefuroxime ND 10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3637</v>
      </c>
      <c r="D365" s="1" t="s">
        <v>803</v>
      </c>
      <c r="E365" s="1" t="s">
        <v>3638</v>
      </c>
      <c r="F365" s="1" t="s">
        <v>112</v>
      </c>
      <c r="G365" s="1">
        <v>34781</v>
      </c>
    </row>
    <row r="366" spans="1:10" x14ac:dyDescent="0.35">
      <c r="A366" s="1" t="str">
        <f t="shared" si="5"/>
        <v>12 Cefuroxime ND 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3639</v>
      </c>
      <c r="D366" s="1" t="s">
        <v>739</v>
      </c>
      <c r="E366" s="1" t="s">
        <v>2268</v>
      </c>
      <c r="F366" s="1" t="s">
        <v>112</v>
      </c>
      <c r="G366" s="1">
        <v>33094</v>
      </c>
    </row>
    <row r="367" spans="1:10" x14ac:dyDescent="0.35">
      <c r="A367" s="1" t="str">
        <f t="shared" si="5"/>
        <v>12 Cefuroxime ND 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3640</v>
      </c>
      <c r="D367" s="1" t="s">
        <v>3641</v>
      </c>
      <c r="E367" s="1" t="s">
        <v>3642</v>
      </c>
      <c r="F367" s="1" t="s">
        <v>112</v>
      </c>
      <c r="G367" s="1">
        <v>336431</v>
      </c>
    </row>
    <row r="368" spans="1:10" x14ac:dyDescent="0.35">
      <c r="A368" s="1" t="str">
        <f t="shared" si="5"/>
        <v>12 Cefuroxime ND 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3643</v>
      </c>
      <c r="D368" s="1" t="s">
        <v>3186</v>
      </c>
      <c r="E368" s="1" t="s">
        <v>3644</v>
      </c>
      <c r="F368" s="1" t="s">
        <v>112</v>
      </c>
      <c r="G368" s="1">
        <v>162376</v>
      </c>
    </row>
    <row r="369" spans="1:7" x14ac:dyDescent="0.35">
      <c r="A369" s="1" t="str">
        <f t="shared" si="5"/>
        <v>12 Cefuroxime ND 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3645</v>
      </c>
      <c r="D369" s="1" t="s">
        <v>1269</v>
      </c>
      <c r="E369" s="1" t="s">
        <v>3646</v>
      </c>
      <c r="F369" s="1" t="s">
        <v>112</v>
      </c>
      <c r="G369" s="1">
        <v>70167</v>
      </c>
    </row>
    <row r="370" spans="1:7" x14ac:dyDescent="0.35">
      <c r="A370" s="1" t="str">
        <f t="shared" si="5"/>
        <v>12 Cefuroxime ND 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3647</v>
      </c>
      <c r="D370" s="1" t="s">
        <v>201</v>
      </c>
      <c r="E370" s="1" t="s">
        <v>3648</v>
      </c>
      <c r="F370" s="1" t="s">
        <v>112</v>
      </c>
      <c r="G370" s="1">
        <v>78149</v>
      </c>
    </row>
    <row r="371" spans="1:7" x14ac:dyDescent="0.35">
      <c r="A371" s="1" t="str">
        <f t="shared" si="5"/>
        <v>12 Cefuroxime ND 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3649</v>
      </c>
      <c r="D371" s="1" t="s">
        <v>181</v>
      </c>
      <c r="E371" s="1" t="s">
        <v>1239</v>
      </c>
      <c r="F371" s="1" t="s">
        <v>112</v>
      </c>
      <c r="G371" s="1">
        <v>26042</v>
      </c>
    </row>
    <row r="372" spans="1:7" x14ac:dyDescent="0.35">
      <c r="A372" s="1" t="str">
        <f t="shared" si="5"/>
        <v>12 Cefuroxime ND 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3650</v>
      </c>
      <c r="D372" s="1" t="s">
        <v>736</v>
      </c>
      <c r="E372" s="1" t="s">
        <v>3651</v>
      </c>
      <c r="F372" s="1" t="s">
        <v>112</v>
      </c>
      <c r="G372" s="1">
        <v>216775</v>
      </c>
    </row>
    <row r="373" spans="1:7" x14ac:dyDescent="0.35">
      <c r="A373" s="1" t="str">
        <f t="shared" si="5"/>
        <v>12 Cefuroxime ND 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3652</v>
      </c>
      <c r="D373" s="1" t="s">
        <v>3653</v>
      </c>
      <c r="E373" s="1" t="s">
        <v>3654</v>
      </c>
      <c r="F373" s="1" t="s">
        <v>112</v>
      </c>
      <c r="G373" s="1">
        <v>137415</v>
      </c>
    </row>
    <row r="374" spans="1:7" x14ac:dyDescent="0.35">
      <c r="A374" s="1" t="str">
        <f t="shared" si="5"/>
        <v>12 Cefuroxime ND 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3655</v>
      </c>
    </row>
    <row r="375" spans="1:7" x14ac:dyDescent="0.35">
      <c r="A375" s="1" t="str">
        <f t="shared" si="5"/>
        <v>12 Cefuroxime ND 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3656</v>
      </c>
    </row>
    <row r="376" spans="1:7" x14ac:dyDescent="0.35">
      <c r="A376" s="1" t="str">
        <f t="shared" si="5"/>
        <v>12 Cefuroxime ND 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3657</v>
      </c>
    </row>
    <row r="377" spans="1:7" x14ac:dyDescent="0.35">
      <c r="A377" s="1" t="str">
        <f t="shared" si="5"/>
        <v>12 Cefuroxime ND 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3658</v>
      </c>
      <c r="D377" s="1" t="s">
        <v>3659</v>
      </c>
      <c r="E377" s="1" t="s">
        <v>3660</v>
      </c>
      <c r="F377" s="1" t="s">
        <v>112</v>
      </c>
      <c r="G377" s="1">
        <v>424119</v>
      </c>
    </row>
    <row r="378" spans="1:7" x14ac:dyDescent="0.35">
      <c r="A378" s="1" t="str">
        <f t="shared" si="5"/>
        <v>12 Cefuroxime ND 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3661</v>
      </c>
      <c r="D378" s="1" t="s">
        <v>3662</v>
      </c>
      <c r="E378" s="1" t="s">
        <v>3663</v>
      </c>
      <c r="F378" s="1" t="s">
        <v>112</v>
      </c>
      <c r="G378" s="1">
        <v>633994</v>
      </c>
    </row>
    <row r="379" spans="1:7" x14ac:dyDescent="0.35">
      <c r="A379" s="1" t="str">
        <f t="shared" si="5"/>
        <v>12 Cefuroxime ND 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3664</v>
      </c>
      <c r="D379" s="1" t="s">
        <v>3665</v>
      </c>
      <c r="E379" s="1" t="s">
        <v>3666</v>
      </c>
      <c r="F379" s="1" t="s">
        <v>112</v>
      </c>
      <c r="G379" s="1">
        <v>534907</v>
      </c>
    </row>
    <row r="380" spans="1:7" x14ac:dyDescent="0.35">
      <c r="A380" s="1" t="str">
        <f t="shared" si="5"/>
        <v>12 Cefuroxime ND 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3667</v>
      </c>
      <c r="D380" s="1" t="s">
        <v>206</v>
      </c>
      <c r="E380" s="1" t="s">
        <v>3668</v>
      </c>
      <c r="F380" s="1" t="s">
        <v>112</v>
      </c>
      <c r="G380" s="1">
        <v>12870</v>
      </c>
    </row>
    <row r="381" spans="1:7" x14ac:dyDescent="0.35">
      <c r="A381" s="1" t="str">
        <f t="shared" si="5"/>
        <v>12 Cefuroxime ND 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3669</v>
      </c>
      <c r="D381" s="1" t="s">
        <v>710</v>
      </c>
      <c r="E381" s="1" t="s">
        <v>711</v>
      </c>
      <c r="F381" s="1" t="s">
        <v>112</v>
      </c>
      <c r="G381" s="1">
        <v>16417</v>
      </c>
    </row>
    <row r="382" spans="1:7" x14ac:dyDescent="0.35">
      <c r="A382" s="1" t="str">
        <f t="shared" si="5"/>
        <v>12 Cefuroxime ND 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3670</v>
      </c>
      <c r="D382" s="1" t="s">
        <v>302</v>
      </c>
      <c r="E382" s="1" t="s">
        <v>3671</v>
      </c>
      <c r="F382" s="1" t="s">
        <v>112</v>
      </c>
      <c r="G382" s="1">
        <v>23490</v>
      </c>
    </row>
    <row r="383" spans="1:7" x14ac:dyDescent="0.35">
      <c r="A383" s="1" t="str">
        <f t="shared" si="5"/>
        <v>12 Cefuroxime ND 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3672</v>
      </c>
      <c r="D383" s="1" t="s">
        <v>818</v>
      </c>
      <c r="E383" s="1" t="s">
        <v>3673</v>
      </c>
      <c r="F383" s="1" t="s">
        <v>112</v>
      </c>
      <c r="G383" s="1">
        <v>8717</v>
      </c>
    </row>
    <row r="384" spans="1:7" x14ac:dyDescent="0.35">
      <c r="A384" s="1" t="str">
        <f t="shared" si="5"/>
        <v>12 Cefuroxime ND 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3674</v>
      </c>
      <c r="D384" s="1" t="s">
        <v>806</v>
      </c>
      <c r="E384" s="1" t="s">
        <v>3675</v>
      </c>
      <c r="F384" s="1" t="s">
        <v>112</v>
      </c>
      <c r="G384" s="1">
        <v>13648</v>
      </c>
    </row>
    <row r="385" spans="1:10" x14ac:dyDescent="0.35">
      <c r="A385" s="1" t="str">
        <f t="shared" si="5"/>
        <v>12 Cefuroxime ND 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3676</v>
      </c>
      <c r="D385" s="1" t="s">
        <v>190</v>
      </c>
      <c r="E385" s="1" t="s">
        <v>3677</v>
      </c>
      <c r="F385" s="1" t="s">
        <v>112</v>
      </c>
      <c r="G385" s="1">
        <v>19056</v>
      </c>
    </row>
    <row r="386" spans="1:10" x14ac:dyDescent="0.35">
      <c r="A386" s="1" t="str">
        <f t="shared" ref="A386:A449" si="6">IFERROR(LEFT(RIGHT(C386,LEN(C386)-SEARCH("@",C386)),SEARCH("/",RIGHT(C386,LEN(C386)-SEARCH("@",C386)-1))),"")</f>
        <v>12 Cefuroxime ND 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3678</v>
      </c>
      <c r="D386" s="1" t="s">
        <v>774</v>
      </c>
      <c r="E386" s="1" t="s">
        <v>3679</v>
      </c>
      <c r="F386" s="1" t="s">
        <v>112</v>
      </c>
      <c r="G386" s="1">
        <v>122360</v>
      </c>
    </row>
    <row r="387" spans="1:10" x14ac:dyDescent="0.35">
      <c r="A387" s="1" t="str">
        <f t="shared" si="6"/>
        <v>12 Cefuroxime ND 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3680</v>
      </c>
      <c r="D387" s="1" t="s">
        <v>780</v>
      </c>
      <c r="E387" s="1" t="s">
        <v>3681</v>
      </c>
      <c r="F387" s="1" t="s">
        <v>112</v>
      </c>
      <c r="G387" s="1">
        <v>87298</v>
      </c>
    </row>
    <row r="388" spans="1:10" x14ac:dyDescent="0.35">
      <c r="A388" s="1" t="str">
        <f t="shared" si="6"/>
        <v>12 Cefuroxime ND 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3682</v>
      </c>
      <c r="D388" s="1" t="s">
        <v>181</v>
      </c>
      <c r="E388" s="1" t="s">
        <v>3683</v>
      </c>
      <c r="F388" s="1" t="s">
        <v>112</v>
      </c>
      <c r="G388" s="1">
        <v>26972</v>
      </c>
    </row>
    <row r="389" spans="1:10"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234</v>
      </c>
      <c r="D390" s="1" t="s">
        <v>112</v>
      </c>
      <c r="E390" s="1" t="s">
        <v>235</v>
      </c>
      <c r="F390" s="1" t="s">
        <v>236</v>
      </c>
      <c r="G390" s="1" t="s">
        <v>237</v>
      </c>
      <c r="H390" s="1" t="s">
        <v>238</v>
      </c>
      <c r="I390" s="1" t="s">
        <v>239</v>
      </c>
      <c r="J390" s="1" t="s">
        <v>240</v>
      </c>
    </row>
    <row r="391" spans="1:10" x14ac:dyDescent="0.35">
      <c r="A391" s="1" t="str">
        <f t="shared" si="6"/>
        <v>12 Cefuroxime ND 10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3684</v>
      </c>
      <c r="D391" s="1" t="s">
        <v>112</v>
      </c>
      <c r="E391" s="1" t="s">
        <v>3685</v>
      </c>
      <c r="F391" s="1" t="s">
        <v>3686</v>
      </c>
      <c r="G391" s="1" t="s">
        <v>3687</v>
      </c>
      <c r="H391" s="1" t="s">
        <v>3688</v>
      </c>
      <c r="I391" s="1">
        <v>24</v>
      </c>
      <c r="J391" s="1">
        <v>24</v>
      </c>
    </row>
    <row r="392" spans="1:10"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246</v>
      </c>
      <c r="D397" s="1" t="s">
        <v>110</v>
      </c>
      <c r="E397" s="1" t="s">
        <v>111</v>
      </c>
      <c r="F397" s="1" t="s">
        <v>112</v>
      </c>
      <c r="G397" s="1" t="s">
        <v>113</v>
      </c>
    </row>
    <row r="398" spans="1:10" x14ac:dyDescent="0.35">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3689</v>
      </c>
    </row>
    <row r="399" spans="1:10" x14ac:dyDescent="0.35">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3690</v>
      </c>
      <c r="D399" s="1" t="s">
        <v>3691</v>
      </c>
      <c r="E399" s="1" t="s">
        <v>3692</v>
      </c>
      <c r="F399" s="1" t="s">
        <v>112</v>
      </c>
      <c r="G399" s="1">
        <v>3082693</v>
      </c>
    </row>
    <row r="400" spans="1:10" x14ac:dyDescent="0.35">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3693</v>
      </c>
      <c r="D400" s="1" t="s">
        <v>1345</v>
      </c>
      <c r="E400" s="1" t="s">
        <v>3694</v>
      </c>
      <c r="F400" s="1" t="s">
        <v>112</v>
      </c>
      <c r="G400" s="1">
        <v>2828887</v>
      </c>
    </row>
    <row r="401" spans="1:7" x14ac:dyDescent="0.35">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3695</v>
      </c>
      <c r="D401" s="1" t="s">
        <v>248</v>
      </c>
      <c r="E401" s="1" t="s">
        <v>3696</v>
      </c>
      <c r="F401" s="1" t="s">
        <v>112</v>
      </c>
      <c r="G401" s="1">
        <v>235030</v>
      </c>
    </row>
    <row r="402" spans="1:7" x14ac:dyDescent="0.35">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3697</v>
      </c>
      <c r="D402" s="1" t="s">
        <v>3698</v>
      </c>
      <c r="E402" s="1" t="s">
        <v>3699</v>
      </c>
      <c r="F402" s="1" t="s">
        <v>112</v>
      </c>
      <c r="G402" s="1">
        <v>533242</v>
      </c>
    </row>
    <row r="403" spans="1:7" x14ac:dyDescent="0.35">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3700</v>
      </c>
      <c r="D403" s="1" t="s">
        <v>3701</v>
      </c>
      <c r="E403" s="1" t="s">
        <v>3702</v>
      </c>
      <c r="F403" s="1" t="s">
        <v>112</v>
      </c>
      <c r="G403" s="1">
        <v>421848</v>
      </c>
    </row>
    <row r="404" spans="1:7" x14ac:dyDescent="0.35">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3703</v>
      </c>
    </row>
    <row r="405" spans="1:7" x14ac:dyDescent="0.35">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3704</v>
      </c>
      <c r="D405" s="1" t="s">
        <v>3705</v>
      </c>
      <c r="E405" s="1" t="s">
        <v>3706</v>
      </c>
      <c r="F405" s="1" t="s">
        <v>112</v>
      </c>
      <c r="G405" s="1">
        <v>2173848</v>
      </c>
    </row>
    <row r="406" spans="1:7" x14ac:dyDescent="0.35">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3707</v>
      </c>
      <c r="D406" s="1" t="s">
        <v>3708</v>
      </c>
      <c r="E406" s="1" t="s">
        <v>3709</v>
      </c>
      <c r="F406" s="1" t="s">
        <v>112</v>
      </c>
      <c r="G406" s="1">
        <v>2375157</v>
      </c>
    </row>
    <row r="407" spans="1:7" x14ac:dyDescent="0.35">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3710</v>
      </c>
      <c r="D407" s="1" t="s">
        <v>3711</v>
      </c>
      <c r="E407" s="1" t="s">
        <v>3712</v>
      </c>
      <c r="F407" s="1" t="s">
        <v>112</v>
      </c>
      <c r="G407" s="1">
        <v>1852622</v>
      </c>
    </row>
    <row r="408" spans="1:7" x14ac:dyDescent="0.35">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3713</v>
      </c>
      <c r="D408" s="1" t="s">
        <v>3714</v>
      </c>
      <c r="E408" s="1" t="s">
        <v>3715</v>
      </c>
      <c r="F408" s="1" t="s">
        <v>112</v>
      </c>
      <c r="G408" s="1">
        <v>1626546</v>
      </c>
    </row>
    <row r="409" spans="1:7" x14ac:dyDescent="0.35">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3716</v>
      </c>
      <c r="D409" s="1" t="s">
        <v>3717</v>
      </c>
      <c r="E409" s="1" t="s">
        <v>3718</v>
      </c>
      <c r="F409" s="1" t="s">
        <v>112</v>
      </c>
      <c r="G409" s="1">
        <v>1659813</v>
      </c>
    </row>
    <row r="410" spans="1:7" x14ac:dyDescent="0.35">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3719</v>
      </c>
      <c r="D410" s="1" t="s">
        <v>3720</v>
      </c>
      <c r="E410" s="1" t="s">
        <v>3721</v>
      </c>
      <c r="F410" s="1" t="s">
        <v>112</v>
      </c>
      <c r="G410" s="1">
        <v>3419946</v>
      </c>
    </row>
    <row r="411" spans="1:7" x14ac:dyDescent="0.35">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3722</v>
      </c>
      <c r="D411" s="1" t="s">
        <v>3723</v>
      </c>
      <c r="E411" s="1" t="s">
        <v>3724</v>
      </c>
      <c r="F411" s="1" t="s">
        <v>112</v>
      </c>
      <c r="G411" s="1">
        <v>3098244</v>
      </c>
    </row>
    <row r="412" spans="1:7" x14ac:dyDescent="0.35">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3725</v>
      </c>
      <c r="D412" s="1" t="s">
        <v>3726</v>
      </c>
      <c r="E412" s="1" t="s">
        <v>3727</v>
      </c>
      <c r="F412" s="1" t="s">
        <v>112</v>
      </c>
      <c r="G412" s="1">
        <v>3347442</v>
      </c>
    </row>
    <row r="413" spans="1:7" x14ac:dyDescent="0.35">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3728</v>
      </c>
      <c r="D413" s="1" t="s">
        <v>3729</v>
      </c>
      <c r="E413" s="1" t="s">
        <v>3730</v>
      </c>
      <c r="F413" s="1" t="s">
        <v>112</v>
      </c>
      <c r="G413" s="1">
        <v>4063197</v>
      </c>
    </row>
    <row r="414" spans="1:7" x14ac:dyDescent="0.35">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3731</v>
      </c>
      <c r="D414" s="1" t="s">
        <v>3732</v>
      </c>
      <c r="E414" s="1" t="s">
        <v>3733</v>
      </c>
      <c r="F414" s="1" t="s">
        <v>112</v>
      </c>
      <c r="G414" s="1">
        <v>3407098</v>
      </c>
    </row>
    <row r="415" spans="1:7" x14ac:dyDescent="0.35">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3734</v>
      </c>
      <c r="D415" s="1" t="s">
        <v>3735</v>
      </c>
      <c r="E415" s="1" t="s">
        <v>3736</v>
      </c>
      <c r="F415" s="1" t="s">
        <v>112</v>
      </c>
      <c r="G415" s="1">
        <v>3682619</v>
      </c>
    </row>
    <row r="416" spans="1:7" x14ac:dyDescent="0.35">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3737</v>
      </c>
      <c r="D416" s="1" t="s">
        <v>865</v>
      </c>
      <c r="E416" s="1" t="s">
        <v>3738</v>
      </c>
      <c r="F416" s="1" t="s">
        <v>112</v>
      </c>
      <c r="G416" s="1">
        <v>113925</v>
      </c>
    </row>
    <row r="417" spans="1:10" x14ac:dyDescent="0.35">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3739</v>
      </c>
      <c r="D417" s="1" t="s">
        <v>218</v>
      </c>
      <c r="E417" s="1" t="s">
        <v>3740</v>
      </c>
      <c r="F417" s="1" t="s">
        <v>112</v>
      </c>
      <c r="G417" s="1">
        <v>42351</v>
      </c>
    </row>
    <row r="418" spans="1:10" x14ac:dyDescent="0.35">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3741</v>
      </c>
      <c r="D418" s="1" t="s">
        <v>592</v>
      </c>
      <c r="E418" s="1" t="s">
        <v>2235</v>
      </c>
      <c r="F418" s="1" t="s">
        <v>112</v>
      </c>
      <c r="G418" s="1">
        <v>44558</v>
      </c>
    </row>
    <row r="419" spans="1:10" x14ac:dyDescent="0.35">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3742</v>
      </c>
    </row>
    <row r="420" spans="1:10" x14ac:dyDescent="0.35">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3743</v>
      </c>
      <c r="D420" s="1" t="s">
        <v>3144</v>
      </c>
      <c r="E420" s="1" t="s">
        <v>3744</v>
      </c>
      <c r="F420" s="1" t="s">
        <v>112</v>
      </c>
      <c r="G420" s="1">
        <v>2766766</v>
      </c>
    </row>
    <row r="421" spans="1:10" x14ac:dyDescent="0.35">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3745</v>
      </c>
      <c r="D421" s="1" t="s">
        <v>3746</v>
      </c>
      <c r="E421" s="1" t="s">
        <v>3747</v>
      </c>
      <c r="F421" s="1" t="s">
        <v>112</v>
      </c>
      <c r="G421" s="1">
        <v>2881340</v>
      </c>
    </row>
    <row r="422" spans="1:10"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234</v>
      </c>
      <c r="D423" s="1" t="s">
        <v>112</v>
      </c>
      <c r="E423" s="1" t="s">
        <v>235</v>
      </c>
      <c r="F423" s="1" t="s">
        <v>236</v>
      </c>
      <c r="G423" s="1" t="s">
        <v>237</v>
      </c>
      <c r="H423" s="1" t="s">
        <v>238</v>
      </c>
      <c r="I423" s="1" t="s">
        <v>239</v>
      </c>
      <c r="J423" s="1" t="s">
        <v>240</v>
      </c>
    </row>
    <row r="424" spans="1:10" x14ac:dyDescent="0.35">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3748</v>
      </c>
      <c r="D424" s="1" t="s">
        <v>112</v>
      </c>
      <c r="E424" s="1" t="s">
        <v>3749</v>
      </c>
      <c r="F424" s="1" t="s">
        <v>3750</v>
      </c>
      <c r="G424" s="1" t="s">
        <v>3751</v>
      </c>
      <c r="H424" s="1" t="s">
        <v>3752</v>
      </c>
      <c r="I424" s="1">
        <v>24</v>
      </c>
      <c r="J424" s="1">
        <v>24</v>
      </c>
    </row>
    <row r="425" spans="1:10"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246</v>
      </c>
      <c r="D430" s="1" t="s">
        <v>110</v>
      </c>
      <c r="E430" s="1" t="s">
        <v>111</v>
      </c>
      <c r="F430" s="1" t="s">
        <v>112</v>
      </c>
      <c r="G430" s="1" t="s">
        <v>113</v>
      </c>
    </row>
    <row r="431" spans="1:10" x14ac:dyDescent="0.35">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3753</v>
      </c>
      <c r="D431" s="1" t="s">
        <v>3754</v>
      </c>
      <c r="E431" s="1" t="s">
        <v>3755</v>
      </c>
      <c r="F431" s="1" t="s">
        <v>112</v>
      </c>
      <c r="G431" s="1">
        <v>2619770</v>
      </c>
    </row>
    <row r="432" spans="1:10" x14ac:dyDescent="0.35">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3756</v>
      </c>
    </row>
    <row r="433" spans="1:7" x14ac:dyDescent="0.35">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3757</v>
      </c>
    </row>
    <row r="434" spans="1:7" x14ac:dyDescent="0.35">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3758</v>
      </c>
      <c r="D434" s="1" t="s">
        <v>3759</v>
      </c>
      <c r="E434" s="1" t="s">
        <v>3760</v>
      </c>
      <c r="F434" s="1" t="s">
        <v>112</v>
      </c>
      <c r="G434" s="1">
        <v>2492889</v>
      </c>
    </row>
    <row r="435" spans="1:7" x14ac:dyDescent="0.35">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3761</v>
      </c>
      <c r="D435" s="1" t="s">
        <v>1573</v>
      </c>
      <c r="E435" s="1" t="s">
        <v>3762</v>
      </c>
      <c r="F435" s="1" t="s">
        <v>112</v>
      </c>
      <c r="G435" s="1">
        <v>1896963</v>
      </c>
    </row>
    <row r="436" spans="1:7" x14ac:dyDescent="0.35">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3763</v>
      </c>
      <c r="D436" s="1" t="s">
        <v>2460</v>
      </c>
      <c r="E436" s="1" t="s">
        <v>3764</v>
      </c>
      <c r="F436" s="1" t="s">
        <v>112</v>
      </c>
      <c r="G436" s="1">
        <v>1758597</v>
      </c>
    </row>
    <row r="437" spans="1:7" x14ac:dyDescent="0.35">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3765</v>
      </c>
    </row>
    <row r="438" spans="1:7" x14ac:dyDescent="0.35">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3766</v>
      </c>
      <c r="D438" s="1" t="s">
        <v>3767</v>
      </c>
      <c r="E438" s="1" t="s">
        <v>3768</v>
      </c>
      <c r="F438" s="1" t="s">
        <v>112</v>
      </c>
      <c r="G438" s="1">
        <v>3243943</v>
      </c>
    </row>
    <row r="439" spans="1:7" x14ac:dyDescent="0.35">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3769</v>
      </c>
      <c r="D439" s="1" t="s">
        <v>3770</v>
      </c>
      <c r="E439" s="1" t="s">
        <v>3771</v>
      </c>
      <c r="F439" s="1" t="s">
        <v>112</v>
      </c>
      <c r="G439" s="1">
        <v>3637586</v>
      </c>
    </row>
    <row r="440" spans="1:7" x14ac:dyDescent="0.35">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3772</v>
      </c>
      <c r="D440" s="1" t="s">
        <v>3773</v>
      </c>
      <c r="E440" s="1" t="s">
        <v>3774</v>
      </c>
      <c r="F440" s="1" t="s">
        <v>112</v>
      </c>
      <c r="G440" s="1">
        <v>1393030</v>
      </c>
    </row>
    <row r="441" spans="1:7" x14ac:dyDescent="0.35">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3775</v>
      </c>
      <c r="D441" s="1" t="s">
        <v>3776</v>
      </c>
      <c r="E441" s="1" t="s">
        <v>3777</v>
      </c>
      <c r="F441" s="1" t="s">
        <v>112</v>
      </c>
      <c r="G441" s="1">
        <v>1805902</v>
      </c>
    </row>
    <row r="442" spans="1:7" x14ac:dyDescent="0.35">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3778</v>
      </c>
      <c r="D442" s="1" t="s">
        <v>3779</v>
      </c>
      <c r="E442" s="1" t="s">
        <v>3780</v>
      </c>
      <c r="F442" s="1" t="s">
        <v>112</v>
      </c>
      <c r="G442" s="1">
        <v>1513249</v>
      </c>
    </row>
    <row r="443" spans="1:7" x14ac:dyDescent="0.35">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3781</v>
      </c>
      <c r="D443" s="1" t="s">
        <v>1999</v>
      </c>
      <c r="E443" s="1" t="s">
        <v>3782</v>
      </c>
      <c r="F443" s="1" t="s">
        <v>112</v>
      </c>
      <c r="G443" s="1">
        <v>1920951</v>
      </c>
    </row>
    <row r="444" spans="1:7" x14ac:dyDescent="0.35">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3783</v>
      </c>
      <c r="D444" s="1" t="s">
        <v>3784</v>
      </c>
      <c r="E444" s="1" t="s">
        <v>3785</v>
      </c>
      <c r="F444" s="1" t="s">
        <v>112</v>
      </c>
      <c r="G444" s="1">
        <v>1791647</v>
      </c>
    </row>
    <row r="445" spans="1:7" x14ac:dyDescent="0.35">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3786</v>
      </c>
      <c r="D445" s="1" t="s">
        <v>3787</v>
      </c>
      <c r="E445" s="1" t="s">
        <v>3788</v>
      </c>
      <c r="F445" s="1" t="s">
        <v>112</v>
      </c>
      <c r="G445" s="1">
        <v>1678155</v>
      </c>
    </row>
    <row r="446" spans="1:7" x14ac:dyDescent="0.35">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3789</v>
      </c>
      <c r="D446" s="1" t="s">
        <v>3790</v>
      </c>
      <c r="E446" s="1" t="s">
        <v>3791</v>
      </c>
      <c r="F446" s="1" t="s">
        <v>112</v>
      </c>
      <c r="G446" s="1">
        <v>3521239</v>
      </c>
    </row>
    <row r="447" spans="1:7" x14ac:dyDescent="0.35">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3792</v>
      </c>
      <c r="D447" s="1" t="s">
        <v>3793</v>
      </c>
      <c r="E447" s="1" t="s">
        <v>3794</v>
      </c>
      <c r="F447" s="1" t="s">
        <v>112</v>
      </c>
      <c r="G447" s="1">
        <v>3240353</v>
      </c>
    </row>
    <row r="448" spans="1:7" x14ac:dyDescent="0.35">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3795</v>
      </c>
      <c r="D448" s="1" t="s">
        <v>3796</v>
      </c>
      <c r="E448" s="1" t="s">
        <v>3797</v>
      </c>
      <c r="F448" s="1" t="s">
        <v>112</v>
      </c>
      <c r="G448" s="1">
        <v>3146717</v>
      </c>
    </row>
    <row r="449" spans="1:10" x14ac:dyDescent="0.35">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3798</v>
      </c>
    </row>
    <row r="450" spans="1:10" x14ac:dyDescent="0.35">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3799</v>
      </c>
      <c r="D450" s="1" t="s">
        <v>798</v>
      </c>
      <c r="E450" s="1" t="s">
        <v>3800</v>
      </c>
      <c r="F450" s="1" t="s">
        <v>112</v>
      </c>
      <c r="G450" s="1">
        <v>265420</v>
      </c>
    </row>
    <row r="451" spans="1:10" x14ac:dyDescent="0.35">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3801</v>
      </c>
      <c r="D451" s="1" t="s">
        <v>2330</v>
      </c>
      <c r="E451" s="1" t="s">
        <v>3802</v>
      </c>
      <c r="F451" s="1" t="s">
        <v>112</v>
      </c>
      <c r="G451" s="1">
        <v>287202</v>
      </c>
    </row>
    <row r="452" spans="1:10" x14ac:dyDescent="0.35">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3803</v>
      </c>
      <c r="D452" s="1" t="s">
        <v>1904</v>
      </c>
      <c r="E452" s="1" t="s">
        <v>3804</v>
      </c>
      <c r="F452" s="1" t="s">
        <v>112</v>
      </c>
      <c r="G452" s="1">
        <v>2186285</v>
      </c>
    </row>
    <row r="453" spans="1:10" x14ac:dyDescent="0.35">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3805</v>
      </c>
      <c r="D453" s="1" t="s">
        <v>1062</v>
      </c>
      <c r="E453" s="1" t="s">
        <v>3806</v>
      </c>
      <c r="F453" s="1" t="s">
        <v>112</v>
      </c>
      <c r="G453" s="1">
        <v>2304168</v>
      </c>
    </row>
    <row r="454" spans="1:10" x14ac:dyDescent="0.35">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3807</v>
      </c>
      <c r="D454" s="1" t="s">
        <v>3808</v>
      </c>
      <c r="E454" s="1" t="s">
        <v>3809</v>
      </c>
      <c r="F454" s="1" t="s">
        <v>112</v>
      </c>
      <c r="G454" s="1">
        <v>1901354</v>
      </c>
    </row>
    <row r="455" spans="1:10"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234</v>
      </c>
      <c r="D456" s="1" t="s">
        <v>112</v>
      </c>
      <c r="E456" s="1" t="s">
        <v>235</v>
      </c>
      <c r="F456" s="1" t="s">
        <v>236</v>
      </c>
      <c r="G456" s="1" t="s">
        <v>237</v>
      </c>
      <c r="H456" s="1" t="s">
        <v>238</v>
      </c>
      <c r="I456" s="1" t="s">
        <v>239</v>
      </c>
      <c r="J456" s="1" t="s">
        <v>240</v>
      </c>
    </row>
    <row r="457" spans="1:10" x14ac:dyDescent="0.35">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3810</v>
      </c>
      <c r="D457" s="1" t="s">
        <v>112</v>
      </c>
      <c r="E457" s="1" t="s">
        <v>3811</v>
      </c>
      <c r="F457" s="1" t="s">
        <v>3812</v>
      </c>
      <c r="G457" s="1" t="s">
        <v>3813</v>
      </c>
      <c r="H457" s="1" t="s">
        <v>3814</v>
      </c>
      <c r="I457" s="1">
        <v>24</v>
      </c>
      <c r="J457" s="1">
        <v>24</v>
      </c>
    </row>
    <row r="458" spans="1:10"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246</v>
      </c>
      <c r="D463" s="1" t="s">
        <v>110</v>
      </c>
      <c r="E463" s="1" t="s">
        <v>111</v>
      </c>
      <c r="F463" s="1" t="s">
        <v>112</v>
      </c>
      <c r="G463" s="1" t="s">
        <v>113</v>
      </c>
    </row>
    <row r="464" spans="1:10" x14ac:dyDescent="0.35">
      <c r="A464" s="1" t="str">
        <f t="shared" si="7"/>
        <v>03 Testo + FAD</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3815</v>
      </c>
      <c r="D464" s="1" t="s">
        <v>302</v>
      </c>
      <c r="E464" s="1" t="s">
        <v>2272</v>
      </c>
      <c r="F464" s="1" t="s">
        <v>112</v>
      </c>
      <c r="G464" s="1">
        <v>23209</v>
      </c>
    </row>
    <row r="465" spans="1:7" x14ac:dyDescent="0.35">
      <c r="A465" s="1" t="str">
        <f t="shared" si="7"/>
        <v>03 Testo + FAD</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3816</v>
      </c>
      <c r="D465" s="1" t="s">
        <v>736</v>
      </c>
      <c r="E465" s="1" t="s">
        <v>3817</v>
      </c>
      <c r="F465" s="1" t="s">
        <v>112</v>
      </c>
      <c r="G465" s="1">
        <v>223740</v>
      </c>
    </row>
    <row r="466" spans="1:7" x14ac:dyDescent="0.35">
      <c r="A466" s="1" t="str">
        <f t="shared" si="7"/>
        <v>03 Testo + FAD</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3818</v>
      </c>
      <c r="D466" s="1" t="s">
        <v>2274</v>
      </c>
      <c r="E466" s="1" t="s">
        <v>3819</v>
      </c>
      <c r="F466" s="1" t="s">
        <v>112</v>
      </c>
      <c r="G466" s="1">
        <v>53729</v>
      </c>
    </row>
    <row r="467" spans="1:7" x14ac:dyDescent="0.35">
      <c r="A467" s="1" t="str">
        <f t="shared" si="7"/>
        <v>03 Testo + FAD</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3820</v>
      </c>
      <c r="D467" s="1" t="s">
        <v>2147</v>
      </c>
      <c r="E467" s="1" t="s">
        <v>3821</v>
      </c>
      <c r="F467" s="1" t="s">
        <v>112</v>
      </c>
      <c r="G467" s="1">
        <v>127032</v>
      </c>
    </row>
    <row r="468" spans="1:7" x14ac:dyDescent="0.35">
      <c r="A468" s="1" t="str">
        <f t="shared" si="7"/>
        <v>03 Testo + FAD</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3822</v>
      </c>
      <c r="D468" s="1" t="s">
        <v>3823</v>
      </c>
      <c r="E468" s="1" t="s">
        <v>3824</v>
      </c>
      <c r="F468" s="1" t="s">
        <v>112</v>
      </c>
      <c r="G468" s="1">
        <v>346468</v>
      </c>
    </row>
    <row r="469" spans="1:7" x14ac:dyDescent="0.35">
      <c r="A469" s="1" t="str">
        <f t="shared" si="7"/>
        <v>03 Testo + FAD</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3825</v>
      </c>
      <c r="D469" s="1" t="s">
        <v>944</v>
      </c>
      <c r="E469" s="1" t="s">
        <v>3826</v>
      </c>
      <c r="F469" s="1" t="s">
        <v>112</v>
      </c>
      <c r="G469" s="1">
        <v>28422</v>
      </c>
    </row>
    <row r="470" spans="1:7" x14ac:dyDescent="0.35">
      <c r="A470" s="1" t="str">
        <f t="shared" si="7"/>
        <v>03 Testo + FAD</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3827</v>
      </c>
      <c r="D470" s="1" t="s">
        <v>713</v>
      </c>
      <c r="E470" s="1" t="s">
        <v>3828</v>
      </c>
      <c r="F470" s="1" t="s">
        <v>112</v>
      </c>
      <c r="G470" s="1">
        <v>37139</v>
      </c>
    </row>
    <row r="471" spans="1:7" x14ac:dyDescent="0.35">
      <c r="A471" s="1" t="str">
        <f t="shared" si="7"/>
        <v>03 Testo + FAD</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3829</v>
      </c>
      <c r="D471" s="1" t="s">
        <v>302</v>
      </c>
      <c r="E471" s="1" t="s">
        <v>3830</v>
      </c>
      <c r="F471" s="1" t="s">
        <v>112</v>
      </c>
      <c r="G471" s="1">
        <v>23057</v>
      </c>
    </row>
    <row r="472" spans="1:7" x14ac:dyDescent="0.35">
      <c r="A472" s="1" t="str">
        <f t="shared" si="7"/>
        <v>03 Testo + FAD</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3831</v>
      </c>
      <c r="D472" s="1" t="s">
        <v>887</v>
      </c>
      <c r="E472" s="1" t="s">
        <v>3832</v>
      </c>
      <c r="F472" s="1" t="s">
        <v>112</v>
      </c>
      <c r="G472" s="1">
        <v>147040</v>
      </c>
    </row>
    <row r="473" spans="1:7" x14ac:dyDescent="0.35">
      <c r="A473" s="1" t="str">
        <f t="shared" si="7"/>
        <v>03 Testo + FAD</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3833</v>
      </c>
      <c r="D473" s="1" t="s">
        <v>2998</v>
      </c>
      <c r="E473" s="1" t="s">
        <v>3834</v>
      </c>
      <c r="F473" s="1" t="s">
        <v>112</v>
      </c>
      <c r="G473" s="1">
        <v>94155</v>
      </c>
    </row>
    <row r="474" spans="1:7" x14ac:dyDescent="0.35">
      <c r="A474" s="1" t="str">
        <f t="shared" si="7"/>
        <v>03 Testo + FAD</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3835</v>
      </c>
      <c r="D474" s="1" t="s">
        <v>3552</v>
      </c>
      <c r="E474" s="1" t="s">
        <v>3836</v>
      </c>
      <c r="F474" s="1" t="s">
        <v>112</v>
      </c>
      <c r="G474" s="1">
        <v>162376</v>
      </c>
    </row>
    <row r="475" spans="1:7" x14ac:dyDescent="0.35">
      <c r="A475" s="1" t="str">
        <f t="shared" si="7"/>
        <v>03 Testo + FAD</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3837</v>
      </c>
      <c r="D475" s="1" t="s">
        <v>2320</v>
      </c>
      <c r="E475" s="1" t="s">
        <v>3838</v>
      </c>
      <c r="F475" s="1" t="s">
        <v>112</v>
      </c>
      <c r="G475" s="1">
        <v>195145</v>
      </c>
    </row>
    <row r="476" spans="1:7" x14ac:dyDescent="0.35">
      <c r="A476" s="1" t="str">
        <f t="shared" si="7"/>
        <v>03 Testo + FAD</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3839</v>
      </c>
      <c r="D476" s="1" t="s">
        <v>3018</v>
      </c>
      <c r="E476" s="1" t="s">
        <v>3840</v>
      </c>
      <c r="F476" s="1" t="s">
        <v>112</v>
      </c>
      <c r="G476" s="1">
        <v>230964</v>
      </c>
    </row>
    <row r="477" spans="1:7" x14ac:dyDescent="0.35">
      <c r="A477" s="1" t="str">
        <f t="shared" si="7"/>
        <v>03 Testo + FAD</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3841</v>
      </c>
      <c r="D477" s="1" t="s">
        <v>3027</v>
      </c>
      <c r="E477" s="1" t="s">
        <v>3842</v>
      </c>
      <c r="F477" s="1" t="s">
        <v>112</v>
      </c>
      <c r="G477" s="1">
        <v>594152</v>
      </c>
    </row>
    <row r="478" spans="1:7" x14ac:dyDescent="0.35">
      <c r="A478" s="1" t="str">
        <f t="shared" si="7"/>
        <v>03 Testo + FAD</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3843</v>
      </c>
      <c r="D478" s="1" t="s">
        <v>448</v>
      </c>
      <c r="E478" s="1" t="s">
        <v>3844</v>
      </c>
      <c r="F478" s="1" t="s">
        <v>112</v>
      </c>
      <c r="G478" s="1">
        <v>331803</v>
      </c>
    </row>
    <row r="479" spans="1:7" x14ac:dyDescent="0.35">
      <c r="A479" s="1" t="str">
        <f t="shared" si="7"/>
        <v>03 Testo + FAD</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3845</v>
      </c>
    </row>
    <row r="480" spans="1:7" x14ac:dyDescent="0.35">
      <c r="A480" s="1" t="str">
        <f t="shared" si="7"/>
        <v>03 Testo + FAD</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3846</v>
      </c>
      <c r="D480" s="1" t="s">
        <v>3847</v>
      </c>
      <c r="E480" s="1" t="s">
        <v>3848</v>
      </c>
      <c r="F480" s="1" t="s">
        <v>112</v>
      </c>
      <c r="G480" s="1">
        <v>150047</v>
      </c>
    </row>
    <row r="481" spans="1:10" x14ac:dyDescent="0.35">
      <c r="A481" s="1" t="str">
        <f t="shared" si="7"/>
        <v>03 Testo + FAD</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3849</v>
      </c>
      <c r="D481" s="1" t="s">
        <v>649</v>
      </c>
      <c r="E481" s="1" t="s">
        <v>3850</v>
      </c>
      <c r="F481" s="1" t="s">
        <v>112</v>
      </c>
      <c r="G481" s="1">
        <v>160991</v>
      </c>
    </row>
    <row r="482" spans="1:10" x14ac:dyDescent="0.35">
      <c r="A482" s="1" t="str">
        <f t="shared" si="7"/>
        <v>03 Testo + FAD</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3851</v>
      </c>
      <c r="D482" s="1" t="s">
        <v>806</v>
      </c>
      <c r="E482" s="1" t="s">
        <v>3611</v>
      </c>
      <c r="F482" s="1" t="s">
        <v>112</v>
      </c>
      <c r="G482" s="1">
        <v>13584</v>
      </c>
    </row>
    <row r="483" spans="1:10" x14ac:dyDescent="0.35">
      <c r="A483" s="1" t="str">
        <f t="shared" si="7"/>
        <v>03 Testo + FAD</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3852</v>
      </c>
      <c r="D483" s="1" t="s">
        <v>181</v>
      </c>
      <c r="E483" s="1">
        <v>63</v>
      </c>
      <c r="F483" s="1" t="s">
        <v>112</v>
      </c>
      <c r="G483" s="1">
        <v>25891</v>
      </c>
    </row>
    <row r="484" spans="1:10" x14ac:dyDescent="0.35">
      <c r="A484" s="1" t="str">
        <f t="shared" si="7"/>
        <v>03 Testo + FAD</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3853</v>
      </c>
      <c r="D484" s="1" t="s">
        <v>278</v>
      </c>
      <c r="E484" s="1" t="s">
        <v>829</v>
      </c>
      <c r="F484" s="1" t="s">
        <v>112</v>
      </c>
      <c r="G484" s="1">
        <v>29849</v>
      </c>
    </row>
    <row r="485" spans="1:10" x14ac:dyDescent="0.35">
      <c r="A485" s="1" t="str">
        <f t="shared" si="7"/>
        <v>03 Testo + FAD</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3854</v>
      </c>
      <c r="D485" s="1" t="s">
        <v>745</v>
      </c>
      <c r="E485" s="1" t="s">
        <v>3855</v>
      </c>
      <c r="F485" s="1" t="s">
        <v>112</v>
      </c>
      <c r="G485" s="1">
        <v>38696</v>
      </c>
    </row>
    <row r="486" spans="1:10" x14ac:dyDescent="0.35">
      <c r="A486" s="1" t="str">
        <f t="shared" si="7"/>
        <v>03 Testo + FAD</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3856</v>
      </c>
      <c r="D486" s="1" t="s">
        <v>710</v>
      </c>
      <c r="E486" s="1" t="s">
        <v>3857</v>
      </c>
      <c r="F486" s="1" t="s">
        <v>112</v>
      </c>
      <c r="G486" s="1">
        <v>16266</v>
      </c>
    </row>
    <row r="487" spans="1:10" x14ac:dyDescent="0.35">
      <c r="A487" s="1" t="str">
        <f t="shared" si="7"/>
        <v>03 Testo + FAD</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3858</v>
      </c>
      <c r="D487" s="1" t="s">
        <v>218</v>
      </c>
      <c r="E487" s="1" t="s">
        <v>2135</v>
      </c>
      <c r="F487" s="1" t="s">
        <v>112</v>
      </c>
      <c r="G487" s="1">
        <v>43325</v>
      </c>
    </row>
    <row r="488" spans="1:10"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234</v>
      </c>
      <c r="D489" s="1" t="s">
        <v>112</v>
      </c>
      <c r="E489" s="1" t="s">
        <v>235</v>
      </c>
      <c r="F489" s="1" t="s">
        <v>236</v>
      </c>
      <c r="G489" s="1" t="s">
        <v>237</v>
      </c>
      <c r="H489" s="1" t="s">
        <v>238</v>
      </c>
      <c r="I489" s="1" t="s">
        <v>239</v>
      </c>
      <c r="J489" s="1" t="s">
        <v>240</v>
      </c>
    </row>
    <row r="490" spans="1:10" x14ac:dyDescent="0.35">
      <c r="A490" s="1" t="str">
        <f t="shared" si="7"/>
        <v>03 Testo + FAD</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3859</v>
      </c>
      <c r="D490" s="1" t="s">
        <v>112</v>
      </c>
      <c r="E490" s="1" t="s">
        <v>3860</v>
      </c>
      <c r="F490" s="1" t="s">
        <v>3861</v>
      </c>
      <c r="G490" s="1" t="s">
        <v>3862</v>
      </c>
      <c r="H490" s="1" t="s">
        <v>3863</v>
      </c>
      <c r="I490" s="1">
        <v>24</v>
      </c>
      <c r="J490" s="1">
        <v>24</v>
      </c>
    </row>
    <row r="491" spans="1:10"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246</v>
      </c>
      <c r="D496" s="1" t="s">
        <v>110</v>
      </c>
      <c r="E496" s="1" t="s">
        <v>111</v>
      </c>
      <c r="F496" s="1" t="s">
        <v>112</v>
      </c>
      <c r="G496" s="1" t="s">
        <v>113</v>
      </c>
    </row>
    <row r="497" spans="1:7" x14ac:dyDescent="0.35">
      <c r="A497" s="1" t="str">
        <f t="shared" si="7"/>
        <v>04 Testo + E2</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3864</v>
      </c>
      <c r="D497" s="1" t="s">
        <v>2600</v>
      </c>
      <c r="E497" s="1" t="s">
        <v>3865</v>
      </c>
      <c r="F497" s="1" t="s">
        <v>112</v>
      </c>
      <c r="G497" s="1">
        <v>3078518</v>
      </c>
    </row>
    <row r="498" spans="1:7" x14ac:dyDescent="0.35">
      <c r="A498" s="1" t="str">
        <f t="shared" si="7"/>
        <v>04 Testo + E2</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3866</v>
      </c>
      <c r="D498" s="1" t="s">
        <v>3867</v>
      </c>
      <c r="E498" s="1" t="s">
        <v>3868</v>
      </c>
      <c r="F498" s="1" t="s">
        <v>112</v>
      </c>
      <c r="G498" s="1">
        <v>2620938</v>
      </c>
    </row>
    <row r="499" spans="1:7" x14ac:dyDescent="0.35">
      <c r="A499" s="1" t="str">
        <f t="shared" si="7"/>
        <v>04 Testo + E2</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3869</v>
      </c>
      <c r="D499" s="1" t="s">
        <v>3870</v>
      </c>
      <c r="E499" s="1" t="s">
        <v>3871</v>
      </c>
      <c r="F499" s="1" t="s">
        <v>112</v>
      </c>
      <c r="G499" s="1">
        <v>2201209</v>
      </c>
    </row>
    <row r="500" spans="1:7" x14ac:dyDescent="0.35">
      <c r="A500" s="1" t="str">
        <f t="shared" si="7"/>
        <v>04 Testo + E2</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3872</v>
      </c>
      <c r="D500" s="1" t="s">
        <v>3873</v>
      </c>
      <c r="E500" s="1" t="s">
        <v>3874</v>
      </c>
      <c r="F500" s="1" t="s">
        <v>112</v>
      </c>
      <c r="G500" s="1">
        <v>2943180</v>
      </c>
    </row>
    <row r="501" spans="1:7" x14ac:dyDescent="0.35">
      <c r="A501" s="1" t="str">
        <f t="shared" si="7"/>
        <v>04 Testo + E2</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3875</v>
      </c>
      <c r="D501" s="1" t="s">
        <v>3876</v>
      </c>
      <c r="E501" s="1" t="s">
        <v>3877</v>
      </c>
      <c r="F501" s="1" t="s">
        <v>112</v>
      </c>
      <c r="G501" s="1">
        <v>3893208</v>
      </c>
    </row>
    <row r="502" spans="1:7" x14ac:dyDescent="0.35">
      <c r="A502" s="1" t="str">
        <f t="shared" si="7"/>
        <v>04 Testo + E2</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3878</v>
      </c>
      <c r="D502" s="1" t="s">
        <v>3879</v>
      </c>
      <c r="E502" s="1" t="s">
        <v>3880</v>
      </c>
      <c r="F502" s="1" t="s">
        <v>112</v>
      </c>
      <c r="G502" s="1">
        <v>2903684</v>
      </c>
    </row>
    <row r="503" spans="1:7" x14ac:dyDescent="0.35">
      <c r="A503" s="1" t="str">
        <f t="shared" si="7"/>
        <v>04 Testo + E2</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3881</v>
      </c>
      <c r="D503" s="1" t="s">
        <v>3882</v>
      </c>
      <c r="E503" s="1" t="s">
        <v>3883</v>
      </c>
      <c r="F503" s="1" t="s">
        <v>112</v>
      </c>
      <c r="G503" s="1">
        <v>1760911</v>
      </c>
    </row>
    <row r="504" spans="1:7" x14ac:dyDescent="0.35">
      <c r="A504" s="1" t="str">
        <f t="shared" si="7"/>
        <v>04 Testo + E2</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3884</v>
      </c>
      <c r="D504" s="1" t="s">
        <v>2884</v>
      </c>
      <c r="E504" s="1" t="s">
        <v>3885</v>
      </c>
      <c r="F504" s="1" t="s">
        <v>112</v>
      </c>
      <c r="G504" s="1">
        <v>1581924</v>
      </c>
    </row>
    <row r="505" spans="1:7" x14ac:dyDescent="0.35">
      <c r="A505" s="1" t="str">
        <f t="shared" si="7"/>
        <v>04 Testo + E2</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3886</v>
      </c>
      <c r="D505" s="1" t="s">
        <v>162</v>
      </c>
      <c r="E505" s="1" t="s">
        <v>3887</v>
      </c>
      <c r="F505" s="1" t="s">
        <v>112</v>
      </c>
      <c r="G505" s="1">
        <v>1592847</v>
      </c>
    </row>
    <row r="506" spans="1:7" x14ac:dyDescent="0.35">
      <c r="A506" s="1" t="str">
        <f t="shared" si="7"/>
        <v>04 Testo + E2</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3888</v>
      </c>
      <c r="D506" s="1" t="s">
        <v>3889</v>
      </c>
      <c r="E506" s="1" t="s">
        <v>3890</v>
      </c>
      <c r="F506" s="1" t="s">
        <v>112</v>
      </c>
      <c r="G506" s="1">
        <v>917865</v>
      </c>
    </row>
    <row r="507" spans="1:7" x14ac:dyDescent="0.35">
      <c r="A507" s="1" t="str">
        <f t="shared" si="7"/>
        <v>04 Testo + E2</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3891</v>
      </c>
      <c r="D507" s="1" t="s">
        <v>3892</v>
      </c>
      <c r="E507" s="1" t="s">
        <v>3893</v>
      </c>
      <c r="F507" s="1" t="s">
        <v>112</v>
      </c>
      <c r="G507" s="1">
        <v>886588</v>
      </c>
    </row>
    <row r="508" spans="1:7" x14ac:dyDescent="0.35">
      <c r="A508" s="1" t="str">
        <f t="shared" si="7"/>
        <v>04 Testo + E2</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3894</v>
      </c>
      <c r="D508" s="1" t="s">
        <v>2948</v>
      </c>
      <c r="E508" s="1" t="s">
        <v>3895</v>
      </c>
      <c r="F508" s="1" t="s">
        <v>112</v>
      </c>
      <c r="G508" s="1">
        <v>874194</v>
      </c>
    </row>
    <row r="509" spans="1:7" x14ac:dyDescent="0.35">
      <c r="A509" s="1" t="str">
        <f t="shared" si="7"/>
        <v>04 Testo + E2</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3896</v>
      </c>
      <c r="D509" s="1" t="s">
        <v>3897</v>
      </c>
      <c r="E509" s="1" t="s">
        <v>3898</v>
      </c>
      <c r="F509" s="1" t="s">
        <v>112</v>
      </c>
      <c r="G509" s="1">
        <v>3446983</v>
      </c>
    </row>
    <row r="510" spans="1:7" x14ac:dyDescent="0.35">
      <c r="A510" s="1" t="str">
        <f t="shared" si="7"/>
        <v>04 Testo + E2</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3899</v>
      </c>
      <c r="D510" s="1" t="s">
        <v>3900</v>
      </c>
      <c r="E510" s="1" t="s">
        <v>3901</v>
      </c>
      <c r="F510" s="1" t="s">
        <v>112</v>
      </c>
      <c r="G510" s="1">
        <v>3333059</v>
      </c>
    </row>
    <row r="511" spans="1:7" x14ac:dyDescent="0.35">
      <c r="A511" s="1" t="str">
        <f t="shared" si="7"/>
        <v>04 Testo + E2</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3902</v>
      </c>
      <c r="D511" s="1" t="s">
        <v>3903</v>
      </c>
      <c r="E511" s="1" t="s">
        <v>3904</v>
      </c>
      <c r="F511" s="1" t="s">
        <v>112</v>
      </c>
      <c r="G511" s="1">
        <v>3083925</v>
      </c>
    </row>
    <row r="512" spans="1:7" x14ac:dyDescent="0.35">
      <c r="A512" s="1" t="str">
        <f t="shared" si="7"/>
        <v>04 Testo + E2</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3905</v>
      </c>
      <c r="D512" s="1" t="s">
        <v>3906</v>
      </c>
      <c r="E512" s="1" t="s">
        <v>3907</v>
      </c>
      <c r="F512" s="1" t="s">
        <v>112</v>
      </c>
      <c r="G512" s="1">
        <v>4210692</v>
      </c>
    </row>
    <row r="513" spans="1:10" x14ac:dyDescent="0.35">
      <c r="A513" s="1" t="str">
        <f t="shared" si="7"/>
        <v>04 Testo + E2</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3908</v>
      </c>
      <c r="D513" s="1" t="s">
        <v>3876</v>
      </c>
      <c r="E513" s="1" t="s">
        <v>3909</v>
      </c>
      <c r="F513" s="1" t="s">
        <v>112</v>
      </c>
      <c r="G513" s="1">
        <v>4409362</v>
      </c>
    </row>
    <row r="514" spans="1:10" x14ac:dyDescent="0.35">
      <c r="A514" s="1" t="str">
        <f t="shared" ref="A514:A577" si="8">IFERROR(LEFT(RIGHT(C514,LEN(C514)-SEARCH("@",C514)),SEARCH("/",RIGHT(C514,LEN(C514)-SEARCH("@",C514)-1))),"")</f>
        <v>04 Testo + E2</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3910</v>
      </c>
      <c r="D514" s="1" t="s">
        <v>3911</v>
      </c>
      <c r="E514" s="1" t="s">
        <v>3912</v>
      </c>
      <c r="F514" s="1" t="s">
        <v>112</v>
      </c>
      <c r="G514" s="1">
        <v>4691005</v>
      </c>
    </row>
    <row r="515" spans="1:10" x14ac:dyDescent="0.35">
      <c r="A515" s="1" t="str">
        <f t="shared" si="8"/>
        <v>04 Testo + E2</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3913</v>
      </c>
      <c r="D515" s="1" t="s">
        <v>3914</v>
      </c>
      <c r="E515" s="1" t="s">
        <v>3915</v>
      </c>
      <c r="F515" s="1" t="s">
        <v>112</v>
      </c>
      <c r="G515" s="1">
        <v>4629965</v>
      </c>
    </row>
    <row r="516" spans="1:10" x14ac:dyDescent="0.35">
      <c r="A516" s="1" t="str">
        <f t="shared" si="8"/>
        <v>04 Testo + E2</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3916</v>
      </c>
      <c r="D516" s="1" t="s">
        <v>3917</v>
      </c>
      <c r="E516" s="1" t="s">
        <v>3918</v>
      </c>
      <c r="F516" s="1" t="s">
        <v>112</v>
      </c>
      <c r="G516" s="1">
        <v>4544614</v>
      </c>
    </row>
    <row r="517" spans="1:10" x14ac:dyDescent="0.35">
      <c r="A517" s="1" t="str">
        <f t="shared" si="8"/>
        <v>04 Testo + E2</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3919</v>
      </c>
      <c r="D517" s="1" t="s">
        <v>3327</v>
      </c>
      <c r="E517" s="1" t="s">
        <v>3920</v>
      </c>
      <c r="F517" s="1" t="s">
        <v>112</v>
      </c>
      <c r="G517" s="1">
        <v>4371207</v>
      </c>
    </row>
    <row r="518" spans="1:10" x14ac:dyDescent="0.35">
      <c r="A518" s="1" t="str">
        <f t="shared" si="8"/>
        <v>04 Testo + E2</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3921</v>
      </c>
      <c r="D518" s="1" t="s">
        <v>3773</v>
      </c>
      <c r="E518" s="1" t="s">
        <v>3922</v>
      </c>
      <c r="F518" s="1" t="s">
        <v>112</v>
      </c>
      <c r="G518" s="1">
        <v>1337874</v>
      </c>
    </row>
    <row r="519" spans="1:10" x14ac:dyDescent="0.35">
      <c r="A519" s="1" t="str">
        <f t="shared" si="8"/>
        <v>04 Testo + E2</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3923</v>
      </c>
      <c r="D519" s="1" t="s">
        <v>3924</v>
      </c>
      <c r="E519" s="1" t="s">
        <v>3925</v>
      </c>
      <c r="F519" s="1" t="s">
        <v>112</v>
      </c>
      <c r="G519" s="1">
        <v>867662</v>
      </c>
    </row>
    <row r="520" spans="1:10" x14ac:dyDescent="0.35">
      <c r="A520" s="1" t="str">
        <f t="shared" si="8"/>
        <v>04 Testo + E2</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3926</v>
      </c>
      <c r="D520" s="1" t="s">
        <v>3927</v>
      </c>
      <c r="E520" s="1" t="s">
        <v>3928</v>
      </c>
      <c r="F520" s="1" t="s">
        <v>112</v>
      </c>
      <c r="G520" s="1">
        <v>1165786</v>
      </c>
    </row>
    <row r="521" spans="1:10"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234</v>
      </c>
      <c r="D522" s="1" t="s">
        <v>112</v>
      </c>
      <c r="E522" s="1" t="s">
        <v>235</v>
      </c>
      <c r="F522" s="1" t="s">
        <v>236</v>
      </c>
      <c r="G522" s="1" t="s">
        <v>237</v>
      </c>
      <c r="H522" s="1" t="s">
        <v>238</v>
      </c>
      <c r="I522" s="1" t="s">
        <v>239</v>
      </c>
      <c r="J522" s="1" t="s">
        <v>240</v>
      </c>
    </row>
    <row r="523" spans="1:10" x14ac:dyDescent="0.35">
      <c r="A523" s="1" t="str">
        <f t="shared" si="8"/>
        <v>04 Testo + E2</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3929</v>
      </c>
      <c r="D523" s="1" t="s">
        <v>112</v>
      </c>
      <c r="E523" s="1" t="s">
        <v>3930</v>
      </c>
      <c r="F523" s="1" t="s">
        <v>3931</v>
      </c>
      <c r="G523" s="1">
        <v>2722800</v>
      </c>
      <c r="H523" s="1" t="s">
        <v>3932</v>
      </c>
      <c r="I523" s="1">
        <v>24</v>
      </c>
      <c r="J523" s="1">
        <v>24</v>
      </c>
    </row>
    <row r="524" spans="1:10"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246</v>
      </c>
      <c r="D529" s="1" t="s">
        <v>110</v>
      </c>
      <c r="E529" s="1" t="s">
        <v>111</v>
      </c>
      <c r="F529" s="1" t="s">
        <v>112</v>
      </c>
      <c r="G529" s="1" t="s">
        <v>113</v>
      </c>
    </row>
    <row r="530" spans="1:7" x14ac:dyDescent="0.35">
      <c r="A530" s="1" t="str">
        <f t="shared" si="8"/>
        <v>05 Cefuroxime D 0.001</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3933</v>
      </c>
      <c r="D530" s="1" t="s">
        <v>2907</v>
      </c>
      <c r="E530" s="1" t="s">
        <v>3934</v>
      </c>
      <c r="F530" s="1" t="s">
        <v>112</v>
      </c>
      <c r="G530" s="1">
        <v>1193646</v>
      </c>
    </row>
    <row r="531" spans="1:7" x14ac:dyDescent="0.35">
      <c r="A531" s="1" t="str">
        <f t="shared" si="8"/>
        <v>05 Cefuroxime D 0.001</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3935</v>
      </c>
      <c r="D531" s="1" t="s">
        <v>3936</v>
      </c>
      <c r="E531" s="1" t="s">
        <v>3937</v>
      </c>
      <c r="F531" s="1" t="s">
        <v>112</v>
      </c>
      <c r="G531" s="1">
        <v>1287303</v>
      </c>
    </row>
    <row r="532" spans="1:7" x14ac:dyDescent="0.35">
      <c r="A532" s="1" t="str">
        <f t="shared" si="8"/>
        <v>05 Cefuroxime D 0.001</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3938</v>
      </c>
      <c r="D532" s="1" t="s">
        <v>3939</v>
      </c>
      <c r="E532" s="1" t="s">
        <v>3940</v>
      </c>
      <c r="F532" s="1" t="s">
        <v>112</v>
      </c>
      <c r="G532" s="1">
        <v>865261</v>
      </c>
    </row>
    <row r="533" spans="1:7" x14ac:dyDescent="0.35">
      <c r="A533" s="1" t="str">
        <f t="shared" si="8"/>
        <v>05 Cefuroxime D 0.001</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3941</v>
      </c>
      <c r="D533" s="1" t="s">
        <v>3942</v>
      </c>
      <c r="E533" s="1" t="s">
        <v>3943</v>
      </c>
      <c r="F533" s="1" t="s">
        <v>112</v>
      </c>
      <c r="G533" s="1">
        <v>2752469</v>
      </c>
    </row>
    <row r="534" spans="1:7" x14ac:dyDescent="0.35">
      <c r="A534" s="1" t="str">
        <f t="shared" si="8"/>
        <v>05 Cefuroxime D 0.001</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3944</v>
      </c>
    </row>
    <row r="535" spans="1:7" x14ac:dyDescent="0.35">
      <c r="A535" s="1" t="str">
        <f t="shared" si="8"/>
        <v>05 Cefuroxime D 0.001</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3945</v>
      </c>
      <c r="D535" s="1" t="s">
        <v>1382</v>
      </c>
      <c r="E535" s="1" t="s">
        <v>3946</v>
      </c>
      <c r="F535" s="1" t="s">
        <v>112</v>
      </c>
      <c r="G535" s="1">
        <v>2688293</v>
      </c>
    </row>
    <row r="536" spans="1:7" x14ac:dyDescent="0.35">
      <c r="A536" s="1" t="str">
        <f t="shared" si="8"/>
        <v>05 Cefuroxime D 0.001</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3947</v>
      </c>
      <c r="D536" s="1" t="s">
        <v>3948</v>
      </c>
      <c r="E536" s="1" t="s">
        <v>3949</v>
      </c>
      <c r="F536" s="1" t="s">
        <v>112</v>
      </c>
      <c r="G536" s="1">
        <v>4092117</v>
      </c>
    </row>
    <row r="537" spans="1:7" x14ac:dyDescent="0.35">
      <c r="A537" s="1" t="str">
        <f t="shared" si="8"/>
        <v>05 Cefuroxime D 0.001</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3950</v>
      </c>
      <c r="D537" s="1" t="s">
        <v>3951</v>
      </c>
      <c r="E537" s="1" t="s">
        <v>3952</v>
      </c>
      <c r="F537" s="1" t="s">
        <v>112</v>
      </c>
      <c r="G537" s="1">
        <v>3845687</v>
      </c>
    </row>
    <row r="538" spans="1:7" x14ac:dyDescent="0.35">
      <c r="A538" s="1" t="str">
        <f t="shared" si="8"/>
        <v>05 Cefuroxime D 0.001</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3953</v>
      </c>
      <c r="D538" s="1" t="s">
        <v>3954</v>
      </c>
      <c r="E538" s="1" t="s">
        <v>3955</v>
      </c>
      <c r="F538" s="1" t="s">
        <v>112</v>
      </c>
      <c r="G538" s="1">
        <v>4086579</v>
      </c>
    </row>
    <row r="539" spans="1:7" x14ac:dyDescent="0.35">
      <c r="A539" s="1" t="str">
        <f t="shared" si="8"/>
        <v>05 Cefuroxime D 0.001</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3956</v>
      </c>
      <c r="D539" s="1" t="s">
        <v>3957</v>
      </c>
      <c r="E539" s="1" t="s">
        <v>3958</v>
      </c>
      <c r="F539" s="1" t="s">
        <v>112</v>
      </c>
      <c r="G539" s="1">
        <v>2019756</v>
      </c>
    </row>
    <row r="540" spans="1:7" x14ac:dyDescent="0.35">
      <c r="A540" s="1" t="str">
        <f t="shared" si="8"/>
        <v>05 Cefuroxime D 0.001</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3959</v>
      </c>
      <c r="D540" s="1" t="s">
        <v>427</v>
      </c>
      <c r="E540" s="1" t="s">
        <v>3960</v>
      </c>
      <c r="F540" s="1" t="s">
        <v>112</v>
      </c>
      <c r="G540" s="1">
        <v>1884418</v>
      </c>
    </row>
    <row r="541" spans="1:7" x14ac:dyDescent="0.35">
      <c r="A541" s="1" t="str">
        <f t="shared" si="8"/>
        <v>05 Cefuroxime D 0.001</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3961</v>
      </c>
      <c r="D541" s="1" t="s">
        <v>3962</v>
      </c>
      <c r="E541" s="1" t="s">
        <v>3963</v>
      </c>
      <c r="F541" s="1" t="s">
        <v>112</v>
      </c>
      <c r="G541" s="1">
        <v>1818360</v>
      </c>
    </row>
    <row r="542" spans="1:7" x14ac:dyDescent="0.35">
      <c r="A542" s="1" t="str">
        <f t="shared" si="8"/>
        <v>05 Cefuroxime D 0.001</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3964</v>
      </c>
      <c r="D542" s="1" t="s">
        <v>1825</v>
      </c>
      <c r="E542" s="1" t="s">
        <v>3965</v>
      </c>
      <c r="F542" s="1" t="s">
        <v>112</v>
      </c>
      <c r="G542" s="1">
        <v>77413</v>
      </c>
    </row>
    <row r="543" spans="1:7" x14ac:dyDescent="0.35">
      <c r="A543" s="1" t="str">
        <f t="shared" si="8"/>
        <v>05 Cefuroxime D 0.001</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3966</v>
      </c>
      <c r="D543" s="1" t="s">
        <v>1897</v>
      </c>
      <c r="E543" s="1" t="s">
        <v>3967</v>
      </c>
      <c r="F543" s="1" t="s">
        <v>112</v>
      </c>
      <c r="G543" s="1">
        <v>179398</v>
      </c>
    </row>
    <row r="544" spans="1:7" x14ac:dyDescent="0.35">
      <c r="A544" s="1" t="str">
        <f t="shared" si="8"/>
        <v>05 Cefuroxime D 0.001</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3968</v>
      </c>
    </row>
    <row r="545" spans="1:10" x14ac:dyDescent="0.35">
      <c r="A545" s="1" t="str">
        <f t="shared" si="8"/>
        <v>05 Cefuroxime D 0.001</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3969</v>
      </c>
      <c r="D545" s="1" t="s">
        <v>3970</v>
      </c>
      <c r="E545" s="1" t="s">
        <v>3971</v>
      </c>
      <c r="F545" s="1" t="s">
        <v>112</v>
      </c>
      <c r="G545" s="1">
        <v>4045331</v>
      </c>
    </row>
    <row r="546" spans="1:10" x14ac:dyDescent="0.35">
      <c r="A546" s="1" t="str">
        <f t="shared" si="8"/>
        <v>05 Cefuroxime D 0.001</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3972</v>
      </c>
      <c r="D546" s="1" t="s">
        <v>3973</v>
      </c>
      <c r="E546" s="1" t="s">
        <v>3974</v>
      </c>
      <c r="F546" s="1" t="s">
        <v>112</v>
      </c>
      <c r="G546" s="1">
        <v>4185450</v>
      </c>
    </row>
    <row r="547" spans="1:10" x14ac:dyDescent="0.35">
      <c r="A547" s="1" t="str">
        <f t="shared" si="8"/>
        <v>05 Cefuroxime D 0.001</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3975</v>
      </c>
      <c r="D547" s="1" t="s">
        <v>3976</v>
      </c>
      <c r="E547" s="1" t="s">
        <v>3977</v>
      </c>
      <c r="F547" s="1" t="s">
        <v>112</v>
      </c>
      <c r="G547" s="1">
        <v>4301213</v>
      </c>
    </row>
    <row r="548" spans="1:10" x14ac:dyDescent="0.35">
      <c r="A548" s="1" t="str">
        <f t="shared" si="8"/>
        <v>05 Cefuroxime D 0.001</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3978</v>
      </c>
      <c r="D548" s="1" t="s">
        <v>3979</v>
      </c>
      <c r="E548" s="1" t="s">
        <v>3980</v>
      </c>
      <c r="F548" s="1" t="s">
        <v>112</v>
      </c>
      <c r="G548" s="1">
        <v>1411675</v>
      </c>
    </row>
    <row r="549" spans="1:10" x14ac:dyDescent="0.35">
      <c r="A549" s="1" t="str">
        <f t="shared" si="8"/>
        <v>05 Cefuroxime D 0.001</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3981</v>
      </c>
      <c r="D549" s="1" t="s">
        <v>3982</v>
      </c>
      <c r="E549" s="1" t="s">
        <v>3983</v>
      </c>
      <c r="F549" s="1" t="s">
        <v>112</v>
      </c>
      <c r="G549" s="1">
        <v>1076022</v>
      </c>
    </row>
    <row r="550" spans="1:10" x14ac:dyDescent="0.35">
      <c r="A550" s="1" t="str">
        <f t="shared" si="8"/>
        <v>05 Cefuroxime D 0.001</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3984</v>
      </c>
      <c r="D550" s="1" t="s">
        <v>3985</v>
      </c>
      <c r="E550" s="1" t="s">
        <v>3986</v>
      </c>
      <c r="F550" s="1" t="s">
        <v>112</v>
      </c>
      <c r="G550" s="1">
        <v>1632754</v>
      </c>
    </row>
    <row r="551" spans="1:10" x14ac:dyDescent="0.35">
      <c r="A551" s="1" t="str">
        <f t="shared" si="8"/>
        <v>05 Cefuroxime D 0.001</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3987</v>
      </c>
      <c r="D551" s="1" t="s">
        <v>3988</v>
      </c>
      <c r="E551" s="1" t="s">
        <v>3989</v>
      </c>
      <c r="F551" s="1" t="s">
        <v>112</v>
      </c>
      <c r="G551" s="1">
        <v>1068625</v>
      </c>
    </row>
    <row r="552" spans="1:10" x14ac:dyDescent="0.35">
      <c r="A552" s="1" t="str">
        <f t="shared" si="8"/>
        <v>05 Cefuroxime D 0.001</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3990</v>
      </c>
      <c r="D552" s="1" t="s">
        <v>3991</v>
      </c>
      <c r="E552" s="1" t="s">
        <v>3992</v>
      </c>
      <c r="F552" s="1" t="s">
        <v>112</v>
      </c>
      <c r="G552" s="1">
        <v>899501</v>
      </c>
    </row>
    <row r="553" spans="1:10" x14ac:dyDescent="0.35">
      <c r="A553" s="1" t="str">
        <f t="shared" si="8"/>
        <v>05 Cefuroxime D 0.001</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3993</v>
      </c>
      <c r="D553" s="1" t="s">
        <v>3994</v>
      </c>
      <c r="E553" s="1" t="s">
        <v>3995</v>
      </c>
      <c r="F553" s="1" t="s">
        <v>112</v>
      </c>
      <c r="G553" s="1">
        <v>1028026</v>
      </c>
    </row>
    <row r="554" spans="1:10"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234</v>
      </c>
      <c r="D555" s="1" t="s">
        <v>112</v>
      </c>
      <c r="E555" s="1" t="s">
        <v>235</v>
      </c>
      <c r="F555" s="1" t="s">
        <v>236</v>
      </c>
      <c r="G555" s="1" t="s">
        <v>237</v>
      </c>
      <c r="H555" s="1" t="s">
        <v>238</v>
      </c>
      <c r="I555" s="1" t="s">
        <v>239</v>
      </c>
      <c r="J555" s="1" t="s">
        <v>240</v>
      </c>
    </row>
    <row r="556" spans="1:10" x14ac:dyDescent="0.35">
      <c r="A556" s="1" t="str">
        <f t="shared" si="8"/>
        <v>05 Cefuroxime D 0.001</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3996</v>
      </c>
      <c r="D556" s="1" t="s">
        <v>112</v>
      </c>
      <c r="E556" s="1" t="s">
        <v>3997</v>
      </c>
      <c r="F556" s="1" t="s">
        <v>3998</v>
      </c>
      <c r="G556" s="1" t="s">
        <v>3999</v>
      </c>
      <c r="H556" s="1" t="s">
        <v>4000</v>
      </c>
      <c r="I556" s="1">
        <v>24</v>
      </c>
      <c r="J556" s="1">
        <v>24</v>
      </c>
    </row>
    <row r="557" spans="1:10"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246</v>
      </c>
      <c r="D562" s="1" t="s">
        <v>110</v>
      </c>
      <c r="E562" s="1" t="s">
        <v>111</v>
      </c>
      <c r="F562" s="1" t="s">
        <v>112</v>
      </c>
      <c r="G562" s="1" t="s">
        <v>113</v>
      </c>
    </row>
    <row r="563" spans="1:7" x14ac:dyDescent="0.35">
      <c r="A563" s="1" t="str">
        <f t="shared" si="8"/>
        <v>06 Cefuroxime D 0.01</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4001</v>
      </c>
      <c r="D563" s="1" t="s">
        <v>4002</v>
      </c>
      <c r="E563" s="1" t="s">
        <v>4003</v>
      </c>
      <c r="F563" s="1" t="s">
        <v>112</v>
      </c>
      <c r="G563" s="1">
        <v>2775332</v>
      </c>
    </row>
    <row r="564" spans="1:7" x14ac:dyDescent="0.35">
      <c r="A564" s="1" t="str">
        <f t="shared" si="8"/>
        <v>06 Cefuroxime D 0.01</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4004</v>
      </c>
      <c r="D564" s="1" t="s">
        <v>4005</v>
      </c>
      <c r="E564" s="1" t="s">
        <v>4006</v>
      </c>
      <c r="F564" s="1" t="s">
        <v>112</v>
      </c>
      <c r="G564" s="1">
        <v>3020853</v>
      </c>
    </row>
    <row r="565" spans="1:7" x14ac:dyDescent="0.35">
      <c r="A565" s="1" t="str">
        <f t="shared" si="8"/>
        <v>06 Cefuroxime D 0.01</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4007</v>
      </c>
      <c r="D565" s="1" t="s">
        <v>4008</v>
      </c>
      <c r="E565" s="1" t="s">
        <v>4009</v>
      </c>
      <c r="F565" s="1" t="s">
        <v>112</v>
      </c>
      <c r="G565" s="1">
        <v>2579322</v>
      </c>
    </row>
    <row r="566" spans="1:7" x14ac:dyDescent="0.35">
      <c r="A566" s="1" t="str">
        <f t="shared" si="8"/>
        <v>06 Cefuroxime D 0.01</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4010</v>
      </c>
      <c r="D566" s="1" t="s">
        <v>1334</v>
      </c>
      <c r="E566" s="1" t="s">
        <v>4011</v>
      </c>
      <c r="F566" s="1" t="s">
        <v>112</v>
      </c>
      <c r="G566" s="1">
        <v>3910425</v>
      </c>
    </row>
    <row r="567" spans="1:7" x14ac:dyDescent="0.35">
      <c r="A567" s="1" t="str">
        <f t="shared" si="8"/>
        <v>06 Cefuroxime D 0.01</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4012</v>
      </c>
      <c r="D567" s="1" t="s">
        <v>3433</v>
      </c>
      <c r="E567" s="1" t="s">
        <v>4013</v>
      </c>
      <c r="F567" s="1" t="s">
        <v>112</v>
      </c>
      <c r="G567" s="1">
        <v>3477200</v>
      </c>
    </row>
    <row r="568" spans="1:7" x14ac:dyDescent="0.35">
      <c r="A568" s="1" t="str">
        <f t="shared" si="8"/>
        <v>06 Cefuroxime D 0.01</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4014</v>
      </c>
      <c r="D568" s="1" t="s">
        <v>2477</v>
      </c>
      <c r="E568" s="1" t="s">
        <v>4015</v>
      </c>
      <c r="F568" s="1" t="s">
        <v>112</v>
      </c>
      <c r="G568" s="1">
        <v>3407574</v>
      </c>
    </row>
    <row r="569" spans="1:7" x14ac:dyDescent="0.35">
      <c r="A569" s="1" t="str">
        <f t="shared" si="8"/>
        <v>06 Cefuroxime D 0.01</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4016</v>
      </c>
    </row>
    <row r="570" spans="1:7" x14ac:dyDescent="0.35">
      <c r="A570" s="1" t="str">
        <f t="shared" si="8"/>
        <v>06 Cefuroxime D 0.01</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4017</v>
      </c>
    </row>
    <row r="571" spans="1:7" x14ac:dyDescent="0.35">
      <c r="A571" s="1" t="str">
        <f t="shared" si="8"/>
        <v>06 Cefuroxime D 0.01</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4018</v>
      </c>
    </row>
    <row r="572" spans="1:7" x14ac:dyDescent="0.35">
      <c r="A572" s="1" t="str">
        <f t="shared" si="8"/>
        <v>06 Cefuroxime D 0.01</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4019</v>
      </c>
    </row>
    <row r="573" spans="1:7" x14ac:dyDescent="0.35">
      <c r="A573" s="1" t="str">
        <f t="shared" si="8"/>
        <v>06 Cefuroxime D 0.01</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4020</v>
      </c>
      <c r="D573" s="1" t="s">
        <v>4021</v>
      </c>
      <c r="E573" s="1" t="s">
        <v>4022</v>
      </c>
      <c r="F573" s="1" t="s">
        <v>112</v>
      </c>
      <c r="G573" s="1">
        <v>1390002</v>
      </c>
    </row>
    <row r="574" spans="1:7" x14ac:dyDescent="0.35">
      <c r="A574" s="1" t="str">
        <f t="shared" si="8"/>
        <v>06 Cefuroxime D 0.01</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4023</v>
      </c>
      <c r="D574" s="1" t="s">
        <v>4024</v>
      </c>
      <c r="E574" s="1" t="s">
        <v>4025</v>
      </c>
      <c r="F574" s="1" t="s">
        <v>112</v>
      </c>
      <c r="G574" s="1">
        <v>1343627</v>
      </c>
    </row>
    <row r="575" spans="1:7" x14ac:dyDescent="0.35">
      <c r="A575" s="1" t="str">
        <f t="shared" si="8"/>
        <v>06 Cefuroxime D 0.01</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4026</v>
      </c>
      <c r="D575" s="1" t="s">
        <v>4027</v>
      </c>
      <c r="E575" s="1" t="s">
        <v>4028</v>
      </c>
      <c r="F575" s="1" t="s">
        <v>112</v>
      </c>
      <c r="G575" s="1">
        <v>5016989</v>
      </c>
    </row>
    <row r="576" spans="1:7" x14ac:dyDescent="0.35">
      <c r="A576" s="1" t="str">
        <f t="shared" si="8"/>
        <v>06 Cefuroxime D 0.01</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4029</v>
      </c>
      <c r="D576" s="1" t="s">
        <v>4030</v>
      </c>
      <c r="E576" s="1" t="s">
        <v>4031</v>
      </c>
      <c r="F576" s="1" t="s">
        <v>112</v>
      </c>
      <c r="G576" s="1">
        <v>4878536</v>
      </c>
    </row>
    <row r="577" spans="1:10" x14ac:dyDescent="0.35">
      <c r="A577" s="1" t="str">
        <f t="shared" si="8"/>
        <v>06 Cefuroxime D 0.01</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4032</v>
      </c>
      <c r="D577" s="1" t="s">
        <v>4033</v>
      </c>
      <c r="E577" s="1" t="s">
        <v>4034</v>
      </c>
      <c r="F577" s="1" t="s">
        <v>112</v>
      </c>
      <c r="G577" s="1">
        <v>4409405</v>
      </c>
    </row>
    <row r="578" spans="1:10" x14ac:dyDescent="0.35">
      <c r="A578" s="1" t="str">
        <f t="shared" ref="A578:A641" si="9">IFERROR(LEFT(RIGHT(C578,LEN(C578)-SEARCH("@",C578)),SEARCH("/",RIGHT(C578,LEN(C578)-SEARCH("@",C578)-1))),"")</f>
        <v>06 Cefuroxime D 0.01</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4035</v>
      </c>
      <c r="D578" s="1" t="s">
        <v>2816</v>
      </c>
      <c r="E578" s="1" t="s">
        <v>4036</v>
      </c>
      <c r="F578" s="1" t="s">
        <v>112</v>
      </c>
      <c r="G578" s="1">
        <v>1025538</v>
      </c>
    </row>
    <row r="579" spans="1:10" x14ac:dyDescent="0.35">
      <c r="A579" s="1" t="str">
        <f t="shared" si="9"/>
        <v>06 Cefuroxime D 0.01</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4037</v>
      </c>
      <c r="D579" s="1" t="s">
        <v>2545</v>
      </c>
      <c r="E579" s="1" t="s">
        <v>4038</v>
      </c>
      <c r="F579" s="1" t="s">
        <v>112</v>
      </c>
      <c r="G579" s="1">
        <v>1492398</v>
      </c>
    </row>
    <row r="580" spans="1:10" x14ac:dyDescent="0.35">
      <c r="A580" s="1" t="str">
        <f t="shared" si="9"/>
        <v>06 Cefuroxime D 0.01</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4039</v>
      </c>
      <c r="D580" s="1" t="s">
        <v>2687</v>
      </c>
      <c r="E580" s="1" t="s">
        <v>4040</v>
      </c>
      <c r="F580" s="1" t="s">
        <v>112</v>
      </c>
      <c r="G580" s="1">
        <v>1618652</v>
      </c>
    </row>
    <row r="581" spans="1:10" x14ac:dyDescent="0.35">
      <c r="A581" s="1" t="str">
        <f t="shared" si="9"/>
        <v>06 Cefuroxime D 0.01</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4041</v>
      </c>
      <c r="D581" s="1" t="s">
        <v>4042</v>
      </c>
      <c r="E581" s="1" t="s">
        <v>4043</v>
      </c>
      <c r="F581" s="1" t="s">
        <v>112</v>
      </c>
      <c r="G581" s="1">
        <v>5462954</v>
      </c>
    </row>
    <row r="582" spans="1:10" x14ac:dyDescent="0.35">
      <c r="A582" s="1" t="str">
        <f t="shared" si="9"/>
        <v>06 Cefuroxime D 0.01</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4044</v>
      </c>
      <c r="D582" s="1" t="s">
        <v>1183</v>
      </c>
      <c r="E582" s="1" t="s">
        <v>4045</v>
      </c>
      <c r="F582" s="1" t="s">
        <v>112</v>
      </c>
      <c r="G582" s="1">
        <v>4985604</v>
      </c>
    </row>
    <row r="583" spans="1:10" x14ac:dyDescent="0.35">
      <c r="A583" s="1" t="str">
        <f t="shared" si="9"/>
        <v>06 Cefuroxime D 0.01</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4046</v>
      </c>
      <c r="D583" s="1" t="s">
        <v>1186</v>
      </c>
      <c r="E583" s="1" t="s">
        <v>4047</v>
      </c>
      <c r="F583" s="1" t="s">
        <v>112</v>
      </c>
      <c r="G583" s="1">
        <v>4924067</v>
      </c>
    </row>
    <row r="584" spans="1:10" x14ac:dyDescent="0.35">
      <c r="A584" s="1" t="str">
        <f t="shared" si="9"/>
        <v>06 Cefuroxime D 0.01</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4048</v>
      </c>
      <c r="D584" s="1" t="s">
        <v>1207</v>
      </c>
      <c r="E584" s="1" t="s">
        <v>4049</v>
      </c>
      <c r="F584" s="1" t="s">
        <v>112</v>
      </c>
      <c r="G584" s="1">
        <v>2979215</v>
      </c>
    </row>
    <row r="585" spans="1:10" x14ac:dyDescent="0.35">
      <c r="A585" s="1" t="str">
        <f t="shared" si="9"/>
        <v>06 Cefuroxime D 0.01</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4050</v>
      </c>
      <c r="D585" s="1" t="s">
        <v>4051</v>
      </c>
      <c r="E585" s="1" t="s">
        <v>4052</v>
      </c>
      <c r="F585" s="1" t="s">
        <v>112</v>
      </c>
      <c r="G585" s="1">
        <v>2685416</v>
      </c>
    </row>
    <row r="586" spans="1:10" x14ac:dyDescent="0.35">
      <c r="A586" s="1" t="str">
        <f t="shared" si="9"/>
        <v>06 Cefuroxime D 0.01</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4053</v>
      </c>
      <c r="D586" s="1" t="s">
        <v>4005</v>
      </c>
      <c r="E586" s="1" t="s">
        <v>4054</v>
      </c>
      <c r="F586" s="1" t="s">
        <v>112</v>
      </c>
      <c r="G586" s="1">
        <v>2939719</v>
      </c>
    </row>
    <row r="587" spans="1:10"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234</v>
      </c>
      <c r="D588" s="1" t="s">
        <v>112</v>
      </c>
      <c r="E588" s="1" t="s">
        <v>235</v>
      </c>
      <c r="F588" s="1" t="s">
        <v>236</v>
      </c>
      <c r="G588" s="1" t="s">
        <v>237</v>
      </c>
      <c r="H588" s="1" t="s">
        <v>238</v>
      </c>
      <c r="I588" s="1" t="s">
        <v>239</v>
      </c>
      <c r="J588" s="1" t="s">
        <v>240</v>
      </c>
    </row>
    <row r="589" spans="1:10" x14ac:dyDescent="0.35">
      <c r="A589" s="1" t="str">
        <f t="shared" si="9"/>
        <v>06 Cefuroxime D 0.01</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4055</v>
      </c>
      <c r="D589" s="1" t="s">
        <v>112</v>
      </c>
      <c r="E589" s="1" t="s">
        <v>4056</v>
      </c>
      <c r="F589" s="1" t="s">
        <v>4057</v>
      </c>
      <c r="G589" s="1" t="s">
        <v>4058</v>
      </c>
      <c r="H589" s="1" t="s">
        <v>4059</v>
      </c>
      <c r="I589" s="1">
        <v>24</v>
      </c>
      <c r="J589" s="1">
        <v>24</v>
      </c>
    </row>
    <row r="590" spans="1:10"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246</v>
      </c>
      <c r="D595" s="1" t="s">
        <v>110</v>
      </c>
      <c r="E595" s="1" t="s">
        <v>111</v>
      </c>
      <c r="F595" s="1" t="s">
        <v>112</v>
      </c>
      <c r="G595" s="1" t="s">
        <v>113</v>
      </c>
    </row>
    <row r="596" spans="1:7" x14ac:dyDescent="0.35">
      <c r="A596" s="1" t="str">
        <f t="shared" si="9"/>
        <v>07 Cefuroxime D 0.1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4060</v>
      </c>
      <c r="D596" s="1" t="s">
        <v>218</v>
      </c>
      <c r="E596" s="1" t="s">
        <v>4061</v>
      </c>
      <c r="F596" s="1" t="s">
        <v>112</v>
      </c>
      <c r="G596" s="1">
        <v>42827</v>
      </c>
    </row>
    <row r="597" spans="1:7" x14ac:dyDescent="0.35">
      <c r="A597" s="1" t="str">
        <f t="shared" si="9"/>
        <v>07 Cefuroxime D 0.1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4062</v>
      </c>
      <c r="D597" s="1" t="s">
        <v>206</v>
      </c>
      <c r="E597" s="1" t="s">
        <v>4063</v>
      </c>
      <c r="F597" s="1" t="s">
        <v>112</v>
      </c>
      <c r="G597" s="1">
        <v>12416</v>
      </c>
    </row>
    <row r="598" spans="1:7" x14ac:dyDescent="0.35">
      <c r="A598" s="1" t="str">
        <f t="shared" si="9"/>
        <v>07 Cefuroxime D 0.1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4064</v>
      </c>
      <c r="D598" s="1" t="s">
        <v>2219</v>
      </c>
      <c r="E598" s="1" t="s">
        <v>1754</v>
      </c>
      <c r="F598" s="1" t="s">
        <v>112</v>
      </c>
      <c r="G598" s="1">
        <v>24853</v>
      </c>
    </row>
    <row r="599" spans="1:7" x14ac:dyDescent="0.35">
      <c r="A599" s="1" t="str">
        <f t="shared" si="9"/>
        <v>07 Cefuroxime D 0.1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4065</v>
      </c>
    </row>
    <row r="600" spans="1:7" x14ac:dyDescent="0.35">
      <c r="A600" s="1" t="str">
        <f t="shared" si="9"/>
        <v>07 Cefuroxime D 0.1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4066</v>
      </c>
      <c r="D600" s="1" t="s">
        <v>4067</v>
      </c>
      <c r="E600" s="1" t="s">
        <v>4068</v>
      </c>
      <c r="F600" s="1" t="s">
        <v>112</v>
      </c>
      <c r="G600" s="1">
        <v>2184879</v>
      </c>
    </row>
    <row r="601" spans="1:7" x14ac:dyDescent="0.35">
      <c r="A601" s="1" t="str">
        <f t="shared" si="9"/>
        <v>07 Cefuroxime D 0.1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4069</v>
      </c>
      <c r="D601" s="1" t="s">
        <v>4070</v>
      </c>
      <c r="E601" s="1" t="s">
        <v>4071</v>
      </c>
      <c r="F601" s="1" t="s">
        <v>112</v>
      </c>
      <c r="G601" s="1">
        <v>2253792</v>
      </c>
    </row>
    <row r="602" spans="1:7" x14ac:dyDescent="0.35">
      <c r="A602" s="1" t="str">
        <f t="shared" si="9"/>
        <v>07 Cefuroxime D 0.1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4072</v>
      </c>
      <c r="D602" s="1" t="s">
        <v>2678</v>
      </c>
      <c r="E602" s="1" t="s">
        <v>4073</v>
      </c>
      <c r="F602" s="1" t="s">
        <v>112</v>
      </c>
      <c r="G602" s="1">
        <v>1241145</v>
      </c>
    </row>
    <row r="603" spans="1:7" x14ac:dyDescent="0.35">
      <c r="A603" s="1" t="str">
        <f t="shared" si="9"/>
        <v>07 Cefuroxime D 0.1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4074</v>
      </c>
      <c r="D603" s="1" t="s">
        <v>3285</v>
      </c>
      <c r="E603" s="1" t="s">
        <v>4075</v>
      </c>
      <c r="F603" s="1" t="s">
        <v>112</v>
      </c>
      <c r="G603" s="1">
        <v>1619625</v>
      </c>
    </row>
    <row r="604" spans="1:7" x14ac:dyDescent="0.35">
      <c r="A604" s="1" t="str">
        <f t="shared" si="9"/>
        <v>07 Cefuroxime D 0.1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4076</v>
      </c>
      <c r="D604" s="1" t="s">
        <v>4077</v>
      </c>
      <c r="E604" s="1" t="s">
        <v>4078</v>
      </c>
      <c r="F604" s="1" t="s">
        <v>112</v>
      </c>
      <c r="G604" s="1">
        <v>1639568</v>
      </c>
    </row>
    <row r="605" spans="1:7" x14ac:dyDescent="0.35">
      <c r="A605" s="1" t="str">
        <f t="shared" si="9"/>
        <v>07 Cefuroxime D 0.1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4079</v>
      </c>
      <c r="D605" s="1" t="s">
        <v>4080</v>
      </c>
      <c r="E605" s="1" t="s">
        <v>2667</v>
      </c>
      <c r="F605" s="1" t="s">
        <v>112</v>
      </c>
      <c r="G605" s="1">
        <v>2084148</v>
      </c>
    </row>
    <row r="606" spans="1:7" x14ac:dyDescent="0.35">
      <c r="A606" s="1" t="str">
        <f t="shared" si="9"/>
        <v>07 Cefuroxime D 0.1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4081</v>
      </c>
      <c r="D606" s="1" t="s">
        <v>4082</v>
      </c>
      <c r="E606" s="1" t="s">
        <v>4083</v>
      </c>
      <c r="F606" s="1" t="s">
        <v>112</v>
      </c>
      <c r="G606" s="1">
        <v>2232032</v>
      </c>
    </row>
    <row r="607" spans="1:7" x14ac:dyDescent="0.35">
      <c r="A607" s="1" t="str">
        <f t="shared" si="9"/>
        <v>07 Cefuroxime D 0.1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4084</v>
      </c>
      <c r="D607" s="1" t="s">
        <v>501</v>
      </c>
      <c r="E607" s="1" t="s">
        <v>4085</v>
      </c>
      <c r="F607" s="1" t="s">
        <v>112</v>
      </c>
      <c r="G607" s="1">
        <v>1898629</v>
      </c>
    </row>
    <row r="608" spans="1:7" x14ac:dyDescent="0.35">
      <c r="A608" s="1" t="str">
        <f t="shared" si="9"/>
        <v>07 Cefuroxime D 0.1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4086</v>
      </c>
      <c r="D608" s="1" t="s">
        <v>4087</v>
      </c>
      <c r="E608" s="1" t="s">
        <v>4088</v>
      </c>
      <c r="F608" s="1" t="s">
        <v>112</v>
      </c>
      <c r="G608" s="1">
        <v>2635321</v>
      </c>
    </row>
    <row r="609" spans="1:10" x14ac:dyDescent="0.35">
      <c r="A609" s="1" t="str">
        <f t="shared" si="9"/>
        <v>07 Cefuroxime D 0.1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4089</v>
      </c>
      <c r="D609" s="1" t="s">
        <v>4090</v>
      </c>
      <c r="E609" s="1" t="s">
        <v>4091</v>
      </c>
      <c r="F609" s="1" t="s">
        <v>112</v>
      </c>
      <c r="G609" s="1">
        <v>2718921</v>
      </c>
    </row>
    <row r="610" spans="1:10" x14ac:dyDescent="0.35">
      <c r="A610" s="1" t="str">
        <f t="shared" si="9"/>
        <v>07 Cefuroxime D 0.1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4092</v>
      </c>
      <c r="D610" s="1" t="s">
        <v>4093</v>
      </c>
      <c r="E610" s="1" t="s">
        <v>4094</v>
      </c>
      <c r="F610" s="1" t="s">
        <v>112</v>
      </c>
      <c r="G610" s="1">
        <v>2333801</v>
      </c>
    </row>
    <row r="611" spans="1:10" x14ac:dyDescent="0.35">
      <c r="A611" s="1" t="str">
        <f t="shared" si="9"/>
        <v>07 Cefuroxime D 0.1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4095</v>
      </c>
      <c r="D611" s="1" t="s">
        <v>4096</v>
      </c>
      <c r="E611" s="1" t="s">
        <v>4097</v>
      </c>
      <c r="F611" s="1" t="s">
        <v>112</v>
      </c>
      <c r="G611" s="1">
        <v>3719844</v>
      </c>
    </row>
    <row r="612" spans="1:10" x14ac:dyDescent="0.35">
      <c r="A612" s="1" t="str">
        <f t="shared" si="9"/>
        <v>07 Cefuroxime D 0.1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4098</v>
      </c>
      <c r="D612" s="1" t="s">
        <v>4099</v>
      </c>
      <c r="E612" s="1" t="s">
        <v>4100</v>
      </c>
      <c r="F612" s="1" t="s">
        <v>112</v>
      </c>
      <c r="G612" s="1">
        <v>3832969</v>
      </c>
    </row>
    <row r="613" spans="1:10" x14ac:dyDescent="0.35">
      <c r="A613" s="1" t="str">
        <f t="shared" si="9"/>
        <v>07 Cefuroxime D 0.1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4101</v>
      </c>
      <c r="D613" s="1" t="s">
        <v>4102</v>
      </c>
      <c r="E613" s="1" t="s">
        <v>4103</v>
      </c>
      <c r="F613" s="1" t="s">
        <v>112</v>
      </c>
      <c r="G613" s="1">
        <v>4100141</v>
      </c>
    </row>
    <row r="614" spans="1:10" x14ac:dyDescent="0.35">
      <c r="A614" s="1" t="str">
        <f t="shared" si="9"/>
        <v>07 Cefuroxime D 0.1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4104</v>
      </c>
      <c r="D614" s="1" t="s">
        <v>2507</v>
      </c>
      <c r="E614" s="1" t="s">
        <v>4105</v>
      </c>
      <c r="F614" s="1" t="s">
        <v>112</v>
      </c>
      <c r="G614" s="1">
        <v>1657109</v>
      </c>
    </row>
    <row r="615" spans="1:10" x14ac:dyDescent="0.35">
      <c r="A615" s="1" t="str">
        <f t="shared" si="9"/>
        <v>07 Cefuroxime D 0.1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4106</v>
      </c>
      <c r="D615" s="1" t="s">
        <v>4107</v>
      </c>
      <c r="E615" s="1" t="s">
        <v>4108</v>
      </c>
      <c r="F615" s="1" t="s">
        <v>112</v>
      </c>
      <c r="G615" s="1">
        <v>1627347</v>
      </c>
    </row>
    <row r="616" spans="1:10" x14ac:dyDescent="0.35">
      <c r="A616" s="1" t="str">
        <f t="shared" si="9"/>
        <v>07 Cefuroxime D 0.1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4109</v>
      </c>
      <c r="D616" s="1" t="s">
        <v>4110</v>
      </c>
      <c r="E616" s="1" t="s">
        <v>4111</v>
      </c>
      <c r="F616" s="1" t="s">
        <v>112</v>
      </c>
      <c r="G616" s="1">
        <v>1674457</v>
      </c>
    </row>
    <row r="617" spans="1:10" x14ac:dyDescent="0.35">
      <c r="A617" s="1" t="str">
        <f t="shared" si="9"/>
        <v>07 Cefuroxime D 0.1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4112</v>
      </c>
    </row>
    <row r="618" spans="1:10" x14ac:dyDescent="0.35">
      <c r="A618" s="1" t="str">
        <f t="shared" si="9"/>
        <v>07 Cefuroxime D 0.1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4113</v>
      </c>
    </row>
    <row r="619" spans="1:10" x14ac:dyDescent="0.35">
      <c r="A619" s="1" t="str">
        <f t="shared" si="9"/>
        <v>07 Cefuroxime D 0.1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4114</v>
      </c>
    </row>
    <row r="620" spans="1:10"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234</v>
      </c>
      <c r="D621" s="1" t="s">
        <v>112</v>
      </c>
      <c r="E621" s="1" t="s">
        <v>235</v>
      </c>
      <c r="F621" s="1" t="s">
        <v>236</v>
      </c>
      <c r="G621" s="1" t="s">
        <v>237</v>
      </c>
      <c r="H621" s="1" t="s">
        <v>238</v>
      </c>
      <c r="I621" s="1" t="s">
        <v>239</v>
      </c>
      <c r="J621" s="1" t="s">
        <v>240</v>
      </c>
    </row>
    <row r="622" spans="1:10" x14ac:dyDescent="0.35">
      <c r="A622" s="1" t="str">
        <f t="shared" si="9"/>
        <v>07 Cefuroxime D 0.1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4115</v>
      </c>
      <c r="D622" s="1" t="s">
        <v>112</v>
      </c>
      <c r="E622" s="1" t="s">
        <v>4116</v>
      </c>
      <c r="F622" s="1" t="s">
        <v>4117</v>
      </c>
      <c r="G622" s="1" t="s">
        <v>4118</v>
      </c>
      <c r="H622" s="1" t="s">
        <v>4119</v>
      </c>
      <c r="I622" s="1">
        <v>24</v>
      </c>
      <c r="J622" s="1">
        <v>24</v>
      </c>
    </row>
    <row r="623" spans="1:10"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246</v>
      </c>
      <c r="D628" s="1" t="s">
        <v>110</v>
      </c>
      <c r="E628" s="1" t="s">
        <v>111</v>
      </c>
      <c r="F628" s="1" t="s">
        <v>112</v>
      </c>
      <c r="G628" s="1" t="s">
        <v>113</v>
      </c>
    </row>
    <row r="629" spans="1:7" x14ac:dyDescent="0.35">
      <c r="A629" s="1" t="str">
        <f t="shared" si="9"/>
        <v>08 Cefuroxime D 1</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4120</v>
      </c>
      <c r="D629" s="1" t="s">
        <v>4121</v>
      </c>
      <c r="E629" s="1" t="s">
        <v>4122</v>
      </c>
      <c r="F629" s="1" t="s">
        <v>112</v>
      </c>
      <c r="G629" s="1">
        <v>346814</v>
      </c>
    </row>
    <row r="630" spans="1:7" x14ac:dyDescent="0.35">
      <c r="A630" s="1" t="str">
        <f t="shared" si="9"/>
        <v>08 Cefuroxime D 1</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4123</v>
      </c>
      <c r="D630" s="1" t="s">
        <v>4124</v>
      </c>
      <c r="E630" s="1" t="s">
        <v>4125</v>
      </c>
      <c r="F630" s="1" t="s">
        <v>112</v>
      </c>
      <c r="G630" s="1">
        <v>418301</v>
      </c>
    </row>
    <row r="631" spans="1:7" x14ac:dyDescent="0.35">
      <c r="A631" s="1" t="str">
        <f t="shared" si="9"/>
        <v>08 Cefuroxime D 1</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4126</v>
      </c>
      <c r="D631" s="1" t="s">
        <v>4127</v>
      </c>
      <c r="E631" s="1" t="s">
        <v>4128</v>
      </c>
      <c r="F631" s="1" t="s">
        <v>112</v>
      </c>
      <c r="G631" s="1">
        <v>833270</v>
      </c>
    </row>
    <row r="632" spans="1:7" x14ac:dyDescent="0.35">
      <c r="A632" s="1" t="str">
        <f t="shared" si="9"/>
        <v>08 Cefuroxime D 1</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4129</v>
      </c>
      <c r="D632" s="1" t="s">
        <v>4130</v>
      </c>
      <c r="E632" s="1" t="s">
        <v>4131</v>
      </c>
      <c r="F632" s="1" t="s">
        <v>112</v>
      </c>
      <c r="G632" s="1">
        <v>946200</v>
      </c>
    </row>
    <row r="633" spans="1:7" x14ac:dyDescent="0.35">
      <c r="A633" s="1" t="str">
        <f t="shared" si="9"/>
        <v>08 Cefuroxime D 1</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4132</v>
      </c>
      <c r="D633" s="1" t="s">
        <v>4133</v>
      </c>
      <c r="E633" s="1" t="s">
        <v>4134</v>
      </c>
      <c r="F633" s="1" t="s">
        <v>112</v>
      </c>
      <c r="G633" s="1">
        <v>1127977</v>
      </c>
    </row>
    <row r="634" spans="1:7" x14ac:dyDescent="0.35">
      <c r="A634" s="1" t="str">
        <f t="shared" si="9"/>
        <v>08 Cefuroxime D 1</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4135</v>
      </c>
      <c r="D634" s="1" t="s">
        <v>4136</v>
      </c>
      <c r="E634" s="1" t="s">
        <v>4137</v>
      </c>
      <c r="F634" s="1" t="s">
        <v>112</v>
      </c>
      <c r="G634" s="1">
        <v>976482</v>
      </c>
    </row>
    <row r="635" spans="1:7" x14ac:dyDescent="0.35">
      <c r="A635" s="1" t="str">
        <f t="shared" si="9"/>
        <v>08 Cefuroxime D 1</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4138</v>
      </c>
      <c r="D635" s="1" t="s">
        <v>4139</v>
      </c>
      <c r="E635" s="1" t="s">
        <v>4140</v>
      </c>
      <c r="F635" s="1" t="s">
        <v>112</v>
      </c>
      <c r="G635" s="1">
        <v>2393629</v>
      </c>
    </row>
    <row r="636" spans="1:7" x14ac:dyDescent="0.35">
      <c r="A636" s="1" t="str">
        <f t="shared" si="9"/>
        <v>08 Cefuroxime D 1</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4141</v>
      </c>
      <c r="D636" s="1" t="s">
        <v>4142</v>
      </c>
      <c r="E636" s="1" t="s">
        <v>4143</v>
      </c>
      <c r="F636" s="1" t="s">
        <v>112</v>
      </c>
      <c r="G636" s="1">
        <v>2147438</v>
      </c>
    </row>
    <row r="637" spans="1:7" x14ac:dyDescent="0.35">
      <c r="A637" s="1" t="str">
        <f t="shared" si="9"/>
        <v>08 Cefuroxime D 1</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4144</v>
      </c>
      <c r="D637" s="1" t="s">
        <v>4145</v>
      </c>
      <c r="E637" s="1" t="s">
        <v>4146</v>
      </c>
      <c r="F637" s="1" t="s">
        <v>112</v>
      </c>
      <c r="G637" s="1">
        <v>2256106</v>
      </c>
    </row>
    <row r="638" spans="1:7" x14ac:dyDescent="0.35">
      <c r="A638" s="1" t="str">
        <f t="shared" si="9"/>
        <v>08 Cefuroxime D 1</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4147</v>
      </c>
      <c r="D638" s="1" t="s">
        <v>4148</v>
      </c>
      <c r="E638" s="1" t="s">
        <v>4149</v>
      </c>
      <c r="F638" s="1" t="s">
        <v>112</v>
      </c>
      <c r="G638" s="1">
        <v>3751121</v>
      </c>
    </row>
    <row r="639" spans="1:7" x14ac:dyDescent="0.35">
      <c r="A639" s="1" t="str">
        <f t="shared" si="9"/>
        <v>08 Cefuroxime D 1</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4150</v>
      </c>
      <c r="D639" s="1" t="s">
        <v>4151</v>
      </c>
      <c r="E639" s="1" t="s">
        <v>4152</v>
      </c>
      <c r="F639" s="1" t="s">
        <v>112</v>
      </c>
      <c r="G639" s="1">
        <v>3798339</v>
      </c>
    </row>
    <row r="640" spans="1:7" x14ac:dyDescent="0.35">
      <c r="A640" s="1" t="str">
        <f t="shared" si="9"/>
        <v>08 Cefuroxime D 1</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4153</v>
      </c>
      <c r="D640" s="1" t="s">
        <v>4154</v>
      </c>
      <c r="E640" s="1" t="s">
        <v>4155</v>
      </c>
      <c r="F640" s="1" t="s">
        <v>112</v>
      </c>
      <c r="G640" s="1">
        <v>3860222</v>
      </c>
    </row>
    <row r="641" spans="1:10" x14ac:dyDescent="0.35">
      <c r="A641" s="1" t="str">
        <f t="shared" si="9"/>
        <v>08 Cefuroxime D 1</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4156</v>
      </c>
      <c r="D641" s="1" t="s">
        <v>2684</v>
      </c>
      <c r="E641" s="1" t="s">
        <v>4157</v>
      </c>
      <c r="F641" s="1" t="s">
        <v>112</v>
      </c>
      <c r="G641" s="1">
        <v>1423831</v>
      </c>
    </row>
    <row r="642" spans="1:10" x14ac:dyDescent="0.35">
      <c r="A642" s="1" t="str">
        <f t="shared" ref="A642:A705" si="10">IFERROR(LEFT(RIGHT(C642,LEN(C642)-SEARCH("@",C642)),SEARCH("/",RIGHT(C642,LEN(C642)-SEARCH("@",C642)-1))),"")</f>
        <v>08 Cefuroxime D 1</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4158</v>
      </c>
      <c r="D642" s="1" t="s">
        <v>4159</v>
      </c>
      <c r="E642" s="1" t="s">
        <v>4160</v>
      </c>
      <c r="F642" s="1" t="s">
        <v>112</v>
      </c>
      <c r="G642" s="1">
        <v>1105093</v>
      </c>
    </row>
    <row r="643" spans="1:10" x14ac:dyDescent="0.35">
      <c r="A643" s="1" t="str">
        <f t="shared" si="10"/>
        <v>08 Cefuroxime D 1</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4161</v>
      </c>
      <c r="D643" s="1" t="s">
        <v>4162</v>
      </c>
      <c r="E643" s="1" t="s">
        <v>4163</v>
      </c>
      <c r="F643" s="1" t="s">
        <v>112</v>
      </c>
      <c r="G643" s="1">
        <v>1708070</v>
      </c>
    </row>
    <row r="644" spans="1:10" x14ac:dyDescent="0.35">
      <c r="A644" s="1" t="str">
        <f t="shared" si="10"/>
        <v>08 Cefuroxime D 1</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4164</v>
      </c>
      <c r="D644" s="1" t="s">
        <v>4165</v>
      </c>
      <c r="E644" s="1" t="s">
        <v>4166</v>
      </c>
      <c r="F644" s="1" t="s">
        <v>112</v>
      </c>
      <c r="G644" s="1">
        <v>634124</v>
      </c>
    </row>
    <row r="645" spans="1:10" x14ac:dyDescent="0.35">
      <c r="A645" s="1" t="str">
        <f t="shared" si="10"/>
        <v>08 Cefuroxime D 1</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4167</v>
      </c>
      <c r="D645" s="1" t="s">
        <v>1805</v>
      </c>
      <c r="E645" s="1" t="s">
        <v>4168</v>
      </c>
      <c r="F645" s="1" t="s">
        <v>112</v>
      </c>
      <c r="G645" s="1">
        <v>555888</v>
      </c>
    </row>
    <row r="646" spans="1:10" x14ac:dyDescent="0.35">
      <c r="A646" s="1" t="str">
        <f t="shared" si="10"/>
        <v>08 Cefuroxime D 1</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4169</v>
      </c>
      <c r="D646" s="1" t="s">
        <v>339</v>
      </c>
      <c r="E646" s="1" t="s">
        <v>4170</v>
      </c>
      <c r="F646" s="1" t="s">
        <v>112</v>
      </c>
      <c r="G646" s="1">
        <v>429764</v>
      </c>
    </row>
    <row r="647" spans="1:10" x14ac:dyDescent="0.35">
      <c r="A647" s="1" t="str">
        <f t="shared" si="10"/>
        <v>08 Cefuroxime D 1</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4171</v>
      </c>
      <c r="D647" s="1" t="s">
        <v>4172</v>
      </c>
      <c r="E647" s="1" t="s">
        <v>4173</v>
      </c>
      <c r="F647" s="1" t="s">
        <v>112</v>
      </c>
      <c r="G647" s="1">
        <v>2502925</v>
      </c>
    </row>
    <row r="648" spans="1:10" x14ac:dyDescent="0.35">
      <c r="A648" s="1" t="str">
        <f t="shared" si="10"/>
        <v>08 Cefuroxime D 1</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4174</v>
      </c>
      <c r="D648" s="1" t="s">
        <v>4175</v>
      </c>
      <c r="E648" s="1" t="s">
        <v>4176</v>
      </c>
      <c r="F648" s="1" t="s">
        <v>112</v>
      </c>
      <c r="G648" s="1">
        <v>2829233</v>
      </c>
    </row>
    <row r="649" spans="1:10" x14ac:dyDescent="0.35">
      <c r="A649" s="1" t="str">
        <f t="shared" si="10"/>
        <v>08 Cefuroxime D 1</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4177</v>
      </c>
      <c r="D649" s="1" t="s">
        <v>4178</v>
      </c>
      <c r="E649" s="1" t="s">
        <v>4179</v>
      </c>
      <c r="F649" s="1" t="s">
        <v>112</v>
      </c>
      <c r="G649" s="1">
        <v>2966951</v>
      </c>
    </row>
    <row r="650" spans="1:10" x14ac:dyDescent="0.35">
      <c r="A650" s="1" t="str">
        <f t="shared" si="10"/>
        <v>08 Cefuroxime D 1</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4180</v>
      </c>
      <c r="D650" s="1" t="s">
        <v>4181</v>
      </c>
      <c r="E650" s="1" t="s">
        <v>4182</v>
      </c>
      <c r="F650" s="1" t="s">
        <v>112</v>
      </c>
      <c r="G650" s="1">
        <v>4368482</v>
      </c>
    </row>
    <row r="651" spans="1:10" x14ac:dyDescent="0.35">
      <c r="A651" s="1" t="str">
        <f t="shared" si="10"/>
        <v>08 Cefuroxime D 1</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4183</v>
      </c>
      <c r="D651" s="1" t="s">
        <v>4184</v>
      </c>
      <c r="E651" s="1" t="s">
        <v>4185</v>
      </c>
      <c r="F651" s="1" t="s">
        <v>112</v>
      </c>
      <c r="G651" s="1">
        <v>4085974</v>
      </c>
    </row>
    <row r="652" spans="1:10" x14ac:dyDescent="0.35">
      <c r="A652" s="1" t="str">
        <f t="shared" si="10"/>
        <v>08 Cefuroxime D 1</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4186</v>
      </c>
      <c r="D652" s="1" t="s">
        <v>4187</v>
      </c>
      <c r="E652" s="1" t="s">
        <v>4188</v>
      </c>
      <c r="F652" s="1" t="s">
        <v>112</v>
      </c>
      <c r="G652" s="1">
        <v>3708618</v>
      </c>
    </row>
    <row r="653" spans="1:10"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234</v>
      </c>
      <c r="D654" s="1" t="s">
        <v>112</v>
      </c>
      <c r="E654" s="1" t="s">
        <v>235</v>
      </c>
      <c r="F654" s="1" t="s">
        <v>236</v>
      </c>
      <c r="G654" s="1" t="s">
        <v>237</v>
      </c>
      <c r="H654" s="1" t="s">
        <v>238</v>
      </c>
      <c r="I654" s="1" t="s">
        <v>239</v>
      </c>
      <c r="J654" s="1" t="s">
        <v>240</v>
      </c>
    </row>
    <row r="655" spans="1:10" x14ac:dyDescent="0.35">
      <c r="A655" s="1" t="str">
        <f t="shared" si="10"/>
        <v>08 Cefuroxime D 1</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4189</v>
      </c>
      <c r="D655" s="1" t="s">
        <v>112</v>
      </c>
      <c r="E655" s="1" t="s">
        <v>4190</v>
      </c>
      <c r="F655" s="1" t="s">
        <v>4191</v>
      </c>
      <c r="G655" s="1" t="s">
        <v>4192</v>
      </c>
      <c r="H655" s="1" t="s">
        <v>4193</v>
      </c>
      <c r="I655" s="1">
        <v>24</v>
      </c>
      <c r="J655" s="1">
        <v>24</v>
      </c>
    </row>
    <row r="656" spans="1:10"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246</v>
      </c>
      <c r="D661" s="1" t="s">
        <v>110</v>
      </c>
      <c r="E661" s="1" t="s">
        <v>111</v>
      </c>
      <c r="F661" s="1" t="s">
        <v>112</v>
      </c>
      <c r="G661" s="1" t="s">
        <v>113</v>
      </c>
    </row>
    <row r="662" spans="1:7" x14ac:dyDescent="0.35">
      <c r="A662" s="1" t="str">
        <f t="shared" si="10"/>
        <v>09 Cefuroxime D 10</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4194</v>
      </c>
      <c r="D662" s="1" t="s">
        <v>4195</v>
      </c>
      <c r="E662" s="1" t="s">
        <v>4196</v>
      </c>
      <c r="F662" s="1" t="s">
        <v>112</v>
      </c>
      <c r="G662" s="1">
        <v>870409</v>
      </c>
    </row>
    <row r="663" spans="1:7" x14ac:dyDescent="0.35">
      <c r="A663" s="1" t="str">
        <f t="shared" si="10"/>
        <v>09 Cefuroxime D 10</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4197</v>
      </c>
      <c r="D663" s="1" t="s">
        <v>4198</v>
      </c>
      <c r="E663" s="1" t="s">
        <v>4199</v>
      </c>
      <c r="F663" s="1" t="s">
        <v>112</v>
      </c>
      <c r="G663" s="1">
        <v>1481821</v>
      </c>
    </row>
    <row r="664" spans="1:7" x14ac:dyDescent="0.35">
      <c r="A664" s="1" t="str">
        <f t="shared" si="10"/>
        <v>09 Cefuroxime D 10</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4200</v>
      </c>
      <c r="D664" s="1" t="s">
        <v>4201</v>
      </c>
      <c r="E664" s="1" t="s">
        <v>4202</v>
      </c>
      <c r="F664" s="1" t="s">
        <v>112</v>
      </c>
      <c r="G664" s="1">
        <v>587057</v>
      </c>
    </row>
    <row r="665" spans="1:7" x14ac:dyDescent="0.35">
      <c r="A665" s="1" t="str">
        <f t="shared" si="10"/>
        <v>09 Cefuroxime D 10</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4203</v>
      </c>
      <c r="D665" s="1" t="s">
        <v>4204</v>
      </c>
      <c r="E665" s="1" t="s">
        <v>4205</v>
      </c>
      <c r="F665" s="1" t="s">
        <v>112</v>
      </c>
      <c r="G665" s="1">
        <v>2103637</v>
      </c>
    </row>
    <row r="666" spans="1:7" x14ac:dyDescent="0.35">
      <c r="A666" s="1" t="str">
        <f t="shared" si="10"/>
        <v>09 Cefuroxime D 10</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4206</v>
      </c>
      <c r="D666" s="1" t="s">
        <v>4207</v>
      </c>
      <c r="E666" s="1" t="s">
        <v>4208</v>
      </c>
      <c r="F666" s="1" t="s">
        <v>112</v>
      </c>
      <c r="G666" s="1">
        <v>2075042</v>
      </c>
    </row>
    <row r="667" spans="1:7" x14ac:dyDescent="0.35">
      <c r="A667" s="1" t="str">
        <f t="shared" si="10"/>
        <v>09 Cefuroxime D 10</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4209</v>
      </c>
    </row>
    <row r="668" spans="1:7" x14ac:dyDescent="0.35">
      <c r="A668" s="1" t="str">
        <f t="shared" si="10"/>
        <v>09 Cefuroxime D 10</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4210</v>
      </c>
      <c r="D668" s="1" t="s">
        <v>3027</v>
      </c>
      <c r="E668" s="1" t="s">
        <v>4211</v>
      </c>
      <c r="F668" s="1" t="s">
        <v>112</v>
      </c>
      <c r="G668" s="1">
        <v>519788</v>
      </c>
    </row>
    <row r="669" spans="1:7" x14ac:dyDescent="0.35">
      <c r="A669" s="1" t="str">
        <f t="shared" si="10"/>
        <v>09 Cefuroxime D 10</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4212</v>
      </c>
      <c r="D669" s="1" t="s">
        <v>4213</v>
      </c>
      <c r="E669" s="1" t="s">
        <v>4214</v>
      </c>
      <c r="F669" s="1" t="s">
        <v>112</v>
      </c>
      <c r="G669" s="1">
        <v>161013</v>
      </c>
    </row>
    <row r="670" spans="1:7" x14ac:dyDescent="0.35">
      <c r="A670" s="1" t="str">
        <f t="shared" si="10"/>
        <v>09 Cefuroxime D 10</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4215</v>
      </c>
    </row>
    <row r="671" spans="1:7" x14ac:dyDescent="0.35">
      <c r="A671" s="1" t="str">
        <f t="shared" si="10"/>
        <v>09 Cefuroxime D 10</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4216</v>
      </c>
      <c r="D671" s="1" t="s">
        <v>4217</v>
      </c>
      <c r="E671" s="1" t="s">
        <v>4218</v>
      </c>
      <c r="F671" s="1" t="s">
        <v>112</v>
      </c>
      <c r="G671" s="1">
        <v>2494770</v>
      </c>
    </row>
    <row r="672" spans="1:7" x14ac:dyDescent="0.35">
      <c r="A672" s="1" t="str">
        <f t="shared" si="10"/>
        <v>09 Cefuroxime D 10</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4219</v>
      </c>
      <c r="D672" s="1" t="s">
        <v>1519</v>
      </c>
      <c r="E672" s="1" t="s">
        <v>4220</v>
      </c>
      <c r="F672" s="1" t="s">
        <v>112</v>
      </c>
      <c r="G672" s="1">
        <v>2657016</v>
      </c>
    </row>
    <row r="673" spans="1:10" x14ac:dyDescent="0.35">
      <c r="A673" s="1" t="str">
        <f t="shared" si="10"/>
        <v>09 Cefuroxime D 10</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4221</v>
      </c>
      <c r="D673" s="1" t="s">
        <v>4222</v>
      </c>
      <c r="E673" s="1" t="s">
        <v>4223</v>
      </c>
      <c r="F673" s="1" t="s">
        <v>112</v>
      </c>
      <c r="G673" s="1">
        <v>2565500</v>
      </c>
    </row>
    <row r="674" spans="1:10" x14ac:dyDescent="0.35">
      <c r="A674" s="1" t="str">
        <f t="shared" si="10"/>
        <v>09 Cefuroxime D 10</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4224</v>
      </c>
      <c r="D674" s="1" t="s">
        <v>4225</v>
      </c>
      <c r="E674" s="1" t="s">
        <v>4226</v>
      </c>
      <c r="F674" s="1" t="s">
        <v>112</v>
      </c>
      <c r="G674" s="1">
        <v>1819572</v>
      </c>
    </row>
    <row r="675" spans="1:10" x14ac:dyDescent="0.35">
      <c r="A675" s="1" t="str">
        <f t="shared" si="10"/>
        <v>09 Cefuroxime D 10</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4227</v>
      </c>
      <c r="D675" s="1" t="s">
        <v>1910</v>
      </c>
      <c r="E675" s="1" t="s">
        <v>4228</v>
      </c>
      <c r="F675" s="1" t="s">
        <v>112</v>
      </c>
      <c r="G675" s="1">
        <v>1801100</v>
      </c>
    </row>
    <row r="676" spans="1:10" x14ac:dyDescent="0.35">
      <c r="A676" s="1" t="str">
        <f t="shared" si="10"/>
        <v>09 Cefuroxime D 10</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4229</v>
      </c>
      <c r="D676" s="1" t="s">
        <v>4230</v>
      </c>
      <c r="E676" s="1" t="s">
        <v>4231</v>
      </c>
      <c r="F676" s="1" t="s">
        <v>112</v>
      </c>
      <c r="G676" s="1">
        <v>1653541</v>
      </c>
    </row>
    <row r="677" spans="1:10" x14ac:dyDescent="0.35">
      <c r="A677" s="1" t="str">
        <f t="shared" si="10"/>
        <v>09 Cefuroxime D 10</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4232</v>
      </c>
      <c r="D677" s="1" t="s">
        <v>4233</v>
      </c>
      <c r="E677" s="1" t="s">
        <v>4234</v>
      </c>
      <c r="F677" s="1" t="s">
        <v>112</v>
      </c>
      <c r="G677" s="1">
        <v>3372382</v>
      </c>
    </row>
    <row r="678" spans="1:10" x14ac:dyDescent="0.35">
      <c r="A678" s="1" t="str">
        <f t="shared" si="10"/>
        <v>09 Cefuroxime D 10</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4235</v>
      </c>
      <c r="D678" s="1" t="s">
        <v>1468</v>
      </c>
      <c r="E678" s="1" t="s">
        <v>4236</v>
      </c>
      <c r="F678" s="1" t="s">
        <v>112</v>
      </c>
      <c r="G678" s="1">
        <v>3629345</v>
      </c>
    </row>
    <row r="679" spans="1:10" x14ac:dyDescent="0.35">
      <c r="A679" s="1" t="str">
        <f t="shared" si="10"/>
        <v>09 Cefuroxime D 10</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4237</v>
      </c>
      <c r="D679" s="1" t="s">
        <v>1624</v>
      </c>
      <c r="E679" s="1" t="s">
        <v>4238</v>
      </c>
      <c r="F679" s="1" t="s">
        <v>112</v>
      </c>
      <c r="G679" s="1">
        <v>3388388</v>
      </c>
    </row>
    <row r="680" spans="1:10" x14ac:dyDescent="0.35">
      <c r="A680" s="1" t="str">
        <f t="shared" si="10"/>
        <v>09 Cefuroxime D 10</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4239</v>
      </c>
      <c r="D680" s="1" t="s">
        <v>3231</v>
      </c>
      <c r="E680" s="1" t="s">
        <v>4240</v>
      </c>
      <c r="F680" s="1" t="s">
        <v>112</v>
      </c>
      <c r="G680" s="1">
        <v>224994</v>
      </c>
    </row>
    <row r="681" spans="1:10" x14ac:dyDescent="0.35">
      <c r="A681" s="1" t="str">
        <f t="shared" si="10"/>
        <v>09 Cefuroxime D 10</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4241</v>
      </c>
      <c r="D681" s="1" t="s">
        <v>4242</v>
      </c>
      <c r="E681" s="1" t="s">
        <v>4243</v>
      </c>
      <c r="F681" s="1" t="s">
        <v>112</v>
      </c>
      <c r="G681" s="1">
        <v>362950</v>
      </c>
    </row>
    <row r="682" spans="1:10" x14ac:dyDescent="0.35">
      <c r="A682" s="1" t="str">
        <f t="shared" si="10"/>
        <v>09 Cefuroxime D 10</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4244</v>
      </c>
      <c r="D682" s="1" t="s">
        <v>2928</v>
      </c>
      <c r="E682" s="1" t="s">
        <v>4245</v>
      </c>
      <c r="F682" s="1" t="s">
        <v>112</v>
      </c>
      <c r="G682" s="1">
        <v>216732</v>
      </c>
    </row>
    <row r="683" spans="1:10" x14ac:dyDescent="0.35">
      <c r="A683" s="1" t="str">
        <f t="shared" si="10"/>
        <v>09 Cefuroxime D 10</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4246</v>
      </c>
      <c r="D683" s="1" t="s">
        <v>4247</v>
      </c>
      <c r="E683" s="1" t="s">
        <v>4248</v>
      </c>
      <c r="F683" s="1" t="s">
        <v>112</v>
      </c>
      <c r="G683" s="1">
        <v>301391</v>
      </c>
    </row>
    <row r="684" spans="1:10" x14ac:dyDescent="0.35">
      <c r="A684" s="1" t="str">
        <f t="shared" si="10"/>
        <v>09 Cefuroxime D 10</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4249</v>
      </c>
      <c r="D684" s="1" t="s">
        <v>351</v>
      </c>
      <c r="E684" s="1" t="s">
        <v>4250</v>
      </c>
      <c r="F684" s="1" t="s">
        <v>112</v>
      </c>
      <c r="G684" s="1">
        <v>949228</v>
      </c>
    </row>
    <row r="685" spans="1:10" x14ac:dyDescent="0.35">
      <c r="A685" s="1" t="str">
        <f t="shared" si="10"/>
        <v>09 Cefuroxime D 10</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4251</v>
      </c>
    </row>
    <row r="686" spans="1:10"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234</v>
      </c>
      <c r="D687" s="1" t="s">
        <v>112</v>
      </c>
      <c r="E687" s="1" t="s">
        <v>235</v>
      </c>
      <c r="F687" s="1" t="s">
        <v>236</v>
      </c>
      <c r="G687" s="1" t="s">
        <v>237</v>
      </c>
      <c r="H687" s="1" t="s">
        <v>238</v>
      </c>
      <c r="I687" s="1" t="s">
        <v>239</v>
      </c>
      <c r="J687" s="1" t="s">
        <v>240</v>
      </c>
    </row>
    <row r="688" spans="1:10" x14ac:dyDescent="0.35">
      <c r="A688" s="1" t="str">
        <f t="shared" si="10"/>
        <v>09 Cefuroxime D 10</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4252</v>
      </c>
      <c r="D688" s="1" t="s">
        <v>112</v>
      </c>
      <c r="E688" s="1" t="s">
        <v>4253</v>
      </c>
      <c r="F688" s="1" t="s">
        <v>4254</v>
      </c>
      <c r="G688" s="1" t="s">
        <v>4255</v>
      </c>
      <c r="H688" s="1" t="s">
        <v>4256</v>
      </c>
      <c r="I688" s="1">
        <v>24</v>
      </c>
      <c r="J688" s="1">
        <v>24</v>
      </c>
    </row>
    <row r="689" spans="1:3"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6"/>
  <sheetViews>
    <sheetView showGridLines="0" topLeftCell="N10" zoomScale="55" zoomScaleNormal="55" zoomScaleSheetLayoutView="40" zoomScalePageLayoutView="30" workbookViewId="0">
      <selection activeCell="B4" sqref="B4:V20"/>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20" t="s">
        <v>43</v>
      </c>
      <c r="B1" s="221"/>
      <c r="C1" s="221"/>
      <c r="D1" s="221"/>
      <c r="E1" s="221"/>
      <c r="F1" s="221"/>
      <c r="G1" s="221"/>
      <c r="H1" s="221"/>
      <c r="I1" s="221"/>
      <c r="J1" s="221"/>
      <c r="K1" s="221"/>
      <c r="L1" s="221"/>
      <c r="M1" s="221"/>
      <c r="N1" s="221"/>
      <c r="O1" s="221"/>
      <c r="P1" s="221"/>
      <c r="Q1" s="221"/>
      <c r="R1" s="221"/>
      <c r="S1" s="221"/>
      <c r="T1" s="221"/>
      <c r="U1" s="221"/>
      <c r="V1" s="221"/>
    </row>
    <row r="2" spans="1:22" ht="15" thickBot="1" x14ac:dyDescent="0.4"/>
    <row r="3" spans="1:22" ht="15" thickBot="1" x14ac:dyDescent="0.4">
      <c r="A3" s="152" t="s">
        <v>22</v>
      </c>
      <c r="B3" s="228" t="s">
        <v>6</v>
      </c>
      <c r="C3" s="229"/>
      <c r="D3" s="229"/>
      <c r="E3" s="229"/>
      <c r="F3" s="229"/>
      <c r="G3" s="229"/>
      <c r="H3" s="229"/>
      <c r="I3" s="229"/>
      <c r="J3" s="229"/>
      <c r="K3" s="229"/>
      <c r="L3" s="229"/>
      <c r="M3" s="229"/>
      <c r="O3" s="228" t="s">
        <v>3</v>
      </c>
      <c r="P3" s="229"/>
      <c r="Q3" s="229"/>
      <c r="R3" s="229"/>
      <c r="S3" s="229"/>
      <c r="T3" s="229"/>
      <c r="U3" s="229"/>
      <c r="V3" s="229"/>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Cefuroxime 0,001mg/L</v>
      </c>
      <c r="J4" s="35" t="str">
        <f>'Page de garde'!A16</f>
        <v>Cefuroxime 0,01mg/L</v>
      </c>
      <c r="K4" s="35" t="str">
        <f>'Page de garde'!A17</f>
        <v>Cefuroxime 0,1mg/L</v>
      </c>
      <c r="L4" s="35" t="str">
        <f>'Page de garde'!A18</f>
        <v>Cefuroxime 1mg/L</v>
      </c>
      <c r="M4" s="35" t="str">
        <f>'Page de garde'!A19</f>
        <v>Cefuroxime 10mg/L</v>
      </c>
      <c r="N4" s="3"/>
      <c r="O4" s="36" t="str">
        <f>'Page de garde'!A36</f>
        <v>Testo -30µg/L</v>
      </c>
      <c r="P4" s="36" t="str">
        <f>'Page de garde'!A37</f>
        <v>Testo 30µg/L + EE2 -64ng/L</v>
      </c>
      <c r="Q4" s="36" t="str">
        <f>'Page de garde'!A38</f>
        <v>Testo 30µg/L + FAD-10µg/L</v>
      </c>
      <c r="R4" s="36" t="str">
        <f>'Page de garde'!A39</f>
        <v>Cefuroxime-0,001mg/L + Testostérone</v>
      </c>
      <c r="S4" s="36" t="str">
        <f>'Page de garde'!A40</f>
        <v>Cefuroxime-0,01mg/L + Testostérone</v>
      </c>
      <c r="T4" s="36" t="str">
        <f>'Page de garde'!A41</f>
        <v>Cefuroxime-0,1mg/L + Testostérone</v>
      </c>
      <c r="U4" s="36" t="str">
        <f>'Page de garde'!A42</f>
        <v>Cefuroxime-1mg/L + Testostérone</v>
      </c>
      <c r="V4" s="36" t="str">
        <f>'Page de garde'!A43</f>
        <v>Cefuroxime-10mg/L + Testostérone</v>
      </c>
    </row>
    <row r="5" spans="1:22" x14ac:dyDescent="0.35">
      <c r="A5" s="230" t="s">
        <v>33</v>
      </c>
      <c r="B5" s="195">
        <v>843883</v>
      </c>
      <c r="C5" s="195">
        <v>104941</v>
      </c>
      <c r="D5" s="195">
        <v>359662</v>
      </c>
      <c r="E5" s="195">
        <v>205880.33333333334</v>
      </c>
      <c r="F5" s="195">
        <v>2237814.3333333335</v>
      </c>
      <c r="G5" s="195">
        <v>5906799.666666667</v>
      </c>
      <c r="H5" s="195">
        <v>5245134</v>
      </c>
      <c r="I5" s="195">
        <v>26626.666666666668</v>
      </c>
      <c r="J5" s="195">
        <v>587056.66666666663</v>
      </c>
      <c r="K5" s="195">
        <v>74190.666666666672</v>
      </c>
      <c r="L5" s="195">
        <v>279054.33333333331</v>
      </c>
      <c r="M5" s="195">
        <v>134768.66666666666</v>
      </c>
      <c r="N5" s="3"/>
      <c r="O5" s="195">
        <v>2955790</v>
      </c>
      <c r="P5" s="195">
        <v>2633555</v>
      </c>
      <c r="Q5" s="195">
        <v>100226</v>
      </c>
      <c r="R5" s="195">
        <v>1115403.3333333333</v>
      </c>
      <c r="S5" s="195">
        <v>2791835.6666666665</v>
      </c>
      <c r="T5" s="195">
        <v>26698.666666666668</v>
      </c>
      <c r="U5" s="195">
        <v>532795</v>
      </c>
      <c r="V5" s="195">
        <v>979762.33333333337</v>
      </c>
    </row>
    <row r="6" spans="1:22" x14ac:dyDescent="0.35">
      <c r="A6" s="230"/>
      <c r="B6" s="195">
        <v>291859.33333333331</v>
      </c>
      <c r="C6" s="195">
        <v>28670.5</v>
      </c>
      <c r="D6" s="195">
        <v>82936.333333333328</v>
      </c>
      <c r="E6" s="195">
        <v>133773.66666666666</v>
      </c>
      <c r="F6" s="195">
        <v>3312942.6666666665</v>
      </c>
      <c r="G6" s="195">
        <v>5271493.666666667</v>
      </c>
      <c r="H6" s="195">
        <v>7719485.666666667</v>
      </c>
      <c r="I6" s="195">
        <v>131726</v>
      </c>
      <c r="J6" s="195"/>
      <c r="K6" s="195">
        <v>21795.666666666668</v>
      </c>
      <c r="L6" s="195">
        <v>44478</v>
      </c>
      <c r="M6" s="195">
        <v>103564</v>
      </c>
      <c r="N6" s="3"/>
      <c r="O6" s="195">
        <v>396706.66666666669</v>
      </c>
      <c r="P6" s="195">
        <v>3246690.6666666665</v>
      </c>
      <c r="Q6" s="195">
        <v>167307.33333333334</v>
      </c>
      <c r="R6" s="195">
        <v>2720381</v>
      </c>
      <c r="S6" s="195">
        <v>3598399.6666666665</v>
      </c>
      <c r="T6" s="195">
        <v>2219335.5</v>
      </c>
      <c r="U6" s="195">
        <v>1016886.3333333334</v>
      </c>
      <c r="V6" s="195">
        <v>2089339.5</v>
      </c>
    </row>
    <row r="7" spans="1:22" x14ac:dyDescent="0.35">
      <c r="A7" s="230"/>
      <c r="B7" s="195">
        <v>558923.66666666663</v>
      </c>
      <c r="C7" s="195">
        <v>96757.666666666672</v>
      </c>
      <c r="D7" s="195">
        <v>91927</v>
      </c>
      <c r="E7" s="195">
        <v>97125.666666666672</v>
      </c>
      <c r="F7" s="195">
        <v>3060421.3333333335</v>
      </c>
      <c r="G7" s="195">
        <v>3337384.3333333335</v>
      </c>
      <c r="H7" s="195">
        <v>4260602.5</v>
      </c>
      <c r="I7" s="195">
        <v>94061</v>
      </c>
      <c r="J7" s="195">
        <v>27621.333333333332</v>
      </c>
      <c r="K7" s="195">
        <v>94703</v>
      </c>
      <c r="L7" s="195">
        <v>110788.33333333333</v>
      </c>
      <c r="M7" s="195">
        <v>126744</v>
      </c>
      <c r="N7" s="3"/>
      <c r="O7" s="195">
        <v>2274502.5</v>
      </c>
      <c r="P7" s="195">
        <v>1645227.3333333333</v>
      </c>
      <c r="Q7" s="195">
        <v>69078.666666666672</v>
      </c>
      <c r="R7" s="195">
        <v>4008127.6666666665</v>
      </c>
      <c r="S7" s="195"/>
      <c r="T7" s="195">
        <v>1500112.6666666667</v>
      </c>
      <c r="U7" s="195">
        <v>2265724.3333333335</v>
      </c>
      <c r="V7" s="195">
        <v>340400.5</v>
      </c>
    </row>
    <row r="8" spans="1:22" x14ac:dyDescent="0.35">
      <c r="A8" s="230"/>
      <c r="B8" s="195">
        <v>259695.66666666666</v>
      </c>
      <c r="C8" s="195">
        <v>95856.333333333328</v>
      </c>
      <c r="D8" s="195">
        <v>63253</v>
      </c>
      <c r="E8" s="195">
        <v>1555881.6666666667</v>
      </c>
      <c r="F8" s="195">
        <v>3123176.6666666665</v>
      </c>
      <c r="G8" s="195">
        <v>2914657</v>
      </c>
      <c r="H8" s="195">
        <v>4058157.6666666665</v>
      </c>
      <c r="I8" s="195">
        <v>415964.33333333331</v>
      </c>
      <c r="J8" s="195">
        <v>30015</v>
      </c>
      <c r="K8" s="195">
        <v>170155</v>
      </c>
      <c r="L8" s="195">
        <v>41183.5</v>
      </c>
      <c r="M8" s="195"/>
      <c r="N8" s="3"/>
      <c r="O8" s="195">
        <v>1712993.6666666667</v>
      </c>
      <c r="P8" s="195">
        <v>892882.33333333337</v>
      </c>
      <c r="Q8" s="195">
        <v>150558.66666666666</v>
      </c>
      <c r="R8" s="195">
        <v>1907511.3333333333</v>
      </c>
      <c r="S8" s="195">
        <v>1366814.5</v>
      </c>
      <c r="T8" s="195">
        <v>2071603</v>
      </c>
      <c r="U8" s="195">
        <v>3803227.3333333335</v>
      </c>
      <c r="V8" s="195">
        <v>2572428.6666666665</v>
      </c>
    </row>
    <row r="9" spans="1:22" x14ac:dyDescent="0.35">
      <c r="A9" s="230"/>
      <c r="B9" s="195">
        <v>285320</v>
      </c>
      <c r="C9" s="195">
        <v>64377.666666666664</v>
      </c>
      <c r="D9" s="195">
        <v>3390522</v>
      </c>
      <c r="E9" s="195">
        <v>1624037</v>
      </c>
      <c r="F9" s="195">
        <v>1345725.3333333333</v>
      </c>
      <c r="G9" s="195">
        <v>2844907.6666666665</v>
      </c>
      <c r="H9" s="195">
        <v>11229592.333333334</v>
      </c>
      <c r="I9" s="195">
        <v>78094.5</v>
      </c>
      <c r="J9" s="195">
        <v>131337</v>
      </c>
      <c r="K9" s="195">
        <v>29265.333333333332</v>
      </c>
      <c r="L9" s="195">
        <v>22765.5</v>
      </c>
      <c r="M9" s="195">
        <v>531006.66666666663</v>
      </c>
      <c r="N9" s="3"/>
      <c r="O9" s="195">
        <v>3288544</v>
      </c>
      <c r="P9" s="195">
        <v>3287989</v>
      </c>
      <c r="Q9" s="195">
        <v>385639.66666666669</v>
      </c>
      <c r="R9" s="195">
        <v>128405.5</v>
      </c>
      <c r="S9" s="195">
        <v>4768310</v>
      </c>
      <c r="T9" s="195">
        <v>2562681</v>
      </c>
      <c r="U9" s="195">
        <v>1412331.3333333333</v>
      </c>
      <c r="V9" s="195">
        <v>1758071</v>
      </c>
    </row>
    <row r="10" spans="1:22" x14ac:dyDescent="0.35">
      <c r="A10" s="230"/>
      <c r="B10" s="195">
        <v>111011.66666666667</v>
      </c>
      <c r="C10" s="195">
        <v>45466</v>
      </c>
      <c r="D10" s="195">
        <v>139159.66666666666</v>
      </c>
      <c r="E10" s="195">
        <v>851121.66666666663</v>
      </c>
      <c r="F10" s="195">
        <v>1818652.5</v>
      </c>
      <c r="G10" s="195">
        <v>4190633.3333333335</v>
      </c>
      <c r="H10" s="195">
        <v>7156611</v>
      </c>
      <c r="I10" s="195">
        <v>113456</v>
      </c>
      <c r="J10" s="195">
        <v>57131.666666666664</v>
      </c>
      <c r="K10" s="195">
        <v>78502.333333333328</v>
      </c>
      <c r="L10" s="195">
        <v>240275.5</v>
      </c>
      <c r="M10" s="195">
        <v>17592.333333333332</v>
      </c>
      <c r="N10" s="3"/>
      <c r="O10" s="195">
        <v>3717638</v>
      </c>
      <c r="P10" s="195">
        <v>4437019.666666667</v>
      </c>
      <c r="Q10" s="195">
        <v>155519</v>
      </c>
      <c r="R10" s="195">
        <v>4177331.3333333335</v>
      </c>
      <c r="S10" s="195">
        <v>1378862.6666666667</v>
      </c>
      <c r="T10" s="195">
        <v>3884318</v>
      </c>
      <c r="U10" s="195">
        <v>539925.33333333337</v>
      </c>
      <c r="V10" s="195">
        <v>3463371.6666666665</v>
      </c>
    </row>
    <row r="11" spans="1:22" x14ac:dyDescent="0.35">
      <c r="A11" s="230"/>
      <c r="B11" s="195">
        <v>16280</v>
      </c>
      <c r="C11" s="195">
        <v>73650</v>
      </c>
      <c r="D11" s="195">
        <v>112763.66666666667</v>
      </c>
      <c r="E11" s="195">
        <v>146376.66666666666</v>
      </c>
      <c r="F11" s="195">
        <v>1657989.3333333333</v>
      </c>
      <c r="G11" s="195"/>
      <c r="H11" s="195">
        <v>5529185.5</v>
      </c>
      <c r="I11" s="195">
        <v>417175.66666666669</v>
      </c>
      <c r="J11" s="195">
        <v>334109.66666666669</v>
      </c>
      <c r="K11" s="195">
        <v>41724</v>
      </c>
      <c r="L11" s="195">
        <v>22538.666666666668</v>
      </c>
      <c r="M11" s="195">
        <v>13807</v>
      </c>
      <c r="N11" s="3"/>
      <c r="O11" s="195">
        <v>66944.666666666672</v>
      </c>
      <c r="P11" s="195">
        <v>4515262</v>
      </c>
      <c r="Q11" s="195">
        <v>23108</v>
      </c>
      <c r="R11" s="195">
        <v>1373483.6666666667</v>
      </c>
      <c r="S11" s="195">
        <v>5124208.333333333</v>
      </c>
      <c r="T11" s="195">
        <v>1652971</v>
      </c>
      <c r="U11" s="195">
        <v>2766369.6666666665</v>
      </c>
      <c r="V11" s="195">
        <v>268225.33333333331</v>
      </c>
    </row>
    <row r="12" spans="1:22" x14ac:dyDescent="0.35">
      <c r="A12" s="230"/>
      <c r="B12" s="195">
        <v>12480.333333333334</v>
      </c>
      <c r="C12" s="195">
        <v>2293396.3333333335</v>
      </c>
      <c r="D12" s="195">
        <v>368032.66666666669</v>
      </c>
      <c r="E12" s="195">
        <v>357268.33333333331</v>
      </c>
      <c r="F12" s="195">
        <v>2586625</v>
      </c>
      <c r="G12" s="195"/>
      <c r="H12" s="195">
        <v>4513971.666666667</v>
      </c>
      <c r="I12" s="195">
        <v>386165.66666666669</v>
      </c>
      <c r="J12" s="195">
        <v>106159.33333333333</v>
      </c>
      <c r="K12" s="195">
        <v>14917.333333333334</v>
      </c>
      <c r="L12" s="195">
        <v>9658</v>
      </c>
      <c r="M12" s="195">
        <v>78876.666666666672</v>
      </c>
      <c r="N12" s="3"/>
      <c r="O12" s="195">
        <v>2824053</v>
      </c>
      <c r="P12" s="195">
        <v>1123774</v>
      </c>
      <c r="Q12" s="195">
        <v>32762.333333333332</v>
      </c>
      <c r="R12" s="195">
        <v>998717.33333333337</v>
      </c>
      <c r="S12" s="195">
        <v>2868116.6666666665</v>
      </c>
      <c r="T12" s="195"/>
      <c r="U12" s="195">
        <v>4054358</v>
      </c>
      <c r="V12" s="195">
        <v>625309.5</v>
      </c>
    </row>
    <row r="13" spans="1:22" ht="16.5" x14ac:dyDescent="0.35">
      <c r="A13" s="230"/>
      <c r="B13" s="14"/>
      <c r="C13" s="13"/>
      <c r="D13" s="32"/>
      <c r="E13" s="32"/>
      <c r="F13" s="32"/>
      <c r="G13" s="32"/>
      <c r="H13" s="32"/>
      <c r="I13" s="32"/>
      <c r="J13" s="32"/>
      <c r="K13" s="13"/>
      <c r="L13" s="13"/>
      <c r="M13" s="13"/>
      <c r="N13" s="3"/>
      <c r="O13" s="195">
        <v>2619770</v>
      </c>
      <c r="P13" s="13"/>
      <c r="Q13" s="13"/>
      <c r="R13" s="32"/>
      <c r="S13" s="32"/>
      <c r="T13" s="32"/>
      <c r="U13" s="32"/>
      <c r="V13" s="32"/>
    </row>
    <row r="14" spans="1:22" ht="16.5" x14ac:dyDescent="0.35">
      <c r="A14" s="230"/>
      <c r="B14" s="14"/>
      <c r="C14" s="32"/>
      <c r="D14" s="32"/>
      <c r="E14" s="32"/>
      <c r="F14" s="32"/>
      <c r="G14" s="32"/>
      <c r="H14" s="32"/>
      <c r="I14" s="32"/>
      <c r="J14" s="32"/>
      <c r="K14" s="13"/>
      <c r="L14" s="13"/>
      <c r="M14" s="13"/>
      <c r="N14" s="3"/>
      <c r="O14" s="195">
        <v>2049483</v>
      </c>
      <c r="P14" s="13"/>
      <c r="Q14" s="13"/>
      <c r="R14" s="32"/>
      <c r="S14" s="32"/>
      <c r="T14" s="32"/>
      <c r="U14" s="32"/>
      <c r="V14" s="32"/>
    </row>
    <row r="15" spans="1:22" ht="16.5" x14ac:dyDescent="0.35">
      <c r="A15" s="230"/>
      <c r="B15" s="14"/>
      <c r="C15" s="32"/>
      <c r="D15" s="32"/>
      <c r="E15" s="32"/>
      <c r="F15" s="32"/>
      <c r="G15" s="32"/>
      <c r="H15" s="32"/>
      <c r="I15" s="32"/>
      <c r="J15" s="32"/>
      <c r="K15" s="13"/>
      <c r="L15" s="13"/>
      <c r="M15" s="13"/>
      <c r="N15" s="3"/>
      <c r="O15" s="195">
        <v>3440764.5</v>
      </c>
      <c r="P15" s="13"/>
      <c r="Q15" s="13"/>
      <c r="R15" s="32"/>
      <c r="S15" s="32"/>
      <c r="T15" s="32"/>
      <c r="U15" s="32"/>
      <c r="V15" s="32"/>
    </row>
    <row r="16" spans="1:22" ht="16.5" x14ac:dyDescent="0.35">
      <c r="A16" s="230"/>
      <c r="B16" s="14"/>
      <c r="C16" s="32"/>
      <c r="D16" s="32"/>
      <c r="E16" s="32"/>
      <c r="F16" s="32"/>
      <c r="G16" s="32"/>
      <c r="H16" s="32"/>
      <c r="I16" s="32"/>
      <c r="J16" s="32"/>
      <c r="K16" s="13"/>
      <c r="L16" s="13"/>
      <c r="M16" s="13"/>
      <c r="N16" s="3"/>
      <c r="O16" s="195">
        <v>1570727</v>
      </c>
      <c r="P16" s="13"/>
      <c r="Q16" s="13"/>
      <c r="R16" s="32"/>
      <c r="S16" s="32"/>
      <c r="T16" s="32"/>
      <c r="U16" s="32"/>
      <c r="V16" s="32"/>
    </row>
    <row r="17" spans="1:22" ht="16.5" x14ac:dyDescent="0.35">
      <c r="A17" s="230"/>
      <c r="B17" s="14"/>
      <c r="C17" s="32"/>
      <c r="D17" s="32"/>
      <c r="E17" s="32"/>
      <c r="F17" s="32"/>
      <c r="G17" s="32"/>
      <c r="H17" s="32"/>
      <c r="I17" s="32"/>
      <c r="J17" s="32"/>
      <c r="K17" s="13"/>
      <c r="L17" s="13"/>
      <c r="M17" s="13"/>
      <c r="N17" s="3"/>
      <c r="O17" s="195">
        <v>1796917.6666666667</v>
      </c>
      <c r="P17" s="13"/>
      <c r="Q17" s="13"/>
      <c r="R17" s="32"/>
      <c r="S17" s="32"/>
      <c r="T17" s="32"/>
      <c r="U17" s="32"/>
      <c r="V17" s="32"/>
    </row>
    <row r="18" spans="1:22" ht="16.5" x14ac:dyDescent="0.35">
      <c r="A18" s="230"/>
      <c r="B18" s="14"/>
      <c r="C18" s="32"/>
      <c r="D18" s="32"/>
      <c r="E18" s="32"/>
      <c r="F18" s="32"/>
      <c r="G18" s="32"/>
      <c r="H18" s="32"/>
      <c r="I18" s="32"/>
      <c r="J18" s="32"/>
      <c r="K18" s="13"/>
      <c r="L18" s="13"/>
      <c r="M18" s="13"/>
      <c r="N18" s="3"/>
      <c r="O18" s="195">
        <v>3302769.6666666665</v>
      </c>
      <c r="P18" s="13"/>
      <c r="Q18" s="13"/>
      <c r="R18" s="32"/>
      <c r="S18" s="32"/>
      <c r="T18" s="32"/>
      <c r="U18" s="32"/>
      <c r="V18" s="32"/>
    </row>
    <row r="19" spans="1:22" ht="16.5" x14ac:dyDescent="0.35">
      <c r="A19" s="230"/>
      <c r="B19" s="14"/>
      <c r="C19" s="32"/>
      <c r="D19" s="32"/>
      <c r="E19" s="32"/>
      <c r="F19" s="32"/>
      <c r="G19" s="32"/>
      <c r="H19" s="32"/>
      <c r="I19" s="32"/>
      <c r="J19" s="32"/>
      <c r="K19" s="13"/>
      <c r="L19" s="13"/>
      <c r="M19" s="13"/>
      <c r="N19" s="3"/>
      <c r="O19" s="195">
        <v>276311</v>
      </c>
      <c r="P19" s="13"/>
      <c r="Q19" s="13"/>
      <c r="R19" s="32"/>
      <c r="S19" s="32"/>
      <c r="T19" s="32"/>
      <c r="U19" s="32"/>
      <c r="V19" s="32"/>
    </row>
    <row r="20" spans="1:22" ht="16.5" x14ac:dyDescent="0.35">
      <c r="A20" s="230"/>
      <c r="B20" s="14"/>
      <c r="C20" s="32"/>
      <c r="D20" s="32"/>
      <c r="E20" s="32"/>
      <c r="F20" s="32"/>
      <c r="G20" s="32"/>
      <c r="H20" s="32"/>
      <c r="I20" s="32"/>
      <c r="J20" s="32"/>
      <c r="K20" s="13"/>
      <c r="L20" s="13"/>
      <c r="M20" s="13"/>
      <c r="N20" s="3"/>
      <c r="O20" s="195">
        <v>2130602.3333333335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Cefuroxime 0,001mg/L</v>
      </c>
      <c r="J22" s="3" t="str">
        <f t="shared" si="0"/>
        <v>Cefuroxime 0,01mg/L</v>
      </c>
      <c r="K22" s="3" t="str">
        <f t="shared" si="0"/>
        <v>Cefuroxime 0,1mg/L</v>
      </c>
      <c r="L22" s="3" t="str">
        <f t="shared" si="0"/>
        <v>Cefuroxime 1mg/L</v>
      </c>
      <c r="M22" s="3" t="str">
        <f t="shared" si="0"/>
        <v>Cefuroxime 10mg/L</v>
      </c>
      <c r="N22" s="3" t="s">
        <v>41</v>
      </c>
      <c r="O22" s="3" t="str">
        <f t="shared" si="0"/>
        <v>Testo -30µg/L</v>
      </c>
      <c r="P22" s="3" t="str">
        <f t="shared" si="0"/>
        <v>Testo 30µg/L + EE2 -64ng/L</v>
      </c>
      <c r="Q22" s="3" t="str">
        <f t="shared" si="0"/>
        <v>Testo 30µg/L + FAD-10µg/L</v>
      </c>
      <c r="R22" s="3" t="str">
        <f t="shared" si="0"/>
        <v>Cefuroxime-0,001mg/L + Testostérone</v>
      </c>
      <c r="S22" s="3" t="str">
        <f t="shared" si="0"/>
        <v>Cefuroxime-0,01mg/L + Testostérone</v>
      </c>
      <c r="T22" s="3" t="str">
        <f t="shared" si="0"/>
        <v>Cefuroxime-0,1mg/L + Testostérone</v>
      </c>
      <c r="U22" s="3" t="str">
        <f t="shared" si="0"/>
        <v>Cefuroxime-1mg/L + Testostérone</v>
      </c>
      <c r="V22" s="3" t="str">
        <f t="shared" si="0"/>
        <v>Cefuroxime-10mg/L + Testostérone</v>
      </c>
    </row>
    <row r="23" spans="1:22" x14ac:dyDescent="0.35">
      <c r="A23" s="5" t="s">
        <v>0</v>
      </c>
      <c r="B23" s="5">
        <f t="shared" ref="B23:J23" si="1">AVERAGE(B5:B20)</f>
        <v>297431.70833333337</v>
      </c>
      <c r="C23" s="5">
        <f t="shared" si="1"/>
        <v>350389.4375</v>
      </c>
      <c r="D23" s="5">
        <f t="shared" si="1"/>
        <v>576032.04166666663</v>
      </c>
      <c r="E23" s="5">
        <f t="shared" si="1"/>
        <v>621433.125</v>
      </c>
      <c r="F23" s="5">
        <f t="shared" si="1"/>
        <v>2392918.3958333335</v>
      </c>
      <c r="G23" s="5">
        <f t="shared" si="1"/>
        <v>4077645.9444444445</v>
      </c>
      <c r="H23" s="5">
        <f t="shared" si="1"/>
        <v>6214092.541666667</v>
      </c>
      <c r="I23" s="5">
        <f t="shared" si="1"/>
        <v>207908.72916666669</v>
      </c>
      <c r="J23" s="5">
        <f t="shared" si="1"/>
        <v>181918.66666666666</v>
      </c>
      <c r="K23" s="5"/>
      <c r="L23" s="5">
        <f>AVERAGE(L5:L20)</f>
        <v>96342.729166666657</v>
      </c>
      <c r="M23" s="5"/>
      <c r="N23" s="5" t="s">
        <v>0</v>
      </c>
      <c r="O23" s="5">
        <f>AVERAGE(O5:O20)</f>
        <v>2151532.354166667</v>
      </c>
      <c r="P23" s="5">
        <f>AVERAGE(P5:P20)</f>
        <v>2722800</v>
      </c>
      <c r="Q23" s="5">
        <f>AVERAGE(Q5:Q20)</f>
        <v>135524.95833333334</v>
      </c>
      <c r="R23" s="5">
        <f>AVERAGE(R5:R20)</f>
        <v>2053670.1458333335</v>
      </c>
      <c r="S23" s="5">
        <f>AVERAGE(S5:S20)</f>
        <v>3128078.2142857141</v>
      </c>
      <c r="T23" s="5">
        <f t="shared" ref="T23:V23" si="2">AVERAGE(T5:T20)</f>
        <v>1988245.6904761903</v>
      </c>
      <c r="U23" s="5">
        <f t="shared" si="2"/>
        <v>2048952.1666666667</v>
      </c>
      <c r="V23" s="5">
        <f t="shared" si="2"/>
        <v>1512113.5625</v>
      </c>
    </row>
    <row r="24" spans="1:22" x14ac:dyDescent="0.35">
      <c r="A24" s="3" t="s">
        <v>1</v>
      </c>
      <c r="B24" s="3">
        <f t="shared" ref="B24:J24" si="3">STDEV(B5:B20)</f>
        <v>283746.57034248882</v>
      </c>
      <c r="C24" s="3">
        <f t="shared" si="3"/>
        <v>785539.46302850917</v>
      </c>
      <c r="D24" s="3">
        <f t="shared" si="3"/>
        <v>1143762.7085520404</v>
      </c>
      <c r="E24" s="3">
        <f t="shared" si="3"/>
        <v>644982.97762137209</v>
      </c>
      <c r="F24" s="3">
        <f t="shared" si="3"/>
        <v>741945.01601132529</v>
      </c>
      <c r="G24" s="3">
        <f t="shared" si="3"/>
        <v>1280938.411689328</v>
      </c>
      <c r="H24" s="3">
        <f t="shared" si="3"/>
        <v>2422288.0415673386</v>
      </c>
      <c r="I24" s="3">
        <f t="shared" si="3"/>
        <v>167441.53491710569</v>
      </c>
      <c r="J24" s="3">
        <f t="shared" si="3"/>
        <v>207384.93496573163</v>
      </c>
      <c r="K24" s="3"/>
      <c r="L24" s="3">
        <f>STDEV(L5:L20)</f>
        <v>105841.00579541568</v>
      </c>
      <c r="M24" s="3"/>
      <c r="N24" s="3" t="s">
        <v>1</v>
      </c>
      <c r="O24" s="3">
        <f>STDEV(O5:O20)</f>
        <v>1145252.830377927</v>
      </c>
      <c r="P24" s="3">
        <f>STDEV(P5:P20)</f>
        <v>1405091.7337007425</v>
      </c>
      <c r="Q24" s="3">
        <f>STDEV(Q5:Q20)</f>
        <v>115295.9648204867</v>
      </c>
      <c r="R24" s="3">
        <f>STDEV(R5:R20)</f>
        <v>1461812.6933243049</v>
      </c>
      <c r="S24" s="3">
        <f>STDEV(S5:S20)</f>
        <v>1485403.5361907452</v>
      </c>
      <c r="T24" s="3">
        <f t="shared" ref="T24:V24" si="4">STDEV(T5:T20)</f>
        <v>1167887.463365</v>
      </c>
      <c r="U24" s="3">
        <f t="shared" si="4"/>
        <v>1399344.3600395306</v>
      </c>
      <c r="V24" s="3">
        <f t="shared" si="4"/>
        <v>1153587.5629121193</v>
      </c>
    </row>
    <row r="25" spans="1:22" ht="15" thickBot="1" x14ac:dyDescent="0.4"/>
    <row r="26" spans="1:22" ht="15" thickBot="1" x14ac:dyDescent="0.4">
      <c r="B26" s="228" t="s">
        <v>6</v>
      </c>
      <c r="C26" s="229"/>
      <c r="D26" s="229"/>
      <c r="E26" s="229"/>
      <c r="F26" s="229"/>
      <c r="G26" s="229"/>
      <c r="H26" s="229"/>
      <c r="I26" s="229"/>
      <c r="J26" s="229"/>
      <c r="K26" s="229"/>
      <c r="L26" s="229"/>
      <c r="M26" s="229"/>
      <c r="O26" s="228" t="s">
        <v>3</v>
      </c>
      <c r="P26" s="229"/>
      <c r="Q26" s="229"/>
      <c r="R26" s="229"/>
      <c r="S26" s="229"/>
      <c r="T26" s="229"/>
      <c r="U26" s="229"/>
      <c r="V26" s="22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Cefuroxime 0,001mg/L</v>
      </c>
      <c r="J27" s="35" t="str">
        <f t="shared" si="5"/>
        <v>Cefuroxime 0,01mg/L</v>
      </c>
      <c r="K27" s="35" t="str">
        <f t="shared" si="5"/>
        <v>Cefuroxime 0,1mg/L</v>
      </c>
      <c r="L27" s="35" t="str">
        <f t="shared" si="5"/>
        <v>Cefuroxime 1mg/L</v>
      </c>
      <c r="M27" s="35" t="str">
        <f t="shared" si="5"/>
        <v>Cefuroxime 10mg/L</v>
      </c>
      <c r="N27" s="3"/>
      <c r="O27" s="36" t="str">
        <f>O4</f>
        <v>Testo -30µg/L</v>
      </c>
      <c r="P27" s="36" t="str">
        <f t="shared" ref="P27:V27" si="6">P4</f>
        <v>Testo 30µg/L + EE2 -64ng/L</v>
      </c>
      <c r="Q27" s="36" t="str">
        <f t="shared" si="6"/>
        <v>Testo 30µg/L + FAD-10µg/L</v>
      </c>
      <c r="R27" s="36" t="str">
        <f t="shared" si="6"/>
        <v>Cefuroxime-0,001mg/L + Testostérone</v>
      </c>
      <c r="S27" s="36" t="str">
        <f t="shared" si="6"/>
        <v>Cefuroxime-0,01mg/L + Testostérone</v>
      </c>
      <c r="T27" s="36" t="str">
        <f t="shared" si="6"/>
        <v>Cefuroxime-0,1mg/L + Testostérone</v>
      </c>
      <c r="U27" s="36" t="str">
        <f t="shared" si="6"/>
        <v>Cefuroxime-1mg/L + Testostérone</v>
      </c>
      <c r="V27" s="36" t="str">
        <f t="shared" si="6"/>
        <v>Cefuroxime-10mg/L + Testostérone</v>
      </c>
    </row>
    <row r="28" spans="1:22" x14ac:dyDescent="0.35">
      <c r="A28" s="231" t="s">
        <v>34</v>
      </c>
      <c r="B28" s="11">
        <f t="shared" ref="B28:M28" si="7">IF(B5="","",(B5/$O$23))</f>
        <v>0.39222417379210334</v>
      </c>
      <c r="C28" s="11">
        <f t="shared" si="7"/>
        <v>4.8775004380840849E-2</v>
      </c>
      <c r="D28" s="11">
        <f t="shared" si="7"/>
        <v>0.16716550848211834</v>
      </c>
      <c r="E28" s="11">
        <f t="shared" si="7"/>
        <v>9.5690094055348313E-2</v>
      </c>
      <c r="F28" s="11">
        <f t="shared" si="7"/>
        <v>1.0401025710812912</v>
      </c>
      <c r="G28" s="11">
        <f t="shared" si="7"/>
        <v>2.7453919785252276</v>
      </c>
      <c r="H28" s="11">
        <f t="shared" si="7"/>
        <v>2.4378596909510799</v>
      </c>
      <c r="I28" s="11">
        <f t="shared" si="7"/>
        <v>1.2375675696952151E-2</v>
      </c>
      <c r="J28" s="11">
        <f t="shared" si="7"/>
        <v>0.27285514230347041</v>
      </c>
      <c r="K28" s="11">
        <f t="shared" si="7"/>
        <v>3.44827102055838E-2</v>
      </c>
      <c r="L28" s="11">
        <f t="shared" si="7"/>
        <v>0.12970027282783617</v>
      </c>
      <c r="M28" s="11">
        <f t="shared" si="7"/>
        <v>6.2638456914520982E-2</v>
      </c>
      <c r="N28" s="6"/>
      <c r="O28" s="11">
        <f t="shared" ref="O28:V39" si="8">IF(O5="","",(O5/$O$23))</f>
        <v>1.3738069029154054</v>
      </c>
      <c r="P28" s="11">
        <f t="shared" si="8"/>
        <v>1.2240369032331053</v>
      </c>
      <c r="Q28" s="11">
        <f t="shared" si="8"/>
        <v>4.65835430296467E-2</v>
      </c>
      <c r="R28" s="11">
        <f t="shared" si="8"/>
        <v>0.51842275630819046</v>
      </c>
      <c r="S28" s="11">
        <f t="shared" si="8"/>
        <v>1.297603385447579</v>
      </c>
      <c r="T28" s="11">
        <f t="shared" si="8"/>
        <v>1.2409140218115667E-2</v>
      </c>
      <c r="U28" s="11">
        <f t="shared" si="8"/>
        <v>0.2476351326849382</v>
      </c>
      <c r="V28" s="11">
        <f t="shared" si="8"/>
        <v>0.45537885193123928</v>
      </c>
    </row>
    <row r="29" spans="1:22" x14ac:dyDescent="0.35">
      <c r="A29" s="231"/>
      <c r="B29" s="11">
        <f t="shared" ref="B29:M29" si="9">IF(B6="","",(B6/$O$23))</f>
        <v>0.13565184495976426</v>
      </c>
      <c r="C29" s="11">
        <f t="shared" si="9"/>
        <v>1.3325618805813719E-2</v>
      </c>
      <c r="D29" s="11">
        <f t="shared" si="9"/>
        <v>3.8547565028579964E-2</v>
      </c>
      <c r="E29" s="11">
        <f t="shared" si="9"/>
        <v>6.2175995823441833E-2</v>
      </c>
      <c r="F29" s="11">
        <f t="shared" si="9"/>
        <v>1.5398061108636396</v>
      </c>
      <c r="G29" s="11">
        <f t="shared" si="9"/>
        <v>2.4501112690487172</v>
      </c>
      <c r="H29" s="11">
        <f t="shared" si="9"/>
        <v>3.587901270328135</v>
      </c>
      <c r="I29" s="11">
        <f t="shared" si="9"/>
        <v>6.1224271038684989E-2</v>
      </c>
      <c r="J29" s="11" t="str">
        <f t="shared" si="9"/>
        <v/>
      </c>
      <c r="K29" s="11">
        <f t="shared" si="9"/>
        <v>1.0130299283883454E-2</v>
      </c>
      <c r="L29" s="11">
        <f t="shared" si="9"/>
        <v>2.0672707948762057E-2</v>
      </c>
      <c r="M29" s="11">
        <f t="shared" si="9"/>
        <v>4.8134995413588601E-2</v>
      </c>
      <c r="N29" s="6"/>
      <c r="O29" s="11">
        <f t="shared" si="8"/>
        <v>0.18438331447742481</v>
      </c>
      <c r="P29" s="11">
        <f t="shared" si="8"/>
        <v>1.509013173973011</v>
      </c>
      <c r="Q29" s="11">
        <f t="shared" si="8"/>
        <v>7.7761941627010736E-2</v>
      </c>
      <c r="R29" s="11">
        <f t="shared" si="8"/>
        <v>1.2643923270462087</v>
      </c>
      <c r="S29" s="11">
        <f t="shared" si="8"/>
        <v>1.6724822472216092</v>
      </c>
      <c r="T29" s="11">
        <f t="shared" si="8"/>
        <v>1.0315138862318409</v>
      </c>
      <c r="U29" s="11">
        <f t="shared" si="8"/>
        <v>0.47263353087116111</v>
      </c>
      <c r="V29" s="11">
        <f t="shared" si="8"/>
        <v>0.9710936932711125</v>
      </c>
    </row>
    <row r="30" spans="1:22" x14ac:dyDescent="0.35">
      <c r="A30" s="231"/>
      <c r="B30" s="11">
        <f t="shared" ref="B30:M30" si="10">IF(B7="","",(B7/$O$23))</f>
        <v>0.25977934544384268</v>
      </c>
      <c r="C30" s="11">
        <f t="shared" si="10"/>
        <v>4.4971513665265292E-2</v>
      </c>
      <c r="D30" s="11">
        <f t="shared" si="10"/>
        <v>4.2726292180535315E-2</v>
      </c>
      <c r="E30" s="11">
        <f t="shared" si="10"/>
        <v>4.5142554551212154E-2</v>
      </c>
      <c r="F30" s="11">
        <f t="shared" si="10"/>
        <v>1.4224379788695756</v>
      </c>
      <c r="G30" s="11">
        <f t="shared" si="10"/>
        <v>1.5511662313002825</v>
      </c>
      <c r="H30" s="11">
        <f t="shared" si="10"/>
        <v>1.9802642018136043</v>
      </c>
      <c r="I30" s="11">
        <f t="shared" si="10"/>
        <v>4.3718143405020636E-2</v>
      </c>
      <c r="J30" s="11">
        <f t="shared" si="10"/>
        <v>1.2837981859692576E-2</v>
      </c>
      <c r="K30" s="11">
        <f t="shared" si="10"/>
        <v>4.4016535385395322E-2</v>
      </c>
      <c r="L30" s="11">
        <f t="shared" si="10"/>
        <v>5.1492757298666765E-2</v>
      </c>
      <c r="M30" s="11">
        <f t="shared" si="10"/>
        <v>5.8908712088176142E-2</v>
      </c>
      <c r="N30" s="6"/>
      <c r="O30" s="11">
        <f t="shared" si="8"/>
        <v>1.0571546812183366</v>
      </c>
      <c r="P30" s="11">
        <f t="shared" si="8"/>
        <v>0.76467701271011745</v>
      </c>
      <c r="Q30" s="11">
        <f t="shared" si="8"/>
        <v>3.2106729202974159E-2</v>
      </c>
      <c r="R30" s="11">
        <f t="shared" si="8"/>
        <v>1.8629176823227915</v>
      </c>
      <c r="S30" s="11" t="str">
        <f t="shared" si="8"/>
        <v/>
      </c>
      <c r="T30" s="11">
        <f t="shared" si="8"/>
        <v>0.69722989001840574</v>
      </c>
      <c r="U30" s="11">
        <f t="shared" si="8"/>
        <v>1.0530747208823152</v>
      </c>
      <c r="V30" s="11">
        <f t="shared" si="8"/>
        <v>0.15821305189335355</v>
      </c>
    </row>
    <row r="31" spans="1:22" x14ac:dyDescent="0.35">
      <c r="A31" s="231"/>
      <c r="B31" s="11">
        <f t="shared" ref="B31:M31" si="11">IF(B8="","",(B8/$O$23))</f>
        <v>0.12070265462833449</v>
      </c>
      <c r="C31" s="11">
        <f t="shared" si="11"/>
        <v>4.455258743736646E-2</v>
      </c>
      <c r="D31" s="11">
        <f t="shared" si="11"/>
        <v>2.9399046627165037E-2</v>
      </c>
      <c r="E31" s="11">
        <f t="shared" si="11"/>
        <v>0.72315048558462969</v>
      </c>
      <c r="F31" s="11">
        <f t="shared" si="11"/>
        <v>1.4516057174870314</v>
      </c>
      <c r="G31" s="11">
        <f t="shared" si="11"/>
        <v>1.3546889008456984</v>
      </c>
      <c r="H31" s="11">
        <f t="shared" si="11"/>
        <v>1.8861708766812735</v>
      </c>
      <c r="I31" s="11">
        <f t="shared" si="11"/>
        <v>0.19333398939029431</v>
      </c>
      <c r="J31" s="11">
        <f t="shared" si="11"/>
        <v>1.3950522260040765E-2</v>
      </c>
      <c r="K31" s="11">
        <f t="shared" si="11"/>
        <v>7.9085494424695535E-2</v>
      </c>
      <c r="L31" s="11">
        <f t="shared" si="11"/>
        <v>1.9141473713023119E-2</v>
      </c>
      <c r="M31" s="11" t="str">
        <f t="shared" si="11"/>
        <v/>
      </c>
      <c r="N31" s="6"/>
      <c r="O31" s="11">
        <f t="shared" si="8"/>
        <v>0.79617378904355107</v>
      </c>
      <c r="P31" s="11">
        <f t="shared" si="8"/>
        <v>0.41499832972726325</v>
      </c>
      <c r="Q31" s="11">
        <f t="shared" si="8"/>
        <v>6.9977412319686516E-2</v>
      </c>
      <c r="R31" s="11">
        <f t="shared" si="8"/>
        <v>0.88658268588861255</v>
      </c>
      <c r="S31" s="11">
        <f t="shared" si="8"/>
        <v>0.63527489947014792</v>
      </c>
      <c r="T31" s="11">
        <f t="shared" si="8"/>
        <v>0.96285003383199164</v>
      </c>
      <c r="U31" s="11">
        <f t="shared" si="8"/>
        <v>1.7676830775832799</v>
      </c>
      <c r="V31" s="11">
        <f t="shared" si="8"/>
        <v>1.1956262994069737</v>
      </c>
    </row>
    <row r="32" spans="1:22" x14ac:dyDescent="0.35">
      <c r="A32" s="231"/>
      <c r="B32" s="11">
        <f t="shared" ref="B32:M32" si="12">IF(B9="","",(B9/$O$23))</f>
        <v>0.13261246081075567</v>
      </c>
      <c r="C32" s="11">
        <f t="shared" si="12"/>
        <v>2.9921774842006255E-2</v>
      </c>
      <c r="D32" s="11">
        <f t="shared" si="12"/>
        <v>1.5758638225606509</v>
      </c>
      <c r="E32" s="11">
        <f t="shared" si="12"/>
        <v>0.75482806328934948</v>
      </c>
      <c r="F32" s="11">
        <f t="shared" si="12"/>
        <v>0.62547297080018138</v>
      </c>
      <c r="G32" s="11">
        <f t="shared" si="12"/>
        <v>1.3222704558252196</v>
      </c>
      <c r="H32" s="11">
        <f t="shared" si="12"/>
        <v>5.2193462541179345</v>
      </c>
      <c r="I32" s="11">
        <f t="shared" si="12"/>
        <v>3.6297153444502871E-2</v>
      </c>
      <c r="J32" s="11">
        <f t="shared" si="12"/>
        <v>6.1043469667398771E-2</v>
      </c>
      <c r="K32" s="11">
        <f t="shared" si="12"/>
        <v>1.3602088426259526E-2</v>
      </c>
      <c r="L32" s="11">
        <f t="shared" si="12"/>
        <v>1.058106328538924E-2</v>
      </c>
      <c r="M32" s="11">
        <f t="shared" si="12"/>
        <v>0.24680394214770546</v>
      </c>
      <c r="N32" s="6"/>
      <c r="O32" s="11">
        <f t="shared" si="8"/>
        <v>1.528465976182692</v>
      </c>
      <c r="P32" s="11">
        <f t="shared" si="8"/>
        <v>1.5282080204987232</v>
      </c>
      <c r="Q32" s="11">
        <f t="shared" si="8"/>
        <v>0.1792395387035827</v>
      </c>
      <c r="R32" s="11">
        <f t="shared" si="8"/>
        <v>5.9680952392525889E-2</v>
      </c>
      <c r="S32" s="11">
        <f t="shared" si="8"/>
        <v>2.2162390404056298</v>
      </c>
      <c r="T32" s="11">
        <f t="shared" si="8"/>
        <v>1.1910957299977853</v>
      </c>
      <c r="U32" s="11">
        <f t="shared" si="8"/>
        <v>0.65643044158653074</v>
      </c>
      <c r="V32" s="11">
        <f t="shared" si="8"/>
        <v>0.81712505814533165</v>
      </c>
    </row>
    <row r="33" spans="1:22" x14ac:dyDescent="0.35">
      <c r="A33" s="231"/>
      <c r="B33" s="11">
        <f t="shared" ref="B33:M33" si="13">IF(B10="","",(B10/$O$23))</f>
        <v>5.1596559285609155E-2</v>
      </c>
      <c r="C33" s="11">
        <f t="shared" si="13"/>
        <v>2.1131915544728083E-2</v>
      </c>
      <c r="D33" s="11">
        <f t="shared" si="13"/>
        <v>6.4679327920479299E-2</v>
      </c>
      <c r="E33" s="11">
        <f t="shared" si="13"/>
        <v>0.39558859759574644</v>
      </c>
      <c r="F33" s="11">
        <f t="shared" si="13"/>
        <v>0.84528243160182537</v>
      </c>
      <c r="G33" s="11">
        <f t="shared" si="13"/>
        <v>1.9477435815537398</v>
      </c>
      <c r="H33" s="11">
        <f t="shared" si="13"/>
        <v>3.3262855592854441</v>
      </c>
      <c r="I33" s="11">
        <f t="shared" si="13"/>
        <v>5.2732648793442784E-2</v>
      </c>
      <c r="J33" s="11">
        <f t="shared" si="13"/>
        <v>2.6553942614911289E-2</v>
      </c>
      <c r="K33" s="11">
        <f t="shared" si="13"/>
        <v>3.6486708266926765E-2</v>
      </c>
      <c r="L33" s="11">
        <f t="shared" si="13"/>
        <v>0.111676452150339</v>
      </c>
      <c r="M33" s="11">
        <f t="shared" si="13"/>
        <v>8.1766529326244806E-3</v>
      </c>
      <c r="N33" s="6"/>
      <c r="O33" s="11">
        <f t="shared" si="8"/>
        <v>1.7279024379068277</v>
      </c>
      <c r="P33" s="11">
        <f t="shared" si="8"/>
        <v>2.062260257473663</v>
      </c>
      <c r="Q33" s="11">
        <f t="shared" si="8"/>
        <v>7.2282900928178573E-2</v>
      </c>
      <c r="R33" s="11">
        <f t="shared" si="8"/>
        <v>1.9415610112687802</v>
      </c>
      <c r="S33" s="11">
        <f t="shared" si="8"/>
        <v>0.64087470680901226</v>
      </c>
      <c r="T33" s="11">
        <f t="shared" si="8"/>
        <v>1.8053728044003674</v>
      </c>
      <c r="U33" s="11">
        <f t="shared" si="8"/>
        <v>0.25094920477849736</v>
      </c>
      <c r="V33" s="11">
        <f t="shared" si="8"/>
        <v>1.6097232560595642</v>
      </c>
    </row>
    <row r="34" spans="1:22" x14ac:dyDescent="0.35">
      <c r="A34" s="231"/>
      <c r="B34" s="11">
        <f t="shared" ref="B34:M34" si="14">IF(B11="","",(B11/$O$23))</f>
        <v>7.5667000630839139E-3</v>
      </c>
      <c r="C34" s="11">
        <f t="shared" si="14"/>
        <v>3.423141644017999E-2</v>
      </c>
      <c r="D34" s="11">
        <f t="shared" si="14"/>
        <v>5.2410862633921383E-2</v>
      </c>
      <c r="E34" s="11">
        <f t="shared" si="14"/>
        <v>6.8033681382105624E-2</v>
      </c>
      <c r="F34" s="11">
        <f t="shared" si="14"/>
        <v>0.7706085990863506</v>
      </c>
      <c r="G34" s="11" t="str">
        <f t="shared" si="14"/>
        <v/>
      </c>
      <c r="H34" s="11">
        <f t="shared" si="14"/>
        <v>2.5698825719688365</v>
      </c>
      <c r="I34" s="11">
        <f t="shared" si="14"/>
        <v>0.19389699897320273</v>
      </c>
      <c r="J34" s="11">
        <f t="shared" si="14"/>
        <v>0.15528916682086069</v>
      </c>
      <c r="K34" s="11">
        <f t="shared" si="14"/>
        <v>1.9392690014257568E-2</v>
      </c>
      <c r="L34" s="11">
        <f t="shared" si="14"/>
        <v>1.0475634550890293E-2</v>
      </c>
      <c r="M34" s="11">
        <f t="shared" si="14"/>
        <v>6.4172867181203682E-3</v>
      </c>
      <c r="N34" s="6"/>
      <c r="O34" s="11">
        <f t="shared" si="8"/>
        <v>3.1114877978488838E-2</v>
      </c>
      <c r="P34" s="11">
        <f t="shared" si="8"/>
        <v>2.098626121636388</v>
      </c>
      <c r="Q34" s="11">
        <f t="shared" si="8"/>
        <v>1.0740252153424022E-2</v>
      </c>
      <c r="R34" s="11">
        <f t="shared" si="8"/>
        <v>0.63837462820708801</v>
      </c>
      <c r="S34" s="11">
        <f t="shared" si="8"/>
        <v>2.381655253015261</v>
      </c>
      <c r="T34" s="11">
        <f t="shared" si="8"/>
        <v>0.76827615294692131</v>
      </c>
      <c r="U34" s="11">
        <f t="shared" si="8"/>
        <v>1.2857671702260498</v>
      </c>
      <c r="V34" s="11">
        <f t="shared" si="8"/>
        <v>0.1246671158878401</v>
      </c>
    </row>
    <row r="35" spans="1:22" x14ac:dyDescent="0.35">
      <c r="A35" s="231"/>
      <c r="B35" s="11">
        <f t="shared" ref="B35:M35" si="15">IF(B12="","",(B12/$O$23))</f>
        <v>5.8006719300148406E-3</v>
      </c>
      <c r="C35" s="11">
        <f t="shared" si="15"/>
        <v>1.0659362518494933</v>
      </c>
      <c r="D35" s="11">
        <f t="shared" si="15"/>
        <v>0.17105606892405453</v>
      </c>
      <c r="E35" s="11">
        <f t="shared" si="15"/>
        <v>0.16605296808177014</v>
      </c>
      <c r="F35" s="11">
        <f t="shared" si="15"/>
        <v>1.2022245424247191</v>
      </c>
      <c r="G35" s="11" t="str">
        <f t="shared" si="15"/>
        <v/>
      </c>
      <c r="H35" s="11">
        <f t="shared" si="15"/>
        <v>2.0980263940372033</v>
      </c>
      <c r="I35" s="11">
        <f t="shared" si="15"/>
        <v>0.17948401562208283</v>
      </c>
      <c r="J35" s="11">
        <f t="shared" si="15"/>
        <v>4.934126745886238E-2</v>
      </c>
      <c r="K35" s="11">
        <f t="shared" si="15"/>
        <v>6.9333530143966277E-3</v>
      </c>
      <c r="L35" s="11">
        <f t="shared" si="15"/>
        <v>4.488893686072754E-3</v>
      </c>
      <c r="M35" s="11">
        <f t="shared" si="15"/>
        <v>3.6660692791309304E-2</v>
      </c>
      <c r="N35" s="6"/>
      <c r="O35" s="11">
        <f t="shared" si="8"/>
        <v>1.3125775192415428</v>
      </c>
      <c r="P35" s="11">
        <f t="shared" si="8"/>
        <v>0.5223133167501266</v>
      </c>
      <c r="Q35" s="11">
        <f t="shared" si="8"/>
        <v>1.5227441627770856E-2</v>
      </c>
      <c r="R35" s="11">
        <f t="shared" si="8"/>
        <v>0.4641888519125511</v>
      </c>
      <c r="S35" s="11">
        <f t="shared" si="8"/>
        <v>1.3330576512652756</v>
      </c>
      <c r="T35" s="11" t="str">
        <f t="shared" si="8"/>
        <v/>
      </c>
      <c r="U35" s="11">
        <f t="shared" si="8"/>
        <v>1.8844048485482046</v>
      </c>
      <c r="V35" s="11">
        <f t="shared" si="8"/>
        <v>0.29063448606246745</v>
      </c>
    </row>
    <row r="36" spans="1:22" x14ac:dyDescent="0.35">
      <c r="A36" s="231"/>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1.2176298417853406</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31"/>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0.95256898927453371</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31"/>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1.5992157837350669</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31"/>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0.73005037407786277</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31"/>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0.83518040673975835</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31"/>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1.5350778528942446</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31"/>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0.1284252126001707</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31"/>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0.99027203992875112</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Cefuroxime 0,001mg/L</v>
      </c>
      <c r="J45" s="7" t="str">
        <f t="shared" si="26"/>
        <v>Cefuroxime 0,01mg/L</v>
      </c>
      <c r="K45" s="7" t="str">
        <f t="shared" si="26"/>
        <v>Cefuroxime 0,1mg/L</v>
      </c>
      <c r="L45" s="7" t="str">
        <f t="shared" si="26"/>
        <v>Cefuroxime 1mg/L</v>
      </c>
      <c r="M45" s="7" t="str">
        <f t="shared" si="26"/>
        <v>Cefuroxime 10mg/L</v>
      </c>
      <c r="N45" s="7"/>
      <c r="O45" s="7" t="str">
        <f t="shared" si="26"/>
        <v>Testo -30µg/L</v>
      </c>
      <c r="P45" s="7" t="str">
        <f t="shared" si="26"/>
        <v>Testo 30µg/L + EE2 -64ng/L</v>
      </c>
      <c r="Q45" s="7" t="str">
        <f t="shared" si="26"/>
        <v>Testo 30µg/L + FAD-10µg/L</v>
      </c>
      <c r="R45" s="7" t="str">
        <f t="shared" si="26"/>
        <v>Cefuroxime-0,001mg/L + Testostérone</v>
      </c>
      <c r="S45" s="7" t="str">
        <f t="shared" si="26"/>
        <v>Cefuroxime-0,01mg/L + Testostérone</v>
      </c>
      <c r="T45" s="7" t="str">
        <f t="shared" si="26"/>
        <v>Cefuroxime-0,1mg/L + Testostérone</v>
      </c>
      <c r="U45" s="7" t="str">
        <f t="shared" si="26"/>
        <v>Cefuroxime-1mg/L + Testostérone</v>
      </c>
      <c r="V45" s="7" t="str">
        <f t="shared" si="26"/>
        <v>Cefuroxime-10mg/L + Testostérone</v>
      </c>
    </row>
    <row r="46" spans="1:22" x14ac:dyDescent="0.35">
      <c r="A46" s="8" t="s">
        <v>0</v>
      </c>
      <c r="B46" s="10">
        <f t="shared" ref="B46:H46" si="27">AVERAGE(B28:B43)</f>
        <v>0.13824180136418854</v>
      </c>
      <c r="C46" s="10">
        <f t="shared" si="27"/>
        <v>0.16285576037071173</v>
      </c>
      <c r="D46" s="10">
        <f t="shared" si="27"/>
        <v>0.26773106179468809</v>
      </c>
      <c r="E46" s="10">
        <f t="shared" si="27"/>
        <v>0.28883280504545045</v>
      </c>
      <c r="F46" s="10">
        <f t="shared" si="27"/>
        <v>1.1121926152768267</v>
      </c>
      <c r="G46" s="10">
        <f t="shared" si="27"/>
        <v>1.8952287361831475</v>
      </c>
      <c r="H46" s="10">
        <f t="shared" si="27"/>
        <v>2.8882171023979386</v>
      </c>
      <c r="I46" s="10">
        <f>AVERAGE(I28:I43)</f>
        <v>9.6632862045522919E-2</v>
      </c>
      <c r="J46" s="9">
        <f>AVERAGE(J28:J43)</f>
        <v>8.4553070426462415E-2</v>
      </c>
      <c r="K46" s="9">
        <f t="shared" ref="K46:M46" si="28">AVERAGE(K28:K43)</f>
        <v>3.0516234877674825E-2</v>
      </c>
      <c r="L46" s="9">
        <f t="shared" si="28"/>
        <v>4.4778656932622424E-2</v>
      </c>
      <c r="M46" s="9">
        <f t="shared" si="28"/>
        <v>6.682010557229219E-2</v>
      </c>
      <c r="N46" s="8" t="s">
        <v>0</v>
      </c>
      <c r="O46" s="10">
        <f t="shared" ref="O46:V46" si="29">AVERAGE(O28:O43)</f>
        <v>0.99999999999999978</v>
      </c>
      <c r="P46" s="10">
        <f t="shared" si="29"/>
        <v>1.2655166420002997</v>
      </c>
      <c r="Q46" s="10">
        <f t="shared" si="29"/>
        <v>6.2989969949034288E-2</v>
      </c>
      <c r="R46" s="10">
        <f t="shared" si="29"/>
        <v>0.9545151119183436</v>
      </c>
      <c r="S46" s="10">
        <f t="shared" si="29"/>
        <v>1.4538838833763594</v>
      </c>
      <c r="T46" s="10">
        <f t="shared" si="29"/>
        <v>0.92410680537791834</v>
      </c>
      <c r="U46" s="10">
        <f t="shared" si="29"/>
        <v>0.95232226589512226</v>
      </c>
      <c r="V46" s="10">
        <f t="shared" si="29"/>
        <v>0.70280772658223534</v>
      </c>
    </row>
    <row r="47" spans="1:22" x14ac:dyDescent="0.35">
      <c r="A47" s="8" t="s">
        <v>1</v>
      </c>
      <c r="B47" s="8">
        <f t="shared" ref="B47:M47" si="30">STDEV(B28:B43)</f>
        <v>0.13188115428196281</v>
      </c>
      <c r="C47" s="8">
        <f t="shared" si="30"/>
        <v>0.36510697201798065</v>
      </c>
      <c r="D47" s="8">
        <f t="shared" si="30"/>
        <v>0.53160376897750317</v>
      </c>
      <c r="E47" s="8">
        <f t="shared" si="30"/>
        <v>0.29977842367663921</v>
      </c>
      <c r="F47" s="8">
        <f t="shared" si="30"/>
        <v>0.34484492625661539</v>
      </c>
      <c r="G47" s="8">
        <f t="shared" si="30"/>
        <v>0.59536098037691987</v>
      </c>
      <c r="H47" s="8">
        <f t="shared" si="30"/>
        <v>1.1258431865439193</v>
      </c>
      <c r="I47" s="8">
        <f t="shared" si="30"/>
        <v>7.7824316512293046E-2</v>
      </c>
      <c r="J47" s="8">
        <f t="shared" si="30"/>
        <v>9.6389410349376842E-2</v>
      </c>
      <c r="K47" s="8">
        <f t="shared" si="30"/>
        <v>2.3827267852739118E-2</v>
      </c>
      <c r="L47" s="8">
        <f t="shared" si="30"/>
        <v>4.9193313589007172E-2</v>
      </c>
      <c r="M47" s="8">
        <f t="shared" si="30"/>
        <v>8.248286321486227E-2</v>
      </c>
      <c r="N47" s="8" t="s">
        <v>1</v>
      </c>
      <c r="O47" s="8">
        <f t="shared" ref="O47:V47" si="31">STDEV(O28:O43)</f>
        <v>0.53229635527442865</v>
      </c>
      <c r="P47" s="8">
        <f t="shared" si="31"/>
        <v>0.6530655841543056</v>
      </c>
      <c r="Q47" s="8">
        <f t="shared" si="31"/>
        <v>5.3587836872266412E-2</v>
      </c>
      <c r="R47" s="8">
        <f t="shared" si="31"/>
        <v>0.67942863628955041</v>
      </c>
      <c r="S47" s="8">
        <f t="shared" si="31"/>
        <v>0.69039330657245546</v>
      </c>
      <c r="T47" s="8">
        <f t="shared" si="31"/>
        <v>0.54281659353309908</v>
      </c>
      <c r="U47" s="8">
        <f t="shared" si="31"/>
        <v>0.6503942909943019</v>
      </c>
      <c r="V47" s="8">
        <f t="shared" si="31"/>
        <v>0.53617021407002163</v>
      </c>
    </row>
    <row r="48" spans="1:22" x14ac:dyDescent="0.35">
      <c r="A48" s="8" t="s">
        <v>2</v>
      </c>
      <c r="B48" s="8">
        <f t="shared" ref="B48:M48" si="32" xml:space="preserve"> B47/SQRT(COUNT(B28:B43))</f>
        <v>4.6627029251742592E-2</v>
      </c>
      <c r="C48" s="8">
        <f t="shared" si="32"/>
        <v>0.12908480788620058</v>
      </c>
      <c r="D48" s="8">
        <f t="shared" si="32"/>
        <v>0.18795031497415962</v>
      </c>
      <c r="E48" s="8">
        <f t="shared" si="32"/>
        <v>0.10598767811758272</v>
      </c>
      <c r="F48" s="8">
        <f t="shared" si="32"/>
        <v>0.12192109290691382</v>
      </c>
      <c r="G48" s="8">
        <f t="shared" si="32"/>
        <v>0.24305510244776704</v>
      </c>
      <c r="H48" s="8">
        <f t="shared" si="32"/>
        <v>0.39804567587893824</v>
      </c>
      <c r="I48" s="8">
        <f t="shared" si="32"/>
        <v>2.7515050973525305E-2</v>
      </c>
      <c r="J48" s="8">
        <f t="shared" si="32"/>
        <v>3.643177268637237E-2</v>
      </c>
      <c r="K48" s="8">
        <f t="shared" si="32"/>
        <v>8.424211337910029E-3</v>
      </c>
      <c r="L48" s="8">
        <f t="shared" si="32"/>
        <v>1.7392462813911654E-2</v>
      </c>
      <c r="M48" s="8">
        <f t="shared" si="32"/>
        <v>3.1175591927297592E-2</v>
      </c>
      <c r="N48" s="8" t="s">
        <v>2</v>
      </c>
      <c r="O48" s="8">
        <f t="shared" ref="O48:V48" si="33" xml:space="preserve"> O47/SQRT(COUNT(O28:O43))</f>
        <v>0.13307408881860716</v>
      </c>
      <c r="P48" s="8">
        <f t="shared" si="33"/>
        <v>0.23089355155753169</v>
      </c>
      <c r="Q48" s="8">
        <f t="shared" si="33"/>
        <v>1.8946161420749043E-2</v>
      </c>
      <c r="R48" s="8">
        <f t="shared" si="33"/>
        <v>0.24021429802633473</v>
      </c>
      <c r="S48" s="8">
        <f t="shared" si="33"/>
        <v>0.26094414228775598</v>
      </c>
      <c r="T48" s="8">
        <f t="shared" si="33"/>
        <v>0.20516538771540169</v>
      </c>
      <c r="U48" s="8">
        <f t="shared" si="33"/>
        <v>0.22994910680354377</v>
      </c>
      <c r="V48" s="8">
        <f t="shared" si="33"/>
        <v>0.18956479711957755</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22" t="s">
        <v>44</v>
      </c>
      <c r="B50" s="223"/>
      <c r="C50" s="223"/>
      <c r="D50" s="223"/>
      <c r="E50" s="223"/>
      <c r="F50" s="223"/>
      <c r="G50" s="223"/>
      <c r="H50" s="223"/>
      <c r="I50" s="223"/>
      <c r="J50" s="223"/>
      <c r="K50" s="223"/>
      <c r="L50" s="223"/>
      <c r="M50" s="223"/>
      <c r="N50" s="223"/>
      <c r="O50" s="223"/>
      <c r="P50" s="223"/>
      <c r="Q50" s="223"/>
      <c r="R50" s="223"/>
      <c r="S50" s="223"/>
      <c r="T50" s="223"/>
      <c r="U50" s="223"/>
      <c r="V50" s="223"/>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Cefuroxime 0,001mg/L</v>
      </c>
      <c r="J52" s="46" t="str">
        <f>J4</f>
        <v>Cefuroxime 0,01mg/L</v>
      </c>
      <c r="K52" s="46" t="str">
        <f t="shared" ref="K52:M52" si="35">K4</f>
        <v>Cefuroxime 0,1mg/L</v>
      </c>
      <c r="L52" s="46" t="str">
        <f t="shared" si="35"/>
        <v>Cefuroxime 1mg/L</v>
      </c>
      <c r="M52" s="46" t="str">
        <f t="shared" si="35"/>
        <v>Cefuroxime 10mg/L</v>
      </c>
      <c r="N52" s="47"/>
      <c r="O52" s="46" t="str">
        <f>O27</f>
        <v>Testo -30µg/L</v>
      </c>
      <c r="P52" s="46" t="str">
        <f>P27</f>
        <v>Testo 30µg/L + EE2 -64ng/L</v>
      </c>
      <c r="Q52" s="46" t="str">
        <f>Q27</f>
        <v>Testo 30µg/L + FAD-10µg/L</v>
      </c>
      <c r="R52" s="46" t="str">
        <f>R27</f>
        <v>Cefuroxime-0,001mg/L + Testostérone</v>
      </c>
      <c r="S52" s="46" t="str">
        <f t="shared" ref="S52:V52" si="36">S27</f>
        <v>Cefuroxime-0,01mg/L + Testostérone</v>
      </c>
      <c r="T52" s="46" t="str">
        <f t="shared" si="36"/>
        <v>Cefuroxime-0,1mg/L + Testostérone</v>
      </c>
      <c r="U52" s="46" t="str">
        <f t="shared" si="36"/>
        <v>Cefuroxime-1mg/L + Testostérone</v>
      </c>
      <c r="V52" s="46" t="str">
        <f t="shared" si="36"/>
        <v>Cefuroxime-10mg/L + Testostérone</v>
      </c>
    </row>
    <row r="53" spans="1:22" s="3" customFormat="1" x14ac:dyDescent="0.35">
      <c r="A53" s="61" t="s">
        <v>32</v>
      </c>
      <c r="B53" s="141">
        <f t="shared" ref="B53:V53" si="37">B46</f>
        <v>0.13824180136418854</v>
      </c>
      <c r="C53" s="141">
        <f t="shared" si="37"/>
        <v>0.16285576037071173</v>
      </c>
      <c r="D53" s="141">
        <f t="shared" si="37"/>
        <v>0.26773106179468809</v>
      </c>
      <c r="E53" s="141">
        <f t="shared" si="37"/>
        <v>0.28883280504545045</v>
      </c>
      <c r="F53" s="141">
        <f t="shared" si="37"/>
        <v>1.1121926152768267</v>
      </c>
      <c r="G53" s="141">
        <f t="shared" si="37"/>
        <v>1.8952287361831475</v>
      </c>
      <c r="H53" s="141">
        <f t="shared" si="37"/>
        <v>2.8882171023979386</v>
      </c>
      <c r="I53" s="141">
        <f t="shared" si="37"/>
        <v>9.6632862045522919E-2</v>
      </c>
      <c r="J53" s="141">
        <f t="shared" si="37"/>
        <v>8.4553070426462415E-2</v>
      </c>
      <c r="K53" s="141">
        <f t="shared" si="37"/>
        <v>3.0516234877674825E-2</v>
      </c>
      <c r="L53" s="141">
        <f t="shared" si="37"/>
        <v>4.4778656932622424E-2</v>
      </c>
      <c r="M53" s="141">
        <f t="shared" si="37"/>
        <v>6.682010557229219E-2</v>
      </c>
      <c r="N53" s="141"/>
      <c r="O53" s="141">
        <f t="shared" si="37"/>
        <v>0.99999999999999978</v>
      </c>
      <c r="P53" s="141">
        <f t="shared" si="37"/>
        <v>1.2655166420002997</v>
      </c>
      <c r="Q53" s="141">
        <f t="shared" si="37"/>
        <v>6.2989969949034288E-2</v>
      </c>
      <c r="R53" s="141">
        <f t="shared" si="37"/>
        <v>0.9545151119183436</v>
      </c>
      <c r="S53" s="141">
        <f t="shared" si="37"/>
        <v>1.4538838833763594</v>
      </c>
      <c r="T53" s="141">
        <f t="shared" si="37"/>
        <v>0.92410680537791834</v>
      </c>
      <c r="U53" s="141">
        <f t="shared" si="37"/>
        <v>0.95232226589512226</v>
      </c>
      <c r="V53" s="141">
        <f t="shared" si="37"/>
        <v>0.70280772658223534</v>
      </c>
    </row>
    <row r="54" spans="1:22" s="3" customFormat="1" x14ac:dyDescent="0.35">
      <c r="A54" s="61" t="s">
        <v>2</v>
      </c>
      <c r="B54" s="141">
        <f t="shared" ref="B54:V54" si="38">B48</f>
        <v>4.6627029251742592E-2</v>
      </c>
      <c r="C54" s="141">
        <f t="shared" si="38"/>
        <v>0.12908480788620058</v>
      </c>
      <c r="D54" s="141">
        <f t="shared" si="38"/>
        <v>0.18795031497415962</v>
      </c>
      <c r="E54" s="141">
        <f t="shared" si="38"/>
        <v>0.10598767811758272</v>
      </c>
      <c r="F54" s="141">
        <f t="shared" si="38"/>
        <v>0.12192109290691382</v>
      </c>
      <c r="G54" s="141">
        <f t="shared" si="38"/>
        <v>0.24305510244776704</v>
      </c>
      <c r="H54" s="141">
        <f t="shared" si="38"/>
        <v>0.39804567587893824</v>
      </c>
      <c r="I54" s="141">
        <f t="shared" si="38"/>
        <v>2.7515050973525305E-2</v>
      </c>
      <c r="J54" s="141">
        <f t="shared" si="38"/>
        <v>3.643177268637237E-2</v>
      </c>
      <c r="K54" s="141">
        <f t="shared" si="38"/>
        <v>8.424211337910029E-3</v>
      </c>
      <c r="L54" s="141">
        <f t="shared" si="38"/>
        <v>1.7392462813911654E-2</v>
      </c>
      <c r="M54" s="141">
        <f t="shared" si="38"/>
        <v>3.1175591927297592E-2</v>
      </c>
      <c r="N54" s="141"/>
      <c r="O54" s="141">
        <f t="shared" si="38"/>
        <v>0.13307408881860716</v>
      </c>
      <c r="P54" s="141">
        <f t="shared" si="38"/>
        <v>0.23089355155753169</v>
      </c>
      <c r="Q54" s="141">
        <f t="shared" si="38"/>
        <v>1.8946161420749043E-2</v>
      </c>
      <c r="R54" s="141">
        <f t="shared" si="38"/>
        <v>0.24021429802633473</v>
      </c>
      <c r="S54" s="141">
        <f t="shared" si="38"/>
        <v>0.26094414228775598</v>
      </c>
      <c r="T54" s="141">
        <f t="shared" si="38"/>
        <v>0.20516538771540169</v>
      </c>
      <c r="U54" s="141">
        <f t="shared" si="38"/>
        <v>0.22994910680354377</v>
      </c>
      <c r="V54" s="141">
        <f t="shared" si="38"/>
        <v>0.18956479711957755</v>
      </c>
    </row>
    <row r="55" spans="1:22" s="3" customFormat="1" x14ac:dyDescent="0.35">
      <c r="A55" s="61" t="s">
        <v>79</v>
      </c>
      <c r="B55" s="141">
        <f>(B53*100/$B53)-100</f>
        <v>0</v>
      </c>
      <c r="C55" s="141">
        <f t="shared" ref="C55:M55" si="39">(C53*100/$B53)-100</f>
        <v>17.805004538156595</v>
      </c>
      <c r="D55" s="141">
        <f t="shared" si="39"/>
        <v>93.66867268270687</v>
      </c>
      <c r="E55" s="141">
        <f t="shared" si="39"/>
        <v>108.93304499450224</v>
      </c>
      <c r="F55" s="141">
        <f t="shared" si="39"/>
        <v>704.52699856451636</v>
      </c>
      <c r="G55" s="141">
        <f t="shared" si="39"/>
        <v>1270.9519967772248</v>
      </c>
      <c r="H55" s="141">
        <f t="shared" si="39"/>
        <v>1989.2501934267543</v>
      </c>
      <c r="I55" s="141">
        <f t="shared" si="39"/>
        <v>-30.098666906871188</v>
      </c>
      <c r="J55" s="141">
        <f t="shared" si="39"/>
        <v>-38.836828229897584</v>
      </c>
      <c r="K55" s="141">
        <f t="shared" si="39"/>
        <v>-77.925464963175727</v>
      </c>
      <c r="L55" s="141">
        <f t="shared" si="39"/>
        <v>-67.608453817339864</v>
      </c>
      <c r="M55" s="141">
        <f t="shared" si="39"/>
        <v>-51.664326627038655</v>
      </c>
      <c r="N55" s="141"/>
      <c r="O55" s="141">
        <f>(O53*100/$O53)-100</f>
        <v>0</v>
      </c>
      <c r="P55" s="141">
        <f t="shared" ref="P55:V55" si="40">(P53*100/$O53)-100</f>
        <v>26.55166420002999</v>
      </c>
      <c r="Q55" s="141">
        <f t="shared" si="40"/>
        <v>-93.701003005096567</v>
      </c>
      <c r="R55" s="141">
        <f t="shared" si="40"/>
        <v>-4.5484888081656294</v>
      </c>
      <c r="S55" s="141">
        <f t="shared" si="40"/>
        <v>45.388388337635973</v>
      </c>
      <c r="T55" s="141">
        <f t="shared" si="40"/>
        <v>-7.5893194622081523</v>
      </c>
      <c r="U55" s="141">
        <f t="shared" si="40"/>
        <v>-4.7677734104877629</v>
      </c>
      <c r="V55" s="141">
        <f t="shared" si="40"/>
        <v>-29.719227341776445</v>
      </c>
    </row>
    <row r="56" spans="1:22" s="3" customFormat="1" x14ac:dyDescent="0.35">
      <c r="A56" s="61" t="s">
        <v>81</v>
      </c>
      <c r="B56" s="141">
        <f>[1]!SWTEST(B28:B43)</f>
        <v>0.22871531957585589</v>
      </c>
      <c r="C56" s="141">
        <f>[1]!SWTEST(C28:C43)</f>
        <v>2.6443586184088375E-6</v>
      </c>
      <c r="D56" s="141">
        <f>[1]!SWTEST(D28:D43)</f>
        <v>1.2070463666358222E-5</v>
      </c>
      <c r="E56" s="141">
        <f>[1]!SWTEST(E28:E43)</f>
        <v>1.6773983782614299E-2</v>
      </c>
      <c r="F56" s="141">
        <f>[1]!SWTEST(F28:F43)</f>
        <v>0.49685713342666071</v>
      </c>
      <c r="G56" s="141">
        <f>[1]!SWTEST(G28:G43)</f>
        <v>0.33031315565002539</v>
      </c>
      <c r="H56" s="141">
        <f>[1]!SWTEST(H28:H43)</f>
        <v>9.7473110231320548E-2</v>
      </c>
      <c r="I56" s="141">
        <f>[1]!SWTEST(I28:I43)</f>
        <v>2.6220310168065808E-2</v>
      </c>
      <c r="J56" s="141">
        <f>[1]!SWTEST(J28:J43)</f>
        <v>3.1789677066978106E-2</v>
      </c>
      <c r="K56" s="141">
        <f>[1]!SWTEST(K28:K43)</f>
        <v>0.20060954433677625</v>
      </c>
      <c r="L56" s="141">
        <f>[1]!SWTEST(L28:L43)</f>
        <v>1.7855951131157011E-2</v>
      </c>
      <c r="M56" s="141">
        <f>[1]!SWTEST(M28:M43)</f>
        <v>4.0205364348808725E-3</v>
      </c>
      <c r="N56" s="141"/>
      <c r="O56" s="141">
        <f>[1]!SWTEST(O28:O43)</f>
        <v>0.22405005452541371</v>
      </c>
      <c r="P56" s="141">
        <f>[1]!SWTEST(P28:P43)</f>
        <v>0.41466129522165907</v>
      </c>
      <c r="Q56" s="141">
        <f>[1]!SWTEST(Q28:Q43)</f>
        <v>7.8739633737424208E-2</v>
      </c>
      <c r="R56" s="141">
        <f>[1]!SWTEST(R28:R43)</f>
        <v>0.44320145142468037</v>
      </c>
      <c r="S56" s="141">
        <f>[1]!SWTEST(S28:S43)</f>
        <v>0.43836924712554248</v>
      </c>
      <c r="T56" s="141">
        <f>[1]!SWTEST(T28:T43)</f>
        <v>0.83436373795449326</v>
      </c>
      <c r="U56" s="141">
        <f>[1]!SWTEST(U28:U43)</f>
        <v>0.30523030358150605</v>
      </c>
      <c r="V56" s="141">
        <f>[1]!SWTEST(V28:V43)</f>
        <v>0.49471207162512409</v>
      </c>
    </row>
    <row r="57" spans="1:22" s="3" customFormat="1" x14ac:dyDescent="0.35">
      <c r="A57" s="61" t="s">
        <v>85</v>
      </c>
      <c r="B57" s="141" t="str">
        <f>IF(B56&gt;0.05,"Oui","Non")</f>
        <v>Oui</v>
      </c>
      <c r="C57" s="141" t="str">
        <f t="shared" ref="C57:V57" si="41">IF(C56&gt;0.05,"Oui","Non")</f>
        <v>Non</v>
      </c>
      <c r="D57" s="141" t="str">
        <f t="shared" si="41"/>
        <v>Non</v>
      </c>
      <c r="E57" s="141" t="str">
        <f t="shared" si="41"/>
        <v>Non</v>
      </c>
      <c r="F57" s="141" t="str">
        <f t="shared" si="41"/>
        <v>Oui</v>
      </c>
      <c r="G57" s="141" t="str">
        <f t="shared" si="41"/>
        <v>Oui</v>
      </c>
      <c r="H57" s="141" t="str">
        <f t="shared" si="41"/>
        <v>Oui</v>
      </c>
      <c r="I57" s="141" t="str">
        <f t="shared" si="41"/>
        <v>Non</v>
      </c>
      <c r="J57" s="141" t="str">
        <f t="shared" si="41"/>
        <v>Non</v>
      </c>
      <c r="K57" s="141" t="str">
        <f t="shared" si="41"/>
        <v>Oui</v>
      </c>
      <c r="L57" s="141" t="str">
        <f t="shared" si="41"/>
        <v>Non</v>
      </c>
      <c r="M57" s="141" t="str">
        <f t="shared" si="41"/>
        <v>Non</v>
      </c>
      <c r="N57" s="141"/>
      <c r="O57" s="141" t="str">
        <f t="shared" si="41"/>
        <v>Oui</v>
      </c>
      <c r="P57" s="141" t="str">
        <f t="shared" si="41"/>
        <v>Oui</v>
      </c>
      <c r="Q57" s="141" t="str">
        <f t="shared" si="41"/>
        <v>Oui</v>
      </c>
      <c r="R57" s="141" t="str">
        <f t="shared" si="41"/>
        <v>Oui</v>
      </c>
      <c r="S57" s="141" t="str">
        <f t="shared" si="41"/>
        <v>Oui</v>
      </c>
      <c r="T57" s="141" t="str">
        <f t="shared" si="41"/>
        <v>Oui</v>
      </c>
      <c r="U57" s="141" t="str">
        <f t="shared" si="41"/>
        <v>Oui</v>
      </c>
      <c r="V57" s="141" t="str">
        <f t="shared" si="41"/>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
        <v>4259</v>
      </c>
      <c r="D59" s="150" t="s">
        <v>4259</v>
      </c>
      <c r="E59" s="150" t="s">
        <v>4259</v>
      </c>
      <c r="F59" s="150" t="s">
        <v>4259</v>
      </c>
      <c r="G59" s="150" t="s">
        <v>4259</v>
      </c>
      <c r="H59" s="150" t="s">
        <v>4259</v>
      </c>
      <c r="I59" s="150" t="s">
        <v>4259</v>
      </c>
      <c r="J59" s="150" t="s">
        <v>4259</v>
      </c>
      <c r="K59" s="150" t="s">
        <v>4259</v>
      </c>
      <c r="L59" s="150" t="s">
        <v>4259</v>
      </c>
      <c r="M59" s="150" t="s">
        <v>4259</v>
      </c>
      <c r="N59" s="150"/>
      <c r="O59" s="150" t="str">
        <f t="shared" ref="O59" si="42">IF($B57="Non",IF(O57="Non","MW",IF(O57="Oui","MW","")),IF($B57="Oui",IF(O57="Oui","T-Test Welch",IF(O57="Non","MW",""))))</f>
        <v>T-Test Welch</v>
      </c>
      <c r="P59" s="150" t="str">
        <f>IF($O57="Non",IF(P57="Non","MW",IF(P57="Oui","MW","")),IF($O57="Oui",IF(P57="Oui","T-Test Welch",IF(P57="Non","MW",""))))</f>
        <v>T-Test Welch</v>
      </c>
      <c r="Q59" s="150" t="str">
        <f t="shared" ref="Q59" si="43">IF($O57="Non",IF(Q57="Non","MW",IF(Q57="Oui","MW","")),IF($O57="Oui",IF(Q57="Oui","T-Test Welch",IF(Q57="Non","MW",""))))</f>
        <v>T-Test Welch</v>
      </c>
      <c r="R59" s="150" t="s">
        <v>4260</v>
      </c>
      <c r="S59" s="150" t="s">
        <v>4260</v>
      </c>
      <c r="T59" s="150" t="s">
        <v>4260</v>
      </c>
      <c r="U59" s="150" t="s">
        <v>4260</v>
      </c>
      <c r="V59" s="150" t="s">
        <v>4260</v>
      </c>
    </row>
    <row r="60" spans="1:22" s="3" customFormat="1" ht="15.5" x14ac:dyDescent="0.35">
      <c r="A60" s="61" t="s">
        <v>83</v>
      </c>
      <c r="B60" s="151"/>
      <c r="C60" s="200">
        <v>0.99990000000000001</v>
      </c>
      <c r="D60" s="200">
        <v>0.99990000000000001</v>
      </c>
      <c r="E60" s="200">
        <v>0.99990000000000001</v>
      </c>
      <c r="F60" s="200">
        <v>9.8500000000000004E-2</v>
      </c>
      <c r="G60" s="200">
        <v>8.8000000000000005E-3</v>
      </c>
      <c r="H60" s="200">
        <v>2.0000000000000001E-4</v>
      </c>
      <c r="I60" s="200">
        <v>0.99990000000000001</v>
      </c>
      <c r="J60" s="200">
        <v>0.99990000000000001</v>
      </c>
      <c r="K60" s="200">
        <v>0.2873</v>
      </c>
      <c r="L60" s="200">
        <v>0.46839999999999998</v>
      </c>
      <c r="M60" s="200">
        <v>0.99990000000000001</v>
      </c>
      <c r="N60" s="151"/>
      <c r="O60" s="200">
        <v>1E-4</v>
      </c>
      <c r="P60" s="198">
        <v>0.33910000000000001</v>
      </c>
      <c r="Q60" s="198">
        <v>1E-4</v>
      </c>
      <c r="R60" s="200">
        <v>0.99970000000000003</v>
      </c>
      <c r="S60" s="200">
        <v>0.32600000000000001</v>
      </c>
      <c r="T60" s="200">
        <v>0.99850000000000005</v>
      </c>
      <c r="U60" s="200">
        <v>0.99970000000000003</v>
      </c>
      <c r="V60" s="200">
        <v>0.67110000000000003</v>
      </c>
    </row>
    <row r="61" spans="1:22" s="3" customFormat="1" ht="15" thickBot="1" x14ac:dyDescent="0.4">
      <c r="A61" s="62" t="s">
        <v>84</v>
      </c>
      <c r="B61" s="142"/>
      <c r="C61" s="142" t="str">
        <f t="shared" ref="C61:O61" si="44">IF(C60&gt;0.05,"NS",IF(C60&gt;0.01,"*",IF(C60&gt;0.001,"**","***")))</f>
        <v>NS</v>
      </c>
      <c r="D61" s="142" t="str">
        <f t="shared" si="44"/>
        <v>NS</v>
      </c>
      <c r="E61" s="142" t="str">
        <f t="shared" si="44"/>
        <v>NS</v>
      </c>
      <c r="F61" s="142" t="str">
        <f t="shared" si="44"/>
        <v>NS</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NS</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35">
      <c r="A63" s="2" t="s">
        <v>39</v>
      </c>
    </row>
    <row r="64" spans="1:22" x14ac:dyDescent="0.35">
      <c r="A64" s="1" t="s">
        <v>23</v>
      </c>
      <c r="B64" s="1">
        <f>B46+(3*B47)</f>
        <v>0.53388526421007698</v>
      </c>
    </row>
    <row r="65" spans="1:22" x14ac:dyDescent="0.35">
      <c r="A65" s="1" t="s">
        <v>24</v>
      </c>
      <c r="B65" s="1">
        <f>B46+(10*B47)</f>
        <v>1.4570533441838167</v>
      </c>
    </row>
    <row r="66" spans="1:22" ht="15" thickBot="1" x14ac:dyDescent="0.4"/>
    <row r="67" spans="1:22" ht="26.5" thickBot="1" x14ac:dyDescent="0.65">
      <c r="A67" s="222" t="s">
        <v>45</v>
      </c>
      <c r="B67" s="223"/>
      <c r="C67" s="223"/>
      <c r="D67" s="223"/>
      <c r="E67" s="223"/>
      <c r="F67" s="223"/>
      <c r="G67" s="223"/>
      <c r="H67" s="223"/>
      <c r="I67" s="223"/>
      <c r="J67" s="223"/>
      <c r="K67" s="223"/>
      <c r="L67" s="223"/>
      <c r="M67" s="223"/>
      <c r="N67" s="223"/>
      <c r="O67" s="223"/>
      <c r="P67" s="223"/>
      <c r="Q67" s="223"/>
      <c r="R67" s="223"/>
      <c r="S67" s="223"/>
      <c r="T67" s="223"/>
      <c r="U67" s="223"/>
      <c r="V67" s="22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200"/>
      <c r="D69" s="12"/>
      <c r="E69" s="12"/>
      <c r="F69" s="12"/>
      <c r="N69" s="12"/>
      <c r="O69" s="12"/>
      <c r="P69" s="12"/>
      <c r="Q69" s="12"/>
      <c r="R69" s="12"/>
      <c r="S69" s="12"/>
      <c r="T69" s="12"/>
      <c r="U69" s="12"/>
      <c r="V69" s="12"/>
    </row>
    <row r="70" spans="1:22" ht="16.5" x14ac:dyDescent="0.35">
      <c r="A70" s="12"/>
      <c r="B70" s="12"/>
      <c r="C70" s="200"/>
      <c r="D70" s="12"/>
      <c r="E70" s="12"/>
      <c r="F70" s="12"/>
      <c r="N70" s="12"/>
      <c r="O70" s="12"/>
      <c r="P70" s="12"/>
      <c r="Q70" s="12"/>
      <c r="R70" s="12"/>
      <c r="S70" s="12"/>
      <c r="T70" s="12"/>
      <c r="U70" s="12"/>
      <c r="V70" s="12"/>
    </row>
    <row r="71" spans="1:22" ht="16.5" x14ac:dyDescent="0.35">
      <c r="A71" s="12"/>
      <c r="B71" s="12"/>
      <c r="C71" s="200"/>
      <c r="D71" s="12"/>
      <c r="E71" s="12"/>
      <c r="F71" s="12"/>
      <c r="K71" s="200"/>
      <c r="N71" s="12"/>
      <c r="O71" s="12"/>
      <c r="P71" s="12"/>
      <c r="Q71" s="12"/>
      <c r="R71" s="12"/>
      <c r="S71" s="12"/>
      <c r="T71" s="12"/>
      <c r="U71" s="12"/>
      <c r="V71" s="12"/>
    </row>
    <row r="72" spans="1:22" ht="16.5" x14ac:dyDescent="0.35">
      <c r="A72" s="12"/>
      <c r="B72" s="12"/>
      <c r="C72" s="200"/>
      <c r="D72" s="12"/>
      <c r="E72" s="12"/>
      <c r="F72" s="12"/>
      <c r="I72" s="200"/>
      <c r="K72" s="200"/>
      <c r="N72" s="12"/>
      <c r="O72" s="12"/>
      <c r="P72" s="12"/>
      <c r="Q72" s="12"/>
      <c r="R72" s="200"/>
      <c r="S72" s="12"/>
      <c r="T72" s="12"/>
      <c r="U72" s="12"/>
      <c r="V72" s="12"/>
    </row>
    <row r="73" spans="1:22" ht="16.5" x14ac:dyDescent="0.35">
      <c r="A73" s="12"/>
      <c r="B73" s="12"/>
      <c r="C73" s="200"/>
      <c r="D73" s="12"/>
      <c r="E73" s="12"/>
      <c r="F73" s="12"/>
      <c r="I73" s="200"/>
      <c r="K73" s="200"/>
      <c r="N73" s="12"/>
      <c r="O73" s="12"/>
      <c r="P73" s="12"/>
      <c r="Q73" s="12"/>
      <c r="R73" s="200"/>
      <c r="S73" s="12"/>
      <c r="T73" s="12"/>
      <c r="U73" s="12"/>
      <c r="V73" s="12"/>
    </row>
    <row r="74" spans="1:22" ht="16.5" x14ac:dyDescent="0.35">
      <c r="A74" s="12"/>
      <c r="B74" s="12"/>
      <c r="C74" s="200"/>
      <c r="D74" s="12"/>
      <c r="E74" s="12"/>
      <c r="F74" s="12"/>
      <c r="I74" s="200"/>
      <c r="K74" s="200"/>
      <c r="N74" s="12"/>
      <c r="O74" s="12"/>
      <c r="P74" s="12"/>
      <c r="Q74" s="12"/>
      <c r="R74" s="200"/>
      <c r="S74" s="12"/>
      <c r="T74" s="12"/>
      <c r="U74" s="12"/>
      <c r="V74" s="12"/>
    </row>
    <row r="75" spans="1:22" ht="15.5" x14ac:dyDescent="0.35">
      <c r="I75" s="200"/>
      <c r="K75" s="200"/>
      <c r="R75" s="200"/>
    </row>
    <row r="76" spans="1:22" ht="15.5" x14ac:dyDescent="0.35">
      <c r="I76" s="200"/>
      <c r="R76" s="200"/>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5"/>
  <sheetViews>
    <sheetView showGridLines="0" topLeftCell="H64" zoomScaleNormal="100" workbookViewId="0">
      <selection activeCell="Q86" sqref="Q86"/>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8" t="s">
        <v>6</v>
      </c>
      <c r="C3" s="229"/>
      <c r="D3" s="229"/>
      <c r="E3" s="229"/>
      <c r="F3" s="229"/>
      <c r="G3" s="229"/>
      <c r="H3" s="229"/>
      <c r="I3" s="229"/>
      <c r="J3" s="229"/>
      <c r="K3" s="229"/>
      <c r="L3" s="229"/>
      <c r="M3" s="229"/>
      <c r="N3" s="72"/>
      <c r="O3" s="228" t="s">
        <v>3</v>
      </c>
      <c r="P3" s="229"/>
      <c r="Q3" s="229"/>
      <c r="R3" s="229"/>
      <c r="S3" s="229"/>
      <c r="T3" s="229"/>
      <c r="U3" s="229"/>
      <c r="V3" s="229"/>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Cefuroxime 0,001mg/L</v>
      </c>
      <c r="J4" s="35" t="str">
        <f>'R1'!J4</f>
        <v>Cefuroxime 0,01mg/L</v>
      </c>
      <c r="K4" s="35" t="str">
        <f>'R1'!K4</f>
        <v>Cefuroxime 0,1mg/L</v>
      </c>
      <c r="L4" s="35" t="str">
        <f>'R1'!L4</f>
        <v>Cefuroxime 1mg/L</v>
      </c>
      <c r="M4" s="35" t="str">
        <f>'R1'!M4</f>
        <v>Cefuroxime 10mg/L</v>
      </c>
      <c r="O4" s="35" t="str">
        <f>'R1'!O4</f>
        <v>Testo -30µg/L</v>
      </c>
      <c r="P4" s="35" t="str">
        <f>'R1'!P4</f>
        <v>Testo 30µg/L + EE2 -64ng/L</v>
      </c>
      <c r="Q4" s="35" t="str">
        <f>'R1'!Q4</f>
        <v>Testo 30µg/L + FAD-10µg/L</v>
      </c>
      <c r="R4" s="35" t="str">
        <f>'R1'!R4</f>
        <v>Cefuroxime-0,001mg/L + Testostérone</v>
      </c>
      <c r="S4" s="35" t="str">
        <f>'R1'!S4</f>
        <v>Cefuroxime-0,01mg/L + Testostérone</v>
      </c>
      <c r="T4" s="35" t="str">
        <f>'R1'!T4</f>
        <v>Cefuroxime-0,1mg/L + Testostérone</v>
      </c>
      <c r="U4" s="35" t="str">
        <f>'R1'!U4</f>
        <v>Cefuroxime-1mg/L + Testostérone</v>
      </c>
      <c r="V4" s="35" t="str">
        <f>'R1'!V4</f>
        <v>Cefuroxime-10mg/L + Testostérone</v>
      </c>
    </row>
    <row r="5" spans="1:22" s="1" customFormat="1" x14ac:dyDescent="0.35">
      <c r="A5" s="34"/>
      <c r="B5" s="35"/>
      <c r="C5" s="194"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5.2215805266455369E-2</v>
      </c>
      <c r="C6" s="53">
        <f>'R1'!C28</f>
        <v>5.3832211513992187E-2</v>
      </c>
      <c r="D6" s="53">
        <f>'R1'!D28</f>
        <v>8.8292602072873524E-2</v>
      </c>
      <c r="E6" s="53">
        <f>'R1'!E28</f>
        <v>4.9384279275363561E-2</v>
      </c>
      <c r="F6" s="53">
        <f>'R1'!F28</f>
        <v>0.5063531915775269</v>
      </c>
      <c r="G6" s="53">
        <f>'R1'!G28</f>
        <v>1.3450439554401108</v>
      </c>
      <c r="H6" s="53">
        <f>'R1'!H28</f>
        <v>3.2143883633613686</v>
      </c>
      <c r="I6" s="53">
        <f>'R1'!I28</f>
        <v>8.3525020009431572E-2</v>
      </c>
      <c r="J6" s="53">
        <f>'R1'!J28</f>
        <v>0.12889080412917198</v>
      </c>
      <c r="K6" s="53">
        <f>'R1'!K28</f>
        <v>2.5004329559053833E-2</v>
      </c>
      <c r="L6" s="53">
        <f>'R1'!L28</f>
        <v>0.11947415393997758</v>
      </c>
      <c r="M6" s="53">
        <f>'R1'!M28</f>
        <v>9.2947722573116065E-2</v>
      </c>
      <c r="N6"/>
      <c r="O6" s="53">
        <f>'R1'!O28</f>
        <v>2.6121626040501701E-2</v>
      </c>
      <c r="P6" s="53">
        <f>'R1'!P28</f>
        <v>1.6514333092514513</v>
      </c>
      <c r="Q6" s="53">
        <f>'R1'!Q28</f>
        <v>0.1929798198633188</v>
      </c>
      <c r="R6" s="53">
        <f>'R1'!R28</f>
        <v>0.94502486090235893</v>
      </c>
      <c r="S6" s="53">
        <f>'R1'!S28</f>
        <v>0.41427321060281425</v>
      </c>
      <c r="T6" s="53">
        <f>'R1'!T28</f>
        <v>0.95429533920997323</v>
      </c>
      <c r="U6" s="53">
        <f>'R1'!U28</f>
        <v>1.4387069842262172</v>
      </c>
      <c r="V6" s="53">
        <f>'R1'!V28</f>
        <v>0.81527574561875649</v>
      </c>
    </row>
    <row r="7" spans="1:22" s="1" customFormat="1" x14ac:dyDescent="0.35">
      <c r="A7" s="232" t="s">
        <v>34</v>
      </c>
      <c r="B7" s="53">
        <f>'R1'!B29</f>
        <v>1.416889018706848E-2</v>
      </c>
      <c r="C7" s="53">
        <f>'R1'!C29</f>
        <v>0.16967437774834104</v>
      </c>
      <c r="D7" s="53">
        <f>'R1'!D29</f>
        <v>6.9027190306471989E-2</v>
      </c>
      <c r="E7" s="53">
        <f>'R1'!E29</f>
        <v>0.23370272898469194</v>
      </c>
      <c r="F7" s="53">
        <f>'R1'!F29</f>
        <v>1.7873323407814512</v>
      </c>
      <c r="G7" s="53">
        <f>'R1'!G29</f>
        <v>1.9509695453523843</v>
      </c>
      <c r="H7" s="53">
        <f>'R1'!H29</f>
        <v>2.9614200818573799</v>
      </c>
      <c r="I7" s="53">
        <f>'R1'!I29</f>
        <v>8.1914384630594597E-2</v>
      </c>
      <c r="J7" s="53">
        <f>'R1'!J29</f>
        <v>0.1346539314197846</v>
      </c>
      <c r="K7" s="53">
        <f>'R1'!K29</f>
        <v>3.9757766519547988E-2</v>
      </c>
      <c r="L7" s="53">
        <f>'R1'!L29</f>
        <v>0.11957141419050421</v>
      </c>
      <c r="M7" s="53">
        <f>'R1'!M29</f>
        <v>3.194555858180536E-2</v>
      </c>
      <c r="N7"/>
      <c r="O7" s="53" t="str">
        <f>'R1'!O29</f>
        <v/>
      </c>
      <c r="P7" s="53">
        <f>'R1'!P29</f>
        <v>1.3029723520777154</v>
      </c>
      <c r="Q7" s="53">
        <f>'R1'!Q29</f>
        <v>0.19607610205012788</v>
      </c>
      <c r="R7" s="53">
        <f>'R1'!R29</f>
        <v>1.4868919080822791</v>
      </c>
      <c r="S7" s="53">
        <f>'R1'!S29</f>
        <v>1.0168683055108025</v>
      </c>
      <c r="T7" s="53">
        <f>'R1'!T29</f>
        <v>1.3208312201632015</v>
      </c>
      <c r="U7" s="53">
        <f>'R1'!U29</f>
        <v>1.237525493164364</v>
      </c>
      <c r="V7" s="53">
        <f>'R1'!V29</f>
        <v>0.78066003424011232</v>
      </c>
    </row>
    <row r="8" spans="1:22" s="1" customFormat="1" x14ac:dyDescent="0.35">
      <c r="A8" s="233"/>
      <c r="B8" s="53">
        <f>'R1'!B30</f>
        <v>8.7040182812112236E-3</v>
      </c>
      <c r="C8" s="53">
        <f>'R1'!C30</f>
        <v>7.8766586884172318E-2</v>
      </c>
      <c r="D8" s="53">
        <f>'R1'!D30</f>
        <v>0.12770946508044537</v>
      </c>
      <c r="E8" s="53">
        <f>'R1'!E30</f>
        <v>0.73203666511575749</v>
      </c>
      <c r="F8" s="53">
        <f>'R1'!F30</f>
        <v>0.99903984005066204</v>
      </c>
      <c r="G8" s="53">
        <f>'R1'!G30</f>
        <v>2.0046770498013018</v>
      </c>
      <c r="H8" s="53">
        <f>'R1'!H30</f>
        <v>3.0557682957369217</v>
      </c>
      <c r="I8" s="53">
        <f>'R1'!I30</f>
        <v>3.0264969014094659E-2</v>
      </c>
      <c r="J8" s="53">
        <f>'R1'!J30</f>
        <v>0.10234593413305</v>
      </c>
      <c r="K8" s="53">
        <f>'R1'!K30</f>
        <v>0.23154104602146744</v>
      </c>
      <c r="L8" s="53">
        <f>'R1'!L30</f>
        <v>3.2198350781437554E-2</v>
      </c>
      <c r="M8" s="53">
        <f>'R1'!M30</f>
        <v>6.7879491199678593E-2</v>
      </c>
      <c r="N8"/>
      <c r="O8" s="53">
        <f>'R1'!O30</f>
        <v>1.4218224076807393</v>
      </c>
      <c r="P8" s="53">
        <f>'R1'!P30</f>
        <v>2.0958894299305064</v>
      </c>
      <c r="Q8" s="53">
        <f>'R1'!Q30</f>
        <v>4.7798134900277137E-2</v>
      </c>
      <c r="R8" s="53">
        <f>'R1'!R30</f>
        <v>2.3072548152128434</v>
      </c>
      <c r="S8" s="53">
        <f>'R1'!S30</f>
        <v>1.7471392255573028</v>
      </c>
      <c r="T8" s="53">
        <f>'R1'!T30</f>
        <v>1.4816812359050051</v>
      </c>
      <c r="U8" s="53">
        <f>'R1'!U30</f>
        <v>1.2481019472093318</v>
      </c>
      <c r="V8" s="53">
        <f>'R1'!V30</f>
        <v>1.8252451183517906</v>
      </c>
    </row>
    <row r="9" spans="1:22" s="1" customFormat="1" x14ac:dyDescent="0.35">
      <c r="A9" s="233"/>
      <c r="B9" s="53">
        <f>'R1'!B31</f>
        <v>4.2753410386347557E-2</v>
      </c>
      <c r="C9" s="53">
        <f>'R1'!C31</f>
        <v>0.13314069704436937</v>
      </c>
      <c r="D9" s="53">
        <f>'R1'!D31</f>
        <v>3.0931856231164446E-2</v>
      </c>
      <c r="E9" s="53">
        <f>'R1'!E31</f>
        <v>3.7903628632156613E-2</v>
      </c>
      <c r="F9" s="53">
        <f>'R1'!F31</f>
        <v>1.5557943913236763</v>
      </c>
      <c r="G9" s="53">
        <f>'R1'!G31</f>
        <v>1.9044714041914188</v>
      </c>
      <c r="H9" s="53">
        <f>'R1'!H31</f>
        <v>3.4655996264755973</v>
      </c>
      <c r="I9" s="53">
        <f>'R1'!I31</f>
        <v>6.6287294450102091E-2</v>
      </c>
      <c r="J9" s="53">
        <f>'R1'!J31</f>
        <v>1.8117571906713037E-2</v>
      </c>
      <c r="K9" s="53">
        <f>'R1'!K31</f>
        <v>0.11178383800940725</v>
      </c>
      <c r="L9" s="53">
        <f>'R1'!L31</f>
        <v>4.7731136522200901E-2</v>
      </c>
      <c r="M9" s="53">
        <f>'R1'!M31</f>
        <v>6.0965708991475107E-3</v>
      </c>
      <c r="N9"/>
      <c r="O9" s="53">
        <f>'R1'!O31</f>
        <v>1.6074833585037045</v>
      </c>
      <c r="P9" s="53">
        <f>'R1'!P31</f>
        <v>2.1846234330824705</v>
      </c>
      <c r="Q9" s="53">
        <f>'R1'!Q31</f>
        <v>0.1922431192102704</v>
      </c>
      <c r="R9" s="53">
        <f>'R1'!R31</f>
        <v>1.5337585403226643</v>
      </c>
      <c r="S9" s="53">
        <f>'R1'!S31</f>
        <v>1.2960432278039442</v>
      </c>
      <c r="T9" s="53">
        <f>'R1'!T31</f>
        <v>2.1674802934686603</v>
      </c>
      <c r="U9" s="53">
        <f>'R1'!U31</f>
        <v>1.6789887850345218</v>
      </c>
      <c r="V9" s="53">
        <f>'R1'!V31</f>
        <v>1.5221255950469395</v>
      </c>
    </row>
    <row r="10" spans="1:22" s="1" customFormat="1" x14ac:dyDescent="0.35">
      <c r="A10" s="233"/>
      <c r="B10" s="53">
        <f>'R1'!B32</f>
        <v>1.3855292736745245E-2</v>
      </c>
      <c r="C10" s="53">
        <f>'R1'!C32</f>
        <v>0.1901851007543004</v>
      </c>
      <c r="D10" s="53">
        <f>'R1'!D32</f>
        <v>0.27394750052134875</v>
      </c>
      <c r="E10" s="53">
        <f>'R1'!E32</f>
        <v>0.76832079093668471</v>
      </c>
      <c r="F10" s="53">
        <f>'R1'!F32</f>
        <v>0.77966448901294161</v>
      </c>
      <c r="G10" s="53">
        <f>'R1'!G32</f>
        <v>1.9487198918297113</v>
      </c>
      <c r="H10" s="53">
        <f>'R1'!H32</f>
        <v>0.25537642278656503</v>
      </c>
      <c r="I10" s="53">
        <f>'R1'!I32</f>
        <v>0.102592533205297</v>
      </c>
      <c r="J10" s="53">
        <f>'R1'!J32</f>
        <v>0.15500919285308595</v>
      </c>
      <c r="K10" s="53">
        <f>'R1'!K32</f>
        <v>0.10342072324017218</v>
      </c>
      <c r="L10" s="53">
        <f>'R1'!L32</f>
        <v>3.2813300180208747E-2</v>
      </c>
      <c r="M10" s="53">
        <f>'R1'!M32</f>
        <v>0.15626034533779118</v>
      </c>
      <c r="N10"/>
      <c r="O10" s="53">
        <f>'R1'!O32</f>
        <v>1.9307026767372173</v>
      </c>
      <c r="P10" s="53">
        <f>'R1'!P32</f>
        <v>2.0374080799143144</v>
      </c>
      <c r="Q10" s="53">
        <f>'R1'!Q32</f>
        <v>5.4727540679838739E-2</v>
      </c>
      <c r="R10" s="53">
        <f>'R1'!R32</f>
        <v>1.358482197348621</v>
      </c>
      <c r="S10" s="53">
        <f>'R1'!S32</f>
        <v>2.2382367738445539</v>
      </c>
      <c r="T10" s="53">
        <f>'R1'!T32</f>
        <v>1.4447748415347605</v>
      </c>
      <c r="U10" s="53">
        <f>'R1'!U32</f>
        <v>1.265981998605533</v>
      </c>
      <c r="V10" s="53">
        <f>'R1'!V32</f>
        <v>1.7837673514538985</v>
      </c>
    </row>
    <row r="11" spans="1:22" s="1" customFormat="1" x14ac:dyDescent="0.35">
      <c r="A11" s="233"/>
      <c r="B11" s="53">
        <f>'R1'!B33</f>
        <v>0.13012056217381926</v>
      </c>
      <c r="C11" s="53">
        <f>'R1'!C33</f>
        <v>0.17427164880869003</v>
      </c>
      <c r="D11" s="53">
        <f>'R1'!D33</f>
        <v>5.0769569269116382E-2</v>
      </c>
      <c r="E11" s="53">
        <f>'R1'!E33</f>
        <v>0.41047063038830239</v>
      </c>
      <c r="F11" s="53">
        <f>'R1'!F33</f>
        <v>0.57129179178660694</v>
      </c>
      <c r="G11" s="53">
        <f>'R1'!G33</f>
        <v>2.2678836968961851</v>
      </c>
      <c r="H11" s="53">
        <f>'R1'!H33</f>
        <v>1.1422000319340169</v>
      </c>
      <c r="I11" s="53">
        <f>'R1'!I33</f>
        <v>0.13440719159464248</v>
      </c>
      <c r="J11" s="53">
        <f>'R1'!J33</f>
        <v>1.8915359316242705E-2</v>
      </c>
      <c r="K11" s="53">
        <f>'R1'!K33</f>
        <v>0.13513488406240332</v>
      </c>
      <c r="L11" s="53">
        <f>'R1'!L33</f>
        <v>2.205710468817491E-2</v>
      </c>
      <c r="M11" s="53">
        <f>'R1'!M33</f>
        <v>2.560555555055101E-2</v>
      </c>
      <c r="N11"/>
      <c r="O11" s="53">
        <f>'R1'!O33</f>
        <v>0.75709279174021482</v>
      </c>
      <c r="P11" s="53">
        <f>'R1'!P33</f>
        <v>1.6295190687518215</v>
      </c>
      <c r="Q11" s="53">
        <f>'R1'!Q33</f>
        <v>1.8979261130626344E-2</v>
      </c>
      <c r="R11" s="53">
        <f>'R1'!R33</f>
        <v>1.3013832518918316</v>
      </c>
      <c r="S11" s="53">
        <f>'R1'!S33</f>
        <v>0.42856399279705509</v>
      </c>
      <c r="T11" s="53">
        <f>'R1'!T33</f>
        <v>1.1861895342452919</v>
      </c>
      <c r="U11" s="53">
        <f>'R1'!U33</f>
        <v>1.2497093452715811</v>
      </c>
      <c r="V11" s="53">
        <f>'R1'!V33</f>
        <v>0.73474172463058562</v>
      </c>
    </row>
    <row r="12" spans="1:22" s="1" customFormat="1" x14ac:dyDescent="0.35">
      <c r="A12" s="233"/>
      <c r="B12" s="53">
        <f>'R1'!B34</f>
        <v>1.2747145193480056E-2</v>
      </c>
      <c r="C12" s="53">
        <f>'R1'!C34</f>
        <v>1.4397332135845237E-2</v>
      </c>
      <c r="D12" s="53">
        <f>'R1'!D34</f>
        <v>3.1644206633357402E-2</v>
      </c>
      <c r="E12" s="53">
        <f>'R1'!E34</f>
        <v>0.48729173075615156</v>
      </c>
      <c r="F12" s="53">
        <f>'R1'!F34</f>
        <v>2.3285358084373367</v>
      </c>
      <c r="G12" s="53">
        <f>'R1'!G34</f>
        <v>1.853476348784323E-2</v>
      </c>
      <c r="H12" s="53">
        <f>'R1'!H34</f>
        <v>2.9807403872528777</v>
      </c>
      <c r="I12" s="53">
        <f>'R1'!I34</f>
        <v>5.4304155971323348E-2</v>
      </c>
      <c r="J12" s="53">
        <f>'R1'!J34</f>
        <v>9.8637799111162355E-2</v>
      </c>
      <c r="K12" s="53">
        <f>'R1'!K34</f>
        <v>0.19039517445026424</v>
      </c>
      <c r="L12" s="53">
        <f>'R1'!L34</f>
        <v>2.3844244197490053E-2</v>
      </c>
      <c r="M12" s="53">
        <f>'R1'!M34</f>
        <v>6.7480738247808869E-2</v>
      </c>
      <c r="N12"/>
      <c r="O12" s="53">
        <f>'R1'!O34</f>
        <v>0.90068833232817003</v>
      </c>
      <c r="P12" s="53">
        <f>'R1'!P34</f>
        <v>2.1634249210545162</v>
      </c>
      <c r="Q12" s="53" t="str">
        <f>'R1'!Q34</f>
        <v/>
      </c>
      <c r="R12" s="53">
        <f>'R1'!R34</f>
        <v>1.6394472149618753</v>
      </c>
      <c r="S12" s="53">
        <f>'R1'!S34</f>
        <v>1.692920365840421</v>
      </c>
      <c r="T12" s="53">
        <f>'R1'!T34</f>
        <v>0.11995820314628888</v>
      </c>
      <c r="U12" s="53">
        <f>'R1'!U34</f>
        <v>1.7716534535355553</v>
      </c>
      <c r="V12" s="53">
        <f>'R1'!V34</f>
        <v>1.3457929015950345</v>
      </c>
    </row>
    <row r="13" spans="1:22" s="1" customFormat="1" x14ac:dyDescent="0.35">
      <c r="A13" s="233"/>
      <c r="B13" s="53">
        <f>'R1'!B35</f>
        <v>3.4591290751341208E-2</v>
      </c>
      <c r="C13" s="53">
        <f>'R1'!C35</f>
        <v>1.7158622432273087E-2</v>
      </c>
      <c r="D13" s="53">
        <f>'R1'!D35</f>
        <v>0.19365881182936875</v>
      </c>
      <c r="E13" s="53">
        <f>'R1'!E35</f>
        <v>0.13946106504675473</v>
      </c>
      <c r="F13" s="53">
        <f>'R1'!F35</f>
        <v>0.96467079812071255</v>
      </c>
      <c r="G13" s="53">
        <f>'R1'!G35</f>
        <v>1.4302053686081859</v>
      </c>
      <c r="H13" s="53">
        <f>'R1'!H35</f>
        <v>2.8039631961581892</v>
      </c>
      <c r="I13" s="53">
        <f>'R1'!I35</f>
        <v>2.2413350265718945E-2</v>
      </c>
      <c r="J13" s="53">
        <f>'R1'!J35</f>
        <v>3.831575310906255E-3</v>
      </c>
      <c r="K13" s="53">
        <f>'R1'!K35</f>
        <v>8.0523042262351685E-2</v>
      </c>
      <c r="L13" s="53">
        <f>'R1'!L35</f>
        <v>8.1040731410596242E-2</v>
      </c>
      <c r="M13" s="53">
        <f>'R1'!M35</f>
        <v>0.12035998228540364</v>
      </c>
      <c r="N13"/>
      <c r="O13" s="53">
        <f>'R1'!O35</f>
        <v>0.36093405648042093</v>
      </c>
      <c r="P13" s="53">
        <f>'R1'!P35</f>
        <v>1.4441292080048536</v>
      </c>
      <c r="Q13" s="53">
        <f>'R1'!Q35</f>
        <v>9.3748465793443217E-2</v>
      </c>
      <c r="R13" s="53">
        <f>'R1'!R35</f>
        <v>1.2159521561767099</v>
      </c>
      <c r="S13" s="53">
        <f>'R1'!S35</f>
        <v>0.99890893985820217</v>
      </c>
      <c r="T13" s="53">
        <f>'R1'!T35</f>
        <v>1.777553674146013</v>
      </c>
      <c r="U13" s="53">
        <f>'R1'!U35</f>
        <v>1.8013186744635514</v>
      </c>
      <c r="V13" s="53">
        <f>'R1'!V35</f>
        <v>1.3467442504131379</v>
      </c>
    </row>
    <row r="14" spans="1:22" s="1" customFormat="1" x14ac:dyDescent="0.35">
      <c r="A14" s="233"/>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1.2480379046420531</v>
      </c>
      <c r="P14" s="53" t="str">
        <f>'R1'!P36</f>
        <v/>
      </c>
      <c r="Q14" s="53" t="str">
        <f>'R1'!Q36</f>
        <v/>
      </c>
      <c r="R14" s="53" t="str">
        <f>'R1'!R36</f>
        <v/>
      </c>
      <c r="S14" s="53" t="str">
        <f>'R1'!S36</f>
        <v/>
      </c>
      <c r="T14" s="53" t="str">
        <f>'R1'!T36</f>
        <v/>
      </c>
      <c r="U14" s="53" t="str">
        <f>'R1'!U36</f>
        <v/>
      </c>
      <c r="V14" s="53" t="str">
        <f>'R1'!V36</f>
        <v/>
      </c>
    </row>
    <row r="15" spans="1:22" s="1" customFormat="1" x14ac:dyDescent="0.35">
      <c r="A15" s="233"/>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1.1430249846523044</v>
      </c>
      <c r="P15" s="53" t="str">
        <f>'R1'!P37</f>
        <v/>
      </c>
      <c r="Q15" s="53" t="str">
        <f>'R1'!Q37</f>
        <v/>
      </c>
      <c r="R15" s="53" t="str">
        <f>'R1'!R37</f>
        <v/>
      </c>
      <c r="S15" s="53" t="str">
        <f>'R1'!S37</f>
        <v/>
      </c>
      <c r="T15" s="53" t="str">
        <f>'R1'!T37</f>
        <v/>
      </c>
      <c r="U15" s="53" t="str">
        <f>'R1'!U37</f>
        <v/>
      </c>
      <c r="V15" s="53" t="str">
        <f>'R1'!V37</f>
        <v/>
      </c>
    </row>
    <row r="16" spans="1:22" s="1" customFormat="1" x14ac:dyDescent="0.35">
      <c r="A16" s="233"/>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0.86676069147731094</v>
      </c>
      <c r="P16" s="53" t="str">
        <f>'R1'!P38</f>
        <v/>
      </c>
      <c r="Q16" s="53" t="str">
        <f>'R1'!Q38</f>
        <v/>
      </c>
      <c r="R16" s="53" t="str">
        <f>'R1'!R38</f>
        <v/>
      </c>
      <c r="S16" s="53" t="str">
        <f>'R1'!S38</f>
        <v/>
      </c>
      <c r="T16" s="53" t="str">
        <f>'R1'!T38</f>
        <v/>
      </c>
      <c r="U16" s="53" t="str">
        <f>'R1'!U38</f>
        <v/>
      </c>
      <c r="V16" s="53" t="str">
        <f>'R1'!V38</f>
        <v/>
      </c>
    </row>
    <row r="17" spans="1:22" s="1" customFormat="1" x14ac:dyDescent="0.35">
      <c r="A17" s="233"/>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1.4890869494816465</v>
      </c>
      <c r="P17" s="53" t="str">
        <f>'R1'!P39</f>
        <v/>
      </c>
      <c r="Q17" s="53" t="str">
        <f>'R1'!Q39</f>
        <v/>
      </c>
      <c r="R17" s="53" t="str">
        <f>'R1'!R39</f>
        <v/>
      </c>
      <c r="S17" s="53" t="str">
        <f>'R1'!S39</f>
        <v/>
      </c>
      <c r="T17" s="53" t="str">
        <f>'R1'!T39</f>
        <v/>
      </c>
      <c r="U17" s="53" t="str">
        <f>'R1'!U39</f>
        <v/>
      </c>
      <c r="V17" s="53" t="str">
        <f>'R1'!V39</f>
        <v/>
      </c>
    </row>
    <row r="18" spans="1:22" s="1" customFormat="1" x14ac:dyDescent="0.35">
      <c r="A18" s="233"/>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1.8038029630623866</v>
      </c>
      <c r="P18" s="53" t="str">
        <f>'R1'!P40</f>
        <v/>
      </c>
      <c r="Q18" s="53" t="str">
        <f>'R1'!Q40</f>
        <v/>
      </c>
      <c r="R18" s="53" t="str">
        <f>'R1'!R40</f>
        <v/>
      </c>
      <c r="S18" s="53" t="str">
        <f>'R1'!S40</f>
        <v/>
      </c>
      <c r="T18" s="53" t="str">
        <f>'R1'!T40</f>
        <v/>
      </c>
      <c r="U18" s="53" t="str">
        <f>'R1'!U40</f>
        <v/>
      </c>
      <c r="V18" s="53" t="str">
        <f>'R1'!V40</f>
        <v/>
      </c>
    </row>
    <row r="19" spans="1:22" s="1" customFormat="1" x14ac:dyDescent="0.35">
      <c r="A19" s="233"/>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3.4355388899123193E-2</v>
      </c>
      <c r="P19" s="53" t="str">
        <f>'R1'!P41</f>
        <v/>
      </c>
      <c r="Q19" s="53" t="str">
        <f>'R1'!Q41</f>
        <v/>
      </c>
      <c r="R19" s="53" t="str">
        <f>'R1'!R41</f>
        <v/>
      </c>
      <c r="S19" s="53" t="str">
        <f>'R1'!S41</f>
        <v/>
      </c>
      <c r="T19" s="53" t="str">
        <f>'R1'!T41</f>
        <v/>
      </c>
      <c r="U19" s="53" t="str">
        <f>'R1'!U41</f>
        <v/>
      </c>
      <c r="V19" s="53" t="str">
        <f>'R1'!V41</f>
        <v/>
      </c>
    </row>
    <row r="20" spans="1:22" s="1" customFormat="1" x14ac:dyDescent="0.35">
      <c r="A20" s="233"/>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0.19227647764641342</v>
      </c>
      <c r="P20" s="53" t="str">
        <f>'R1'!P42</f>
        <v/>
      </c>
      <c r="Q20" s="53" t="str">
        <f>'R1'!Q42</f>
        <v/>
      </c>
      <c r="R20" s="53" t="str">
        <f>'R1'!R42</f>
        <v/>
      </c>
      <c r="S20" s="53" t="str">
        <f>'R1'!S42</f>
        <v/>
      </c>
      <c r="T20" s="53" t="str">
        <f>'R1'!T42</f>
        <v/>
      </c>
      <c r="U20" s="53" t="str">
        <f>'R1'!U42</f>
        <v/>
      </c>
      <c r="V20" s="53" t="str">
        <f>'R1'!V42</f>
        <v/>
      </c>
    </row>
    <row r="21" spans="1:22" s="1" customFormat="1" x14ac:dyDescent="0.35">
      <c r="A21" s="234"/>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1.217809390627794</v>
      </c>
      <c r="P21" s="53" t="str">
        <f>'R1'!P43</f>
        <v/>
      </c>
      <c r="Q21" s="53" t="str">
        <f>'R1'!Q43</f>
        <v/>
      </c>
      <c r="R21" s="53" t="str">
        <f>'R1'!R43</f>
        <v/>
      </c>
      <c r="S21" s="53" t="str">
        <f>'R1'!S43</f>
        <v/>
      </c>
      <c r="T21" s="53" t="str">
        <f>'R1'!T43</f>
        <v/>
      </c>
      <c r="U21" s="53" t="str">
        <f>'R1'!U43</f>
        <v/>
      </c>
      <c r="V21" s="53" t="str">
        <f>'R1'!V43</f>
        <v/>
      </c>
    </row>
    <row r="22" spans="1:22" x14ac:dyDescent="0.35">
      <c r="A22" s="39" t="s">
        <v>5</v>
      </c>
      <c r="B22" s="54">
        <f>'R2'!B28</f>
        <v>1.5029454697366461E-2</v>
      </c>
      <c r="C22" s="54">
        <f>'R2'!C28</f>
        <v>2.804226753591926E-2</v>
      </c>
      <c r="D22" s="54">
        <f>'R2'!D28</f>
        <v>0.30784969622632125</v>
      </c>
      <c r="E22" s="54">
        <f>'R2'!E28</f>
        <v>7.3658432407330263E-2</v>
      </c>
      <c r="F22" s="54">
        <f>'R2'!F28</f>
        <v>0.39609011307223152</v>
      </c>
      <c r="G22" s="54">
        <f>'R2'!G28</f>
        <v>1.5708403202938446</v>
      </c>
      <c r="H22" s="54">
        <f>'R2'!H28</f>
        <v>1.7446117278860971</v>
      </c>
      <c r="I22" s="54">
        <f>'R2'!I28</f>
        <v>0.12785599823213004</v>
      </c>
      <c r="J22" s="54">
        <f>'R2'!J28</f>
        <v>7.8802112674402638E-2</v>
      </c>
      <c r="K22" s="54">
        <f>'R2'!K28</f>
        <v>9.3420139449178572E-3</v>
      </c>
      <c r="L22" s="54">
        <f>'R2'!L28</f>
        <v>0.13706434963875683</v>
      </c>
      <c r="M22" s="54">
        <f>'R2'!M28</f>
        <v>0.13033713403619904</v>
      </c>
      <c r="O22" s="54">
        <f>'R2'!O28</f>
        <v>1.8426360430385891</v>
      </c>
      <c r="P22" s="54">
        <f>'R2'!P28</f>
        <v>0.68224072693801163</v>
      </c>
      <c r="Q22" s="54">
        <f>'R2'!Q28</f>
        <v>0.22136963495933712</v>
      </c>
      <c r="R22" s="54">
        <f>'R2'!R28</f>
        <v>0.42955229678769141</v>
      </c>
      <c r="S22" s="54">
        <f>'R2'!S28</f>
        <v>0.67260372442599969</v>
      </c>
      <c r="T22" s="54">
        <f>'R2'!T28</f>
        <v>0.56132055096645883</v>
      </c>
      <c r="U22" s="54">
        <f>'R2'!U28</f>
        <v>1.6134245400056317</v>
      </c>
      <c r="V22" s="54">
        <f>'R2'!V28</f>
        <v>0.40586390356497226</v>
      </c>
    </row>
    <row r="23" spans="1:22" x14ac:dyDescent="0.35">
      <c r="A23" s="232" t="s">
        <v>34</v>
      </c>
      <c r="B23" s="54">
        <f>'R2'!B29</f>
        <v>6.8638705857359664E-2</v>
      </c>
      <c r="C23" s="54">
        <f>'R2'!C29</f>
        <v>2.8160236363246813E-2</v>
      </c>
      <c r="D23" s="54">
        <f>'R2'!D29</f>
        <v>9.1681196475889071E-2</v>
      </c>
      <c r="E23" s="54">
        <f>'R2'!E29</f>
        <v>1.1946080714925007</v>
      </c>
      <c r="F23" s="54">
        <f>'R2'!F29</f>
        <v>0.63024972347419428</v>
      </c>
      <c r="G23" s="54">
        <f>'R2'!G29</f>
        <v>0.68214576668692728</v>
      </c>
      <c r="H23" s="54">
        <f>'R2'!H29</f>
        <v>3.2290080292491532</v>
      </c>
      <c r="I23" s="54">
        <f>'R2'!I29</f>
        <v>1.7286356631227736E-2</v>
      </c>
      <c r="J23" s="54">
        <f>'R2'!J29</f>
        <v>4.3478827735483741E-2</v>
      </c>
      <c r="K23" s="54">
        <f>'R2'!K29</f>
        <v>8.0385847506213831E-2</v>
      </c>
      <c r="L23" s="54">
        <f>'R2'!L29</f>
        <v>6.1935629310224611E-3</v>
      </c>
      <c r="M23" s="54">
        <f>'R2'!M29</f>
        <v>1.0904269672317101E-2</v>
      </c>
      <c r="O23" s="54">
        <f>'R2'!O29</f>
        <v>1.0447308708324257</v>
      </c>
      <c r="P23" s="54">
        <f>'R2'!P29</f>
        <v>0.51610557320624695</v>
      </c>
      <c r="Q23" s="54">
        <f>'R2'!Q29</f>
        <v>5.2298759795763136E-2</v>
      </c>
      <c r="R23" s="54">
        <f>'R2'!R29</f>
        <v>0.58696660163432779</v>
      </c>
      <c r="S23" s="54">
        <f>'R2'!S29</f>
        <v>2.4184673582553145E-2</v>
      </c>
      <c r="T23" s="54">
        <f>'R2'!T29</f>
        <v>0.46592539789178511</v>
      </c>
      <c r="U23" s="54">
        <f>'R2'!U29</f>
        <v>0.55240545915876915</v>
      </c>
      <c r="V23" s="54">
        <f>'R2'!V29</f>
        <v>0.13905505697521547</v>
      </c>
    </row>
    <row r="24" spans="1:22" x14ac:dyDescent="0.35">
      <c r="A24" s="233"/>
      <c r="B24" s="54">
        <f>'R2'!B30</f>
        <v>9.3717920964834042E-2</v>
      </c>
      <c r="C24" s="54">
        <f>'R2'!C30</f>
        <v>0.21605917576388958</v>
      </c>
      <c r="D24" s="54">
        <f>'R2'!D30</f>
        <v>9.6775800646812793E-2</v>
      </c>
      <c r="E24" s="54">
        <f>'R2'!E30</f>
        <v>0.40481821032386411</v>
      </c>
      <c r="F24" s="54">
        <f>'R2'!F30</f>
        <v>1.0410084023904063</v>
      </c>
      <c r="G24" s="54">
        <f>'R2'!G30</f>
        <v>1.4476820615418315</v>
      </c>
      <c r="H24" s="54">
        <f>'R2'!H30</f>
        <v>3.1581413484251746</v>
      </c>
      <c r="I24" s="54">
        <f>'R2'!I30</f>
        <v>0.13224012948807765</v>
      </c>
      <c r="J24" s="54">
        <f>'R2'!J30</f>
        <v>0.16533962888321935</v>
      </c>
      <c r="K24" s="54">
        <f>'R2'!K30</f>
        <v>2.1855819973850599E-2</v>
      </c>
      <c r="L24" s="54">
        <f>'R2'!L30</f>
        <v>5.2083037768789857E-2</v>
      </c>
      <c r="M24" s="54">
        <f>'R2'!M30</f>
        <v>5.6242802156979202E-2</v>
      </c>
      <c r="O24" s="54">
        <f>'R2'!O30</f>
        <v>1.9766509583398264</v>
      </c>
      <c r="P24" s="54">
        <f>'R2'!P30</f>
        <v>1.757191567198872</v>
      </c>
      <c r="Q24" s="54">
        <f>'R2'!Q30</f>
        <v>3.7538425641911115E-2</v>
      </c>
      <c r="R24" s="54">
        <f>'R2'!R30</f>
        <v>0.62285944858342746</v>
      </c>
      <c r="S24" s="54">
        <f>'R2'!S30</f>
        <v>0.82081107434028999</v>
      </c>
      <c r="T24" s="54">
        <f>'R2'!T30</f>
        <v>0.67507202596644167</v>
      </c>
      <c r="U24" s="54">
        <f>'R2'!U30</f>
        <v>0.7365849890610553</v>
      </c>
      <c r="V24" s="54">
        <f>'R2'!V30</f>
        <v>0.34425165779888178</v>
      </c>
    </row>
    <row r="25" spans="1:22" x14ac:dyDescent="0.35">
      <c r="A25" s="233"/>
      <c r="B25" s="54">
        <f>'R2'!B31</f>
        <v>0.11958833850046134</v>
      </c>
      <c r="C25" s="54">
        <f>'R2'!C31</f>
        <v>1.6410168768280796E-2</v>
      </c>
      <c r="D25" s="54">
        <f>'R2'!D31</f>
        <v>0.16757631518939878</v>
      </c>
      <c r="E25" s="54">
        <f>'R2'!E31</f>
        <v>0.89545761204934526</v>
      </c>
      <c r="F25" s="54">
        <f>'R2'!F31</f>
        <v>1.4131585573730754</v>
      </c>
      <c r="G25" s="54">
        <f>'R2'!G31</f>
        <v>1.1402956622828109</v>
      </c>
      <c r="H25" s="54">
        <f>'R2'!H31</f>
        <v>2.1222880640911868</v>
      </c>
      <c r="I25" s="54">
        <f>'R2'!I31</f>
        <v>6.8847179517828594E-2</v>
      </c>
      <c r="J25" s="54">
        <f>'R2'!J31</f>
        <v>4.5403235792999035E-2</v>
      </c>
      <c r="K25" s="54">
        <f>'R2'!K31</f>
        <v>3.0340731204323779E-2</v>
      </c>
      <c r="L25" s="54">
        <f>'R2'!L31</f>
        <v>2.3983248792262747E-2</v>
      </c>
      <c r="M25" s="54">
        <f>'R2'!M31</f>
        <v>6.589722734811175E-2</v>
      </c>
      <c r="O25" s="54">
        <f>'R2'!O31</f>
        <v>0.77060802344713553</v>
      </c>
      <c r="P25" s="54">
        <f>'R2'!P31</f>
        <v>1.9424381364491279</v>
      </c>
      <c r="Q25" s="54">
        <f>'R2'!Q31</f>
        <v>0.2052859086788528</v>
      </c>
      <c r="R25" s="54">
        <f>'R2'!R31</f>
        <v>1.2324829809372739</v>
      </c>
      <c r="S25" s="54">
        <f>'R2'!S31</f>
        <v>1.2513831298467346</v>
      </c>
      <c r="T25" s="54">
        <f>'R2'!T31</f>
        <v>1.002135213331292</v>
      </c>
      <c r="U25" s="54">
        <f>'R2'!U31</f>
        <v>0.52768307647938928</v>
      </c>
      <c r="V25" s="54">
        <f>'R2'!V31</f>
        <v>3.3989784998445689E-2</v>
      </c>
    </row>
    <row r="26" spans="1:22" x14ac:dyDescent="0.35">
      <c r="A26" s="233"/>
      <c r="B26" s="54">
        <f>'R2'!B32</f>
        <v>1.342570373419924E-2</v>
      </c>
      <c r="C26" s="54">
        <f>'R2'!C32</f>
        <v>5.2326556283825657E-3</v>
      </c>
      <c r="D26" s="54">
        <f>'R2'!D32</f>
        <v>0.17909037863093441</v>
      </c>
      <c r="E26" s="54">
        <f>'R2'!E32</f>
        <v>0.618515615585293</v>
      </c>
      <c r="F26" s="54">
        <f>'R2'!F32</f>
        <v>1.0571324934274791</v>
      </c>
      <c r="G26" s="54">
        <f>'R2'!G32</f>
        <v>1.7034314968165682</v>
      </c>
      <c r="H26" s="54">
        <f>'R2'!H32</f>
        <v>2.0763956633073075</v>
      </c>
      <c r="I26" s="54">
        <f>'R2'!I32</f>
        <v>8.7293607283627471E-3</v>
      </c>
      <c r="J26" s="54">
        <f>'R2'!J32</f>
        <v>0.12587393573645636</v>
      </c>
      <c r="K26" s="54">
        <f>'R2'!K32</f>
        <v>7.8016762138473431E-2</v>
      </c>
      <c r="L26" s="54">
        <f>'R2'!L32</f>
        <v>5.7140269628012288E-2</v>
      </c>
      <c r="M26" s="54">
        <f>'R2'!M32</f>
        <v>4.9378931571243241E-2</v>
      </c>
      <c r="O26" s="54">
        <f>'R2'!O32</f>
        <v>2.1868978751500872</v>
      </c>
      <c r="P26" s="54">
        <f>'R2'!P32</f>
        <v>0.94525947583130054</v>
      </c>
      <c r="Q26" s="54">
        <f>'R2'!Q32</f>
        <v>0.1218696454848464</v>
      </c>
      <c r="R26" s="54">
        <f>'R2'!R32</f>
        <v>0.77768761605984482</v>
      </c>
      <c r="S26" s="54">
        <f>'R2'!S32</f>
        <v>0.31114058761684327</v>
      </c>
      <c r="T26" s="54">
        <f>'R2'!T32</f>
        <v>0.38594692188287039</v>
      </c>
      <c r="U26" s="54">
        <f>'R2'!U32</f>
        <v>0.59873515588881876</v>
      </c>
      <c r="V26" s="54">
        <f>'R2'!V32</f>
        <v>0.30152366773496253</v>
      </c>
    </row>
    <row r="27" spans="1:22" x14ac:dyDescent="0.35">
      <c r="A27" s="233"/>
      <c r="B27" s="54">
        <f>'R2'!B33</f>
        <v>4.8070036177619638E-2</v>
      </c>
      <c r="C27" s="54">
        <f>'R2'!C33</f>
        <v>2.5959459395712741E-2</v>
      </c>
      <c r="D27" s="54">
        <f>'R2'!D33</f>
        <v>1.6543964304122423E-2</v>
      </c>
      <c r="E27" s="54">
        <f>'R2'!E33</f>
        <v>0.40121371070917261</v>
      </c>
      <c r="F27" s="54">
        <f>'R2'!F33</f>
        <v>0.39036842545051931</v>
      </c>
      <c r="G27" s="54">
        <f>'R2'!G33</f>
        <v>1.265378329092339</v>
      </c>
      <c r="H27" s="54">
        <f>'R2'!H33</f>
        <v>2.4960317957244067</v>
      </c>
      <c r="I27" s="54">
        <f>'R2'!I33</f>
        <v>1.9346089696415842E-2</v>
      </c>
      <c r="J27" s="54" t="str">
        <f>'R2'!J33</f>
        <v/>
      </c>
      <c r="K27" s="54">
        <f>'R2'!K33</f>
        <v>6.1628005975829306E-2</v>
      </c>
      <c r="L27" s="54" t="str">
        <f>'R2'!L33</f>
        <v/>
      </c>
      <c r="M27" s="54">
        <f>'R2'!M33</f>
        <v>6.0717504744843463E-2</v>
      </c>
      <c r="O27" s="54">
        <f>'R2'!O33</f>
        <v>0.13543619362506579</v>
      </c>
      <c r="P27" s="54">
        <f>'R2'!P33</f>
        <v>2.036184784884878</v>
      </c>
      <c r="Q27" s="54">
        <f>'R2'!Q33</f>
        <v>0.2078806243910816</v>
      </c>
      <c r="R27" s="54">
        <f>'R2'!R33</f>
        <v>0.89121166524840711</v>
      </c>
      <c r="S27" s="54">
        <f>'R2'!S33</f>
        <v>0.12500226979022774</v>
      </c>
      <c r="T27" s="54">
        <f>'R2'!T33</f>
        <v>3.1232745775784786E-2</v>
      </c>
      <c r="U27" s="54">
        <f>'R2'!U33</f>
        <v>0.25782040663294525</v>
      </c>
      <c r="V27" s="54">
        <f>'R2'!V33</f>
        <v>0.1230058435590959</v>
      </c>
    </row>
    <row r="28" spans="1:22" x14ac:dyDescent="0.35">
      <c r="A28" s="233"/>
      <c r="B28" s="54">
        <f>'R2'!B34</f>
        <v>3.0510436078810772E-2</v>
      </c>
      <c r="C28" s="54">
        <f>'R2'!C34</f>
        <v>4.6620163380425336E-2</v>
      </c>
      <c r="D28" s="54">
        <f>'R2'!D34</f>
        <v>0.11817577151619305</v>
      </c>
      <c r="E28" s="54">
        <f>'R2'!E34</f>
        <v>9.3059051099466841E-2</v>
      </c>
      <c r="F28" s="54">
        <f>'R2'!F34</f>
        <v>0.92130515400627988</v>
      </c>
      <c r="G28" s="54">
        <f>'R2'!G34</f>
        <v>1.7610981042508362</v>
      </c>
      <c r="H28" s="54">
        <f>'R2'!H34</f>
        <v>2.0916306657190313</v>
      </c>
      <c r="I28" s="54">
        <f>'R2'!I34</f>
        <v>1.3463209043451068E-2</v>
      </c>
      <c r="J28" s="54">
        <f>'R2'!J34</f>
        <v>1.0852400627607128E-2</v>
      </c>
      <c r="K28" s="54">
        <f>'R2'!K34</f>
        <v>1.9849352427653122E-2</v>
      </c>
      <c r="L28" s="54">
        <f>'R2'!L34</f>
        <v>1.8925817436714516E-2</v>
      </c>
      <c r="M28" s="54">
        <f>'R2'!M34</f>
        <v>2.5999824152301142E-2</v>
      </c>
      <c r="O28" s="54">
        <f>'R2'!O34</f>
        <v>1.1030131904269109</v>
      </c>
      <c r="P28" s="54">
        <f>'R2'!P34</f>
        <v>1.0653340533765303</v>
      </c>
      <c r="Q28" s="54">
        <f>'R2'!Q34</f>
        <v>1.738676978188422E-2</v>
      </c>
      <c r="R28" s="54">
        <f>'R2'!R34</f>
        <v>0.84833125999157066</v>
      </c>
      <c r="S28" s="54">
        <f>'R2'!S34</f>
        <v>0.81315753079823228</v>
      </c>
      <c r="T28" s="54">
        <f>'R2'!T34</f>
        <v>0.55531398259149334</v>
      </c>
      <c r="U28" s="54">
        <f>'R2'!U34</f>
        <v>0.12746471943844609</v>
      </c>
      <c r="V28" s="54">
        <f>'R2'!V34</f>
        <v>1.4182848149610272</v>
      </c>
    </row>
    <row r="29" spans="1:22" x14ac:dyDescent="0.35">
      <c r="A29" s="233"/>
      <c r="B29" s="54">
        <f>'R2'!B35</f>
        <v>0.10624881717901098</v>
      </c>
      <c r="C29" s="54">
        <f>'R2'!C35</f>
        <v>3.6790513916458455E-2</v>
      </c>
      <c r="D29" s="54">
        <f>'R2'!D35</f>
        <v>0.12169395572058518</v>
      </c>
      <c r="E29" s="54">
        <f>'R2'!E35</f>
        <v>0.72594106209391707</v>
      </c>
      <c r="F29" s="54">
        <f>'R2'!F35</f>
        <v>1.1202087762298962</v>
      </c>
      <c r="G29" s="54">
        <f>'R2'!G35</f>
        <v>0.54721602773431166</v>
      </c>
      <c r="H29" s="54">
        <f>'R2'!H35</f>
        <v>2.3348174848637875</v>
      </c>
      <c r="I29" s="54">
        <f>'R2'!I35</f>
        <v>2.3666781120756642E-2</v>
      </c>
      <c r="J29" s="54">
        <f>'R2'!J35</f>
        <v>5.7612144937322508E-2</v>
      </c>
      <c r="K29" s="54">
        <f>'R2'!K35</f>
        <v>6.808344108386187E-2</v>
      </c>
      <c r="L29" s="54">
        <f>'R2'!L35</f>
        <v>4.8090185306526201E-2</v>
      </c>
      <c r="M29" s="54">
        <f>'R2'!M35</f>
        <v>0.14039846523320379</v>
      </c>
      <c r="O29" s="54">
        <f>'R2'!O35</f>
        <v>0.78447940197318899</v>
      </c>
      <c r="P29" s="54">
        <f>'R2'!P35</f>
        <v>1.2271093479053206</v>
      </c>
      <c r="Q29" s="54">
        <f>'R2'!Q35</f>
        <v>3.4405136348777095E-3</v>
      </c>
      <c r="R29" s="54">
        <f>'R2'!R35</f>
        <v>0.237786985595347</v>
      </c>
      <c r="S29" s="54">
        <f>'R2'!S35</f>
        <v>1.5094107466634186</v>
      </c>
      <c r="T29" s="54">
        <f>'R2'!T35</f>
        <v>6.8534967767939714E-2</v>
      </c>
      <c r="U29" s="54">
        <f>'R2'!U35</f>
        <v>0.98451237289720206</v>
      </c>
      <c r="V29" s="54">
        <f>'R2'!V35</f>
        <v>7.2726385573157193E-2</v>
      </c>
    </row>
    <row r="30" spans="1:22" x14ac:dyDescent="0.35">
      <c r="A30" s="233"/>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0.35510545490076956</v>
      </c>
      <c r="P30" s="54" t="str">
        <f>'R2'!P36</f>
        <v/>
      </c>
      <c r="Q30" s="54" t="str">
        <f>'R2'!Q36</f>
        <v/>
      </c>
      <c r="R30" s="54" t="str">
        <f>'R2'!R36</f>
        <v/>
      </c>
      <c r="S30" s="54" t="str">
        <f>'R2'!S36</f>
        <v/>
      </c>
      <c r="T30" s="54" t="str">
        <f>'R2'!T36</f>
        <v/>
      </c>
      <c r="U30" s="54" t="str">
        <f>'R2'!U36</f>
        <v/>
      </c>
      <c r="V30" s="54" t="str">
        <f>'R2'!V36</f>
        <v/>
      </c>
    </row>
    <row r="31" spans="1:22" s="1" customFormat="1" x14ac:dyDescent="0.35">
      <c r="A31" s="233"/>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1.5077883095444007</v>
      </c>
      <c r="P31" s="54" t="str">
        <f>'R2'!P37</f>
        <v/>
      </c>
      <c r="Q31" s="54" t="str">
        <f>'R2'!Q37</f>
        <v/>
      </c>
      <c r="R31" s="54" t="str">
        <f>'R2'!R37</f>
        <v/>
      </c>
      <c r="S31" s="54" t="str">
        <f>'R2'!S37</f>
        <v/>
      </c>
      <c r="T31" s="54" t="str">
        <f>'R2'!T37</f>
        <v/>
      </c>
      <c r="U31" s="54" t="str">
        <f>'R2'!U37</f>
        <v/>
      </c>
      <c r="V31" s="54" t="str">
        <f>'R2'!V37</f>
        <v/>
      </c>
    </row>
    <row r="32" spans="1:22" s="1" customFormat="1" x14ac:dyDescent="0.35">
      <c r="A32" s="233"/>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1.0486907399021557</v>
      </c>
      <c r="P32" s="54" t="str">
        <f>'R2'!P38</f>
        <v/>
      </c>
      <c r="Q32" s="54" t="str">
        <f>'R2'!Q38</f>
        <v/>
      </c>
      <c r="R32" s="54" t="str">
        <f>'R2'!R38</f>
        <v/>
      </c>
      <c r="S32" s="54" t="str">
        <f>'R2'!S38</f>
        <v/>
      </c>
      <c r="T32" s="54" t="str">
        <f>'R2'!T38</f>
        <v/>
      </c>
      <c r="U32" s="54" t="str">
        <f>'R2'!U38</f>
        <v/>
      </c>
      <c r="V32" s="54" t="str">
        <f>'R2'!V38</f>
        <v/>
      </c>
    </row>
    <row r="33" spans="1:22" s="1" customFormat="1" x14ac:dyDescent="0.35">
      <c r="A33" s="233"/>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0.24503362313153243</v>
      </c>
      <c r="P33" s="54" t="str">
        <f>'R2'!P39</f>
        <v/>
      </c>
      <c r="Q33" s="54" t="str">
        <f>'R2'!Q39</f>
        <v/>
      </c>
      <c r="R33" s="54" t="str">
        <f>'R2'!R39</f>
        <v/>
      </c>
      <c r="S33" s="54" t="str">
        <f>'R2'!S39</f>
        <v/>
      </c>
      <c r="T33" s="54" t="str">
        <f>'R2'!T39</f>
        <v/>
      </c>
      <c r="U33" s="54" t="str">
        <f>'R2'!U39</f>
        <v/>
      </c>
      <c r="V33" s="54" t="str">
        <f>'R2'!V39</f>
        <v/>
      </c>
    </row>
    <row r="34" spans="1:22" s="1" customFormat="1" x14ac:dyDescent="0.35">
      <c r="A34" s="233"/>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0.7040435473879727</v>
      </c>
      <c r="P34" s="54" t="str">
        <f>'R2'!P40</f>
        <v/>
      </c>
      <c r="Q34" s="54" t="str">
        <f>'R2'!Q40</f>
        <v/>
      </c>
      <c r="R34" s="54" t="str">
        <f>'R2'!R40</f>
        <v/>
      </c>
      <c r="S34" s="54" t="str">
        <f>'R2'!S40</f>
        <v/>
      </c>
      <c r="T34" s="54" t="str">
        <f>'R2'!T40</f>
        <v/>
      </c>
      <c r="U34" s="54" t="str">
        <f>'R2'!U40</f>
        <v/>
      </c>
      <c r="V34" s="54" t="str">
        <f>'R2'!V40</f>
        <v/>
      </c>
    </row>
    <row r="35" spans="1:22" s="1" customFormat="1" x14ac:dyDescent="0.35">
      <c r="A35" s="233"/>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1.1006859992875901</v>
      </c>
      <c r="P35" s="54" t="str">
        <f>'R2'!P41</f>
        <v/>
      </c>
      <c r="Q35" s="54" t="str">
        <f>'R2'!Q41</f>
        <v/>
      </c>
      <c r="R35" s="54" t="str">
        <f>'R2'!R41</f>
        <v/>
      </c>
      <c r="S35" s="54" t="str">
        <f>'R2'!S41</f>
        <v/>
      </c>
      <c r="T35" s="54" t="str">
        <f>'R2'!T41</f>
        <v/>
      </c>
      <c r="U35" s="54" t="str">
        <f>'R2'!U41</f>
        <v/>
      </c>
      <c r="V35" s="54" t="str">
        <f>'R2'!V41</f>
        <v/>
      </c>
    </row>
    <row r="36" spans="1:22" x14ac:dyDescent="0.35">
      <c r="A36" s="233"/>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1.1246175785314687</v>
      </c>
      <c r="P36" s="54" t="str">
        <f>'R2'!P42</f>
        <v/>
      </c>
      <c r="Q36" s="54" t="str">
        <f>'R2'!Q42</f>
        <v/>
      </c>
      <c r="R36" s="54" t="str">
        <f>'R2'!R42</f>
        <v/>
      </c>
      <c r="S36" s="54" t="str">
        <f>'R2'!S42</f>
        <v/>
      </c>
      <c r="T36" s="54" t="str">
        <f>'R2'!T42</f>
        <v/>
      </c>
      <c r="U36" s="54" t="str">
        <f>'R2'!U42</f>
        <v/>
      </c>
      <c r="V36" s="54" t="str">
        <f>'R2'!V42</f>
        <v/>
      </c>
    </row>
    <row r="37" spans="1:22" x14ac:dyDescent="0.35">
      <c r="A37" s="234"/>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6.9582190480879019E-2</v>
      </c>
      <c r="P37" s="54" t="str">
        <f>'R2'!P43</f>
        <v/>
      </c>
      <c r="Q37" s="54" t="str">
        <f>'R2'!Q43</f>
        <v/>
      </c>
      <c r="R37" s="54" t="str">
        <f>'R2'!R43</f>
        <v/>
      </c>
      <c r="S37" s="54" t="str">
        <f>'R2'!S43</f>
        <v/>
      </c>
      <c r="T37" s="54" t="str">
        <f>'R2'!T43</f>
        <v/>
      </c>
      <c r="U37" s="54" t="str">
        <f>'R2'!U43</f>
        <v/>
      </c>
      <c r="V37" s="54" t="str">
        <f>'R2'!V43</f>
        <v/>
      </c>
    </row>
    <row r="38" spans="1:22" s="1" customFormat="1" x14ac:dyDescent="0.35">
      <c r="A38" s="153" t="s">
        <v>116</v>
      </c>
      <c r="B38" s="154">
        <f>'R3'!B28</f>
        <v>0.39222417379210334</v>
      </c>
      <c r="C38" s="154">
        <f>'R3'!C28</f>
        <v>4.8775004380840849E-2</v>
      </c>
      <c r="D38" s="154">
        <f>'R3'!D28</f>
        <v>0.16716550848211834</v>
      </c>
      <c r="E38" s="154">
        <f>'R3'!E28</f>
        <v>9.5690094055348313E-2</v>
      </c>
      <c r="F38" s="154">
        <f>'R3'!F28</f>
        <v>1.0401025710812912</v>
      </c>
      <c r="G38" s="154">
        <f>'R3'!G28</f>
        <v>2.7453919785252276</v>
      </c>
      <c r="H38" s="154">
        <f>'R3'!H28</f>
        <v>2.4378596909510799</v>
      </c>
      <c r="I38" s="154">
        <f>'R3'!I28</f>
        <v>1.2375675696952151E-2</v>
      </c>
      <c r="J38" s="154">
        <f>'R3'!J28</f>
        <v>0.27285514230347041</v>
      </c>
      <c r="K38" s="154">
        <f>'R3'!K28</f>
        <v>3.44827102055838E-2</v>
      </c>
      <c r="L38" s="154">
        <f>'R3'!L28</f>
        <v>0.12970027282783617</v>
      </c>
      <c r="M38" s="154">
        <f>'R3'!M28</f>
        <v>6.2638456914520982E-2</v>
      </c>
      <c r="N38"/>
      <c r="O38" s="154">
        <f>'R3'!O28</f>
        <v>1.3738069029154054</v>
      </c>
      <c r="P38" s="154">
        <f>'R3'!P28</f>
        <v>1.2240369032331053</v>
      </c>
      <c r="Q38" s="154">
        <f>'R3'!Q28</f>
        <v>4.65835430296467E-2</v>
      </c>
      <c r="R38" s="154">
        <f>'R3'!R28</f>
        <v>0.51842275630819046</v>
      </c>
      <c r="S38" s="154">
        <f>'R3'!S28</f>
        <v>1.297603385447579</v>
      </c>
      <c r="T38" s="154">
        <f>'R3'!T28</f>
        <v>1.2409140218115667E-2</v>
      </c>
      <c r="U38" s="154">
        <f>'R3'!U28</f>
        <v>0.2476351326849382</v>
      </c>
      <c r="V38" s="154">
        <f>'R3'!V28</f>
        <v>0.45537885193123928</v>
      </c>
    </row>
    <row r="39" spans="1:22" s="1" customFormat="1" x14ac:dyDescent="0.35">
      <c r="A39" s="232" t="s">
        <v>34</v>
      </c>
      <c r="B39" s="154">
        <f>'R3'!B29</f>
        <v>0.13565184495976426</v>
      </c>
      <c r="C39" s="154">
        <f>'R3'!C29</f>
        <v>1.3325618805813719E-2</v>
      </c>
      <c r="D39" s="154">
        <f>'R3'!D29</f>
        <v>3.8547565028579964E-2</v>
      </c>
      <c r="E39" s="154">
        <f>'R3'!E29</f>
        <v>6.2175995823441833E-2</v>
      </c>
      <c r="F39" s="154">
        <f>'R3'!F29</f>
        <v>1.5398061108636396</v>
      </c>
      <c r="G39" s="154">
        <f>'R3'!G29</f>
        <v>2.4501112690487172</v>
      </c>
      <c r="H39" s="154">
        <f>'R3'!H29</f>
        <v>3.587901270328135</v>
      </c>
      <c r="I39" s="154">
        <f>'R3'!I29</f>
        <v>6.1224271038684989E-2</v>
      </c>
      <c r="J39" s="154" t="str">
        <f>'R3'!J29</f>
        <v/>
      </c>
      <c r="K39" s="154">
        <f>'R3'!K29</f>
        <v>1.0130299283883454E-2</v>
      </c>
      <c r="L39" s="154">
        <f>'R3'!L29</f>
        <v>2.0672707948762057E-2</v>
      </c>
      <c r="M39" s="154">
        <f>'R3'!M29</f>
        <v>4.8134995413588601E-2</v>
      </c>
      <c r="N39"/>
      <c r="O39" s="154">
        <f>'R3'!O29</f>
        <v>0.18438331447742481</v>
      </c>
      <c r="P39" s="154">
        <f>'R3'!P29</f>
        <v>1.509013173973011</v>
      </c>
      <c r="Q39" s="154">
        <f>'R3'!Q29</f>
        <v>7.7761941627010736E-2</v>
      </c>
      <c r="R39" s="154">
        <f>'R3'!R29</f>
        <v>1.2643923270462087</v>
      </c>
      <c r="S39" s="154">
        <f>'R3'!S29</f>
        <v>1.6724822472216092</v>
      </c>
      <c r="T39" s="154">
        <f>'R3'!T29</f>
        <v>1.0315138862318409</v>
      </c>
      <c r="U39" s="154">
        <f>'R3'!U29</f>
        <v>0.47263353087116111</v>
      </c>
      <c r="V39" s="154">
        <f>'R3'!V29</f>
        <v>0.9710936932711125</v>
      </c>
    </row>
    <row r="40" spans="1:22" s="1" customFormat="1" x14ac:dyDescent="0.35">
      <c r="A40" s="233"/>
      <c r="B40" s="154">
        <f>'R3'!B30</f>
        <v>0.25977934544384268</v>
      </c>
      <c r="C40" s="154">
        <f>'R3'!C30</f>
        <v>4.4971513665265292E-2</v>
      </c>
      <c r="D40" s="154">
        <f>'R3'!D30</f>
        <v>4.2726292180535315E-2</v>
      </c>
      <c r="E40" s="154">
        <f>'R3'!E30</f>
        <v>4.5142554551212154E-2</v>
      </c>
      <c r="F40" s="154">
        <f>'R3'!F30</f>
        <v>1.4224379788695756</v>
      </c>
      <c r="G40" s="154">
        <f>'R3'!G30</f>
        <v>1.5511662313002825</v>
      </c>
      <c r="H40" s="154">
        <f>'R3'!H30</f>
        <v>1.9802642018136043</v>
      </c>
      <c r="I40" s="154">
        <f>'R3'!I30</f>
        <v>4.3718143405020636E-2</v>
      </c>
      <c r="J40" s="154">
        <f>'R3'!J30</f>
        <v>1.2837981859692576E-2</v>
      </c>
      <c r="K40" s="154">
        <f>'R3'!K30</f>
        <v>4.4016535385395322E-2</v>
      </c>
      <c r="L40" s="154">
        <f>'R3'!L30</f>
        <v>5.1492757298666765E-2</v>
      </c>
      <c r="M40" s="154">
        <f>'R3'!M30</f>
        <v>5.8908712088176142E-2</v>
      </c>
      <c r="N40"/>
      <c r="O40" s="154">
        <f>'R3'!O30</f>
        <v>1.0571546812183366</v>
      </c>
      <c r="P40" s="154">
        <f>'R3'!P30</f>
        <v>0.76467701271011745</v>
      </c>
      <c r="Q40" s="154">
        <f>'R3'!Q30</f>
        <v>3.2106729202974159E-2</v>
      </c>
      <c r="R40" s="154">
        <f>'R3'!R30</f>
        <v>1.8629176823227915</v>
      </c>
      <c r="S40" s="154" t="str">
        <f>'R3'!S30</f>
        <v/>
      </c>
      <c r="T40" s="154">
        <f>'R3'!T30</f>
        <v>0.69722989001840574</v>
      </c>
      <c r="U40" s="154">
        <f>'R3'!U30</f>
        <v>1.0530747208823152</v>
      </c>
      <c r="V40" s="154">
        <f>'R3'!V30</f>
        <v>0.15821305189335355</v>
      </c>
    </row>
    <row r="41" spans="1:22" s="1" customFormat="1" x14ac:dyDescent="0.35">
      <c r="A41" s="233"/>
      <c r="B41" s="154">
        <f>'R3'!B31</f>
        <v>0.12070265462833449</v>
      </c>
      <c r="C41" s="154">
        <f>'R3'!C31</f>
        <v>4.455258743736646E-2</v>
      </c>
      <c r="D41" s="154">
        <f>'R3'!D31</f>
        <v>2.9399046627165037E-2</v>
      </c>
      <c r="E41" s="154">
        <f>'R3'!E31</f>
        <v>0.72315048558462969</v>
      </c>
      <c r="F41" s="154">
        <f>'R3'!F31</f>
        <v>1.4516057174870314</v>
      </c>
      <c r="G41" s="154">
        <f>'R3'!G31</f>
        <v>1.3546889008456984</v>
      </c>
      <c r="H41" s="154">
        <f>'R3'!H31</f>
        <v>1.8861708766812735</v>
      </c>
      <c r="I41" s="154">
        <f>'R3'!I31</f>
        <v>0.19333398939029431</v>
      </c>
      <c r="J41" s="154">
        <f>'R3'!J31</f>
        <v>1.3950522260040765E-2</v>
      </c>
      <c r="K41" s="154">
        <f>'R3'!K31</f>
        <v>7.9085494424695535E-2</v>
      </c>
      <c r="L41" s="154">
        <f>'R3'!L31</f>
        <v>1.9141473713023119E-2</v>
      </c>
      <c r="M41" s="154" t="str">
        <f>'R3'!M31</f>
        <v/>
      </c>
      <c r="N41"/>
      <c r="O41" s="154">
        <f>'R3'!O31</f>
        <v>0.79617378904355107</v>
      </c>
      <c r="P41" s="154">
        <f>'R3'!P31</f>
        <v>0.41499832972726325</v>
      </c>
      <c r="Q41" s="154">
        <f>'R3'!Q31</f>
        <v>6.9977412319686516E-2</v>
      </c>
      <c r="R41" s="154">
        <f>'R3'!R31</f>
        <v>0.88658268588861255</v>
      </c>
      <c r="S41" s="154">
        <f>'R3'!S31</f>
        <v>0.63527489947014792</v>
      </c>
      <c r="T41" s="154">
        <f>'R3'!T31</f>
        <v>0.96285003383199164</v>
      </c>
      <c r="U41" s="154">
        <f>'R3'!U31</f>
        <v>1.7676830775832799</v>
      </c>
      <c r="V41" s="154">
        <f>'R3'!V31</f>
        <v>1.1956262994069737</v>
      </c>
    </row>
    <row r="42" spans="1:22" s="1" customFormat="1" x14ac:dyDescent="0.35">
      <c r="A42" s="233"/>
      <c r="B42" s="154">
        <f>'R3'!B32</f>
        <v>0.13261246081075567</v>
      </c>
      <c r="C42" s="154">
        <f>'R3'!C32</f>
        <v>2.9921774842006255E-2</v>
      </c>
      <c r="D42" s="154">
        <f>'R3'!D32</f>
        <v>1.5758638225606509</v>
      </c>
      <c r="E42" s="154">
        <f>'R3'!E32</f>
        <v>0.75482806328934948</v>
      </c>
      <c r="F42" s="154">
        <f>'R3'!F32</f>
        <v>0.62547297080018138</v>
      </c>
      <c r="G42" s="154">
        <f>'R3'!G32</f>
        <v>1.3222704558252196</v>
      </c>
      <c r="H42" s="154">
        <f>'R3'!H32</f>
        <v>5.2193462541179345</v>
      </c>
      <c r="I42" s="154">
        <f>'R3'!I32</f>
        <v>3.6297153444502871E-2</v>
      </c>
      <c r="J42" s="154">
        <f>'R3'!J32</f>
        <v>6.1043469667398771E-2</v>
      </c>
      <c r="K42" s="154">
        <f>'R3'!K32</f>
        <v>1.3602088426259526E-2</v>
      </c>
      <c r="L42" s="154">
        <f>'R3'!L32</f>
        <v>1.058106328538924E-2</v>
      </c>
      <c r="M42" s="154">
        <f>'R3'!M32</f>
        <v>0.24680394214770546</v>
      </c>
      <c r="N42"/>
      <c r="O42" s="154">
        <f>'R3'!O32</f>
        <v>1.528465976182692</v>
      </c>
      <c r="P42" s="154">
        <f>'R3'!P32</f>
        <v>1.5282080204987232</v>
      </c>
      <c r="Q42" s="154">
        <f>'R3'!Q32</f>
        <v>0.1792395387035827</v>
      </c>
      <c r="R42" s="154">
        <f>'R3'!R32</f>
        <v>5.9680952392525889E-2</v>
      </c>
      <c r="S42" s="154">
        <f>'R3'!S32</f>
        <v>2.2162390404056298</v>
      </c>
      <c r="T42" s="154">
        <f>'R3'!T32</f>
        <v>1.1910957299977853</v>
      </c>
      <c r="U42" s="154">
        <f>'R3'!U32</f>
        <v>0.65643044158653074</v>
      </c>
      <c r="V42" s="154">
        <f>'R3'!V32</f>
        <v>0.81712505814533165</v>
      </c>
    </row>
    <row r="43" spans="1:22" s="1" customFormat="1" x14ac:dyDescent="0.35">
      <c r="A43" s="233"/>
      <c r="B43" s="154">
        <f>'R3'!B33</f>
        <v>5.1596559285609155E-2</v>
      </c>
      <c r="C43" s="154">
        <f>'R3'!C33</f>
        <v>2.1131915544728083E-2</v>
      </c>
      <c r="D43" s="154">
        <f>'R3'!D33</f>
        <v>6.4679327920479299E-2</v>
      </c>
      <c r="E43" s="154">
        <f>'R3'!E33</f>
        <v>0.39558859759574644</v>
      </c>
      <c r="F43" s="154">
        <f>'R3'!F33</f>
        <v>0.84528243160182537</v>
      </c>
      <c r="G43" s="154">
        <f>'R3'!G33</f>
        <v>1.9477435815537398</v>
      </c>
      <c r="H43" s="154">
        <f>'R3'!H33</f>
        <v>3.3262855592854441</v>
      </c>
      <c r="I43" s="154">
        <f>'R3'!I33</f>
        <v>5.2732648793442784E-2</v>
      </c>
      <c r="J43" s="154">
        <f>'R3'!J33</f>
        <v>2.6553942614911289E-2</v>
      </c>
      <c r="K43" s="154">
        <f>'R3'!K33</f>
        <v>3.6486708266926765E-2</v>
      </c>
      <c r="L43" s="154">
        <f>'R3'!L33</f>
        <v>0.111676452150339</v>
      </c>
      <c r="M43" s="154">
        <f>'R3'!M33</f>
        <v>8.1766529326244806E-3</v>
      </c>
      <c r="N43"/>
      <c r="O43" s="154">
        <f>'R3'!O33</f>
        <v>1.7279024379068277</v>
      </c>
      <c r="P43" s="154">
        <f>'R3'!P33</f>
        <v>2.062260257473663</v>
      </c>
      <c r="Q43" s="154">
        <f>'R3'!Q33</f>
        <v>7.2282900928178573E-2</v>
      </c>
      <c r="R43" s="154">
        <f>'R3'!R33</f>
        <v>1.9415610112687802</v>
      </c>
      <c r="S43" s="154">
        <f>'R3'!S33</f>
        <v>0.64087470680901226</v>
      </c>
      <c r="T43" s="154">
        <f>'R3'!T33</f>
        <v>1.8053728044003674</v>
      </c>
      <c r="U43" s="154">
        <f>'R3'!U33</f>
        <v>0.25094920477849736</v>
      </c>
      <c r="V43" s="154">
        <f>'R3'!V33</f>
        <v>1.6097232560595642</v>
      </c>
    </row>
    <row r="44" spans="1:22" s="1" customFormat="1" x14ac:dyDescent="0.35">
      <c r="A44" s="233"/>
      <c r="B44" s="154">
        <f>'R3'!B34</f>
        <v>7.5667000630839139E-3</v>
      </c>
      <c r="C44" s="154">
        <f>'R3'!C34</f>
        <v>3.423141644017999E-2</v>
      </c>
      <c r="D44" s="154">
        <f>'R3'!D34</f>
        <v>5.2410862633921383E-2</v>
      </c>
      <c r="E44" s="154">
        <f>'R3'!E34</f>
        <v>6.8033681382105624E-2</v>
      </c>
      <c r="F44" s="154">
        <f>'R3'!F34</f>
        <v>0.7706085990863506</v>
      </c>
      <c r="G44" s="154" t="str">
        <f>'R3'!G34</f>
        <v/>
      </c>
      <c r="H44" s="154">
        <f>'R3'!H34</f>
        <v>2.5698825719688365</v>
      </c>
      <c r="I44" s="154">
        <f>'R3'!I34</f>
        <v>0.19389699897320273</v>
      </c>
      <c r="J44" s="154">
        <f>'R3'!J34</f>
        <v>0.15528916682086069</v>
      </c>
      <c r="K44" s="154">
        <f>'R3'!K34</f>
        <v>1.9392690014257568E-2</v>
      </c>
      <c r="L44" s="154">
        <f>'R3'!L34</f>
        <v>1.0475634550890293E-2</v>
      </c>
      <c r="M44" s="154">
        <f>'R3'!M34</f>
        <v>6.4172867181203682E-3</v>
      </c>
      <c r="N44"/>
      <c r="O44" s="154">
        <f>'R3'!O34</f>
        <v>3.1114877978488838E-2</v>
      </c>
      <c r="P44" s="154">
        <f>'R3'!P34</f>
        <v>2.098626121636388</v>
      </c>
      <c r="Q44" s="154">
        <f>'R3'!Q34</f>
        <v>1.0740252153424022E-2</v>
      </c>
      <c r="R44" s="154">
        <f>'R3'!R34</f>
        <v>0.63837462820708801</v>
      </c>
      <c r="S44" s="154">
        <f>'R3'!S34</f>
        <v>2.381655253015261</v>
      </c>
      <c r="T44" s="154">
        <f>'R3'!T34</f>
        <v>0.76827615294692131</v>
      </c>
      <c r="U44" s="154">
        <f>'R3'!U34</f>
        <v>1.2857671702260498</v>
      </c>
      <c r="V44" s="154">
        <f>'R3'!V34</f>
        <v>0.1246671158878401</v>
      </c>
    </row>
    <row r="45" spans="1:22" s="1" customFormat="1" x14ac:dyDescent="0.35">
      <c r="A45" s="233"/>
      <c r="B45" s="154">
        <f>'R3'!B35</f>
        <v>5.8006719300148406E-3</v>
      </c>
      <c r="C45" s="154">
        <f>'R3'!C35</f>
        <v>1.0659362518494933</v>
      </c>
      <c r="D45" s="154">
        <f>'R3'!D35</f>
        <v>0.17105606892405453</v>
      </c>
      <c r="E45" s="154">
        <f>'R3'!E35</f>
        <v>0.16605296808177014</v>
      </c>
      <c r="F45" s="154">
        <f>'R3'!F35</f>
        <v>1.2022245424247191</v>
      </c>
      <c r="G45" s="154" t="str">
        <f>'R3'!G35</f>
        <v/>
      </c>
      <c r="H45" s="154">
        <f>'R3'!H35</f>
        <v>2.0980263940372033</v>
      </c>
      <c r="I45" s="154">
        <f>'R3'!I35</f>
        <v>0.17948401562208283</v>
      </c>
      <c r="J45" s="154">
        <f>'R3'!J35</f>
        <v>4.934126745886238E-2</v>
      </c>
      <c r="K45" s="154">
        <f>'R3'!K35</f>
        <v>6.9333530143966277E-3</v>
      </c>
      <c r="L45" s="154">
        <f>'R3'!L35</f>
        <v>4.488893686072754E-3</v>
      </c>
      <c r="M45" s="154">
        <f>'R3'!M35</f>
        <v>3.6660692791309304E-2</v>
      </c>
      <c r="N45"/>
      <c r="O45" s="154">
        <f>'R3'!O35</f>
        <v>1.3125775192415428</v>
      </c>
      <c r="P45" s="154">
        <f>'R3'!P35</f>
        <v>0.5223133167501266</v>
      </c>
      <c r="Q45" s="154">
        <f>'R3'!Q35</f>
        <v>1.5227441627770856E-2</v>
      </c>
      <c r="R45" s="154">
        <f>'R3'!R35</f>
        <v>0.4641888519125511</v>
      </c>
      <c r="S45" s="154">
        <f>'R3'!S35</f>
        <v>1.3330576512652756</v>
      </c>
      <c r="T45" s="154" t="str">
        <f>'R3'!T35</f>
        <v/>
      </c>
      <c r="U45" s="154">
        <f>'R3'!U35</f>
        <v>1.8844048485482046</v>
      </c>
      <c r="V45" s="154">
        <f>'R3'!V35</f>
        <v>0.29063448606246745</v>
      </c>
    </row>
    <row r="46" spans="1:22" s="1" customFormat="1" x14ac:dyDescent="0.35">
      <c r="A46" s="233"/>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1.2176298417853406</v>
      </c>
      <c r="P46" s="154" t="str">
        <f>'R3'!P36</f>
        <v/>
      </c>
      <c r="Q46" s="154" t="str">
        <f>'R3'!Q36</f>
        <v/>
      </c>
      <c r="R46" s="154" t="str">
        <f>'R3'!R36</f>
        <v/>
      </c>
      <c r="S46" s="154" t="str">
        <f>'R3'!S36</f>
        <v/>
      </c>
      <c r="T46" s="154" t="str">
        <f>'R3'!T36</f>
        <v/>
      </c>
      <c r="U46" s="154" t="str">
        <f>'R3'!U36</f>
        <v/>
      </c>
      <c r="V46" s="154" t="str">
        <f>'R3'!V36</f>
        <v/>
      </c>
    </row>
    <row r="47" spans="1:22" s="1" customFormat="1" x14ac:dyDescent="0.35">
      <c r="A47" s="233"/>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0.95256898927453371</v>
      </c>
      <c r="P47" s="154" t="str">
        <f>'R3'!P37</f>
        <v/>
      </c>
      <c r="Q47" s="154" t="str">
        <f>'R3'!Q37</f>
        <v/>
      </c>
      <c r="R47" s="154" t="str">
        <f>'R3'!R37</f>
        <v/>
      </c>
      <c r="S47" s="154" t="str">
        <f>'R3'!S37</f>
        <v/>
      </c>
      <c r="T47" s="154" t="str">
        <f>'R3'!T37</f>
        <v/>
      </c>
      <c r="U47" s="154" t="str">
        <f>'R3'!U37</f>
        <v/>
      </c>
      <c r="V47" s="154" t="str">
        <f>'R3'!V37</f>
        <v/>
      </c>
    </row>
    <row r="48" spans="1:22" s="1" customFormat="1" x14ac:dyDescent="0.35">
      <c r="A48" s="233"/>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1.5992157837350669</v>
      </c>
      <c r="P48" s="154" t="str">
        <f>'R3'!P38</f>
        <v/>
      </c>
      <c r="Q48" s="154" t="str">
        <f>'R3'!Q38</f>
        <v/>
      </c>
      <c r="R48" s="154" t="str">
        <f>'R3'!R38</f>
        <v/>
      </c>
      <c r="S48" s="154" t="str">
        <f>'R3'!S38</f>
        <v/>
      </c>
      <c r="T48" s="154" t="str">
        <f>'R3'!T38</f>
        <v/>
      </c>
      <c r="U48" s="154" t="str">
        <f>'R3'!U38</f>
        <v/>
      </c>
      <c r="V48" s="154" t="str">
        <f>'R3'!V38</f>
        <v/>
      </c>
    </row>
    <row r="49" spans="1:24" s="1" customFormat="1" x14ac:dyDescent="0.35">
      <c r="A49" s="233"/>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0.73005037407786277</v>
      </c>
      <c r="P49" s="154" t="str">
        <f>'R3'!P39</f>
        <v/>
      </c>
      <c r="Q49" s="154" t="str">
        <f>'R3'!Q39</f>
        <v/>
      </c>
      <c r="R49" s="154" t="str">
        <f>'R3'!R39</f>
        <v/>
      </c>
      <c r="S49" s="154" t="str">
        <f>'R3'!S39</f>
        <v/>
      </c>
      <c r="T49" s="154" t="str">
        <f>'R3'!T39</f>
        <v/>
      </c>
      <c r="U49" s="154" t="str">
        <f>'R3'!U39</f>
        <v/>
      </c>
      <c r="V49" s="154" t="str">
        <f>'R3'!V39</f>
        <v/>
      </c>
    </row>
    <row r="50" spans="1:24" s="1" customFormat="1" x14ac:dyDescent="0.35">
      <c r="A50" s="233"/>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0.83518040673975835</v>
      </c>
      <c r="P50" s="154" t="str">
        <f>'R3'!P40</f>
        <v/>
      </c>
      <c r="Q50" s="154" t="str">
        <f>'R3'!Q40</f>
        <v/>
      </c>
      <c r="R50" s="154" t="str">
        <f>'R3'!R40</f>
        <v/>
      </c>
      <c r="S50" s="154" t="str">
        <f>'R3'!S40</f>
        <v/>
      </c>
      <c r="T50" s="154" t="str">
        <f>'R3'!T40</f>
        <v/>
      </c>
      <c r="U50" s="154" t="str">
        <f>'R3'!U40</f>
        <v/>
      </c>
      <c r="V50" s="154" t="str">
        <f>'R3'!V40</f>
        <v/>
      </c>
    </row>
    <row r="51" spans="1:24" s="1" customFormat="1" x14ac:dyDescent="0.35">
      <c r="A51" s="233"/>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1.5350778528942446</v>
      </c>
      <c r="P51" s="154" t="str">
        <f>'R3'!P41</f>
        <v/>
      </c>
      <c r="Q51" s="154" t="str">
        <f>'R3'!Q41</f>
        <v/>
      </c>
      <c r="R51" s="154" t="str">
        <f>'R3'!R41</f>
        <v/>
      </c>
      <c r="S51" s="154" t="str">
        <f>'R3'!S41</f>
        <v/>
      </c>
      <c r="T51" s="154" t="str">
        <f>'R3'!T41</f>
        <v/>
      </c>
      <c r="U51" s="154" t="str">
        <f>'R3'!U41</f>
        <v/>
      </c>
      <c r="V51" s="154" t="str">
        <f>'R3'!V41</f>
        <v/>
      </c>
    </row>
    <row r="52" spans="1:24" s="1" customFormat="1" x14ac:dyDescent="0.35">
      <c r="A52" s="233"/>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0.1284252126001707</v>
      </c>
      <c r="P52" s="154" t="str">
        <f>'R3'!P42</f>
        <v/>
      </c>
      <c r="Q52" s="154" t="str">
        <f>'R3'!Q42</f>
        <v/>
      </c>
      <c r="R52" s="154" t="str">
        <f>'R3'!R42</f>
        <v/>
      </c>
      <c r="S52" s="154" t="str">
        <f>'R3'!S42</f>
        <v/>
      </c>
      <c r="T52" s="154" t="str">
        <f>'R3'!T42</f>
        <v/>
      </c>
      <c r="U52" s="154" t="str">
        <f>'R3'!U42</f>
        <v/>
      </c>
      <c r="V52" s="154" t="str">
        <f>'R3'!V42</f>
        <v/>
      </c>
    </row>
    <row r="53" spans="1:24" s="1" customFormat="1" x14ac:dyDescent="0.35">
      <c r="A53" s="234"/>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0.99027203992875112</v>
      </c>
      <c r="P53" s="154" t="str">
        <f>'R3'!P43</f>
        <v/>
      </c>
      <c r="Q53" s="154" t="str">
        <f>'R3'!Q43</f>
        <v/>
      </c>
      <c r="R53" s="154" t="str">
        <f>'R3'!R43</f>
        <v/>
      </c>
      <c r="S53" s="154" t="str">
        <f>'R3'!S43</f>
        <v/>
      </c>
      <c r="T53" s="154" t="str">
        <f>'R3'!T43</f>
        <v/>
      </c>
      <c r="U53" s="154" t="str">
        <f>'R3'!U43</f>
        <v/>
      </c>
      <c r="V53" s="154"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Cefuroxime 0,001mg/L</v>
      </c>
      <c r="J55" s="15" t="str">
        <f t="shared" si="0"/>
        <v>Cefuroxime 0,01mg/L</v>
      </c>
      <c r="K55" s="15" t="str">
        <f t="shared" si="0"/>
        <v>Cefuroxime 0,1mg/L</v>
      </c>
      <c r="L55" s="15" t="str">
        <f t="shared" si="0"/>
        <v>Cefuroxime 1mg/L</v>
      </c>
      <c r="M55" s="15" t="str">
        <f t="shared" si="0"/>
        <v>Cefuroxime 10mg/L</v>
      </c>
      <c r="O55" s="15" t="str">
        <f t="shared" ref="O55:V55" si="1">O4</f>
        <v>Testo -30µg/L</v>
      </c>
      <c r="P55" s="15" t="str">
        <f t="shared" si="1"/>
        <v>Testo 30µg/L + EE2 -64ng/L</v>
      </c>
      <c r="Q55" s="15" t="str">
        <f t="shared" si="1"/>
        <v>Testo 30µg/L + FAD-10µg/L</v>
      </c>
      <c r="R55" s="15" t="str">
        <f t="shared" si="1"/>
        <v>Cefuroxime-0,001mg/L + Testostérone</v>
      </c>
      <c r="S55" s="15" t="str">
        <f t="shared" si="1"/>
        <v>Cefuroxime-0,01mg/L + Testostérone</v>
      </c>
      <c r="T55" s="15" t="str">
        <f t="shared" si="1"/>
        <v>Cefuroxime-0,1mg/L + Testostérone</v>
      </c>
      <c r="U55" s="15" t="str">
        <f t="shared" si="1"/>
        <v>Cefuroxime-1mg/L + Testostérone</v>
      </c>
      <c r="V55" s="15" t="str">
        <f t="shared" si="1"/>
        <v>Cefuroxime-10mg/L + Testostérone</v>
      </c>
    </row>
    <row r="56" spans="1:24" x14ac:dyDescent="0.35">
      <c r="A56" t="s">
        <v>48</v>
      </c>
      <c r="B56" s="9">
        <f t="shared" ref="B56:V56" si="2">AVERAGE(B6:B53)</f>
        <v>7.9596676628318291E-2</v>
      </c>
      <c r="C56" s="9">
        <f t="shared" si="2"/>
        <v>0.10573113754333303</v>
      </c>
      <c r="D56" s="9">
        <f t="shared" si="2"/>
        <v>0.17113403229216284</v>
      </c>
      <c r="E56" s="9">
        <f t="shared" si="2"/>
        <v>0.39902107188584823</v>
      </c>
      <c r="F56" s="9">
        <f t="shared" si="2"/>
        <v>1.0566560507804004</v>
      </c>
      <c r="G56" s="9">
        <f t="shared" si="2"/>
        <v>1.561816630063886</v>
      </c>
      <c r="H56" s="9">
        <f t="shared" si="2"/>
        <v>2.5932549168338572</v>
      </c>
      <c r="I56" s="9">
        <f t="shared" si="2"/>
        <v>7.3341954165151588E-2</v>
      </c>
      <c r="J56" s="9">
        <f t="shared" si="2"/>
        <v>8.0892543070583842E-2</v>
      </c>
      <c r="K56" s="9">
        <f t="shared" si="2"/>
        <v>6.3799694058382928E-2</v>
      </c>
      <c r="L56" s="9">
        <f t="shared" si="2"/>
        <v>5.1323485342332817E-2</v>
      </c>
      <c r="M56" s="9">
        <f t="shared" si="2"/>
        <v>6.8530124460719419E-2</v>
      </c>
      <c r="N56" s="9"/>
      <c r="O56" s="9">
        <f t="shared" si="2"/>
        <v>1</v>
      </c>
      <c r="P56" s="9">
        <f t="shared" si="2"/>
        <v>1.4502248584941808</v>
      </c>
      <c r="Q56" s="9">
        <f t="shared" si="2"/>
        <v>9.4240977634292636E-2</v>
      </c>
      <c r="R56" s="9">
        <f t="shared" si="2"/>
        <v>1.0437997789618259</v>
      </c>
      <c r="S56" s="9">
        <f t="shared" si="2"/>
        <v>1.1103406505440829</v>
      </c>
      <c r="T56" s="9">
        <f t="shared" si="2"/>
        <v>0.89856494720168212</v>
      </c>
      <c r="U56" s="9">
        <f t="shared" si="2"/>
        <v>1.0295498136764119</v>
      </c>
      <c r="V56" s="9">
        <f t="shared" si="2"/>
        <v>0.77564648538224557</v>
      </c>
    </row>
    <row r="57" spans="1:24" x14ac:dyDescent="0.35">
      <c r="A57" t="s">
        <v>1</v>
      </c>
      <c r="B57" s="3">
        <f>STDEV(B6:B53)</f>
        <v>9.0559897349859184E-2</v>
      </c>
      <c r="C57" s="3">
        <f t="shared" ref="C57:V57" si="3">STDEV(C6:C53)</f>
        <v>0.2139096743458386</v>
      </c>
      <c r="D57" s="3">
        <f t="shared" si="3"/>
        <v>0.30902903504320112</v>
      </c>
      <c r="E57" s="3">
        <f t="shared" si="3"/>
        <v>0.33380113442089004</v>
      </c>
      <c r="F57" s="3">
        <f t="shared" si="3"/>
        <v>0.47073159828223649</v>
      </c>
      <c r="G57" s="3">
        <f t="shared" si="3"/>
        <v>0.62259653662921932</v>
      </c>
      <c r="H57" s="3">
        <f t="shared" si="3"/>
        <v>0.95760147415271468</v>
      </c>
      <c r="I57" s="3">
        <f t="shared" si="3"/>
        <v>5.8646336383659209E-2</v>
      </c>
      <c r="J57" s="3">
        <f t="shared" si="3"/>
        <v>6.8413305957561052E-2</v>
      </c>
      <c r="K57" s="3">
        <f t="shared" si="3"/>
        <v>5.7709990724313008E-2</v>
      </c>
      <c r="L57" s="3">
        <f t="shared" si="3"/>
        <v>4.318620505954094E-2</v>
      </c>
      <c r="M57" s="3">
        <f t="shared" si="3"/>
        <v>5.7840304722578846E-2</v>
      </c>
      <c r="N57" s="3"/>
      <c r="O57" s="3">
        <f t="shared" si="3"/>
        <v>0.58723975420129537</v>
      </c>
      <c r="P57" s="3">
        <f t="shared" si="3"/>
        <v>0.5807624395361759</v>
      </c>
      <c r="Q57" s="3">
        <f t="shared" si="3"/>
        <v>7.6371458921453403E-2</v>
      </c>
      <c r="R57" s="3">
        <f t="shared" si="3"/>
        <v>0.56982685569949476</v>
      </c>
      <c r="S57" s="3">
        <f t="shared" si="3"/>
        <v>0.67555691599335066</v>
      </c>
      <c r="T57" s="3">
        <f t="shared" si="3"/>
        <v>0.59724268319759755</v>
      </c>
      <c r="U57" s="3">
        <f t="shared" si="3"/>
        <v>0.56886405637032877</v>
      </c>
      <c r="V57" s="3">
        <f t="shared" si="3"/>
        <v>0.59783794198107287</v>
      </c>
      <c r="W57" s="3"/>
      <c r="X57" s="3"/>
    </row>
    <row r="58" spans="1:24" x14ac:dyDescent="0.35">
      <c r="A58" t="s">
        <v>2</v>
      </c>
      <c r="B58" s="3">
        <f xml:space="preserve"> B57/SQRT(COUNT(B6:B53))</f>
        <v>1.8485461638831469E-2</v>
      </c>
      <c r="C58" s="3">
        <f t="shared" ref="C58:V58" si="4" xml:space="preserve"> C57/SQRT(COUNT(C6:C53))</f>
        <v>4.3664129432685134E-2</v>
      </c>
      <c r="D58" s="3">
        <f t="shared" si="4"/>
        <v>6.3080287630042045E-2</v>
      </c>
      <c r="E58" s="3">
        <f t="shared" si="4"/>
        <v>6.8136871241113256E-2</v>
      </c>
      <c r="F58" s="3">
        <f t="shared" si="4"/>
        <v>9.6087685133022488E-2</v>
      </c>
      <c r="G58" s="3">
        <f t="shared" si="4"/>
        <v>0.13273802760987161</v>
      </c>
      <c r="H58" s="3">
        <f t="shared" si="4"/>
        <v>0.19546958238426046</v>
      </c>
      <c r="I58" s="3">
        <f t="shared" si="4"/>
        <v>1.1971133285298762E-2</v>
      </c>
      <c r="J58" s="3">
        <f t="shared" si="4"/>
        <v>1.4585765838407566E-2</v>
      </c>
      <c r="K58" s="3">
        <f t="shared" si="4"/>
        <v>1.178000252794309E-2</v>
      </c>
      <c r="L58" s="3">
        <f t="shared" si="4"/>
        <v>9.0049462433388575E-3</v>
      </c>
      <c r="M58" s="3">
        <f t="shared" si="4"/>
        <v>1.2060537248111184E-2</v>
      </c>
      <c r="N58" s="3"/>
      <c r="O58" s="3">
        <f t="shared" si="4"/>
        <v>8.5657721753797642E-2</v>
      </c>
      <c r="P58" s="3">
        <f t="shared" si="4"/>
        <v>0.11854763655313322</v>
      </c>
      <c r="Q58" s="3">
        <f t="shared" si="4"/>
        <v>1.5924550007690812E-2</v>
      </c>
      <c r="R58" s="3">
        <f t="shared" si="4"/>
        <v>0.11631541984985856</v>
      </c>
      <c r="S58" s="3">
        <f t="shared" si="4"/>
        <v>0.14086335450055801</v>
      </c>
      <c r="T58" s="3">
        <f t="shared" si="4"/>
        <v>0.1245337081368222</v>
      </c>
      <c r="U58" s="3">
        <f t="shared" si="4"/>
        <v>0.11611888925976267</v>
      </c>
      <c r="V58" s="3">
        <f t="shared" si="4"/>
        <v>0.12203315889410357</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5" t="s">
        <v>46</v>
      </c>
      <c r="B60" s="236"/>
      <c r="C60" s="236"/>
      <c r="D60" s="236"/>
      <c r="E60" s="236"/>
      <c r="F60" s="236"/>
      <c r="G60" s="236"/>
      <c r="H60" s="236"/>
      <c r="I60" s="236"/>
      <c r="J60" s="236"/>
      <c r="K60" s="236"/>
      <c r="L60" s="236"/>
      <c r="M60" s="236"/>
      <c r="N60" s="236"/>
      <c r="O60" s="236"/>
      <c r="P60" s="236"/>
      <c r="Q60" s="236"/>
      <c r="R60" s="236"/>
      <c r="S60" s="236"/>
      <c r="T60" s="236"/>
      <c r="U60" s="236"/>
      <c r="V60" s="236"/>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Cefuroxime 0,001mg/L</v>
      </c>
      <c r="J62" s="3" t="str">
        <f t="shared" si="6"/>
        <v>Cefuroxime 0,01mg/L</v>
      </c>
      <c r="K62" s="3" t="str">
        <f t="shared" si="6"/>
        <v>Cefuroxime 0,1mg/L</v>
      </c>
      <c r="L62" s="3" t="str">
        <f t="shared" si="6"/>
        <v>Cefuroxime 1mg/L</v>
      </c>
      <c r="M62" s="3" t="str">
        <f t="shared" si="6"/>
        <v>Cefuroxime 10mg/L</v>
      </c>
      <c r="N62" s="3"/>
      <c r="O62" s="3" t="str">
        <f t="shared" si="6"/>
        <v>Testo -30µg/L</v>
      </c>
      <c r="P62" s="3" t="str">
        <f t="shared" si="6"/>
        <v>Testo 30µg/L + EE2 -64ng/L</v>
      </c>
      <c r="Q62" s="3" t="str">
        <f t="shared" si="6"/>
        <v>Testo 30µg/L + FAD-10µg/L</v>
      </c>
      <c r="R62" s="3" t="str">
        <f t="shared" si="6"/>
        <v>Cefuroxime-0,001mg/L + Testostérone</v>
      </c>
      <c r="S62" s="3" t="str">
        <f t="shared" si="6"/>
        <v>Cefuroxime-0,01mg/L + Testostérone</v>
      </c>
      <c r="T62" s="3" t="str">
        <f t="shared" si="6"/>
        <v>Cefuroxime-0,1mg/L + Testostérone</v>
      </c>
      <c r="U62" s="3" t="str">
        <f t="shared" si="6"/>
        <v>Cefuroxime-1mg/L + Testostérone</v>
      </c>
      <c r="V62" s="3" t="str">
        <f t="shared" si="6"/>
        <v>Cefuroxime-10mg/L + Testostérone</v>
      </c>
    </row>
    <row r="63" spans="1:24" s="1" customFormat="1" x14ac:dyDescent="0.35">
      <c r="A63" s="1" t="s">
        <v>49</v>
      </c>
      <c r="B63" s="3">
        <f>COUNT(B6:B53)</f>
        <v>24</v>
      </c>
      <c r="C63" s="3">
        <f t="shared" ref="C63:V63" si="7">COUNT(C6:C53)</f>
        <v>24</v>
      </c>
      <c r="D63" s="3">
        <f t="shared" si="7"/>
        <v>24</v>
      </c>
      <c r="E63" s="3">
        <f t="shared" si="7"/>
        <v>24</v>
      </c>
      <c r="F63" s="3">
        <f t="shared" si="7"/>
        <v>24</v>
      </c>
      <c r="G63" s="3">
        <f t="shared" si="7"/>
        <v>22</v>
      </c>
      <c r="H63" s="3">
        <f t="shared" si="7"/>
        <v>24</v>
      </c>
      <c r="I63" s="3">
        <f t="shared" si="7"/>
        <v>24</v>
      </c>
      <c r="J63" s="3">
        <f t="shared" si="7"/>
        <v>22</v>
      </c>
      <c r="K63" s="3">
        <f t="shared" si="7"/>
        <v>24</v>
      </c>
      <c r="L63" s="3">
        <f t="shared" si="7"/>
        <v>23</v>
      </c>
      <c r="M63" s="3">
        <f t="shared" si="7"/>
        <v>23</v>
      </c>
      <c r="N63" s="3"/>
      <c r="O63" s="3">
        <f t="shared" si="7"/>
        <v>47</v>
      </c>
      <c r="P63" s="3">
        <f t="shared" si="7"/>
        <v>24</v>
      </c>
      <c r="Q63" s="3">
        <f t="shared" si="7"/>
        <v>23</v>
      </c>
      <c r="R63" s="3">
        <f t="shared" si="7"/>
        <v>24</v>
      </c>
      <c r="S63" s="3">
        <f t="shared" si="7"/>
        <v>23</v>
      </c>
      <c r="T63" s="3">
        <f t="shared" si="7"/>
        <v>23</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35" t="s">
        <v>58</v>
      </c>
      <c r="B65" s="236"/>
      <c r="C65" s="236"/>
      <c r="D65" s="236"/>
      <c r="E65" s="236"/>
      <c r="F65" s="236"/>
      <c r="G65" s="236"/>
      <c r="H65" s="236"/>
      <c r="I65" s="236"/>
      <c r="J65" s="236"/>
      <c r="K65" s="236"/>
      <c r="L65" s="236"/>
      <c r="M65" s="236"/>
      <c r="N65" s="236"/>
      <c r="O65" s="236"/>
      <c r="P65" s="236"/>
      <c r="Q65" s="236"/>
      <c r="R65" s="236"/>
      <c r="S65" s="236"/>
      <c r="T65" s="236"/>
      <c r="U65" s="236"/>
      <c r="V65" s="236"/>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5" t="s">
        <v>53</v>
      </c>
      <c r="B70" s="236"/>
      <c r="C70" s="236"/>
      <c r="D70" s="236"/>
      <c r="E70" s="236"/>
      <c r="F70" s="236"/>
      <c r="G70" s="236"/>
      <c r="H70" s="236"/>
      <c r="I70" s="236"/>
      <c r="J70" s="236"/>
      <c r="K70" s="236"/>
      <c r="L70" s="236"/>
      <c r="M70" s="236"/>
      <c r="N70" s="236"/>
      <c r="O70" s="236"/>
      <c r="P70" s="236"/>
      <c r="Q70" s="236"/>
      <c r="R70" s="236"/>
      <c r="S70" s="236"/>
      <c r="T70" s="236"/>
      <c r="U70" s="236"/>
      <c r="V70" s="236"/>
    </row>
    <row r="71" spans="1:22" ht="15" thickBot="1" x14ac:dyDescent="0.4"/>
    <row r="72" spans="1:22" s="48" customFormat="1" ht="26.5" thickBot="1" x14ac:dyDescent="0.4">
      <c r="A72" s="235" t="s">
        <v>54</v>
      </c>
      <c r="B72" s="236"/>
      <c r="C72" s="236"/>
      <c r="D72" s="236"/>
      <c r="E72" s="236"/>
      <c r="F72" s="236"/>
      <c r="G72" s="236"/>
      <c r="H72" s="236"/>
      <c r="I72" s="236"/>
      <c r="J72" s="236"/>
      <c r="K72" s="236"/>
      <c r="L72" s="236"/>
      <c r="M72" s="236"/>
      <c r="N72" s="236"/>
      <c r="O72" s="236"/>
      <c r="P72" s="236"/>
      <c r="Q72" s="236"/>
      <c r="R72" s="236"/>
      <c r="S72" s="236"/>
      <c r="T72" s="236"/>
      <c r="U72" s="236"/>
      <c r="V72" s="236"/>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Cefuroxime 0,001mg/L</v>
      </c>
      <c r="J74" s="46" t="str">
        <f t="shared" si="9"/>
        <v>Cefuroxime 0,01mg/L</v>
      </c>
      <c r="K74" s="46" t="str">
        <f t="shared" si="9"/>
        <v>Cefuroxime 0,1mg/L</v>
      </c>
      <c r="L74" s="46" t="str">
        <f t="shared" si="9"/>
        <v>Cefuroxime 1mg/L</v>
      </c>
      <c r="M74" s="46" t="str">
        <f t="shared" si="9"/>
        <v>Cefuroxime 10mg/L</v>
      </c>
      <c r="N74" s="46"/>
      <c r="O74" s="46" t="str">
        <f t="shared" ref="O74:V74" si="10">O4</f>
        <v>Testo -30µg/L</v>
      </c>
      <c r="P74" s="46" t="str">
        <f t="shared" si="10"/>
        <v>Testo 30µg/L + EE2 -64ng/L</v>
      </c>
      <c r="Q74" s="46" t="str">
        <f t="shared" si="10"/>
        <v>Testo 30µg/L + FAD-10µg/L</v>
      </c>
      <c r="R74" s="46" t="str">
        <f t="shared" si="10"/>
        <v>Cefuroxime-0,001mg/L + Testostérone</v>
      </c>
      <c r="S74" s="46" t="str">
        <f t="shared" si="10"/>
        <v>Cefuroxime-0,01mg/L + Testostérone</v>
      </c>
      <c r="T74" s="46" t="str">
        <f t="shared" si="10"/>
        <v>Cefuroxime-0,1mg/L + Testostérone</v>
      </c>
      <c r="U74" s="46" t="str">
        <f t="shared" si="10"/>
        <v>Cefuroxime-1mg/L + Testostérone</v>
      </c>
      <c r="V74" s="46" t="str">
        <f t="shared" si="10"/>
        <v>Cefuroxime-10mg/L + Testostérone</v>
      </c>
    </row>
    <row r="75" spans="1:22" s="3" customFormat="1" x14ac:dyDescent="0.35">
      <c r="A75" s="61" t="s">
        <v>32</v>
      </c>
      <c r="B75" s="141">
        <f>B56</f>
        <v>7.9596676628318291E-2</v>
      </c>
      <c r="C75" s="141">
        <f t="shared" ref="C75:V75" si="11">C56</f>
        <v>0.10573113754333303</v>
      </c>
      <c r="D75" s="141">
        <f t="shared" si="11"/>
        <v>0.17113403229216284</v>
      </c>
      <c r="E75" s="141">
        <f t="shared" si="11"/>
        <v>0.39902107188584823</v>
      </c>
      <c r="F75" s="141">
        <f t="shared" si="11"/>
        <v>1.0566560507804004</v>
      </c>
      <c r="G75" s="141">
        <f t="shared" si="11"/>
        <v>1.561816630063886</v>
      </c>
      <c r="H75" s="141">
        <f t="shared" si="11"/>
        <v>2.5932549168338572</v>
      </c>
      <c r="I75" s="141">
        <f t="shared" si="11"/>
        <v>7.3341954165151588E-2</v>
      </c>
      <c r="J75" s="141">
        <f t="shared" si="11"/>
        <v>8.0892543070583842E-2</v>
      </c>
      <c r="K75" s="141">
        <f t="shared" si="11"/>
        <v>6.3799694058382928E-2</v>
      </c>
      <c r="L75" s="141">
        <f t="shared" si="11"/>
        <v>5.1323485342332817E-2</v>
      </c>
      <c r="M75" s="141">
        <f t="shared" si="11"/>
        <v>6.8530124460719419E-2</v>
      </c>
      <c r="N75" s="141"/>
      <c r="O75" s="141">
        <f t="shared" si="11"/>
        <v>1</v>
      </c>
      <c r="P75" s="141">
        <f t="shared" si="11"/>
        <v>1.4502248584941808</v>
      </c>
      <c r="Q75" s="141">
        <f t="shared" si="11"/>
        <v>9.4240977634292636E-2</v>
      </c>
      <c r="R75" s="141">
        <f t="shared" si="11"/>
        <v>1.0437997789618259</v>
      </c>
      <c r="S75" s="141">
        <f t="shared" si="11"/>
        <v>1.1103406505440829</v>
      </c>
      <c r="T75" s="141">
        <f t="shared" si="11"/>
        <v>0.89856494720168212</v>
      </c>
      <c r="U75" s="141">
        <f t="shared" si="11"/>
        <v>1.0295498136764119</v>
      </c>
      <c r="V75" s="141">
        <f t="shared" si="11"/>
        <v>0.77564648538224557</v>
      </c>
    </row>
    <row r="76" spans="1:22" s="3" customFormat="1" x14ac:dyDescent="0.35">
      <c r="A76" s="61" t="s">
        <v>2</v>
      </c>
      <c r="B76" s="141">
        <f>B58</f>
        <v>1.8485461638831469E-2</v>
      </c>
      <c r="C76" s="141">
        <f t="shared" ref="C76:V76" si="12">C58</f>
        <v>4.3664129432685134E-2</v>
      </c>
      <c r="D76" s="141">
        <f t="shared" si="12"/>
        <v>6.3080287630042045E-2</v>
      </c>
      <c r="E76" s="141">
        <f t="shared" si="12"/>
        <v>6.8136871241113256E-2</v>
      </c>
      <c r="F76" s="141">
        <f t="shared" si="12"/>
        <v>9.6087685133022488E-2</v>
      </c>
      <c r="G76" s="141">
        <f t="shared" si="12"/>
        <v>0.13273802760987161</v>
      </c>
      <c r="H76" s="141">
        <f t="shared" si="12"/>
        <v>0.19546958238426046</v>
      </c>
      <c r="I76" s="141">
        <f t="shared" si="12"/>
        <v>1.1971133285298762E-2</v>
      </c>
      <c r="J76" s="141">
        <f t="shared" si="12"/>
        <v>1.4585765838407566E-2</v>
      </c>
      <c r="K76" s="141">
        <f t="shared" si="12"/>
        <v>1.178000252794309E-2</v>
      </c>
      <c r="L76" s="141">
        <f t="shared" si="12"/>
        <v>9.0049462433388575E-3</v>
      </c>
      <c r="M76" s="141">
        <f t="shared" si="12"/>
        <v>1.2060537248111184E-2</v>
      </c>
      <c r="N76" s="141"/>
      <c r="O76" s="141">
        <f t="shared" si="12"/>
        <v>8.5657721753797642E-2</v>
      </c>
      <c r="P76" s="141">
        <f t="shared" si="12"/>
        <v>0.11854763655313322</v>
      </c>
      <c r="Q76" s="141">
        <f t="shared" si="12"/>
        <v>1.5924550007690812E-2</v>
      </c>
      <c r="R76" s="141">
        <f t="shared" si="12"/>
        <v>0.11631541984985856</v>
      </c>
      <c r="S76" s="141">
        <f t="shared" si="12"/>
        <v>0.14086335450055801</v>
      </c>
      <c r="T76" s="141">
        <f t="shared" si="12"/>
        <v>0.1245337081368222</v>
      </c>
      <c r="U76" s="141">
        <f t="shared" si="12"/>
        <v>0.11611888925976267</v>
      </c>
      <c r="V76" s="141">
        <f t="shared" si="12"/>
        <v>0.12203315889410357</v>
      </c>
    </row>
    <row r="77" spans="1:22" s="3" customFormat="1" x14ac:dyDescent="0.35">
      <c r="A77" s="61" t="s">
        <v>79</v>
      </c>
      <c r="B77" s="141">
        <f>(B75*100/$B$75)-100</f>
        <v>0</v>
      </c>
      <c r="C77" s="141">
        <f t="shared" ref="C77:M77" si="13">(C75*100/$B$75)-100</f>
        <v>32.833608163128787</v>
      </c>
      <c r="D77" s="141">
        <f t="shared" si="13"/>
        <v>115.00147938497989</v>
      </c>
      <c r="E77" s="141">
        <f t="shared" si="13"/>
        <v>401.30368350565982</v>
      </c>
      <c r="F77" s="141">
        <f t="shared" si="13"/>
        <v>1227.5127750804502</v>
      </c>
      <c r="G77" s="141">
        <f t="shared" si="13"/>
        <v>1862.1631156246481</v>
      </c>
      <c r="H77" s="141">
        <f t="shared" si="13"/>
        <v>3157.9939599026538</v>
      </c>
      <c r="I77" s="141">
        <f t="shared" si="13"/>
        <v>-7.8580196160368985</v>
      </c>
      <c r="J77" s="141">
        <f t="shared" si="13"/>
        <v>1.6280408895922704</v>
      </c>
      <c r="K77" s="141">
        <f t="shared" si="13"/>
        <v>-19.846284090101364</v>
      </c>
      <c r="L77" s="141">
        <f t="shared" si="13"/>
        <v>-35.520567545814657</v>
      </c>
      <c r="M77" s="141">
        <f t="shared" si="13"/>
        <v>-13.903284202774998</v>
      </c>
      <c r="N77" s="141"/>
      <c r="O77" s="141">
        <f>(O75*100/$O$75)-100</f>
        <v>0</v>
      </c>
      <c r="P77" s="141">
        <f t="shared" ref="P77:V77" si="14">(P75*100/$O$75)-100</f>
        <v>45.022485849418075</v>
      </c>
      <c r="Q77" s="141">
        <f t="shared" si="14"/>
        <v>-90.575902236570741</v>
      </c>
      <c r="R77" s="141">
        <f t="shared" si="14"/>
        <v>4.3799778961825808</v>
      </c>
      <c r="S77" s="141">
        <f t="shared" si="14"/>
        <v>11.034065054408288</v>
      </c>
      <c r="T77" s="141">
        <f t="shared" si="14"/>
        <v>-10.143505279831786</v>
      </c>
      <c r="U77" s="141">
        <f t="shared" si="14"/>
        <v>2.9549813676411816</v>
      </c>
      <c r="V77" s="141">
        <f t="shared" si="14"/>
        <v>-22.43535146177544</v>
      </c>
    </row>
    <row r="78" spans="1:22" s="3" customFormat="1" x14ac:dyDescent="0.35">
      <c r="A78" s="61" t="s">
        <v>81</v>
      </c>
      <c r="B78" s="141">
        <f>[1]!DPTEST(B6:B53)</f>
        <v>7.1698109727069692E-6</v>
      </c>
      <c r="C78" s="141">
        <f>[1]!DPTEST(C6:C53)</f>
        <v>2.8894664438894324E-12</v>
      </c>
      <c r="D78" s="141">
        <f>[1]!DPTEST(D6:D53)</f>
        <v>1.159405904616051E-12</v>
      </c>
      <c r="E78" s="141">
        <f>[1]!DPTEST(E6:E53)</f>
        <v>0.33811700876208661</v>
      </c>
      <c r="F78" s="141">
        <f>[1]!DPTEST(F6:F53)</f>
        <v>0.13779429903752938</v>
      </c>
      <c r="G78" s="141">
        <f>[1]!DPTEST(G6:G53)</f>
        <v>0.29524684965858417</v>
      </c>
      <c r="H78" s="141">
        <f>[1]!DPTEST(H6:H53)</f>
        <v>0.13416774767931805</v>
      </c>
      <c r="I78" s="141">
        <f>[1]!DPTEST(I6:I53)</f>
        <v>0.16771932993791605</v>
      </c>
      <c r="J78" s="141">
        <f>[1]!DPTEST(J6:J53)</f>
        <v>4.1409493399233499E-2</v>
      </c>
      <c r="K78" s="141">
        <f>[1]!DPTEST(K6:K53)</f>
        <v>1.8762349739844808E-3</v>
      </c>
      <c r="L78" s="141">
        <f>[1]!DPTEST(L6:L53)</f>
        <v>0.14504371298238128</v>
      </c>
      <c r="M78" s="141">
        <f>[1]!DPTEST(M6:M53)</f>
        <v>1.4407502303691588E-3</v>
      </c>
      <c r="N78" s="141"/>
      <c r="O78" s="141">
        <f>[1]!DPTEST(O6:O53)</f>
        <v>0.28167750945522341</v>
      </c>
      <c r="P78" s="141">
        <f>[1]!DPTEST(P6:P53)</f>
        <v>0.15016043834526838</v>
      </c>
      <c r="Q78" s="141">
        <f>[1]!DPTEST(Q6:Q53)</f>
        <v>2.7109333909351219E-2</v>
      </c>
      <c r="R78" s="141">
        <f>[1]!DPTEST(R6:R53)</f>
        <v>0.6812952206503069</v>
      </c>
      <c r="S78" s="141">
        <f>[1]!DPTEST(S6:S53)</f>
        <v>0.5680360780649284</v>
      </c>
      <c r="T78" s="141">
        <f>[1]!DPTEST(T6:T53)</f>
        <v>0.73426545404963495</v>
      </c>
      <c r="U78" s="141">
        <f>[1]!DPTEST(U6:U53)</f>
        <v>4.8152960431831482E-2</v>
      </c>
      <c r="V78" s="141">
        <f>[1]!DPTEST(V6:V53)</f>
        <v>5.5518469848827134E-2</v>
      </c>
    </row>
    <row r="79" spans="1:22" s="3" customFormat="1" x14ac:dyDescent="0.35">
      <c r="A79" s="61" t="s">
        <v>85</v>
      </c>
      <c r="B79" s="141" t="str">
        <f>IF(B78&gt;0.05,"Oui","Non")</f>
        <v>Non</v>
      </c>
      <c r="C79" s="141" t="str">
        <f t="shared" ref="C79:V79" si="15">IF(C78&gt;0.05,"Oui","Non")</f>
        <v>Non</v>
      </c>
      <c r="D79" s="141" t="str">
        <f t="shared" si="15"/>
        <v>Non</v>
      </c>
      <c r="E79" s="141" t="str">
        <f t="shared" si="15"/>
        <v>Oui</v>
      </c>
      <c r="F79" s="141" t="str">
        <f t="shared" si="15"/>
        <v>Oui</v>
      </c>
      <c r="G79" s="141" t="str">
        <f t="shared" si="15"/>
        <v>Oui</v>
      </c>
      <c r="H79" s="141" t="str">
        <f t="shared" si="15"/>
        <v>Oui</v>
      </c>
      <c r="I79" s="141" t="str">
        <f t="shared" si="15"/>
        <v>Oui</v>
      </c>
      <c r="J79" s="141" t="str">
        <f t="shared" si="15"/>
        <v>Non</v>
      </c>
      <c r="K79" s="141" t="str">
        <f t="shared" si="15"/>
        <v>Non</v>
      </c>
      <c r="L79" s="141" t="str">
        <f t="shared" si="15"/>
        <v>Oui</v>
      </c>
      <c r="M79" s="141" t="str">
        <f t="shared" si="15"/>
        <v>Non</v>
      </c>
      <c r="N79" s="141"/>
      <c r="O79" s="141" t="str">
        <f t="shared" si="15"/>
        <v>Oui</v>
      </c>
      <c r="P79" s="141" t="str">
        <f t="shared" si="15"/>
        <v>Oui</v>
      </c>
      <c r="Q79" s="141" t="str">
        <f t="shared" si="15"/>
        <v>Non</v>
      </c>
      <c r="R79" s="141" t="str">
        <f t="shared" si="15"/>
        <v>Oui</v>
      </c>
      <c r="S79" s="141" t="str">
        <f t="shared" si="15"/>
        <v>Oui</v>
      </c>
      <c r="T79" s="141" t="str">
        <f t="shared" si="15"/>
        <v>Oui</v>
      </c>
      <c r="U79" s="141" t="str">
        <f t="shared" si="15"/>
        <v>Non</v>
      </c>
      <c r="V79" s="141" t="str">
        <f t="shared" si="15"/>
        <v>Oui</v>
      </c>
    </row>
    <row r="80" spans="1:22" s="3" customFormat="1" x14ac:dyDescent="0.3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35">
      <c r="A81" s="61" t="s">
        <v>82</v>
      </c>
      <c r="B81" s="141"/>
      <c r="C81" s="141" t="str">
        <f t="shared" ref="C81:I81" si="16">IF($B80="Non","Kruskal-Wallis","ANOVA")</f>
        <v>Kruskal-Wallis</v>
      </c>
      <c r="D81" s="141" t="str">
        <f t="shared" si="16"/>
        <v>Kruskal-Wallis</v>
      </c>
      <c r="E81" s="141" t="str">
        <f t="shared" si="16"/>
        <v>Kruskal-Wallis</v>
      </c>
      <c r="F81" s="141" t="str">
        <f t="shared" si="16"/>
        <v>Kruskal-Wallis</v>
      </c>
      <c r="G81" s="141" t="str">
        <f t="shared" si="16"/>
        <v>Kruskal-Wallis</v>
      </c>
      <c r="H81" s="141" t="str">
        <f>IF($B80="Non","Kruskal-Wallis","ANOVA")</f>
        <v>Kruskal-Wallis</v>
      </c>
      <c r="I81" s="141" t="str">
        <f t="shared" si="16"/>
        <v>Kruskal-Wallis</v>
      </c>
      <c r="J81" s="141" t="s">
        <v>4259</v>
      </c>
      <c r="K81" s="141" t="s">
        <v>4259</v>
      </c>
      <c r="L81" s="141" t="s">
        <v>4259</v>
      </c>
      <c r="M81" s="141" t="s">
        <v>4259</v>
      </c>
      <c r="N81" s="141"/>
      <c r="O81" s="141" t="str">
        <f>IF($B79="Non",IF(O79="Non","Mann Withney",IF(O79="Oui","Mann Withney","")),IF($B79="Oui",IF(O79="Oui","T-Test Welch",IF(O79="Non","Mann Withney",""))))</f>
        <v>Mann Withney</v>
      </c>
      <c r="P81" s="141" t="s">
        <v>4262</v>
      </c>
      <c r="Q81" s="141" t="s">
        <v>4261</v>
      </c>
      <c r="R81" s="141" t="s">
        <v>4259</v>
      </c>
      <c r="S81" s="141" t="s">
        <v>4259</v>
      </c>
      <c r="T81" s="141" t="s">
        <v>4259</v>
      </c>
      <c r="U81" s="141" t="s">
        <v>4259</v>
      </c>
      <c r="V81" s="141" t="s">
        <v>4259</v>
      </c>
    </row>
    <row r="82" spans="1:22" s="3" customFormat="1" ht="15.5" x14ac:dyDescent="0.35">
      <c r="A82" s="61" t="s">
        <v>83</v>
      </c>
      <c r="B82" s="141"/>
      <c r="C82" s="200">
        <v>0.99990000000000001</v>
      </c>
      <c r="D82" s="200">
        <v>0.99990000000000001</v>
      </c>
      <c r="E82" s="200">
        <v>2.9399999999999999E-2</v>
      </c>
      <c r="F82" s="200">
        <v>1E-4</v>
      </c>
      <c r="G82" s="200">
        <v>1E-4</v>
      </c>
      <c r="H82" s="200">
        <v>1E-4</v>
      </c>
      <c r="I82" s="200">
        <v>0.99990000000000001</v>
      </c>
      <c r="J82" s="200">
        <v>0.99990000000000001</v>
      </c>
      <c r="K82" s="200">
        <v>0.99990000000000001</v>
      </c>
      <c r="L82" s="200">
        <v>0.99990000000000001</v>
      </c>
      <c r="M82" s="200">
        <v>0.99990000000000001</v>
      </c>
      <c r="N82" s="141"/>
      <c r="O82" s="200">
        <v>1E-4</v>
      </c>
      <c r="P82" s="198">
        <v>3.5000000000000001E-3</v>
      </c>
      <c r="Q82" s="200">
        <v>1E-4</v>
      </c>
      <c r="R82" s="200">
        <v>0.99990000000000001</v>
      </c>
      <c r="S82" s="200">
        <v>0.99990000000000001</v>
      </c>
      <c r="T82" s="200">
        <v>0.99990000000000001</v>
      </c>
      <c r="U82" s="200">
        <v>0.99990000000000001</v>
      </c>
      <c r="V82" s="200">
        <v>0.7157</v>
      </c>
    </row>
    <row r="83" spans="1:22" s="3" customFormat="1" ht="15" thickBot="1" x14ac:dyDescent="0.4">
      <c r="A83" s="62" t="s">
        <v>84</v>
      </c>
      <c r="B83" s="142"/>
      <c r="C83" s="142" t="str">
        <f t="shared" ref="C83:O83" si="17">IF(C82&gt;0.05,"NS",IF(C82&gt;0.01,"*",IF(C82&gt;0.001,"**","***")))</f>
        <v>NS</v>
      </c>
      <c r="D83" s="142" t="str">
        <f t="shared" si="17"/>
        <v>NS</v>
      </c>
      <c r="E83" s="142" t="str">
        <f t="shared" si="17"/>
        <v>*</v>
      </c>
      <c r="F83" s="142" t="str">
        <f t="shared" si="17"/>
        <v>***</v>
      </c>
      <c r="G83" s="142" t="str">
        <f t="shared" si="17"/>
        <v>***</v>
      </c>
      <c r="H83" s="142" t="str">
        <f t="shared" si="17"/>
        <v>***</v>
      </c>
      <c r="I83" s="142" t="str">
        <f t="shared" si="17"/>
        <v>NS</v>
      </c>
      <c r="J83" s="142" t="str">
        <f t="shared" si="17"/>
        <v>NS</v>
      </c>
      <c r="K83" s="142" t="str">
        <f t="shared" si="17"/>
        <v>NS</v>
      </c>
      <c r="L83" s="142" t="str">
        <f t="shared" si="17"/>
        <v>NS</v>
      </c>
      <c r="M83" s="142" t="str">
        <f t="shared" si="17"/>
        <v>NS</v>
      </c>
      <c r="N83" s="142"/>
      <c r="O83" s="142" t="str">
        <f t="shared" si="17"/>
        <v>***</v>
      </c>
      <c r="P83" s="142" t="str">
        <f t="shared" ref="P83" si="18">IF(P82&gt;0.05,"NS",IF(P82&gt;0.01,"*",IF(P82&gt;0.001,"**","***")))</f>
        <v>**</v>
      </c>
      <c r="Q83" s="142" t="str">
        <f t="shared" ref="Q83:V83" si="19">IF(Q82&gt;0.05,"NS",IF(Q82&gt;0.01,"*",IF(Q82&gt;0.001,"**","***")))</f>
        <v>***</v>
      </c>
      <c r="R83" s="142" t="str">
        <f t="shared" si="19"/>
        <v>NS</v>
      </c>
      <c r="S83" s="142" t="str">
        <f t="shared" si="19"/>
        <v>NS</v>
      </c>
      <c r="T83" s="142" t="str">
        <f t="shared" si="19"/>
        <v>NS</v>
      </c>
      <c r="U83" s="142" t="str">
        <f t="shared" si="19"/>
        <v>NS</v>
      </c>
      <c r="V83" s="142" t="str">
        <f t="shared" si="19"/>
        <v>NS</v>
      </c>
    </row>
    <row r="84" spans="1:22" s="1" customFormat="1" x14ac:dyDescent="0.35"/>
    <row r="85" spans="1:22" s="1" customFormat="1" x14ac:dyDescent="0.35">
      <c r="A85" s="2" t="s">
        <v>39</v>
      </c>
    </row>
    <row r="86" spans="1:22" x14ac:dyDescent="0.35">
      <c r="A86" s="1" t="s">
        <v>23</v>
      </c>
      <c r="B86" s="1">
        <f>B56+(3*B57)</f>
        <v>0.3512763686778958</v>
      </c>
    </row>
    <row r="87" spans="1:22" x14ac:dyDescent="0.35">
      <c r="A87" s="1" t="s">
        <v>24</v>
      </c>
      <c r="B87" s="1">
        <f>B56+(10*B57)</f>
        <v>0.98519565012691013</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5" t="s">
        <v>57</v>
      </c>
      <c r="B93" s="236"/>
      <c r="C93" s="236"/>
      <c r="D93" s="236"/>
      <c r="E93" s="236"/>
      <c r="F93" s="236"/>
      <c r="G93" s="236"/>
      <c r="H93" s="236"/>
      <c r="I93" s="236"/>
      <c r="J93" s="236"/>
      <c r="K93" s="236"/>
      <c r="L93" s="236"/>
      <c r="M93" s="236"/>
      <c r="N93" s="236"/>
      <c r="O93" s="236"/>
      <c r="P93" s="236"/>
      <c r="Q93" s="236"/>
      <c r="R93" s="236"/>
      <c r="S93" s="236"/>
      <c r="T93" s="236"/>
      <c r="U93" s="236"/>
      <c r="V93" s="236"/>
    </row>
    <row r="95" spans="1:22" ht="15.5" x14ac:dyDescent="0.35">
      <c r="S95" s="200"/>
    </row>
    <row r="96" spans="1:22" ht="15.5" x14ac:dyDescent="0.35">
      <c r="S96" s="200"/>
    </row>
    <row r="97" spans="5:19" ht="15.5" x14ac:dyDescent="0.35">
      <c r="H97" s="200"/>
      <c r="S97" s="200"/>
    </row>
    <row r="98" spans="5:19" ht="15.5" x14ac:dyDescent="0.35">
      <c r="H98" s="200"/>
      <c r="S98" s="200"/>
    </row>
    <row r="99" spans="5:19" ht="15.5" x14ac:dyDescent="0.35">
      <c r="H99" s="200"/>
      <c r="S99" s="200"/>
    </row>
    <row r="100" spans="5:19" ht="15.5" x14ac:dyDescent="0.35">
      <c r="E100" s="200"/>
      <c r="H100" s="200"/>
    </row>
    <row r="101" spans="5:19" ht="15.5" x14ac:dyDescent="0.35">
      <c r="E101" s="200"/>
      <c r="H101" s="200"/>
    </row>
    <row r="102" spans="5:19" ht="15.5" x14ac:dyDescent="0.35">
      <c r="E102" s="200"/>
    </row>
    <row r="103" spans="5:19" ht="15.5" x14ac:dyDescent="0.35">
      <c r="E103" s="200"/>
    </row>
    <row r="104" spans="5:19" ht="15.5" x14ac:dyDescent="0.35">
      <c r="E104" s="200"/>
    </row>
    <row r="105" spans="5:19" ht="15.5" x14ac:dyDescent="0.35">
      <c r="E105" s="200"/>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5" t="s">
        <v>104</v>
      </c>
      <c r="B1" s="236"/>
      <c r="C1" s="236"/>
      <c r="D1" s="236"/>
      <c r="E1" s="236"/>
      <c r="F1" s="236"/>
      <c r="G1" s="236"/>
      <c r="H1" s="236"/>
      <c r="I1" s="236"/>
      <c r="J1" s="236"/>
      <c r="K1" s="236"/>
      <c r="L1" s="236"/>
      <c r="M1" s="236"/>
      <c r="N1" s="236"/>
      <c r="O1" s="237"/>
    </row>
    <row r="2" spans="1:15" s="48" customFormat="1" ht="26.5" thickBot="1" x14ac:dyDescent="0.4">
      <c r="A2" s="235" t="s">
        <v>105</v>
      </c>
      <c r="B2" s="236"/>
      <c r="C2" s="236"/>
      <c r="D2" s="236"/>
      <c r="E2" s="236"/>
      <c r="F2" s="236"/>
      <c r="G2" s="236"/>
      <c r="H2" s="236"/>
      <c r="I2" s="236"/>
      <c r="J2" s="236"/>
      <c r="K2" s="236"/>
      <c r="L2" s="236"/>
      <c r="M2" s="236"/>
      <c r="N2" s="236"/>
      <c r="O2" s="237"/>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Cefuroxime 0,001mg/L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Cefuroxime-0,001mg/L : 0%</v>
      </c>
      <c r="O7"/>
    </row>
    <row r="8" spans="1:15" s="76" customFormat="1" ht="15.5" x14ac:dyDescent="0.35">
      <c r="A8" s="79" t="str">
        <f>'Page de garde'!A16</f>
        <v>Cefuroxime 0,01mg/L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Cefuroxime-0,01mg/L : 0%</v>
      </c>
      <c r="O8"/>
    </row>
    <row r="9" spans="1:15" s="76" customFormat="1" ht="15.5" x14ac:dyDescent="0.35">
      <c r="A9" s="79" t="str">
        <f>'Page de garde'!A17</f>
        <v>Cefuroxime 0,1mg/L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Cefuroxime-0,1mg/L : 0%</v>
      </c>
      <c r="O9"/>
    </row>
    <row r="10" spans="1:15" s="76" customFormat="1" ht="15.5" x14ac:dyDescent="0.35">
      <c r="A10" s="79" t="str">
        <f>'Page de garde'!A18</f>
        <v>Cefuroxime 1mg/L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Cefuroxime-1mg/L : 0%</v>
      </c>
      <c r="O10"/>
    </row>
    <row r="11" spans="1:15" s="76" customFormat="1" ht="15.5" x14ac:dyDescent="0.35">
      <c r="A11" s="79" t="str">
        <f>'Page de garde'!A19</f>
        <v>Cefuroxime 10mg/L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Cefuroxime-10mg/L : 0%</v>
      </c>
      <c r="O11"/>
    </row>
    <row r="12" spans="1:15" s="76" customFormat="1" ht="15.5" x14ac:dyDescent="0.3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Cefuroxime-0,001mg/L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Cefuroxime-0,001mg/L : 0%</v>
      </c>
    </row>
    <row r="33" spans="1:14" s="76" customFormat="1" ht="15.5" x14ac:dyDescent="0.35">
      <c r="A33" s="127" t="str">
        <f>'Page de garde'!A40</f>
        <v>Cefuroxime-0,01mg/L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Cefuroxime-0,01mg/L : 0%</v>
      </c>
    </row>
    <row r="34" spans="1:14" s="76" customFormat="1" ht="15.5" x14ac:dyDescent="0.35">
      <c r="A34" s="127" t="str">
        <f>'Page de garde'!A41</f>
        <v>Cefuroxime-0,1mg/L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Cefuroxime-0,1mg/L : 0%</v>
      </c>
    </row>
    <row r="35" spans="1:14" s="76" customFormat="1" ht="15.5" x14ac:dyDescent="0.35">
      <c r="A35" s="127" t="str">
        <f>'Page de garde'!A42</f>
        <v>Cefuroxime-1mg/L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Cefuroxime-1mg/L : 0%</v>
      </c>
    </row>
    <row r="36" spans="1:14" s="76" customFormat="1" ht="15.5" x14ac:dyDescent="0.35">
      <c r="A36" s="127" t="str">
        <f>'Page de garde'!A43</f>
        <v>Cefuroxime-10mg/L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Cefuroxime-10mg/L : 0%</v>
      </c>
    </row>
    <row r="37" spans="1:14" s="76" customFormat="1" ht="15.5" x14ac:dyDescent="0.3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8" customFormat="1" ht="26.5" thickBot="1" x14ac:dyDescent="0.4">
      <c r="A53" s="235" t="s">
        <v>60</v>
      </c>
      <c r="B53" s="236"/>
      <c r="C53" s="236"/>
      <c r="D53" s="236"/>
      <c r="E53" s="236"/>
      <c r="F53" s="236"/>
      <c r="G53" s="236"/>
      <c r="H53" s="236"/>
      <c r="I53" s="236"/>
      <c r="J53" s="236"/>
      <c r="K53" s="236"/>
      <c r="L53" s="236"/>
      <c r="M53" s="236"/>
      <c r="N53" s="236"/>
      <c r="O53" s="237"/>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132</v>
      </c>
      <c r="B1" s="185" t="s">
        <v>133</v>
      </c>
      <c r="C1" s="185" t="s">
        <v>139</v>
      </c>
      <c r="D1" s="185" t="s">
        <v>138</v>
      </c>
      <c r="E1" s="185" t="s">
        <v>140</v>
      </c>
      <c r="F1" s="186" t="s">
        <v>141</v>
      </c>
      <c r="G1" s="187" t="s">
        <v>142</v>
      </c>
    </row>
    <row r="2" spans="1:7" ht="58" x14ac:dyDescent="0.35">
      <c r="A2" s="180" t="s">
        <v>134</v>
      </c>
      <c r="B2" s="181" t="s">
        <v>135</v>
      </c>
      <c r="C2" s="181" t="s">
        <v>136</v>
      </c>
      <c r="D2" s="181" t="s">
        <v>143</v>
      </c>
      <c r="E2" s="181" t="s">
        <v>137</v>
      </c>
      <c r="F2" s="182" t="s">
        <v>136</v>
      </c>
      <c r="G2" s="183"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7.9596676628318291E-2</v>
      </c>
      <c r="D2" s="17" t="s">
        <v>9</v>
      </c>
      <c r="E2" s="18"/>
      <c r="F2" s="19" t="str">
        <f>'pooled normalised values'!J74</f>
        <v>Cefuroxime 0,01mg/L</v>
      </c>
      <c r="G2" s="19" t="str">
        <f>'pooled normalised values'!K74</f>
        <v>Cefuroxime 0,1mg/L</v>
      </c>
      <c r="H2" s="19" t="str">
        <f>'pooled normalised values'!L74</f>
        <v>Cefuroxime 1mg/L</v>
      </c>
      <c r="I2" s="19" t="str">
        <f>'pooled normalised values'!M74</f>
        <v>Cefuroxime 10mg/L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Cefuroxime-0,001mg/L + Testostérone</v>
      </c>
      <c r="W2" s="19" t="str">
        <f>'pooled normalised values'!S74</f>
        <v>Cefuroxime-0,01mg/L + Testostérone</v>
      </c>
      <c r="X2" s="19" t="str">
        <f>'pooled normalised values'!T74</f>
        <v>Cefuroxime-0,1mg/L + Testostérone</v>
      </c>
      <c r="Y2" s="19" t="str">
        <f>'pooled normalised values'!U74</f>
        <v>Cefuroxime-1mg/L + Testostérone</v>
      </c>
      <c r="Z2" s="19" t="str">
        <f>'pooled normalised values'!V74</f>
        <v>Cefuroxime-10mg/L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8.0892543070583842E-2</v>
      </c>
      <c r="G3" s="19">
        <f>HLOOKUP(G2,'pooled normalised values'!C74:W83,2,FALSE)</f>
        <v>6.3799694058382928E-2</v>
      </c>
      <c r="H3" s="19">
        <f>HLOOKUP(H2,'pooled normalised values'!C74:X83,2,FALSE)</f>
        <v>5.1323485342332817E-2</v>
      </c>
      <c r="I3" s="19">
        <f>HLOOKUP(I2,'pooled normalised values'!D74:Y83,2,FALSE)</f>
        <v>6.8530124460719419E-2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1.0437997789618259</v>
      </c>
      <c r="W3" s="19">
        <f>HLOOKUP(W2,'pooled normalised values'!N74:AM83,2,FALSE)</f>
        <v>1.1103406505440829</v>
      </c>
      <c r="X3" s="19">
        <f>HLOOKUP(X2,'pooled normalised values'!N74:AN83,2,FALSE)</f>
        <v>0.89856494720168212</v>
      </c>
      <c r="Y3" s="19">
        <f>HLOOKUP(Y2,'pooled normalised values'!N74:AO83,2,FALSE)</f>
        <v>1.0295498136764119</v>
      </c>
      <c r="Z3" s="19">
        <f>HLOOKUP(Z2,'pooled normalised values'!N74:AP83,2,FALSE)</f>
        <v>0.77564648538224557</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1.4585765838407566E-2</v>
      </c>
      <c r="G4" s="19">
        <f>HLOOKUP(G2,'pooled normalised values'!C74:W83,3,FALSE)</f>
        <v>1.178000252794309E-2</v>
      </c>
      <c r="H4" s="19">
        <f>HLOOKUP(H2,'pooled normalised values'!C74:X83,3,FALSE)</f>
        <v>9.0049462433388575E-3</v>
      </c>
      <c r="I4" s="19">
        <f>HLOOKUP(I2,'pooled normalised values'!D74:Y83,3,FALSE)</f>
        <v>1.2060537248111184E-2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0.11631541984985856</v>
      </c>
      <c r="W4" s="19">
        <f>HLOOKUP(W2,'pooled normalised values'!N74:AM83,3,FALSE)</f>
        <v>0.14086335450055801</v>
      </c>
      <c r="X4" s="19">
        <f>HLOOKUP(X2,'pooled normalised values'!N74:AN83,3,FALSE)</f>
        <v>0.1245337081368222</v>
      </c>
      <c r="Y4" s="19">
        <f>HLOOKUP(Y2,'pooled normalised values'!N74:AO83,3,FALSE)</f>
        <v>0.11611888925976267</v>
      </c>
      <c r="Z4" s="19">
        <f>HLOOKUP(Z2,'pooled normalised values'!N74:AP83,3,FALSE)</f>
        <v>0.12203315889410357</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1.4502248584941808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9.4240977634292636E-2</v>
      </c>
      <c r="D6" s="21" t="s">
        <v>12</v>
      </c>
      <c r="E6" s="24">
        <f>$B$2</f>
        <v>7.9596676628318291E-2</v>
      </c>
      <c r="F6" s="24">
        <f>$B$2</f>
        <v>7.9596676628318291E-2</v>
      </c>
      <c r="G6" s="24">
        <f t="shared" ref="G6:R6" si="0">$B$2</f>
        <v>7.9596676628318291E-2</v>
      </c>
      <c r="H6" s="24">
        <f t="shared" si="0"/>
        <v>7.9596676628318291E-2</v>
      </c>
      <c r="I6" s="24">
        <f t="shared" si="0"/>
        <v>7.9596676628318291E-2</v>
      </c>
      <c r="J6" s="24">
        <f t="shared" si="0"/>
        <v>7.9596676628318291E-2</v>
      </c>
      <c r="K6" s="24">
        <f t="shared" si="0"/>
        <v>7.9596676628318291E-2</v>
      </c>
      <c r="L6" s="24">
        <f t="shared" si="0"/>
        <v>7.9596676628318291E-2</v>
      </c>
      <c r="M6" s="24">
        <f t="shared" si="0"/>
        <v>7.9596676628318291E-2</v>
      </c>
      <c r="N6" s="24">
        <f t="shared" si="0"/>
        <v>7.9596676628318291E-2</v>
      </c>
      <c r="O6" s="24">
        <f t="shared" si="0"/>
        <v>7.9596676628318291E-2</v>
      </c>
      <c r="P6" s="24">
        <f t="shared" si="0"/>
        <v>7.9596676628318291E-2</v>
      </c>
      <c r="Q6" s="24">
        <f t="shared" si="0"/>
        <v>7.9596676628318291E-2</v>
      </c>
      <c r="R6" s="24">
        <f t="shared" si="0"/>
        <v>7.9596676628318291E-2</v>
      </c>
      <c r="S6" s="24">
        <f>$B$2</f>
        <v>7.9596676628318291E-2</v>
      </c>
      <c r="T6" s="24">
        <f>$B$2</f>
        <v>7.9596676628318291E-2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9.4240977634292636E-2</v>
      </c>
      <c r="V8" s="25">
        <f t="shared" ref="V8:AJ8" si="2">$B$6</f>
        <v>9.4240977634292636E-2</v>
      </c>
      <c r="W8" s="25">
        <f t="shared" si="2"/>
        <v>9.4240977634292636E-2</v>
      </c>
      <c r="X8" s="25">
        <f t="shared" si="2"/>
        <v>9.4240977634292636E-2</v>
      </c>
      <c r="Y8" s="25">
        <f t="shared" si="2"/>
        <v>9.4240977634292636E-2</v>
      </c>
      <c r="Z8" s="25">
        <f t="shared" si="2"/>
        <v>9.4240977634292636E-2</v>
      </c>
      <c r="AA8" s="25">
        <f t="shared" si="2"/>
        <v>9.4240977634292636E-2</v>
      </c>
      <c r="AB8" s="25">
        <f t="shared" si="2"/>
        <v>9.4240977634292636E-2</v>
      </c>
      <c r="AC8" s="25">
        <f t="shared" si="2"/>
        <v>9.4240977634292636E-2</v>
      </c>
      <c r="AD8" s="25">
        <f t="shared" si="2"/>
        <v>9.4240977634292636E-2</v>
      </c>
      <c r="AE8" s="25">
        <f t="shared" si="2"/>
        <v>9.4240977634292636E-2</v>
      </c>
      <c r="AF8" s="25">
        <f t="shared" si="2"/>
        <v>9.4240977634292636E-2</v>
      </c>
      <c r="AG8" s="25">
        <f t="shared" si="2"/>
        <v>9.4240977634292636E-2</v>
      </c>
      <c r="AH8" s="25">
        <f t="shared" si="2"/>
        <v>9.4240977634292636E-2</v>
      </c>
      <c r="AI8" s="25">
        <f t="shared" si="2"/>
        <v>9.4240977634292636E-2</v>
      </c>
      <c r="AJ8" s="25">
        <f t="shared" si="2"/>
        <v>9.4240977634292636E-2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1.3559838808598881</v>
      </c>
      <c r="V9" s="25">
        <f>$B$5-V8</f>
        <v>1.3559838808598881</v>
      </c>
      <c r="W9" s="25">
        <f t="shared" ref="W9:AH9" si="4">$B$5-W8</f>
        <v>1.3559838808598881</v>
      </c>
      <c r="X9" s="25">
        <f t="shared" si="4"/>
        <v>1.3559838808598881</v>
      </c>
      <c r="Y9" s="25">
        <f t="shared" si="4"/>
        <v>1.3559838808598881</v>
      </c>
      <c r="Z9" s="25">
        <f t="shared" si="4"/>
        <v>1.3559838808598881</v>
      </c>
      <c r="AA9" s="25">
        <f t="shared" si="4"/>
        <v>1.3559838808598881</v>
      </c>
      <c r="AB9" s="25">
        <f t="shared" si="4"/>
        <v>1.3559838808598881</v>
      </c>
      <c r="AC9" s="25">
        <f t="shared" si="4"/>
        <v>1.3559838808598881</v>
      </c>
      <c r="AD9" s="25">
        <f t="shared" si="4"/>
        <v>1.3559838808598881</v>
      </c>
      <c r="AE9" s="25">
        <f t="shared" si="4"/>
        <v>1.3559838808598881</v>
      </c>
      <c r="AF9" s="25">
        <f t="shared" si="4"/>
        <v>1.3559838808598881</v>
      </c>
      <c r="AG9" s="25">
        <f t="shared" si="4"/>
        <v>1.3559838808598881</v>
      </c>
      <c r="AH9" s="25">
        <f t="shared" si="4"/>
        <v>1.3559838808598881</v>
      </c>
      <c r="AI9" s="25">
        <f>$B$5-AI8</f>
        <v>1.3559838808598881</v>
      </c>
      <c r="AJ9" s="25">
        <f>$B$5-AJ8</f>
        <v>1.3559838808598881</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1.1440161191401119</v>
      </c>
      <c r="V10" s="25">
        <f>2.5-V9</f>
        <v>1.1440161191401119</v>
      </c>
      <c r="W10" s="25">
        <f t="shared" ref="W10:AH10" si="6">2.5-W9</f>
        <v>1.1440161191401119</v>
      </c>
      <c r="X10" s="25">
        <f t="shared" si="6"/>
        <v>1.1440161191401119</v>
      </c>
      <c r="Y10" s="25">
        <f t="shared" si="6"/>
        <v>1.1440161191401119</v>
      </c>
      <c r="Z10" s="25">
        <f t="shared" si="6"/>
        <v>1.1440161191401119</v>
      </c>
      <c r="AA10" s="25">
        <f t="shared" si="6"/>
        <v>1.1440161191401119</v>
      </c>
      <c r="AB10" s="25">
        <f t="shared" si="6"/>
        <v>1.1440161191401119</v>
      </c>
      <c r="AC10" s="25">
        <f t="shared" si="6"/>
        <v>1.1440161191401119</v>
      </c>
      <c r="AD10" s="25">
        <f t="shared" si="6"/>
        <v>1.1440161191401119</v>
      </c>
      <c r="AE10" s="25">
        <f t="shared" si="6"/>
        <v>1.1440161191401119</v>
      </c>
      <c r="AF10" s="25">
        <f t="shared" si="6"/>
        <v>1.1440161191401119</v>
      </c>
      <c r="AG10" s="25">
        <f t="shared" si="6"/>
        <v>1.1440161191401119</v>
      </c>
      <c r="AH10" s="25">
        <f t="shared" si="6"/>
        <v>1.1440161191401119</v>
      </c>
      <c r="AI10" s="25">
        <f>2.5-AI9</f>
        <v>1.1440161191401119</v>
      </c>
      <c r="AJ10" s="25">
        <f>2.5-AJ9</f>
        <v>1.1440161191401119</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7.9596676628318291E-2</v>
      </c>
      <c r="D2" s="17" t="s">
        <v>9</v>
      </c>
      <c r="E2" s="18"/>
      <c r="F2" s="19" t="str">
        <f>'pooled normalised values'!J74</f>
        <v>Cefuroxime 0,01mg/L</v>
      </c>
      <c r="G2" s="18"/>
      <c r="H2" s="20"/>
      <c r="I2" s="19" t="str">
        <f>'pooled normalised values'!R74</f>
        <v>Cefuroxime-0,001mg/L + Testostérone</v>
      </c>
      <c r="J2" s="20"/>
      <c r="K2" s="17" t="s">
        <v>9</v>
      </c>
    </row>
    <row r="3" spans="1:11" x14ac:dyDescent="0.25">
      <c r="A3" s="17" t="s">
        <v>71</v>
      </c>
      <c r="B3" s="63">
        <f>'summary results'!E6</f>
        <v>0</v>
      </c>
      <c r="D3" s="21" t="s">
        <v>10</v>
      </c>
      <c r="E3" s="22"/>
      <c r="F3" s="19">
        <f>HLOOKUP(F2,'pooled normalised values'!B74:V83,2,FALSE)</f>
        <v>8.0892543070583842E-2</v>
      </c>
      <c r="G3" s="22"/>
      <c r="H3" s="20"/>
      <c r="I3" s="19">
        <f>HLOOKUP(I2,'pooled normalised values'!N74:AL83,2,FALSE)</f>
        <v>1.0437997789618259</v>
      </c>
      <c r="J3" s="20"/>
      <c r="K3" s="21" t="s">
        <v>10</v>
      </c>
    </row>
    <row r="4" spans="1:11" x14ac:dyDescent="0.25">
      <c r="A4" s="17" t="s">
        <v>72</v>
      </c>
      <c r="B4" s="63">
        <f>'pooled normalised values'!O75</f>
        <v>1</v>
      </c>
      <c r="D4" s="21" t="s">
        <v>2</v>
      </c>
      <c r="E4" s="22"/>
      <c r="F4" s="19">
        <f>HLOOKUP(F2,'pooled normalised values'!B74:V83,3,FALSE)</f>
        <v>1.4585765838407566E-2</v>
      </c>
      <c r="G4" s="22"/>
      <c r="H4" s="20"/>
      <c r="I4" s="19">
        <f>HLOOKUP(I2,'pooled normalised values'!N74:AL83,3,FALSE)</f>
        <v>0.11631541984985856</v>
      </c>
      <c r="J4" s="20"/>
      <c r="K4" s="21" t="s">
        <v>2</v>
      </c>
    </row>
    <row r="5" spans="1:11" x14ac:dyDescent="0.25">
      <c r="A5" s="17" t="s">
        <v>73</v>
      </c>
      <c r="B5" s="63">
        <f>'pooled normalised values'!P75</f>
        <v>1.4502248584941808</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9.4240977634292636E-2</v>
      </c>
      <c r="D6" s="21" t="s">
        <v>12</v>
      </c>
      <c r="E6" s="24">
        <f>$B$2</f>
        <v>7.9596676628318291E-2</v>
      </c>
      <c r="F6" s="24">
        <f>$B$2</f>
        <v>7.9596676628318291E-2</v>
      </c>
      <c r="G6" s="24">
        <f>$B$2</f>
        <v>7.9596676628318291E-2</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9.4240977634292636E-2</v>
      </c>
      <c r="I8" s="25">
        <f t="shared" ref="I8:J8" si="1">$B$6</f>
        <v>9.4240977634292636E-2</v>
      </c>
      <c r="J8" s="25">
        <f t="shared" si="1"/>
        <v>9.4240977634292636E-2</v>
      </c>
      <c r="K8" s="28" t="s">
        <v>14</v>
      </c>
    </row>
    <row r="9" spans="1:11" x14ac:dyDescent="0.25">
      <c r="D9" s="28" t="s">
        <v>15</v>
      </c>
      <c r="E9" s="29">
        <f>$B$3-E8</f>
        <v>0</v>
      </c>
      <c r="F9" s="29">
        <f>$B$3-F8</f>
        <v>0</v>
      </c>
      <c r="G9" s="29">
        <f>$B$3-G8</f>
        <v>0</v>
      </c>
      <c r="H9" s="25">
        <f>$B$5-H8</f>
        <v>1.3559838808598881</v>
      </c>
      <c r="I9" s="25">
        <f>$B$5-I8</f>
        <v>1.3559838808598881</v>
      </c>
      <c r="J9" s="25">
        <f>$B$5-J8</f>
        <v>1.3559838808598881</v>
      </c>
      <c r="K9" s="28" t="s">
        <v>15</v>
      </c>
    </row>
    <row r="10" spans="1:11" x14ac:dyDescent="0.25">
      <c r="D10" s="28" t="s">
        <v>16</v>
      </c>
      <c r="E10" s="27">
        <f t="shared" ref="E10:J10" si="2">2.5-E9</f>
        <v>2.5</v>
      </c>
      <c r="F10" s="27">
        <f t="shared" si="2"/>
        <v>2.5</v>
      </c>
      <c r="G10" s="27">
        <f t="shared" si="2"/>
        <v>2.5</v>
      </c>
      <c r="H10" s="25">
        <f t="shared" si="2"/>
        <v>1.1440161191401119</v>
      </c>
      <c r="I10" s="25">
        <f t="shared" si="2"/>
        <v>1.1440161191401119</v>
      </c>
      <c r="J10" s="25">
        <f t="shared" si="2"/>
        <v>1.1440161191401119</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8" t="s">
        <v>99</v>
      </c>
      <c r="R1" s="238"/>
      <c r="S1" s="238"/>
      <c r="U1" s="238" t="s">
        <v>98</v>
      </c>
      <c r="V1" s="238"/>
      <c r="W1" s="238"/>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131</v>
      </c>
      <c r="U2" s="118"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01130A-2580-489A-B927-DAF1ECEFCA1B}"/>
</file>

<file path=customXml/itemProps2.xml><?xml version="1.0" encoding="utf-8"?>
<ds:datastoreItem xmlns:ds="http://schemas.openxmlformats.org/officeDocument/2006/customXml" ds:itemID="{4836B3D9-271D-4C2B-A6A8-70BBBE2770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2021-03-23T15:26:26Z</dcterms:modified>
</cp:coreProperties>
</file>