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hidePivotFieldList="1" defaultThemeVersion="124226"/>
  <xr:revisionPtr revIDLastSave="0" documentId="13_ncr:1_{716ACAA5-DD67-48B2-BA95-ADF45B574B9A}" xr6:coauthVersionLast="47" xr6:coauthVersionMax="47" xr10:uidLastSave="{00000000-0000-0000-0000-000000000000}"/>
  <bookViews>
    <workbookView xWindow="-120" yWindow="-120" windowWidth="29040" windowHeight="15840" firstSheet="5" activeTab="9"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7" r:id="rId20"/>
    <pivotCache cacheId="8" r:id="rId21"/>
    <pivotCache cacheId="9" r:id="rId22"/>
    <pivotCache cacheId="10" r:id="rId23"/>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R61" i="1" l="1"/>
  <c r="S61" i="1"/>
  <c r="T61" i="1"/>
  <c r="U61" i="1"/>
  <c r="V61" i="1"/>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R35" i="33"/>
  <c r="R45" i="4" s="1"/>
  <c r="J35" i="33"/>
  <c r="J45" i="4" s="1"/>
  <c r="Q30" i="33"/>
  <c r="Q40" i="4" s="1"/>
  <c r="T29" i="33"/>
  <c r="T39" i="4" s="1"/>
  <c r="P29" i="33"/>
  <c r="P39" i="4" s="1"/>
  <c r="S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I35" i="33" l="1"/>
  <c r="I45" i="4" s="1"/>
  <c r="P28" i="33"/>
  <c r="P38" i="4" s="1"/>
  <c r="T28" i="33"/>
  <c r="Q29" i="33"/>
  <c r="Q39" i="4" s="1"/>
  <c r="U29" i="33"/>
  <c r="U39" i="4" s="1"/>
  <c r="R30" i="33"/>
  <c r="R40" i="4" s="1"/>
  <c r="V30" i="33"/>
  <c r="V40" i="4" s="1"/>
  <c r="S31" i="33"/>
  <c r="S41" i="4" s="1"/>
  <c r="P32" i="33"/>
  <c r="P42" i="4" s="1"/>
  <c r="T32" i="33"/>
  <c r="T42" i="4" s="1"/>
  <c r="Q33" i="33"/>
  <c r="Q43" i="4" s="1"/>
  <c r="U33" i="33"/>
  <c r="U43" i="4" s="1"/>
  <c r="R34" i="33"/>
  <c r="R44" i="4" s="1"/>
  <c r="V34" i="33"/>
  <c r="V44" i="4" s="1"/>
  <c r="Q35" i="33"/>
  <c r="Q45" i="4" s="1"/>
  <c r="U35" i="33"/>
  <c r="U45" i="4" s="1"/>
  <c r="Q28" i="33"/>
  <c r="U28" i="33"/>
  <c r="R29" i="33"/>
  <c r="R39" i="4" s="1"/>
  <c r="V29" i="33"/>
  <c r="V39" i="4" s="1"/>
  <c r="S30" i="33"/>
  <c r="S40" i="4" s="1"/>
  <c r="P31" i="33"/>
  <c r="P41" i="4" s="1"/>
  <c r="T31" i="33"/>
  <c r="T41" i="4" s="1"/>
  <c r="Q32" i="33"/>
  <c r="Q42" i="4" s="1"/>
  <c r="U32" i="33"/>
  <c r="U42" i="4" s="1"/>
  <c r="R33" i="33"/>
  <c r="R43" i="4" s="1"/>
  <c r="V33" i="33"/>
  <c r="V43" i="4" s="1"/>
  <c r="S34" i="33"/>
  <c r="S44" i="4" s="1"/>
  <c r="V35" i="33"/>
  <c r="V45" i="4" s="1"/>
  <c r="R28" i="33"/>
  <c r="R38" i="4" s="1"/>
  <c r="V28" i="33"/>
  <c r="S29" i="33"/>
  <c r="P30" i="33"/>
  <c r="P40" i="4" s="1"/>
  <c r="T30" i="33"/>
  <c r="T40" i="4" s="1"/>
  <c r="Q31" i="33"/>
  <c r="Q41" i="4" s="1"/>
  <c r="U31" i="33"/>
  <c r="U41" i="4" s="1"/>
  <c r="R32" i="33"/>
  <c r="R42" i="4" s="1"/>
  <c r="V32" i="33"/>
  <c r="V42" i="4" s="1"/>
  <c r="S33" i="33"/>
  <c r="S43" i="4" s="1"/>
  <c r="P34" i="33"/>
  <c r="P44" i="4" s="1"/>
  <c r="T34" i="33"/>
  <c r="T44" i="4" s="1"/>
  <c r="S35" i="33"/>
  <c r="S45" i="4" s="1"/>
  <c r="U30" i="33"/>
  <c r="U40" i="4" s="1"/>
  <c r="R31" i="33"/>
  <c r="R41" i="4" s="1"/>
  <c r="V31" i="33"/>
  <c r="V41" i="4" s="1"/>
  <c r="S32" i="33"/>
  <c r="S42" i="4" s="1"/>
  <c r="P33" i="33"/>
  <c r="P43" i="4" s="1"/>
  <c r="T33" i="33"/>
  <c r="T43" i="4" s="1"/>
  <c r="Q34" i="33"/>
  <c r="Q44" i="4" s="1"/>
  <c r="U34" i="33"/>
  <c r="U44" i="4" s="1"/>
  <c r="P35" i="33"/>
  <c r="P45" i="4" s="1"/>
  <c r="T35" i="33"/>
  <c r="T45" i="4" s="1"/>
  <c r="O36" i="33"/>
  <c r="O46" i="4" s="1"/>
  <c r="O37" i="33"/>
  <c r="O47" i="4" s="1"/>
  <c r="O38" i="33"/>
  <c r="O48" i="4" s="1"/>
  <c r="O39" i="33"/>
  <c r="O49" i="4" s="1"/>
  <c r="O40" i="33"/>
  <c r="O50" i="4" s="1"/>
  <c r="O41" i="33"/>
  <c r="O51" i="4" s="1"/>
  <c r="O42" i="33"/>
  <c r="O52" i="4" s="1"/>
  <c r="O43" i="33"/>
  <c r="O53" i="4" s="1"/>
  <c r="B28" i="33"/>
  <c r="F28" i="33"/>
  <c r="F38" i="4" s="1"/>
  <c r="J28" i="33"/>
  <c r="C29" i="33"/>
  <c r="C39" i="4" s="1"/>
  <c r="G29" i="33"/>
  <c r="G39" i="4" s="1"/>
  <c r="K29" i="33"/>
  <c r="K39" i="4" s="1"/>
  <c r="C30" i="33"/>
  <c r="C40" i="4" s="1"/>
  <c r="G30" i="33"/>
  <c r="G40" i="4" s="1"/>
  <c r="K30" i="33"/>
  <c r="K40" i="4" s="1"/>
  <c r="C31" i="33"/>
  <c r="C41" i="4" s="1"/>
  <c r="G31" i="33"/>
  <c r="G41" i="4" s="1"/>
  <c r="K31" i="33"/>
  <c r="K41" i="4" s="1"/>
  <c r="C32" i="33"/>
  <c r="C42" i="4" s="1"/>
  <c r="G32" i="33"/>
  <c r="G42" i="4" s="1"/>
  <c r="K32" i="33"/>
  <c r="K42" i="4" s="1"/>
  <c r="C33" i="33"/>
  <c r="C43" i="4" s="1"/>
  <c r="G33" i="33"/>
  <c r="G43" i="4" s="1"/>
  <c r="K33" i="33"/>
  <c r="K43" i="4" s="1"/>
  <c r="C34" i="33"/>
  <c r="C44" i="4" s="1"/>
  <c r="G34" i="33"/>
  <c r="G44" i="4" s="1"/>
  <c r="K34" i="33"/>
  <c r="K44" i="4" s="1"/>
  <c r="C35" i="33"/>
  <c r="C45" i="4" s="1"/>
  <c r="G35" i="33"/>
  <c r="G45" i="4" s="1"/>
  <c r="K35" i="33"/>
  <c r="K45" i="4" s="1"/>
  <c r="C28" i="33"/>
  <c r="G28" i="33"/>
  <c r="G38" i="4" s="1"/>
  <c r="K28" i="33"/>
  <c r="K38" i="4" s="1"/>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H28" i="33"/>
  <c r="E29" i="33"/>
  <c r="E39" i="4" s="1"/>
  <c r="I29" i="33"/>
  <c r="I39" i="4" s="1"/>
  <c r="B30" i="33"/>
  <c r="B40" i="4" s="1"/>
  <c r="I30" i="33"/>
  <c r="I40" i="4" s="1"/>
  <c r="I31" i="33"/>
  <c r="I41" i="4" s="1"/>
  <c r="B32" i="33"/>
  <c r="B42" i="4" s="1"/>
  <c r="I32" i="33"/>
  <c r="I42" i="4" s="1"/>
  <c r="B33" i="33"/>
  <c r="B43" i="4" s="1"/>
  <c r="I33" i="33"/>
  <c r="I43" i="4" s="1"/>
  <c r="B34" i="33"/>
  <c r="B44" i="4" s="1"/>
  <c r="I34" i="33"/>
  <c r="I44" i="4" s="1"/>
  <c r="B35" i="33"/>
  <c r="B45" i="4" s="1"/>
  <c r="M35" i="33"/>
  <c r="M45" i="4" s="1"/>
  <c r="D28" i="33"/>
  <c r="L28" i="33"/>
  <c r="O28" i="33"/>
  <c r="O38" i="4" s="1"/>
  <c r="B29" i="33"/>
  <c r="B39" i="4" s="1"/>
  <c r="M29" i="33"/>
  <c r="M39" i="4" s="1"/>
  <c r="E30" i="33"/>
  <c r="E40" i="4" s="1"/>
  <c r="M30" i="33"/>
  <c r="M40" i="4" s="1"/>
  <c r="B31" i="33"/>
  <c r="B41" i="4" s="1"/>
  <c r="E31" i="33"/>
  <c r="E41" i="4" s="1"/>
  <c r="M31" i="33"/>
  <c r="M41" i="4" s="1"/>
  <c r="E32" i="33"/>
  <c r="E42" i="4" s="1"/>
  <c r="M32" i="33"/>
  <c r="M42" i="4" s="1"/>
  <c r="E33" i="33"/>
  <c r="E43" i="4" s="1"/>
  <c r="M33" i="33"/>
  <c r="M43" i="4" s="1"/>
  <c r="E34" i="33"/>
  <c r="E44" i="4" s="1"/>
  <c r="M34" i="33"/>
  <c r="M44" i="4" s="1"/>
  <c r="E35" i="33"/>
  <c r="E45" i="4" s="1"/>
  <c r="E28" i="33"/>
  <c r="I28" i="33"/>
  <c r="M28" i="33"/>
  <c r="F29" i="33"/>
  <c r="F39" i="4" s="1"/>
  <c r="J29" i="33"/>
  <c r="J39" i="4" s="1"/>
  <c r="O29" i="33"/>
  <c r="O39" i="4" s="1"/>
  <c r="F30" i="33"/>
  <c r="F40" i="4" s="1"/>
  <c r="J30" i="33"/>
  <c r="J40" i="4" s="1"/>
  <c r="O30" i="33"/>
  <c r="O40" i="4" s="1"/>
  <c r="F31" i="33"/>
  <c r="F41" i="4" s="1"/>
  <c r="J31" i="33"/>
  <c r="J41" i="4" s="1"/>
  <c r="O31" i="33"/>
  <c r="O41" i="4" s="1"/>
  <c r="F32" i="33"/>
  <c r="F42" i="4" s="1"/>
  <c r="J32" i="33"/>
  <c r="J42" i="4" s="1"/>
  <c r="O32" i="33"/>
  <c r="O42" i="4" s="1"/>
  <c r="F33" i="33"/>
  <c r="F43" i="4" s="1"/>
  <c r="J33" i="33"/>
  <c r="J43" i="4" s="1"/>
  <c r="O33" i="33"/>
  <c r="O43" i="4" s="1"/>
  <c r="F34" i="33"/>
  <c r="F44" i="4" s="1"/>
  <c r="J34" i="33"/>
  <c r="J44" i="4" s="1"/>
  <c r="O34" i="33"/>
  <c r="O44" i="4" s="1"/>
  <c r="F35" i="33"/>
  <c r="F45" i="4" s="1"/>
  <c r="U38" i="4"/>
  <c r="V38" i="4"/>
  <c r="B22" i="33"/>
  <c r="E22" i="33"/>
  <c r="I45" i="33"/>
  <c r="I52" i="33"/>
  <c r="I27" i="33"/>
  <c r="C38" i="4"/>
  <c r="T38" i="4"/>
  <c r="B27" i="33"/>
  <c r="B52" i="33" s="1"/>
  <c r="Q38" i="4"/>
  <c r="D27" i="33"/>
  <c r="D52" i="33" s="1"/>
  <c r="I22" i="33"/>
  <c r="E27" i="33"/>
  <c r="E52" i="33" s="1"/>
  <c r="J38" i="4"/>
  <c r="S38" i="4"/>
  <c r="D45" i="33"/>
  <c r="F22" i="33"/>
  <c r="F45" i="33"/>
  <c r="G22" i="33"/>
  <c r="G27" i="33"/>
  <c r="G52" i="33" s="1"/>
  <c r="C22" i="33"/>
  <c r="C27" i="33"/>
  <c r="C52" i="33" s="1"/>
  <c r="H27" i="33"/>
  <c r="H52" i="33" s="1"/>
  <c r="H45" i="33"/>
  <c r="R56" i="33"/>
  <c r="T56" i="33"/>
  <c r="D56" i="33"/>
  <c r="O56" i="33"/>
  <c r="H56" i="33"/>
  <c r="F56" i="33"/>
  <c r="V56" i="33"/>
  <c r="S56" i="33"/>
  <c r="Q56" i="33"/>
  <c r="I56" i="33"/>
  <c r="P56" i="33"/>
  <c r="G56" i="33"/>
  <c r="J56" i="33"/>
  <c r="L56" i="33"/>
  <c r="B56" i="33"/>
  <c r="U56" i="33"/>
  <c r="M56" i="33"/>
  <c r="K56" i="33"/>
  <c r="E56" i="33"/>
  <c r="C56" i="33"/>
  <c r="U47" i="33" l="1"/>
  <c r="U48" i="33" s="1"/>
  <c r="U54" i="33" s="1"/>
  <c r="R46" i="33"/>
  <c r="R53" i="33" s="1"/>
  <c r="T46" i="33"/>
  <c r="T53" i="33" s="1"/>
  <c r="S46" i="33"/>
  <c r="S53" i="33" s="1"/>
  <c r="Q47" i="33"/>
  <c r="Q48" i="33" s="1"/>
  <c r="Q54" i="33" s="1"/>
  <c r="P46" i="33"/>
  <c r="P53" i="33" s="1"/>
  <c r="Q46" i="33"/>
  <c r="Q53" i="33" s="1"/>
  <c r="U46" i="33"/>
  <c r="U53" i="33" s="1"/>
  <c r="I57" i="33"/>
  <c r="H57" i="33"/>
  <c r="C57" i="33"/>
  <c r="B57" i="33"/>
  <c r="Q57" i="33"/>
  <c r="E57" i="33"/>
  <c r="L57" i="33"/>
  <c r="S57" i="33"/>
  <c r="D57" i="33"/>
  <c r="K57" i="33"/>
  <c r="J57" i="33"/>
  <c r="V57" i="33"/>
  <c r="T57" i="33"/>
  <c r="M57" i="33"/>
  <c r="G57" i="33"/>
  <c r="F57" i="33"/>
  <c r="R57" i="33"/>
  <c r="U57" i="33"/>
  <c r="P57" i="33"/>
  <c r="R47" i="33"/>
  <c r="R48" i="33" s="1"/>
  <c r="R54" i="33" s="1"/>
  <c r="I38" i="4"/>
  <c r="H38" i="4"/>
  <c r="B38" i="4"/>
  <c r="V46" i="33"/>
  <c r="V53" i="33" s="1"/>
  <c r="V55" i="33" s="1"/>
  <c r="D47" i="33"/>
  <c r="D48" i="33" s="1"/>
  <c r="D54" i="33" s="1"/>
  <c r="P47" i="33"/>
  <c r="P48" i="33" s="1"/>
  <c r="P54" i="33" s="1"/>
  <c r="E38" i="4"/>
  <c r="L46" i="33"/>
  <c r="L53" i="33" s="1"/>
  <c r="S39" i="4"/>
  <c r="V47" i="33"/>
  <c r="V48" i="33" s="1"/>
  <c r="V54" i="33" s="1"/>
  <c r="S47" i="33"/>
  <c r="S48" i="33" s="1"/>
  <c r="S54" i="33" s="1"/>
  <c r="T47" i="33"/>
  <c r="T48" i="33" s="1"/>
  <c r="T54" i="33" s="1"/>
  <c r="C47" i="33"/>
  <c r="C48" i="33" s="1"/>
  <c r="C54" i="33" s="1"/>
  <c r="D38" i="4"/>
  <c r="M38" i="4"/>
  <c r="I47" i="33"/>
  <c r="I48" i="33" s="1"/>
  <c r="I54" i="33" s="1"/>
  <c r="B46" i="33"/>
  <c r="B53" i="33" s="1"/>
  <c r="K46" i="33"/>
  <c r="K53" i="33" s="1"/>
  <c r="J46" i="33"/>
  <c r="J53" i="33" s="1"/>
  <c r="B47" i="33"/>
  <c r="B48" i="33" s="1"/>
  <c r="B54" i="33" s="1"/>
  <c r="F47" i="33"/>
  <c r="F48" i="33" s="1"/>
  <c r="F54" i="33" s="1"/>
  <c r="K47" i="33"/>
  <c r="K48" i="33" s="1"/>
  <c r="K54" i="33" s="1"/>
  <c r="I46" i="33"/>
  <c r="I53" i="33" s="1"/>
  <c r="H46" i="33"/>
  <c r="H53" i="33" s="1"/>
  <c r="O46" i="33"/>
  <c r="O53" i="33" s="1"/>
  <c r="O55" i="33" s="1"/>
  <c r="O57" i="33"/>
  <c r="V61" i="33" s="1"/>
  <c r="M46" i="33"/>
  <c r="M53" i="33" s="1"/>
  <c r="E46" i="33"/>
  <c r="E53" i="33" s="1"/>
  <c r="D46" i="33"/>
  <c r="D53" i="33" s="1"/>
  <c r="J47" i="33"/>
  <c r="J48" i="33" s="1"/>
  <c r="J54" i="33" s="1"/>
  <c r="L38" i="4"/>
  <c r="G47" i="33"/>
  <c r="G48" i="33" s="1"/>
  <c r="G54" i="33" s="1"/>
  <c r="M47" i="33"/>
  <c r="M48" i="33" s="1"/>
  <c r="M54" i="33" s="1"/>
  <c r="E47" i="33"/>
  <c r="E48" i="33" s="1"/>
  <c r="E54" i="33" s="1"/>
  <c r="L47" i="33"/>
  <c r="L48" i="33" s="1"/>
  <c r="L54" i="33" s="1"/>
  <c r="H47" i="33"/>
  <c r="H48" i="33" s="1"/>
  <c r="H54" i="33" s="1"/>
  <c r="G46" i="33"/>
  <c r="G53" i="33" s="1"/>
  <c r="F46" i="33"/>
  <c r="F53" i="33" s="1"/>
  <c r="O47" i="33"/>
  <c r="O48" i="33" s="1"/>
  <c r="O54" i="33" s="1"/>
  <c r="C46" i="33"/>
  <c r="C53" i="33" s="1"/>
  <c r="O59" i="33" l="1"/>
  <c r="T55" i="33"/>
  <c r="B65" i="33"/>
  <c r="S55" i="33"/>
  <c r="B64" i="33"/>
  <c r="R55" i="33"/>
  <c r="Q55" i="33"/>
  <c r="P55" i="33"/>
  <c r="U55" i="33"/>
  <c r="P59" i="33"/>
  <c r="P61" i="33" s="1"/>
  <c r="C61" i="33"/>
  <c r="G61" i="33"/>
  <c r="I61" i="33"/>
  <c r="K61" i="33"/>
  <c r="E61" i="33"/>
  <c r="H61" i="33"/>
  <c r="M61" i="33"/>
  <c r="F61" i="33"/>
  <c r="L61" i="33"/>
  <c r="D61" i="33"/>
  <c r="O61" i="33"/>
  <c r="M55" i="33"/>
  <c r="Q59" i="33"/>
  <c r="Q61" i="33" s="1"/>
  <c r="R61" i="33"/>
  <c r="U61" i="33"/>
  <c r="T61" i="33"/>
  <c r="S61" i="33"/>
  <c r="D55" i="33"/>
  <c r="B55" i="33"/>
  <c r="K55" i="33"/>
  <c r="L55" i="33"/>
  <c r="G55" i="33"/>
  <c r="F55" i="33"/>
  <c r="C55" i="33"/>
  <c r="J55" i="33"/>
  <c r="H55" i="33"/>
  <c r="I55" i="33"/>
  <c r="E55" i="33"/>
  <c r="J61" i="33" l="1"/>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O42" i="23"/>
  <c r="O36" i="4" s="1"/>
  <c r="K29" i="23"/>
  <c r="K23"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L35" i="1"/>
  <c r="L13" i="4" s="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E34" i="23"/>
  <c r="E28" i="4" s="1"/>
  <c r="J43" i="23"/>
  <c r="J39" i="23"/>
  <c r="J33" i="4" s="1"/>
  <c r="C34" i="23"/>
  <c r="C28" i="4" s="1"/>
  <c r="E32" i="23"/>
  <c r="E26" i="4" s="1"/>
  <c r="C30" i="23"/>
  <c r="C24" i="4" s="1"/>
  <c r="D32" i="23"/>
  <c r="D26" i="4" s="1"/>
  <c r="D35" i="23"/>
  <c r="D29"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0" i="1"/>
  <c r="H8" i="4" s="1"/>
  <c r="F32" i="1"/>
  <c r="F10" i="4" s="1"/>
  <c r="E35" i="1"/>
  <c r="E13" i="4" s="1"/>
  <c r="H31" i="1"/>
  <c r="H35" i="1"/>
  <c r="H13" i="4" s="1"/>
  <c r="E30" i="1"/>
  <c r="E8" i="4" s="1"/>
  <c r="I34" i="1"/>
  <c r="I12" i="4" s="1"/>
  <c r="E29" i="1"/>
  <c r="I29" i="1"/>
  <c r="H32" i="1"/>
  <c r="H10" i="4" s="1"/>
  <c r="E33" i="1"/>
  <c r="E11" i="4" s="1"/>
  <c r="I33" i="1"/>
  <c r="I11" i="4" s="1"/>
  <c r="C35" i="1"/>
  <c r="C13" i="4" s="1"/>
  <c r="G35" i="1"/>
  <c r="G13" i="4" s="1"/>
  <c r="F29" i="1"/>
  <c r="F7" i="4" s="1"/>
  <c r="F33" i="1"/>
  <c r="F11" i="4" s="1"/>
  <c r="G34" i="1"/>
  <c r="G12" i="4" s="1"/>
  <c r="O39" i="1"/>
  <c r="O17" i="4" s="1"/>
  <c r="O43" i="1"/>
  <c r="Q31" i="1"/>
  <c r="Q9" i="4" s="1"/>
  <c r="Q34" i="1"/>
  <c r="Q12" i="4" s="1"/>
  <c r="O42" i="1"/>
  <c r="O2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H33" i="1" l="1"/>
  <c r="H11" i="4" s="1"/>
  <c r="U35" i="1"/>
  <c r="U13" i="4" s="1"/>
  <c r="U34" i="1"/>
  <c r="U12" i="4" s="1"/>
  <c r="U33" i="1"/>
  <c r="U11" i="4" s="1"/>
  <c r="U32" i="1"/>
  <c r="U10" i="4" s="1"/>
  <c r="U31" i="1"/>
  <c r="U9" i="4" s="1"/>
  <c r="U30" i="1"/>
  <c r="U8" i="4" s="1"/>
  <c r="U29" i="1"/>
  <c r="U7" i="4" s="1"/>
  <c r="U28" i="1"/>
  <c r="T35" i="23"/>
  <c r="T29" i="4" s="1"/>
  <c r="P35" i="23"/>
  <c r="P29" i="4" s="1"/>
  <c r="S34" i="23"/>
  <c r="S28" i="4" s="1"/>
  <c r="V33" i="23"/>
  <c r="V27" i="4" s="1"/>
  <c r="R33" i="23"/>
  <c r="R27" i="4" s="1"/>
  <c r="U32" i="23"/>
  <c r="U26" i="4" s="1"/>
  <c r="Q32" i="23"/>
  <c r="Q26" i="4" s="1"/>
  <c r="T31" i="23"/>
  <c r="T25" i="4" s="1"/>
  <c r="P31" i="23"/>
  <c r="P25" i="4" s="1"/>
  <c r="S30" i="23"/>
  <c r="S24" i="4" s="1"/>
  <c r="V29" i="23"/>
  <c r="V23" i="4" s="1"/>
  <c r="R29" i="23"/>
  <c r="R23" i="4" s="1"/>
  <c r="U28" i="23"/>
  <c r="Q28" i="23"/>
  <c r="R33" i="1"/>
  <c r="R11" i="4" s="1"/>
  <c r="T35" i="1"/>
  <c r="T13" i="4" s="1"/>
  <c r="T34" i="1"/>
  <c r="T12" i="4" s="1"/>
  <c r="T33" i="1"/>
  <c r="T11" i="4" s="1"/>
  <c r="T32" i="1"/>
  <c r="T10" i="4" s="1"/>
  <c r="T31" i="1"/>
  <c r="T9" i="4" s="1"/>
  <c r="T30" i="1"/>
  <c r="T8" i="4" s="1"/>
  <c r="T29" i="1"/>
  <c r="T7" i="4" s="1"/>
  <c r="T28" i="1"/>
  <c r="O41" i="23"/>
  <c r="O35" i="4" s="1"/>
  <c r="S35" i="23"/>
  <c r="S29" i="4" s="1"/>
  <c r="V34" i="23"/>
  <c r="V28" i="4" s="1"/>
  <c r="R34" i="23"/>
  <c r="R28" i="4" s="1"/>
  <c r="U33" i="23"/>
  <c r="U27" i="4" s="1"/>
  <c r="Q33" i="23"/>
  <c r="Q27" i="4" s="1"/>
  <c r="T32" i="23"/>
  <c r="T26" i="4" s="1"/>
  <c r="P32" i="23"/>
  <c r="P26" i="4" s="1"/>
  <c r="S31" i="23"/>
  <c r="S25" i="4" s="1"/>
  <c r="V30" i="23"/>
  <c r="V24" i="4" s="1"/>
  <c r="R30" i="23"/>
  <c r="R24" i="4" s="1"/>
  <c r="U29" i="23"/>
  <c r="U23" i="4" s="1"/>
  <c r="Q29" i="23"/>
  <c r="Q23" i="4" s="1"/>
  <c r="T28" i="23"/>
  <c r="P28" i="23"/>
  <c r="S35" i="1"/>
  <c r="S13" i="4" s="1"/>
  <c r="S34" i="1"/>
  <c r="S12" i="4" s="1"/>
  <c r="S33" i="1"/>
  <c r="S11" i="4" s="1"/>
  <c r="S32" i="1"/>
  <c r="S10" i="4" s="1"/>
  <c r="S31" i="1"/>
  <c r="S9" i="4" s="1"/>
  <c r="S30" i="1"/>
  <c r="S8" i="4" s="1"/>
  <c r="S29" i="1"/>
  <c r="S7" i="4" s="1"/>
  <c r="S28" i="1"/>
  <c r="V35" i="23"/>
  <c r="V29" i="4" s="1"/>
  <c r="R35" i="23"/>
  <c r="R29" i="4" s="1"/>
  <c r="U34" i="23"/>
  <c r="U28" i="4" s="1"/>
  <c r="Q34" i="23"/>
  <c r="Q28" i="4" s="1"/>
  <c r="T33" i="23"/>
  <c r="P33" i="23"/>
  <c r="P27" i="4" s="1"/>
  <c r="S32" i="23"/>
  <c r="S26" i="4" s="1"/>
  <c r="V31" i="23"/>
  <c r="V25" i="4" s="1"/>
  <c r="R31" i="23"/>
  <c r="R25" i="4" s="1"/>
  <c r="U30" i="23"/>
  <c r="U24" i="4" s="1"/>
  <c r="Q30" i="23"/>
  <c r="Q24" i="4" s="1"/>
  <c r="T29" i="23"/>
  <c r="T23" i="4" s="1"/>
  <c r="P29" i="23"/>
  <c r="S28" i="23"/>
  <c r="V35" i="1"/>
  <c r="V13" i="4" s="1"/>
  <c r="V34" i="1"/>
  <c r="V12" i="4" s="1"/>
  <c r="V33" i="1"/>
  <c r="V11" i="4" s="1"/>
  <c r="V32" i="1"/>
  <c r="V10" i="4" s="1"/>
  <c r="V31" i="1"/>
  <c r="V9" i="4" s="1"/>
  <c r="V30" i="1"/>
  <c r="V8" i="4" s="1"/>
  <c r="V29" i="1"/>
  <c r="V7" i="4" s="1"/>
  <c r="V28" i="1"/>
  <c r="U35" i="23"/>
  <c r="Q35" i="23"/>
  <c r="Q29" i="4" s="1"/>
  <c r="T34" i="23"/>
  <c r="T28" i="4" s="1"/>
  <c r="P34" i="23"/>
  <c r="P28" i="4" s="1"/>
  <c r="S33" i="23"/>
  <c r="S27" i="4" s="1"/>
  <c r="V32" i="23"/>
  <c r="V26" i="4" s="1"/>
  <c r="R32" i="23"/>
  <c r="R26" i="4" s="1"/>
  <c r="U31" i="23"/>
  <c r="U25" i="4" s="1"/>
  <c r="Q31" i="23"/>
  <c r="Q25" i="4" s="1"/>
  <c r="T30" i="23"/>
  <c r="T24" i="4" s="1"/>
  <c r="P30" i="23"/>
  <c r="P24" i="4" s="1"/>
  <c r="S29" i="23"/>
  <c r="S23" i="4" s="1"/>
  <c r="V28" i="23"/>
  <c r="R28" i="23"/>
  <c r="O9" i="12"/>
  <c r="O10" i="12" s="1"/>
  <c r="H31" i="23"/>
  <c r="H25" i="4" s="1"/>
  <c r="E28" i="23"/>
  <c r="O40" i="23"/>
  <c r="O34" i="4" s="1"/>
  <c r="O43" i="23"/>
  <c r="O39" i="23"/>
  <c r="O33" i="4" s="1"/>
  <c r="O36" i="23"/>
  <c r="O30" i="4" s="1"/>
  <c r="L32" i="23"/>
  <c r="L26" i="4" s="1"/>
  <c r="G32" i="23"/>
  <c r="G26" i="4" s="1"/>
  <c r="H28" i="23"/>
  <c r="G33" i="23"/>
  <c r="G27" i="4" s="1"/>
  <c r="I28" i="23"/>
  <c r="G30" i="23"/>
  <c r="G24" i="4" s="1"/>
  <c r="I32" i="23"/>
  <c r="I26" i="4" s="1"/>
  <c r="G34" i="23"/>
  <c r="G28" i="4" s="1"/>
  <c r="I34" i="23"/>
  <c r="I28" i="4" s="1"/>
  <c r="D28" i="23"/>
  <c r="D22" i="4" s="1"/>
  <c r="J30" i="23"/>
  <c r="J24" i="4" s="1"/>
  <c r="C33" i="23"/>
  <c r="C27" i="4" s="1"/>
  <c r="E29" i="23"/>
  <c r="H30" i="23"/>
  <c r="H24" i="4" s="1"/>
  <c r="J32" i="23"/>
  <c r="J26" i="4" s="1"/>
  <c r="H34" i="23"/>
  <c r="H28" i="4" s="1"/>
  <c r="F29" i="23"/>
  <c r="F23" i="4" s="1"/>
  <c r="M34" i="23"/>
  <c r="M28" i="4" s="1"/>
  <c r="L33" i="23"/>
  <c r="L27" i="4" s="1"/>
  <c r="K32" i="23"/>
  <c r="K26" i="4" s="1"/>
  <c r="L31" i="23"/>
  <c r="L25" i="4" s="1"/>
  <c r="M29" i="23"/>
  <c r="M23" i="4" s="1"/>
  <c r="L28" i="23"/>
  <c r="L22" i="4" s="1"/>
  <c r="O35" i="23"/>
  <c r="O29" i="4" s="1"/>
  <c r="H32" i="23"/>
  <c r="H26" i="4" s="1"/>
  <c r="D30" i="23"/>
  <c r="D24" i="4" s="1"/>
  <c r="K35" i="23"/>
  <c r="K29" i="4" s="1"/>
  <c r="M31" i="23"/>
  <c r="M25" i="4" s="1"/>
  <c r="K30" i="23"/>
  <c r="K24" i="4" s="1"/>
  <c r="M28" i="23"/>
  <c r="M22" i="4" s="1"/>
  <c r="E35" i="23"/>
  <c r="E29" i="4" s="1"/>
  <c r="M35" i="23"/>
  <c r="M29" i="4" s="1"/>
  <c r="L34" i="23"/>
  <c r="L28" i="4" s="1"/>
  <c r="K33" i="23"/>
  <c r="K27" i="4" s="1"/>
  <c r="K31" i="23"/>
  <c r="K25" i="4" s="1"/>
  <c r="M30" i="23"/>
  <c r="M24" i="4" s="1"/>
  <c r="L29" i="23"/>
  <c r="L23" i="4" s="1"/>
  <c r="K28" i="23"/>
  <c r="O33" i="23"/>
  <c r="O27" i="4" s="1"/>
  <c r="F30" i="23"/>
  <c r="F24" i="4" s="1"/>
  <c r="J34" i="23"/>
  <c r="J28" i="4" s="1"/>
  <c r="J28" i="23"/>
  <c r="J22" i="4" s="1"/>
  <c r="F32" i="23"/>
  <c r="F26" i="4" s="1"/>
  <c r="D34" i="23"/>
  <c r="D28" i="4" s="1"/>
  <c r="D31" i="23"/>
  <c r="D25" i="4" s="1"/>
  <c r="M33" i="23"/>
  <c r="M27" i="4" s="1"/>
  <c r="I30" i="23"/>
  <c r="I24" i="4" s="1"/>
  <c r="F33" i="23"/>
  <c r="F27" i="4" s="1"/>
  <c r="G29" i="23"/>
  <c r="G23" i="4" s="1"/>
  <c r="D29" i="23"/>
  <c r="D23" i="4" s="1"/>
  <c r="F31" i="23"/>
  <c r="F25" i="4" s="1"/>
  <c r="D33" i="23"/>
  <c r="D27" i="4" s="1"/>
  <c r="F35" i="23"/>
  <c r="F29" i="4" s="1"/>
  <c r="C32" i="23"/>
  <c r="C26" i="4" s="1"/>
  <c r="H35" i="23"/>
  <c r="H29" i="4" s="1"/>
  <c r="C29" i="23"/>
  <c r="C23" i="4" s="1"/>
  <c r="E31" i="23"/>
  <c r="E25" i="4" s="1"/>
  <c r="I29" i="23"/>
  <c r="I23" i="4" s="1"/>
  <c r="C31" i="23"/>
  <c r="C25" i="4" s="1"/>
  <c r="E33" i="23"/>
  <c r="E27" i="4" s="1"/>
  <c r="C35" i="23"/>
  <c r="C29" i="4" s="1"/>
  <c r="J29" i="23"/>
  <c r="J23" i="4" s="1"/>
  <c r="G28" i="23"/>
  <c r="G22" i="4" s="1"/>
  <c r="J33" i="23"/>
  <c r="J27" i="4" s="1"/>
  <c r="I35" i="23"/>
  <c r="I29" i="4" s="1"/>
  <c r="H29" i="23"/>
  <c r="H23" i="4" s="1"/>
  <c r="J31" i="23"/>
  <c r="J25" i="4" s="1"/>
  <c r="H33" i="23"/>
  <c r="H27" i="4" s="1"/>
  <c r="J35" i="23"/>
  <c r="J29" i="4" s="1"/>
  <c r="I31" i="23"/>
  <c r="I25" i="4" s="1"/>
  <c r="F34" i="23"/>
  <c r="F28" i="4" s="1"/>
  <c r="F28" i="23"/>
  <c r="G31" i="23"/>
  <c r="G25" i="4" s="1"/>
  <c r="I33" i="23"/>
  <c r="I27" i="4" s="1"/>
  <c r="G35" i="23"/>
  <c r="G29" i="4" s="1"/>
  <c r="C28" i="23"/>
  <c r="E30" i="23"/>
  <c r="E24" i="4" s="1"/>
  <c r="L35" i="23"/>
  <c r="L29" i="4" s="1"/>
  <c r="K34" i="23"/>
  <c r="K28" i="4" s="1"/>
  <c r="M32" i="23"/>
  <c r="M26" i="4" s="1"/>
  <c r="L30" i="23"/>
  <c r="L24" i="4" s="1"/>
  <c r="O29" i="23"/>
  <c r="O23" i="4" s="1"/>
  <c r="J32" i="1"/>
  <c r="M35" i="1"/>
  <c r="M13" i="4" s="1"/>
  <c r="L34" i="1"/>
  <c r="L12" i="4" s="1"/>
  <c r="K33" i="1"/>
  <c r="K11" i="4" s="1"/>
  <c r="L32" i="1"/>
  <c r="L10" i="4" s="1"/>
  <c r="L31" i="1"/>
  <c r="L9" i="4" s="1"/>
  <c r="M30" i="1"/>
  <c r="M8" i="4" s="1"/>
  <c r="L29" i="1"/>
  <c r="L7" i="4" s="1"/>
  <c r="K28" i="1"/>
  <c r="F35" i="1"/>
  <c r="F13" i="4" s="1"/>
  <c r="D35" i="1"/>
  <c r="D13" i="4" s="1"/>
  <c r="H34" i="1"/>
  <c r="H12" i="4" s="1"/>
  <c r="G29" i="1"/>
  <c r="J35" i="1"/>
  <c r="J13" i="4" s="1"/>
  <c r="J31" i="1"/>
  <c r="J9" i="4" s="1"/>
  <c r="K34" i="1"/>
  <c r="K12" i="4" s="1"/>
  <c r="K32" i="1"/>
  <c r="K10" i="4" s="1"/>
  <c r="K31" i="1"/>
  <c r="L30" i="1"/>
  <c r="L8" i="4" s="1"/>
  <c r="K29" i="1"/>
  <c r="K7" i="4" s="1"/>
  <c r="D33" i="1"/>
  <c r="D11" i="4" s="1"/>
  <c r="O32" i="1"/>
  <c r="O10" i="4" s="1"/>
  <c r="G30" i="1"/>
  <c r="G8" i="4" s="1"/>
  <c r="F34" i="1"/>
  <c r="F12" i="4" s="1"/>
  <c r="F30" i="1"/>
  <c r="I30" i="1"/>
  <c r="I8" i="4" s="1"/>
  <c r="E32" i="1"/>
  <c r="E10" i="4" s="1"/>
  <c r="C33" i="1"/>
  <c r="C11" i="4" s="1"/>
  <c r="J34" i="1"/>
  <c r="J12" i="4" s="1"/>
  <c r="J30" i="1"/>
  <c r="J8" i="4" s="1"/>
  <c r="K35" i="1"/>
  <c r="K13" i="4" s="1"/>
  <c r="M33" i="1"/>
  <c r="M11" i="4" s="1"/>
  <c r="K30" i="1"/>
  <c r="K8" i="4" s="1"/>
  <c r="M28" i="1"/>
  <c r="J33" i="1"/>
  <c r="J11" i="4" s="1"/>
  <c r="J29" i="1"/>
  <c r="J7" i="4" s="1"/>
  <c r="J28" i="1"/>
  <c r="J6" i="4" s="1"/>
  <c r="M34" i="1"/>
  <c r="M12" i="4" s="1"/>
  <c r="L33" i="1"/>
  <c r="L11" i="4" s="1"/>
  <c r="M32" i="1"/>
  <c r="M10" i="4" s="1"/>
  <c r="M31" i="1"/>
  <c r="M9" i="4" s="1"/>
  <c r="M29" i="1"/>
  <c r="M7" i="4" s="1"/>
  <c r="L28" i="1"/>
  <c r="E22" i="4"/>
  <c r="L6" i="4"/>
  <c r="T6" i="4"/>
  <c r="Q6" i="4"/>
  <c r="H22" i="4"/>
  <c r="I22" i="4"/>
  <c r="K6" i="4"/>
  <c r="S6" i="4"/>
  <c r="Q22" i="4"/>
  <c r="P6" i="4"/>
  <c r="M6"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L46" i="23"/>
  <c r="L53" i="23" s="1"/>
  <c r="P37" i="1"/>
  <c r="F22" i="23"/>
  <c r="L47" i="23"/>
  <c r="L48" i="23" s="1"/>
  <c r="L54" i="23" s="1"/>
  <c r="E46" i="23"/>
  <c r="E53" i="23" s="1"/>
  <c r="O36" i="1"/>
  <c r="Q46" i="23"/>
  <c r="Q53" i="23" s="1"/>
  <c r="H45" i="23"/>
  <c r="Q47" i="23"/>
  <c r="Q48" i="23" s="1"/>
  <c r="Q54" i="23" s="1"/>
  <c r="U46" i="23"/>
  <c r="U53" i="23" s="1"/>
  <c r="T46" i="23"/>
  <c r="T53" i="23" s="1"/>
  <c r="R31" i="1"/>
  <c r="R9" i="4" s="1"/>
  <c r="R22" i="4"/>
  <c r="V22" i="4"/>
  <c r="U29" i="4"/>
  <c r="T47" i="23"/>
  <c r="T48" i="23" s="1"/>
  <c r="T54" i="23" s="1"/>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46" i="1"/>
  <c r="K53" i="1" s="1"/>
  <c r="K9" i="4"/>
  <c r="B32" i="1"/>
  <c r="D28" i="1"/>
  <c r="C32" i="1"/>
  <c r="J47" i="1"/>
  <c r="J48" i="1" s="1"/>
  <c r="J54" i="1" s="1"/>
  <c r="B28" i="1"/>
  <c r="D32" i="1"/>
  <c r="B30" i="1"/>
  <c r="B8" i="4" s="1"/>
  <c r="C28" i="1"/>
  <c r="D31" i="1"/>
  <c r="D9" i="4" s="1"/>
  <c r="U46" i="1"/>
  <c r="U53" i="1" s="1"/>
  <c r="K47" i="1"/>
  <c r="K48" i="1" s="1"/>
  <c r="K54"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H9" i="4"/>
  <c r="J10" i="4"/>
  <c r="J46" i="1"/>
  <c r="J53" i="1" s="1"/>
  <c r="G7" i="4"/>
  <c r="C4" i="4"/>
  <c r="P47" i="23"/>
  <c r="P48" i="23" s="1"/>
  <c r="P54" i="23" s="1"/>
  <c r="F47" i="23"/>
  <c r="F48" i="23" s="1"/>
  <c r="F54" i="23" s="1"/>
  <c r="U47" i="23"/>
  <c r="U48" i="23" s="1"/>
  <c r="U54" i="23" s="1"/>
  <c r="A47" i="22"/>
  <c r="I47" i="23"/>
  <c r="I48" i="23" s="1"/>
  <c r="I54"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S56" i="23"/>
  <c r="T56" i="23"/>
  <c r="V78" i="4"/>
  <c r="J56" i="1"/>
  <c r="L78" i="4"/>
  <c r="H56" i="1"/>
  <c r="D56" i="1"/>
  <c r="Q56" i="23"/>
  <c r="O56" i="1"/>
  <c r="K56" i="1"/>
  <c r="M56" i="1"/>
  <c r="P56" i="23"/>
  <c r="H56" i="23"/>
  <c r="M56" i="23"/>
  <c r="F56" i="23"/>
  <c r="G56" i="23"/>
  <c r="J78" i="4"/>
  <c r="V56" i="1"/>
  <c r="V56" i="23"/>
  <c r="Q56" i="1"/>
  <c r="C56" i="23"/>
  <c r="O56" i="23"/>
  <c r="C56" i="1"/>
  <c r="J56" i="23"/>
  <c r="I56" i="23"/>
  <c r="T56" i="1"/>
  <c r="U56" i="23"/>
  <c r="F56" i="1"/>
  <c r="E56" i="23"/>
  <c r="M78" i="4"/>
  <c r="B56" i="1"/>
  <c r="L56" i="1"/>
  <c r="I56" i="1"/>
  <c r="E56" i="1"/>
  <c r="D56" i="23"/>
  <c r="R56" i="1"/>
  <c r="P56" i="1"/>
  <c r="S56" i="1"/>
  <c r="K56" i="23"/>
  <c r="G56" i="1"/>
  <c r="B56" i="23"/>
  <c r="U56" i="1"/>
  <c r="L56" i="23"/>
  <c r="R56" i="23"/>
  <c r="T57" i="1" l="1"/>
  <c r="R57" i="23"/>
  <c r="S57" i="1"/>
  <c r="P57" i="23"/>
  <c r="Q57" i="23"/>
  <c r="V57" i="23"/>
  <c r="T57" i="23"/>
  <c r="U57" i="23"/>
  <c r="V57" i="1"/>
  <c r="S57" i="23"/>
  <c r="U57" i="1"/>
  <c r="S63" i="4"/>
  <c r="S64" i="4" s="1"/>
  <c r="T22" i="4"/>
  <c r="U22" i="4"/>
  <c r="S22" i="4"/>
  <c r="J47" i="23"/>
  <c r="J48" i="23" s="1"/>
  <c r="J54" i="23" s="1"/>
  <c r="C47" i="23"/>
  <c r="C48" i="23" s="1"/>
  <c r="C54" i="23" s="1"/>
  <c r="J46" i="23"/>
  <c r="J53" i="23" s="1"/>
  <c r="I46" i="23"/>
  <c r="I53" i="23" s="1"/>
  <c r="H47" i="23"/>
  <c r="H48" i="23" s="1"/>
  <c r="H54" i="23" s="1"/>
  <c r="F57" i="23"/>
  <c r="G57" i="23"/>
  <c r="L57" i="23"/>
  <c r="H57" i="23"/>
  <c r="C57" i="23"/>
  <c r="J57" i="23"/>
  <c r="K57" i="23"/>
  <c r="M57" i="23"/>
  <c r="D57" i="23"/>
  <c r="E57" i="23"/>
  <c r="I57" i="23"/>
  <c r="F46" i="23"/>
  <c r="F53" i="23" s="1"/>
  <c r="M47" i="23"/>
  <c r="M48" i="23" s="1"/>
  <c r="M54" i="23" s="1"/>
  <c r="G47" i="23"/>
  <c r="G48" i="23" s="1"/>
  <c r="G54" i="23" s="1"/>
  <c r="F22" i="4"/>
  <c r="C46" i="23"/>
  <c r="C53" i="23" s="1"/>
  <c r="E47" i="23"/>
  <c r="E48" i="23" s="1"/>
  <c r="E54" i="23" s="1"/>
  <c r="H46" i="23"/>
  <c r="H53" i="23" s="1"/>
  <c r="K46" i="23"/>
  <c r="K53" i="23" s="1"/>
  <c r="G46" i="23"/>
  <c r="G53" i="23" s="1"/>
  <c r="M46" i="23"/>
  <c r="M53" i="23" s="1"/>
  <c r="K22" i="4"/>
  <c r="K57" i="4" s="1"/>
  <c r="K58" i="4" s="1"/>
  <c r="K76" i="4" s="1"/>
  <c r="D46" i="23"/>
  <c r="D53" i="23" s="1"/>
  <c r="D47" i="23"/>
  <c r="D48" i="23" s="1"/>
  <c r="D54" i="23" s="1"/>
  <c r="K47" i="23"/>
  <c r="K48" i="23" s="1"/>
  <c r="K54" i="23" s="1"/>
  <c r="C22" i="4"/>
  <c r="E23" i="4"/>
  <c r="L57" i="1"/>
  <c r="M57" i="1"/>
  <c r="J57" i="1"/>
  <c r="K57" i="1"/>
  <c r="L63" i="4"/>
  <c r="L64" i="4" s="1"/>
  <c r="F46" i="1"/>
  <c r="F53" i="1" s="1"/>
  <c r="L46" i="1"/>
  <c r="L53" i="1" s="1"/>
  <c r="M47" i="1"/>
  <c r="M48" i="1" s="1"/>
  <c r="M54" i="1" s="1"/>
  <c r="L47" i="1"/>
  <c r="L48" i="1" s="1"/>
  <c r="L54" i="1" s="1"/>
  <c r="M46" i="1"/>
  <c r="M53" i="1" s="1"/>
  <c r="M63" i="4"/>
  <c r="M64" i="4" s="1"/>
  <c r="P47" i="1"/>
  <c r="P48" i="1" s="1"/>
  <c r="P54" i="1" s="1"/>
  <c r="D6" i="4"/>
  <c r="R6" i="4"/>
  <c r="C6" i="4"/>
  <c r="B22" i="4"/>
  <c r="I6" i="4"/>
  <c r="P7" i="4"/>
  <c r="E6" i="4"/>
  <c r="H6" i="4"/>
  <c r="F6" i="4"/>
  <c r="O6" i="4"/>
  <c r="B6" i="4"/>
  <c r="G6" i="4"/>
  <c r="Q7" i="4"/>
  <c r="K63" i="4"/>
  <c r="K64" i="4" s="1"/>
  <c r="U63" i="4"/>
  <c r="U64" i="4" s="1"/>
  <c r="J63" i="4"/>
  <c r="J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J56" i="4"/>
  <c r="J75" i="4" s="1"/>
  <c r="O55" i="4"/>
  <c r="O62" i="4"/>
  <c r="F55" i="4"/>
  <c r="F62" i="4"/>
  <c r="M55" i="4"/>
  <c r="M62" i="4"/>
  <c r="J55" i="4"/>
  <c r="J62" i="4"/>
  <c r="L57" i="4"/>
  <c r="L58" i="4" s="1"/>
  <c r="L76" i="4" s="1"/>
  <c r="J57" i="4"/>
  <c r="J58" i="4" s="1"/>
  <c r="J76" i="4" s="1"/>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L79" i="4"/>
  <c r="V79" i="4"/>
  <c r="M79" i="4"/>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O74" i="4"/>
  <c r="P74" i="4"/>
  <c r="AD2" i="12"/>
  <c r="T78" i="4"/>
  <c r="I78" i="4"/>
  <c r="G78" i="4"/>
  <c r="F78" i="4"/>
  <c r="R78" i="4"/>
  <c r="C78" i="4"/>
  <c r="U78" i="4"/>
  <c r="Q78" i="4"/>
  <c r="E78" i="4"/>
  <c r="K78" i="4"/>
  <c r="P78" i="4"/>
  <c r="S78" i="4"/>
  <c r="D78" i="4"/>
  <c r="H78" i="4"/>
  <c r="B78" i="4"/>
  <c r="O78" i="4"/>
  <c r="S79" i="4" l="1"/>
  <c r="U79" i="4"/>
  <c r="T79" i="4"/>
  <c r="R63" i="4"/>
  <c r="R64" i="4" s="1"/>
  <c r="K56" i="4"/>
  <c r="K75" i="4" s="1"/>
  <c r="K79" i="4"/>
  <c r="J80" i="4" s="1"/>
  <c r="C55" i="23"/>
  <c r="F55" i="23"/>
  <c r="H56" i="4"/>
  <c r="H75" i="4" s="1"/>
  <c r="I57" i="4"/>
  <c r="I58" i="4" s="1"/>
  <c r="I76" i="4" s="1"/>
  <c r="F63" i="4"/>
  <c r="F64" i="4" s="1"/>
  <c r="V4" i="4"/>
  <c r="V55" i="4" s="1"/>
  <c r="I63" i="4"/>
  <c r="I64" i="4" s="1"/>
  <c r="C63" i="4"/>
  <c r="C64" i="4" s="1"/>
  <c r="R55" i="1"/>
  <c r="P55" i="1"/>
  <c r="S55" i="1"/>
  <c r="T55" i="23"/>
  <c r="V55" i="1"/>
  <c r="Q55" i="1"/>
  <c r="S55" i="23"/>
  <c r="U55" i="1"/>
  <c r="P55" i="23"/>
  <c r="V55" i="23"/>
  <c r="U55" i="23"/>
  <c r="R55" i="23"/>
  <c r="Q55" i="23"/>
  <c r="T55" i="1"/>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V62" i="4"/>
  <c r="P56" i="4"/>
  <c r="R57" i="4"/>
  <c r="R58" i="4" s="1"/>
  <c r="R76" i="4" s="1"/>
  <c r="Q57" i="4"/>
  <c r="Q58" i="4" s="1"/>
  <c r="Q76" i="4" s="1"/>
  <c r="Q79" i="4"/>
  <c r="P79" i="4"/>
  <c r="R79" i="4"/>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H3" i="12"/>
  <c r="O59" i="1"/>
  <c r="M55" i="1"/>
  <c r="P59" i="1"/>
  <c r="Q59" i="1"/>
  <c r="B65" i="1"/>
  <c r="B64" i="1"/>
  <c r="B55" i="1"/>
  <c r="G3" i="12"/>
  <c r="T27" i="23"/>
  <c r="T52" i="23" s="1"/>
  <c r="T45" i="23"/>
  <c r="T22" i="23"/>
  <c r="F3" i="12"/>
  <c r="J3" i="12"/>
  <c r="I3" i="12"/>
  <c r="T27" i="1"/>
  <c r="T52" i="1" s="1"/>
  <c r="T45" i="1"/>
  <c r="T4" i="4"/>
  <c r="T62" i="4" s="1"/>
  <c r="T22" i="1"/>
  <c r="R80" i="4" l="1"/>
  <c r="AA2" i="12"/>
  <c r="AH2" i="12"/>
  <c r="B80" i="4"/>
  <c r="P75" i="4"/>
  <c r="B5" i="27" s="1"/>
  <c r="O81" i="4"/>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G61" i="1"/>
  <c r="M61" i="1"/>
  <c r="L61" i="1"/>
  <c r="E61" i="1"/>
  <c r="F61" i="1"/>
  <c r="K61" i="1"/>
  <c r="I61" i="1"/>
  <c r="J61" i="1"/>
  <c r="H61" i="1"/>
  <c r="O3" i="12"/>
  <c r="R3" i="12"/>
  <c r="S3" i="12"/>
  <c r="N3" i="12"/>
  <c r="M3" i="12"/>
  <c r="L3" i="12"/>
  <c r="AC2" i="12"/>
  <c r="S55" i="4"/>
  <c r="S74" i="4"/>
  <c r="W2" i="12" s="1"/>
  <c r="AG2" i="12"/>
  <c r="R55" i="4"/>
  <c r="R74" i="4"/>
  <c r="P3" i="12"/>
  <c r="Q3" i="12"/>
  <c r="K2" i="12"/>
  <c r="K4" i="12" s="1"/>
  <c r="B4" i="27"/>
  <c r="B4" i="12"/>
  <c r="O61" i="1"/>
  <c r="Q61" i="1"/>
  <c r="P61" i="1"/>
  <c r="C61" i="1"/>
  <c r="AB2" i="12"/>
  <c r="AF2" i="12"/>
  <c r="T55" i="4"/>
  <c r="T74" i="4"/>
  <c r="B5" i="12" l="1"/>
  <c r="P77" i="4"/>
  <c r="AB4" i="12"/>
  <c r="AD4" i="12"/>
  <c r="AE4" i="12"/>
  <c r="Z4" i="12"/>
  <c r="W4" i="12"/>
  <c r="AG4" i="12"/>
  <c r="AC4" i="12"/>
  <c r="AH4" i="12"/>
  <c r="AF4" i="12"/>
  <c r="Y4" i="12"/>
  <c r="AA4" i="12"/>
  <c r="I81" i="4"/>
  <c r="F3" i="28" s="1"/>
  <c r="F81" i="4"/>
  <c r="G81" i="4"/>
  <c r="H81" i="4"/>
  <c r="D81" i="4"/>
  <c r="D83" i="4" s="1"/>
  <c r="E81" i="4"/>
  <c r="C81" i="4"/>
  <c r="K77" i="4"/>
  <c r="E5" i="28" s="1"/>
  <c r="J77" i="4"/>
  <c r="E4" i="28" s="1"/>
  <c r="G77" i="4"/>
  <c r="F77" i="4"/>
  <c r="L77" i="4"/>
  <c r="E6" i="28" s="1"/>
  <c r="B77" i="4"/>
  <c r="B2" i="27"/>
  <c r="G6" i="27" s="1"/>
  <c r="M77" i="4"/>
  <c r="E7" i="28" s="1"/>
  <c r="I77" i="4"/>
  <c r="E3" i="28" s="1"/>
  <c r="B2" i="12"/>
  <c r="E6" i="12" s="1"/>
  <c r="H77" i="4"/>
  <c r="D77" i="4"/>
  <c r="C77" i="4"/>
  <c r="E77" i="4"/>
  <c r="AG8" i="12"/>
  <c r="U8" i="12"/>
  <c r="AJ8" i="12"/>
  <c r="AJ9" i="12" s="1"/>
  <c r="AJ10" i="12" s="1"/>
  <c r="AB8" i="12"/>
  <c r="Z8" i="12"/>
  <c r="AC8" i="12"/>
  <c r="V8" i="12"/>
  <c r="V9" i="12" s="1"/>
  <c r="V10" i="12" s="1"/>
  <c r="X8" i="12"/>
  <c r="AH8" i="12"/>
  <c r="AD8" i="12"/>
  <c r="AI8" i="12"/>
  <c r="AI9" i="12" s="1"/>
  <c r="AI10" i="12" s="1"/>
  <c r="W8" i="12"/>
  <c r="Y8" i="12"/>
  <c r="AE8" i="12"/>
  <c r="AA8" i="12"/>
  <c r="AA9" i="12" s="1"/>
  <c r="AA10" i="12" s="1"/>
  <c r="AF8" i="12"/>
  <c r="H8" i="27"/>
  <c r="H9" i="27" s="1"/>
  <c r="H10" i="27" s="1"/>
  <c r="J8" i="27"/>
  <c r="J9" i="27" s="1"/>
  <c r="J10" i="27" s="1"/>
  <c r="I8" i="27"/>
  <c r="I9" i="27" s="1"/>
  <c r="I10" i="27" s="1"/>
  <c r="L83" i="4"/>
  <c r="Q5" i="12" s="1"/>
  <c r="V83" i="4"/>
  <c r="T83" i="4"/>
  <c r="M83" i="4"/>
  <c r="R5" i="12" s="1"/>
  <c r="P83" i="4"/>
  <c r="U83" i="4"/>
  <c r="F83" i="4"/>
  <c r="S5" i="12"/>
  <c r="Q83" i="4"/>
  <c r="K83" i="4"/>
  <c r="J83" i="4"/>
  <c r="R83" i="4"/>
  <c r="S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F4" i="28"/>
  <c r="J11" i="28"/>
  <c r="I6" i="28"/>
  <c r="J9" i="28"/>
  <c r="I8" i="28"/>
  <c r="F14" i="28"/>
  <c r="F12" i="28"/>
  <c r="J6" i="28"/>
  <c r="J7" i="28"/>
  <c r="E12" i="28"/>
  <c r="I10" i="28"/>
  <c r="I13" i="28"/>
  <c r="E15" i="28"/>
  <c r="E11" i="28"/>
  <c r="F11" i="28"/>
  <c r="F6" i="28"/>
  <c r="J14" i="28"/>
  <c r="I15" i="28"/>
  <c r="I9" i="28"/>
  <c r="J5" i="28"/>
  <c r="J8" i="28"/>
  <c r="F10" i="28"/>
  <c r="I5" i="28"/>
  <c r="I4" i="28"/>
  <c r="I7" i="28"/>
  <c r="E13" i="28"/>
  <c r="E9" i="28"/>
  <c r="J10" i="28"/>
  <c r="I14" i="28"/>
  <c r="J4" i="28"/>
  <c r="J12" i="28"/>
  <c r="I12" i="28"/>
  <c r="F7" i="28"/>
  <c r="J15" i="28"/>
  <c r="AI2" i="12"/>
  <c r="AI4" i="12" s="1"/>
  <c r="X2" i="12"/>
  <c r="X4" i="12" s="1"/>
  <c r="AE9" i="12" l="1"/>
  <c r="AE10" i="12" s="1"/>
  <c r="AD9" i="12"/>
  <c r="AD10" i="12" s="1"/>
  <c r="AC9" i="12"/>
  <c r="AC10" i="12" s="1"/>
  <c r="U9" i="12"/>
  <c r="U10" i="12" s="1"/>
  <c r="AF9" i="12"/>
  <c r="AF10" i="12" s="1"/>
  <c r="W9" i="12"/>
  <c r="W10" i="12" s="1"/>
  <c r="X9" i="12"/>
  <c r="X10" i="12" s="1"/>
  <c r="AB9" i="12"/>
  <c r="AB10" i="12" s="1"/>
  <c r="Y9" i="12"/>
  <c r="Y10" i="12" s="1"/>
  <c r="AH9" i="12"/>
  <c r="AH10" i="12" s="1"/>
  <c r="Z9" i="12"/>
  <c r="Z10" i="12" s="1"/>
  <c r="AG9" i="12"/>
  <c r="AG10" i="12" s="1"/>
  <c r="P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K12" i="22" s="1"/>
  <c r="M12" i="22" s="1"/>
  <c r="F16" i="22"/>
  <c r="G16" i="22" s="1"/>
  <c r="F22" i="22"/>
  <c r="I22" i="22" s="1"/>
  <c r="J5" i="12"/>
  <c r="F15" i="22"/>
  <c r="K15" i="22" s="1"/>
  <c r="M15" i="22" s="1"/>
  <c r="L5" i="12"/>
  <c r="F21" i="22"/>
  <c r="G21" i="22" s="1"/>
  <c r="F5" i="12"/>
  <c r="F24" i="22"/>
  <c r="G24" i="22" s="1"/>
  <c r="F10" i="22"/>
  <c r="K10" i="22" s="1"/>
  <c r="F11" i="22"/>
  <c r="I11" i="22" s="1"/>
  <c r="F13" i="22"/>
  <c r="I13" i="22" s="1"/>
  <c r="F14" i="22"/>
  <c r="K14" i="22" s="1"/>
  <c r="M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I12" i="22" l="1"/>
  <c r="I25" i="22"/>
  <c r="K26" i="22"/>
  <c r="M26" i="22" s="1"/>
  <c r="K19" i="22"/>
  <c r="M19" i="22" s="1"/>
  <c r="K16" i="22"/>
  <c r="M16" i="22" s="1"/>
  <c r="G15" i="22"/>
  <c r="G14" i="22"/>
  <c r="G12" i="22"/>
  <c r="I34" i="22"/>
  <c r="K34" i="22" s="1"/>
  <c r="L5" i="28" s="1"/>
  <c r="I36" i="22"/>
  <c r="K36" i="22" s="1"/>
  <c r="N36" i="22" s="1"/>
  <c r="I35" i="22"/>
  <c r="K35" i="22" s="1"/>
  <c r="N35" i="22" s="1"/>
  <c r="I32" i="22"/>
  <c r="K3" i="28" s="1"/>
  <c r="I33" i="22"/>
  <c r="K33" i="22" s="1"/>
  <c r="N33" i="22" s="1"/>
  <c r="I19" i="22"/>
  <c r="I18" i="22"/>
  <c r="I15" i="22"/>
  <c r="I14" i="22"/>
  <c r="G25" i="22"/>
  <c r="I24" i="22"/>
  <c r="G13" i="22"/>
  <c r="G9" i="22"/>
  <c r="I7" i="22"/>
  <c r="G3" i="28" s="1"/>
  <c r="G11" i="22"/>
  <c r="K24" i="22"/>
  <c r="M24" i="22" s="1"/>
  <c r="G7" i="22"/>
  <c r="G10" i="22"/>
  <c r="I17" i="22"/>
  <c r="I10" i="22"/>
  <c r="G6" i="28" s="1"/>
  <c r="K18" i="22"/>
  <c r="M18" i="22" s="1"/>
  <c r="G22" i="22"/>
  <c r="K21" i="22"/>
  <c r="M21" i="22" s="1"/>
  <c r="I26" i="22"/>
  <c r="G17" i="22"/>
  <c r="K13" i="22"/>
  <c r="M13" i="22" s="1"/>
  <c r="K9" i="22"/>
  <c r="M9" i="22" s="1"/>
  <c r="M10" i="22"/>
  <c r="N10" i="22"/>
  <c r="I16" i="22"/>
  <c r="G20" i="22"/>
  <c r="K8" i="22"/>
  <c r="M8" i="22" s="1"/>
  <c r="K23" i="22"/>
  <c r="M23" i="22" s="1"/>
  <c r="I21" i="22"/>
  <c r="K22" i="22"/>
  <c r="M22" i="22" s="1"/>
  <c r="I8" i="22"/>
  <c r="G4" i="28" s="1"/>
  <c r="I23" i="22"/>
  <c r="K20" i="22"/>
  <c r="M20" i="22" s="1"/>
  <c r="K11" i="22"/>
  <c r="M11" i="22" s="1"/>
  <c r="M7" i="22"/>
  <c r="H3" i="28"/>
  <c r="N15" i="22"/>
  <c r="N12" i="22"/>
  <c r="N7" i="22"/>
  <c r="N25" i="22"/>
  <c r="N17" i="22"/>
  <c r="N14" i="22"/>
  <c r="L2" i="28"/>
  <c r="K2" i="28"/>
  <c r="G2" i="28"/>
  <c r="G13" i="28"/>
  <c r="G14" i="28"/>
  <c r="G8" i="28"/>
  <c r="G11" i="28"/>
  <c r="G12" i="28"/>
  <c r="G9" i="28"/>
  <c r="G15" i="28"/>
  <c r="G7" i="28"/>
  <c r="G5" i="28"/>
  <c r="G10" i="28"/>
  <c r="H6" i="28"/>
  <c r="H15" i="28"/>
  <c r="H12" i="28"/>
  <c r="H9" i="28"/>
  <c r="H14" i="28"/>
  <c r="H10" i="28"/>
  <c r="H13" i="28"/>
  <c r="H11" i="28"/>
  <c r="H8" i="28"/>
  <c r="N26" i="22" l="1"/>
  <c r="N19" i="22"/>
  <c r="N34" i="22"/>
  <c r="H7" i="28"/>
  <c r="N16" i="22"/>
  <c r="M34" i="22"/>
  <c r="L7" i="28"/>
  <c r="K7" i="28"/>
  <c r="K5" i="28"/>
  <c r="M36" i="22"/>
  <c r="L6" i="28"/>
  <c r="L4" i="28"/>
  <c r="K4" i="28"/>
  <c r="M35" i="22"/>
  <c r="M33" i="22"/>
  <c r="K6" i="28"/>
  <c r="K32" i="22"/>
  <c r="M32" i="22" s="1"/>
  <c r="N18" i="22"/>
  <c r="H5" i="28"/>
  <c r="N21" i="22"/>
  <c r="H4" i="28"/>
  <c r="N24" i="22"/>
  <c r="N8" i="22"/>
  <c r="N20" i="22"/>
  <c r="N13" i="22"/>
  <c r="N11" i="22"/>
  <c r="N9" i="22"/>
  <c r="H2" i="28"/>
  <c r="N23" i="22"/>
  <c r="N22" i="22"/>
  <c r="L3" i="28" l="1"/>
  <c r="N3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<sst xmlns="http://schemas.openxmlformats.org/spreadsheetml/2006/main" count="7860" uniqueCount="4163">
  <si>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</si>
  <si>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</si>
  <si>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</si>
  <si>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</si>
  <si>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</si>
  <si>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</si>
  <si>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</si>
  <si>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</si>
  <si>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</si>
  <si>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</si>
  <si>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</si>
  <si>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</si>
  <si>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</si>
  <si>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</si>
  <si>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</si>
  <si>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</si>
  <si>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</si>
  <si>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</si>
  <si>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</si>
  <si>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</si>
  <si>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</si>
  <si>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</si>
  <si>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</si>
  <si>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</si>
  <si>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</si>
  <si>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</si>
  <si>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</si>
  <si>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</si>
  <si>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</si>
  <si>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</si>
  <si>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</si>
  <si>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</si>
  <si>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</si>
  <si>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</si>
  <si>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</si>
  <si>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</si>
  <si>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</si>
  <si>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</si>
  <si>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</si>
  <si>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</si>
  <si>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</si>
  <si>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</si>
  <si>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</si>
  <si>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</si>
  <si>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</si>
  <si>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</si>
  <si>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</si>
  <si>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</si>
  <si>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</si>
  <si>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</si>
  <si>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</si>
  <si>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</si>
  <si>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</si>
  <si>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</si>
  <si>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</si>
  <si>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</si>
  <si>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</si>
  <si>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</si>
  <si>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</si>
  <si>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</si>
  <si>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</si>
  <si>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</si>
  <si>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</si>
  <si>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</si>
  <si>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</si>
  <si>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</si>
  <si>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</si>
  <si>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</si>
  <si>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</si>
  <si>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</si>
  <si>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</si>
  <si>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</si>
  <si>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</si>
  <si>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</si>
  <si>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</si>
  <si>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</si>
  <si>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</si>
  <si>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</si>
  <si>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</si>
  <si>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</si>
  <si>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</si>
  <si>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</si>
  <si>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</si>
  <si>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</si>
  <si>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</si>
  <si>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</si>
  <si>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</si>
  <si>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</si>
  <si>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</si>
  <si>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</si>
  <si>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</si>
  <si>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</si>
  <si>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</si>
  <si>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</si>
  <si>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</si>
  <si>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</si>
  <si>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</si>
  <si>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</si>
  <si>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</si>
  <si>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</si>
  <si>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</si>
  <si>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</si>
  <si>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</si>
  <si>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</si>
  <si>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</si>
  <si>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</si>
  <si>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</si>
  <si>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</si>
  <si>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</si>
  <si>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</si>
  <si>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</si>
  <si>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</si>
  <si>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</si>
  <si>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</si>
  <si>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</si>
  <si>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</si>
  <si>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</si>
  <si>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</si>
  <si>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</si>
  <si>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</si>
  <si>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</si>
  <si>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</si>
  <si>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</si>
  <si>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</si>
  <si>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</si>
  <si>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</si>
  <si>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</si>
  <si>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</si>
  <si>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</si>
  <si>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</si>
  <si>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</si>
  <si>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</si>
  <si>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</si>
  <si>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</si>
  <si>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</si>
  <si>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</si>
  <si>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</si>
  <si>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</si>
  <si>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</si>
  <si>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</si>
  <si>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</si>
  <si>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</si>
  <si>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</si>
  <si>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</si>
  <si>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</si>
  <si>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</si>
  <si>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</si>
  <si>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</si>
  <si>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</si>
  <si>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</si>
  <si>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</si>
  <si>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</si>
  <si>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</si>
  <si>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</si>
  <si>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</si>
  <si>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</si>
  <si>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</si>
  <si>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</si>
  <si>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</si>
  <si>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</si>
  <si>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</si>
  <si>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</si>
  <si>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</si>
  <si>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</si>
  <si>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</si>
  <si>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Fadrozole-5,4µg/L</t>
  </si>
  <si>
    <t>Fadrozole-11µg/L</t>
  </si>
  <si>
    <t>Fadrozole-22µg/L</t>
  </si>
  <si>
    <t>Fadrozole-44µg/L</t>
  </si>
  <si>
    <t>Fadrozole-87µg/L</t>
  </si>
  <si>
    <t>Fadrozole</t>
  </si>
  <si>
    <t xml:space="preserve">F:\images\20210407\plaque 1/@01 Evian + 0.2% DMSO/A1_01.tif </t>
  </si>
  <si>
    <t xml:space="preserve"> 1860.1709 </t>
  </si>
  <si>
    <t xml:space="preserve"> 63.8721 </t>
  </si>
  <si>
    <t xml:space="preserve">F:\images\20210407\plaque 1/@01 Evian + 0.2% DMSO/A1_02.tif </t>
  </si>
  <si>
    <t xml:space="preserve"> 324.4484 </t>
  </si>
  <si>
    <t xml:space="preserve"> 63.5333 </t>
  </si>
  <si>
    <t xml:space="preserve">F:\images\20210407\plaque 1/@01 Evian + 0.2% DMSO/A1_03.tif </t>
  </si>
  <si>
    <t xml:space="preserve"> 410.968 </t>
  </si>
  <si>
    <t xml:space="preserve"> 62.8947 </t>
  </si>
  <si>
    <t>F:\images\20210407\plaque 1/@01 Evian + 0.2% DMSO/B1_01- exclu.tif</t>
  </si>
  <si>
    <t xml:space="preserve">F:\images\20210407\plaque 1/@01 Evian + 0.2% DMSO/B1_02.tif </t>
  </si>
  <si>
    <t xml:space="preserve"> 8911.5166 </t>
  </si>
  <si>
    <t xml:space="preserve"> 79.0534 </t>
  </si>
  <si>
    <t>F:\images\20210407\plaque 1/@01 Evian + 0.2% DMSO/B1_03- exclu.tif</t>
  </si>
  <si>
    <t xml:space="preserve">F:\images\20210407\plaque 1/@01 Evian + 0.2% DMSO/C1_01.tif </t>
  </si>
  <si>
    <t xml:space="preserve"> 302.8185 </t>
  </si>
  <si>
    <t xml:space="preserve"> 62.2857 </t>
  </si>
  <si>
    <t xml:space="preserve">F:\images\20210407\plaque 1/@01 Evian + 0.2% DMSO/C1_02.tif </t>
  </si>
  <si>
    <t xml:space="preserve"> 367.7082 </t>
  </si>
  <si>
    <t xml:space="preserve"> 61.8235 </t>
  </si>
  <si>
    <t xml:space="preserve">F:\images\20210407\plaque 1/@01 Evian + 0.2% DMSO/C1_03.tif </t>
  </si>
  <si>
    <t xml:space="preserve"> 86.5196 </t>
  </si>
  <si>
    <t xml:space="preserve">F:\images\20210407\plaque 1/@01 Evian + 0.2% DMSO/D1_01.tif </t>
  </si>
  <si>
    <t xml:space="preserve"> 6856.6766 </t>
  </si>
  <si>
    <t xml:space="preserve"> 76.5804 </t>
  </si>
  <si>
    <t xml:space="preserve">F:\images\20210407\plaque 1/@01 Evian + 0.2% DMSO/D1_02.tif </t>
  </si>
  <si>
    <t xml:space="preserve"> 4650.4273 </t>
  </si>
  <si>
    <t xml:space="preserve"> 71.5814 </t>
  </si>
  <si>
    <t xml:space="preserve">F:\images\20210407\plaque 1/@01 Evian + 0.2% DMSO/D1_03.tif </t>
  </si>
  <si>
    <t xml:space="preserve"> 3309.3739 </t>
  </si>
  <si>
    <t xml:space="preserve"> 68.3529 </t>
  </si>
  <si>
    <t xml:space="preserve">F:\images\20210407\plaque 1/@01 Evian + 0.2% DMSO/E1_01.tif </t>
  </si>
  <si>
    <t xml:space="preserve"> 4023.1604 </t>
  </si>
  <si>
    <t xml:space="preserve"> 66.3172 </t>
  </si>
  <si>
    <t xml:space="preserve">F:\images\20210407\plaque 1/@01 Evian + 0.2% DMSO/E1_02.tif </t>
  </si>
  <si>
    <t xml:space="preserve"> 129.7794 </t>
  </si>
  <si>
    <t xml:space="preserve">F:\images\20210407\plaque 1/@01 Evian + 0.2% DMSO/E1_03.tif </t>
  </si>
  <si>
    <t xml:space="preserve"> 3136.3347 </t>
  </si>
  <si>
    <t xml:space="preserve"> 64.4897 </t>
  </si>
  <si>
    <t xml:space="preserve">F:\images\20210407\plaque 1/@01 Evian + 0.2% DMSO/F1_01.tif </t>
  </si>
  <si>
    <t xml:space="preserve"> 2573.9575 </t>
  </si>
  <si>
    <t xml:space="preserve"> 68.8571 </t>
  </si>
  <si>
    <t xml:space="preserve">F:\images\20210407\plaque 1/@01 Evian + 0.2% DMSO/F1_02.tif </t>
  </si>
  <si>
    <t xml:space="preserve"> 648.8968 </t>
  </si>
  <si>
    <t xml:space="preserve"> 63.3333 </t>
  </si>
  <si>
    <t xml:space="preserve">F:\images\20210407\plaque 1/@01 Evian + 0.2% DMSO/F1_03.tif </t>
  </si>
  <si>
    <t xml:space="preserve"> 497.4876 </t>
  </si>
  <si>
    <t xml:space="preserve"> 66.0435 </t>
  </si>
  <si>
    <t xml:space="preserve">F:\images\20210407\plaque 1/@01 Evian + 0.2% DMSO/G1_01.tif </t>
  </si>
  <si>
    <t xml:space="preserve"> 3266.1141 </t>
  </si>
  <si>
    <t xml:space="preserve"> 66.0265 </t>
  </si>
  <si>
    <t xml:space="preserve">F:\images\20210407\plaque 1/@01 Evian + 0.2% DMSO/G1_02.tif </t>
  </si>
  <si>
    <t xml:space="preserve"> 3482.413 </t>
  </si>
  <si>
    <t xml:space="preserve"> 65.0994 </t>
  </si>
  <si>
    <t xml:space="preserve">F:\images\20210407\plaque 1/@01 Evian + 0.2% DMSO/G1_03.tif </t>
  </si>
  <si>
    <t xml:space="preserve"> 62.9333 </t>
  </si>
  <si>
    <t xml:space="preserve">F:\images\20210407\plaque 1/@01 Evian + 0.2% DMSO/H1_01.tif </t>
  </si>
  <si>
    <t xml:space="preserve"> 605.637 </t>
  </si>
  <si>
    <t xml:space="preserve"> 67.6786 </t>
  </si>
  <si>
    <t xml:space="preserve">F:\images\20210407\plaque 1/@01 Evian + 0.2% DMSO/H1_02.tif </t>
  </si>
  <si>
    <t xml:space="preserve"> 1297.7937 </t>
  </si>
  <si>
    <t xml:space="preserve"> 69.6667 </t>
  </si>
  <si>
    <t xml:space="preserve">F:\images\20210407\plaque 1/@01 Evian + 0.2% DMSO/H1_03.tif </t>
  </si>
  <si>
    <t xml:space="preserve"> 670.5267 </t>
  </si>
  <si>
    <t xml:space="preserve"> 63.129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</si>
  <si>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</si>
  <si>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</si>
  <si>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</si>
  <si>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</si>
  <si>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</si>
  <si>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</si>
  <si>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</si>
  <si>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F:\images\20210407\plaque 1/@01 Evian + 0.2% DMSO/ </t>
  </si>
  <si>
    <t xml:space="preserve"> 66.4029 </t>
  </si>
  <si>
    <t xml:space="preserve"> 4.2984 </t>
  </si>
  <si>
    <t xml:space="preserve"> 143257.542 </t>
  </si>
  <si>
    <t xml:space="preserve"> 176530.629 </t>
  </si>
  <si>
    <t xml:space="preserve">file name </t>
  </si>
  <si>
    <t xml:space="preserve">F:\images\20210407\plaque 1/@02 EE2 33.8/A2_01.tif </t>
  </si>
  <si>
    <t xml:space="preserve"> 1341.0535 </t>
  </si>
  <si>
    <t xml:space="preserve"> 63.5161 </t>
  </si>
  <si>
    <t xml:space="preserve">F:\images\20210407\plaque 1/@02 EE2 33.8/A2_02.tif </t>
  </si>
  <si>
    <t xml:space="preserve"> 2963.2956 </t>
  </si>
  <si>
    <t xml:space="preserve"> 66.0803 </t>
  </si>
  <si>
    <t xml:space="preserve">F:\images\20210407\plaque 1/@02 EE2 33.8/A2_03.tif </t>
  </si>
  <si>
    <t xml:space="preserve"> 64.2903 </t>
  </si>
  <si>
    <t xml:space="preserve">F:\images\20210407\plaque 1/@02 EE2 33.8/B2_01.tif </t>
  </si>
  <si>
    <t xml:space="preserve"> 2076.4699 </t>
  </si>
  <si>
    <t xml:space="preserve"> 64.1875 </t>
  </si>
  <si>
    <t xml:space="preserve">F:\images\20210407\plaque 1/@02 EE2 33.8/B2_02.tif </t>
  </si>
  <si>
    <t xml:space="preserve"> 4152.9398 </t>
  </si>
  <si>
    <t xml:space="preserve"> 66.6979 </t>
  </si>
  <si>
    <t xml:space="preserve">F:\images\20210407\plaque 1/@02 EE2 33.8/B2_03.tif </t>
  </si>
  <si>
    <t xml:space="preserve"> 63.7833 </t>
  </si>
  <si>
    <t xml:space="preserve">F:\images\20210407\plaque 1/@02 EE2 33.8/C2_01.tif </t>
  </si>
  <si>
    <t xml:space="preserve"> 64.8333 </t>
  </si>
  <si>
    <t xml:space="preserve">F:\images\20210407\plaque 1/@02 EE2 33.8/C2_02.tif </t>
  </si>
  <si>
    <t xml:space="preserve"> 173.0392 </t>
  </si>
  <si>
    <t xml:space="preserve"> 64.125 </t>
  </si>
  <si>
    <t xml:space="preserve">F:\images\20210407\plaque 1/@02 EE2 33.8/C2_03.tif </t>
  </si>
  <si>
    <t xml:space="preserve"> 237.9288 </t>
  </si>
  <si>
    <t xml:space="preserve"> 63.1818 </t>
  </si>
  <si>
    <t xml:space="preserve">F:\images\20210407\plaque 1/@02 EE2 33.8/D2_01.tif </t>
  </si>
  <si>
    <t xml:space="preserve"> 1319.4236 </t>
  </si>
  <si>
    <t xml:space="preserve"> 64.4754 </t>
  </si>
  <si>
    <t>F:\images\20210407\plaque 1/@02 EE2 33.8/D2_02- exclu.tif</t>
  </si>
  <si>
    <t xml:space="preserve">F:\images\20210407\plaque 1/@02 EE2 33.8/D2_03.tif </t>
  </si>
  <si>
    <t xml:space="preserve"> 194.6691 </t>
  </si>
  <si>
    <t xml:space="preserve"> 63.5556 </t>
  </si>
  <si>
    <t xml:space="preserve">F:\images\20210407\plaque 1/@02 EE2 33.8/E2_01.tif </t>
  </si>
  <si>
    <t xml:space="preserve"> 7289.2745 </t>
  </si>
  <si>
    <t xml:space="preserve"> 70.9228 </t>
  </si>
  <si>
    <t xml:space="preserve">F:\images\20210407\plaque 1/@02 EE2 33.8/E2_02.tif </t>
  </si>
  <si>
    <t xml:space="preserve"> 6207.7798 </t>
  </si>
  <si>
    <t xml:space="preserve"> 68.5889 </t>
  </si>
  <si>
    <t xml:space="preserve">F:\images\20210407\plaque 1/@02 EE2 33.8/E2_03.tif </t>
  </si>
  <si>
    <t xml:space="preserve"> 6597.1179 </t>
  </si>
  <si>
    <t xml:space="preserve"> 68.4984 </t>
  </si>
  <si>
    <t xml:space="preserve">F:\images\20210407\plaque 1/@02 EE2 33.8/F2_01.tif </t>
  </si>
  <si>
    <t xml:space="preserve"> 908.4556 </t>
  </si>
  <si>
    <t xml:space="preserve"> 63.6667 </t>
  </si>
  <si>
    <t xml:space="preserve">F:\images\20210407\plaque 1/@02 EE2 33.8/F2_02.tif </t>
  </si>
  <si>
    <t xml:space="preserve"> 519.1175 </t>
  </si>
  <si>
    <t xml:space="preserve"> 64.625 </t>
  </si>
  <si>
    <t xml:space="preserve">F:\images\20210407\plaque 1/@02 EE2 33.8/F2_03.tif </t>
  </si>
  <si>
    <t xml:space="preserve"> 259.5587 </t>
  </si>
  <si>
    <t xml:space="preserve"> 63.1667 </t>
  </si>
  <si>
    <t xml:space="preserve">F:\images\20210407\plaque 1/@02 EE2 33.8/G2_01.tif </t>
  </si>
  <si>
    <t xml:space="preserve"> 64.119 </t>
  </si>
  <si>
    <t xml:space="preserve">F:\images\20210407\plaque 1/@02 EE2 33.8/G2_02.tif </t>
  </si>
  <si>
    <t xml:space="preserve"> 930.0855 </t>
  </si>
  <si>
    <t xml:space="preserve"> 63.3023 </t>
  </si>
  <si>
    <t xml:space="preserve">F:\images\20210407\plaque 1/@02 EE2 33.8/G2_03.tif </t>
  </si>
  <si>
    <t xml:space="preserve"> 1514.0926 </t>
  </si>
  <si>
    <t xml:space="preserve"> 64.2714 </t>
  </si>
  <si>
    <t xml:space="preserve">F:\images\20210407\plaque 1/@02 EE2 33.8/H2_01.tif </t>
  </si>
  <si>
    <t xml:space="preserve"> 6402.4488 </t>
  </si>
  <si>
    <t xml:space="preserve"> 75.5101 </t>
  </si>
  <si>
    <t xml:space="preserve">F:\images\20210407\plaque 1/@02 EE2 33.8/H2_02.tif </t>
  </si>
  <si>
    <t xml:space="preserve"> 5407.4737 </t>
  </si>
  <si>
    <t xml:space="preserve"> 69.66 </t>
  </si>
  <si>
    <t xml:space="preserve">F:\images\20210407\plaque 1/@02 EE2 33.8/H2_03.tif </t>
  </si>
  <si>
    <t xml:space="preserve"> 5667.0324 </t>
  </si>
  <si>
    <t xml:space="preserve"> 71.7863 </t>
  </si>
  <si>
    <t xml:space="preserve">F:\images\20210407\plaque 1/@02 EE2 33.8/ </t>
  </si>
  <si>
    <t xml:space="preserve"> 65.795 </t>
  </si>
  <si>
    <t xml:space="preserve"> 3.3345 </t>
  </si>
  <si>
    <t xml:space="preserve"> 166623.125 </t>
  </si>
  <si>
    <t xml:space="preserve"> 175862.339 </t>
  </si>
  <si>
    <t xml:space="preserve">F:\images\20210407\plaque 1/@03 EE2 50.6/A3_01.tif </t>
  </si>
  <si>
    <t xml:space="preserve"> 8695.2176 </t>
  </si>
  <si>
    <t xml:space="preserve"> 86.1294 </t>
  </si>
  <si>
    <t xml:space="preserve">F:\images\20210407\plaque 1/@03 EE2 50.6/A3_02.tif </t>
  </si>
  <si>
    <t xml:space="preserve"> 10252.5701 </t>
  </si>
  <si>
    <t xml:space="preserve"> 81.5865 </t>
  </si>
  <si>
    <t xml:space="preserve">F:\images\20210407\plaque 1/@03 EE2 50.6/A3_03.tif </t>
  </si>
  <si>
    <t xml:space="preserve"> 9993.0113 </t>
  </si>
  <si>
    <t xml:space="preserve"> 81.2597 </t>
  </si>
  <si>
    <t>F:\images\20210407\plaque 1/@03 EE2 50.6/B3_01- exclu.tif</t>
  </si>
  <si>
    <t xml:space="preserve">F:\images\20210407\plaque 1/@03 EE2 50.6/B3_02.tif </t>
  </si>
  <si>
    <t xml:space="preserve"> 62.6774 </t>
  </si>
  <si>
    <t xml:space="preserve">F:\images\20210407\plaque 1/@03 EE2 50.6/B3_03.tif </t>
  </si>
  <si>
    <t xml:space="preserve"> 1016.605 </t>
  </si>
  <si>
    <t xml:space="preserve"> 65.5957 </t>
  </si>
  <si>
    <t>F:\images\20210407\plaque 1/@03 EE2 50.6/C3_01- exclu.tif</t>
  </si>
  <si>
    <t>F:\images\20210407\plaque 1/@03 EE2 50.6/C3_02- exclu.tif</t>
  </si>
  <si>
    <t>F:\images\20210407\plaque 1/@03 EE2 50.6/C3_03- exclu.tif</t>
  </si>
  <si>
    <t xml:space="preserve">F:\images\20210407\plaque 1/@03 EE2 50.6/D3_01.tif </t>
  </si>
  <si>
    <t xml:space="preserve"> 1470.8328 </t>
  </si>
  <si>
    <t xml:space="preserve"> 63.9118 </t>
  </si>
  <si>
    <t xml:space="preserve">F:\images\20210407\plaque 1/@03 EE2 50.6/D3_02.tif </t>
  </si>
  <si>
    <t xml:space="preserve"> 951.7154 </t>
  </si>
  <si>
    <t xml:space="preserve"> 63.2727 </t>
  </si>
  <si>
    <t xml:space="preserve">F:\images\20210407\plaque 1/@03 EE2 50.6/D3_03.tif </t>
  </si>
  <si>
    <t xml:space="preserve"> 3157.9646 </t>
  </si>
  <si>
    <t xml:space="preserve"> 64.3288 </t>
  </si>
  <si>
    <t xml:space="preserve">F:\images\20210407\plaque 1/@03 EE2 50.6/E3_01.tif </t>
  </si>
  <si>
    <t xml:space="preserve"> 65.9429 </t>
  </si>
  <si>
    <t xml:space="preserve">F:\images\20210407\plaque 1/@03 EE2 50.6/E3_02.tif </t>
  </si>
  <si>
    <t xml:space="preserve"> 800.3061 </t>
  </si>
  <si>
    <t xml:space="preserve"> 63.027 </t>
  </si>
  <si>
    <t xml:space="preserve">F:\images\20210407\plaque 1/@03 EE2 50.6/E3_03.tif </t>
  </si>
  <si>
    <t xml:space="preserve"> 216.2989 </t>
  </si>
  <si>
    <t xml:space="preserve">F:\images\20210407\plaque 1/@03 EE2 50.6/F3_01.tif </t>
  </si>
  <si>
    <t xml:space="preserve"> 4715.317 </t>
  </si>
  <si>
    <t xml:space="preserve"> 69.8991 </t>
  </si>
  <si>
    <t xml:space="preserve">F:\images\20210407\plaque 1/@03 EE2 50.6/F3_02.tif </t>
  </si>
  <si>
    <t xml:space="preserve"> 5775.1819 </t>
  </si>
  <si>
    <t xml:space="preserve"> 68.3109 </t>
  </si>
  <si>
    <t xml:space="preserve">F:\images\20210407\plaque 1/@03 EE2 50.6/F3_03.tif </t>
  </si>
  <si>
    <t xml:space="preserve"> 1211.2741 </t>
  </si>
  <si>
    <t xml:space="preserve"> 63.4643 </t>
  </si>
  <si>
    <t xml:space="preserve">F:\images\20210407\plaque 1/@03 EE2 50.6/G3_01.tif </t>
  </si>
  <si>
    <t xml:space="preserve"> 63.8182 </t>
  </si>
  <si>
    <t xml:space="preserve">F:\images\20210407\plaque 1/@03 EE2 50.6/G3_02.tif </t>
  </si>
  <si>
    <t xml:space="preserve"> 64.3 </t>
  </si>
  <si>
    <t xml:space="preserve">F:\images\20210407\plaque 1/@03 EE2 50.6/G3_03.tif </t>
  </si>
  <si>
    <t xml:space="preserve"> 63.0714 </t>
  </si>
  <si>
    <t xml:space="preserve">F:\images\20210407\plaque 1/@03 EE2 50.6/H3_01.tif </t>
  </si>
  <si>
    <t xml:space="preserve"> 454.2278 </t>
  </si>
  <si>
    <t xml:space="preserve"> 63.5714 </t>
  </si>
  <si>
    <t xml:space="preserve">F:\images\20210407\plaque 1/@03 EE2 50.6/H3_02.tif </t>
  </si>
  <si>
    <t xml:space="preserve"> 1254.5339 </t>
  </si>
  <si>
    <t xml:space="preserve"> 63.2069 </t>
  </si>
  <si>
    <t>F:\images\20210407\plaque 1/@03 EE2 50.6/H3_03- exclu.tif</t>
  </si>
  <si>
    <t xml:space="preserve">F:\images\20210407\plaque 1/@03 EE2 50.6/ </t>
  </si>
  <si>
    <t xml:space="preserve"> 66.7653 </t>
  </si>
  <si>
    <t xml:space="preserve"> 6.6082 </t>
  </si>
  <si>
    <t xml:space="preserve"> 168961.958 </t>
  </si>
  <si>
    <t xml:space="preserve"> 262778.315 </t>
  </si>
  <si>
    <t xml:space="preserve">F:\images\20210407\plaque 1/@04 EE2 76/A4_01.tif </t>
  </si>
  <si>
    <t xml:space="preserve"> 67.395 </t>
  </si>
  <si>
    <t xml:space="preserve">F:\images\20210407\plaque 1/@04 EE2 76/A4_02.tif </t>
  </si>
  <si>
    <t xml:space="preserve"> 5796.8118 </t>
  </si>
  <si>
    <t xml:space="preserve"> 68.0784 </t>
  </si>
  <si>
    <t xml:space="preserve">F:\images\20210407\plaque 1/@04 EE2 76/A4_03.tif </t>
  </si>
  <si>
    <t xml:space="preserve"> 2011.5802 </t>
  </si>
  <si>
    <t xml:space="preserve"> 65.7742 </t>
  </si>
  <si>
    <t xml:space="preserve">F:\images\20210407\plaque 1/@04 EE2 76/B4_01.tif </t>
  </si>
  <si>
    <t xml:space="preserve"> 2033.2101 </t>
  </si>
  <si>
    <t xml:space="preserve"> 63.8404 </t>
  </si>
  <si>
    <t xml:space="preserve">F:\images\20210407\plaque 1/@04 EE2 76/B4_02.tif </t>
  </si>
  <si>
    <t xml:space="preserve"> 540.7474 </t>
  </si>
  <si>
    <t xml:space="preserve"> 62.72 </t>
  </si>
  <si>
    <t xml:space="preserve">F:\images\20210407\plaque 1/@04 EE2 76/B4_03.tif </t>
  </si>
  <si>
    <t xml:space="preserve"> 4369.2387 </t>
  </si>
  <si>
    <t xml:space="preserve"> 68.3861 </t>
  </si>
  <si>
    <t xml:space="preserve">F:\images\20210407\plaque 1/@04 EE2 76/C4_01.tif </t>
  </si>
  <si>
    <t xml:space="preserve"> 5710.2922 </t>
  </si>
  <si>
    <t xml:space="preserve"> 76.9356 </t>
  </si>
  <si>
    <t xml:space="preserve">F:\images\20210407\plaque 1/@04 EE2 76/C4_02.tif </t>
  </si>
  <si>
    <t xml:space="preserve"> 65.918 </t>
  </si>
  <si>
    <t xml:space="preserve">F:\images\20210407\plaque 1/@04 EE2 76/C4_03.tif </t>
  </si>
  <si>
    <t xml:space="preserve"> 2184.6194 </t>
  </si>
  <si>
    <t xml:space="preserve"> 66.6337 </t>
  </si>
  <si>
    <t xml:space="preserve">F:\images\20210407\plaque 1/@04 EE2 76/D4_01.tif </t>
  </si>
  <si>
    <t xml:space="preserve"> 5104.6551 </t>
  </si>
  <si>
    <t xml:space="preserve"> 64.2161 </t>
  </si>
  <si>
    <t xml:space="preserve">F:\images\20210407\plaque 1/@04 EE2 76/D4_02.tif </t>
  </si>
  <si>
    <t xml:space="preserve"> 8132.8404 </t>
  </si>
  <si>
    <t xml:space="preserve">F:\images\20210407\plaque 1/@04 EE2 76/D4_03.tif </t>
  </si>
  <si>
    <t xml:space="preserve"> 6510.5983 </t>
  </si>
  <si>
    <t xml:space="preserve"> 63.1462 </t>
  </si>
  <si>
    <t xml:space="preserve">F:\images\20210407\plaque 1/@04 EE2 76/E4_01.tif </t>
  </si>
  <si>
    <t xml:space="preserve"> 50765.3627 </t>
  </si>
  <si>
    <t xml:space="preserve"> 73.1172 </t>
  </si>
  <si>
    <t xml:space="preserve">F:\images\20210407\plaque 1/@04 EE2 76/E4_02.tif </t>
  </si>
  <si>
    <t xml:space="preserve"> 47304.5796 </t>
  </si>
  <si>
    <t xml:space="preserve"> 72.1902 </t>
  </si>
  <si>
    <t xml:space="preserve">F:\images\20210407\plaque 1/@04 EE2 76/E4_03.tif </t>
  </si>
  <si>
    <t xml:space="preserve"> 46071.6756 </t>
  </si>
  <si>
    <t xml:space="preserve"> 73.4446 </t>
  </si>
  <si>
    <t xml:space="preserve">F:\images\20210407\plaque 1/@04 EE2 76/F4_01.tif </t>
  </si>
  <si>
    <t xml:space="preserve"> 1708.7617 </t>
  </si>
  <si>
    <t xml:space="preserve"> 63.8987 </t>
  </si>
  <si>
    <t xml:space="preserve">F:\images\20210407\plaque 1/@04 EE2 76/F4_02.tif </t>
  </si>
  <si>
    <t xml:space="preserve"> 1600.6122 </t>
  </si>
  <si>
    <t xml:space="preserve"> 64.3919 </t>
  </si>
  <si>
    <t xml:space="preserve">F:\images\20210407\plaque 1/@04 EE2 76/F4_03.tif </t>
  </si>
  <si>
    <t xml:space="preserve"> 1989.9503 </t>
  </si>
  <si>
    <t xml:space="preserve"> 64.0435 </t>
  </si>
  <si>
    <t>F:\images\20210407\plaque 1/@04 EE2 76/G4_01- exclu.tif</t>
  </si>
  <si>
    <t>F:\images\20210407\plaque 1/@04 EE2 76/G4_02- exclu.tif</t>
  </si>
  <si>
    <t xml:space="preserve">F:\images\20210407\plaque 1/@04 EE2 76/G4_03.tif </t>
  </si>
  <si>
    <t xml:space="preserve"> 10317.4597 </t>
  </si>
  <si>
    <t xml:space="preserve"> 66.9161 </t>
  </si>
  <si>
    <t>F:\images\20210407\plaque 1/@04 EE2 76/H4_01- exclu.tif</t>
  </si>
  <si>
    <t>F:\images\20210407\plaque 1/@04 EE2 76/H4_02- exclu.tif</t>
  </si>
  <si>
    <t>F:\images\20210407\plaque 1/@04 EE2 76/H4_03- exclu.tif</t>
  </si>
  <si>
    <t xml:space="preserve">F:\images\20210407\plaque 1/@04 EE2 76/ </t>
  </si>
  <si>
    <t xml:space="preserve"> 66.4503 </t>
  </si>
  <si>
    <t xml:space="preserve"> 3.8581 </t>
  </si>
  <si>
    <t xml:space="preserve"> 616298.792 </t>
  </si>
  <si>
    <t xml:space="preserve"> 1130278.02 </t>
  </si>
  <si>
    <t xml:space="preserve">F:\images\20210407\plaque 1/@05 EE2 114/A5_01.tif </t>
  </si>
  <si>
    <t xml:space="preserve"> 22495.0904 </t>
  </si>
  <si>
    <t xml:space="preserve"> 69.3452 </t>
  </si>
  <si>
    <t xml:space="preserve">F:\images\20210407\plaque 1/@05 EE2 114/A5_02.tif </t>
  </si>
  <si>
    <t xml:space="preserve"> 20786.3287 </t>
  </si>
  <si>
    <t xml:space="preserve"> 66.7014 </t>
  </si>
  <si>
    <t xml:space="preserve">F:\images\20210407\plaque 1/@05 EE2 114/A5_03.tif </t>
  </si>
  <si>
    <t xml:space="preserve"> 21370.3359 </t>
  </si>
  <si>
    <t xml:space="preserve"> 67.1953 </t>
  </si>
  <si>
    <t xml:space="preserve">F:\images\20210407\plaque 1/@05 EE2 114/B5_01.tif </t>
  </si>
  <si>
    <t xml:space="preserve"> 15076.0366 </t>
  </si>
  <si>
    <t xml:space="preserve"> 66.7288 </t>
  </si>
  <si>
    <t xml:space="preserve">F:\images\20210407\plaque 1/@05 EE2 114/B5_02.tif </t>
  </si>
  <si>
    <t xml:space="preserve"> 13799.8728 </t>
  </si>
  <si>
    <t xml:space="preserve"> 67.9922 </t>
  </si>
  <si>
    <t xml:space="preserve">F:\images\20210407\plaque 1/@05 EE2 114/B5_03.tif </t>
  </si>
  <si>
    <t xml:space="preserve"> 14902.9974 </t>
  </si>
  <si>
    <t xml:space="preserve"> 66.3077 </t>
  </si>
  <si>
    <t xml:space="preserve">F:\images\20210407\plaque 1/@05 EE2 114/C5_01.tif </t>
  </si>
  <si>
    <t xml:space="preserve"> 11225.9153 </t>
  </si>
  <si>
    <t xml:space="preserve"> 67.711 </t>
  </si>
  <si>
    <t xml:space="preserve">F:\images\20210407\plaque 1/@05 EE2 114/C5_02.tif </t>
  </si>
  <si>
    <t xml:space="preserve"> 66.4768 </t>
  </si>
  <si>
    <t>F:\images\20210407\plaque 1/@05 EE2 114/C5_03- exclu.tif</t>
  </si>
  <si>
    <t xml:space="preserve">F:\images\20210407\plaque 1/@05 EE2 114/D5_01.tif </t>
  </si>
  <si>
    <t xml:space="preserve"> 23079.0976 </t>
  </si>
  <si>
    <t xml:space="preserve"> 71.7826 </t>
  </si>
  <si>
    <t xml:space="preserve">F:\images\20210407\plaque 1/@05 EE2 114/D5_02.tif </t>
  </si>
  <si>
    <t xml:space="preserve"> 20050.9123 </t>
  </si>
  <si>
    <t xml:space="preserve"> 70.6419 </t>
  </si>
  <si>
    <t xml:space="preserve">F:\images\20210407\plaque 1/@05 EE2 114/D5_03.tif </t>
  </si>
  <si>
    <t xml:space="preserve"> 21629.8946 </t>
  </si>
  <si>
    <t xml:space="preserve"> 70.608 </t>
  </si>
  <si>
    <t xml:space="preserve">F:\images\20210407\plaque 1/@05 EE2 114/E5_01.tif </t>
  </si>
  <si>
    <t xml:space="preserve"> 32617.8811 </t>
  </si>
  <si>
    <t xml:space="preserve"> 69.1247 </t>
  </si>
  <si>
    <t xml:space="preserve">F:\images\20210407\plaque 1/@05 EE2 114/E5_02.tif </t>
  </si>
  <si>
    <t xml:space="preserve"> 31817.575 </t>
  </si>
  <si>
    <t xml:space="preserve"> 69.2434 </t>
  </si>
  <si>
    <t xml:space="preserve">F:\images\20210407\plaque 1/@05 EE2 114/E5_03.tif </t>
  </si>
  <si>
    <t xml:space="preserve"> 20526.77 </t>
  </si>
  <si>
    <t xml:space="preserve"> 67.0411 </t>
  </si>
  <si>
    <t xml:space="preserve">F:\images\20210407\plaque 1/@05 EE2 114/F5_01.tif </t>
  </si>
  <si>
    <t xml:space="preserve"> 14427.1397 </t>
  </si>
  <si>
    <t xml:space="preserve"> 66.063 </t>
  </si>
  <si>
    <t xml:space="preserve">F:\images\20210407\plaque 1/@05 EE2 114/F5_02.tif </t>
  </si>
  <si>
    <t xml:space="preserve"> 16481.9797 </t>
  </si>
  <si>
    <t xml:space="preserve"> 66.1496 </t>
  </si>
  <si>
    <t xml:space="preserve">F:\images\20210407\plaque 1/@05 EE2 114/F5_03.tif </t>
  </si>
  <si>
    <t xml:space="preserve"> 14556.9191 </t>
  </si>
  <si>
    <t xml:space="preserve"> 65.7088 </t>
  </si>
  <si>
    <t xml:space="preserve">F:\images\20210407\plaque 1/@05 EE2 114/G5_01.tif </t>
  </si>
  <si>
    <t xml:space="preserve"> 10209.3103 </t>
  </si>
  <si>
    <t xml:space="preserve"> 68.3708 </t>
  </si>
  <si>
    <t xml:space="preserve">F:\images\20210407\plaque 1/@05 EE2 114/G5_02.tif </t>
  </si>
  <si>
    <t xml:space="preserve"> 4088.0501 </t>
  </si>
  <si>
    <t xml:space="preserve"> 64.328 </t>
  </si>
  <si>
    <t xml:space="preserve">F:\images\20210407\plaque 1/@05 EE2 114/G5_03.tif </t>
  </si>
  <si>
    <t xml:space="preserve"> 1103.1246 </t>
  </si>
  <si>
    <t xml:space="preserve"> 62.6275 </t>
  </si>
  <si>
    <t xml:space="preserve">F:\images\20210407\plaque 1/@05 EE2 114/H5_01.tif </t>
  </si>
  <si>
    <t xml:space="preserve"> 12999.5667 </t>
  </si>
  <si>
    <t xml:space="preserve"> 67.0865 </t>
  </si>
  <si>
    <t xml:space="preserve">F:\images\20210407\plaque 1/@05 EE2 114/H5_02.tif </t>
  </si>
  <si>
    <t xml:space="preserve"> 14535.2892 </t>
  </si>
  <si>
    <t xml:space="preserve"> 69.5833 </t>
  </si>
  <si>
    <t xml:space="preserve">F:\images\20210407\plaque 1/@05 EE2 114/H5_03.tif </t>
  </si>
  <si>
    <t xml:space="preserve"> 13345.645 </t>
  </si>
  <si>
    <t xml:space="preserve"> 65.799 </t>
  </si>
  <si>
    <t xml:space="preserve">F:\images\20210407\plaque 1/@05 EE2 114/ </t>
  </si>
  <si>
    <t xml:space="preserve"> 67.4484 </t>
  </si>
  <si>
    <t xml:space="preserve"> 2.1067 </t>
  </si>
  <si>
    <t xml:space="preserve"> 1090413.38 </t>
  </si>
  <si>
    <t xml:space="preserve"> 546551.823 </t>
  </si>
  <si>
    <t xml:space="preserve">F:\images\20210407\plaque 1/@06 EE2 170.9/A6_01.tif </t>
  </si>
  <si>
    <t xml:space="preserve"> 34218.4933 </t>
  </si>
  <si>
    <t xml:space="preserve"> 73.3894 </t>
  </si>
  <si>
    <t xml:space="preserve">F:\images\20210407\plaque 1/@06 EE2 170.9/A6_02.tif </t>
  </si>
  <si>
    <t xml:space="preserve"> 32639.511 </t>
  </si>
  <si>
    <t xml:space="preserve"> 72.9165 </t>
  </si>
  <si>
    <t xml:space="preserve">F:\images\20210407\plaque 1/@06 EE2 170.9/A6_03.tif </t>
  </si>
  <si>
    <t xml:space="preserve"> 30714.4504 </t>
  </si>
  <si>
    <t xml:space="preserve"> 73.1451 </t>
  </si>
  <si>
    <t xml:space="preserve">F:\images\20210407\plaque 1/@06 EE2 170.9/B6_01.tif </t>
  </si>
  <si>
    <t xml:space="preserve"> 36965.4899 </t>
  </si>
  <si>
    <t xml:space="preserve"> 87.9093 </t>
  </si>
  <si>
    <t xml:space="preserve">F:\images\20210407\plaque 1/@06 EE2 170.9/B6_02.tif </t>
  </si>
  <si>
    <t xml:space="preserve"> 39799.0061 </t>
  </si>
  <si>
    <t xml:space="preserve"> 90.7772 </t>
  </si>
  <si>
    <t>F:\images\20210407\plaque 1/@06 EE2 170.9/B6_03- exclu.tif</t>
  </si>
  <si>
    <t xml:space="preserve">F:\images\20210407\plaque 1/@06 EE2 170.9/C6_01.tif </t>
  </si>
  <si>
    <t xml:space="preserve"> 16222.421 </t>
  </si>
  <si>
    <t xml:space="preserve"> 67.1587 </t>
  </si>
  <si>
    <t xml:space="preserve">F:\images\20210407\plaque 1/@06 EE2 170.9/C6_02.tif </t>
  </si>
  <si>
    <t xml:space="preserve"> 16828.058 </t>
  </si>
  <si>
    <t xml:space="preserve"> 67.8059 </t>
  </si>
  <si>
    <t xml:space="preserve">F:\images\20210407\plaque 1/@06 EE2 170.9/C6_03.tif </t>
  </si>
  <si>
    <t xml:space="preserve"> 19726.4639 </t>
  </si>
  <si>
    <t xml:space="preserve"> 70.1129 </t>
  </si>
  <si>
    <t xml:space="preserve">F:\images\20210407\plaque 1/@06 EE2 170.9/D6_01.tif </t>
  </si>
  <si>
    <t xml:space="preserve"> 51370.9997 </t>
  </si>
  <si>
    <t xml:space="preserve"> 77.1053 </t>
  </si>
  <si>
    <t xml:space="preserve">F:\images\20210407\plaque 1/@06 EE2 170.9/D6_02.tif </t>
  </si>
  <si>
    <t xml:space="preserve"> 42978.6006 </t>
  </si>
  <si>
    <t xml:space="preserve"> 80.7131 </t>
  </si>
  <si>
    <t xml:space="preserve">F:\images\20210407\plaque 1/@06 EE2 170.9/D6_03.tif </t>
  </si>
  <si>
    <t xml:space="preserve"> 40967.0204 </t>
  </si>
  <si>
    <t xml:space="preserve"> 82.3194 </t>
  </si>
  <si>
    <t xml:space="preserve">F:\images\20210407\plaque 1/@06 EE2 170.9/E6_01.tif </t>
  </si>
  <si>
    <t xml:space="preserve"> 38522.8423 </t>
  </si>
  <si>
    <t xml:space="preserve"> 70.68 </t>
  </si>
  <si>
    <t xml:space="preserve">F:\images\20210407\plaque 1/@06 EE2 170.9/E6_02.tif </t>
  </si>
  <si>
    <t xml:space="preserve"> 30584.671 </t>
  </si>
  <si>
    <t xml:space="preserve"> 68.0941 </t>
  </si>
  <si>
    <t xml:space="preserve">F:\images\20210407\plaque 1/@06 EE2 170.9/E6_03.tif </t>
  </si>
  <si>
    <t xml:space="preserve"> 38068.6145 </t>
  </si>
  <si>
    <t xml:space="preserve"> 71.508 </t>
  </si>
  <si>
    <t xml:space="preserve">F:\images\20210407\plaque 1/@06 EE2 170.9/F6_01.tif </t>
  </si>
  <si>
    <t xml:space="preserve"> 18450.3001 </t>
  </si>
  <si>
    <t xml:space="preserve"> 70.197 </t>
  </si>
  <si>
    <t xml:space="preserve">F:\images\20210407\plaque 1/@06 EE2 170.9/F6_02.tif </t>
  </si>
  <si>
    <t xml:space="preserve"> 15876.3427 </t>
  </si>
  <si>
    <t xml:space="preserve"> 70.5763 </t>
  </si>
  <si>
    <t xml:space="preserve">F:\images\20210407\plaque 1/@06 EE2 170.9/F6_03.tif </t>
  </si>
  <si>
    <t xml:space="preserve"> 15573.5241 </t>
  </si>
  <si>
    <t xml:space="preserve"> 72.4542 </t>
  </si>
  <si>
    <t xml:space="preserve">F:\images\20210407\plaque 1/@06 EE2 170.9/G6_01.tif </t>
  </si>
  <si>
    <t xml:space="preserve"> 12913.0471 </t>
  </si>
  <si>
    <t xml:space="preserve"> 72.4824 </t>
  </si>
  <si>
    <t xml:space="preserve">F:\images\20210407\plaque 1/@06 EE2 170.9/G6_02.tif </t>
  </si>
  <si>
    <t xml:space="preserve"> 13670.0934 </t>
  </si>
  <si>
    <t xml:space="preserve"> 71.7627 </t>
  </si>
  <si>
    <t xml:space="preserve">F:\images\20210407\plaque 1/@06 EE2 170.9/G6_03.tif </t>
  </si>
  <si>
    <t xml:space="preserve"> 11204.2854 </t>
  </si>
  <si>
    <t xml:space="preserve"> 71.2432 </t>
  </si>
  <si>
    <t xml:space="preserve">F:\images\20210407\plaque 1/@06 EE2 170.9/H6_01.tif </t>
  </si>
  <si>
    <t xml:space="preserve"> 3222.8543 </t>
  </si>
  <si>
    <t xml:space="preserve"> 65.8456 </t>
  </si>
  <si>
    <t xml:space="preserve">F:\images\20210407\plaque 1/@06 EE2 170.9/H6_02.tif </t>
  </si>
  <si>
    <t xml:space="preserve"> 1687.1318 </t>
  </si>
  <si>
    <t xml:space="preserve"> 65.3846 </t>
  </si>
  <si>
    <t xml:space="preserve">F:\images\20210407\plaque 1/@06 EE2 170.9/H6_03.tif </t>
  </si>
  <si>
    <t xml:space="preserve"> 65.9604 </t>
  </si>
  <si>
    <t xml:space="preserve">F:\images\20210407\plaque 1/@06 EE2 170.9/ </t>
  </si>
  <si>
    <t xml:space="preserve"> 73.7512 </t>
  </si>
  <si>
    <t xml:space="preserve"> 7.4387 </t>
  </si>
  <si>
    <t xml:space="preserve"> 1889708.33 </t>
  </si>
  <si>
    <t xml:space="preserve"> 1171131.79 </t>
  </si>
  <si>
    <t xml:space="preserve">F:\images\20210407\plaque 1/@07 EE2 488/A7_01.tif </t>
  </si>
  <si>
    <t xml:space="preserve"> 27102.258 </t>
  </si>
  <si>
    <t xml:space="preserve"> 74.5626 </t>
  </si>
  <si>
    <t xml:space="preserve">F:\images\20210407\plaque 1/@07 EE2 488/A7_02.tif </t>
  </si>
  <si>
    <t xml:space="preserve"> 17152.5064 </t>
  </si>
  <si>
    <t xml:space="preserve"> 68.8852 </t>
  </si>
  <si>
    <t xml:space="preserve">F:\images\20210407\plaque 1/@07 EE2 488/A7_03.tif </t>
  </si>
  <si>
    <t xml:space="preserve"> 20159.0618 </t>
  </si>
  <si>
    <t xml:space="preserve"> 81.5472 </t>
  </si>
  <si>
    <t xml:space="preserve">F:\images\20210407\plaque 1/@07 EE2 488/B7_01.tif </t>
  </si>
  <si>
    <t xml:space="preserve"> 37008.7497 </t>
  </si>
  <si>
    <t xml:space="preserve"> 77.6201 </t>
  </si>
  <si>
    <t xml:space="preserve">F:\images\20210407\plaque 1/@07 EE2 488/B7_02.tif </t>
  </si>
  <si>
    <t xml:space="preserve"> 30692.8205 </t>
  </si>
  <si>
    <t xml:space="preserve"> 88.2297 </t>
  </si>
  <si>
    <t xml:space="preserve">F:\images\20210407\plaque 1/@07 EE2 488/B7_03.tif </t>
  </si>
  <si>
    <t xml:space="preserve"> 29221.9876 </t>
  </si>
  <si>
    <t xml:space="preserve"> 81.7506 </t>
  </si>
  <si>
    <t xml:space="preserve">F:\images\20210407\plaque 1/@07 EE2 488/C7_01.tif </t>
  </si>
  <si>
    <t xml:space="preserve"> 36705.9312 </t>
  </si>
  <si>
    <t xml:space="preserve"> 93.1349 </t>
  </si>
  <si>
    <t xml:space="preserve">F:\images\20210407\plaque 1/@07 EE2 488/C7_02.tif </t>
  </si>
  <si>
    <t xml:space="preserve"> 36727.5611 </t>
  </si>
  <si>
    <t xml:space="preserve"> 90.0995 </t>
  </si>
  <si>
    <t xml:space="preserve">F:\images\20210407\plaque 1/@07 EE2 488/C7_03.tif </t>
  </si>
  <si>
    <t xml:space="preserve"> 33547.9666 </t>
  </si>
  <si>
    <t xml:space="preserve"> 93.5751 </t>
  </si>
  <si>
    <t xml:space="preserve">F:\images\20210407\plaque 1/@07 EE2 488/D7_01.tif </t>
  </si>
  <si>
    <t xml:space="preserve"> 54355.9252 </t>
  </si>
  <si>
    <t xml:space="preserve"> 89.1257 </t>
  </si>
  <si>
    <t xml:space="preserve">F:\images\20210407\plaque 1/@07 EE2 488/D7_02.tif </t>
  </si>
  <si>
    <t xml:space="preserve"> 66879.6342 </t>
  </si>
  <si>
    <t xml:space="preserve"> 94.5068 </t>
  </si>
  <si>
    <t xml:space="preserve">F:\images\20210407\plaque 1/@07 EE2 488/D7_03.tif </t>
  </si>
  <si>
    <t xml:space="preserve"> 58530.4949 </t>
  </si>
  <si>
    <t xml:space="preserve"> 94.8999 </t>
  </si>
  <si>
    <t xml:space="preserve">F:\images\20210407\plaque 1/@07 EE2 488/E7_01.tif </t>
  </si>
  <si>
    <t xml:space="preserve"> 30000.6639 </t>
  </si>
  <si>
    <t xml:space="preserve"> 86.9142 </t>
  </si>
  <si>
    <t xml:space="preserve">F:\images\20210407\plaque 1/@07 EE2 488/E7_02.tif </t>
  </si>
  <si>
    <t xml:space="preserve"> 28702.8702 </t>
  </si>
  <si>
    <t xml:space="preserve"> 86.0731 </t>
  </si>
  <si>
    <t>F:\images\20210407\plaque 1/@07 EE2 488/E7_03- exclu.tif</t>
  </si>
  <si>
    <t xml:space="preserve">F:\images\20210407\plaque 1/@07 EE2 488/F7_01.tif </t>
  </si>
  <si>
    <t xml:space="preserve"> 54269.4056 </t>
  </si>
  <si>
    <t xml:space="preserve"> 95.7804 </t>
  </si>
  <si>
    <t xml:space="preserve">F:\images\20210407\plaque 1/@07 EE2 488/F7_02.tif </t>
  </si>
  <si>
    <t xml:space="preserve"> 48732.1526 </t>
  </si>
  <si>
    <t xml:space="preserve"> 98.1593 </t>
  </si>
  <si>
    <t xml:space="preserve">F:\images\20210407\plaque 1/@07 EE2 488/F7_03.tif </t>
  </si>
  <si>
    <t xml:space="preserve"> 49164.7505 </t>
  </si>
  <si>
    <t xml:space="preserve"> 99.1553 </t>
  </si>
  <si>
    <t xml:space="preserve">F:\images\20210407\plaque 1/@07 EE2 488/G7_01.tif </t>
  </si>
  <si>
    <t xml:space="preserve"> 98.474 </t>
  </si>
  <si>
    <t xml:space="preserve">F:\images\20210407\plaque 1/@07 EE2 488/G7_02.tif </t>
  </si>
  <si>
    <t xml:space="preserve"> 40880.5008 </t>
  </si>
  <si>
    <t xml:space="preserve"> 96.1688 </t>
  </si>
  <si>
    <t xml:space="preserve">F:\images\20210407\plaque 1/@07 EE2 488/G7_03.tif </t>
  </si>
  <si>
    <t xml:space="preserve"> 42416.2234 </t>
  </si>
  <si>
    <t xml:space="preserve"> 90.6344 </t>
  </si>
  <si>
    <t xml:space="preserve">F:\images\20210407\plaque 1/@07 EE2 488/H7_01.tif </t>
  </si>
  <si>
    <t xml:space="preserve"> 38652.6217 </t>
  </si>
  <si>
    <t xml:space="preserve"> 89.3106 </t>
  </si>
  <si>
    <t xml:space="preserve">F:\images\20210407\plaque 1/@07 EE2 488/H7_02.tif </t>
  </si>
  <si>
    <t xml:space="preserve"> 44773.8819 </t>
  </si>
  <si>
    <t xml:space="preserve"> 88.0647 </t>
  </si>
  <si>
    <t xml:space="preserve">F:\images\20210407\plaque 1/@07 EE2 488/H7_03.tif </t>
  </si>
  <si>
    <t xml:space="preserve"> 47153.1703 </t>
  </si>
  <si>
    <t xml:space="preserve"> 86.0743 </t>
  </si>
  <si>
    <t xml:space="preserve">F:\images\20210407\plaque 1/@07 EE2 488/ </t>
  </si>
  <si>
    <t xml:space="preserve"> 88.5486 </t>
  </si>
  <si>
    <t xml:space="preserve"> 7.7832 </t>
  </si>
  <si>
    <t xml:space="preserve"> 3448405.5 </t>
  </si>
  <si>
    <t xml:space="preserve"> 1401369.58 </t>
  </si>
  <si>
    <t xml:space="preserve">F:\images\20210407\plaque 1/@08 Fadrozole 5.4 µg_L/A8_01.tif </t>
  </si>
  <si>
    <t xml:space="preserve"> 5537.253 </t>
  </si>
  <si>
    <t xml:space="preserve"> 67.3281 </t>
  </si>
  <si>
    <t xml:space="preserve">F:\images\20210407\plaque 1/@08 Fadrozole 5.4 µg_L/A8_02.tif </t>
  </si>
  <si>
    <t xml:space="preserve"> 5602.1427 </t>
  </si>
  <si>
    <t xml:space="preserve"> 73.3475 </t>
  </si>
  <si>
    <t xml:space="preserve">F:\images\20210407\plaque 1/@08 Fadrozole 5.4 µg_L/A8_03.tif </t>
  </si>
  <si>
    <t xml:space="preserve"> 7592.093 </t>
  </si>
  <si>
    <t xml:space="preserve"> 71.0741 </t>
  </si>
  <si>
    <t xml:space="preserve">F:\images\20210407\plaque 1/@08 Fadrozole 5.4 µg_L/B8_01.tif </t>
  </si>
  <si>
    <t xml:space="preserve"> 9430.6341 </t>
  </si>
  <si>
    <t xml:space="preserve"> 85.2087 </t>
  </si>
  <si>
    <t xml:space="preserve">F:\images\20210407\plaque 1/@08 Fadrozole 5.4 µg_L/B8_02.tif </t>
  </si>
  <si>
    <t xml:space="preserve"> 12977.9368 </t>
  </si>
  <si>
    <t xml:space="preserve"> 93.5833 </t>
  </si>
  <si>
    <t xml:space="preserve">F:\images\20210407\plaque 1/@08 Fadrozole 5.4 µg_L/B8_03.tif </t>
  </si>
  <si>
    <t xml:space="preserve"> 8716.8475 </t>
  </si>
  <si>
    <t xml:space="preserve"> 75.5955 </t>
  </si>
  <si>
    <t xml:space="preserve">F:\images\20210407\plaque 1/@08 Fadrozole 5.4 µg_L/C8_01.tif </t>
  </si>
  <si>
    <t xml:space="preserve"> 68.4656 </t>
  </si>
  <si>
    <t xml:space="preserve">F:\images\20210407\plaque 1/@08 Fadrozole 5.4 µg_L/C8_02.tif </t>
  </si>
  <si>
    <t xml:space="preserve"> 1449.2029 </t>
  </si>
  <si>
    <t xml:space="preserve"> 65.0149 </t>
  </si>
  <si>
    <t xml:space="preserve">F:\images\20210407\plaque 1/@08 Fadrozole 5.4 µg_L/C8_03.tif </t>
  </si>
  <si>
    <t xml:space="preserve"> 68.8899 </t>
  </si>
  <si>
    <t xml:space="preserve">F:\images\20210407\plaque 1/@08 Fadrozole 5.4 µg_L/D8_01.tif </t>
  </si>
  <si>
    <t xml:space="preserve"> 6467.3385 </t>
  </si>
  <si>
    <t xml:space="preserve"> 70.7291 </t>
  </si>
  <si>
    <t xml:space="preserve">F:\images\20210407\plaque 1/@08 Fadrozole 5.4 µg_L/D8_02.tif </t>
  </si>
  <si>
    <t xml:space="preserve"> 7072.9755 </t>
  </si>
  <si>
    <t xml:space="preserve"> 68.9419 </t>
  </si>
  <si>
    <t xml:space="preserve">F:\images\20210407\plaque 1/@08 Fadrozole 5.4 µg_L/D8_03.tif </t>
  </si>
  <si>
    <t xml:space="preserve"> 67.7601 </t>
  </si>
  <si>
    <t xml:space="preserve">F:\images\20210407\plaque 1/@08 Fadrozole 5.4 µg_L/E8_01.tif </t>
  </si>
  <si>
    <t xml:space="preserve"> 2206.2493 </t>
  </si>
  <si>
    <t xml:space="preserve"> 64.8725 </t>
  </si>
  <si>
    <t xml:space="preserve">F:\images\20210407\plaque 1/@08 Fadrozole 5.4 µg_L/E8_02.tif </t>
  </si>
  <si>
    <t xml:space="preserve"> 713.7865 </t>
  </si>
  <si>
    <t xml:space="preserve"> 63.4242 </t>
  </si>
  <si>
    <t xml:space="preserve">F:\images\20210407\plaque 1/@08 Fadrozole 5.4 µg_L/E8_03.tif </t>
  </si>
  <si>
    <t xml:space="preserve"> 62.5 </t>
  </si>
  <si>
    <t xml:space="preserve">F:\images\20210407\plaque 1/@08 Fadrozole 5.4 µg_L/F8_01.tif </t>
  </si>
  <si>
    <t xml:space="preserve"> 64.8739 </t>
  </si>
  <si>
    <t xml:space="preserve">F:\images\20210407\plaque 1/@08 Fadrozole 5.4 µg_L/F8_02.tif </t>
  </si>
  <si>
    <t xml:space="preserve"> 2271.1389 </t>
  </si>
  <si>
    <t xml:space="preserve"> 64.3143 </t>
  </si>
  <si>
    <t xml:space="preserve">F:\images\20210407\plaque 1/@08 Fadrozole 5.4 µg_L/F8_03.tif </t>
  </si>
  <si>
    <t xml:space="preserve"> 886.8257 </t>
  </si>
  <si>
    <t xml:space="preserve"> 64.5854 </t>
  </si>
  <si>
    <t xml:space="preserve">F:\images\20210407\plaque 1/@08 Fadrozole 5.4 µg_L/G8_01.tif </t>
  </si>
  <si>
    <t xml:space="preserve"> 13626.8336 </t>
  </si>
  <si>
    <t xml:space="preserve"> 84.8317 </t>
  </si>
  <si>
    <t xml:space="preserve">F:\images\20210407\plaque 1/@08 Fadrozole 5.4 µg_L/G8_02.tif </t>
  </si>
  <si>
    <t xml:space="preserve"> 11896.442 </t>
  </si>
  <si>
    <t xml:space="preserve"> 88.1727 </t>
  </si>
  <si>
    <t xml:space="preserve">F:\images\20210407\plaque 1/@08 Fadrozole 5.4 µg_L/G8_03.tif </t>
  </si>
  <si>
    <t xml:space="preserve"> 10144.4206 </t>
  </si>
  <si>
    <t xml:space="preserve"> 88.7697 </t>
  </si>
  <si>
    <t xml:space="preserve">F:\images\20210407\plaque 1/@08 Fadrozole 5.4 µg_L/H8_01.tif </t>
  </si>
  <si>
    <t xml:space="preserve"> 11636.8833 </t>
  </si>
  <si>
    <t xml:space="preserve"> 87.0706 </t>
  </si>
  <si>
    <t xml:space="preserve">F:\images\20210407\plaque 1/@08 Fadrozole 5.4 µg_L/H8_02.tif </t>
  </si>
  <si>
    <t xml:space="preserve">F:\images\20210407\plaque 1/@08 Fadrozole 5.4 µg_L/H8_03.tif </t>
  </si>
  <si>
    <t xml:space="preserve"> 12458.8193 </t>
  </si>
  <si>
    <t xml:space="preserve"> 87.4809 </t>
  </si>
  <si>
    <t xml:space="preserve">F:\images\20210407\plaque 1/@08 Fadrozole 5.4 µg_L/ </t>
  </si>
  <si>
    <t xml:space="preserve"> 73.3056 </t>
  </si>
  <si>
    <t xml:space="preserve"> 10.1737 </t>
  </si>
  <si>
    <t xml:space="preserve"> 496041.125 </t>
  </si>
  <si>
    <t xml:space="preserve"> 396490.069 </t>
  </si>
  <si>
    <t xml:space="preserve">F:\images\20210407\plaque 1/@09 Fadrozole 11 µg_L/A9_01.tif </t>
  </si>
  <si>
    <t xml:space="preserve"> 475.8577 </t>
  </si>
  <si>
    <t xml:space="preserve"> 64.3182 </t>
  </si>
  <si>
    <t xml:space="preserve">F:\images\20210407\plaque 1/@09 Fadrozole 11 µg_L/A9_02.tif </t>
  </si>
  <si>
    <t xml:space="preserve"> 63.4286 </t>
  </si>
  <si>
    <t xml:space="preserve">F:\images\20210407\plaque 1/@09 Fadrozole 11 µg_L/A9_03.tif </t>
  </si>
  <si>
    <t xml:space="preserve"> 61.8571 </t>
  </si>
  <si>
    <t xml:space="preserve">F:\images\20210407\plaque 1/@09 Fadrozole 11 µg_L/B9_01.tif </t>
  </si>
  <si>
    <t xml:space="preserve"> 627.2669 </t>
  </si>
  <si>
    <t xml:space="preserve"> 63.2414 </t>
  </si>
  <si>
    <t xml:space="preserve">F:\images\20210407\plaque 1/@09 Fadrozole 11 µg_L/B9_02.tif </t>
  </si>
  <si>
    <t xml:space="preserve"> 4758.5768 </t>
  </si>
  <si>
    <t xml:space="preserve"> 71.9227 </t>
  </si>
  <si>
    <t xml:space="preserve">F:\images\20210407\plaque 1/@09 Fadrozole 11 µg_L/B9_03.tif </t>
  </si>
  <si>
    <t xml:space="preserve">F:\images\20210407\plaque 1/@09 Fadrozole 11 µg_L/C9_01.tif </t>
  </si>
  <si>
    <t xml:space="preserve"> 63.4211 </t>
  </si>
  <si>
    <t xml:space="preserve">F:\images\20210407\plaque 1/@09 Fadrozole 11 µg_L/C9_02.tif </t>
  </si>
  <si>
    <t xml:space="preserve"> 3179.5945 </t>
  </si>
  <si>
    <t xml:space="preserve"> 67.4558 </t>
  </si>
  <si>
    <t xml:space="preserve">F:\images\20210407\plaque 1/@09 Fadrozole 11 µg_L/C9_03.tif </t>
  </si>
  <si>
    <t xml:space="preserve"> 65.7805 </t>
  </si>
  <si>
    <t xml:space="preserve">F:\images\20210407\plaque 1/@09 Fadrozole 11 µg_L/D9_01.tif </t>
  </si>
  <si>
    <t xml:space="preserve"> 5645.4025 </t>
  </si>
  <si>
    <t xml:space="preserve"> 69.7433 </t>
  </si>
  <si>
    <t xml:space="preserve">F:\images\20210407\plaque 1/@09 Fadrozole 11 µg_L/D9_02.tif </t>
  </si>
  <si>
    <t xml:space="preserve"> 2552.3276 </t>
  </si>
  <si>
    <t xml:space="preserve">F:\images\20210407\plaque 1/@09 Fadrozole 11 µg_L/D9_03.tif </t>
  </si>
  <si>
    <t xml:space="preserve"> 2119.7297 </t>
  </si>
  <si>
    <t xml:space="preserve"> 66.5714 </t>
  </si>
  <si>
    <t xml:space="preserve">F:\images\20210407\plaque 1/@09 Fadrozole 11 µg_L/E9_01.tif </t>
  </si>
  <si>
    <t xml:space="preserve"> 63.9565 </t>
  </si>
  <si>
    <t xml:space="preserve">F:\images\20210407\plaque 1/@09 Fadrozole 11 µg_L/E9_02.tif </t>
  </si>
  <si>
    <t xml:space="preserve"> 692.1566 </t>
  </si>
  <si>
    <t xml:space="preserve"> 66.0625 </t>
  </si>
  <si>
    <t xml:space="preserve">F:\images\20210407\plaque 1/@09 Fadrozole 11 µg_L/E9_03.tif </t>
  </si>
  <si>
    <t xml:space="preserve"> 281.1886 </t>
  </si>
  <si>
    <t xml:space="preserve"> 64.3077 </t>
  </si>
  <si>
    <t xml:space="preserve">F:\images\20210407\plaque 1/@09 Fadrozole 11 µg_L/F9_01.tif </t>
  </si>
  <si>
    <t xml:space="preserve"> 3720.3419 </t>
  </si>
  <si>
    <t xml:space="preserve"> 66.3547 </t>
  </si>
  <si>
    <t xml:space="preserve">F:\images\20210407\plaque 1/@09 Fadrozole 11 µg_L/F9_02.tif </t>
  </si>
  <si>
    <t xml:space="preserve"> 3633.8223 </t>
  </si>
  <si>
    <t xml:space="preserve"> 65.5476 </t>
  </si>
  <si>
    <t xml:space="preserve">F:\images\20210407\plaque 1/@09 Fadrozole 11 µg_L/F9_03.tif </t>
  </si>
  <si>
    <t xml:space="preserve"> 3655.4522 </t>
  </si>
  <si>
    <t xml:space="preserve"> 64.1775 </t>
  </si>
  <si>
    <t xml:space="preserve">F:\images\20210407\plaque 1/@09 Fadrozole 11 µg_L/G9_01.tif </t>
  </si>
  <si>
    <t xml:space="preserve"> 389.3381 </t>
  </si>
  <si>
    <t xml:space="preserve"> 62.5556 </t>
  </si>
  <si>
    <t xml:space="preserve">F:\images\20210407\plaque 1/@09 Fadrozole 11 µg_L/G9_02.tif </t>
  </si>
  <si>
    <t xml:space="preserve"> 64.6757 </t>
  </si>
  <si>
    <t xml:space="preserve">F:\images\20210407\plaque 1/@09 Fadrozole 11 µg_L/G9_03.tif </t>
  </si>
  <si>
    <t xml:space="preserve"> 64.875 </t>
  </si>
  <si>
    <t xml:space="preserve">F:\images\20210407\plaque 1/@09 Fadrozole 11 µg_L/H9_01.tif </t>
  </si>
  <si>
    <t xml:space="preserve"> 5385.8438 </t>
  </si>
  <si>
    <t xml:space="preserve"> 69.6104 </t>
  </si>
  <si>
    <t xml:space="preserve">F:\images\20210407\plaque 1/@09 Fadrozole 11 µg_L/H9_02.tif </t>
  </si>
  <si>
    <t xml:space="preserve"> 3352.6337 </t>
  </si>
  <si>
    <t xml:space="preserve"> 66.671 </t>
  </si>
  <si>
    <t>F:\images\20210407\plaque 1/@09 Fadrozole 11 µg_L/H9_03- exclu.tif</t>
  </si>
  <si>
    <t xml:space="preserve">F:\images\20210407\plaque 1/@09 Fadrozole 11 µg_L/ </t>
  </si>
  <si>
    <t xml:space="preserve"> 65.5798 </t>
  </si>
  <si>
    <t xml:space="preserve"> 2.3901 </t>
  </si>
  <si>
    <t xml:space="preserve"> 134123.333 </t>
  </si>
  <si>
    <t xml:space="preserve"> 123632.012 </t>
  </si>
  <si>
    <t xml:space="preserve">F:\images\20210407\plaque 1/@10 Fadrozole 22 µg_L/A10_01.tif </t>
  </si>
  <si>
    <t xml:space="preserve"> 63.5476 </t>
  </si>
  <si>
    <t xml:space="preserve">F:\images\20210407\plaque 1/@10 Fadrozole 22 µg_L/A10_02.tif </t>
  </si>
  <si>
    <t xml:space="preserve"> 64.1964 </t>
  </si>
  <si>
    <t xml:space="preserve">F:\images\20210407\plaque 1/@10 Fadrozole 22 µg_L/A10_03.tif </t>
  </si>
  <si>
    <t xml:space="preserve"> 1816.9111 </t>
  </si>
  <si>
    <t xml:space="preserve"> 63.7619 </t>
  </si>
  <si>
    <t xml:space="preserve">F:\images\20210407\plaque 1/@10 Fadrozole 22 µg_L/B10_01.tif </t>
  </si>
  <si>
    <t xml:space="preserve"> 1557.3524 </t>
  </si>
  <si>
    <t xml:space="preserve"> 64.9583 </t>
  </si>
  <si>
    <t xml:space="preserve">F:\images\20210407\plaque 1/@10 Fadrozole 22 µg_L/B10_02.tif </t>
  </si>
  <si>
    <t xml:space="preserve"> 2141.3596 </t>
  </si>
  <si>
    <t xml:space="preserve"> 66.8283 </t>
  </si>
  <si>
    <t xml:space="preserve">F:\images\20210407\plaque 1/@10 Fadrozole 22 µg_L/B10_03.tif </t>
  </si>
  <si>
    <t xml:space="preserve"> 1427.573 </t>
  </si>
  <si>
    <t xml:space="preserve"> 66.3333 </t>
  </si>
  <si>
    <t xml:space="preserve">F:\images\20210407\plaque 1/@10 Fadrozole 22 µg_L/C10_01.tif </t>
  </si>
  <si>
    <t xml:space="preserve"> 1081.4947 </t>
  </si>
  <si>
    <t xml:space="preserve"> 64.92 </t>
  </si>
  <si>
    <t xml:space="preserve">F:\images\20210407\plaque 1/@10 Fadrozole 22 µg_L/C10_02.tif </t>
  </si>
  <si>
    <t xml:space="preserve"> 65.0408 </t>
  </si>
  <si>
    <t xml:space="preserve">F:\images\20210407\plaque 1/@10 Fadrozole 22 µg_L/C10_03.tif </t>
  </si>
  <si>
    <t xml:space="preserve"> 1189.6442 </t>
  </si>
  <si>
    <t xml:space="preserve"> 64.7636 </t>
  </si>
  <si>
    <t xml:space="preserve">F:\images\20210407\plaque 1/@10 Fadrozole 22 µg_L/D10_01.tif </t>
  </si>
  <si>
    <t xml:space="preserve"> 64.2321 </t>
  </si>
  <si>
    <t xml:space="preserve">F:\images\20210407\plaque 1/@10 Fadrozole 22 µg_L/D10_02.tif </t>
  </si>
  <si>
    <t xml:space="preserve"> 64.5556 </t>
  </si>
  <si>
    <t xml:space="preserve">F:\images\20210407\plaque 1/@10 Fadrozole 22 µg_L/D10_03.tif </t>
  </si>
  <si>
    <t xml:space="preserve"> 64.1905 </t>
  </si>
  <si>
    <t xml:space="preserve">F:\images\20210407\plaque 1/@10 Fadrozole 22 µg_L/E10_01.tif </t>
  </si>
  <si>
    <t xml:space="preserve"> 1903.4307 </t>
  </si>
  <si>
    <t xml:space="preserve"> 66.0909 </t>
  </si>
  <si>
    <t xml:space="preserve">F:\images\20210407\plaque 1/@10 Fadrozole 22 µg_L/E10_02.tif </t>
  </si>
  <si>
    <t xml:space="preserve"> 4801.8366 </t>
  </si>
  <si>
    <t xml:space="preserve"> 68.2027 </t>
  </si>
  <si>
    <t>F:\images\20210407\plaque 1/@10 Fadrozole 22 µg_L/E10_03- exclu.tif</t>
  </si>
  <si>
    <t xml:space="preserve">F:\images\20210407\plaque 1/@10 Fadrozole 22 µg_L/F10_01.tif </t>
  </si>
  <si>
    <t xml:space="preserve"> 4304.349 </t>
  </si>
  <si>
    <t xml:space="preserve"> 70.4523 </t>
  </si>
  <si>
    <t xml:space="preserve">F:\images\20210407\plaque 1/@10 Fadrozole 22 µg_L/F10_02.tif </t>
  </si>
  <si>
    <t xml:space="preserve"> 68.0774 </t>
  </si>
  <si>
    <t xml:space="preserve">F:\images\20210407\plaque 1/@10 Fadrozole 22 µg_L/F10_03.tif </t>
  </si>
  <si>
    <t xml:space="preserve"> 3741.9718 </t>
  </si>
  <si>
    <t xml:space="preserve"> 68.0983 </t>
  </si>
  <si>
    <t xml:space="preserve">F:\images\20210407\plaque 1/@10 Fadrozole 22 µg_L/G10_01.tif </t>
  </si>
  <si>
    <t xml:space="preserve"> 432.5979 </t>
  </si>
  <si>
    <t xml:space="preserve"> 63.1 </t>
  </si>
  <si>
    <t xml:space="preserve">F:\images\20210407\plaque 1/@10 Fadrozole 22 µg_L/G10_02.tif </t>
  </si>
  <si>
    <t xml:space="preserve"> 62.7273 </t>
  </si>
  <si>
    <t xml:space="preserve">F:\images\20210407\plaque 1/@10 Fadrozole 22 µg_L/G10_03.tif </t>
  </si>
  <si>
    <t xml:space="preserve"> 151.4093 </t>
  </si>
  <si>
    <t xml:space="preserve"> 62.1429 </t>
  </si>
  <si>
    <t xml:space="preserve">F:\images\20210407\plaque 1/@10 Fadrozole 22 µg_L/H10_01.tif </t>
  </si>
  <si>
    <t xml:space="preserve"> 6013.1107 </t>
  </si>
  <si>
    <t xml:space="preserve"> 73.5 </t>
  </si>
  <si>
    <t xml:space="preserve">F:\images\20210407\plaque 1/@10 Fadrozole 22 µg_L/H10_02.tif </t>
  </si>
  <si>
    <t xml:space="preserve"> 2833.5162 </t>
  </si>
  <si>
    <t xml:space="preserve"> 70.5802 </t>
  </si>
  <si>
    <t xml:space="preserve">F:\images\20210407\plaque 1/@10 Fadrozole 22 µg_L/H10_03.tif </t>
  </si>
  <si>
    <t xml:space="preserve"> 64.5 </t>
  </si>
  <si>
    <t xml:space="preserve">F:\images\20210407\plaque 1/@10 Fadrozole 22 µg_L/ </t>
  </si>
  <si>
    <t xml:space="preserve"> 65.9414 </t>
  </si>
  <si>
    <t xml:space="preserve"> 2.784 </t>
  </si>
  <si>
    <t xml:space="preserve"> 146999.5 </t>
  </si>
  <si>
    <t xml:space="preserve"> 133177.615 </t>
  </si>
  <si>
    <t xml:space="preserve">F:\images\20210407\plaque 1/@11 Fadrozole 44 µg_L/A11_01.tif </t>
  </si>
  <si>
    <t xml:space="preserve"> 5861.7014 </t>
  </si>
  <si>
    <t xml:space="preserve"> 72.9299 </t>
  </si>
  <si>
    <t xml:space="preserve">F:\images\20210407\plaque 1/@11 Fadrozole 44 µg_L/A11_02.tif </t>
  </si>
  <si>
    <t xml:space="preserve"> 3590.5625 </t>
  </si>
  <si>
    <t xml:space="preserve"> 64.7892 </t>
  </si>
  <si>
    <t xml:space="preserve">F:\images\20210407\plaque 1/@11 Fadrozole 44 µg_L/A11_03.tif </t>
  </si>
  <si>
    <t xml:space="preserve"> 2725.3667 </t>
  </si>
  <si>
    <t xml:space="preserve"> 68.3016 </t>
  </si>
  <si>
    <t xml:space="preserve">F:\images\20210407\plaque 1/@11 Fadrozole 44 µg_L/B11_01.tif </t>
  </si>
  <si>
    <t xml:space="preserve"> 1643.872 </t>
  </si>
  <si>
    <t xml:space="preserve"> 64.2237 </t>
  </si>
  <si>
    <t xml:space="preserve">F:\images\20210407\plaque 1/@11 Fadrozole 44 µg_L/B11_02.tif </t>
  </si>
  <si>
    <t xml:space="preserve"> 63.0333 </t>
  </si>
  <si>
    <t xml:space="preserve">F:\images\20210407\plaque 1/@11 Fadrozole 44 µg_L/B11_03.tif </t>
  </si>
  <si>
    <t xml:space="preserve"> 65.8235 </t>
  </si>
  <si>
    <t xml:space="preserve">F:\images\20210407\plaque 1/@11 Fadrozole 44 µg_L/C11_01.tif </t>
  </si>
  <si>
    <t xml:space="preserve"> 5342.584 </t>
  </si>
  <si>
    <t xml:space="preserve"> 69.2024 </t>
  </si>
  <si>
    <t xml:space="preserve">F:\images\20210407\plaque 1/@11 Fadrozole 44 µg_L/C11_02.tif </t>
  </si>
  <si>
    <t xml:space="preserve"> 3763.6017 </t>
  </si>
  <si>
    <t xml:space="preserve"> 67.8103 </t>
  </si>
  <si>
    <t xml:space="preserve">F:\images\20210407\plaque 1/@11 Fadrozole 44 µg_L/C11_03.tif </t>
  </si>
  <si>
    <t xml:space="preserve"> 7181.125 </t>
  </si>
  <si>
    <t xml:space="preserve"> 75.9458 </t>
  </si>
  <si>
    <t xml:space="preserve">F:\images\20210407\plaque 1/@11 Fadrozole 44 µg_L/D11_01.tif </t>
  </si>
  <si>
    <t xml:space="preserve"> 4477.3882 </t>
  </si>
  <si>
    <t xml:space="preserve"> 67.2802 </t>
  </si>
  <si>
    <t xml:space="preserve">F:\images\20210407\plaque 1/@11 Fadrozole 44 µg_L/D11_02.tif </t>
  </si>
  <si>
    <t xml:space="preserve"> 64.5238 </t>
  </si>
  <si>
    <t xml:space="preserve">F:\images\20210407\plaque 1/@11 Fadrozole 44 µg_L/D11_03.tif </t>
  </si>
  <si>
    <t xml:space="preserve"> 66.331 </t>
  </si>
  <si>
    <t xml:space="preserve">F:\images\20210407\plaque 1/@11 Fadrozole 44 µg_L/E11_01.tif </t>
  </si>
  <si>
    <t xml:space="preserve"> 3504.0429 </t>
  </si>
  <si>
    <t xml:space="preserve"> 65.6173 </t>
  </si>
  <si>
    <t xml:space="preserve">F:\images\20210407\plaque 1/@11 Fadrozole 44 µg_L/E11_02.tif </t>
  </si>
  <si>
    <t xml:space="preserve"> 1059.8648 </t>
  </si>
  <si>
    <t xml:space="preserve"> 65.4898 </t>
  </si>
  <si>
    <t xml:space="preserve">F:\images\20210407\plaque 1/@11 Fadrozole 44 µg_L/E11_03.tif </t>
  </si>
  <si>
    <t xml:space="preserve"> 2530.6977 </t>
  </si>
  <si>
    <t xml:space="preserve"> 64.7521 </t>
  </si>
  <si>
    <t xml:space="preserve">F:\images\20210407\plaque 1/@11 Fadrozole 44 µg_L/F11_01.tif </t>
  </si>
  <si>
    <t xml:space="preserve"> 67.0224 </t>
  </si>
  <si>
    <t xml:space="preserve">F:\images\20210407\plaque 1/@11 Fadrozole 44 µg_L/F11_02.tif </t>
  </si>
  <si>
    <t xml:space="preserve"> 6943.1962 </t>
  </si>
  <si>
    <t xml:space="preserve"> 70.7383 </t>
  </si>
  <si>
    <t xml:space="preserve">F:\images\20210407\plaque 1/@11 Fadrozole 44 µg_L/F11_03.tif </t>
  </si>
  <si>
    <t xml:space="preserve"> 6532.2282 </t>
  </si>
  <si>
    <t xml:space="preserve"> 72.2086 </t>
  </si>
  <si>
    <t xml:space="preserve">F:\images\20210407\plaque 1/@11 Fadrozole 44 µg_L/G11_01.tif </t>
  </si>
  <si>
    <t xml:space="preserve"> 65.05 </t>
  </si>
  <si>
    <t xml:space="preserve">F:\images\20210407\plaque 1/@11 Fadrozole 44 µg_L/G11_02.tif </t>
  </si>
  <si>
    <t xml:space="preserve"> 66.56 </t>
  </si>
  <si>
    <t xml:space="preserve">F:\images\20210407\plaque 1/@11 Fadrozole 44 µg_L/G11_03.tif </t>
  </si>
  <si>
    <t xml:space="preserve"> 994.9752 </t>
  </si>
  <si>
    <t xml:space="preserve"> 65.087 </t>
  </si>
  <si>
    <t>F:\images\20210407\plaque 1/@11 Fadrozole 44 µg_L/H11_01- exclu.tif</t>
  </si>
  <si>
    <t>F:\images\20210407\plaque 1/@11 Fadrozole 44 µg_L/H11_02- exclu.tif</t>
  </si>
  <si>
    <t>F:\images\20210407\plaque 1/@11 Fadrozole 44 µg_L/H11_03- exclu.tif</t>
  </si>
  <si>
    <t xml:space="preserve">F:\images\20210407\plaque 1/@11 Fadrozole 44 µg_L/ </t>
  </si>
  <si>
    <t xml:space="preserve"> 67.0382 </t>
  </si>
  <si>
    <t xml:space="preserve"> 3.1446 </t>
  </si>
  <si>
    <t xml:space="preserve"> 203230.875 </t>
  </si>
  <si>
    <t xml:space="preserve"> 168241.057 </t>
  </si>
  <si>
    <t xml:space="preserve">F:\images\20210407\plaque 1/@12Fadrozole 87 µg_L/A12_01.tif </t>
  </si>
  <si>
    <t xml:space="preserve"> 63.6087 </t>
  </si>
  <si>
    <t xml:space="preserve">F:\images\20210407\plaque 1/@12Fadrozole 87 µg_L/A12_02.tif </t>
  </si>
  <si>
    <t xml:space="preserve"> 63.5833 </t>
  </si>
  <si>
    <t xml:space="preserve">F:\images\20210407\plaque 1/@12Fadrozole 87 µg_L/A12_03.tif </t>
  </si>
  <si>
    <t xml:space="preserve"> 66.6667 </t>
  </si>
  <si>
    <t xml:space="preserve">F:\images\20210407\plaque 1/@12Fadrozole 87 µg_L/B12_01.tif </t>
  </si>
  <si>
    <t xml:space="preserve"> 7332.5343 </t>
  </si>
  <si>
    <t xml:space="preserve"> 74.8024 </t>
  </si>
  <si>
    <t xml:space="preserve">F:\images\20210407\plaque 1/@12Fadrozole 87 µg_L/B12_02.tif </t>
  </si>
  <si>
    <t xml:space="preserve"> 8868.2568 </t>
  </si>
  <si>
    <t xml:space="preserve"> 80.3024 </t>
  </si>
  <si>
    <t xml:space="preserve">F:\images\20210407\plaque 1/@12Fadrozole 87 µg_L/B12_03.tif </t>
  </si>
  <si>
    <t xml:space="preserve"> 8500.5486 </t>
  </si>
  <si>
    <t xml:space="preserve"> 78.5674 </t>
  </si>
  <si>
    <t xml:space="preserve">F:\images\20210407\plaque 1/@12Fadrozole 87 µg_L/C12_01.tif </t>
  </si>
  <si>
    <t xml:space="preserve"> 62.9048 </t>
  </si>
  <si>
    <t xml:space="preserve">F:\images\20210407\plaque 1/@12Fadrozole 87 µg_L/C12_02.tif </t>
  </si>
  <si>
    <t xml:space="preserve"> 64.1765 </t>
  </si>
  <si>
    <t xml:space="preserve">F:\images\20210407\plaque 1/@12Fadrozole 87 µg_L/C12_03.tif </t>
  </si>
  <si>
    <t xml:space="preserve"> 62.0556 </t>
  </si>
  <si>
    <t xml:space="preserve">F:\images\20210407\plaque 1/@12Fadrozole 87 µg_L/D12_01.tif </t>
  </si>
  <si>
    <t>F:\images\20210407\plaque 1/@12Fadrozole 87 µg_L/D12_02- exclu.tif</t>
  </si>
  <si>
    <t xml:space="preserve">F:\images\20210407\plaque 1/@12Fadrozole 87 µg_L/D12_03.tif </t>
  </si>
  <si>
    <t xml:space="preserve"> 108.1495 </t>
  </si>
  <si>
    <t xml:space="preserve">F:\images\20210407\plaque 1/@12Fadrozole 87 µg_L/E12_01.tif </t>
  </si>
  <si>
    <t xml:space="preserve"> 8219.36 </t>
  </si>
  <si>
    <t xml:space="preserve"> 69.1289 </t>
  </si>
  <si>
    <t xml:space="preserve">F:\images\20210407\plaque 1/@12Fadrozole 87 µg_L/E12_02.tif </t>
  </si>
  <si>
    <t xml:space="preserve"> 12350.6698 </t>
  </si>
  <si>
    <t xml:space="preserve"> 88.0543 </t>
  </si>
  <si>
    <t xml:space="preserve">F:\images\20210407\plaque 1/@12Fadrozole 87 µg_L/E12_03.tif </t>
  </si>
  <si>
    <t xml:space="preserve"> 7981.4311 </t>
  </si>
  <si>
    <t xml:space="preserve"> 74.1653 </t>
  </si>
  <si>
    <t xml:space="preserve">F:\images\20210407\plaque 1/@12Fadrozole 87 µg_L/F12_01.tif </t>
  </si>
  <si>
    <t xml:space="preserve"> 2660.477 </t>
  </si>
  <si>
    <t xml:space="preserve"> 65.4065 </t>
  </si>
  <si>
    <t xml:space="preserve">F:\images\20210407\plaque 1/@12Fadrozole 87 µg_L/F12_02.tif </t>
  </si>
  <si>
    <t xml:space="preserve"> 1578.9823 </t>
  </si>
  <si>
    <t xml:space="preserve"> 64.4384 </t>
  </si>
  <si>
    <t xml:space="preserve">F:\images\20210407\plaque 1/@12Fadrozole 87 µg_L/F12_03.tif </t>
  </si>
  <si>
    <t xml:space="preserve"> 65.3571 </t>
  </si>
  <si>
    <t xml:space="preserve">F:\images\20210407\plaque 1/@12Fadrozole 87 µg_L/G12_01.tif </t>
  </si>
  <si>
    <t xml:space="preserve"> 1405.9432 </t>
  </si>
  <si>
    <t xml:space="preserve"> 64.3846 </t>
  </si>
  <si>
    <t xml:space="preserve">F:\images\20210407\plaque 1/@12Fadrozole 87 µg_L/G12_02.tif </t>
  </si>
  <si>
    <t xml:space="preserve"> 1232.904 </t>
  </si>
  <si>
    <t xml:space="preserve"> 64.8772 </t>
  </si>
  <si>
    <t xml:space="preserve">F:\images\20210407\plaque 1/@12Fadrozole 87 µg_L/G12_03.tif </t>
  </si>
  <si>
    <t xml:space="preserve"> 62.8333 </t>
  </si>
  <si>
    <t xml:space="preserve">F:\images\20210407\plaque 1/@12Fadrozole 87 µg_L/H12_01.tif </t>
  </si>
  <si>
    <t xml:space="preserve"> 2444.1781 </t>
  </si>
  <si>
    <t xml:space="preserve"> 64.7522 </t>
  </si>
  <si>
    <t xml:space="preserve">F:\images\20210407\plaque 1/@12Fadrozole 87 µg_L/H12_02.tif </t>
  </si>
  <si>
    <t xml:space="preserve"> 65.0946 </t>
  </si>
  <si>
    <t xml:space="preserve">F:\images\20210407\plaque 1/@12Fadrozole 87 µg_L/H12_03.tif </t>
  </si>
  <si>
    <t xml:space="preserve"> 3893.381 </t>
  </si>
  <si>
    <t xml:space="preserve"> 67.3389 </t>
  </si>
  <si>
    <t xml:space="preserve">F:\images\20210407\plaque 1/@12Fadrozole 87 µg_L/ </t>
  </si>
  <si>
    <t xml:space="preserve"> 67.5565 </t>
  </si>
  <si>
    <t xml:space="preserve"> 6.706 </t>
  </si>
  <si>
    <t xml:space="preserve"> 223900.042 </t>
  </si>
  <si>
    <t xml:space="preserve"> 300278.201 </t>
  </si>
  <si>
    <t xml:space="preserve">F:\images\20210407\plaque 2/@01 Testo 30/A1_01.tif </t>
  </si>
  <si>
    <t xml:space="preserve"> 28443.3114 </t>
  </si>
  <si>
    <t xml:space="preserve"> 68.4586 </t>
  </si>
  <si>
    <t xml:space="preserve">F:\images\20210407\plaque 2/@01 Testo 30/A1_02.tif </t>
  </si>
  <si>
    <t xml:space="preserve"> 29784.3649 </t>
  </si>
  <si>
    <t xml:space="preserve"> 68.3951 </t>
  </si>
  <si>
    <t xml:space="preserve">F:\images\20210407\plaque 2/@01 Testo 30/A1_03.tif </t>
  </si>
  <si>
    <t xml:space="preserve"> 29870.8845 </t>
  </si>
  <si>
    <t xml:space="preserve"> 68.0898 </t>
  </si>
  <si>
    <t xml:space="preserve">F:\images\20210407\plaque 2/@01 Testo 30/B1_01.tif </t>
  </si>
  <si>
    <t xml:space="preserve"> 41204.9493 </t>
  </si>
  <si>
    <t xml:space="preserve"> 70.6278 </t>
  </si>
  <si>
    <t xml:space="preserve">F:\images\20210407\plaque 2/@01 Testo 30/B1_02.tif </t>
  </si>
  <si>
    <t xml:space="preserve"> 39474.5577 </t>
  </si>
  <si>
    <t xml:space="preserve"> 69.9096 </t>
  </si>
  <si>
    <t xml:space="preserve">F:\images\20210407\plaque 2/@01 Testo 30/B1_03.tif </t>
  </si>
  <si>
    <t xml:space="preserve"> 33461.447 </t>
  </si>
  <si>
    <t xml:space="preserve"> 69.3523 </t>
  </si>
  <si>
    <t xml:space="preserve">F:\images\20210407\plaque 2/@01 Testo 30/C1_01.tif </t>
  </si>
  <si>
    <t xml:space="preserve"> 43476.0882 </t>
  </si>
  <si>
    <t xml:space="preserve"> 71.3378 </t>
  </si>
  <si>
    <t xml:space="preserve">F:\images\20210407\plaque 2/@01 Testo 30/C1_02.tif </t>
  </si>
  <si>
    <t xml:space="preserve"> 17866.293 </t>
  </si>
  <si>
    <t xml:space="preserve"> 64.4734 </t>
  </si>
  <si>
    <t xml:space="preserve">F:\images\20210407\plaque 2/@01 Testo 30/C1_03.tif </t>
  </si>
  <si>
    <t xml:space="preserve"> 39150.1093 </t>
  </si>
  <si>
    <t xml:space="preserve"> 70.5785 </t>
  </si>
  <si>
    <t xml:space="preserve">F:\images\20210407\plaque 2/@01 Testo 30/D1_01.tif </t>
  </si>
  <si>
    <t xml:space="preserve"> 45552.5581 </t>
  </si>
  <si>
    <t xml:space="preserve"> 74.0304 </t>
  </si>
  <si>
    <t xml:space="preserve">F:\images\20210407\plaque 2/@01 Testo 30/D1_02.tif </t>
  </si>
  <si>
    <t xml:space="preserve"> 36078.6642 </t>
  </si>
  <si>
    <t xml:space="preserve"> 83.5558 </t>
  </si>
  <si>
    <t xml:space="preserve">F:\images\20210407\plaque 2/@01 Testo 30/D1_03.tif </t>
  </si>
  <si>
    <t xml:space="preserve"> 34002.1944 </t>
  </si>
  <si>
    <t xml:space="preserve"> 85.1469 </t>
  </si>
  <si>
    <t xml:space="preserve">F:\images\20210407\plaque 2/@01 Testo 30/E1_01.tif </t>
  </si>
  <si>
    <t xml:space="preserve"> 10641.9082 </t>
  </si>
  <si>
    <t xml:space="preserve"> 68.2459 </t>
  </si>
  <si>
    <t xml:space="preserve">F:\images\20210407\plaque 2/@01 Testo 30/E1_02.tif </t>
  </si>
  <si>
    <t xml:space="preserve"> 70.3886 </t>
  </si>
  <si>
    <t xml:space="preserve">F:\images\20210407\plaque 2/@01 Testo 30/E1_03.tif </t>
  </si>
  <si>
    <t xml:space="preserve"> 8240.9899 </t>
  </si>
  <si>
    <t xml:space="preserve"> 68.2808 </t>
  </si>
  <si>
    <t xml:space="preserve">F:\images\20210407\plaque 2/@01 Testo 30/F1_01.tif </t>
  </si>
  <si>
    <t xml:space="preserve"> 29654.5855 </t>
  </si>
  <si>
    <t xml:space="preserve"> 72.4719 </t>
  </si>
  <si>
    <t xml:space="preserve">F:\images\20210407\plaque 2/@01 Testo 30/F1_02.tif </t>
  </si>
  <si>
    <t xml:space="preserve"> 30087.1834 </t>
  </si>
  <si>
    <t xml:space="preserve"> 70.3638 </t>
  </si>
  <si>
    <t xml:space="preserve">F:\images\20210407\plaque 2/@01 Testo 30/F1_03.tif </t>
  </si>
  <si>
    <t xml:space="preserve"> 29524.8062 </t>
  </si>
  <si>
    <t xml:space="preserve"> 72.0733 </t>
  </si>
  <si>
    <t xml:space="preserve">F:\images\20210407\plaque 2/@01 Testo 30/G1_01.tif </t>
  </si>
  <si>
    <t xml:space="preserve"> 43238.1594 </t>
  </si>
  <si>
    <t xml:space="preserve"> 76.7879 </t>
  </si>
  <si>
    <t xml:space="preserve">F:\images\20210407\plaque 2/@01 Testo 30/G1_02.tif </t>
  </si>
  <si>
    <t xml:space="preserve"> 44060.0954 </t>
  </si>
  <si>
    <t xml:space="preserve"> 76.8621 </t>
  </si>
  <si>
    <t xml:space="preserve">F:\images\20210407\plaque 2/@01 Testo 30/G1_03.tif </t>
  </si>
  <si>
    <t xml:space="preserve"> 39842.2659 </t>
  </si>
  <si>
    <t xml:space="preserve"> 75.2698 </t>
  </si>
  <si>
    <t>F:\images\20210407\plaque 2/@01 Testo 30/H1_01- exclu.tif</t>
  </si>
  <si>
    <t xml:space="preserve">F:\images\20210407\plaque 2/@01 Testo 30/H1_02.tif </t>
  </si>
  <si>
    <t xml:space="preserve"> 27426.7064 </t>
  </si>
  <si>
    <t xml:space="preserve"> 68.2571 </t>
  </si>
  <si>
    <t xml:space="preserve">F:\images\20210407\plaque 2/@01 Testo 30/H1_03.tif </t>
  </si>
  <si>
    <t xml:space="preserve"> 24333.6315 </t>
  </si>
  <si>
    <t xml:space="preserve"> 69.1502 </t>
  </si>
  <si>
    <t xml:space="preserve">F:\images\20210407\plaque 2/@01 Testo 30/ </t>
  </si>
  <si>
    <t xml:space="preserve"> 71.8723 </t>
  </si>
  <si>
    <t xml:space="preserve"> 4.8311 </t>
  </si>
  <si>
    <t xml:space="preserve"> 2177052.46 </t>
  </si>
  <si>
    <t xml:space="preserve"> 932865.11 </t>
  </si>
  <si>
    <t xml:space="preserve">F:\images\20210407\plaque 2/@02 Testo 30/A2_01.tif </t>
  </si>
  <si>
    <t xml:space="preserve"> 45379.5189 </t>
  </si>
  <si>
    <t xml:space="preserve"> 72.2922 </t>
  </si>
  <si>
    <t xml:space="preserve">F:\images\20210407\plaque 2/@02 Testo 30/A2_02.tif </t>
  </si>
  <si>
    <t xml:space="preserve"> 42697.412 </t>
  </si>
  <si>
    <t xml:space="preserve"> 71.0932 </t>
  </si>
  <si>
    <t xml:space="preserve">F:\images\20210407\plaque 2/@02 Testo 30/A2_03.tif </t>
  </si>
  <si>
    <t xml:space="preserve"> 39106.8495 </t>
  </si>
  <si>
    <t xml:space="preserve"> 68.6438 </t>
  </si>
  <si>
    <t xml:space="preserve">F:\images\20210407\plaque 2/@02 Testo 30/B2_01.tif </t>
  </si>
  <si>
    <t xml:space="preserve"> 72.1661 </t>
  </si>
  <si>
    <t xml:space="preserve">F:\images\20210407\plaque 2/@02 Testo 30/B2_02.tif </t>
  </si>
  <si>
    <t xml:space="preserve"> 30519.7813 </t>
  </si>
  <si>
    <t xml:space="preserve"> 69.4763 </t>
  </si>
  <si>
    <t xml:space="preserve">F:\images\20210407\plaque 2/@02 Testo 30/B2_03.tif </t>
  </si>
  <si>
    <t xml:space="preserve"> 30130.4432 </t>
  </si>
  <si>
    <t xml:space="preserve"> 69.336 </t>
  </si>
  <si>
    <t>F:\images\20210407\plaque 2/@02 Testo 30/C2_01- exclu.tif</t>
  </si>
  <si>
    <t>F:\images\20210407\plaque 2/@02 Testo 30/C2_02- exclu.tif</t>
  </si>
  <si>
    <t xml:space="preserve">F:\images\20210407\plaque 2/@02 Testo 30/C2_03.tif </t>
  </si>
  <si>
    <t xml:space="preserve"> 18839.6382 </t>
  </si>
  <si>
    <t xml:space="preserve"> 67.4845 </t>
  </si>
  <si>
    <t xml:space="preserve">F:\images\20210407\plaque 2/@02 Testo 30/D2_01.tif </t>
  </si>
  <si>
    <t xml:space="preserve"> 40274.8638 </t>
  </si>
  <si>
    <t xml:space="preserve"> 72.4603 </t>
  </si>
  <si>
    <t xml:space="preserve">F:\images\20210407\plaque 2/@02 Testo 30/D2_02.tif </t>
  </si>
  <si>
    <t xml:space="preserve"> 39020.3299 </t>
  </si>
  <si>
    <t xml:space="preserve"> 71.5 </t>
  </si>
  <si>
    <t xml:space="preserve">F:\images\20210407\plaque 2/@02 Testo 30/D2_03.tif </t>
  </si>
  <si>
    <t xml:space="preserve"> 36922.2301 </t>
  </si>
  <si>
    <t xml:space="preserve"> 71.2994 </t>
  </si>
  <si>
    <t xml:space="preserve">F:\images\20210407\plaque 2/@02 Testo 30/E2_01.tif </t>
  </si>
  <si>
    <t xml:space="preserve"> 68.8487 </t>
  </si>
  <si>
    <t xml:space="preserve">F:\images\20210407\plaque 2/@02 Testo 30/E2_02.tif </t>
  </si>
  <si>
    <t xml:space="preserve"> 12631.8585 </t>
  </si>
  <si>
    <t xml:space="preserve"> 67.4692 </t>
  </si>
  <si>
    <t xml:space="preserve">F:\images\20210407\plaque 2/@02 Testo 30/E2_03.tif </t>
  </si>
  <si>
    <t xml:space="preserve"> 12566.9688 </t>
  </si>
  <si>
    <t xml:space="preserve"> 68.9415 </t>
  </si>
  <si>
    <t xml:space="preserve">F:\images\20210407\plaque 2/@02 Testo 30/F2_01.tif </t>
  </si>
  <si>
    <t xml:space="preserve"> 66.5946 </t>
  </si>
  <si>
    <t xml:space="preserve">F:\images\20210407\plaque 2/@02 Testo 30/F2_02.tif </t>
  </si>
  <si>
    <t xml:space="preserve"> 64.5063 </t>
  </si>
  <si>
    <t xml:space="preserve">F:\images\20210407\plaque 2/@02 Testo 30/F2_03.tif </t>
  </si>
  <si>
    <t xml:space="preserve"> 64.6721 </t>
  </si>
  <si>
    <t xml:space="preserve">F:\images\20210407\plaque 2/@02 Testo 30/G2_01.tif </t>
  </si>
  <si>
    <t xml:space="preserve"> 18969.4176 </t>
  </si>
  <si>
    <t xml:space="preserve"> 67.2976 </t>
  </si>
  <si>
    <t xml:space="preserve">F:\images\20210407\plaque 2/@02 Testo 30/G2_02.tif </t>
  </si>
  <si>
    <t xml:space="preserve"> 17585.1043 </t>
  </si>
  <si>
    <t xml:space="preserve"> 68.8339 </t>
  </si>
  <si>
    <t xml:space="preserve">F:\images\20210407\plaque 2/@02 Testo 30/G2_03.tif </t>
  </si>
  <si>
    <t xml:space="preserve"> 16633.389 </t>
  </si>
  <si>
    <t xml:space="preserve"> 66.9012 </t>
  </si>
  <si>
    <t>F:\images\20210407\plaque 2/@02 Testo 30/H2_01- exclu.tif</t>
  </si>
  <si>
    <t xml:space="preserve">F:\images\20210407\plaque 2/@02 Testo 30/H2_02.tif </t>
  </si>
  <si>
    <t xml:space="preserve"> 64.8613 </t>
  </si>
  <si>
    <t xml:space="preserve">F:\images\20210407\plaque 2/@02 Testo 30/H2_03.tif </t>
  </si>
  <si>
    <t xml:space="preserve"> 3071.445 </t>
  </si>
  <si>
    <t xml:space="preserve"> 64.3732 </t>
  </si>
  <si>
    <t xml:space="preserve">F:\images\20210407\plaque 2/@02 Testo 30/ </t>
  </si>
  <si>
    <t xml:space="preserve"> 67.9114 </t>
  </si>
  <si>
    <t xml:space="preserve"> 2.9765 </t>
  </si>
  <si>
    <t xml:space="preserve"> 1344043.75 </t>
  </si>
  <si>
    <t xml:space="preserve"> 1133646.82 </t>
  </si>
  <si>
    <t xml:space="preserve">F:\images\20210407\plaque 2/@03 Testo+ EE2 64/A3_01.tif </t>
  </si>
  <si>
    <t xml:space="preserve"> 44298.0242 </t>
  </si>
  <si>
    <t xml:space="preserve"> 76.2383 </t>
  </si>
  <si>
    <t xml:space="preserve">F:\images\20210407\plaque 2/@03 Testo+ EE2 64/A3_02.tif </t>
  </si>
  <si>
    <t xml:space="preserve"> 40685.8318 </t>
  </si>
  <si>
    <t xml:space="preserve"> 77.2041 </t>
  </si>
  <si>
    <t xml:space="preserve">F:\images\20210407\plaque 2/@03 Testo+ EE2 64/A3_03.tif </t>
  </si>
  <si>
    <t xml:space="preserve"> 42091.7749 </t>
  </si>
  <si>
    <t xml:space="preserve"> 78.4363 </t>
  </si>
  <si>
    <t xml:space="preserve">F:\images\20210407\plaque 2/@03 Testo+ EE2 64/B3_01.tif </t>
  </si>
  <si>
    <t xml:space="preserve"> 35754.2158 </t>
  </si>
  <si>
    <t xml:space="preserve"> 78.3612 </t>
  </si>
  <si>
    <t xml:space="preserve">F:\images\20210407\plaque 2/@03 Testo+ EE2 64/B3_02.tif </t>
  </si>
  <si>
    <t xml:space="preserve"> 36338.223 </t>
  </si>
  <si>
    <t xml:space="preserve"> 77.5643 </t>
  </si>
  <si>
    <t xml:space="preserve">F:\images\20210407\plaque 2/@03 Testo+ EE2 64/B3_03.tif </t>
  </si>
  <si>
    <t xml:space="preserve"> 77.2032 </t>
  </si>
  <si>
    <t xml:space="preserve">F:\images\20210407\plaque 2/@03 Testo+ EE2 64/C3_01.tif </t>
  </si>
  <si>
    <t xml:space="preserve"> 36143.5539 </t>
  </si>
  <si>
    <t xml:space="preserve"> 76.1915 </t>
  </si>
  <si>
    <t xml:space="preserve">F:\images\20210407\plaque 2/@03 Testo+ EE2 64/C3_02.tif </t>
  </si>
  <si>
    <t xml:space="preserve"> 34737.6108 </t>
  </si>
  <si>
    <t xml:space="preserve"> 74.4545 </t>
  </si>
  <si>
    <t xml:space="preserve">F:\images\20210407\plaque 2/@03 Testo+ EE2 64/C3_03.tif </t>
  </si>
  <si>
    <t xml:space="preserve"> 76.8109 </t>
  </si>
  <si>
    <t xml:space="preserve">F:\images\20210407\plaque 2/@03 Testo+ EE2 64/D3_01.tif </t>
  </si>
  <si>
    <t xml:space="preserve"> 22516.7203 </t>
  </si>
  <si>
    <t xml:space="preserve"> 71.7887 </t>
  </si>
  <si>
    <t xml:space="preserve">F:\images\20210407\plaque 2/@03 Testo+ EE2 64/D3_02.tif </t>
  </si>
  <si>
    <t xml:space="preserve"> 21500.1153 </t>
  </si>
  <si>
    <t xml:space="preserve"> 72.3823 </t>
  </si>
  <si>
    <t xml:space="preserve">F:\images\20210407\plaque 2/@03 Testo+ EE2 64/D3_03.tif </t>
  </si>
  <si>
    <t xml:space="preserve"> 16784.7982 </t>
  </si>
  <si>
    <t xml:space="preserve"> 72.424 </t>
  </si>
  <si>
    <t xml:space="preserve">F:\images\20210407\plaque 2/@03 Testo+ EE2 64/E3_01.tif </t>
  </si>
  <si>
    <t xml:space="preserve"> 34910.6499 </t>
  </si>
  <si>
    <t xml:space="preserve"> 74.3141 </t>
  </si>
  <si>
    <t xml:space="preserve">F:\images\20210407\plaque 2/@03 Testo+ EE2 64/E3_02.tif </t>
  </si>
  <si>
    <t xml:space="preserve"> 40296.4937 </t>
  </si>
  <si>
    <t xml:space="preserve"> 76.5593 </t>
  </si>
  <si>
    <t xml:space="preserve">F:\images\20210407\plaque 2/@03 Testo+ EE2 64/E3_03.tif </t>
  </si>
  <si>
    <t xml:space="preserve"> 36532.892 </t>
  </si>
  <si>
    <t xml:space="preserve"> 75.7123 </t>
  </si>
  <si>
    <t xml:space="preserve">F:\images\20210407\plaque 2/@03 Testo+ EE2 64/F3_01.tif </t>
  </si>
  <si>
    <t xml:space="preserve"> 15335.5953 </t>
  </si>
  <si>
    <t xml:space="preserve"> 70.2243 </t>
  </si>
  <si>
    <t xml:space="preserve">F:\images\20210407\plaque 2/@03 Testo+ EE2 64/F3_02.tif </t>
  </si>
  <si>
    <t xml:space="preserve"> 68.9634 </t>
  </si>
  <si>
    <t xml:space="preserve">F:\images\20210407\plaque 2/@03 Testo+ EE2 64/F3_03.tif </t>
  </si>
  <si>
    <t xml:space="preserve"> 11788.2926 </t>
  </si>
  <si>
    <t xml:space="preserve"> 70.4257 </t>
  </si>
  <si>
    <t>F:\images\20210407\plaque 2/@03 Testo+ EE2 64/G3_01- exclu.tif</t>
  </si>
  <si>
    <t>F:\images\20210407\plaque 2/@03 Testo+ EE2 64/G3_02- exclu.tif</t>
  </si>
  <si>
    <t>F:\images\20210407\plaque 2/@03 Testo+ EE2 64/G3_03- exclu.tif</t>
  </si>
  <si>
    <t>F:\images\20210407\plaque 2/@03 Testo+ EE2 64/H3_01- exclu.tif</t>
  </si>
  <si>
    <t>F:\images\20210407\plaque 2/@03 Testo+ EE2 64/H3_02- exclu.tif</t>
  </si>
  <si>
    <t>F:\images\20210407\plaque 2/@03 Testo+ EE2 64/H3_03- exclu.tif</t>
  </si>
  <si>
    <t xml:space="preserve">F:\images\20210407\plaque 2/@03 Testo+ EE2 64/ </t>
  </si>
  <si>
    <t xml:space="preserve"> 71.8447 </t>
  </si>
  <si>
    <t xml:space="preserve"> 5.7551 </t>
  </si>
  <si>
    <t xml:space="preserve"> 1264939.45 </t>
  </si>
  <si>
    <t xml:space="preserve">F:\images\20210407\plaque 2/@04 Testo+ FAD/A4_01.tif </t>
  </si>
  <si>
    <t xml:space="preserve"> 2098.0998 </t>
  </si>
  <si>
    <t xml:space="preserve"> 66.2371 </t>
  </si>
  <si>
    <t xml:space="preserve">F:\images\20210407\plaque 2/@04 Testo+ FAD/A4_02.tif </t>
  </si>
  <si>
    <t xml:space="preserve"> 2054.84 </t>
  </si>
  <si>
    <t xml:space="preserve"> 65.7789 </t>
  </si>
  <si>
    <t xml:space="preserve">F:\images\20210407\plaque 2/@04 Testo+ FAD/A4_03.tif </t>
  </si>
  <si>
    <t xml:space="preserve">F:\images\20210407\plaque 2/@04 Testo+ FAD/B4_01.tif </t>
  </si>
  <si>
    <t xml:space="preserve">F:\images\20210407\plaque 2/@04 Testo+ FAD/B4_02.tif </t>
  </si>
  <si>
    <t xml:space="preserve"> 7873.2816 </t>
  </si>
  <si>
    <t xml:space="preserve"> 79.6044 </t>
  </si>
  <si>
    <t xml:space="preserve">F:\images\20210407\plaque 2/@04 Testo+ FAD/B4_03.tif </t>
  </si>
  <si>
    <t xml:space="preserve"> 71.4237 </t>
  </si>
  <si>
    <t xml:space="preserve">F:\images\20210407\plaque 2/@04 Testo+ FAD/C4_01.tif </t>
  </si>
  <si>
    <t xml:space="preserve"> 69.6957 </t>
  </si>
  <si>
    <t xml:space="preserve">F:\images\20210407\plaque 2/@04 Testo+ FAD/C4_02.tif </t>
  </si>
  <si>
    <t xml:space="preserve"> 63.6333 </t>
  </si>
  <si>
    <t xml:space="preserve">F:\images\20210407\plaque 2/@04 Testo+ FAD/C4_03.tif </t>
  </si>
  <si>
    <t xml:space="preserve"> 66.1935 </t>
  </si>
  <si>
    <t xml:space="preserve">F:\images\20210407\plaque 2/@04 Testo+ FAD/D4_01.tif </t>
  </si>
  <si>
    <t xml:space="preserve"> 1146.3844 </t>
  </si>
  <si>
    <t xml:space="preserve"> 64.7736 </t>
  </si>
  <si>
    <t xml:space="preserve">F:\images\20210407\plaque 2/@04 Testo+ FAD/D4_02.tif </t>
  </si>
  <si>
    <t xml:space="preserve"> 562.3773 </t>
  </si>
  <si>
    <t xml:space="preserve"> 63.9615 </t>
  </si>
  <si>
    <t xml:space="preserve">F:\images\20210407\plaque 2/@04 Testo+ FAD/D4_03.tif </t>
  </si>
  <si>
    <t xml:space="preserve"> 1384.3133 </t>
  </si>
  <si>
    <t xml:space="preserve"> 65.5781 </t>
  </si>
  <si>
    <t xml:space="preserve">F:\images\20210407\plaque 2/@04 Testo+ FAD/E4_01.tif </t>
  </si>
  <si>
    <t xml:space="preserve"> 1881.8008 </t>
  </si>
  <si>
    <t xml:space="preserve"> 63.908 </t>
  </si>
  <si>
    <t xml:space="preserve">F:\images\20210407\plaque 2/@04 Testo+ FAD/E4_02.tif </t>
  </si>
  <si>
    <t xml:space="preserve"> 865.1958 </t>
  </si>
  <si>
    <t xml:space="preserve"> 64.25 </t>
  </si>
  <si>
    <t xml:space="preserve">F:\images\20210407\plaque 2/@04 Testo+ FAD/E4_03.tif </t>
  </si>
  <si>
    <t xml:space="preserve">F:\images\20210407\plaque 2/@04 Testo+ FAD/F4_01.tif </t>
  </si>
  <si>
    <t xml:space="preserve"> 64.2759 </t>
  </si>
  <si>
    <t xml:space="preserve">F:\images\20210407\plaque 2/@04 Testo+ FAD/F4_02.tif </t>
  </si>
  <si>
    <t xml:space="preserve"> 4888.3562 </t>
  </si>
  <si>
    <t xml:space="preserve"> 68.4956 </t>
  </si>
  <si>
    <t xml:space="preserve">F:\images\20210407\plaque 2/@04 Testo+ FAD/F4_03.tif </t>
  </si>
  <si>
    <t xml:space="preserve"> 3850.1212 </t>
  </si>
  <si>
    <t xml:space="preserve"> 66.7528 </t>
  </si>
  <si>
    <t xml:space="preserve">F:\images\20210407\plaque 2/@04 Testo+ FAD/G4_01.tif </t>
  </si>
  <si>
    <t xml:space="preserve"> 65.4286 </t>
  </si>
  <si>
    <t xml:space="preserve">F:\images\20210407\plaque 2/@04 Testo+ FAD/G4_02.tif </t>
  </si>
  <si>
    <t xml:space="preserve"> 64.4286 </t>
  </si>
  <si>
    <t xml:space="preserve">F:\images\20210407\plaque 2/@04 Testo+ FAD/G4_03.tif </t>
  </si>
  <si>
    <t xml:space="preserve"> 63.8636 </t>
  </si>
  <si>
    <t xml:space="preserve">F:\images\20210407\plaque 2/@04 Testo+ FAD/H4_01.tif </t>
  </si>
  <si>
    <t xml:space="preserve"> 6791.7869 </t>
  </si>
  <si>
    <t xml:space="preserve"> 76.0669 </t>
  </si>
  <si>
    <t xml:space="preserve">F:\images\20210407\plaque 2/@04 Testo+ FAD/H4_02.tif </t>
  </si>
  <si>
    <t xml:space="preserve"> 7137.8652 </t>
  </si>
  <si>
    <t xml:space="preserve"> 72.0667 </t>
  </si>
  <si>
    <t xml:space="preserve">F:\images\20210407\plaque 2/@04 Testo+ FAD/H4_03.tif </t>
  </si>
  <si>
    <t xml:space="preserve"> 67.4 </t>
  </si>
  <si>
    <t xml:space="preserve">F:\images\20210407\plaque 2/@04 Testo+ FAD/ </t>
  </si>
  <si>
    <t xml:space="preserve"> 66.9051 </t>
  </si>
  <si>
    <t xml:space="preserve"> 4.1712 </t>
  </si>
  <si>
    <t xml:space="preserve"> 172702.083 </t>
  </si>
  <si>
    <t xml:space="preserve"> 185942.789 </t>
  </si>
  <si>
    <t xml:space="preserve">F:\images\20210407\plaque 2/@05 Fadrozole 5.4 µg_L Dopé/A5_01.tif </t>
  </si>
  <si>
    <t xml:space="preserve"> 62.5714 </t>
  </si>
  <si>
    <t xml:space="preserve">F:\images\20210407\plaque 2/@05 Fadrozole 5.4 µg_L Dopé/A5_02.tif </t>
  </si>
  <si>
    <t xml:space="preserve"> 2703.7368 </t>
  </si>
  <si>
    <t xml:space="preserve"> 67.136 </t>
  </si>
  <si>
    <t>F:\images\20210407\plaque 2/@05 Fadrozole 5.4 µg_L Dopé/A5_03- exclu.tif</t>
  </si>
  <si>
    <t xml:space="preserve">F:\images\20210407\plaque 2/@05 Fadrozole 5.4 µg_L Dopé/B5_01.tif </t>
  </si>
  <si>
    <t xml:space="preserve"> 2487.4379 </t>
  </si>
  <si>
    <t xml:space="preserve"> 67.1043 </t>
  </si>
  <si>
    <t xml:space="preserve">F:\images\20210407\plaque 2/@05 Fadrozole 5.4 µg_L Dopé/B5_02.tif </t>
  </si>
  <si>
    <t xml:space="preserve"> 63.4 </t>
  </si>
  <si>
    <t xml:space="preserve">F:\images\20210407\plaque 2/@05 Fadrozole 5.4 µg_L Dopé/B5_03.tif </t>
  </si>
  <si>
    <t xml:space="preserve"> 346.0783 </t>
  </si>
  <si>
    <t xml:space="preserve"> 64.5625 </t>
  </si>
  <si>
    <t xml:space="preserve">F:\images\20210407\plaque 2/@05 Fadrozole 5.4 µg_L Dopé/C5_01.tif </t>
  </si>
  <si>
    <t xml:space="preserve"> 64.1455 </t>
  </si>
  <si>
    <t xml:space="preserve">F:\images\20210407\plaque 2/@05 Fadrozole 5.4 µg_L Dopé/C5_02.tif </t>
  </si>
  <si>
    <t xml:space="preserve"> 1168.0143 </t>
  </si>
  <si>
    <t xml:space="preserve"> 65.2037 </t>
  </si>
  <si>
    <t xml:space="preserve">F:\images\20210407\plaque 2/@05 Fadrozole 5.4 µg_L Dopé/C5_03.tif </t>
  </si>
  <si>
    <t xml:space="preserve"> 63.5217 </t>
  </si>
  <si>
    <t xml:space="preserve">F:\images\20210407\plaque 2/@05 Fadrozole 5.4 µg_L Dopé/D5_01.tif </t>
  </si>
  <si>
    <t xml:space="preserve"> 68.104 </t>
  </si>
  <si>
    <t xml:space="preserve">F:\images\20210407\plaque 2/@05 Fadrozole 5.4 µg_L Dopé/D5_02.tif </t>
  </si>
  <si>
    <t xml:space="preserve"> 68.2449 </t>
  </si>
  <si>
    <t xml:space="preserve">F:\images\20210407\plaque 2/@05 Fadrozole 5.4 µg_L Dopé/D5_03.tif </t>
  </si>
  <si>
    <t xml:space="preserve"> 67.7526 </t>
  </si>
  <si>
    <t xml:space="preserve">F:\images\20210407\plaque 2/@05 Fadrozole 5.4 µg_L Dopé/E5_01.tif </t>
  </si>
  <si>
    <t xml:space="preserve">F:\images\20210407\plaque 2/@05 Fadrozole 5.4 µg_L Dopé/E5_02.tif </t>
  </si>
  <si>
    <t xml:space="preserve"> 65.7143 </t>
  </si>
  <si>
    <t xml:space="preserve">F:\images\20210407\plaque 2/@05 Fadrozole 5.4 µg_L Dopé/E5_03.tif </t>
  </si>
  <si>
    <t xml:space="preserve"> 63.5455 </t>
  </si>
  <si>
    <t xml:space="preserve">F:\images\20210407\plaque 2/@05 Fadrozole 5.4 µg_L Dopé/F5_01.tif </t>
  </si>
  <si>
    <t xml:space="preserve"> 64.8174 </t>
  </si>
  <si>
    <t xml:space="preserve">F:\images\20210407\plaque 2/@05 Fadrozole 5.4 µg_L Dopé/F5_02.tif </t>
  </si>
  <si>
    <t xml:space="preserve"> 63.5357 </t>
  </si>
  <si>
    <t xml:space="preserve">F:\images\20210407\plaque 2/@05 Fadrozole 5.4 µg_L Dopé/F5_03.tif </t>
  </si>
  <si>
    <t xml:space="preserve"> 62.7895 </t>
  </si>
  <si>
    <t xml:space="preserve">F:\images\20210407\plaque 2/@05 Fadrozole 5.4 µg_L Dopé/G5_01.tif </t>
  </si>
  <si>
    <t xml:space="preserve"> 66.7353 </t>
  </si>
  <si>
    <t>F:\images\20210407\plaque 2/@05 Fadrozole 5.4 µg_L Dopé/G5_02- exclu.tif</t>
  </si>
  <si>
    <t xml:space="preserve">F:\images\20210407\plaque 2/@05 Fadrozole 5.4 µg_L Dopé/G5_03.tif </t>
  </si>
  <si>
    <t xml:space="preserve"> 64.1809 </t>
  </si>
  <si>
    <t xml:space="preserve">F:\images\20210407\plaque 2/@05 Fadrozole 5.4 µg_L Dopé/H5_01.tif </t>
  </si>
  <si>
    <t xml:space="preserve">F:\images\20210407\plaque 2/@05 Fadrozole 5.4 µg_L Dopé/H5_02.tif </t>
  </si>
  <si>
    <t xml:space="preserve"> 64.5161 </t>
  </si>
  <si>
    <t xml:space="preserve">F:\images\20210407\plaque 2/@05 Fadrozole 5.4 µg_L Dopé/H5_03.tif </t>
  </si>
  <si>
    <t xml:space="preserve"> 62.4667 </t>
  </si>
  <si>
    <t xml:space="preserve">F:\images\20210407\plaque 2/@05 Fadrozole 5.4 µg_L Dopé/ </t>
  </si>
  <si>
    <t xml:space="preserve"> 64.7761 </t>
  </si>
  <si>
    <t xml:space="preserve"> 1.9329 </t>
  </si>
  <si>
    <t xml:space="preserve"> 88804.25 </t>
  </si>
  <si>
    <t xml:space="preserve"> 81902.1144 </t>
  </si>
  <si>
    <t xml:space="preserve">F:\images\20210407\plaque 2/@06 Fadrozole 11 µg_L Dopé/A6_01.tif </t>
  </si>
  <si>
    <t xml:space="preserve"> 11528.7338 </t>
  </si>
  <si>
    <t xml:space="preserve"> 84.8762 </t>
  </si>
  <si>
    <t xml:space="preserve">F:\images\20210407\plaque 2/@06 Fadrozole 11 µg_L Dopé/A6_02.tif </t>
  </si>
  <si>
    <t xml:space="preserve"> 12826.5275 </t>
  </si>
  <si>
    <t xml:space="preserve"> 83.2411 </t>
  </si>
  <si>
    <t>F:\images\20210407\plaque 2/@06 Fadrozole 11 µg_L Dopé/A6_03- exclu.tif</t>
  </si>
  <si>
    <t xml:space="preserve">F:\images\20210407\plaque 2/@06 Fadrozole 11 µg_L Dopé/B6_01.tif </t>
  </si>
  <si>
    <t xml:space="preserve"> 5450.7334 </t>
  </si>
  <si>
    <t xml:space="preserve"> 70.131 </t>
  </si>
  <si>
    <t xml:space="preserve">F:\images\20210407\plaque 2/@06 Fadrozole 11 µg_L Dopé/B6_02.tif </t>
  </si>
  <si>
    <t xml:space="preserve"> 70.3212 </t>
  </si>
  <si>
    <t xml:space="preserve">F:\images\20210407\plaque 2/@06 Fadrozole 11 µg_L Dopé/B6_03.tif </t>
  </si>
  <si>
    <t xml:space="preserve"> 66.0183 </t>
  </si>
  <si>
    <t xml:space="preserve">F:\images\20210407\plaque 2/@06 Fadrozole 11 µg_L Dopé/C6_01.tif </t>
  </si>
  <si>
    <t xml:space="preserve"> 584.0072 </t>
  </si>
  <si>
    <t xml:space="preserve"> 63.037 </t>
  </si>
  <si>
    <t xml:space="preserve">F:\images\20210407\plaque 2/@06 Fadrozole 11 µg_L Dopé/C6_02.tif </t>
  </si>
  <si>
    <t xml:space="preserve"> 65.5 </t>
  </si>
  <si>
    <t xml:space="preserve">F:\images\20210407\plaque 2/@06 Fadrozole 11 µg_L Dopé/C6_03.tif </t>
  </si>
  <si>
    <t xml:space="preserve"> 65.3478 </t>
  </si>
  <si>
    <t xml:space="preserve">F:\images\20210407\plaque 2/@06 Fadrozole 11 µg_L Dopé/D6_01.tif </t>
  </si>
  <si>
    <t xml:space="preserve"> 8089.5806 </t>
  </si>
  <si>
    <t xml:space="preserve"> 80.0107 </t>
  </si>
  <si>
    <t xml:space="preserve">F:\images\20210407\plaque 2/@06 Fadrozole 11 µg_L Dopé/D6_02.tif </t>
  </si>
  <si>
    <t xml:space="preserve"> 7397.424 </t>
  </si>
  <si>
    <t xml:space="preserve"> 76.6023 </t>
  </si>
  <si>
    <t xml:space="preserve">F:\images\20210407\plaque 2/@06 Fadrozole 11 µg_L Dopé/D6_03.tif </t>
  </si>
  <si>
    <t xml:space="preserve"> 9668.5629 </t>
  </si>
  <si>
    <t xml:space="preserve"> 75.7696 </t>
  </si>
  <si>
    <t xml:space="preserve">F:\images\20210407\plaque 2/@06 Fadrozole 11 µg_L Dopé/E6_01.tif </t>
  </si>
  <si>
    <t xml:space="preserve"> 6618.7478 </t>
  </si>
  <si>
    <t xml:space="preserve"> 68.2843 </t>
  </si>
  <si>
    <t xml:space="preserve">F:\images\20210407\plaque 2/@06 Fadrozole 11 µg_L Dopé/E6_02.tif </t>
  </si>
  <si>
    <t xml:space="preserve"> 5926.5911 </t>
  </si>
  <si>
    <t xml:space="preserve"> 67.7153 </t>
  </si>
  <si>
    <t xml:space="preserve">F:\images\20210407\plaque 2/@06 Fadrozole 11 µg_L Dopé/E6_03.tif </t>
  </si>
  <si>
    <t xml:space="preserve"> 4239.4593 </t>
  </si>
  <si>
    <t xml:space="preserve"> 68.5153 </t>
  </si>
  <si>
    <t xml:space="preserve">F:\images\20210407\plaque 2/@06 Fadrozole 11 µg_L Dopé/F6_01.tif </t>
  </si>
  <si>
    <t xml:space="preserve"> 63.3846 </t>
  </si>
  <si>
    <t xml:space="preserve">F:\images\20210407\plaque 2/@06 Fadrozole 11 µg_L Dopé/F6_02.tif </t>
  </si>
  <si>
    <t xml:space="preserve">F:\images\20210407\plaque 2/@06 Fadrozole 11 µg_L Dopé/F6_03.tif </t>
  </si>
  <si>
    <t xml:space="preserve"> 64.55 </t>
  </si>
  <si>
    <t xml:space="preserve">F:\images\20210407\plaque 2/@06 Fadrozole 11 µg_L Dopé/G6_01.tif </t>
  </si>
  <si>
    <t xml:space="preserve"> 4520.648 </t>
  </si>
  <si>
    <t xml:space="preserve"> 65.9139 </t>
  </si>
  <si>
    <t xml:space="preserve">F:\images\20210407\plaque 2/@06 Fadrozole 11 µg_L Dopé/G6_02.tif </t>
  </si>
  <si>
    <t xml:space="preserve"> 4607.1676 </t>
  </si>
  <si>
    <t xml:space="preserve"> 65.4554 </t>
  </si>
  <si>
    <t xml:space="preserve">F:\images\20210407\plaque 2/@06 Fadrozole 11 µg_L Dopé/G6_03.tif </t>
  </si>
  <si>
    <t xml:space="preserve"> 5840.0715 </t>
  </si>
  <si>
    <t xml:space="preserve"> 74.9333 </t>
  </si>
  <si>
    <t xml:space="preserve">F:\images\20210407\plaque 2/@06 Fadrozole 11 µg_L Dopé/H6_01.tif </t>
  </si>
  <si>
    <t xml:space="preserve">F:\images\20210407\plaque 2/@06 Fadrozole 11 µg_L Dopé/H6_02.tif </t>
  </si>
  <si>
    <t xml:space="preserve"> 66.2222 </t>
  </si>
  <si>
    <t xml:space="preserve">F:\images\20210407\plaque 2/@06 Fadrozole 11 µg_L Dopé/H6_03.tif </t>
  </si>
  <si>
    <t xml:space="preserve"> 63.4634 </t>
  </si>
  <si>
    <t xml:space="preserve">F:\images\20210407\plaque 2/@06 Fadrozole 11 µg_L Dopé/ </t>
  </si>
  <si>
    <t xml:space="preserve"> 69.8632 </t>
  </si>
  <si>
    <t xml:space="preserve"> 6.9553 </t>
  </si>
  <si>
    <t xml:space="preserve"> 356045.167 </t>
  </si>
  <si>
    <t xml:space="preserve"> 324934.229 </t>
  </si>
  <si>
    <t xml:space="preserve">F:\images\20210407\plaque 2/@07  Fadrozole 22 µg_L Dopé/A7_01.tif </t>
  </si>
  <si>
    <t xml:space="preserve">F:\images\20210407\plaque 2/@07  Fadrozole 22 µg_L Dopé/A7_02.tif </t>
  </si>
  <si>
    <t xml:space="preserve"> 63.5263 </t>
  </si>
  <si>
    <t xml:space="preserve">F:\images\20210407\plaque 2/@07  Fadrozole 22 µg_L Dopé/A7_03.tif </t>
  </si>
  <si>
    <t xml:space="preserve"> 62.7 </t>
  </si>
  <si>
    <t xml:space="preserve">F:\images\20210407\plaque 2/@07  Fadrozole 22 µg_L Dopé/B7_01.tif </t>
  </si>
  <si>
    <t xml:space="preserve"> 5429.1036 </t>
  </si>
  <si>
    <t xml:space="preserve"> 70.8207 </t>
  </si>
  <si>
    <t xml:space="preserve">F:\images\20210407\plaque 2/@07  Fadrozole 22 µg_L Dopé/B7_02.tif </t>
  </si>
  <si>
    <t xml:space="preserve"> 65.5822 </t>
  </si>
  <si>
    <t xml:space="preserve">F:\images\20210407\plaque 2/@07  Fadrozole 22 µg_L Dopé/B7_03.tif </t>
  </si>
  <si>
    <t xml:space="preserve">F:\images\20210407\plaque 2/@07  Fadrozole 22 µg_L Dopé/C7_01.tif </t>
  </si>
  <si>
    <t xml:space="preserve"> 63.1111 </t>
  </si>
  <si>
    <t xml:space="preserve">F:\images\20210407\plaque 2/@07  Fadrozole 22 µg_L Dopé/C7_02.tif </t>
  </si>
  <si>
    <t xml:space="preserve"> 66.5 </t>
  </si>
  <si>
    <t xml:space="preserve">F:\images\20210407\plaque 2/@07  Fadrozole 22 µg_L Dopé/C7_03.tif </t>
  </si>
  <si>
    <t xml:space="preserve"> 64.4091 </t>
  </si>
  <si>
    <t xml:space="preserve">F:\images\20210407\plaque 2/@07  Fadrozole 22 µg_L Dopé/D7_01.tif </t>
  </si>
  <si>
    <t xml:space="preserve"> 65.2692 </t>
  </si>
  <si>
    <t xml:space="preserve">F:\images\20210407\plaque 2/@07  Fadrozole 22 µg_L Dopé/D7_02.tif </t>
  </si>
  <si>
    <t xml:space="preserve"> 64.4062 </t>
  </si>
  <si>
    <t xml:space="preserve">F:\images\20210407\plaque 2/@07  Fadrozole 22 µg_L Dopé/D7_03.tif </t>
  </si>
  <si>
    <t xml:space="preserve"> 65.3214 </t>
  </si>
  <si>
    <t xml:space="preserve">F:\images\20210407\plaque 2/@07  Fadrozole 22 µg_L Dopé/E7_01.tif </t>
  </si>
  <si>
    <t xml:space="preserve">F:\images\20210407\plaque 2/@07  Fadrozole 22 µg_L Dopé/E7_02.tif </t>
  </si>
  <si>
    <t xml:space="preserve">F:\images\20210407\plaque 2/@07  Fadrozole 22 µg_L Dopé/E7_03.tif </t>
  </si>
  <si>
    <t xml:space="preserve"> 64.6667 </t>
  </si>
  <si>
    <t xml:space="preserve">F:\images\20210407\plaque 2/@07  Fadrozole 22 µg_L Dopé/F7_01.tif </t>
  </si>
  <si>
    <t xml:space="preserve"> 65.3721 </t>
  </si>
  <si>
    <t xml:space="preserve">F:\images\20210407\plaque 2/@07  Fadrozole 22 µg_L Dopé/F7_02.tif </t>
  </si>
  <si>
    <t xml:space="preserve"> 67.7791 </t>
  </si>
  <si>
    <t xml:space="preserve">F:\images\20210407\plaque 2/@07  Fadrozole 22 µg_L Dopé/F7_03.tif </t>
  </si>
  <si>
    <t xml:space="preserve"> 63.5385 </t>
  </si>
  <si>
    <t xml:space="preserve">F:\images\20210407\plaque 2/@07  Fadrozole 22 µg_L Dopé/G7_01.tif </t>
  </si>
  <si>
    <t xml:space="preserve"> 64.375 </t>
  </si>
  <si>
    <t xml:space="preserve">F:\images\20210407\plaque 2/@07  Fadrozole 22 µg_L Dopé/G7_02.tif </t>
  </si>
  <si>
    <t xml:space="preserve"> 62.4545 </t>
  </si>
  <si>
    <t xml:space="preserve">F:\images\20210407\plaque 2/@07  Fadrozole 22 µg_L Dopé/G7_03.tif </t>
  </si>
  <si>
    <t xml:space="preserve"> 64.9333 </t>
  </si>
  <si>
    <t xml:space="preserve">F:\images\20210407\plaque 2/@07  Fadrozole 22 µg_L Dopé/H7_01.tif </t>
  </si>
  <si>
    <t xml:space="preserve"> 63.5 </t>
  </si>
  <si>
    <t xml:space="preserve">F:\images\20210407\plaque 2/@07  Fadrozole 22 µg_L Dopé/H7_02.tif </t>
  </si>
  <si>
    <t xml:space="preserve"> 63.125 </t>
  </si>
  <si>
    <t xml:space="preserve">F:\images\20210407\plaque 2/@07  Fadrozole 22 µg_L Dopé/H7_03.tif </t>
  </si>
  <si>
    <t xml:space="preserve"> 64.75 </t>
  </si>
  <si>
    <t xml:space="preserve">F:\images\20210407\plaque 2/@07  Fadrozole 22 µg_L Dopé/ </t>
  </si>
  <si>
    <t xml:space="preserve"> 64.8098 </t>
  </si>
  <si>
    <t xml:space="preserve"> 1.7706 </t>
  </si>
  <si>
    <t xml:space="preserve"> 70812.7083 </t>
  </si>
  <si>
    <t xml:space="preserve"> 104706.132 </t>
  </si>
  <si>
    <t xml:space="preserve">F:\images\20210407\plaque 2/@08 Fadrozole 44 µg_L Dopé/A8_01.tif </t>
  </si>
  <si>
    <t xml:space="preserve"> 3460.7831 </t>
  </si>
  <si>
    <t xml:space="preserve"> 72.1688 </t>
  </si>
  <si>
    <t xml:space="preserve">F:\images\20210407\plaque 2/@08 Fadrozole 44 µg_L Dopé/A8_02.tif </t>
  </si>
  <si>
    <t xml:space="preserve"> 7613.7229 </t>
  </si>
  <si>
    <t xml:space="preserve"> 78.9489 </t>
  </si>
  <si>
    <t xml:space="preserve">F:\images\20210407\plaque 2/@08 Fadrozole 44 µg_L Dopé/A8_03.tif </t>
  </si>
  <si>
    <t xml:space="preserve"> 778.6762 </t>
  </si>
  <si>
    <t xml:space="preserve"> 66.5556 </t>
  </si>
  <si>
    <t xml:space="preserve">F:\images\20210407\plaque 2/@08 Fadrozole 44 µg_L Dopé/B8_01.tif </t>
  </si>
  <si>
    <t xml:space="preserve"> 64.9359 </t>
  </si>
  <si>
    <t xml:space="preserve">F:\images\20210407\plaque 2/@08 Fadrozole 44 µg_L Dopé/B8_02.tif </t>
  </si>
  <si>
    <t xml:space="preserve"> 3395.8935 </t>
  </si>
  <si>
    <t xml:space="preserve"> 65.9873 </t>
  </si>
  <si>
    <t xml:space="preserve">F:\images\20210407\plaque 2/@08 Fadrozole 44 µg_L Dopé/B8_03.tif </t>
  </si>
  <si>
    <t xml:space="preserve"> 71.2812 </t>
  </si>
  <si>
    <t xml:space="preserve">F:\images\20210407\plaque 2/@08 Fadrozole 44 µg_L Dopé/C8_01.tif </t>
  </si>
  <si>
    <t xml:space="preserve"> 64.1538 </t>
  </si>
  <si>
    <t xml:space="preserve">F:\images\20210407\plaque 2/@08 Fadrozole 44 µg_L Dopé/C8_02.tif </t>
  </si>
  <si>
    <t xml:space="preserve"> 63.36 </t>
  </si>
  <si>
    <t xml:space="preserve">F:\images\20210407\plaque 2/@08 Fadrozole 44 µg_L Dopé/C8_03.tif </t>
  </si>
  <si>
    <t xml:space="preserve"> 62.1667 </t>
  </si>
  <si>
    <t xml:space="preserve">F:\images\20210407\plaque 2/@08 Fadrozole 44 µg_L Dopé/D8_01.tif </t>
  </si>
  <si>
    <t>F:\images\20210407\plaque 2/@08 Fadrozole 44 µg_L Dopé/D8_02- exclu.tif</t>
  </si>
  <si>
    <t xml:space="preserve">F:\images\20210407\plaque 2/@08 Fadrozole 44 µg_L Dopé/D8_03.tif </t>
  </si>
  <si>
    <t xml:space="preserve">F:\images\20210407\plaque 2/@08 Fadrozole 44 µg_L Dopé/E8_01.tif </t>
  </si>
  <si>
    <t xml:space="preserve"> 62.4783 </t>
  </si>
  <si>
    <t xml:space="preserve">F:\images\20210407\plaque 2/@08 Fadrozole 44 µg_L Dopé/E8_02.tif </t>
  </si>
  <si>
    <t xml:space="preserve"> 63.7586 </t>
  </si>
  <si>
    <t xml:space="preserve">F:\images\20210407\plaque 2/@08 Fadrozole 44 µg_L Dopé/E8_03.tif </t>
  </si>
  <si>
    <t xml:space="preserve"> 62.84 </t>
  </si>
  <si>
    <t xml:space="preserve">F:\images\20210407\plaque 2/@08 Fadrozole 44 µg_L Dopé/F8_01.tif </t>
  </si>
  <si>
    <t xml:space="preserve">F:\images\20210407\plaque 2/@08 Fadrozole 44 µg_L Dopé/F8_02.tif </t>
  </si>
  <si>
    <t xml:space="preserve"> 1362.6834 </t>
  </si>
  <si>
    <t xml:space="preserve"> 68.1587 </t>
  </si>
  <si>
    <t xml:space="preserve">F:\images\20210407\plaque 2/@08 Fadrozole 44 µg_L Dopé/F8_03.tif </t>
  </si>
  <si>
    <t xml:space="preserve"> 63.3077 </t>
  </si>
  <si>
    <t xml:space="preserve">F:\images\20210407\plaque 2/@08 Fadrozole 44 µg_L Dopé/G8_01.tif </t>
  </si>
  <si>
    <t xml:space="preserve"> 61.2857 </t>
  </si>
  <si>
    <t>F:\images\20210407\plaque 2/@08 Fadrozole 44 µg_L Dopé/G8_02- exclu.tif</t>
  </si>
  <si>
    <t xml:space="preserve">F:\images\20210407\plaque 2/@08 Fadrozole 44 µg_L Dopé/G8_03.tif </t>
  </si>
  <si>
    <t xml:space="preserve"> 64.1071 </t>
  </si>
  <si>
    <t xml:space="preserve">F:\images\20210407\plaque 2/@08 Fadrozole 44 µg_L Dopé/H8_01.tif </t>
  </si>
  <si>
    <t xml:space="preserve"> 69.92 </t>
  </si>
  <si>
    <t xml:space="preserve">F:\images\20210407\plaque 2/@08 Fadrozole 44 µg_L Dopé/H8_02.tif </t>
  </si>
  <si>
    <t xml:space="preserve"> 1535.7225 </t>
  </si>
  <si>
    <t xml:space="preserve"> 72.6056 </t>
  </si>
  <si>
    <t xml:space="preserve">F:\images\20210407\plaque 2/@08 Fadrozole 44 µg_L Dopé/H8_03.tif </t>
  </si>
  <si>
    <t xml:space="preserve"> 67.9138 </t>
  </si>
  <si>
    <t xml:space="preserve">F:\images\20210407\plaque 2/@08 Fadrozole 44 µg_L Dopé/ </t>
  </si>
  <si>
    <t xml:space="preserve"> 66.1946 </t>
  </si>
  <si>
    <t xml:space="preserve"> 4.1665 </t>
  </si>
  <si>
    <t xml:space="preserve"> 85960.8333 </t>
  </si>
  <si>
    <t xml:space="preserve"> 125962.049 </t>
  </si>
  <si>
    <t xml:space="preserve">F:\images\20210407\plaque 2/@09  Fadrozole 87 µg_L Dopé/A9_01.tif </t>
  </si>
  <si>
    <t xml:space="preserve"> 62.9565 </t>
  </si>
  <si>
    <t xml:space="preserve">F:\images\20210407\plaque 2/@09  Fadrozole 87 µg_L Dopé/A9_02.tif </t>
  </si>
  <si>
    <t xml:space="preserve"> 62.8182 </t>
  </si>
  <si>
    <t xml:space="preserve">F:\images\20210407\plaque 2/@09  Fadrozole 87 µg_L Dopé/A9_03.tif </t>
  </si>
  <si>
    <t xml:space="preserve"> 65.6786 </t>
  </si>
  <si>
    <t xml:space="preserve">F:\images\20210407\plaque 2/@09  Fadrozole 87 µg_L Dopé/B9_01.tif </t>
  </si>
  <si>
    <t xml:space="preserve"> 973.3453 </t>
  </si>
  <si>
    <t xml:space="preserve"> 64.8667 </t>
  </si>
  <si>
    <t xml:space="preserve">F:\images\20210407\plaque 2/@09  Fadrozole 87 µg_L Dopé/B9_02.tif </t>
  </si>
  <si>
    <t xml:space="preserve"> 1492.4627 </t>
  </si>
  <si>
    <t xml:space="preserve"> 67.7536 </t>
  </si>
  <si>
    <t xml:space="preserve">F:\images\20210407\plaque 2/@09  Fadrozole 87 µg_L Dopé/B9_03.tif </t>
  </si>
  <si>
    <t xml:space="preserve"> 66.343 </t>
  </si>
  <si>
    <t xml:space="preserve">F:\images\20210407\plaque 2/@09  Fadrozole 87 µg_L Dopé/C9_01.tif </t>
  </si>
  <si>
    <t xml:space="preserve"> 4217.8295 </t>
  </si>
  <si>
    <t xml:space="preserve"> 67.1641 </t>
  </si>
  <si>
    <t xml:space="preserve">F:\images\20210407\plaque 2/@09  Fadrozole 87 µg_L Dopé/C9_02.tif </t>
  </si>
  <si>
    <t xml:space="preserve"> 66.1 </t>
  </si>
  <si>
    <t xml:space="preserve">F:\images\20210407\plaque 2/@09  Fadrozole 87 µg_L Dopé/C9_03.tif </t>
  </si>
  <si>
    <t xml:space="preserve"> 64.1379 </t>
  </si>
  <si>
    <t xml:space="preserve">F:\images\20210407\plaque 2/@09  Fadrozole 87 µg_L Dopé/D9_01.tif </t>
  </si>
  <si>
    <t xml:space="preserve"> 63.6 </t>
  </si>
  <si>
    <t xml:space="preserve">F:\images\20210407\plaque 2/@09  Fadrozole 87 µg_L Dopé/D9_02.tif </t>
  </si>
  <si>
    <t xml:space="preserve"> 62.7778 </t>
  </si>
  <si>
    <t xml:space="preserve">F:\images\20210407\plaque 2/@09  Fadrozole 87 µg_L Dopé/D9_03.tif </t>
  </si>
  <si>
    <t xml:space="preserve">F:\images\20210407\plaque 2/@09  Fadrozole 87 µg_L Dopé/E9_01.tif </t>
  </si>
  <si>
    <t xml:space="preserve"> 65.5862 </t>
  </si>
  <si>
    <t xml:space="preserve">F:\images\20210407\plaque 2/@09  Fadrozole 87 µg_L Dopé/E9_02.tif </t>
  </si>
  <si>
    <t xml:space="preserve">F:\images\20210407\plaque 2/@09  Fadrozole 87 µg_L Dopé/E9_03.tif </t>
  </si>
  <si>
    <t xml:space="preserve"> 64.3333 </t>
  </si>
  <si>
    <t xml:space="preserve">F:\images\20210407\plaque 2/@09  Fadrozole 87 µg_L Dopé/F9_01.tif </t>
  </si>
  <si>
    <t xml:space="preserve"> 66.5775 </t>
  </si>
  <si>
    <t xml:space="preserve">F:\images\20210407\plaque 2/@09  Fadrozole 87 µg_L Dopé/F9_02.tif </t>
  </si>
  <si>
    <t xml:space="preserve"> 2314.3987 </t>
  </si>
  <si>
    <t xml:space="preserve"> 67.4299 </t>
  </si>
  <si>
    <t xml:space="preserve">F:\images\20210407\plaque 2/@09  Fadrozole 87 µg_L Dopé/F9_03.tif </t>
  </si>
  <si>
    <t xml:space="preserve"> 821.936 </t>
  </si>
  <si>
    <t xml:space="preserve"> 65.7632 </t>
  </si>
  <si>
    <t xml:space="preserve">F:\images\20210407\plaque 2/@09  Fadrozole 87 µg_L Dopé/G9_01.tif </t>
  </si>
  <si>
    <t xml:space="preserve">F:\images\20210407\plaque 2/@09  Fadrozole 87 µg_L Dopé/G9_02.tif </t>
  </si>
  <si>
    <t xml:space="preserve"> 64.28 </t>
  </si>
  <si>
    <t xml:space="preserve">F:\images\20210407\plaque 2/@09  Fadrozole 87 µg_L Dopé/G9_03.tif </t>
  </si>
  <si>
    <t xml:space="preserve">F:\images\20210407\plaque 2/@09  Fadrozole 87 µg_L Dopé/H9_01.tif </t>
  </si>
  <si>
    <t xml:space="preserve"> 63.0769 </t>
  </si>
  <si>
    <t xml:space="preserve">F:\images\20210407\plaque 2/@09  Fadrozole 87 µg_L Dopé/H9_02.tif </t>
  </si>
  <si>
    <t xml:space="preserve"> 64.8182 </t>
  </si>
  <si>
    <t xml:space="preserve">F:\images\20210407\plaque 2/@09  Fadrozole 87 µg_L Dopé/H9_03.tif </t>
  </si>
  <si>
    <t xml:space="preserve">F:\images\20210407\plaque 2/@09  Fadrozole 87 µg_L Dopé/ </t>
  </si>
  <si>
    <t xml:space="preserve"> 64.8995 </t>
  </si>
  <si>
    <t xml:space="preserve"> 1.5947 </t>
  </si>
  <si>
    <t xml:space="preserve"> 63262.125 </t>
  </si>
  <si>
    <t xml:space="preserve"> 71221.8113 </t>
  </si>
  <si>
    <t>Colonne1</t>
  </si>
  <si>
    <t>01 Evian + 0.2% DMSO</t>
  </si>
  <si>
    <t>02 EE2 33.8</t>
  </si>
  <si>
    <t>03 EE2 50.6</t>
  </si>
  <si>
    <t>04 EE2 76</t>
  </si>
  <si>
    <t>05 EE2 114</t>
  </si>
  <si>
    <t>06 EE2 170.9</t>
  </si>
  <si>
    <t>07 EE2 488</t>
  </si>
  <si>
    <t>08 Fadrozole 5.4 µg_L</t>
  </si>
  <si>
    <t>09 Fadrozole 11 µg_L</t>
  </si>
  <si>
    <t>10 Fadrozole 22 µg_L</t>
  </si>
  <si>
    <t>11 Fadrozole 44 µg_L</t>
  </si>
  <si>
    <t>12Fadrozole 87 µg_L</t>
  </si>
  <si>
    <t>01 Testo 30</t>
  </si>
  <si>
    <t>02 Testo 30</t>
  </si>
  <si>
    <t>03 Testo+ EE2 64</t>
  </si>
  <si>
    <t>04 Testo+ FAD</t>
  </si>
  <si>
    <t>05 Fadrozole 5.4 µg_L Dopé</t>
  </si>
  <si>
    <t>06 Fadrozole 11 µg_L Dopé</t>
  </si>
  <si>
    <t>07  Fadrozole 22 µg_L Dopé</t>
  </si>
  <si>
    <t>08 Fadrozole 44 µg_L Dopé</t>
  </si>
  <si>
    <t>09  Fadrozole 87 µg_L Dopé</t>
  </si>
  <si>
    <t>B</t>
  </si>
  <si>
    <t>C</t>
  </si>
  <si>
    <t>D</t>
  </si>
  <si>
    <t>E</t>
  </si>
  <si>
    <t>F</t>
  </si>
  <si>
    <t>G</t>
  </si>
  <si>
    <t>H</t>
  </si>
  <si>
    <t>Fadrozole-5,4µg/L + Testostérone</t>
  </si>
  <si>
    <t>Fadrozole-11µg/L + Testostérone</t>
  </si>
  <si>
    <t>Fadrozole-22µg/L + Testostérone</t>
  </si>
  <si>
    <t>Fadrozole-44µg/L + Testostérone</t>
  </si>
  <si>
    <t>Fadrozole-87µg/L + Testostérone</t>
  </si>
  <si>
    <t>Krustall Wallis</t>
  </si>
  <si>
    <t>&lt;0,0001</t>
  </si>
  <si>
    <t xml:space="preserve">F:\images\20210408\plaque 1/@01 Evian + 0.2% DMSO/A1_01.tif </t>
  </si>
  <si>
    <t xml:space="preserve"> 68.1086 </t>
  </si>
  <si>
    <t xml:space="preserve">F:\images\20210408\plaque 1/@01 Evian + 0.2% DMSO/A1_02.tif </t>
  </si>
  <si>
    <t xml:space="preserve"> 65.3818 </t>
  </si>
  <si>
    <t xml:space="preserve">F:\images\20210408\plaque 1/@01 Evian + 0.2% DMSO/A1_03.tif </t>
  </si>
  <si>
    <t xml:space="preserve"> 2595.5874 </t>
  </si>
  <si>
    <t xml:space="preserve"> 66.275 </t>
  </si>
  <si>
    <t xml:space="preserve">F:\images\20210408\plaque 1/@01 Evian + 0.2% DMSO/B1_01.tif </t>
  </si>
  <si>
    <t xml:space="preserve"> 6726.8972 </t>
  </si>
  <si>
    <t xml:space="preserve"> 71.4534 </t>
  </si>
  <si>
    <t xml:space="preserve">F:\images\20210408\plaque 1/@01 Evian + 0.2% DMSO/B1_02.tif </t>
  </si>
  <si>
    <t xml:space="preserve"> 11312.4349 </t>
  </si>
  <si>
    <t xml:space="preserve"> 75.8375 </t>
  </si>
  <si>
    <t xml:space="preserve">F:\images\20210408\plaque 1/@01 Evian + 0.2% DMSO/B1_03.tif </t>
  </si>
  <si>
    <t xml:space="preserve"> 6380.8189 </t>
  </si>
  <si>
    <t xml:space="preserve"> 82.4746 </t>
  </si>
  <si>
    <t xml:space="preserve">F:\images\20210408\plaque 1/@01 Evian + 0.2% DMSO/C1_01.tif </t>
  </si>
  <si>
    <t xml:space="preserve"> 5083.0252 </t>
  </si>
  <si>
    <t xml:space="preserve"> 67.8638 </t>
  </si>
  <si>
    <t xml:space="preserve">F:\images\20210408\plaque 1/@01 Evian + 0.2% DMSO/C1_02.tif </t>
  </si>
  <si>
    <t xml:space="preserve"> 66.322 </t>
  </si>
  <si>
    <t xml:space="preserve">F:\images\20210408\plaque 1/@01 Evian + 0.2% DMSO/C1_03.tif </t>
  </si>
  <si>
    <t xml:space="preserve"> 6813.4168 </t>
  </si>
  <si>
    <t xml:space="preserve"> 70.6159 </t>
  </si>
  <si>
    <t xml:space="preserve">F:\images\20210408\plaque 1/@01 Evian + 0.2% DMSO/D1_01.tif </t>
  </si>
  <si>
    <t xml:space="preserve"> 29048.9485 </t>
  </si>
  <si>
    <t xml:space="preserve"> 110.5748 </t>
  </si>
  <si>
    <t xml:space="preserve">F:\images\20210408\plaque 1/@01 Evian + 0.2% DMSO/D1_02.tif </t>
  </si>
  <si>
    <t xml:space="preserve"> 22062.4925 </t>
  </si>
  <si>
    <t xml:space="preserve"> 116.8392 </t>
  </si>
  <si>
    <t xml:space="preserve">F:\images\20210408\plaque 1/@01 Evian + 0.2% DMSO/D1_03.tif </t>
  </si>
  <si>
    <t xml:space="preserve"> 22581.61 </t>
  </si>
  <si>
    <t xml:space="preserve"> 117.7375 </t>
  </si>
  <si>
    <t xml:space="preserve">F:\images\20210408\plaque 1/@01 Evian + 0.2% DMSO/E1_01.tif </t>
  </si>
  <si>
    <t xml:space="preserve"> 72.3586 </t>
  </si>
  <si>
    <t xml:space="preserve">F:\images\20210408\plaque 1/@01 Evian + 0.2% DMSO/E1_02.tif </t>
  </si>
  <si>
    <t xml:space="preserve"> 5558.8829 </t>
  </si>
  <si>
    <t xml:space="preserve"> 74.2568 </t>
  </si>
  <si>
    <t xml:space="preserve">F:\images\20210408\plaque 1/@01 Evian + 0.2% DMSO/E1_03.tif </t>
  </si>
  <si>
    <t xml:space="preserve"> 70.7895 </t>
  </si>
  <si>
    <t xml:space="preserve">F:\images\20210408\plaque 1/@01 Evian + 0.2% DMSO/F1_01.tif </t>
  </si>
  <si>
    <t xml:space="preserve">F:\images\20210408\plaque 1/@01 Evian + 0.2% DMSO/F1_02.tif </t>
  </si>
  <si>
    <t xml:space="preserve">F:\images\20210408\plaque 1/@01 Evian + 0.2% DMSO/F1_03.tif </t>
  </si>
  <si>
    <t xml:space="preserve"> 1795.2813 </t>
  </si>
  <si>
    <t xml:space="preserve"> 65.1205 </t>
  </si>
  <si>
    <t xml:space="preserve">F:\images\20210408\plaque 1/@01 Evian + 0.2% DMSO/G1_01.tif </t>
  </si>
  <si>
    <t xml:space="preserve"> 64.4627 </t>
  </si>
  <si>
    <t xml:space="preserve">F:\images\20210408\plaque 1/@01 Evian + 0.2% DMSO/G1_02.tif </t>
  </si>
  <si>
    <t xml:space="preserve">F:\images\20210408\plaque 1/@01 Evian + 0.2% DMSO/G1_03.tif </t>
  </si>
  <si>
    <t xml:space="preserve"> 62.1111 </t>
  </si>
  <si>
    <t xml:space="preserve">F:\images\20210408\plaque 1/@01 Evian + 0.2% DMSO/H1_01.tif </t>
  </si>
  <si>
    <t xml:space="preserve"> 64.2222 </t>
  </si>
  <si>
    <t xml:space="preserve">F:\images\20210408\plaque 1/@01 Evian + 0.2% DMSO/H1_02.tif </t>
  </si>
  <si>
    <t xml:space="preserve">F:\images\20210408\plaque 1/@01 Evian + 0.2% DMSO/H1_03.tif </t>
  </si>
  <si>
    <t xml:space="preserve"> 64.8897 </t>
  </si>
  <si>
    <t xml:space="preserve">F:\images\20210408\plaque 1/@01 Evian + 0.2% DMSO/ </t>
  </si>
  <si>
    <t xml:space="preserve"> 73.731 </t>
  </si>
  <si>
    <t xml:space="preserve"> 16.7203 </t>
  </si>
  <si>
    <t xml:space="preserve"> 570071.292 </t>
  </si>
  <si>
    <t xml:space="preserve"> 900552.324 </t>
  </si>
  <si>
    <t xml:space="preserve">F:\images\20210408\plaque 1/@02 EE2 33.8/A2_01.tif </t>
  </si>
  <si>
    <t xml:space="preserve"> 4001.5305 </t>
  </si>
  <si>
    <t xml:space="preserve"> 65.8324 </t>
  </si>
  <si>
    <t xml:space="preserve">F:\images\20210408\plaque 1/@02 EE2 33.8/A2_02.tif </t>
  </si>
  <si>
    <t xml:space="preserve"> 5299.3242 </t>
  </si>
  <si>
    <t xml:space="preserve"> 67.0653 </t>
  </si>
  <si>
    <t xml:space="preserve">F:\images\20210408\plaque 1/@02 EE2 33.8/A2_03.tif </t>
  </si>
  <si>
    <t xml:space="preserve"> 63.6429 </t>
  </si>
  <si>
    <t xml:space="preserve">F:\images\20210408\plaque 1/@02 EE2 33.8/B2_01.tif </t>
  </si>
  <si>
    <t xml:space="preserve"> 12761.6378 </t>
  </si>
  <si>
    <t xml:space="preserve"> 76.9864 </t>
  </si>
  <si>
    <t xml:space="preserve">F:\images\20210408\plaque 1/@02 EE2 33.8/B2_02.tif </t>
  </si>
  <si>
    <t xml:space="preserve"> 10923.0968 </t>
  </si>
  <si>
    <t xml:space="preserve"> 74.8238 </t>
  </si>
  <si>
    <t xml:space="preserve">F:\images\20210408\plaque 1/@02 EE2 33.8/B2_03.tif </t>
  </si>
  <si>
    <t xml:space="preserve"> 7894.9115 </t>
  </si>
  <si>
    <t xml:space="preserve"> 76.4658 </t>
  </si>
  <si>
    <t xml:space="preserve">F:\images\20210408\plaque 1/@02 EE2 33.8/C2_01.tif </t>
  </si>
  <si>
    <t xml:space="preserve"> 63.7895 </t>
  </si>
  <si>
    <t xml:space="preserve">F:\images\20210408\plaque 1/@02 EE2 33.8/C2_02.tif </t>
  </si>
  <si>
    <t xml:space="preserve"> 3677.0821 </t>
  </si>
  <si>
    <t xml:space="preserve"> 65.9294 </t>
  </si>
  <si>
    <t xml:space="preserve">F:\images\20210408\plaque 1/@02 EE2 33.8/C2_03.tif </t>
  </si>
  <si>
    <t xml:space="preserve"> 65.4684 </t>
  </si>
  <si>
    <t xml:space="preserve">F:\images\20210408\plaque 1/@02 EE2 33.8/D2_01.tif </t>
  </si>
  <si>
    <t xml:space="preserve"> 70.2567 </t>
  </si>
  <si>
    <t xml:space="preserve">F:\images\20210408\plaque 1/@02 EE2 33.8/D2_02.tif </t>
  </si>
  <si>
    <t xml:space="preserve"> 4131.3099 </t>
  </si>
  <si>
    <t xml:space="preserve"> 67.5079 </t>
  </si>
  <si>
    <t xml:space="preserve">F:\images\20210408\plaque 1/@02 EE2 33.8/D2_03.tif </t>
  </si>
  <si>
    <t xml:space="preserve"> 7808.392 </t>
  </si>
  <si>
    <t xml:space="preserve"> 74.7036 </t>
  </si>
  <si>
    <t xml:space="preserve">F:\images\20210408\plaque 1/@02 EE2 33.8/E2_01.tif </t>
  </si>
  <si>
    <t xml:space="preserve"> 6251.0395 </t>
  </si>
  <si>
    <t xml:space="preserve"> 69.654 </t>
  </si>
  <si>
    <t xml:space="preserve">F:\images\20210408\plaque 1/@02 EE2 33.8/E2_02.tif </t>
  </si>
  <si>
    <t xml:space="preserve"> 62.814 </t>
  </si>
  <si>
    <t xml:space="preserve">F:\images\20210408\plaque 1/@02 EE2 33.8/E2_03.tif </t>
  </si>
  <si>
    <t xml:space="preserve">F:\images\20210408\plaque 1/@02 EE2 33.8/F2_01.tif </t>
  </si>
  <si>
    <t xml:space="preserve"> 67.4351 </t>
  </si>
  <si>
    <t xml:space="preserve">F:\images\20210408\plaque 1/@02 EE2 33.8/F2_02.tif </t>
  </si>
  <si>
    <t xml:space="preserve"> 2292.7688 </t>
  </si>
  <si>
    <t xml:space="preserve"> 65.4811 </t>
  </si>
  <si>
    <t xml:space="preserve">F:\images\20210408\plaque 1/@02 EE2 33.8/F2_03.tif </t>
  </si>
  <si>
    <t xml:space="preserve"> 65.1176 </t>
  </si>
  <si>
    <t xml:space="preserve">F:\images\20210408\plaque 1/@02 EE2 33.8/G2_01.tif </t>
  </si>
  <si>
    <t xml:space="preserve"> 68.0887 </t>
  </si>
  <si>
    <t xml:space="preserve">F:\images\20210408\plaque 1/@02 EE2 33.8/G2_02.tif </t>
  </si>
  <si>
    <t xml:space="preserve"> 63.9583 </t>
  </si>
  <si>
    <t xml:space="preserve">F:\images\20210408\plaque 1/@02 EE2 33.8/G2_03.tif </t>
  </si>
  <si>
    <t xml:space="preserve"> 3568.9326 </t>
  </si>
  <si>
    <t xml:space="preserve"> 65.2667 </t>
  </si>
  <si>
    <t xml:space="preserve">F:\images\20210408\plaque 1/@02 EE2 33.8/H2_01.tif </t>
  </si>
  <si>
    <t xml:space="preserve"> 9062.9258 </t>
  </si>
  <si>
    <t xml:space="preserve"> 72.5656 </t>
  </si>
  <si>
    <t xml:space="preserve">F:\images\20210408\plaque 1/@02 EE2 33.8/H2_02.tif </t>
  </si>
  <si>
    <t xml:space="preserve"> 5991.4808 </t>
  </si>
  <si>
    <t xml:space="preserve"> 68.1697 </t>
  </si>
  <si>
    <t xml:space="preserve">F:\images\20210408\plaque 1/@02 EE2 33.8/H2_03.tif </t>
  </si>
  <si>
    <t xml:space="preserve"> 8262.6197 </t>
  </si>
  <si>
    <t xml:space="preserve"> 71.6309 </t>
  </si>
  <si>
    <t xml:space="preserve">F:\images\20210408\plaque 1/@02 EE2 33.8/ </t>
  </si>
  <si>
    <t xml:space="preserve"> 68.1106 </t>
  </si>
  <si>
    <t xml:space="preserve"> 4.3759 </t>
  </si>
  <si>
    <t xml:space="preserve"> 256418.9 </t>
  </si>
  <si>
    <t xml:space="preserve">F:\images\20210408\plaque 1/@03 EE2 50.6/A3_01.tif </t>
  </si>
  <si>
    <t xml:space="preserve"> 64.2991 </t>
  </si>
  <si>
    <t xml:space="preserve">F:\images\20210408\plaque 1/@03 EE2 50.6/A3_02.tif </t>
  </si>
  <si>
    <t xml:space="preserve"> 63.8088 </t>
  </si>
  <si>
    <t xml:space="preserve">F:\images\20210408\plaque 1/@03 EE2 50.6/A3_03.tif </t>
  </si>
  <si>
    <t xml:space="preserve"> 3114.7048 </t>
  </si>
  <si>
    <t xml:space="preserve"> 65.7917 </t>
  </si>
  <si>
    <t xml:space="preserve">F:\images\20210408\plaque 1/@03 EE2 50.6/B3_01.tif </t>
  </si>
  <si>
    <t xml:space="preserve"> 63.7971 </t>
  </si>
  <si>
    <t xml:space="preserve">F:\images\20210408\plaque 1/@03 EE2 50.6/B3_02.tif </t>
  </si>
  <si>
    <t xml:space="preserve"> 64.4832 </t>
  </si>
  <si>
    <t xml:space="preserve">F:\images\20210408\plaque 1/@03 EE2 50.6/B3_03.tif </t>
  </si>
  <si>
    <t xml:space="preserve"> 3244.4842 </t>
  </si>
  <si>
    <t xml:space="preserve">F:\images\20210408\plaque 1/@03 EE2 50.6/C3_01.tif </t>
  </si>
  <si>
    <t xml:space="preserve">F:\images\20210408\plaque 1/@03 EE2 50.6/C3_02.tif </t>
  </si>
  <si>
    <t xml:space="preserve">F:\images\20210408\plaque 1/@03 EE2 50.6/C3_03.tif </t>
  </si>
  <si>
    <t xml:space="preserve"> 61.9333 </t>
  </si>
  <si>
    <t xml:space="preserve">F:\images\20210408\plaque 1/@03 EE2 50.6/D3_01.tif </t>
  </si>
  <si>
    <t xml:space="preserve"> 66.2195 </t>
  </si>
  <si>
    <t xml:space="preserve">F:\images\20210408\plaque 1/@03 EE2 50.6/D3_02.tif </t>
  </si>
  <si>
    <t xml:space="preserve"> 70.0939 </t>
  </si>
  <si>
    <t xml:space="preserve">F:\images\20210408\plaque 1/@03 EE2 50.6/D3_03.tif </t>
  </si>
  <si>
    <t xml:space="preserve"> 7224.3848 </t>
  </si>
  <si>
    <t xml:space="preserve"> 69.6587 </t>
  </si>
  <si>
    <t xml:space="preserve">F:\images\20210408\plaque 1/@03 EE2 50.6/E3_01.tif </t>
  </si>
  <si>
    <t xml:space="preserve"> 63.6552 </t>
  </si>
  <si>
    <t xml:space="preserve">F:\images\20210408\plaque 1/@03 EE2 50.6/E3_02.tif </t>
  </si>
  <si>
    <t xml:space="preserve"> 65.1667 </t>
  </si>
  <si>
    <t xml:space="preserve">F:\images\20210408\plaque 1/@03 EE2 50.6/E3_03.tif </t>
  </si>
  <si>
    <t xml:space="preserve">F:\images\20210408\plaque 1/@03 EE2 50.6/F3_01.tif </t>
  </si>
  <si>
    <t xml:space="preserve"> 66.4333 </t>
  </si>
  <si>
    <t xml:space="preserve">F:\images\20210408\plaque 1/@03 EE2 50.6/F3_02.tif </t>
  </si>
  <si>
    <t xml:space="preserve"> 3287.744 </t>
  </si>
  <si>
    <t xml:space="preserve"> 66.0526 </t>
  </si>
  <si>
    <t xml:space="preserve">F:\images\20210408\plaque 1/@03 EE2 50.6/F3_03.tif </t>
  </si>
  <si>
    <t xml:space="preserve"> 66.0336 </t>
  </si>
  <si>
    <t xml:space="preserve">F:\images\20210408\plaque 1/@03 EE2 50.6/G3_01.tif </t>
  </si>
  <si>
    <t xml:space="preserve"> 66.1569 </t>
  </si>
  <si>
    <t xml:space="preserve">F:\images\20210408\plaque 1/@03 EE2 50.6/G3_02.tif </t>
  </si>
  <si>
    <t xml:space="preserve"> 62.8261 </t>
  </si>
  <si>
    <t xml:space="preserve">F:\images\20210408\plaque 1/@03 EE2 50.6/G3_03.tif </t>
  </si>
  <si>
    <t xml:space="preserve"> 63.3462 </t>
  </si>
  <si>
    <t xml:space="preserve">F:\images\20210408\plaque 1/@03 EE2 50.6/H3_01.tif </t>
  </si>
  <si>
    <t xml:space="preserve"> 62.3889 </t>
  </si>
  <si>
    <t xml:space="preserve">F:\images\20210408\plaque 1/@03 EE2 50.6/H3_02.tif </t>
  </si>
  <si>
    <t xml:space="preserve"> 5126.285 </t>
  </si>
  <si>
    <t xml:space="preserve"> 66.4135 </t>
  </si>
  <si>
    <t xml:space="preserve">F:\images\20210408\plaque 1/@03 EE2 50.6/H3_03.tif </t>
  </si>
  <si>
    <t xml:space="preserve"> 3374.2636 </t>
  </si>
  <si>
    <t xml:space="preserve"> 66.2949 </t>
  </si>
  <si>
    <t xml:space="preserve">F:\images\20210408\plaque 1/@03 EE2 50.6/ </t>
  </si>
  <si>
    <t xml:space="preserve"> 65.093 </t>
  </si>
  <si>
    <t xml:space="preserve"> 1.9864 </t>
  </si>
  <si>
    <t xml:space="preserve"> 160761.417 </t>
  </si>
  <si>
    <t xml:space="preserve"> 141521.284 </t>
  </si>
  <si>
    <t xml:space="preserve">F:\images\20210408\plaque 1/@04 EE2 76/A4_01.tif </t>
  </si>
  <si>
    <t xml:space="preserve"> 8803.3671 </t>
  </si>
  <si>
    <t xml:space="preserve"> 69.3219 </t>
  </si>
  <si>
    <t xml:space="preserve">F:\images\20210408\plaque 1/@04 EE2 76/A4_02.tif </t>
  </si>
  <si>
    <t xml:space="preserve"> 64.4074 </t>
  </si>
  <si>
    <t xml:space="preserve">F:\images\20210408\plaque 1/@04 EE2 76/A4_03.tif </t>
  </si>
  <si>
    <t xml:space="preserve"> 7830.0219 </t>
  </si>
  <si>
    <t xml:space="preserve"> 66.8204 </t>
  </si>
  <si>
    <t xml:space="preserve">F:\images\20210408\plaque 1/@04 EE2 76/B4_01.tif </t>
  </si>
  <si>
    <t xml:space="preserve"> 67.9301 </t>
  </si>
  <si>
    <t xml:space="preserve">F:\images\20210408\plaque 1/@04 EE2 76/B4_02.tif </t>
  </si>
  <si>
    <t xml:space="preserve"> 66.109 </t>
  </si>
  <si>
    <t xml:space="preserve">F:\images\20210408\plaque 1/@04 EE2 76/B4_03.tif </t>
  </si>
  <si>
    <t xml:space="preserve"> 65.5753 </t>
  </si>
  <si>
    <t xml:space="preserve">F:\images\20210408\plaque 1/@04 EE2 76/C4_01.tif </t>
  </si>
  <si>
    <t xml:space="preserve"> 6553.8581 </t>
  </si>
  <si>
    <t xml:space="preserve"> 64.5545 </t>
  </si>
  <si>
    <t xml:space="preserve">F:\images\20210408\plaque 1/@04 EE2 76/C4_02.tif </t>
  </si>
  <si>
    <t xml:space="preserve"> 9127.8155 </t>
  </si>
  <si>
    <t xml:space="preserve"> 64.936 </t>
  </si>
  <si>
    <t>F:\images\20210408\plaque 1/@04 EE2 76/C4_03- exclu.tif</t>
  </si>
  <si>
    <t xml:space="preserve">F:\images\20210408\plaque 1/@04 EE2 76/D4_01.tif </t>
  </si>
  <si>
    <t xml:space="preserve"> 65.497 </t>
  </si>
  <si>
    <t xml:space="preserve">F:\images\20210408\plaque 1/@04 EE2 76/D4_02.tif </t>
  </si>
  <si>
    <t xml:space="preserve"> 62.7763 </t>
  </si>
  <si>
    <t xml:space="preserve">F:\images\20210408\plaque 1/@04 EE2 76/D4_03.tif </t>
  </si>
  <si>
    <t xml:space="preserve"> 64.2866 </t>
  </si>
  <si>
    <t xml:space="preserve">F:\images\20210408\plaque 1/@04 EE2 76/E4_01.tif </t>
  </si>
  <si>
    <t xml:space="preserve"> 64.1287 </t>
  </si>
  <si>
    <t xml:space="preserve">F:\images\20210408\plaque 1/@04 EE2 76/E4_02.tif </t>
  </si>
  <si>
    <t xml:space="preserve"> 4693.6871 </t>
  </si>
  <si>
    <t xml:space="preserve"> 64.6083 </t>
  </si>
  <si>
    <t xml:space="preserve">F:\images\20210408\plaque 1/@04 EE2 76/E4_03.tif </t>
  </si>
  <si>
    <t xml:space="preserve"> 63.0785 </t>
  </si>
  <si>
    <t xml:space="preserve">F:\images\20210408\plaque 1/@04 EE2 76/F4_01.tif </t>
  </si>
  <si>
    <t xml:space="preserve"> 63.1772 </t>
  </si>
  <si>
    <t xml:space="preserve">F:\images\20210408\plaque 1/@04 EE2 76/F4_02.tif </t>
  </si>
  <si>
    <t xml:space="preserve"> 62.82 </t>
  </si>
  <si>
    <t xml:space="preserve">F:\images\20210408\plaque 1/@04 EE2 76/F4_03.tif </t>
  </si>
  <si>
    <t xml:space="preserve">F:\images\20210408\plaque 1/@04 EE2 76/G4_01.tif </t>
  </si>
  <si>
    <t xml:space="preserve"> 7202.7549 </t>
  </si>
  <si>
    <t xml:space="preserve"> 67.5796 </t>
  </si>
  <si>
    <t xml:space="preserve">F:\images\20210408\plaque 1/@04 EE2 76/G4_02.tif </t>
  </si>
  <si>
    <t xml:space="preserve"> 7851.6518 </t>
  </si>
  <si>
    <t xml:space="preserve"> 66.2948 </t>
  </si>
  <si>
    <t xml:space="preserve">F:\images\20210408\plaque 1/@04 EE2 76/G4_03.tif </t>
  </si>
  <si>
    <t xml:space="preserve"> 66.5868 </t>
  </si>
  <si>
    <t xml:space="preserve">F:\images\20210408\plaque 1/@04 EE2 76/H4_01.tif </t>
  </si>
  <si>
    <t xml:space="preserve"> 63.5106 </t>
  </si>
  <si>
    <t xml:space="preserve">F:\images\20210408\plaque 1/@04 EE2 76/H4_02.tif </t>
  </si>
  <si>
    <t xml:space="preserve"> 62.8511 </t>
  </si>
  <si>
    <t xml:space="preserve">F:\images\20210408\plaque 1/@04 EE2 76/H4_03.tif </t>
  </si>
  <si>
    <t xml:space="preserve"> 63.7679 </t>
  </si>
  <si>
    <t xml:space="preserve">F:\images\20210408\plaque 1/@04 EE2 76/ </t>
  </si>
  <si>
    <t xml:space="preserve"> 64.8827 </t>
  </si>
  <si>
    <t xml:space="preserve"> 1.8207 </t>
  </si>
  <si>
    <t xml:space="preserve"> 295030.833 </t>
  </si>
  <si>
    <t xml:space="preserve"> 204461.119 </t>
  </si>
  <si>
    <t xml:space="preserve">F:\images\20210408\plaque 1/@05 EE2 114/A5_01.tif </t>
  </si>
  <si>
    <t xml:space="preserve"> 13886.3924 </t>
  </si>
  <si>
    <t xml:space="preserve"> 69.5047 </t>
  </si>
  <si>
    <t xml:space="preserve">F:\images\20210408\plaque 1/@05 EE2 114/A5_02.tif </t>
  </si>
  <si>
    <t xml:space="preserve"> 20461.8803 </t>
  </si>
  <si>
    <t xml:space="preserve"> 68.7833 </t>
  </si>
  <si>
    <t xml:space="preserve">F:\images\20210408\plaque 1/@05 EE2 114/A5_03.tif </t>
  </si>
  <si>
    <t xml:space="preserve"> 15357.2252 </t>
  </si>
  <si>
    <t xml:space="preserve"> 69.5155 </t>
  </si>
  <si>
    <t xml:space="preserve">F:\images\20210408\plaque 1/@05 EE2 114/B5_01.tif </t>
  </si>
  <si>
    <t xml:space="preserve"> 12480.4492 </t>
  </si>
  <si>
    <t xml:space="preserve"> 70.9844 </t>
  </si>
  <si>
    <t xml:space="preserve">F:\images\20210408\plaque 1/@05 EE2 114/B5_02.tif </t>
  </si>
  <si>
    <t xml:space="preserve"> 7483.9435 </t>
  </si>
  <si>
    <t xml:space="preserve"> 64.5491 </t>
  </si>
  <si>
    <t xml:space="preserve">F:\images\20210408\plaque 1/@05 EE2 114/B5_03.tif </t>
  </si>
  <si>
    <t xml:space="preserve"> 68.2785 </t>
  </si>
  <si>
    <t xml:space="preserve">F:\images\20210408\plaque 1/@05 EE2 114/C5_01.tif </t>
  </si>
  <si>
    <t xml:space="preserve"> 65.3762 </t>
  </si>
  <si>
    <t xml:space="preserve">F:\images\20210408\plaque 1/@05 EE2 114/C5_02.tif </t>
  </si>
  <si>
    <t xml:space="preserve"> 64.46 </t>
  </si>
  <si>
    <t xml:space="preserve">F:\images\20210408\plaque 1/@05 EE2 114/C5_03.tif </t>
  </si>
  <si>
    <t xml:space="preserve"> 64.1266 </t>
  </si>
  <si>
    <t xml:space="preserve">F:\images\20210408\plaque 1/@05 EE2 114/D5_01.tif </t>
  </si>
  <si>
    <t xml:space="preserve"> 2790.2564 </t>
  </si>
  <si>
    <t xml:space="preserve"> 66.8527 </t>
  </si>
  <si>
    <t xml:space="preserve">F:\images\20210408\plaque 1/@05 EE2 114/D5_02.tif </t>
  </si>
  <si>
    <t xml:space="preserve"> 63.3256 </t>
  </si>
  <si>
    <t xml:space="preserve">F:\images\20210408\plaque 1/@05 EE2 114/D5_03.tif </t>
  </si>
  <si>
    <t xml:space="preserve"> 68.2653 </t>
  </si>
  <si>
    <t xml:space="preserve">F:\images\20210408\plaque 1/@05 EE2 114/E5_01.tif </t>
  </si>
  <si>
    <t xml:space="preserve"> 12069.4812 </t>
  </si>
  <si>
    <t xml:space="preserve"> 65.1756 </t>
  </si>
  <si>
    <t xml:space="preserve">F:\images\20210408\plaque 1/@05 EE2 114/E5_02.tif </t>
  </si>
  <si>
    <t xml:space="preserve"> 14578.549 </t>
  </si>
  <si>
    <t xml:space="preserve"> 65.049 </t>
  </si>
  <si>
    <t xml:space="preserve">F:\images\20210408\plaque 1/@05 EE2 114/E5_03.tif </t>
  </si>
  <si>
    <t xml:space="preserve"> 17844.6631 </t>
  </si>
  <si>
    <t xml:space="preserve"> 65.7952 </t>
  </si>
  <si>
    <t xml:space="preserve">F:\images\20210408\plaque 1/@05 EE2 114/F5_01.tif </t>
  </si>
  <si>
    <t xml:space="preserve"> 11723.4029 </t>
  </si>
  <si>
    <t xml:space="preserve"> 73.5277 </t>
  </si>
  <si>
    <t xml:space="preserve">F:\images\20210408\plaque 1/@05 EE2 114/F5_02.tif </t>
  </si>
  <si>
    <t xml:space="preserve"> 14708.3283 </t>
  </si>
  <si>
    <t xml:space="preserve"> 71.2221 </t>
  </si>
  <si>
    <t xml:space="preserve">F:\images\20210408\plaque 1/@05 EE2 114/F5_03.tif </t>
  </si>
  <si>
    <t xml:space="preserve"> 12372.2997 </t>
  </si>
  <si>
    <t xml:space="preserve"> 71.4948 </t>
  </si>
  <si>
    <t xml:space="preserve">F:\images\20210408\plaque 1/@05 EE2 114/G5_01.tif </t>
  </si>
  <si>
    <t xml:space="preserve"> 26669.6601 </t>
  </si>
  <si>
    <t xml:space="preserve"> 67.7178 </t>
  </si>
  <si>
    <t xml:space="preserve">F:\images\20210408\plaque 1/@05 EE2 114/G5_02.tif </t>
  </si>
  <si>
    <t xml:space="preserve"> 23511.6955 </t>
  </si>
  <si>
    <t xml:space="preserve"> 66.1058 </t>
  </si>
  <si>
    <t xml:space="preserve">F:\images\20210408\plaque 1/@05 EE2 114/G5_03.tif </t>
  </si>
  <si>
    <t xml:space="preserve"> 17455.325 </t>
  </si>
  <si>
    <t xml:space="preserve"> 65.6964 </t>
  </si>
  <si>
    <t xml:space="preserve">F:\images\20210408\plaque 1/@05 EE2 114/H5_01.tif </t>
  </si>
  <si>
    <t xml:space="preserve"> 34889.02 </t>
  </si>
  <si>
    <t xml:space="preserve"> 67.4501 </t>
  </si>
  <si>
    <t xml:space="preserve">F:\images\20210408\plaque 1/@05 EE2 114/H5_02.tif </t>
  </si>
  <si>
    <t xml:space="preserve"> 44124.985 </t>
  </si>
  <si>
    <t xml:space="preserve"> 69.2642 </t>
  </si>
  <si>
    <t xml:space="preserve">F:\images\20210408\plaque 1/@05 EE2 114/H5_03.tif </t>
  </si>
  <si>
    <t xml:space="preserve"> 36770.8209 </t>
  </si>
  <si>
    <t xml:space="preserve"> 68.1671 </t>
  </si>
  <si>
    <t xml:space="preserve">F:\images\20210408\plaque 1/@05 EE2 114/ </t>
  </si>
  <si>
    <t xml:space="preserve"> 67.5286 </t>
  </si>
  <si>
    <t xml:space="preserve"> 2.6702 </t>
  </si>
  <si>
    <t xml:space="preserve"> 1020518.21 </t>
  </si>
  <si>
    <t xml:space="preserve"> 791205.392 </t>
  </si>
  <si>
    <t xml:space="preserve">F:\images\20210408\plaque 1/@06 EE2 170.9/A6_01.tif </t>
  </si>
  <si>
    <t xml:space="preserve"> 10447.2391 </t>
  </si>
  <si>
    <t xml:space="preserve"> 70.1014 </t>
  </si>
  <si>
    <t xml:space="preserve">F:\images\20210408\plaque 1/@06 EE2 170.9/A6_02.tif </t>
  </si>
  <si>
    <t xml:space="preserve"> 70.928 </t>
  </si>
  <si>
    <t xml:space="preserve">F:\images\20210408\plaque 1/@06 EE2 170.9/A6_03.tif </t>
  </si>
  <si>
    <t xml:space="preserve"> 9603.6732 </t>
  </si>
  <si>
    <t xml:space="preserve"> 71.7455 </t>
  </si>
  <si>
    <t xml:space="preserve">F:\images\20210408\plaque 1/@06 EE2 170.9/B6_01.tif </t>
  </si>
  <si>
    <t xml:space="preserve"> 32899.0697 </t>
  </si>
  <si>
    <t xml:space="preserve"> 75.549 </t>
  </si>
  <si>
    <t xml:space="preserve">F:\images\20210408\plaque 1/@06 EE2 170.9/B6_02.tif </t>
  </si>
  <si>
    <t xml:space="preserve"> 29957.4041 </t>
  </si>
  <si>
    <t xml:space="preserve"> 74.9061 </t>
  </si>
  <si>
    <t>F:\images\20210408\plaque 1/@06 EE2 170.9/B6_03- exclu.tif</t>
  </si>
  <si>
    <t xml:space="preserve">F:\images\20210408\plaque 1/@06 EE2 170.9/C6_01.tif </t>
  </si>
  <si>
    <t xml:space="preserve"> 58141.1568 </t>
  </si>
  <si>
    <t xml:space="preserve"> 70.6756 </t>
  </si>
  <si>
    <t xml:space="preserve">F:\images\20210408\plaque 1/@06 EE2 170.9/C6_02.tif </t>
  </si>
  <si>
    <t xml:space="preserve"> 49705.4979 </t>
  </si>
  <si>
    <t xml:space="preserve"> 70.1641 </t>
  </si>
  <si>
    <t xml:space="preserve">F:\images\20210408\plaque 1/@06 EE2 170.9/C6_03.tif </t>
  </si>
  <si>
    <t xml:space="preserve"> 51068.1812 </t>
  </si>
  <si>
    <t xml:space="preserve"> 69.7183 </t>
  </si>
  <si>
    <t xml:space="preserve">F:\images\20210408\plaque 1/@06 EE2 170.9/D6_01.tif </t>
  </si>
  <si>
    <t xml:space="preserve"> 13215.8656 </t>
  </si>
  <si>
    <t xml:space="preserve"> 75.239 </t>
  </si>
  <si>
    <t xml:space="preserve">F:\images\20210408\plaque 1/@06 EE2 170.9/D6_02.tif </t>
  </si>
  <si>
    <t xml:space="preserve"> 10944.7267 </t>
  </si>
  <si>
    <t xml:space="preserve"> 71.5138 </t>
  </si>
  <si>
    <t xml:space="preserve">F:\images\20210408\plaque 1/@06 EE2 170.9/D6_03.tif </t>
  </si>
  <si>
    <t xml:space="preserve"> 7440.6838 </t>
  </si>
  <si>
    <t xml:space="preserve"> 66.8837 </t>
  </si>
  <si>
    <t xml:space="preserve">F:\images\20210408\plaque 1/@06 EE2 170.9/E6_01.tif </t>
  </si>
  <si>
    <t xml:space="preserve"> 72.5497 </t>
  </si>
  <si>
    <t xml:space="preserve">F:\images\20210408\plaque 1/@06 EE2 170.9/E6_02.tif </t>
  </si>
  <si>
    <t xml:space="preserve"> 32423.212 </t>
  </si>
  <si>
    <t xml:space="preserve"> 74.7992 </t>
  </si>
  <si>
    <t xml:space="preserve">F:\images\20210408\plaque 1/@06 EE2 170.9/E6_03.tif </t>
  </si>
  <si>
    <t xml:space="preserve"> 30281.8525 </t>
  </si>
  <si>
    <t xml:space="preserve"> 75.5514 </t>
  </si>
  <si>
    <t xml:space="preserve">F:\images\20210408\plaque 1/@06 EE2 170.9/F6_01.tif </t>
  </si>
  <si>
    <t xml:space="preserve"> 32142.0234 </t>
  </si>
  <si>
    <t xml:space="preserve"> 75.8647 </t>
  </si>
  <si>
    <t xml:space="preserve">F:\images\20210408\plaque 1/@06 EE2 170.9/F6_02.tif </t>
  </si>
  <si>
    <t xml:space="preserve"> 74.4449 </t>
  </si>
  <si>
    <t xml:space="preserve">F:\images\20210408\plaque 1/@06 EE2 170.9/F6_03.tif </t>
  </si>
  <si>
    <t xml:space="preserve"> 23987.5531 </t>
  </si>
  <si>
    <t xml:space="preserve"> 73.3877 </t>
  </si>
  <si>
    <t xml:space="preserve">F:\images\20210408\plaque 1/@06 EE2 170.9/G6_01.tif </t>
  </si>
  <si>
    <t xml:space="preserve"> 21435.2256 </t>
  </si>
  <si>
    <t xml:space="preserve"> 71.0737 </t>
  </si>
  <si>
    <t xml:space="preserve">F:\images\20210408\plaque 1/@06 EE2 170.9/G6_02.tif </t>
  </si>
  <si>
    <t xml:space="preserve"> 21911.0833 </t>
  </si>
  <si>
    <t xml:space="preserve"> 70.4679 </t>
  </si>
  <si>
    <t xml:space="preserve">F:\images\20210408\plaque 1/@06 EE2 170.9/G6_03.tif </t>
  </si>
  <si>
    <t xml:space="preserve"> 21413.5957 </t>
  </si>
  <si>
    <t xml:space="preserve"> 72.8424 </t>
  </si>
  <si>
    <t xml:space="preserve">F:\images\20210408\plaque 1/@06 EE2 170.9/H6_01.tif </t>
  </si>
  <si>
    <t xml:space="preserve"> 40447.903 </t>
  </si>
  <si>
    <t xml:space="preserve"> 72.3027 </t>
  </si>
  <si>
    <t xml:space="preserve">F:\images\20210408\plaque 1/@06 EE2 170.9/H6_02.tif </t>
  </si>
  <si>
    <t xml:space="preserve"> 38998.7 </t>
  </si>
  <si>
    <t xml:space="preserve"> 70.3461 </t>
  </si>
  <si>
    <t xml:space="preserve">F:\images\20210408\plaque 1/@06 EE2 170.9/H6_03.tif </t>
  </si>
  <si>
    <t xml:space="preserve"> 37700.9063 </t>
  </si>
  <si>
    <t xml:space="preserve"> 75.6925 </t>
  </si>
  <si>
    <t xml:space="preserve">F:\images\20210408\plaque 1/@06 EE2 170.9/ </t>
  </si>
  <si>
    <t xml:space="preserve"> 72.4862 </t>
  </si>
  <si>
    <t xml:space="preserve"> 2.3978 </t>
  </si>
  <si>
    <t xml:space="preserve"> 2039254.67 </t>
  </si>
  <si>
    <t xml:space="preserve"> 997634.546 </t>
  </si>
  <si>
    <t xml:space="preserve">F:\images\20210408\plaque 1/@07 EE2 488/A7_01.tif </t>
  </si>
  <si>
    <t xml:space="preserve"> 49510.8288 </t>
  </si>
  <si>
    <t xml:space="preserve"> 98.062 </t>
  </si>
  <si>
    <t xml:space="preserve">F:\images\20210408\plaque 1/@07 EE2 488/A7_02.tif </t>
  </si>
  <si>
    <t xml:space="preserve"> 43735.6469 </t>
  </si>
  <si>
    <t xml:space="preserve"> 107.7428 </t>
  </si>
  <si>
    <t xml:space="preserve">F:\images\20210408\plaque 1/@07 EE2 488/A7_03.tif </t>
  </si>
  <si>
    <t xml:space="preserve"> 50267.8751 </t>
  </si>
  <si>
    <t xml:space="preserve"> 97.2242 </t>
  </si>
  <si>
    <t xml:space="preserve">F:\images\20210408\plaque 1/@07 EE2 488/B7_01.tif </t>
  </si>
  <si>
    <t xml:space="preserve"> 35559.5468 </t>
  </si>
  <si>
    <t xml:space="preserve"> 77.7427 </t>
  </si>
  <si>
    <t xml:space="preserve">F:\images\20210408\plaque 1/@07 EE2 488/B7_02.tif </t>
  </si>
  <si>
    <t xml:space="preserve"> 27989.0836 </t>
  </si>
  <si>
    <t xml:space="preserve"> 90.2133 </t>
  </si>
  <si>
    <t xml:space="preserve">F:\images\20210408\plaque 1/@07 EE2 488/B7_03.tif </t>
  </si>
  <si>
    <t xml:space="preserve"> 33677.7459 </t>
  </si>
  <si>
    <t xml:space="preserve"> 80.6808 </t>
  </si>
  <si>
    <t xml:space="preserve">F:\images\20210408\plaque 1/@07 EE2 488/C7_01.tif </t>
  </si>
  <si>
    <t xml:space="preserve"> 96.1978 </t>
  </si>
  <si>
    <t xml:space="preserve">F:\images\20210408\plaque 1/@07 EE2 488/C7_02.tif </t>
  </si>
  <si>
    <t xml:space="preserve"> 38220.0238 </t>
  </si>
  <si>
    <t xml:space="preserve"> 95.8381 </t>
  </si>
  <si>
    <t xml:space="preserve">F:\images\20210408\plaque 1/@07 EE2 488/C7_03.tif </t>
  </si>
  <si>
    <t xml:space="preserve"> 36684.3013 </t>
  </si>
  <si>
    <t xml:space="preserve"> 97.0749 </t>
  </si>
  <si>
    <t xml:space="preserve">F:\images\20210408\plaque 1/@07 EE2 488/D7_01.tif </t>
  </si>
  <si>
    <t xml:space="preserve"> 19791.3536 </t>
  </si>
  <si>
    <t xml:space="preserve"> 83.1574 </t>
  </si>
  <si>
    <t xml:space="preserve">F:\images\20210408\plaque 1/@07 EE2 488/D7_02.tif </t>
  </si>
  <si>
    <t xml:space="preserve"> 24960.8984 </t>
  </si>
  <si>
    <t xml:space="preserve"> 77.643 </t>
  </si>
  <si>
    <t xml:space="preserve">F:\images\20210408\plaque 1/@07 EE2 488/D7_03.tif </t>
  </si>
  <si>
    <t xml:space="preserve"> 25847.7241 </t>
  </si>
  <si>
    <t xml:space="preserve"> 76.8485 </t>
  </si>
  <si>
    <t xml:space="preserve">F:\images\20210408\plaque 1/@07 EE2 488/E7_01.tif </t>
  </si>
  <si>
    <t xml:space="preserve"> 43216.5295 </t>
  </si>
  <si>
    <t xml:space="preserve"> 101.0696 </t>
  </si>
  <si>
    <t xml:space="preserve">F:\images\20210408\plaque 1/@07 EE2 488/E7_02.tif </t>
  </si>
  <si>
    <t xml:space="preserve"> 45422.7787 </t>
  </si>
  <si>
    <t xml:space="preserve"> 99.2981 </t>
  </si>
  <si>
    <t xml:space="preserve">F:\images\20210408\plaque 1/@07 EE2 488/E7_03.tif </t>
  </si>
  <si>
    <t xml:space="preserve"> 49683.868 </t>
  </si>
  <si>
    <t xml:space="preserve"> 91.7627 </t>
  </si>
  <si>
    <t xml:space="preserve">F:\images\20210408\plaque 1/@07 EE2 488/F7_01.tif </t>
  </si>
  <si>
    <t xml:space="preserve"> 59157.7618 </t>
  </si>
  <si>
    <t xml:space="preserve"> 94.7503 </t>
  </si>
  <si>
    <t xml:space="preserve">F:\images\20210408\plaque 1/@07 EE2 488/F7_02.tif </t>
  </si>
  <si>
    <t xml:space="preserve"> 53317.6903 </t>
  </si>
  <si>
    <t xml:space="preserve"> 97.4178 </t>
  </si>
  <si>
    <t xml:space="preserve">F:\images\20210408\plaque 1/@07 EE2 488/F7_03.tif </t>
  </si>
  <si>
    <t xml:space="preserve"> 53620.5088 </t>
  </si>
  <si>
    <t xml:space="preserve"> 96.1392 </t>
  </si>
  <si>
    <t xml:space="preserve">F:\images\20210408\plaque 1/@07 EE2 488/G7_01.tif </t>
  </si>
  <si>
    <t xml:space="preserve"> 61428.9007 </t>
  </si>
  <si>
    <t xml:space="preserve"> 86.5556 </t>
  </si>
  <si>
    <t xml:space="preserve">F:\images\20210408\plaque 1/@07 EE2 488/G7_02.tif </t>
  </si>
  <si>
    <t xml:space="preserve"> 57600.4094 </t>
  </si>
  <si>
    <t xml:space="preserve"> 88.8881 </t>
  </si>
  <si>
    <t xml:space="preserve">F:\images\20210408\plaque 1/@07 EE2 488/G7_03.tif </t>
  </si>
  <si>
    <t xml:space="preserve"> 55783.4982 </t>
  </si>
  <si>
    <t xml:space="preserve"> 90.3823 </t>
  </si>
  <si>
    <t xml:space="preserve">F:\images\20210408\plaque 1/@07 EE2 488/H7_01.tif </t>
  </si>
  <si>
    <t xml:space="preserve"> 53490.7294 </t>
  </si>
  <si>
    <t xml:space="preserve"> 81.3591 </t>
  </si>
  <si>
    <t xml:space="preserve">F:\images\20210408\plaque 1/@07 EE2 488/H7_02.tif </t>
  </si>
  <si>
    <t xml:space="preserve"> 64327.3066 </t>
  </si>
  <si>
    <t xml:space="preserve"> 85.5881 </t>
  </si>
  <si>
    <t xml:space="preserve">F:\images\20210408\plaque 1/@07 EE2 488/H7_03.tif </t>
  </si>
  <si>
    <t xml:space="preserve"> 63981.2283 </t>
  </si>
  <si>
    <t xml:space="preserve"> 85.9936 </t>
  </si>
  <si>
    <t xml:space="preserve">F:\images\20210408\plaque 1/@07 EE2 488/ </t>
  </si>
  <si>
    <t xml:space="preserve"> 90.7346 </t>
  </si>
  <si>
    <t xml:space="preserve"> 8.3458 </t>
  </si>
  <si>
    <t xml:space="preserve"> 4126735.12 </t>
  </si>
  <si>
    <t xml:space="preserve"> 1252933.94 </t>
  </si>
  <si>
    <t xml:space="preserve">F:\images\20210408\plaque 1/@08 Fadrozole 5.4 µg_L/A8_01.tif </t>
  </si>
  <si>
    <t xml:space="preserve"> 62.9167 </t>
  </si>
  <si>
    <t xml:space="preserve">F:\images\20210408\plaque 1/@08 Fadrozole 5.4 µg_L/A8_02.tif </t>
  </si>
  <si>
    <t xml:space="preserve"> 65.7703 </t>
  </si>
  <si>
    <t xml:space="preserve">F:\images\20210408\plaque 1/@08 Fadrozole 5.4 µg_L/A8_03.tif </t>
  </si>
  <si>
    <t xml:space="preserve"> 65.2364 </t>
  </si>
  <si>
    <t xml:space="preserve">F:\images\20210408\plaque 1/@08 Fadrozole 5.4 µg_L/B8_01.tif </t>
  </si>
  <si>
    <t xml:space="preserve">F:\images\20210408\plaque 1/@08 Fadrozole 5.4 µg_L/B8_02.tif </t>
  </si>
  <si>
    <t xml:space="preserve"> 1124.7545 </t>
  </si>
  <si>
    <t xml:space="preserve"> 65.5192 </t>
  </si>
  <si>
    <t xml:space="preserve">F:\images\20210408\plaque 1/@08 Fadrozole 5.4 µg_L/B8_03.tif </t>
  </si>
  <si>
    <t xml:space="preserve"> 65.1111 </t>
  </si>
  <si>
    <t xml:space="preserve">F:\images\20210408\plaque 1/@08 Fadrozole 5.4 µg_L/C8_01.tif </t>
  </si>
  <si>
    <t xml:space="preserve">F:\images\20210408\plaque 1/@08 Fadrozole 5.4 µg_L/C8_02.tif </t>
  </si>
  <si>
    <t xml:space="preserve">F:\images\20210408\plaque 1/@08 Fadrozole 5.4 µg_L/C8_03.tif </t>
  </si>
  <si>
    <t xml:space="preserve">F:\images\20210408\plaque 1/@08 Fadrozole 5.4 µg_L/D8_01.tif </t>
  </si>
  <si>
    <t xml:space="preserve"> 63.8333 </t>
  </si>
  <si>
    <t xml:space="preserve">F:\images\20210408\plaque 1/@08 Fadrozole 5.4 µg_L/D8_02.tif </t>
  </si>
  <si>
    <t xml:space="preserve"> 65.4 </t>
  </si>
  <si>
    <t xml:space="preserve">F:\images\20210408\plaque 1/@08 Fadrozole 5.4 µg_L/D8_03.tif </t>
  </si>
  <si>
    <t xml:space="preserve"> 64.7576 </t>
  </si>
  <si>
    <t xml:space="preserve">F:\images\20210408\plaque 1/@08 Fadrozole 5.4 µg_L/E8_01.tif </t>
  </si>
  <si>
    <t xml:space="preserve"> 67.4444 </t>
  </si>
  <si>
    <t xml:space="preserve">F:\images\20210408\plaque 1/@08 Fadrozole 5.4 µg_L/E8_02.tif </t>
  </si>
  <si>
    <t xml:space="preserve"> 63.7381 </t>
  </si>
  <si>
    <t xml:space="preserve">F:\images\20210408\plaque 1/@08 Fadrozole 5.4 µg_L/E8_03.tif </t>
  </si>
  <si>
    <t xml:space="preserve"> 2984.9255 </t>
  </si>
  <si>
    <t xml:space="preserve"> 65.1739 </t>
  </si>
  <si>
    <t xml:space="preserve">F:\images\20210408\plaque 1/@08 Fadrozole 5.4 µg_L/F8_01.tif </t>
  </si>
  <si>
    <t xml:space="preserve"> 74.1869 </t>
  </si>
  <si>
    <t xml:space="preserve">F:\images\20210408\plaque 1/@08 Fadrozole 5.4 µg_L/F8_02.tif </t>
  </si>
  <si>
    <t xml:space="preserve"> 9387.3743 </t>
  </si>
  <si>
    <t xml:space="preserve"> 85.1452 </t>
  </si>
  <si>
    <t xml:space="preserve">F:\images\20210408\plaque 1/@08 Fadrozole 5.4 µg_L/F8_03.tif </t>
  </si>
  <si>
    <t xml:space="preserve"> 66.4074 </t>
  </si>
  <si>
    <t xml:space="preserve">F:\images\20210408\plaque 1/@08 Fadrozole 5.4 µg_L/G8_01.tif </t>
  </si>
  <si>
    <t xml:space="preserve"> 5688.6623 </t>
  </si>
  <si>
    <t xml:space="preserve"> 75.3232 </t>
  </si>
  <si>
    <t xml:space="preserve">F:\images\20210408\plaque 1/@08 Fadrozole 5.4 µg_L/G8_02.tif </t>
  </si>
  <si>
    <t xml:space="preserve"> 6986.456 </t>
  </si>
  <si>
    <t xml:space="preserve"> 75.2353 </t>
  </si>
  <si>
    <t xml:space="preserve">F:\images\20210408\plaque 1/@08 Fadrozole 5.4 µg_L/G8_03.tif </t>
  </si>
  <si>
    <t xml:space="preserve">F:\images\20210408\plaque 1/@08 Fadrozole 5.4 µg_L/H8_01.tif </t>
  </si>
  <si>
    <t xml:space="preserve"> 68.7682 </t>
  </si>
  <si>
    <t xml:space="preserve">F:\images\20210408\plaque 1/@08 Fadrozole 5.4 µg_L/H8_02.tif </t>
  </si>
  <si>
    <t xml:space="preserve"> 64.6333 </t>
  </si>
  <si>
    <t xml:space="preserve">F:\images\20210408\plaque 1/@08 Fadrozole 5.4 µg_L/H8_03.tif </t>
  </si>
  <si>
    <t xml:space="preserve"> 64.4 </t>
  </si>
  <si>
    <t xml:space="preserve">F:\images\20210408\plaque 1/@08 Fadrozole 5.4 µg_L/ </t>
  </si>
  <si>
    <t xml:space="preserve"> 66.8583 </t>
  </si>
  <si>
    <t xml:space="preserve"> 5.3963 </t>
  </si>
  <si>
    <t xml:space="preserve"> 162385.5 </t>
  </si>
  <si>
    <t xml:space="preserve"> 215935.498 </t>
  </si>
  <si>
    <t xml:space="preserve">F:\images\20210408\plaque 1/@09 Fadrozole 11 µg_L/A9_01.tif </t>
  </si>
  <si>
    <t xml:space="preserve"> 8781.7372 </t>
  </si>
  <si>
    <t xml:space="preserve"> 71.5862 </t>
  </si>
  <si>
    <t xml:space="preserve">F:\images\20210408\plaque 1/@09 Fadrozole 11 µg_L/A9_02.tif </t>
  </si>
  <si>
    <t xml:space="preserve"> 68.8338 </t>
  </si>
  <si>
    <t xml:space="preserve">F:\images\20210408\plaque 1/@09 Fadrozole 11 µg_L/A9_03.tif </t>
  </si>
  <si>
    <t xml:space="preserve"> 7959.8012 </t>
  </si>
  <si>
    <t xml:space="preserve"> 75.3125 </t>
  </si>
  <si>
    <t xml:space="preserve">F:\images\20210408\plaque 1/@09 Fadrozole 11 µg_L/B9_01.tif </t>
  </si>
  <si>
    <t xml:space="preserve"> 66.5211 </t>
  </si>
  <si>
    <t xml:space="preserve">F:\images\20210408\plaque 1/@09 Fadrozole 11 µg_L/B9_02.tif </t>
  </si>
  <si>
    <t xml:space="preserve"> 66.3529 </t>
  </si>
  <si>
    <t xml:space="preserve">F:\images\20210408\plaque 1/@09 Fadrozole 11 µg_L/B9_03.tif </t>
  </si>
  <si>
    <t xml:space="preserve"> 67.0667 </t>
  </si>
  <si>
    <t xml:space="preserve">F:\images\20210408\plaque 1/@09 Fadrozole 11 µg_L/C9_01.tif </t>
  </si>
  <si>
    <t xml:space="preserve"> 63.6022 </t>
  </si>
  <si>
    <t xml:space="preserve">F:\images\20210408\plaque 1/@09 Fadrozole 11 µg_L/C9_02.tif </t>
  </si>
  <si>
    <t xml:space="preserve"> 5969.8509 </t>
  </si>
  <si>
    <t xml:space="preserve"> 71.0471 </t>
  </si>
  <si>
    <t xml:space="preserve">F:\images\20210408\plaque 1/@09 Fadrozole 11 µg_L/C9_03.tif </t>
  </si>
  <si>
    <t xml:space="preserve"> 2682.1069 </t>
  </si>
  <si>
    <t xml:space="preserve"> 63.5565 </t>
  </si>
  <si>
    <t xml:space="preserve">F:\images\20210408\plaque 1/@09 Fadrozole 11 µg_L/D9_01.tif </t>
  </si>
  <si>
    <t xml:space="preserve">F:\images\20210408\plaque 1/@09 Fadrozole 11 µg_L/D9_02.tif </t>
  </si>
  <si>
    <t xml:space="preserve"> 757.0463 </t>
  </si>
  <si>
    <t xml:space="preserve"> 65.1714 </t>
  </si>
  <si>
    <t xml:space="preserve">F:\images\20210408\plaque 1/@09 Fadrozole 11 µg_L/D9_03.tif </t>
  </si>
  <si>
    <t xml:space="preserve"> 63.1538 </t>
  </si>
  <si>
    <t xml:space="preserve">F:\images\20210408\plaque 1/@09 Fadrozole 11 µg_L/E9_01.tif </t>
  </si>
  <si>
    <t xml:space="preserve"> 2617.2173 </t>
  </si>
  <si>
    <t xml:space="preserve"> 66.5702 </t>
  </si>
  <si>
    <t xml:space="preserve">F:\images\20210408\plaque 1/@09 Fadrozole 11 µg_L/E9_02.tif </t>
  </si>
  <si>
    <t xml:space="preserve"> 5018.1356 </t>
  </si>
  <si>
    <t xml:space="preserve"> 69.2155 </t>
  </si>
  <si>
    <t xml:space="preserve">F:\images\20210408\plaque 1/@09 Fadrozole 11 µg_L/E9_03.tif </t>
  </si>
  <si>
    <t xml:space="preserve"> 5191.1747 </t>
  </si>
  <si>
    <t xml:space="preserve"> 68.4417 </t>
  </si>
  <si>
    <t xml:space="preserve">F:\images\20210408\plaque 1/@09 Fadrozole 11 µg_L/F9_01.tif </t>
  </si>
  <si>
    <t xml:space="preserve">F:\images\20210408\plaque 1/@09 Fadrozole 11 µg_L/F9_02.tif </t>
  </si>
  <si>
    <t xml:space="preserve"> 61.6154 </t>
  </si>
  <si>
    <t xml:space="preserve">F:\images\20210408\plaque 1/@09 Fadrozole 11 µg_L/F9_03.tif </t>
  </si>
  <si>
    <t>F:\images\20210408\plaque 1/@09 Fadrozole 11 µg_L/G9_01- exclu.tif</t>
  </si>
  <si>
    <t xml:space="preserve">F:\images\20210408\plaque 1/@09 Fadrozole 11 µg_L/G9_02.tif </t>
  </si>
  <si>
    <t xml:space="preserve"> 64.0526 </t>
  </si>
  <si>
    <t xml:space="preserve">F:\images\20210408\plaque 1/@09 Fadrozole 11 µg_L/G9_03.tif </t>
  </si>
  <si>
    <t xml:space="preserve"> 1665.5019 </t>
  </si>
  <si>
    <t xml:space="preserve"> 65.1818 </t>
  </si>
  <si>
    <t xml:space="preserve">F:\images\20210408\plaque 1/@09 Fadrozole 11 µg_L/H9_01.tif </t>
  </si>
  <si>
    <t xml:space="preserve"> 5320.9541 </t>
  </si>
  <si>
    <t xml:space="preserve"> 64.6748 </t>
  </si>
  <si>
    <t xml:space="preserve">F:\images\20210408\plaque 1/@09 Fadrozole 11 µg_L/H9_02.tif </t>
  </si>
  <si>
    <t xml:space="preserve"> 10620.2783 </t>
  </si>
  <si>
    <t xml:space="preserve"> 71.9063 </t>
  </si>
  <si>
    <t xml:space="preserve">F:\images\20210408\plaque 1/@09 Fadrozole 11 µg_L/H9_03.tif </t>
  </si>
  <si>
    <t xml:space="preserve"> 62.3778 </t>
  </si>
  <si>
    <t xml:space="preserve">F:\images\20210408\plaque 1/@09 Fadrozole 11 µg_L/ </t>
  </si>
  <si>
    <t xml:space="preserve"> 66.2901 </t>
  </si>
  <si>
    <t xml:space="preserve"> 3.5366 </t>
  </si>
  <si>
    <t xml:space="preserve"> 216214.333 </t>
  </si>
  <si>
    <t xml:space="preserve"> 223216.095 </t>
  </si>
  <si>
    <t xml:space="preserve">F:\images\20210408\plaque 1/@10 Fadrozole 22 µg_L/A10_01.tif </t>
  </si>
  <si>
    <t xml:space="preserve"> 3006.5554 </t>
  </si>
  <si>
    <t xml:space="preserve"> 67.8058 </t>
  </si>
  <si>
    <t xml:space="preserve">F:\images\20210408\plaque 1/@10 Fadrozole 22 µg_L/A10_02.tif </t>
  </si>
  <si>
    <t xml:space="preserve"> 3828.4913 </t>
  </si>
  <si>
    <t xml:space="preserve"> 67.096 </t>
  </si>
  <si>
    <t xml:space="preserve">F:\images\20210408\plaque 1/@10 Fadrozole 22 µg_L/A10_03.tif </t>
  </si>
  <si>
    <t xml:space="preserve"> 65.8947 </t>
  </si>
  <si>
    <t>F:\images\20210408\plaque 1/@10 Fadrozole 22 µg_L/B10_01- exclu.tif</t>
  </si>
  <si>
    <t>F:\images\20210408\plaque 1/@10 Fadrozole 22 µg_L/B10_02- exclu.tif</t>
  </si>
  <si>
    <t>F:\images\20210408\plaque 1/@10 Fadrozole 22 µg_L/B10_03- exclu.tif</t>
  </si>
  <si>
    <t xml:space="preserve">F:\images\20210408\plaque 1/@10 Fadrozole 22 µg_L/C10_01.tif </t>
  </si>
  <si>
    <t xml:space="preserve"> 70.8478 </t>
  </si>
  <si>
    <t xml:space="preserve">F:\images\20210408\plaque 1/@10 Fadrozole 22 µg_L/C10_02.tif </t>
  </si>
  <si>
    <t xml:space="preserve"> 65.7456 </t>
  </si>
  <si>
    <t xml:space="preserve">F:\images\20210408\plaque 1/@10 Fadrozole 22 µg_L/C10_03.tif </t>
  </si>
  <si>
    <t xml:space="preserve"> 64.7677 </t>
  </si>
  <si>
    <t xml:space="preserve">F:\images\20210408\plaque 1/@10 Fadrozole 22 µg_L/D10_01.tif </t>
  </si>
  <si>
    <t xml:space="preserve">F:\images\20210408\plaque 1/@10 Fadrozole 22 µg_L/D10_02.tif </t>
  </si>
  <si>
    <t xml:space="preserve"> 62.8462 </t>
  </si>
  <si>
    <t xml:space="preserve">F:\images\20210408\plaque 1/@10 Fadrozole 22 µg_L/D10_03.tif </t>
  </si>
  <si>
    <t xml:space="preserve">F:\images\20210408\plaque 1/@10 Fadrozole 22 µg_L/E10_01.tif </t>
  </si>
  <si>
    <t xml:space="preserve"> 1773.6514 </t>
  </si>
  <si>
    <t xml:space="preserve"> 67.7439 </t>
  </si>
  <si>
    <t xml:space="preserve">F:\images\20210408\plaque 1/@10 Fadrozole 22 µg_L/E10_02.tif </t>
  </si>
  <si>
    <t xml:space="preserve"> 64.1778 </t>
  </si>
  <si>
    <t xml:space="preserve">F:\images\20210408\plaque 1/@10 Fadrozole 22 µg_L/E10_03.tif </t>
  </si>
  <si>
    <t xml:space="preserve"> 66.7053 </t>
  </si>
  <si>
    <t xml:space="preserve">F:\images\20210408\plaque 1/@10 Fadrozole 22 µg_L/F10_01.tif </t>
  </si>
  <si>
    <t xml:space="preserve"> 69.4791 </t>
  </si>
  <si>
    <t xml:space="preserve">F:\images\20210408\plaque 1/@10 Fadrozole 22 µg_L/F10_02.tif </t>
  </si>
  <si>
    <t xml:space="preserve"> 4499.0181 </t>
  </si>
  <si>
    <t xml:space="preserve"> 70.1154 </t>
  </si>
  <si>
    <t xml:space="preserve">F:\images\20210408\plaque 1/@10 Fadrozole 22 µg_L/F10_03.tif </t>
  </si>
  <si>
    <t xml:space="preserve"> 64.3239 </t>
  </si>
  <si>
    <t xml:space="preserve">F:\images\20210408\plaque 1/@10 Fadrozole 22 µg_L/G10_01.tif </t>
  </si>
  <si>
    <t xml:space="preserve"> 71.9085 </t>
  </si>
  <si>
    <t xml:space="preserve">F:\images\20210408\plaque 1/@10 Fadrozole 22 µg_L/G10_02.tif </t>
  </si>
  <si>
    <t xml:space="preserve"> 62.6122 </t>
  </si>
  <si>
    <t xml:space="preserve">F:\images\20210408\plaque 1/@10 Fadrozole 22 µg_L/G10_03.tif </t>
  </si>
  <si>
    <t xml:space="preserve"> 62.16 </t>
  </si>
  <si>
    <t xml:space="preserve">F:\images\20210408\plaque 1/@10 Fadrozole 22 µg_L/H10_01.tif </t>
  </si>
  <si>
    <t xml:space="preserve"> 63.0625 </t>
  </si>
  <si>
    <t xml:space="preserve">F:\images\20210408\plaque 1/@10 Fadrozole 22 µg_L/H10_02.tif </t>
  </si>
  <si>
    <t xml:space="preserve"> 67.9167 </t>
  </si>
  <si>
    <t xml:space="preserve">F:\images\20210408\plaque 1/@10 Fadrozole 22 µg_L/H10_03.tif </t>
  </si>
  <si>
    <t xml:space="preserve"> 70.9111 </t>
  </si>
  <si>
    <t xml:space="preserve">F:\images\20210408\plaque 1/@10 Fadrozole 22 µg_L/ </t>
  </si>
  <si>
    <t xml:space="preserve"> 66.0648 </t>
  </si>
  <si>
    <t xml:space="preserve"> 2.9701 </t>
  </si>
  <si>
    <t xml:space="preserve"> 140725.125 </t>
  </si>
  <si>
    <t xml:space="preserve"> 139765.936 </t>
  </si>
  <si>
    <t xml:space="preserve">F:\images\20210408\plaque 1/@11 Fadrozole 44 µg_L/A11_01.tif </t>
  </si>
  <si>
    <t xml:space="preserve"> 9473.8938 </t>
  </si>
  <si>
    <t xml:space="preserve"> 70.5525 </t>
  </si>
  <si>
    <t xml:space="preserve">F:\images\20210408\plaque 1/@11 Fadrozole 44 µg_L/A11_02.tif </t>
  </si>
  <si>
    <t xml:space="preserve"> 4996.5057 </t>
  </si>
  <si>
    <t xml:space="preserve"> 66.0649 </t>
  </si>
  <si>
    <t xml:space="preserve">F:\images\20210408\plaque 1/@11 Fadrozole 44 µg_L/A11_03.tif </t>
  </si>
  <si>
    <t xml:space="preserve">F:\images\20210408\plaque 1/@11 Fadrozole 44 µg_L/B11_01.tif </t>
  </si>
  <si>
    <t xml:space="preserve"> 5515.6231 </t>
  </si>
  <si>
    <t xml:space="preserve"> 67.1804 </t>
  </si>
  <si>
    <t>F:\images\20210408\plaque 1/@11 Fadrozole 44 µg_L/B11_02- exclu.tif</t>
  </si>
  <si>
    <t xml:space="preserve">F:\images\20210408\plaque 1/@11 Fadrozole 44 µg_L/B11_03.tif </t>
  </si>
  <si>
    <t xml:space="preserve"> 2638.8471 </t>
  </si>
  <si>
    <t xml:space="preserve"> 64.5328 </t>
  </si>
  <si>
    <t xml:space="preserve">F:\images\20210408\plaque 1/@11 Fadrozole 44 µg_L/C11_01.tif </t>
  </si>
  <si>
    <t xml:space="preserve"> 64.7977 </t>
  </si>
  <si>
    <t xml:space="preserve">F:\images\20210408\plaque 1/@11 Fadrozole 44 µg_L/C11_02.tif </t>
  </si>
  <si>
    <t xml:space="preserve"> 80.666 </t>
  </si>
  <si>
    <t xml:space="preserve">F:\images\20210408\plaque 1/@11 Fadrozole 44 µg_L/C11_03.tif </t>
  </si>
  <si>
    <t xml:space="preserve"> 7051.3456 </t>
  </si>
  <si>
    <t xml:space="preserve"> 72.6871 </t>
  </si>
  <si>
    <t xml:space="preserve">F:\images\20210408\plaque 1/@11 Fadrozole 44 µg_L/D11_01.tif </t>
  </si>
  <si>
    <t xml:space="preserve"> 62.4286 </t>
  </si>
  <si>
    <t xml:space="preserve">F:\images\20210408\plaque 1/@11 Fadrozole 44 µg_L/D11_02.tif </t>
  </si>
  <si>
    <t xml:space="preserve"> 63.2963 </t>
  </si>
  <si>
    <t xml:space="preserve">F:\images\20210408\plaque 1/@11 Fadrozole 44 µg_L/D11_03.tif </t>
  </si>
  <si>
    <t xml:space="preserve">F:\images\20210408\plaque 1/@11 Fadrozole 44 µg_L/E11_01.tif </t>
  </si>
  <si>
    <t xml:space="preserve"> 65.8679 </t>
  </si>
  <si>
    <t xml:space="preserve">F:\images\20210408\plaque 1/@11 Fadrozole 44 µg_L/E11_02.tif </t>
  </si>
  <si>
    <t xml:space="preserve">F:\images\20210408\plaque 1/@11 Fadrozole 44 µg_L/E11_03.tif </t>
  </si>
  <si>
    <t xml:space="preserve"> 69.8161 </t>
  </si>
  <si>
    <t xml:space="preserve">F:\images\20210408\plaque 1/@11 Fadrozole 44 µg_L/F11_01.tif </t>
  </si>
  <si>
    <t xml:space="preserve"> 73.4534 </t>
  </si>
  <si>
    <t xml:space="preserve">F:\images\20210408\plaque 1/@11 Fadrozole 44 µg_L/F11_02.tif </t>
  </si>
  <si>
    <t xml:space="preserve"> 62.9688 </t>
  </si>
  <si>
    <t xml:space="preserve">F:\images\20210408\plaque 1/@11 Fadrozole 44 µg_L/F11_03.tif </t>
  </si>
  <si>
    <t xml:space="preserve"> 5212.8046 </t>
  </si>
  <si>
    <t xml:space="preserve"> 71.5104 </t>
  </si>
  <si>
    <t>F:\images\20210408\plaque 1/@11 Fadrozole 44 µg_L/G11_01- exclu.tif</t>
  </si>
  <si>
    <t xml:space="preserve">F:\images\20210408\plaque 1/@11 Fadrozole 44 µg_L/G11_02.tif </t>
  </si>
  <si>
    <t xml:space="preserve"> 73.7181 </t>
  </si>
  <si>
    <t xml:space="preserve">F:\images\20210408\plaque 1/@11 Fadrozole 44 µg_L/G11_03.tif </t>
  </si>
  <si>
    <t xml:space="preserve"> 8024.6909 </t>
  </si>
  <si>
    <t xml:space="preserve"> 78.5418 </t>
  </si>
  <si>
    <t xml:space="preserve">F:\images\20210408\plaque 1/@11 Fadrozole 44 µg_L/H11_01.tif </t>
  </si>
  <si>
    <t xml:space="preserve"> 67.1538 </t>
  </si>
  <si>
    <t xml:space="preserve">F:\images\20210408\plaque 1/@11 Fadrozole 44 µg_L/H11_02.tif </t>
  </si>
  <si>
    <t xml:space="preserve"> 1038.2349 </t>
  </si>
  <si>
    <t xml:space="preserve"> 67.5625 </t>
  </si>
  <si>
    <t xml:space="preserve">F:\images\20210408\plaque 1/@11 Fadrozole 44 µg_L/H11_03.tif </t>
  </si>
  <si>
    <t xml:space="preserve"> 67.5698 </t>
  </si>
  <si>
    <t xml:space="preserve">F:\images\20210408\plaque 1/@11 Fadrozole 44 µg_L/ </t>
  </si>
  <si>
    <t xml:space="preserve"> 68.43 </t>
  </si>
  <si>
    <t xml:space="preserve"> 4.8418 </t>
  </si>
  <si>
    <t xml:space="preserve"> 269366.042 </t>
  </si>
  <si>
    <t xml:space="preserve"> 253813.292 </t>
  </si>
  <si>
    <t xml:space="preserve">F:\images\20210408\plaque 1/@12Fadrozole 87 µg_L/A12_01.tif </t>
  </si>
  <si>
    <t xml:space="preserve"> 65.6815 </t>
  </si>
  <si>
    <t xml:space="preserve">F:\images\20210408\plaque 1/@12Fadrozole 87 µg_L/A12_02.tif </t>
  </si>
  <si>
    <t xml:space="preserve"> 1276.1638 </t>
  </si>
  <si>
    <t xml:space="preserve"> 64.0847 </t>
  </si>
  <si>
    <t xml:space="preserve">F:\images\20210408\plaque 1/@12Fadrozole 87 µg_L/A12_03.tif </t>
  </si>
  <si>
    <t xml:space="preserve"> 66.2091 </t>
  </si>
  <si>
    <t xml:space="preserve">F:\images\20210408\plaque 1/@12Fadrozole 87 µg_L/B12_01.tif </t>
  </si>
  <si>
    <t xml:space="preserve"> 65.1039 </t>
  </si>
  <si>
    <t xml:space="preserve">F:\images\20210408\plaque 1/@12Fadrozole 87 µg_L/B12_02.tif </t>
  </si>
  <si>
    <t xml:space="preserve"> 62.6875 </t>
  </si>
  <si>
    <t xml:space="preserve">F:\images\20210408\plaque 1/@12Fadrozole 87 µg_L/B12_03.tif </t>
  </si>
  <si>
    <t xml:space="preserve"> 66.4022 </t>
  </si>
  <si>
    <t xml:space="preserve">F:\images\20210408\plaque 1/@12Fadrozole 87 µg_L/C12_01.tif </t>
  </si>
  <si>
    <t xml:space="preserve"> 63.875 </t>
  </si>
  <si>
    <t xml:space="preserve">F:\images\20210408\plaque 1/@12Fadrozole 87 µg_L/C12_02.tif </t>
  </si>
  <si>
    <t xml:space="preserve"> 9863.232 </t>
  </si>
  <si>
    <t xml:space="preserve"> 86.5548 </t>
  </si>
  <si>
    <t>F:\images\20210408\plaque 1/@12Fadrozole 87 µg_L/C12_03- exclu.tif</t>
  </si>
  <si>
    <t xml:space="preserve">F:\images\20210408\plaque 1/@12Fadrozole 87 µg_L/D12_01.tif </t>
  </si>
  <si>
    <t xml:space="preserve">F:\images\20210408\plaque 1/@12Fadrozole 87 µg_L/D12_02.tif </t>
  </si>
  <si>
    <t xml:space="preserve"> 81.6616 </t>
  </si>
  <si>
    <t xml:space="preserve">F:\images\20210408\plaque 1/@12Fadrozole 87 µg_L/D12_03.tif </t>
  </si>
  <si>
    <t xml:space="preserve"> 65.3636 </t>
  </si>
  <si>
    <t xml:space="preserve">F:\images\20210408\plaque 1/@12Fadrozole 87 µg_L/E12_01.tif </t>
  </si>
  <si>
    <t xml:space="preserve"> 6121.2602 </t>
  </si>
  <si>
    <t xml:space="preserve"> 68.7562 </t>
  </si>
  <si>
    <t xml:space="preserve">F:\images\20210408\plaque 1/@12Fadrozole 87 µg_L/E12_02.tif </t>
  </si>
  <si>
    <t xml:space="preserve"> 63.9265 </t>
  </si>
  <si>
    <t xml:space="preserve">F:\images\20210408\plaque 1/@12Fadrozole 87 µg_L/E12_03.tif </t>
  </si>
  <si>
    <t xml:space="preserve"> 6229.4097 </t>
  </si>
  <si>
    <t xml:space="preserve"> 67.9792 </t>
  </si>
  <si>
    <t xml:space="preserve">F:\images\20210408\plaque 1/@12Fadrozole 87 µg_L/F12_01.tif </t>
  </si>
  <si>
    <t xml:space="preserve"> 64.3103 </t>
  </si>
  <si>
    <t xml:space="preserve">F:\images\20210408\plaque 1/@12Fadrozole 87 µg_L/F12_02.tif </t>
  </si>
  <si>
    <t xml:space="preserve"> 65.6552 </t>
  </si>
  <si>
    <t xml:space="preserve">F:\images\20210408\plaque 1/@12Fadrozole 87 µg_L/F12_03.tif </t>
  </si>
  <si>
    <t xml:space="preserve"> 65.3902 </t>
  </si>
  <si>
    <t xml:space="preserve">F:\images\20210408\plaque 1/@12Fadrozole 87 µg_L/G12_01.tif </t>
  </si>
  <si>
    <t xml:space="preserve">F:\images\20210408\plaque 1/@12Fadrozole 87 µg_L/G12_02.tif </t>
  </si>
  <si>
    <t xml:space="preserve"> 64.7826 </t>
  </si>
  <si>
    <t xml:space="preserve">F:\images\20210408\plaque 1/@12Fadrozole 87 µg_L/G12_03.tif </t>
  </si>
  <si>
    <t xml:space="preserve"> 62.6667 </t>
  </si>
  <si>
    <t xml:space="preserve">F:\images\20210408\plaque 1/@12Fadrozole 87 µg_L/H12_01.tif </t>
  </si>
  <si>
    <t xml:space="preserve"> 11334.0648 </t>
  </si>
  <si>
    <t xml:space="preserve"> 73.5573 </t>
  </si>
  <si>
    <t xml:space="preserve">F:\images\20210408\plaque 1/@12Fadrozole 87 µg_L/H12_02.tif </t>
  </si>
  <si>
    <t xml:space="preserve"> 6748.5271 </t>
  </si>
  <si>
    <t xml:space="preserve"> 71.4904 </t>
  </si>
  <si>
    <t xml:space="preserve">F:\images\20210408\plaque 1/@12Fadrozole 87 µg_L/H12_03.tif </t>
  </si>
  <si>
    <t xml:space="preserve"> 10166.0505 </t>
  </si>
  <si>
    <t xml:space="preserve"> 71.2149 </t>
  </si>
  <si>
    <t xml:space="preserve">F:\images\20210408\plaque 1/@12Fadrozole 87 µg_L/ </t>
  </si>
  <si>
    <t xml:space="preserve"> 67.515 </t>
  </si>
  <si>
    <t xml:space="preserve"> 5.8738 </t>
  </si>
  <si>
    <t xml:space="preserve"> 242592.792 </t>
  </si>
  <si>
    <t xml:space="preserve"> 281866.797 </t>
  </si>
  <si>
    <t xml:space="preserve">F:\images\20210408\plaque 2/@01 Testo 30/A1_01.tif </t>
  </si>
  <si>
    <t xml:space="preserve"> 61904.7584 </t>
  </si>
  <si>
    <t xml:space="preserve"> 74.6677 </t>
  </si>
  <si>
    <t xml:space="preserve">F:\images\20210408\plaque 2/@01 Testo 30/A1_02.tif </t>
  </si>
  <si>
    <t xml:space="preserve"> 53858.4376 </t>
  </si>
  <si>
    <t xml:space="preserve"> 72.7988 </t>
  </si>
  <si>
    <t xml:space="preserve">F:\images\20210408\plaque 2/@01 Testo 30/A1_03.tif </t>
  </si>
  <si>
    <t xml:space="preserve"> 63180.9222 </t>
  </si>
  <si>
    <t xml:space="preserve"> 73.758 </t>
  </si>
  <si>
    <t xml:space="preserve">F:\images\20210408\plaque 2/@01 Testo 30/B1_01.tif </t>
  </si>
  <si>
    <t xml:space="preserve"> 16590.1292 </t>
  </si>
  <si>
    <t xml:space="preserve"> 71.1369 </t>
  </si>
  <si>
    <t xml:space="preserve">F:\images\20210408\plaque 2/@01 Testo 30/B1_02.tif </t>
  </si>
  <si>
    <t xml:space="preserve"> 13972.9119 </t>
  </si>
  <si>
    <t xml:space="preserve"> 68.8421 </t>
  </si>
  <si>
    <t xml:space="preserve">F:\images\20210408\plaque 2/@01 Testo 30/B1_03.tif </t>
  </si>
  <si>
    <t xml:space="preserve"> 13518.6841 </t>
  </si>
  <si>
    <t xml:space="preserve"> 68.3136 </t>
  </si>
  <si>
    <t xml:space="preserve">F:\images\20210408\plaque 2/@01 Testo 30/C1_01.tif </t>
  </si>
  <si>
    <t xml:space="preserve"> 73.674 </t>
  </si>
  <si>
    <t xml:space="preserve">F:\images\20210408\plaque 2/@01 Testo 30/C1_02.tif </t>
  </si>
  <si>
    <t xml:space="preserve"> 2855.1461 </t>
  </si>
  <si>
    <t xml:space="preserve"> 63.0379 </t>
  </si>
  <si>
    <t xml:space="preserve">F:\images\20210408\plaque 2/@01 Testo 30/C1_03.tif </t>
  </si>
  <si>
    <t xml:space="preserve"> 2465.808 </t>
  </si>
  <si>
    <t xml:space="preserve">F:\images\20210408\plaque 2/@01 Testo 30/D1_01.tif </t>
  </si>
  <si>
    <t xml:space="preserve"> 48645.633 </t>
  </si>
  <si>
    <t xml:space="preserve"> 74.1472 </t>
  </si>
  <si>
    <t xml:space="preserve">F:\images\20210408\plaque 2/@01 Testo 30/D1_02.tif </t>
  </si>
  <si>
    <t xml:space="preserve"> 39561.0773 </t>
  </si>
  <si>
    <t xml:space="preserve"> 74.4893 </t>
  </si>
  <si>
    <t xml:space="preserve">F:\images\20210408\plaque 2/@01 Testo 30/D1_03.tif </t>
  </si>
  <si>
    <t xml:space="preserve"> 74.8968 </t>
  </si>
  <si>
    <t xml:space="preserve">F:\images\20210408\plaque 2/@01 Testo 30/E1_01.tif </t>
  </si>
  <si>
    <t xml:space="preserve"> 63.2062 </t>
  </si>
  <si>
    <t xml:space="preserve">F:\images\20210408\plaque 2/@01 Testo 30/E1_02.tif </t>
  </si>
  <si>
    <t xml:space="preserve"> 64.7283 </t>
  </si>
  <si>
    <t xml:space="preserve">F:\images\20210408\plaque 2/@01 Testo 30/E1_03.tif </t>
  </si>
  <si>
    <t xml:space="preserve"> 64.1091 </t>
  </si>
  <si>
    <t xml:space="preserve">F:\images\20210408\plaque 2/@01 Testo 30/F1_01.tif </t>
  </si>
  <si>
    <t xml:space="preserve"> 55826.758 </t>
  </si>
  <si>
    <t xml:space="preserve"> 74.8032 </t>
  </si>
  <si>
    <t xml:space="preserve">F:\images\20210408\plaque 2/@01 Testo 30/F1_02.tif </t>
  </si>
  <si>
    <t xml:space="preserve"> 75.0305 </t>
  </si>
  <si>
    <t xml:space="preserve">F:\images\20210408\plaque 2/@01 Testo 30/F1_03.tif </t>
  </si>
  <si>
    <t xml:space="preserve"> 55523.9395 </t>
  </si>
  <si>
    <t xml:space="preserve"> 73.9556 </t>
  </si>
  <si>
    <t xml:space="preserve">F:\images\20210408\plaque 2/@01 Testo 30/G1_01.tif </t>
  </si>
  <si>
    <t xml:space="preserve"> 36835.7106 </t>
  </si>
  <si>
    <t xml:space="preserve"> 69.7933 </t>
  </si>
  <si>
    <t xml:space="preserve">F:\images\20210408\plaque 2/@01 Testo 30/G1_02.tif </t>
  </si>
  <si>
    <t xml:space="preserve"> 34153.6036 </t>
  </si>
  <si>
    <t xml:space="preserve"> 71.0608 </t>
  </si>
  <si>
    <t xml:space="preserve">F:\images\20210408\plaque 2/@01 Testo 30/G1_03.tif </t>
  </si>
  <si>
    <t xml:space="preserve"> 27664.6352 </t>
  </si>
  <si>
    <t xml:space="preserve"> 68.3659 </t>
  </si>
  <si>
    <t xml:space="preserve">F:\images\20210408\plaque 2/@01 Testo 30/H1_01.tif </t>
  </si>
  <si>
    <t xml:space="preserve"> 52387.6048 </t>
  </si>
  <si>
    <t xml:space="preserve"> 77.7461 </t>
  </si>
  <si>
    <t xml:space="preserve">F:\images\20210408\plaque 2/@01 Testo 30/H1_02.tif </t>
  </si>
  <si>
    <t xml:space="preserve"> 47910.2166 </t>
  </si>
  <si>
    <t xml:space="preserve"> 74.8284 </t>
  </si>
  <si>
    <t xml:space="preserve">F:\images\20210408\plaque 2/@01 Testo 30/H1_03.tif </t>
  </si>
  <si>
    <t xml:space="preserve"> 42827.1914 </t>
  </si>
  <si>
    <t xml:space="preserve"> 75.8247 </t>
  </si>
  <si>
    <t xml:space="preserve">F:\images\20210408\plaque 2/@01 Testo 30/ </t>
  </si>
  <si>
    <t xml:space="preserve"> 71.0992 </t>
  </si>
  <si>
    <t xml:space="preserve"> 4.5872 </t>
  </si>
  <si>
    <t xml:space="preserve"> 2383350.29 </t>
  </si>
  <si>
    <t xml:space="preserve"> 1652778.4 </t>
  </si>
  <si>
    <t xml:space="preserve">F:\images\20210408\plaque 2/@02 Testo 30/A2_01.tif </t>
  </si>
  <si>
    <t xml:space="preserve"> 52539.0141 </t>
  </si>
  <si>
    <t xml:space="preserve"> 72.7048 </t>
  </si>
  <si>
    <t xml:space="preserve">F:\images\20210408\plaque 2/@02 Testo 30/A2_02.tif </t>
  </si>
  <si>
    <t xml:space="preserve"> 70.0471 </t>
  </si>
  <si>
    <t xml:space="preserve">F:\images\20210408\plaque 2/@02 Testo 30/A2_03.tif </t>
  </si>
  <si>
    <t xml:space="preserve"> 42286.444 </t>
  </si>
  <si>
    <t xml:space="preserve"> 69.6107 </t>
  </si>
  <si>
    <t xml:space="preserve">F:\images\20210408\plaque 2/@02 Testo 30/B2_01.tif </t>
  </si>
  <si>
    <t xml:space="preserve"> 19575.0546 </t>
  </si>
  <si>
    <t xml:space="preserve"> 73.4751 </t>
  </si>
  <si>
    <t xml:space="preserve">F:\images\20210408\plaque 2/@02 Testo 30/B2_02.tif </t>
  </si>
  <si>
    <t xml:space="preserve"> 22451.8306 </t>
  </si>
  <si>
    <t xml:space="preserve"> 72.3863 </t>
  </si>
  <si>
    <t xml:space="preserve">F:\images\20210408\plaque 2/@02 Testo 30/B2_03.tif </t>
  </si>
  <si>
    <t xml:space="preserve"> 21262.1864 </t>
  </si>
  <si>
    <t xml:space="preserve"> 71.9084 </t>
  </si>
  <si>
    <t xml:space="preserve">F:\images\20210408\plaque 2/@02 Testo 30/C2_01.tif </t>
  </si>
  <si>
    <t xml:space="preserve"> 47455.9888 </t>
  </si>
  <si>
    <t xml:space="preserve"> 74.3637 </t>
  </si>
  <si>
    <t xml:space="preserve">F:\images\20210408\plaque 2/@02 Testo 30/C2_02.tif </t>
  </si>
  <si>
    <t xml:space="preserve"> 53252.8006 </t>
  </si>
  <si>
    <t xml:space="preserve"> 73.7055 </t>
  </si>
  <si>
    <t xml:space="preserve">F:\images\20210408\plaque 2/@02 Testo 30/C2_03.tif </t>
  </si>
  <si>
    <t xml:space="preserve"> 50354.3947 </t>
  </si>
  <si>
    <t xml:space="preserve"> 73.6456 </t>
  </si>
  <si>
    <t xml:space="preserve">F:\images\20210408\plaque 2/@02 Testo 30/D2_01.tif </t>
  </si>
  <si>
    <t xml:space="preserve"> 57449.0001 </t>
  </si>
  <si>
    <t xml:space="preserve"> 77.6476 </t>
  </si>
  <si>
    <t xml:space="preserve">F:\images\20210408\plaque 2/@02 Testo 30/D2_02.tif </t>
  </si>
  <si>
    <t xml:space="preserve"> 51608.9286 </t>
  </si>
  <si>
    <t xml:space="preserve"> 76.215 </t>
  </si>
  <si>
    <t>F:\images\20210408\plaque 2/@02 Testo 30/D2_03- exclu.tif</t>
  </si>
  <si>
    <t xml:space="preserve">F:\images\20210408\plaque 2/@02 Testo 30/E2_01.tif </t>
  </si>
  <si>
    <t xml:space="preserve"> 12307.41 </t>
  </si>
  <si>
    <t xml:space="preserve"> 67.3708 </t>
  </si>
  <si>
    <t xml:space="preserve">F:\images\20210408\plaque 2/@02 Testo 30/E2_02.tif </t>
  </si>
  <si>
    <t xml:space="preserve"> 12653.4884 </t>
  </si>
  <si>
    <t xml:space="preserve"> 66.4274 </t>
  </si>
  <si>
    <t xml:space="preserve">F:\images\20210408\plaque 2/@02 Testo 30/E2_03.tif </t>
  </si>
  <si>
    <t xml:space="preserve"> 12934.677 </t>
  </si>
  <si>
    <t xml:space="preserve"> 67.7057 </t>
  </si>
  <si>
    <t xml:space="preserve">F:\images\20210408\plaque 2/@02 Testo 30/F2_01.tif </t>
  </si>
  <si>
    <t xml:space="preserve"> 41832.2162 </t>
  </si>
  <si>
    <t xml:space="preserve"> 73.3692 </t>
  </si>
  <si>
    <t xml:space="preserve">F:\images\20210408\plaque 2/@02 Testo 30/F2_02.tif </t>
  </si>
  <si>
    <t xml:space="preserve"> 73.0929 </t>
  </si>
  <si>
    <t xml:space="preserve">F:\images\20210408\plaque 2/@02 Testo 30/F2_03.tif </t>
  </si>
  <si>
    <t xml:space="preserve"> 33721.0057 </t>
  </si>
  <si>
    <t xml:space="preserve"> 74.592 </t>
  </si>
  <si>
    <t>F:\images\20210408\plaque 2/@02 Testo 30/G2_01- exclu.tif</t>
  </si>
  <si>
    <t>F:\images\20210408\plaque 2/@02 Testo 30/G2_02- exclu.tif</t>
  </si>
  <si>
    <t>F:\images\20210408\plaque 2/@02 Testo 30/G2_03- exclu.tif</t>
  </si>
  <si>
    <t xml:space="preserve">F:\images\20210408\plaque 2/@02 Testo 30/H2_01.tif </t>
  </si>
  <si>
    <t xml:space="preserve"> 29546.4361 </t>
  </si>
  <si>
    <t xml:space="preserve"> 69.6654 </t>
  </si>
  <si>
    <t xml:space="preserve">F:\images\20210408\plaque 2/@02 Testo 30/H2_02.tif </t>
  </si>
  <si>
    <t xml:space="preserve"> 22776.279 </t>
  </si>
  <si>
    <t xml:space="preserve"> 69.1586 </t>
  </si>
  <si>
    <t xml:space="preserve">F:\images\20210408\plaque 2/@02 Testo 30/H2_03.tif </t>
  </si>
  <si>
    <t xml:space="preserve"> 13021.1966 </t>
  </si>
  <si>
    <t xml:space="preserve"> 65.3272 </t>
  </si>
  <si>
    <t xml:space="preserve">F:\images\20210408\plaque 2/@02 Testo 30/ </t>
  </si>
  <si>
    <t xml:space="preserve"> 70.7118 </t>
  </si>
  <si>
    <t xml:space="preserve"> 4.1884 </t>
  </si>
  <si>
    <t xml:space="preserve"> 2089793.04 </t>
  </si>
  <si>
    <t xml:space="preserve"> 1410132.74 </t>
  </si>
  <si>
    <t xml:space="preserve">F:\images\20210408\plaque 2/@03 Testo+ EE2 64/A3_01.tif </t>
  </si>
  <si>
    <t xml:space="preserve"> 77.0067 </t>
  </si>
  <si>
    <t xml:space="preserve">F:\images\20210408\plaque 2/@03 Testo+ EE2 64/A3_02.tif </t>
  </si>
  <si>
    <t xml:space="preserve"> 25501.6458 </t>
  </si>
  <si>
    <t xml:space="preserve"> 78.4385 </t>
  </si>
  <si>
    <t xml:space="preserve">F:\images\20210408\plaque 2/@03 Testo+ EE2 64/A3_03.tif </t>
  </si>
  <si>
    <t xml:space="preserve"> 25285.3468 </t>
  </si>
  <si>
    <t xml:space="preserve"> 78.7613 </t>
  </si>
  <si>
    <t xml:space="preserve">F:\images\20210408\plaque 2/@03 Testo+ EE2 64/B3_01.tif </t>
  </si>
  <si>
    <t xml:space="preserve"> 30303.4824 </t>
  </si>
  <si>
    <t xml:space="preserve"> 75.2819 </t>
  </si>
  <si>
    <t xml:space="preserve">F:\images\20210408\plaque 2/@03 Testo+ EE2 64/B3_02.tif </t>
  </si>
  <si>
    <t xml:space="preserve"> 78.7306 </t>
  </si>
  <si>
    <t xml:space="preserve">F:\images\20210408\plaque 2/@03 Testo+ EE2 64/B3_03.tif </t>
  </si>
  <si>
    <t xml:space="preserve"> 32401.5822 </t>
  </si>
  <si>
    <t xml:space="preserve"> 80.3738 </t>
  </si>
  <si>
    <t xml:space="preserve">F:\images\20210408\plaque 2/@03 Testo+ EE2 64/C3_01.tif </t>
  </si>
  <si>
    <t xml:space="preserve"> 56367.5054 </t>
  </si>
  <si>
    <t xml:space="preserve"> 78.7625 </t>
  </si>
  <si>
    <t xml:space="preserve">F:\images\20210408\plaque 2/@03 Testo+ EE2 64/C3_02.tif </t>
  </si>
  <si>
    <t xml:space="preserve"> 49467.569 </t>
  </si>
  <si>
    <t xml:space="preserve"> 76.6458 </t>
  </si>
  <si>
    <t xml:space="preserve">F:\images\20210408\plaque 2/@03 Testo+ EE2 64/C3_03.tif </t>
  </si>
  <si>
    <t xml:space="preserve"> 54766.8932 </t>
  </si>
  <si>
    <t xml:space="preserve"> 77.6987 </t>
  </si>
  <si>
    <t xml:space="preserve">F:\images\20210408\plaque 2/@03 Testo+ EE2 64/D3_01.tif </t>
  </si>
  <si>
    <t xml:space="preserve"> 78.2903 </t>
  </si>
  <si>
    <t xml:space="preserve">F:\images\20210408\plaque 2/@03 Testo+ EE2 64/D3_02.tif </t>
  </si>
  <si>
    <t xml:space="preserve"> 17130.8765 </t>
  </si>
  <si>
    <t xml:space="preserve"> 81.8573 </t>
  </si>
  <si>
    <t xml:space="preserve">F:\images\20210408\plaque 2/@03 Testo+ EE2 64/D3_03.tif </t>
  </si>
  <si>
    <t xml:space="preserve"> 17303.9157 </t>
  </si>
  <si>
    <t xml:space="preserve"> 76.19 </t>
  </si>
  <si>
    <t xml:space="preserve">F:\images\20210408\plaque 2/@03 Testo+ EE2 64/E3_01.tif </t>
  </si>
  <si>
    <t xml:space="preserve"> 59179.3917 </t>
  </si>
  <si>
    <t xml:space="preserve"> 87.3118 </t>
  </si>
  <si>
    <t xml:space="preserve">F:\images\20210408\plaque 2/@03 Testo+ EE2 64/E3_02.tif </t>
  </si>
  <si>
    <t xml:space="preserve"> 63202.5521 </t>
  </si>
  <si>
    <t xml:space="preserve"> 80.6903 </t>
  </si>
  <si>
    <t xml:space="preserve">F:\images\20210408\plaque 2/@03 Testo+ EE2 64/E3_03.tif </t>
  </si>
  <si>
    <t xml:space="preserve"> 64392.1963 </t>
  </si>
  <si>
    <t xml:space="preserve"> 81.0632 </t>
  </si>
  <si>
    <t xml:space="preserve">F:\images\20210408\plaque 2/@03 Testo+ EE2 64/F3_01.tif </t>
  </si>
  <si>
    <t xml:space="preserve"> 81.6027 </t>
  </si>
  <si>
    <t xml:space="preserve">F:\images\20210408\plaque 2/@03 Testo+ EE2 64/F3_02.tif </t>
  </si>
  <si>
    <t xml:space="preserve"> 52863.4625 </t>
  </si>
  <si>
    <t xml:space="preserve">F:\images\20210408\plaque 2/@03 Testo+ EE2 64/F3_03.tif </t>
  </si>
  <si>
    <t xml:space="preserve"> 53274.4305 </t>
  </si>
  <si>
    <t xml:space="preserve"> 79.7268 </t>
  </si>
  <si>
    <t xml:space="preserve">F:\images\20210408\plaque 2/@03 Testo+ EE2 64/G3_01.tif </t>
  </si>
  <si>
    <t xml:space="preserve"> 11269.1751 </t>
  </si>
  <si>
    <t xml:space="preserve"> 70.6526 </t>
  </si>
  <si>
    <t xml:space="preserve">F:\images\20210408\plaque 2/@03 Testo+ EE2 64/G3_02.tif </t>
  </si>
  <si>
    <t xml:space="preserve"> 12026.2214 </t>
  </si>
  <si>
    <t xml:space="preserve"> 73.9928 </t>
  </si>
  <si>
    <t>F:\images\20210408\plaque 2/@03 Testo+ EE2 64/G3_03- exclu.tif</t>
  </si>
  <si>
    <t xml:space="preserve">F:\images\20210408\plaque 2/@03 Testo+ EE2 64/H3_01.tif </t>
  </si>
  <si>
    <t xml:space="preserve"> 40058.5649 </t>
  </si>
  <si>
    <t xml:space="preserve"> 71.8952 </t>
  </si>
  <si>
    <t xml:space="preserve">F:\images\20210408\plaque 2/@03 Testo+ EE2 64/H3_02.tif </t>
  </si>
  <si>
    <t xml:space="preserve"> 40599.3122 </t>
  </si>
  <si>
    <t xml:space="preserve"> 70.609 </t>
  </si>
  <si>
    <t xml:space="preserve">F:\images\20210408\plaque 2/@03 Testo+ EE2 64/H3_03.tif </t>
  </si>
  <si>
    <t xml:space="preserve"> 35083.6891 </t>
  </si>
  <si>
    <t xml:space="preserve"> 70.5086 </t>
  </si>
  <si>
    <t xml:space="preserve">F:\images\20210408\plaque 2/@03 Testo+ EE2 64/ </t>
  </si>
  <si>
    <t xml:space="preserve"> 77.0515 </t>
  </si>
  <si>
    <t xml:space="preserve"> 4.6175 </t>
  </si>
  <si>
    <t xml:space="preserve"> 2860515.71 </t>
  </si>
  <si>
    <t xml:space="preserve"> 1469975.67 </t>
  </si>
  <si>
    <t xml:space="preserve">F:\images\20210408\plaque 2/@04 Testo+ FAD/A4_01.tif </t>
  </si>
  <si>
    <t xml:space="preserve"> 70.7946 </t>
  </si>
  <si>
    <t xml:space="preserve">F:\images\20210408\plaque 2/@04 Testo+ FAD/A4_02.tif </t>
  </si>
  <si>
    <t xml:space="preserve">F:\images\20210408\plaque 2/@04 Testo+ FAD/A4_03.tif </t>
  </si>
  <si>
    <t xml:space="preserve">F:\images\20210408\plaque 2/@04 Testo+ FAD/B4_01.tif </t>
  </si>
  <si>
    <t xml:space="preserve"> 5256.0644 </t>
  </si>
  <si>
    <t xml:space="preserve"> 72.8642 </t>
  </si>
  <si>
    <t xml:space="preserve">F:\images\20210408\plaque 2/@04 Testo+ FAD/B4_02.tif </t>
  </si>
  <si>
    <t xml:space="preserve"> 6272.6694 </t>
  </si>
  <si>
    <t xml:space="preserve"> 75.269 </t>
  </si>
  <si>
    <t xml:space="preserve">F:\images\20210408\plaque 2/@04 Testo+ FAD/B4_03.tif </t>
  </si>
  <si>
    <t xml:space="preserve">F:\images\20210408\plaque 2/@04 Testo+ FAD/C4_01.tif </t>
  </si>
  <si>
    <t xml:space="preserve"> 8197.7301 </t>
  </si>
  <si>
    <t xml:space="preserve"> 80.0765 </t>
  </si>
  <si>
    <t xml:space="preserve">F:\images\20210408\plaque 2/@04 Testo+ FAD/C4_02.tif </t>
  </si>
  <si>
    <t xml:space="preserve">F:\images\20210408\plaque 2/@04 Testo+ FAD/C4_03.tif </t>
  </si>
  <si>
    <t xml:space="preserve"> 81.2296 </t>
  </si>
  <si>
    <t xml:space="preserve">F:\images\20210408\plaque 2/@04 Testo+ FAD/D4_01.tif </t>
  </si>
  <si>
    <t xml:space="preserve"> 1968.3204 </t>
  </si>
  <si>
    <t xml:space="preserve"> 64.0879 </t>
  </si>
  <si>
    <t xml:space="preserve">F:\images\20210408\plaque 2/@04 Testo+ FAD/D4_02.tif </t>
  </si>
  <si>
    <t xml:space="preserve"> 63.74 </t>
  </si>
  <si>
    <t xml:space="preserve">F:\images\20210408\plaque 2/@04 Testo+ FAD/D4_03.tif </t>
  </si>
  <si>
    <t xml:space="preserve"> 64.9273 </t>
  </si>
  <si>
    <t>F:\images\20210408\plaque 2/@04 Testo+ FAD/E4_01- exclu.tif</t>
  </si>
  <si>
    <t xml:space="preserve">F:\images\20210408\plaque 2/@04 Testo+ FAD/E4_02.tif </t>
  </si>
  <si>
    <t xml:space="preserve"> 63.8571 </t>
  </si>
  <si>
    <t xml:space="preserve">F:\images\20210408\plaque 2/@04 Testo+ FAD/E4_03.tif </t>
  </si>
  <si>
    <t xml:space="preserve"> 61.1111 </t>
  </si>
  <si>
    <t xml:space="preserve">F:\images\20210408\plaque 2/@04 Testo+ FAD/F4_01.tif </t>
  </si>
  <si>
    <t xml:space="preserve"> 64.7059 </t>
  </si>
  <si>
    <t xml:space="preserve">F:\images\20210408\plaque 2/@04 Testo+ FAD/F4_02.tif </t>
  </si>
  <si>
    <t xml:space="preserve">F:\images\20210408\plaque 2/@04 Testo+ FAD/F4_03.tif </t>
  </si>
  <si>
    <t xml:space="preserve"> 64.9091 </t>
  </si>
  <si>
    <t xml:space="preserve">F:\images\20210408\plaque 2/@04 Testo+ FAD/G4_01.tif </t>
  </si>
  <si>
    <t xml:space="preserve"> 63.3788 </t>
  </si>
  <si>
    <t xml:space="preserve">F:\images\20210408\plaque 2/@04 Testo+ FAD/G4_02.tif </t>
  </si>
  <si>
    <t xml:space="preserve"> 63.8 </t>
  </si>
  <si>
    <t xml:space="preserve">F:\images\20210408\plaque 2/@04 Testo+ FAD/G4_03.tif </t>
  </si>
  <si>
    <t xml:space="preserve"> 2400.9183 </t>
  </si>
  <si>
    <t xml:space="preserve"> 64.9189 </t>
  </si>
  <si>
    <t xml:space="preserve">F:\images\20210408\plaque 2/@04 Testo+ FAD/H4_01.tif </t>
  </si>
  <si>
    <t xml:space="preserve">F:\images\20210408\plaque 2/@04 Testo+ FAD/H4_02.tif </t>
  </si>
  <si>
    <t xml:space="preserve"> 67.2 </t>
  </si>
  <si>
    <t xml:space="preserve">F:\images\20210408\plaque 2/@04 Testo+ FAD/H4_03.tif </t>
  </si>
  <si>
    <t xml:space="preserve"> 66.6136 </t>
  </si>
  <si>
    <t xml:space="preserve">F:\images\20210408\plaque 2/@04 Testo+ FAD/ </t>
  </si>
  <si>
    <t xml:space="preserve"> 67.0015 </t>
  </si>
  <si>
    <t xml:space="preserve"> 5.3043 </t>
  </si>
  <si>
    <t xml:space="preserve"> 136695.542 </t>
  </si>
  <si>
    <t xml:space="preserve"> 202611.261 </t>
  </si>
  <si>
    <t xml:space="preserve">F:\images\20210408\plaque 2/@05 Fadrozole 5.4 µg_L Dopé/A5_01.tif </t>
  </si>
  <si>
    <t xml:space="preserve"> 74.2579 </t>
  </si>
  <si>
    <t xml:space="preserve">F:\images\20210408\plaque 2/@05 Fadrozole 5.4 µg_L Dopé/A5_02.tif </t>
  </si>
  <si>
    <t xml:space="preserve"> 61.6 </t>
  </si>
  <si>
    <t xml:space="preserve">F:\images\20210408\plaque 2/@05 Fadrozole 5.4 µg_L Dopé/A5_03.tif </t>
  </si>
  <si>
    <t xml:space="preserve"> 73.2212 </t>
  </si>
  <si>
    <t xml:space="preserve">F:\images\20210408\plaque 2/@05 Fadrozole 5.4 µg_L Dopé/B5_01.tif </t>
  </si>
  <si>
    <t xml:space="preserve"> 75.8506 </t>
  </si>
  <si>
    <t xml:space="preserve">F:\images\20210408\plaque 2/@05 Fadrozole 5.4 µg_L Dopé/B5_02.tif </t>
  </si>
  <si>
    <t xml:space="preserve"> 5472.3633 </t>
  </si>
  <si>
    <t xml:space="preserve"> 67.6166 </t>
  </si>
  <si>
    <t xml:space="preserve">F:\images\20210408\plaque 2/@05 Fadrozole 5.4 µg_L Dopé/B5_03.tif </t>
  </si>
  <si>
    <t xml:space="preserve"> 63.557 </t>
  </si>
  <si>
    <t xml:space="preserve">F:\images\20210408\plaque 2/@05 Fadrozole 5.4 µg_L Dopé/C5_01.tif </t>
  </si>
  <si>
    <t xml:space="preserve"> 65.6947 </t>
  </si>
  <si>
    <t>F:\images\20210408\plaque 2/@05 Fadrozole 5.4 µg_L Dopé/C5_02- exclu.tif</t>
  </si>
  <si>
    <t>F:\images\20210408\plaque 2/@05 Fadrozole 5.4 µg_L Dopé/C5_03- exclu.tif</t>
  </si>
  <si>
    <t xml:space="preserve">F:\images\20210408\plaque 2/@05 Fadrozole 5.4 µg_L Dopé/D5_01.tif </t>
  </si>
  <si>
    <t xml:space="preserve">F:\images\20210408\plaque 2/@05 Fadrozole 5.4 µg_L Dopé/D5_02.tif </t>
  </si>
  <si>
    <t xml:space="preserve"> 67.8161 </t>
  </si>
  <si>
    <t xml:space="preserve">F:\images\20210408\plaque 2/@05 Fadrozole 5.4 µg_L Dopé/D5_03.tif </t>
  </si>
  <si>
    <t xml:space="preserve"> 69.4095 </t>
  </si>
  <si>
    <t xml:space="preserve">F:\images\20210408\plaque 2/@05 Fadrozole 5.4 µg_L Dopé/E5_01.tif </t>
  </si>
  <si>
    <t xml:space="preserve">F:\images\20210408\plaque 2/@05 Fadrozole 5.4 µg_L Dopé/E5_02.tif </t>
  </si>
  <si>
    <t xml:space="preserve"> 64.7037 </t>
  </si>
  <si>
    <t xml:space="preserve">F:\images\20210408\plaque 2/@05 Fadrozole 5.4 µg_L Dopé/E5_03.tif </t>
  </si>
  <si>
    <t xml:space="preserve"> 64.5844 </t>
  </si>
  <si>
    <t xml:space="preserve">F:\images\20210408\plaque 2/@05 Fadrozole 5.4 µg_L Dopé/F5_01.tif </t>
  </si>
  <si>
    <t xml:space="preserve"> 64.7812 </t>
  </si>
  <si>
    <t xml:space="preserve">F:\images\20210408\plaque 2/@05 Fadrozole 5.4 µg_L Dopé/F5_02.tif </t>
  </si>
  <si>
    <t xml:space="preserve"> 64.7115 </t>
  </si>
  <si>
    <t xml:space="preserve">F:\images\20210408\plaque 2/@05 Fadrozole 5.4 µg_L Dopé/F5_03.tif </t>
  </si>
  <si>
    <t xml:space="preserve"> 65.5085 </t>
  </si>
  <si>
    <t xml:space="preserve">F:\images\20210408\plaque 2/@05 Fadrozole 5.4 µg_L Dopé/G5_01.tif </t>
  </si>
  <si>
    <t xml:space="preserve"> 11117.7658 </t>
  </si>
  <si>
    <t xml:space="preserve"> 85.1926 </t>
  </si>
  <si>
    <t>F:\images\20210408\plaque 2/@05 Fadrozole 5.4 µg_L Dopé/G5_02- exclu.tif</t>
  </si>
  <si>
    <t xml:space="preserve">F:\images\20210408\plaque 2/@05 Fadrozole 5.4 µg_L Dopé/G5_03.tif </t>
  </si>
  <si>
    <t xml:space="preserve"> 10274.1999 </t>
  </si>
  <si>
    <t xml:space="preserve"> 79.4316 </t>
  </si>
  <si>
    <t xml:space="preserve">F:\images\20210408\plaque 2/@05 Fadrozole 5.4 µg_L Dopé/H5_01.tif </t>
  </si>
  <si>
    <t xml:space="preserve"> 66.6 </t>
  </si>
  <si>
    <t xml:space="preserve">F:\images\20210408\plaque 2/@05 Fadrozole 5.4 µg_L Dopé/H5_02.tif </t>
  </si>
  <si>
    <t xml:space="preserve">F:\images\20210408\plaque 2/@05 Fadrozole 5.4 µg_L Dopé/H5_03.tif </t>
  </si>
  <si>
    <t xml:space="preserve">F:\images\20210408\plaque 2/@05 Fadrozole 5.4 µg_L Dopé/ </t>
  </si>
  <si>
    <t xml:space="preserve"> 67.5335 </t>
  </si>
  <si>
    <t xml:space="preserve"> 5.9411 </t>
  </si>
  <si>
    <t xml:space="preserve"> 231026.167 </t>
  </si>
  <si>
    <t xml:space="preserve"> 280703.406 </t>
  </si>
  <si>
    <t xml:space="preserve">F:\images\20210408\plaque 2/@06 Fadrozole 11 µg_L Dopé/A6_01.tif </t>
  </si>
  <si>
    <t xml:space="preserve"> 66.2353 </t>
  </si>
  <si>
    <t xml:space="preserve">F:\images\20210408\plaque 2/@06 Fadrozole 11 µg_L Dopé/A6_02.tif </t>
  </si>
  <si>
    <t xml:space="preserve"> 7116.2353 </t>
  </si>
  <si>
    <t xml:space="preserve"> 65.921 </t>
  </si>
  <si>
    <t xml:space="preserve">F:\images\20210408\plaque 2/@06 Fadrozole 11 µg_L Dopé/A6_03.tif </t>
  </si>
  <si>
    <t xml:space="preserve"> 8478.9187 </t>
  </si>
  <si>
    <t xml:space="preserve"> 78.1709 </t>
  </si>
  <si>
    <t xml:space="preserve">F:\images\20210408\plaque 2/@06 Fadrozole 11 µg_L Dopé/B6_01.tif </t>
  </si>
  <si>
    <t xml:space="preserve"> 86.1205 </t>
  </si>
  <si>
    <t xml:space="preserve">F:\images\20210408\plaque 2/@06 Fadrozole 11 µg_L Dopé/B6_02.tif </t>
  </si>
  <si>
    <t xml:space="preserve"> 64.117 </t>
  </si>
  <si>
    <t xml:space="preserve">F:\images\20210408\plaque 2/@06 Fadrozole 11 µg_L Dopé/B6_03.tif </t>
  </si>
  <si>
    <t xml:space="preserve"> 71.339 </t>
  </si>
  <si>
    <t xml:space="preserve">F:\images\20210408\plaque 2/@06 Fadrozole 11 µg_L Dopé/C6_01.tif </t>
  </si>
  <si>
    <t xml:space="preserve"> 67.1053 </t>
  </si>
  <si>
    <t xml:space="preserve">F:\images\20210408\plaque 2/@06 Fadrozole 11 µg_L Dopé/C6_02.tif </t>
  </si>
  <si>
    <t xml:space="preserve"> 68.1875 </t>
  </si>
  <si>
    <t xml:space="preserve">F:\images\20210408\plaque 2/@06 Fadrozole 11 µg_L Dopé/C6_03.tif </t>
  </si>
  <si>
    <t xml:space="preserve"> 843.5659 </t>
  </si>
  <si>
    <t xml:space="preserve"> 66.2821 </t>
  </si>
  <si>
    <t xml:space="preserve">F:\images\20210408\plaque 2/@06 Fadrozole 11 µg_L Dopé/D6_01.tif </t>
  </si>
  <si>
    <t xml:space="preserve"> 64.2414 </t>
  </si>
  <si>
    <t xml:space="preserve">F:\images\20210408\plaque 2/@06 Fadrozole 11 µg_L Dopé/D6_02.tif </t>
  </si>
  <si>
    <t xml:space="preserve"> 65.6154 </t>
  </si>
  <si>
    <t xml:space="preserve">F:\images\20210408\plaque 2/@06 Fadrozole 11 µg_L Dopé/D6_03.tif </t>
  </si>
  <si>
    <t xml:space="preserve"> 67.0455 </t>
  </si>
  <si>
    <t xml:space="preserve">F:\images\20210408\plaque 2/@06 Fadrozole 11 µg_L Dopé/E6_01.tif </t>
  </si>
  <si>
    <t xml:space="preserve"> 64.3542 </t>
  </si>
  <si>
    <t xml:space="preserve">F:\images\20210408\plaque 2/@06 Fadrozole 11 µg_L Dopé/E6_02.tif </t>
  </si>
  <si>
    <t xml:space="preserve"> 63.8276 </t>
  </si>
  <si>
    <t xml:space="preserve">F:\images\20210408\plaque 2/@06 Fadrozole 11 µg_L Dopé/E6_03.tif </t>
  </si>
  <si>
    <t xml:space="preserve"> 62.1739 </t>
  </si>
  <si>
    <t xml:space="preserve">F:\images\20210408\plaque 2/@06 Fadrozole 11 µg_L Dopé/F6_01.tif </t>
  </si>
  <si>
    <t xml:space="preserve"> 65.12 </t>
  </si>
  <si>
    <t xml:space="preserve">F:\images\20210408\plaque 2/@06 Fadrozole 11 µg_L Dopé/F6_02.tif </t>
  </si>
  <si>
    <t xml:space="preserve"> 65.45 </t>
  </si>
  <si>
    <t xml:space="preserve">F:\images\20210408\plaque 2/@06 Fadrozole 11 µg_L Dopé/F6_03.tif </t>
  </si>
  <si>
    <t xml:space="preserve"> 735.4164 </t>
  </si>
  <si>
    <t xml:space="preserve"> 63.1176 </t>
  </si>
  <si>
    <t xml:space="preserve">F:\images\20210408\plaque 2/@06 Fadrozole 11 µg_L Dopé/G6_01.tif </t>
  </si>
  <si>
    <t xml:space="preserve"> 5147.9149 </t>
  </si>
  <si>
    <t xml:space="preserve"> 68.4202 </t>
  </si>
  <si>
    <t xml:space="preserve">F:\images\20210408\plaque 2/@06 Fadrozole 11 µg_L Dopé/G6_02.tif </t>
  </si>
  <si>
    <t xml:space="preserve"> 63.2188 </t>
  </si>
  <si>
    <t xml:space="preserve">F:\images\20210408\plaque 2/@06 Fadrozole 11 µg_L Dopé/G6_03.tif </t>
  </si>
  <si>
    <t xml:space="preserve"> 79.399 </t>
  </si>
  <si>
    <t xml:space="preserve">F:\images\20210408\plaque 2/@06 Fadrozole 11 µg_L Dopé/H6_01.tif </t>
  </si>
  <si>
    <t xml:space="preserve"> 9625.3031 </t>
  </si>
  <si>
    <t xml:space="preserve"> 69.7438 </t>
  </si>
  <si>
    <t xml:space="preserve">F:\images\20210408\plaque 2/@06 Fadrozole 11 µg_L Dopé/H6_02.tif </t>
  </si>
  <si>
    <t xml:space="preserve"> 11982.9616 </t>
  </si>
  <si>
    <t xml:space="preserve"> 73.5235 </t>
  </si>
  <si>
    <t xml:space="preserve">F:\images\20210408\plaque 2/@06 Fadrozole 11 µg_L Dopé/H6_03.tif </t>
  </si>
  <si>
    <t xml:space="preserve"> 7678.6126 </t>
  </si>
  <si>
    <t xml:space="preserve"> 70.2873 </t>
  </si>
  <si>
    <t xml:space="preserve">F:\images\20210408\plaque 2/@06 Fadrozole 11 µg_L Dopé/ </t>
  </si>
  <si>
    <t xml:space="preserve"> 68.2924 </t>
  </si>
  <si>
    <t xml:space="preserve"> 5.8345 </t>
  </si>
  <si>
    <t xml:space="preserve"> 261814.542 </t>
  </si>
  <si>
    <t xml:space="preserve"> 281909.405 </t>
  </si>
  <si>
    <t xml:space="preserve">F:\images\20210408\plaque 2/@07  Fadrozole 22 µg_L Dopé/A7_01.tif </t>
  </si>
  <si>
    <t xml:space="preserve">F:\images\20210408\plaque 2/@07  Fadrozole 22 µg_L Dopé/A7_02.tif </t>
  </si>
  <si>
    <t xml:space="preserve"> 63.1429 </t>
  </si>
  <si>
    <t xml:space="preserve">F:\images\20210408\plaque 2/@07  Fadrozole 22 µg_L Dopé/A7_03.tif </t>
  </si>
  <si>
    <t xml:space="preserve">F:\images\20210408\plaque 2/@07  Fadrozole 22 µg_L Dopé/B7_01.tif </t>
  </si>
  <si>
    <t xml:space="preserve"> 62.6562 </t>
  </si>
  <si>
    <t xml:space="preserve">F:\images\20210408\plaque 2/@07  Fadrozole 22 µg_L Dopé/B7_02.tif </t>
  </si>
  <si>
    <t xml:space="preserve"> 65.5301 </t>
  </si>
  <si>
    <t xml:space="preserve">F:\images\20210408\plaque 2/@07  Fadrozole 22 µg_L Dopé/B7_03.tif </t>
  </si>
  <si>
    <t xml:space="preserve">F:\images\20210408\plaque 2/@07  Fadrozole 22 µg_L Dopé/C7_01.tif </t>
  </si>
  <si>
    <t xml:space="preserve"> 67.8286 </t>
  </si>
  <si>
    <t xml:space="preserve">F:\images\20210408\plaque 2/@07  Fadrozole 22 µg_L Dopé/C7_02.tif </t>
  </si>
  <si>
    <t xml:space="preserve"> 65.7368 </t>
  </si>
  <si>
    <t xml:space="preserve">F:\images\20210408\plaque 2/@07  Fadrozole 22 µg_L Dopé/C7_03.tif </t>
  </si>
  <si>
    <t xml:space="preserve"> 65.0444 </t>
  </si>
  <si>
    <t xml:space="preserve">F:\images\20210408\plaque 2/@07  Fadrozole 22 µg_L Dopé/D7_01.tif </t>
  </si>
  <si>
    <t xml:space="preserve"> 68.1304 </t>
  </si>
  <si>
    <t xml:space="preserve">F:\images\20210408\plaque 2/@07  Fadrozole 22 µg_L Dopé/D7_02.tif </t>
  </si>
  <si>
    <t xml:space="preserve"> 67.3333 </t>
  </si>
  <si>
    <t xml:space="preserve">F:\images\20210408\plaque 2/@07  Fadrozole 22 µg_L Dopé/D7_03.tif </t>
  </si>
  <si>
    <t xml:space="preserve"> 64.5294 </t>
  </si>
  <si>
    <t xml:space="preserve">F:\images\20210408\plaque 2/@07  Fadrozole 22 µg_L Dopé/E7_01.tif </t>
  </si>
  <si>
    <t xml:space="preserve"> 71.4262 </t>
  </si>
  <si>
    <t xml:space="preserve">F:\images\20210408\plaque 2/@07  Fadrozole 22 µg_L Dopé/E7_02.tif </t>
  </si>
  <si>
    <t xml:space="preserve"> 63.6047 </t>
  </si>
  <si>
    <t xml:space="preserve">F:\images\20210408\plaque 2/@07  Fadrozole 22 µg_L Dopé/E7_03.tif </t>
  </si>
  <si>
    <t xml:space="preserve"> 68.7595 </t>
  </si>
  <si>
    <t xml:space="preserve">F:\images\20210408\plaque 2/@07  Fadrozole 22 µg_L Dopé/F7_01.tif </t>
  </si>
  <si>
    <t xml:space="preserve">F:\images\20210408\plaque 2/@07  Fadrozole 22 µg_L Dopé/F7_02.tif </t>
  </si>
  <si>
    <t xml:space="preserve">F:\images\20210408\plaque 2/@07  Fadrozole 22 µg_L Dopé/F7_03.tif </t>
  </si>
  <si>
    <t xml:space="preserve">F:\images\20210408\plaque 2/@07  Fadrozole 22 µg_L Dopé/G7_01.tif </t>
  </si>
  <si>
    <t xml:space="preserve"> 64.8 </t>
  </si>
  <si>
    <t xml:space="preserve">F:\images\20210408\plaque 2/@07  Fadrozole 22 µg_L Dopé/G7_02.tif </t>
  </si>
  <si>
    <t xml:space="preserve">F:\images\20210408\plaque 2/@07  Fadrozole 22 µg_L Dopé/G7_03.tif </t>
  </si>
  <si>
    <t xml:space="preserve"> 65.35 </t>
  </si>
  <si>
    <t xml:space="preserve">F:\images\20210408\plaque 2/@07  Fadrozole 22 µg_L Dopé/H7_01.tif </t>
  </si>
  <si>
    <t xml:space="preserve"> 65.3226 </t>
  </si>
  <si>
    <t xml:space="preserve">F:\images\20210408\plaque 2/@07  Fadrozole 22 µg_L Dopé/H7_02.tif </t>
  </si>
  <si>
    <t xml:space="preserve">F:\images\20210408\plaque 2/@07  Fadrozole 22 µg_L Dopé/H7_03.tif </t>
  </si>
  <si>
    <t xml:space="preserve"> 65.0769 </t>
  </si>
  <si>
    <t xml:space="preserve">F:\images\20210408\plaque 2/@07  Fadrozole 22 µg_L Dopé/ </t>
  </si>
  <si>
    <t xml:space="preserve"> 65.2646 </t>
  </si>
  <si>
    <t xml:space="preserve"> 2.1681 </t>
  </si>
  <si>
    <t xml:space="preserve"> 63418.0417 </t>
  </si>
  <si>
    <t xml:space="preserve"> 94007.105 </t>
  </si>
  <si>
    <t xml:space="preserve">F:\images\20210408\plaque 2/@08 Fadrozole 44 µg_L Dopé/A8_01.tif </t>
  </si>
  <si>
    <t xml:space="preserve"> 71.3836 </t>
  </si>
  <si>
    <t xml:space="preserve">F:\images\20210408\plaque 2/@08 Fadrozole 44 µg_L Dopé/A8_02.tif </t>
  </si>
  <si>
    <t xml:space="preserve"> 69.4429 </t>
  </si>
  <si>
    <t xml:space="preserve">F:\images\20210408\plaque 2/@08 Fadrozole 44 µg_L Dopé/A8_03.tif </t>
  </si>
  <si>
    <t xml:space="preserve"> 67.2222 </t>
  </si>
  <si>
    <t xml:space="preserve">F:\images\20210408\plaque 2/@08 Fadrozole 44 µg_L Dopé/B8_01.tif </t>
  </si>
  <si>
    <t xml:space="preserve"> 64.7333 </t>
  </si>
  <si>
    <t xml:space="preserve">F:\images\20210408\plaque 2/@08 Fadrozole 44 µg_L Dopé/B8_02.tif </t>
  </si>
  <si>
    <t xml:space="preserve"> 64.7097 </t>
  </si>
  <si>
    <t xml:space="preserve">F:\images\20210408\plaque 2/@08 Fadrozole 44 µg_L Dopé/B8_03.tif </t>
  </si>
  <si>
    <t xml:space="preserve"> 64.962 </t>
  </si>
  <si>
    <t xml:space="preserve">F:\images\20210408\plaque 2/@08 Fadrozole 44 µg_L Dopé/C8_01.tif </t>
  </si>
  <si>
    <t xml:space="preserve"> 64.6571 </t>
  </si>
  <si>
    <t xml:space="preserve">F:\images\20210408\plaque 2/@08 Fadrozole 44 µg_L Dopé/C8_02.tif </t>
  </si>
  <si>
    <t xml:space="preserve"> 67.5957 </t>
  </si>
  <si>
    <t xml:space="preserve">F:\images\20210408\plaque 2/@08 Fadrozole 44 µg_L Dopé/C8_03.tif </t>
  </si>
  <si>
    <t xml:space="preserve"> 62.625 </t>
  </si>
  <si>
    <t xml:space="preserve">F:\images\20210408\plaque 2/@08 Fadrozole 44 µg_L Dopé/D8_01.tif </t>
  </si>
  <si>
    <t xml:space="preserve"> 66.6176 </t>
  </si>
  <si>
    <t xml:space="preserve">F:\images\20210408\plaque 2/@08 Fadrozole 44 µg_L Dopé/D8_02.tif </t>
  </si>
  <si>
    <t xml:space="preserve"> 4109.68 </t>
  </si>
  <si>
    <t xml:space="preserve"> 72.4737 </t>
  </si>
  <si>
    <t xml:space="preserve">F:\images\20210408\plaque 2/@08 Fadrozole 44 µg_L Dopé/D8_03.tif </t>
  </si>
  <si>
    <t xml:space="preserve"> 63.7333 </t>
  </si>
  <si>
    <t xml:space="preserve">F:\images\20210408\plaque 2/@08 Fadrozole 44 µg_L Dopé/E8_01.tif </t>
  </si>
  <si>
    <t xml:space="preserve"> 62.4333 </t>
  </si>
  <si>
    <t xml:space="preserve">F:\images\20210408\plaque 2/@08 Fadrozole 44 µg_L Dopé/E8_02.tif </t>
  </si>
  <si>
    <t xml:space="preserve"> 63.6818 </t>
  </si>
  <si>
    <t xml:space="preserve">F:\images\20210408\plaque 2/@08 Fadrozole 44 µg_L Dopé/E8_03.tif </t>
  </si>
  <si>
    <t xml:space="preserve">F:\images\20210408\plaque 2/@08 Fadrozole 44 µg_L Dopé/F8_01.tif </t>
  </si>
  <si>
    <t xml:space="preserve">F:\images\20210408\plaque 2/@08 Fadrozole 44 µg_L Dopé/F8_02.tif </t>
  </si>
  <si>
    <t xml:space="preserve"> 64.7857 </t>
  </si>
  <si>
    <t xml:space="preserve">F:\images\20210408\plaque 2/@08 Fadrozole 44 µg_L Dopé/F8_03.tif </t>
  </si>
  <si>
    <t xml:space="preserve"> 63.2424 </t>
  </si>
  <si>
    <t xml:space="preserve">F:\images\20210408\plaque 2/@08 Fadrozole 44 µg_L Dopé/G8_01.tif </t>
  </si>
  <si>
    <t xml:space="preserve"> 64.1892 </t>
  </si>
  <si>
    <t xml:space="preserve">F:\images\20210408\plaque 2/@08 Fadrozole 44 µg_L Dopé/G8_02.tif </t>
  </si>
  <si>
    <t xml:space="preserve"> 64.5783 </t>
  </si>
  <si>
    <t xml:space="preserve">F:\images\20210408\plaque 2/@08 Fadrozole 44 µg_L Dopé/G8_03.tif </t>
  </si>
  <si>
    <t xml:space="preserve"> 65.084 </t>
  </si>
  <si>
    <t xml:space="preserve">F:\images\20210408\plaque 2/@08 Fadrozole 44 µg_L Dopé/H8_01.tif </t>
  </si>
  <si>
    <t xml:space="preserve"> 62.8824 </t>
  </si>
  <si>
    <t xml:space="preserve">F:\images\20210408\plaque 2/@08 Fadrozole 44 µg_L Dopé/H8_02.tif </t>
  </si>
  <si>
    <t xml:space="preserve"> 64.225 </t>
  </si>
  <si>
    <t xml:space="preserve">F:\images\20210408\plaque 2/@08 Fadrozole 44 µg_L Dopé/H8_03.tif </t>
  </si>
  <si>
    <t xml:space="preserve"> 1946.6905 </t>
  </si>
  <si>
    <t xml:space="preserve"> 66.1333 </t>
  </si>
  <si>
    <t xml:space="preserve">F:\images\20210408\plaque 2/@08 Fadrozole 44 µg_L Dopé/ </t>
  </si>
  <si>
    <t xml:space="preserve"> 65.3566 </t>
  </si>
  <si>
    <t xml:space="preserve"> 2.6203 </t>
  </si>
  <si>
    <t xml:space="preserve"> 84267.2917 </t>
  </si>
  <si>
    <t xml:space="preserve"> 64474.6381 </t>
  </si>
  <si>
    <t xml:space="preserve">F:\images\20210408\plaque 2/@09  Fadrozole 87 µg_L Dopé/A9_01.tif </t>
  </si>
  <si>
    <t xml:space="preserve"> 66.4194 </t>
  </si>
  <si>
    <t>F:\images\20210408\plaque 2/@09  Fadrozole 87 µg_L Dopé/A9_02- exclu.tif</t>
  </si>
  <si>
    <t xml:space="preserve">F:\images\20210408\plaque 2/@09  Fadrozole 87 µg_L Dopé/A9_03.tif </t>
  </si>
  <si>
    <t xml:space="preserve"> 2357.6585 </t>
  </si>
  <si>
    <t xml:space="preserve"> 64.2018 </t>
  </si>
  <si>
    <t xml:space="preserve">F:\images\20210408\plaque 2/@09  Fadrozole 87 µg_L Dopé/B9_01.tif </t>
  </si>
  <si>
    <t xml:space="preserve"> 65.7 </t>
  </si>
  <si>
    <t xml:space="preserve">F:\images\20210408\plaque 2/@09  Fadrozole 87 µg_L Dopé/B9_02.tif </t>
  </si>
  <si>
    <t xml:space="preserve"> 63.6596 </t>
  </si>
  <si>
    <t xml:space="preserve">F:\images\20210408\plaque 2/@09  Fadrozole 87 µg_L Dopé/B9_03.tif </t>
  </si>
  <si>
    <t xml:space="preserve"> 63.1724 </t>
  </si>
  <si>
    <t xml:space="preserve">F:\images\20210408\plaque 2/@09  Fadrozole 87 µg_L Dopé/C9_01.tif </t>
  </si>
  <si>
    <t xml:space="preserve"> 62.4857 </t>
  </si>
  <si>
    <t xml:space="preserve">F:\images\20210408\plaque 2/@09  Fadrozole 87 µg_L Dopé/C9_02.tif </t>
  </si>
  <si>
    <t xml:space="preserve"> 63.8235 </t>
  </si>
  <si>
    <t xml:space="preserve">F:\images\20210408\plaque 2/@09  Fadrozole 87 µg_L Dopé/C9_03.tif </t>
  </si>
  <si>
    <t xml:space="preserve"> 63.4167 </t>
  </si>
  <si>
    <t xml:space="preserve">F:\images\20210408\plaque 2/@09  Fadrozole 87 µg_L Dopé/D9_01.tif </t>
  </si>
  <si>
    <t xml:space="preserve"> 62.9 </t>
  </si>
  <si>
    <t xml:space="preserve">F:\images\20210408\plaque 2/@09  Fadrozole 87 µg_L Dopé/D9_02.tif </t>
  </si>
  <si>
    <t xml:space="preserve"> 61.75 </t>
  </si>
  <si>
    <t xml:space="preserve">F:\images\20210408\plaque 2/@09  Fadrozole 87 µg_L Dopé/D9_03.tif </t>
  </si>
  <si>
    <t xml:space="preserve">F:\images\20210408\plaque 2/@09  Fadrozole 87 µg_L Dopé/E9_01.tif </t>
  </si>
  <si>
    <t xml:space="preserve"> 65.561 </t>
  </si>
  <si>
    <t xml:space="preserve">F:\images\20210408\plaque 2/@09  Fadrozole 87 µg_L Dopé/E9_02.tif </t>
  </si>
  <si>
    <t xml:space="preserve"> 2379.2884 </t>
  </si>
  <si>
    <t xml:space="preserve"> 66.4273 </t>
  </si>
  <si>
    <t xml:space="preserve">F:\images\20210408\plaque 2/@09  Fadrozole 87 µg_L Dopé/E9_03.tif </t>
  </si>
  <si>
    <t xml:space="preserve"> 8976.4063 </t>
  </si>
  <si>
    <t xml:space="preserve"> 74.6988 </t>
  </si>
  <si>
    <t xml:space="preserve">F:\images\20210408\plaque 2/@09  Fadrozole 87 µg_L Dopé/F9_01.tif </t>
  </si>
  <si>
    <t xml:space="preserve"> 6878.3065 </t>
  </si>
  <si>
    <t xml:space="preserve"> 72.5377 </t>
  </si>
  <si>
    <t xml:space="preserve">F:\images\20210408\plaque 2/@09  Fadrozole 87 µg_L Dopé/F9_02.tif </t>
  </si>
  <si>
    <t xml:space="preserve"> 6337.5591 </t>
  </si>
  <si>
    <t xml:space="preserve"> 74.273 </t>
  </si>
  <si>
    <t xml:space="preserve">F:\images\20210408\plaque 2/@09  Fadrozole 87 µg_L Dopé/F9_03.tif </t>
  </si>
  <si>
    <t xml:space="preserve"> 64.4146 </t>
  </si>
  <si>
    <t xml:space="preserve">F:\images\20210408\plaque 2/@09  Fadrozole 87 µg_L Dopé/G9_01.tif </t>
  </si>
  <si>
    <t xml:space="preserve"> 62.913 </t>
  </si>
  <si>
    <t xml:space="preserve">F:\images\20210408\plaque 2/@09  Fadrozole 87 µg_L Dopé/G9_02.tif </t>
  </si>
  <si>
    <t xml:space="preserve"> 64.5806 </t>
  </si>
  <si>
    <t xml:space="preserve">F:\images\20210408\plaque 2/@09  Fadrozole 87 µg_L Dopé/G9_03.tif </t>
  </si>
  <si>
    <t xml:space="preserve">F:\images\20210408\plaque 2/@09  Fadrozole 87 µg_L Dopé/H9_01.tif </t>
  </si>
  <si>
    <t xml:space="preserve">F:\images\20210408\plaque 2/@09  Fadrozole 87 µg_L Dopé/H9_02.tif </t>
  </si>
  <si>
    <t xml:space="preserve"> 65.2143 </t>
  </si>
  <si>
    <t xml:space="preserve">F:\images\20210408\plaque 2/@09  Fadrozole 87 µg_L Dopé/H9_03.tif </t>
  </si>
  <si>
    <t xml:space="preserve"> 64.7692 </t>
  </si>
  <si>
    <t xml:space="preserve">F:\images\20210408\plaque 2/@09  Fadrozole 87 µg_L Dopé/ </t>
  </si>
  <si>
    <t xml:space="preserve"> 65.5399 </t>
  </si>
  <si>
    <t xml:space="preserve"> 3.5877 </t>
  </si>
  <si>
    <t xml:space="preserve"> 136606.333 </t>
  </si>
  <si>
    <t xml:space="preserve"> 193351.212 </t>
  </si>
  <si>
    <t xml:space="preserve"> 63.0667 </t>
  </si>
  <si>
    <t xml:space="preserve"> 62.6154 </t>
  </si>
  <si>
    <t xml:space="preserve"> 67.9254 </t>
  </si>
  <si>
    <t xml:space="preserve"> 64.1579 </t>
  </si>
  <si>
    <t xml:space="preserve"> 62.5882 </t>
  </si>
  <si>
    <t xml:space="preserve"> 62.9231 </t>
  </si>
  <si>
    <t xml:space="preserve"> 64.9459 </t>
  </si>
  <si>
    <t xml:space="preserve"> 64.1667 </t>
  </si>
  <si>
    <t xml:space="preserve"> 63.5789 </t>
  </si>
  <si>
    <t xml:space="preserve"> 65.3 </t>
  </si>
  <si>
    <t xml:space="preserve"> 63.2222 </t>
  </si>
  <si>
    <t xml:space="preserve"> 64.3125 </t>
  </si>
  <si>
    <t xml:space="preserve"> 62.3333 </t>
  </si>
  <si>
    <t>Anova</t>
  </si>
  <si>
    <t xml:space="preserve">\\192.168.24.208\images\R&amp;D\2-Test oestrogénique\OECD and AOPs\REACTIV oecd interlaboratory validation\Results WF\Résultats CBA\2021-CHG-CBA-FADROZOLE HGC\plaque 1/@01 TS/A1_01.tif </t>
  </si>
  <si>
    <t xml:space="preserve"> 413.3213 </t>
  </si>
  <si>
    <t xml:space="preserve">\\192.168.24.208\images\R&amp;D\2-Test oestrogénique\OECD and AOPs\REACTIV oecd interlaboratory validation\Results WF\Résultats CBA\2021-CHG-CBA-FADROZOLE HGC\plaque 1/@01 TS/A1_02.tif </t>
  </si>
  <si>
    <t xml:space="preserve"> 891.904 </t>
  </si>
  <si>
    <t xml:space="preserve"> 65.9512 </t>
  </si>
  <si>
    <t xml:space="preserve">\\192.168.24.208\images\R&amp;D\2-Test oestrogénique\OECD and AOPs\REACTIV oecd interlaboratory validation\Results WF\Résultats CBA\2021-CHG-CBA-FADROZOLE HGC\plaque 1/@01 TS/A1_03.tif </t>
  </si>
  <si>
    <t xml:space="preserve"> 5525.4538 </t>
  </si>
  <si>
    <t xml:space="preserve"> 70.1024 </t>
  </si>
  <si>
    <t xml:space="preserve">\\192.168.24.208\images\R&amp;D\2-Test oestrogénique\OECD and AOPs\REACTIV oecd interlaboratory validation\Results WF\Résultats CBA\2021-CHG-CBA-FADROZOLE HGC\plaque 1/@01 TS/B1_01.tif </t>
  </si>
  <si>
    <t xml:space="preserve"> 282.7988 </t>
  </si>
  <si>
    <t xml:space="preserve">\\192.168.24.208\images\R&amp;D\2-Test oestrogénique\OECD and AOPs\REACTIV oecd interlaboratory validation\Results WF\Résultats CBA\2021-CHG-CBA-FADROZOLE HGC\plaque 1/@01 TS/B1_02.tif </t>
  </si>
  <si>
    <t xml:space="preserve"> 1044.1802 </t>
  </si>
  <si>
    <t xml:space="preserve"> 62.7917 </t>
  </si>
  <si>
    <t xml:space="preserve">\\192.168.24.208\images\R&amp;D\2-Test oestrogénique\OECD and AOPs\REACTIV oecd interlaboratory validation\Results WF\Résultats CBA\2021-CHG-CBA-FADROZOLE HGC\plaque 1/@01 TS/B1_03.tif </t>
  </si>
  <si>
    <t xml:space="preserve"> 913.6577 </t>
  </si>
  <si>
    <t xml:space="preserve"> 64.1429 </t>
  </si>
  <si>
    <t>\\192.168.24.208\images\R&amp;D\2-Test oestrogénique\OECD and AOPs\REACTIV oecd interlaboratory validation\Results WF\Résultats CBA\2021-CHG-CBA-FADROZOLE HGC\plaque 1/@01 TS/C1_01- exclu.tif</t>
  </si>
  <si>
    <t xml:space="preserve">\\192.168.24.208\images\R&amp;D\2-Test oestrogénique\OECD and AOPs\REACTIV oecd interlaboratory validation\Results WF\Résultats CBA\2021-CHG-CBA-FADROZOLE HGC\plaque 1/@01 TS/C1_02.tif </t>
  </si>
  <si>
    <t xml:space="preserve"> 1870.8229 </t>
  </si>
  <si>
    <t xml:space="preserve"> 63.6395 </t>
  </si>
  <si>
    <t xml:space="preserve">\\192.168.24.208\images\R&amp;D\2-Test oestrogénique\OECD and AOPs\REACTIV oecd interlaboratory validation\Results WF\Résultats CBA\2021-CHG-CBA-FADROZOLE HGC\plaque 1/@01 TS/C1_03.tif </t>
  </si>
  <si>
    <t xml:space="preserve"> 978.919 </t>
  </si>
  <si>
    <t xml:space="preserve"> 63.4222 </t>
  </si>
  <si>
    <t xml:space="preserve">\\192.168.24.208\images\R&amp;D\2-Test oestrogénique\OECD and AOPs\REACTIV oecd interlaboratory validation\Results WF\Résultats CBA\2021-CHG-CBA-FADROZOLE HGC\plaque 1/@01 TS/D1_01.tif </t>
  </si>
  <si>
    <t xml:space="preserve"> 261.0451 </t>
  </si>
  <si>
    <t xml:space="preserve">\\192.168.24.208\images\R&amp;D\2-Test oestrogénique\OECD and AOPs\REACTIV oecd interlaboratory validation\Results WF\Résultats CBA\2021-CHG-CBA-FADROZOLE HGC\plaque 1/@01 TS/D1_02.tif </t>
  </si>
  <si>
    <t xml:space="preserve"> 4372.5048 </t>
  </si>
  <si>
    <t xml:space="preserve"> 71.7861 </t>
  </si>
  <si>
    <t xml:space="preserve">\\192.168.24.208\images\R&amp;D\2-Test oestrogénique\OECD and AOPs\REACTIV oecd interlaboratory validation\Results WF\Résultats CBA\2021-CHG-CBA-FADROZOLE HGC\plaque 1/@01 TS/D1_03.tif </t>
  </si>
  <si>
    <t xml:space="preserve"> 4111.4597 </t>
  </si>
  <si>
    <t xml:space="preserve"> 70.873 </t>
  </si>
  <si>
    <t xml:space="preserve">\\192.168.24.208\images\R&amp;D\2-Test oestrogénique\OECD and AOPs\REACTIV oecd interlaboratory validation\Results WF\Résultats CBA\2021-CHG-CBA-FADROZOLE HGC\plaque 1/@01 TS/E1_01.tif </t>
  </si>
  <si>
    <t xml:space="preserve"> 804.8889 </t>
  </si>
  <si>
    <t xml:space="preserve">\\192.168.24.208\images\R&amp;D\2-Test oestrogénique\OECD and AOPs\REACTIV oecd interlaboratory validation\Results WF\Résultats CBA\2021-CHG-CBA-FADROZOLE HGC\plaque 1/@01 TS/E1_02.tif </t>
  </si>
  <si>
    <t xml:space="preserve"> 217.5376 </t>
  </si>
  <si>
    <t xml:space="preserve"> 64.7 </t>
  </si>
  <si>
    <t xml:space="preserve">\\192.168.24.208\images\R&amp;D\2-Test oestrogénique\OECD and AOPs\REACTIV oecd interlaboratory validation\Results WF\Résultats CBA\2021-CHG-CBA-FADROZOLE HGC\plaque 1/@01 TS/E1_03.tif </t>
  </si>
  <si>
    <t xml:space="preserve"> 63.3 </t>
  </si>
  <si>
    <t xml:space="preserve">\\192.168.24.208\images\R&amp;D\2-Test oestrogénique\OECD and AOPs\REACTIV oecd interlaboratory validation\Results WF\Résultats CBA\2021-CHG-CBA-FADROZOLE HGC\plaque 1/@01 TS/F1_01.tif </t>
  </si>
  <si>
    <t xml:space="preserve"> 4742.3186 </t>
  </si>
  <si>
    <t xml:space="preserve"> 69.3257 </t>
  </si>
  <si>
    <t xml:space="preserve">\\192.168.24.208\images\R&amp;D\2-Test oestrogénique\OECD and AOPs\REACTIV oecd interlaboratory validation\Results WF\Résultats CBA\2021-CHG-CBA-FADROZOLE HGC\plaque 1/@01 TS/F1_02.tif </t>
  </si>
  <si>
    <t xml:space="preserve"> 5917.0214 </t>
  </si>
  <si>
    <t xml:space="preserve"> 73.5074 </t>
  </si>
  <si>
    <t xml:space="preserve">\\192.168.24.208\images\R&amp;D\2-Test oestrogénique\OECD and AOPs\REACTIV oecd interlaboratory validation\Results WF\Résultats CBA\2021-CHG-CBA-FADROZOLE HGC\plaque 1/@01 TS/F1_03.tif </t>
  </si>
  <si>
    <t xml:space="preserve"> 5786.4988 </t>
  </si>
  <si>
    <t xml:space="preserve"> 72.7895 </t>
  </si>
  <si>
    <t xml:space="preserve">\\192.168.24.208\images\R&amp;D\2-Test oestrogénique\OECD and AOPs\REACTIV oecd interlaboratory validation\Results WF\Résultats CBA\2021-CHG-CBA-FADROZOLE HGC\plaque 1/@01 TS/G1_01.tif </t>
  </si>
  <si>
    <t xml:space="preserve"> 2915.0032 </t>
  </si>
  <si>
    <t xml:space="preserve"> 65.7687 </t>
  </si>
  <si>
    <t xml:space="preserve">\\192.168.24.208\images\R&amp;D\2-Test oestrogénique\OECD and AOPs\REACTIV oecd interlaboratory validation\Results WF\Résultats CBA\2021-CHG-CBA-FADROZOLE HGC\plaque 1/@01 TS/G1_02.tif </t>
  </si>
  <si>
    <t xml:space="preserve"> 5568.9613 </t>
  </si>
  <si>
    <t xml:space="preserve"> 67.5469 </t>
  </si>
  <si>
    <t xml:space="preserve">\\192.168.24.208\images\R&amp;D\2-Test oestrogénique\OECD and AOPs\REACTIV oecd interlaboratory validation\Results WF\Résultats CBA\2021-CHG-CBA-FADROZOLE HGC\plaque 1/@01 TS/G1_03.tif </t>
  </si>
  <si>
    <t xml:space="preserve"> 62.4324 </t>
  </si>
  <si>
    <t xml:space="preserve">\\192.168.24.208\images\R&amp;D\2-Test oestrogénique\OECD and AOPs\REACTIV oecd interlaboratory validation\Results WF\Résultats CBA\2021-CHG-CBA-FADROZOLE HGC\plaque 1/@01 TS/H1_01.tif </t>
  </si>
  <si>
    <t xml:space="preserve"> 195.7838 </t>
  </si>
  <si>
    <t xml:space="preserve">\\192.168.24.208\images\R&amp;D\2-Test oestrogénique\OECD and AOPs\REACTIV oecd interlaboratory validation\Results WF\Résultats CBA\2021-CHG-CBA-FADROZOLE HGC\plaque 1/@01 TS/H1_02.tif </t>
  </si>
  <si>
    <t>\\192.168.24.208\images\R&amp;D\2-Test oestrogénique\OECD and AOPs\REACTIV oecd interlaboratory validation\Results WF\Résultats CBA\2021-CHG-CBA-FADROZOLE HGC\plaque 1/@01 TS/H1_03- exclu.tif</t>
  </si>
  <si>
    <t xml:space="preserve">\\192.168.24.208\images\R&amp;D\2-Test oestrogénique\OECD and AOPs\REACTIV oecd interlaboratory validation\Results WF\Résultats CBA\2021-CHG-CBA-FADROZOLE HGC\plaque 1/@01 TS/ </t>
  </si>
  <si>
    <t xml:space="preserve"> 65.8125 </t>
  </si>
  <si>
    <t xml:space="preserve"> 3.5953 </t>
  </si>
  <si>
    <t xml:space="preserve"> 142246.917 </t>
  </si>
  <si>
    <t xml:space="preserve"> 153524.22 </t>
  </si>
  <si>
    <t xml:space="preserve">\\192.168.24.208\images\R&amp;D\2-Test oestrogénique\OECD and AOPs\REACTIV oecd interlaboratory validation\Results WF\Résultats CBA\2021-CHG-CBA-FADROZOLE HGC\plaque 1/@02 EE2 34/A2_01.tif </t>
  </si>
  <si>
    <t xml:space="preserve"> 3937.4297 </t>
  </si>
  <si>
    <t xml:space="preserve"> 66.7569 </t>
  </si>
  <si>
    <t xml:space="preserve">\\192.168.24.208\images\R&amp;D\2-Test oestrogénique\OECD and AOPs\REACTIV oecd interlaboratory validation\Results WF\Résultats CBA\2021-CHG-CBA-FADROZOLE HGC\plaque 1/@02 EE2 34/A2_02.tif </t>
  </si>
  <si>
    <t xml:space="preserve"> 4894.5949 </t>
  </si>
  <si>
    <t xml:space="preserve"> 68.2622 </t>
  </si>
  <si>
    <t xml:space="preserve">\\192.168.24.208\images\R&amp;D\2-Test oestrogénique\OECD and AOPs\REACTIV oecd interlaboratory validation\Results WF\Résultats CBA\2021-CHG-CBA-FADROZOLE HGC\plaque 1/@02 EE2 34/A2_03.tif </t>
  </si>
  <si>
    <t xml:space="preserve"> 63.9756 </t>
  </si>
  <si>
    <t xml:space="preserve">\\192.168.24.208\images\R&amp;D\2-Test oestrogénique\OECD and AOPs\REACTIV oecd interlaboratory validation\Results WF\Résultats CBA\2021-CHG-CBA-FADROZOLE HGC\plaque 1/@02 EE2 34/B2_01.tif </t>
  </si>
  <si>
    <t xml:space="preserve"> 174.03 </t>
  </si>
  <si>
    <t xml:space="preserve"> 61.625 </t>
  </si>
  <si>
    <t xml:space="preserve">\\192.168.24.208\images\R&amp;D\2-Test oestrogénique\OECD and AOPs\REACTIV oecd interlaboratory validation\Results WF\Résultats CBA\2021-CHG-CBA-FADROZOLE HGC\plaque 1/@02 EE2 34/B2_02.tif </t>
  </si>
  <si>
    <t xml:space="preserve"> 696.1202 </t>
  </si>
  <si>
    <t xml:space="preserve">\\192.168.24.208\images\R&amp;D\2-Test oestrogénique\OECD and AOPs\REACTIV oecd interlaboratory validation\Results WF\Résultats CBA\2021-CHG-CBA-FADROZOLE HGC\plaque 1/@02 EE2 34/B2_03.tif </t>
  </si>
  <si>
    <t xml:space="preserve">\\192.168.24.208\images\R&amp;D\2-Test oestrogénique\OECD and AOPs\REACTIV oecd interlaboratory validation\Results WF\Résultats CBA\2021-CHG-CBA-FADROZOLE HGC\plaque 1/@02 EE2 34/C2_01.tif </t>
  </si>
  <si>
    <t xml:space="preserve"> 63.2143 </t>
  </si>
  <si>
    <t xml:space="preserve">\\192.168.24.208\images\R&amp;D\2-Test oestrogénique\OECD and AOPs\REACTIV oecd interlaboratory validation\Results WF\Résultats CBA\2021-CHG-CBA-FADROZOLE HGC\plaque 1/@02 EE2 34/C2_02.tif </t>
  </si>
  <si>
    <t xml:space="preserve"> 2218.883 </t>
  </si>
  <si>
    <t xml:space="preserve"> 65.902 </t>
  </si>
  <si>
    <t xml:space="preserve">\\192.168.24.208\images\R&amp;D\2-Test oestrogénique\OECD and AOPs\REACTIV oecd interlaboratory validation\Results WF\Résultats CBA\2021-CHG-CBA-FADROZOLE HGC\plaque 1/@02 EE2 34/C2_03.tif </t>
  </si>
  <si>
    <t xml:space="preserve">\\192.168.24.208\images\R&amp;D\2-Test oestrogénique\OECD and AOPs\REACTIV oecd interlaboratory validation\Results WF\Résultats CBA\2021-CHG-CBA-FADROZOLE HGC\plaque 1/@02 EE2 34/D2_01.tif </t>
  </si>
  <si>
    <t xml:space="preserve"> 1718.5466 </t>
  </si>
  <si>
    <t xml:space="preserve"> 65.5063 </t>
  </si>
  <si>
    <t xml:space="preserve">\\192.168.24.208\images\R&amp;D\2-Test oestrogénique\OECD and AOPs\REACTIV oecd interlaboratory validation\Results WF\Résultats CBA\2021-CHG-CBA-FADROZOLE HGC\plaque 1/@02 EE2 34/D2_02.tif </t>
  </si>
  <si>
    <t xml:space="preserve"> 239.2913 </t>
  </si>
  <si>
    <t xml:space="preserve">\\192.168.24.208\images\R&amp;D\2-Test oestrogénique\OECD and AOPs\REACTIV oecd interlaboratory validation\Results WF\Résultats CBA\2021-CHG-CBA-FADROZOLE HGC\plaque 1/@02 EE2 34/D2_03.tif </t>
  </si>
  <si>
    <t xml:space="preserve"> 565.5976 </t>
  </si>
  <si>
    <t xml:space="preserve"> 62.3846 </t>
  </si>
  <si>
    <t xml:space="preserve">\\192.168.24.208\images\R&amp;D\2-Test oestrogénique\OECD and AOPs\REACTIV oecd interlaboratory validation\Results WF\Résultats CBA\2021-CHG-CBA-FADROZOLE HGC\plaque 1/@02 EE2 34/E2_01.tif </t>
  </si>
  <si>
    <t xml:space="preserve"> 8222.9194 </t>
  </si>
  <si>
    <t xml:space="preserve"> 70.1746 </t>
  </si>
  <si>
    <t>\\192.168.24.208\images\R&amp;D\2-Test oestrogénique\OECD and AOPs\REACTIV oecd interlaboratory validation\Results WF\Résultats CBA\2021-CHG-CBA-FADROZOLE HGC\plaque 1/@02 EE2 34/E2_02- exclu.tif</t>
  </si>
  <si>
    <t xml:space="preserve">\\192.168.24.208\images\R&amp;D\2-Test oestrogénique\OECD and AOPs\REACTIV oecd interlaboratory validation\Results WF\Résultats CBA\2021-CHG-CBA-FADROZOLE HGC\plaque 1/@02 EE2 34/E2_03.tif </t>
  </si>
  <si>
    <t xml:space="preserve"> 9702.1747 </t>
  </si>
  <si>
    <t xml:space="preserve"> 82.3139 </t>
  </si>
  <si>
    <t xml:space="preserve">\\192.168.24.208\images\R&amp;D\2-Test oestrogénique\OECD and AOPs\REACTIV oecd interlaboratory validation\Results WF\Résultats CBA\2021-CHG-CBA-FADROZOLE HGC\plaque 1/@02 EE2 34/F2_01.tif </t>
  </si>
  <si>
    <t xml:space="preserve"> 2936.7569 </t>
  </si>
  <si>
    <t xml:space="preserve"> 65.8593 </t>
  </si>
  <si>
    <t xml:space="preserve">\\192.168.24.208\images\R&amp;D\2-Test oestrogénique\OECD and AOPs\REACTIV oecd interlaboratory validation\Results WF\Résultats CBA\2021-CHG-CBA-FADROZOLE HGC\plaque 1/@02 EE2 34/F2_02.tif </t>
  </si>
  <si>
    <t xml:space="preserve"> 6221.5739 </t>
  </si>
  <si>
    <t xml:space="preserve"> 69.7378 </t>
  </si>
  <si>
    <t xml:space="preserve">\\192.168.24.208\images\R&amp;D\2-Test oestrogénique\OECD and AOPs\REACTIV oecd interlaboratory validation\Results WF\Résultats CBA\2021-CHG-CBA-FADROZOLE HGC\plaque 1/@02 EE2 34/F2_03.tif </t>
  </si>
  <si>
    <t xml:space="preserve"> 2001.3455 </t>
  </si>
  <si>
    <t xml:space="preserve"> 66.2826 </t>
  </si>
  <si>
    <t xml:space="preserve">\\192.168.24.208\images\R&amp;D\2-Test oestrogénique\OECD and AOPs\REACTIV oecd interlaboratory validation\Results WF\Résultats CBA\2021-CHG-CBA-FADROZOLE HGC\plaque 1/@02 EE2 34/G2_01.tif </t>
  </si>
  <si>
    <t xml:space="preserve"> 61.8333 </t>
  </si>
  <si>
    <t xml:space="preserve">\\192.168.24.208\images\R&amp;D\2-Test oestrogénique\OECD and AOPs\REACTIV oecd interlaboratory validation\Results WF\Résultats CBA\2021-CHG-CBA-FADROZOLE HGC\plaque 1/@02 EE2 34/G2_02.tif </t>
  </si>
  <si>
    <t xml:space="preserve">\\192.168.24.208\images\R&amp;D\2-Test oestrogénique\OECD and AOPs\REACTIV oecd interlaboratory validation\Results WF\Résultats CBA\2021-CHG-CBA-FADROZOLE HGC\plaque 1/@02 EE2 34/G2_03.tif </t>
  </si>
  <si>
    <t xml:space="preserve"> 369.8138 </t>
  </si>
  <si>
    <t xml:space="preserve"> 66.1765 </t>
  </si>
  <si>
    <t xml:space="preserve">\\192.168.24.208\images\R&amp;D\2-Test oestrogénique\OECD and AOPs\REACTIV oecd interlaboratory validation\Results WF\Résultats CBA\2021-CHG-CBA-FADROZOLE HGC\plaque 1/@02 EE2 34/H2_01.tif </t>
  </si>
  <si>
    <t xml:space="preserve">\\192.168.24.208\images\R&amp;D\2-Test oestrogénique\OECD and AOPs\REACTIV oecd interlaboratory validation\Results WF\Résultats CBA\2021-CHG-CBA-FADROZOLE HGC\plaque 1/@02 EE2 34/H2_02.tif </t>
  </si>
  <si>
    <t xml:space="preserve"> 456.8289 </t>
  </si>
  <si>
    <t xml:space="preserve"> 63.0952 </t>
  </si>
  <si>
    <t xml:space="preserve">\\192.168.24.208\images\R&amp;D\2-Test oestrogénique\OECD and AOPs\REACTIV oecd interlaboratory validation\Results WF\Résultats CBA\2021-CHG-CBA-FADROZOLE HGC\plaque 1/@02 EE2 34/H2_03.tif </t>
  </si>
  <si>
    <t xml:space="preserve"> 62.4167 </t>
  </si>
  <si>
    <t xml:space="preserve">\\192.168.24.208\images\R&amp;D\2-Test oestrogénique\OECD and AOPs\REACTIV oecd interlaboratory validation\Results WF\Résultats CBA\2021-CHG-CBA-FADROZOLE HGC\plaque 1/@02 EE2 34/ </t>
  </si>
  <si>
    <t xml:space="preserve"> 65.4376 </t>
  </si>
  <si>
    <t xml:space="preserve"> 4.2885 </t>
  </si>
  <si>
    <t xml:space="preserve"> 203692.879 </t>
  </si>
  <si>
    <t xml:space="preserve">\\192.168.24.208\images\R&amp;D\2-Test oestrogénique\OECD and AOPs\REACTIV oecd interlaboratory validation\Results WF\Résultats CBA\2021-CHG-CBA-FADROZOLE HGC\plaque 1/@03 EE2 51/A3_01.tif </t>
  </si>
  <si>
    <t xml:space="preserve"> 1109.4415 </t>
  </si>
  <si>
    <t xml:space="preserve"> 62.8431 </t>
  </si>
  <si>
    <t xml:space="preserve">\\192.168.24.208\images\R&amp;D\2-Test oestrogénique\OECD and AOPs\REACTIV oecd interlaboratory validation\Results WF\Résultats CBA\2021-CHG-CBA-FADROZOLE HGC\plaque 1/@03 EE2 51/A3_02.tif </t>
  </si>
  <si>
    <t xml:space="preserve"> 5373.1775 </t>
  </si>
  <si>
    <t xml:space="preserve"> 67.9838 </t>
  </si>
  <si>
    <t xml:space="preserve">\\192.168.24.208\images\R&amp;D\2-Test oestrogénique\OECD and AOPs\REACTIV oecd interlaboratory validation\Results WF\Résultats CBA\2021-CHG-CBA-FADROZOLE HGC\plaque 1/@03 EE2 51/A3_03.tif </t>
  </si>
  <si>
    <t xml:space="preserve"> 1370.4866 </t>
  </si>
  <si>
    <t xml:space="preserve"> 62.9365 </t>
  </si>
  <si>
    <t xml:space="preserve">\\192.168.24.208\images\R&amp;D\2-Test oestrogénique\OECD and AOPs\REACTIV oecd interlaboratory validation\Results WF\Résultats CBA\2021-CHG-CBA-FADROZOLE HGC\plaque 1/@03 EE2 51/B3_01.tif </t>
  </si>
  <si>
    <t xml:space="preserve"> 652.6127 </t>
  </si>
  <si>
    <t xml:space="preserve">\\192.168.24.208\images\R&amp;D\2-Test oestrogénique\OECD and AOPs\REACTIV oecd interlaboratory validation\Results WF\Résultats CBA\2021-CHG-CBA-FADROZOLE HGC\plaque 1/@03 EE2 51/B3_02.tif </t>
  </si>
  <si>
    <t xml:space="preserve"> 4611.7961 </t>
  </si>
  <si>
    <t xml:space="preserve"> 67.4717 </t>
  </si>
  <si>
    <t xml:space="preserve">\\192.168.24.208\images\R&amp;D\2-Test oestrogénique\OECD and AOPs\REACTIV oecd interlaboratory validation\Results WF\Résultats CBA\2021-CHG-CBA-FADROZOLE HGC\plaque 1/@03 EE2 51/B3_03.tif </t>
  </si>
  <si>
    <t xml:space="preserve"> 5677.7301 </t>
  </si>
  <si>
    <t xml:space="preserve"> 71.7778 </t>
  </si>
  <si>
    <t xml:space="preserve">\\192.168.24.208\images\R&amp;D\2-Test oestrogénique\OECD and AOPs\REACTIV oecd interlaboratory validation\Results WF\Résultats CBA\2021-CHG-CBA-FADROZOLE HGC\plaque 1/@03 EE2 51/C3_01.tif </t>
  </si>
  <si>
    <t xml:space="preserve"> 848.3964 </t>
  </si>
  <si>
    <t xml:space="preserve"> 63.7949 </t>
  </si>
  <si>
    <t>\\192.168.24.208\images\R&amp;D\2-Test oestrogénique\OECD and AOPs\REACTIV oecd interlaboratory validation\Results WF\Résultats CBA\2021-CHG-CBA-FADROZOLE HGC\plaque 1/@03 EE2 51/C3_02- exclu.tif</t>
  </si>
  <si>
    <t xml:space="preserve">\\192.168.24.208\images\R&amp;D\2-Test oestrogénique\OECD and AOPs\REACTIV oecd interlaboratory validation\Results WF\Résultats CBA\2021-CHG-CBA-FADROZOLE HGC\plaque 1/@03 EE2 51/C3_03.tif </t>
  </si>
  <si>
    <t xml:space="preserve"> 64.2761 </t>
  </si>
  <si>
    <t xml:space="preserve">\\192.168.24.208\images\R&amp;D\2-Test oestrogénique\OECD and AOPs\REACTIV oecd interlaboratory validation\Results WF\Résultats CBA\2021-CHG-CBA-FADROZOLE HGC\plaque 1/@03 EE2 51/D3_01.tif </t>
  </si>
  <si>
    <t xml:space="preserve"> 2110.1142 </t>
  </si>
  <si>
    <t xml:space="preserve"> 62.4124 </t>
  </si>
  <si>
    <t xml:space="preserve">\\192.168.24.208\images\R&amp;D\2-Test oestrogénique\OECD and AOPs\REACTIV oecd interlaboratory validation\Results WF\Résultats CBA\2021-CHG-CBA-FADROZOLE HGC\plaque 1/@03 EE2 51/D3_02.tif </t>
  </si>
  <si>
    <t xml:space="preserve"> 3567.6158 </t>
  </si>
  <si>
    <t xml:space="preserve">\\192.168.24.208\images\R&amp;D\2-Test oestrogénique\OECD and AOPs\REACTIV oecd interlaboratory validation\Results WF\Résultats CBA\2021-CHG-CBA-FADROZOLE HGC\plaque 1/@03 EE2 51/D3_03.tif </t>
  </si>
  <si>
    <t xml:space="preserve"> 64.5344 </t>
  </si>
  <si>
    <t xml:space="preserve">\\192.168.24.208\images\R&amp;D\2-Test oestrogénique\OECD and AOPs\REACTIV oecd interlaboratory validation\Results WF\Résultats CBA\2021-CHG-CBA-FADROZOLE HGC\plaque 1/@03 EE2 51/E3_01.tif </t>
  </si>
  <si>
    <t xml:space="preserve"> 61.7308 </t>
  </si>
  <si>
    <t xml:space="preserve">\\192.168.24.208\images\R&amp;D\2-Test oestrogénique\OECD and AOPs\REACTIV oecd interlaboratory validation\Results WF\Résultats CBA\2021-CHG-CBA-FADROZOLE HGC\plaque 1/@03 EE2 51/E3_02.tif </t>
  </si>
  <si>
    <t xml:space="preserve"> 717.8739 </t>
  </si>
  <si>
    <t xml:space="preserve"> 63.5758 </t>
  </si>
  <si>
    <t xml:space="preserve">\\192.168.24.208\images\R&amp;D\2-Test oestrogénique\OECD and AOPs\REACTIV oecd interlaboratory validation\Results WF\Résultats CBA\2021-CHG-CBA-FADROZOLE HGC\plaque 1/@03 EE2 51/E3_03.tif </t>
  </si>
  <si>
    <t xml:space="preserve"> 630.8589 </t>
  </si>
  <si>
    <t xml:space="preserve"> 62.8276 </t>
  </si>
  <si>
    <t xml:space="preserve">\\192.168.24.208\images\R&amp;D\2-Test oestrogénique\OECD and AOPs\REACTIV oecd interlaboratory validation\Results WF\Résultats CBA\2021-CHG-CBA-FADROZOLE HGC\plaque 1/@03 EE2 51/F3_01.tif </t>
  </si>
  <si>
    <t xml:space="preserve"> 1326.9791 </t>
  </si>
  <si>
    <t xml:space="preserve"> 64.3279 </t>
  </si>
  <si>
    <t xml:space="preserve">\\192.168.24.208\images\R&amp;D\2-Test oestrogénique\OECD and AOPs\REACTIV oecd interlaboratory validation\Results WF\Résultats CBA\2021-CHG-CBA-FADROZOLE HGC\plaque 1/@03 EE2 51/F3_02.tif </t>
  </si>
  <si>
    <t xml:space="preserve"> 1762.0542 </t>
  </si>
  <si>
    <t xml:space="preserve"> 65.0123 </t>
  </si>
  <si>
    <t xml:space="preserve">\\192.168.24.208\images\R&amp;D\2-Test oestrogénique\OECD and AOPs\REACTIV oecd interlaboratory validation\Results WF\Résultats CBA\2021-CHG-CBA-FADROZOLE HGC\plaque 1/@03 EE2 51/F3_03.tif </t>
  </si>
  <si>
    <t xml:space="preserve"> 326.3063 </t>
  </si>
  <si>
    <t xml:space="preserve"> 62.2667 </t>
  </si>
  <si>
    <t xml:space="preserve">\\192.168.24.208\images\R&amp;D\2-Test oestrogénique\OECD and AOPs\REACTIV oecd interlaboratory validation\Results WF\Résultats CBA\2021-CHG-CBA-FADROZOLE HGC\plaque 1/@03 EE2 51/G3_01.tif </t>
  </si>
  <si>
    <t xml:space="preserve">\\192.168.24.208\images\R&amp;D\2-Test oestrogénique\OECD and AOPs\REACTIV oecd interlaboratory validation\Results WF\Résultats CBA\2021-CHG-CBA-FADROZOLE HGC\plaque 1/@03 EE2 51/G3_02.tif </t>
  </si>
  <si>
    <t xml:space="preserve"> 304.5526 </t>
  </si>
  <si>
    <t xml:space="preserve">\\192.168.24.208\images\R&amp;D\2-Test oestrogénique\OECD and AOPs\REACTIV oecd interlaboratory validation\Results WF\Résultats CBA\2021-CHG-CBA-FADROZOLE HGC\plaque 1/@03 EE2 51/G3_03.tif </t>
  </si>
  <si>
    <t xml:space="preserve"> 348.0601 </t>
  </si>
  <si>
    <t xml:space="preserve"> 63.5625 </t>
  </si>
  <si>
    <t xml:space="preserve">\\192.168.24.208\images\R&amp;D\2-Test oestrogénique\OECD and AOPs\REACTIV oecd interlaboratory validation\Results WF\Résultats CBA\2021-CHG-CBA-FADROZOLE HGC\plaque 1/@03 EE2 51/H3_01.tif </t>
  </si>
  <si>
    <t xml:space="preserve"> 935.4115 </t>
  </si>
  <si>
    <t xml:space="preserve"> 63.0698 </t>
  </si>
  <si>
    <t xml:space="preserve">\\192.168.24.208\images\R&amp;D\2-Test oestrogénique\OECD and AOPs\REACTIV oecd interlaboratory validation\Results WF\Résultats CBA\2021-CHG-CBA-FADROZOLE HGC\plaque 1/@03 EE2 51/H3_02.tif </t>
  </si>
  <si>
    <t xml:space="preserve"> 1000.6727 </t>
  </si>
  <si>
    <t xml:space="preserve">\\192.168.24.208\images\R&amp;D\2-Test oestrogénique\OECD and AOPs\REACTIV oecd interlaboratory validation\Results WF\Résultats CBA\2021-CHG-CBA-FADROZOLE HGC\plaque 1/@03 EE2 51/H3_03.tif </t>
  </si>
  <si>
    <t xml:space="preserve"> 826.6427 </t>
  </si>
  <si>
    <t xml:space="preserve"> 63.2632 </t>
  </si>
  <si>
    <t xml:space="preserve">\\192.168.24.208\images\R&amp;D\2-Test oestrogénique\OECD and AOPs\REACTIV oecd interlaboratory validation\Results WF\Résultats CBA\2021-CHG-CBA-FADROZOLE HGC\plaque 1/@03 EE2 51/ </t>
  </si>
  <si>
    <t xml:space="preserve"> 64.0353 </t>
  </si>
  <si>
    <t xml:space="preserve"> 2.2064 </t>
  </si>
  <si>
    <t xml:space="preserve"> 114224.5 </t>
  </si>
  <si>
    <t xml:space="preserve"> 116451.371 </t>
  </si>
  <si>
    <t xml:space="preserve">\\192.168.24.208\images\R&amp;D\2-Test oestrogénique\OECD and AOPs\REACTIV oecd interlaboratory validation\Results WF\Résultats CBA\2021-CHG-CBA-FADROZOLE HGC\plaque 1/@04 EE2 76/A4_01.tif </t>
  </si>
  <si>
    <t xml:space="preserve"> 8636.2407 </t>
  </si>
  <si>
    <t xml:space="preserve"> 65.3753 </t>
  </si>
  <si>
    <t xml:space="preserve">\\192.168.24.208\images\R&amp;D\2-Test oestrogénique\OECD and AOPs\REACTIV oecd interlaboratory validation\Results WF\Résultats CBA\2021-CHG-CBA-FADROZOLE HGC\plaque 1/@04 EE2 76/A4_02.tif </t>
  </si>
  <si>
    <t xml:space="preserve"> 5612.4688 </t>
  </si>
  <si>
    <t xml:space="preserve">\\192.168.24.208\images\R&amp;D\2-Test oestrogénique\OECD and AOPs\REACTIV oecd interlaboratory validation\Results WF\Résultats CBA\2021-CHG-CBA-FADROZOLE HGC\plaque 1/@04 EE2 76/A4_03.tif </t>
  </si>
  <si>
    <t xml:space="preserve"> 7222.2467 </t>
  </si>
  <si>
    <t xml:space="preserve"> 66.1084 </t>
  </si>
  <si>
    <t xml:space="preserve">\\192.168.24.208\images\R&amp;D\2-Test oestrogénique\OECD and AOPs\REACTIV oecd interlaboratory validation\Results WF\Résultats CBA\2021-CHG-CBA-FADROZOLE HGC\plaque 1/@04 EE2 76/B4_01.tif </t>
  </si>
  <si>
    <t xml:space="preserve"> 3415.3395 </t>
  </si>
  <si>
    <t xml:space="preserve"> 63.6497 </t>
  </si>
  <si>
    <t xml:space="preserve">\\192.168.24.208\images\R&amp;D\2-Test oestrogénique\OECD and AOPs\REACTIV oecd interlaboratory validation\Results WF\Résultats CBA\2021-CHG-CBA-FADROZOLE HGC\plaque 1/@04 EE2 76/B4_02.tif </t>
  </si>
  <si>
    <t xml:space="preserve"> 3741.6459 </t>
  </si>
  <si>
    <t xml:space="preserve"> 66.1105 </t>
  </si>
  <si>
    <t xml:space="preserve">\\192.168.24.208\images\R&amp;D\2-Test oestrogénique\OECD and AOPs\REACTIV oecd interlaboratory validation\Results WF\Résultats CBA\2021-CHG-CBA-FADROZOLE HGC\plaque 1/@04 EE2 76/B4_03.tif </t>
  </si>
  <si>
    <t xml:space="preserve"> 1936.0842 </t>
  </si>
  <si>
    <t xml:space="preserve"> 63.1798 </t>
  </si>
  <si>
    <t xml:space="preserve">\\192.168.24.208\images\R&amp;D\2-Test oestrogénique\OECD and AOPs\REACTIV oecd interlaboratory validation\Results WF\Résultats CBA\2021-CHG-CBA-FADROZOLE HGC\plaque 1/@04 EE2 76/C4_01.tif </t>
  </si>
  <si>
    <t xml:space="preserve"> 29237.0467 </t>
  </si>
  <si>
    <t xml:space="preserve"> 66.2455 </t>
  </si>
  <si>
    <t xml:space="preserve">\\192.168.24.208\images\R&amp;D\2-Test oestrogénique\OECD and AOPs\REACTIV oecd interlaboratory validation\Results WF\Résultats CBA\2021-CHG-CBA-FADROZOLE HGC\plaque 1/@04 EE2 76/C4_02.tif </t>
  </si>
  <si>
    <t xml:space="preserve"> 25865.2147 </t>
  </si>
  <si>
    <t xml:space="preserve"> 66.3381 </t>
  </si>
  <si>
    <t xml:space="preserve">\\192.168.24.208\images\R&amp;D\2-Test oestrogénique\OECD and AOPs\REACTIV oecd interlaboratory validation\Results WF\Résultats CBA\2021-CHG-CBA-FADROZOLE HGC\plaque 1/@04 EE2 76/C4_03.tif </t>
  </si>
  <si>
    <t xml:space="preserve"> 21470.9562 </t>
  </si>
  <si>
    <t xml:space="preserve"> 65.08 </t>
  </si>
  <si>
    <t>\\192.168.24.208\images\R&amp;D\2-Test oestrogénique\OECD and AOPs\REACTIV oecd interlaboratory validation\Results WF\Résultats CBA\2021-CHG-CBA-FADROZOLE HGC\plaque 1/@04 EE2 76/D4_01- exclu.tif</t>
  </si>
  <si>
    <t>\\192.168.24.208\images\R&amp;D\2-Test oestrogénique\OECD and AOPs\REACTIV oecd interlaboratory validation\Results WF\Résultats CBA\2021-CHG-CBA-FADROZOLE HGC\plaque 1/@04 EE2 76/D4_02- exclu.tif</t>
  </si>
  <si>
    <t>\\192.168.24.208\images\R&amp;D\2-Test oestrogénique\OECD and AOPs\REACTIV oecd interlaboratory validation\Results WF\Résultats CBA\2021-CHG-CBA-FADROZOLE HGC\plaque 1/@04 EE2 76/D4_03- exclu.tif</t>
  </si>
  <si>
    <t xml:space="preserve">\\192.168.24.208\images\R&amp;D\2-Test oestrogénique\OECD and AOPs\REACTIV oecd interlaboratory validation\Results WF\Résultats CBA\2021-CHG-CBA-FADROZOLE HGC\plaque 1/@04 EE2 76/E4_01.tif </t>
  </si>
  <si>
    <t xml:space="preserve"> 63.1395 </t>
  </si>
  <si>
    <t xml:space="preserve">\\192.168.24.208\images\R&amp;D\2-Test oestrogénique\OECD and AOPs\REACTIV oecd interlaboratory validation\Results WF\Résultats CBA\2021-CHG-CBA-FADROZOLE HGC\plaque 1/@04 EE2 76/E4_02.tif </t>
  </si>
  <si>
    <t xml:space="preserve"> 3067.2795 </t>
  </si>
  <si>
    <t xml:space="preserve"> 64.1489 </t>
  </si>
  <si>
    <t xml:space="preserve">\\192.168.24.208\images\R&amp;D\2-Test oestrogénique\OECD and AOPs\REACTIV oecd interlaboratory validation\Results WF\Résultats CBA\2021-CHG-CBA-FADROZOLE HGC\plaque 1/@04 EE2 76/E4_03.tif </t>
  </si>
  <si>
    <t xml:space="preserve"> 2632.2044 </t>
  </si>
  <si>
    <t xml:space="preserve"> 63.0744 </t>
  </si>
  <si>
    <t xml:space="preserve">\\192.168.24.208\images\R&amp;D\2-Test oestrogénique\OECD and AOPs\REACTIV oecd interlaboratory validation\Results WF\Résultats CBA\2021-CHG-CBA-FADROZOLE HGC\plaque 1/@04 EE2 76/F4_01.tif </t>
  </si>
  <si>
    <t xml:space="preserve"> 4655.3036 </t>
  </si>
  <si>
    <t xml:space="preserve"> 67.7056 </t>
  </si>
  <si>
    <t xml:space="preserve">\\192.168.24.208\images\R&amp;D\2-Test oestrogénique\OECD and AOPs\REACTIV oecd interlaboratory validation\Results WF\Résultats CBA\2021-CHG-CBA-FADROZOLE HGC\plaque 1/@04 EE2 76/F4_02.tif </t>
  </si>
  <si>
    <t xml:space="preserve"> 1174.7028 </t>
  </si>
  <si>
    <t xml:space="preserve"> 62.7407 </t>
  </si>
  <si>
    <t xml:space="preserve">\\192.168.24.208\images\R&amp;D\2-Test oestrogénique\OECD and AOPs\REACTIV oecd interlaboratory validation\Results WF\Résultats CBA\2021-CHG-CBA-FADROZOLE HGC\plaque 1/@04 EE2 76/F4_03.tif </t>
  </si>
  <si>
    <t xml:space="preserve"> 3611.1233 </t>
  </si>
  <si>
    <t xml:space="preserve"> 64.6867 </t>
  </si>
  <si>
    <t xml:space="preserve">\\192.168.24.208\images\R&amp;D\2-Test oestrogénique\OECD and AOPs\REACTIV oecd interlaboratory validation\Results WF\Résultats CBA\2021-CHG-CBA-FADROZOLE HGC\plaque 1/@04 EE2 76/G4_01.tif </t>
  </si>
  <si>
    <t xml:space="preserve"> 7831.3518 </t>
  </si>
  <si>
    <t xml:space="preserve"> 64.7889 </t>
  </si>
  <si>
    <t xml:space="preserve">\\192.168.24.208\images\R&amp;D\2-Test oestrogénique\OECD and AOPs\REACTIV oecd interlaboratory validation\Results WF\Résultats CBA\2021-CHG-CBA-FADROZOLE HGC\plaque 1/@04 EE2 76/G4_02.tif </t>
  </si>
  <si>
    <t xml:space="preserve"> 6569.634 </t>
  </si>
  <si>
    <t xml:space="preserve"> 63.8609 </t>
  </si>
  <si>
    <t xml:space="preserve">\\192.168.24.208\images\R&amp;D\2-Test oestrogénique\OECD and AOPs\REACTIV oecd interlaboratory validation\Results WF\Résultats CBA\2021-CHG-CBA-FADROZOLE HGC\plaque 1/@04 EE2 76/G4_03.tif </t>
  </si>
  <si>
    <t xml:space="preserve"> 13008.7455 </t>
  </si>
  <si>
    <t xml:space="preserve"> 64.699 </t>
  </si>
  <si>
    <t xml:space="preserve">\\192.168.24.208\images\R&amp;D\2-Test oestrogénique\OECD and AOPs\REACTIV oecd interlaboratory validation\Results WF\Résultats CBA\2021-CHG-CBA-FADROZOLE HGC\plaque 1/@04 EE2 76/H4_01.tif </t>
  </si>
  <si>
    <t xml:space="preserve"> 24864.542 </t>
  </si>
  <si>
    <t xml:space="preserve"> 66.2266 </t>
  </si>
  <si>
    <t xml:space="preserve">\\192.168.24.208\images\R&amp;D\2-Test oestrogénique\OECD and AOPs\REACTIV oecd interlaboratory validation\Results WF\Résultats CBA\2021-CHG-CBA-FADROZOLE HGC\plaque 1/@04 EE2 76/H4_02.tif </t>
  </si>
  <si>
    <t xml:space="preserve"> 15989.0099 </t>
  </si>
  <si>
    <t xml:space="preserve"> 65.1551 </t>
  </si>
  <si>
    <t xml:space="preserve">\\192.168.24.208\images\R&amp;D\2-Test oestrogénique\OECD and AOPs\REACTIV oecd interlaboratory validation\Results WF\Résultats CBA\2021-CHG-CBA-FADROZOLE HGC\plaque 1/@04 EE2 76/H4_03.tif </t>
  </si>
  <si>
    <t xml:space="preserve"> 17315.989 </t>
  </si>
  <si>
    <t xml:space="preserve"> 64.696 </t>
  </si>
  <si>
    <t xml:space="preserve">\\192.168.24.208\images\R&amp;D\2-Test oestrogénique\OECD and AOPs\REACTIV oecd interlaboratory validation\Results WF\Résultats CBA\2021-CHG-CBA-FADROZOLE HGC\plaque 1/@04 EE2 76/ </t>
  </si>
  <si>
    <t xml:space="preserve"> 64.5538 </t>
  </si>
  <si>
    <t xml:space="preserve"> 1.4308 </t>
  </si>
  <si>
    <t xml:space="preserve"> 580173.625 </t>
  </si>
  <si>
    <t xml:space="preserve"> 582970.27 </t>
  </si>
  <si>
    <t xml:space="preserve">\\192.168.24.208\images\R&amp;D\2-Test oestrogénique\OECD and AOPs\REACTIV oecd interlaboratory validation\Results WF\Résultats CBA\2021-CHG-CBA-FADROZOLE HGC\plaque 1/@05 EE2 114/A5_01.tif </t>
  </si>
  <si>
    <t xml:space="preserve"> 31064.3621 </t>
  </si>
  <si>
    <t xml:space="preserve"> 72.0308 </t>
  </si>
  <si>
    <t xml:space="preserve">\\192.168.24.208\images\R&amp;D\2-Test oestrogénique\OECD and AOPs\REACTIV oecd interlaboratory validation\Results WF\Résultats CBA\2021-CHG-CBA-FADROZOLE HGC\plaque 1/@05 EE2 114/A5_02.tif </t>
  </si>
  <si>
    <t xml:space="preserve"> 31695.221 </t>
  </si>
  <si>
    <t xml:space="preserve"> 70.9966 </t>
  </si>
  <si>
    <t xml:space="preserve">\\192.168.24.208\images\R&amp;D\2-Test oestrogénique\OECD and AOPs\REACTIV oecd interlaboratory validation\Results WF\Résultats CBA\2021-CHG-CBA-FADROZOLE HGC\plaque 1/@05 EE2 114/A5_03.tif </t>
  </si>
  <si>
    <t xml:space="preserve"> 30585.7795 </t>
  </si>
  <si>
    <t xml:space="preserve"> 69.4132 </t>
  </si>
  <si>
    <t xml:space="preserve">\\192.168.24.208\images\R&amp;D\2-Test oestrogénique\OECD and AOPs\REACTIV oecd interlaboratory validation\Results WF\Résultats CBA\2021-CHG-CBA-FADROZOLE HGC\plaque 1/@05 EE2 114/B5_01.tif </t>
  </si>
  <si>
    <t xml:space="preserve"> 30672.7946 </t>
  </si>
  <si>
    <t xml:space="preserve"> 70.8844 </t>
  </si>
  <si>
    <t xml:space="preserve">\\192.168.24.208\images\R&amp;D\2-Test oestrogénique\OECD and AOPs\REACTIV oecd interlaboratory validation\Results WF\Résultats CBA\2021-CHG-CBA-FADROZOLE HGC\plaque 1/@05 EE2 114/B5_02.tif </t>
  </si>
  <si>
    <t xml:space="preserve"> 25995.7372 </t>
  </si>
  <si>
    <t xml:space="preserve"> 70.8301 </t>
  </si>
  <si>
    <t xml:space="preserve">\\192.168.24.208\images\R&amp;D\2-Test oestrogénique\OECD and AOPs\REACTIV oecd interlaboratory validation\Results WF\Résultats CBA\2021-CHG-CBA-FADROZOLE HGC\plaque 1/@05 EE2 114/B5_03.tif </t>
  </si>
  <si>
    <t xml:space="preserve"> 29215.293 </t>
  </si>
  <si>
    <t xml:space="preserve"> 69.6418 </t>
  </si>
  <si>
    <t xml:space="preserve">\\192.168.24.208\images\R&amp;D\2-Test oestrogénique\OECD and AOPs\REACTIV oecd interlaboratory validation\Results WF\Résultats CBA\2021-CHG-CBA-FADROZOLE HGC\plaque 1/@05 EE2 114/C5_01.tif </t>
  </si>
  <si>
    <t xml:space="preserve"> 1392.2403 </t>
  </si>
  <si>
    <t xml:space="preserve"> 63.2969 </t>
  </si>
  <si>
    <t xml:space="preserve">\\192.168.24.208\images\R&amp;D\2-Test oestrogénique\OECD and AOPs\REACTIV oecd interlaboratory validation\Results WF\Résultats CBA\2021-CHG-CBA-FADROZOLE HGC\plaque 1/@05 EE2 114/C5_02.tif </t>
  </si>
  <si>
    <t xml:space="preserve"> 5394.9312 </t>
  </si>
  <si>
    <t xml:space="preserve">\\192.168.24.208\images\R&amp;D\2-Test oestrogénique\OECD and AOPs\REACTIV oecd interlaboratory validation\Results WF\Résultats CBA\2021-CHG-CBA-FADROZOLE HGC\plaque 1/@05 EE2 114/C5_03.tif </t>
  </si>
  <si>
    <t xml:space="preserve"> 1479.2553 </t>
  </si>
  <si>
    <t xml:space="preserve"> 63.5588 </t>
  </si>
  <si>
    <t xml:space="preserve">\\192.168.24.208\images\R&amp;D\2-Test oestrogénique\OECD and AOPs\REACTIV oecd interlaboratory validation\Results WF\Résultats CBA\2021-CHG-CBA-FADROZOLE HGC\plaque 1/@05 EE2 114/D5_01.tif </t>
  </si>
  <si>
    <t xml:space="preserve"> 17990.3554 </t>
  </si>
  <si>
    <t xml:space="preserve"> 68.9468 </t>
  </si>
  <si>
    <t xml:space="preserve">\\192.168.24.208\images\R&amp;D\2-Test oestrogénique\OECD and AOPs\REACTIV oecd interlaboratory validation\Results WF\Résultats CBA\2021-CHG-CBA-FADROZOLE HGC\plaque 1/@05 EE2 114/D5_02.tif </t>
  </si>
  <si>
    <t xml:space="preserve"> 17577.034 </t>
  </si>
  <si>
    <t xml:space="preserve"> 72.3168 </t>
  </si>
  <si>
    <t xml:space="preserve">\\192.168.24.208\images\R&amp;D\2-Test oestrogénique\OECD and AOPs\REACTIV oecd interlaboratory validation\Results WF\Résultats CBA\2021-CHG-CBA-FADROZOLE HGC\plaque 1/@05 EE2 114/D5_03.tif </t>
  </si>
  <si>
    <t xml:space="preserve"> 21775.5088 </t>
  </si>
  <si>
    <t xml:space="preserve"> 72.3207 </t>
  </si>
  <si>
    <t xml:space="preserve">\\192.168.24.208\images\R&amp;D\2-Test oestrogénique\OECD and AOPs\REACTIV oecd interlaboratory validation\Results WF\Résultats CBA\2021-CHG-CBA-FADROZOLE HGC\plaque 1/@05 EE2 114/E5_01.tif </t>
  </si>
  <si>
    <t xml:space="preserve"> 6004.0364 </t>
  </si>
  <si>
    <t xml:space="preserve"> 65.4239 </t>
  </si>
  <si>
    <t xml:space="preserve">\\192.168.24.208\images\R&amp;D\2-Test oestrogénique\OECD and AOPs\REACTIV oecd interlaboratory validation\Results WF\Résultats CBA\2021-CHG-CBA-FADROZOLE HGC\plaque 1/@05 EE2 114/E5_02.tif </t>
  </si>
  <si>
    <t xml:space="preserve"> 5264.4087 </t>
  </si>
  <si>
    <t xml:space="preserve"> 64.1198 </t>
  </si>
  <si>
    <t xml:space="preserve">\\192.168.24.208\images\R&amp;D\2-Test oestrogénique\OECD and AOPs\REACTIV oecd interlaboratory validation\Results WF\Résultats CBA\2021-CHG-CBA-FADROZOLE HGC\plaque 1/@05 EE2 114/E5_03.tif </t>
  </si>
  <si>
    <t xml:space="preserve"> 5177.3937 </t>
  </si>
  <si>
    <t xml:space="preserve"> 64.0336 </t>
  </si>
  <si>
    <t xml:space="preserve">\\192.168.24.208\images\R&amp;D\2-Test oestrogénique\OECD and AOPs\REACTIV oecd interlaboratory validation\Results WF\Résultats CBA\2021-CHG-CBA-FADROZOLE HGC\plaque 1/@05 EE2 114/F5_01.tif </t>
  </si>
  <si>
    <t xml:space="preserve"> 1348.7328 </t>
  </si>
  <si>
    <t xml:space="preserve"> 62.6935 </t>
  </si>
  <si>
    <t xml:space="preserve">\\192.168.24.208\images\R&amp;D\2-Test oestrogénique\OECD and AOPs\REACTIV oecd interlaboratory validation\Results WF\Résultats CBA\2021-CHG-CBA-FADROZOLE HGC\plaque 1/@05 EE2 114/F5_02.tif </t>
  </si>
  <si>
    <t xml:space="preserve"> 63.0789 </t>
  </si>
  <si>
    <t xml:space="preserve">\\192.168.24.208\images\R&amp;D\2-Test oestrogénique\OECD and AOPs\REACTIV oecd interlaboratory validation\Results WF\Résultats CBA\2021-CHG-CBA-FADROZOLE HGC\plaque 1/@05 EE2 114/F5_03.tif </t>
  </si>
  <si>
    <t xml:space="preserve"> 62.1538 </t>
  </si>
  <si>
    <t xml:space="preserve">\\192.168.24.208\images\R&amp;D\2-Test oestrogénique\OECD and AOPs\REACTIV oecd interlaboratory validation\Results WF\Résultats CBA\2021-CHG-CBA-FADROZOLE HGC\plaque 1/@05 EE2 114/G5_01.tif </t>
  </si>
  <si>
    <t xml:space="preserve"> 50272.9278 </t>
  </si>
  <si>
    <t xml:space="preserve"> 70.9831 </t>
  </si>
  <si>
    <t xml:space="preserve">\\192.168.24.208\images\R&amp;D\2-Test oestrogénique\OECD and AOPs\REACTIV oecd interlaboratory validation\Results WF\Résultats CBA\2021-CHG-CBA-FADROZOLE HGC\plaque 1/@05 EE2 114/G5_02.tif </t>
  </si>
  <si>
    <t xml:space="preserve"> 49729.0839 </t>
  </si>
  <si>
    <t xml:space="preserve"> 69.7275 </t>
  </si>
  <si>
    <t xml:space="preserve">\\192.168.24.208\images\R&amp;D\2-Test oestrogénique\OECD and AOPs\REACTIV oecd interlaboratory validation\Results WF\Résultats CBA\2021-CHG-CBA-FADROZOLE HGC\plaque 1/@05 EE2 114/G5_03.tif </t>
  </si>
  <si>
    <t xml:space="preserve"> 47923.5223 </t>
  </si>
  <si>
    <t xml:space="preserve"> 71.1552 </t>
  </si>
  <si>
    <t xml:space="preserve">\\192.168.24.208\images\R&amp;D\2-Test oestrogénique\OECD and AOPs\REACTIV oecd interlaboratory validation\Results WF\Résultats CBA\2021-CHG-CBA-FADROZOLE HGC\plaque 1/@05 EE2 114/H5_01.tif </t>
  </si>
  <si>
    <t xml:space="preserve"> 19730.6558 </t>
  </si>
  <si>
    <t xml:space="preserve"> 65.6968 </t>
  </si>
  <si>
    <t xml:space="preserve">\\192.168.24.208\images\R&amp;D\2-Test oestrogénique\OECD and AOPs\REACTIV oecd interlaboratory validation\Results WF\Résultats CBA\2021-CHG-CBA-FADROZOLE HGC\plaque 1/@05 EE2 114/H5_02.tif </t>
  </si>
  <si>
    <t xml:space="preserve"> 16706.8838 </t>
  </si>
  <si>
    <t xml:space="preserve"> 65.0312 </t>
  </si>
  <si>
    <t xml:space="preserve">\\192.168.24.208\images\R&amp;D\2-Test oestrogénique\OECD and AOPs\REACTIV oecd interlaboratory validation\Results WF\Résultats CBA\2021-CHG-CBA-FADROZOLE HGC\plaque 1/@05 EE2 114/H5_03.tif </t>
  </si>
  <si>
    <t xml:space="preserve"> 16445.8388 </t>
  </si>
  <si>
    <t xml:space="preserve"> 65.3955 </t>
  </si>
  <si>
    <t xml:space="preserve">\\192.168.24.208\images\R&amp;D\2-Test oestrogénique\OECD and AOPs\REACTIV oecd interlaboratory validation\Results WF\Résultats CBA\2021-CHG-CBA-FADROZOLE HGC\plaque 1/@05 EE2 114/ </t>
  </si>
  <si>
    <t xml:space="preserve"> 67.7298 </t>
  </si>
  <si>
    <t xml:space="preserve"> 3.6451 </t>
  </si>
  <si>
    <t xml:space="preserve"> 1352279.58 </t>
  </si>
  <si>
    <t xml:space="preserve"> 1133303.6 </t>
  </si>
  <si>
    <t xml:space="preserve">\\192.168.24.208\images\R&amp;D\2-Test oestrogénique\OECD and AOPs\REACTIV oecd interlaboratory validation\Results WF\Résultats CBA\2021-CHG-CBA-FADROZOLE HGC\plaque 1/@06 EE2 171/A6_01.tif </t>
  </si>
  <si>
    <t xml:space="preserve"> 49489.7926 </t>
  </si>
  <si>
    <t xml:space="preserve"> 75.4105 </t>
  </si>
  <si>
    <t xml:space="preserve">\\192.168.24.208\images\R&amp;D\2-Test oestrogénique\OECD and AOPs\REACTIV oecd interlaboratory validation\Results WF\Résultats CBA\2021-CHG-CBA-FADROZOLE HGC\plaque 1/@06 EE2 171/A6_02.tif </t>
  </si>
  <si>
    <t xml:space="preserve"> 51099.5705 </t>
  </si>
  <si>
    <t xml:space="preserve"> 76.5189 </t>
  </si>
  <si>
    <t xml:space="preserve">\\192.168.24.208\images\R&amp;D\2-Test oestrogénique\OECD and AOPs\REACTIV oecd interlaboratory validation\Results WF\Résultats CBA\2021-CHG-CBA-FADROZOLE HGC\plaque 1/@06 EE2 171/A6_03.tif </t>
  </si>
  <si>
    <t xml:space="preserve"> 49206.9938 </t>
  </si>
  <si>
    <t xml:space="preserve"> 76.5318 </t>
  </si>
  <si>
    <t xml:space="preserve">\\192.168.24.208\images\R&amp;D\2-Test oestrogénique\OECD and AOPs\REACTIV oecd interlaboratory validation\Results WF\Résultats CBA\2021-CHG-CBA-FADROZOLE HGC\plaque 1/@06 EE2 171/B6_01.tif </t>
  </si>
  <si>
    <t xml:space="preserve"> 62281.0006 </t>
  </si>
  <si>
    <t xml:space="preserve"> 77.0845 </t>
  </si>
  <si>
    <t>\\192.168.24.208\images\R&amp;D\2-Test oestrogénique\OECD and AOPs\REACTIV oecd interlaboratory validation\Results WF\Résultats CBA\2021-CHG-CBA-FADROZOLE HGC\plaque 1/@06 EE2 171/B6_02- exclu.tif</t>
  </si>
  <si>
    <t xml:space="preserve">\\192.168.24.208\images\R&amp;D\2-Test oestrogénique\OECD and AOPs\REACTIV oecd interlaboratory validation\Results WF\Résultats CBA\2021-CHG-CBA-FADROZOLE HGC\plaque 1/@06 EE2 171/B6_03.tif </t>
  </si>
  <si>
    <t xml:space="preserve"> 55733.1203 </t>
  </si>
  <si>
    <t xml:space="preserve"> 75.1269 </t>
  </si>
  <si>
    <t xml:space="preserve">\\192.168.24.208\images\R&amp;D\2-Test oestrogénique\OECD and AOPs\REACTIV oecd interlaboratory validation\Results WF\Résultats CBA\2021-CHG-CBA-FADROZOLE HGC\plaque 1/@06 EE2 171/C6_01.tif </t>
  </si>
  <si>
    <t xml:space="preserve"> 29998.4282 </t>
  </si>
  <si>
    <t xml:space="preserve"> 67.6563 </t>
  </si>
  <si>
    <t xml:space="preserve">\\192.168.24.208\images\R&amp;D\2-Test oestrogénique\OECD and AOPs\REACTIV oecd interlaboratory validation\Results WF\Résultats CBA\2021-CHG-CBA-FADROZOLE HGC\plaque 1/@06 EE2 171/C6_02.tif </t>
  </si>
  <si>
    <t xml:space="preserve"> 39069.744 </t>
  </si>
  <si>
    <t xml:space="preserve"> 68.8597 </t>
  </si>
  <si>
    <t xml:space="preserve">\\192.168.24.208\images\R&amp;D\2-Test oestrogénique\OECD and AOPs\REACTIV oecd interlaboratory validation\Results WF\Résultats CBA\2021-CHG-CBA-FADROZOLE HGC\plaque 1/@06 EE2 171/C6_03.tif </t>
  </si>
  <si>
    <t xml:space="preserve"> 38395.3776 </t>
  </si>
  <si>
    <t xml:space="preserve"> 68.766 </t>
  </si>
  <si>
    <t xml:space="preserve">\\192.168.24.208\images\R&amp;D\2-Test oestrogénique\OECD and AOPs\REACTIV oecd interlaboratory validation\Results WF\Résultats CBA\2021-CHG-CBA-FADROZOLE HGC\plaque 1/@06 EE2 171/D6_01.tif </t>
  </si>
  <si>
    <t xml:space="preserve"> 33500.7827 </t>
  </si>
  <si>
    <t xml:space="preserve"> 68.8006 </t>
  </si>
  <si>
    <t xml:space="preserve">\\192.168.24.208\images\R&amp;D\2-Test oestrogénique\OECD and AOPs\REACTIV oecd interlaboratory validation\Results WF\Résultats CBA\2021-CHG-CBA-FADROZOLE HGC\plaque 1/@06 EE2 171/D6_02.tif </t>
  </si>
  <si>
    <t xml:space="preserve"> 35676.1582 </t>
  </si>
  <si>
    <t xml:space="preserve"> 68.2799 </t>
  </si>
  <si>
    <t xml:space="preserve">\\192.168.24.208\images\R&amp;D\2-Test oestrogénique\OECD and AOPs\REACTIV oecd interlaboratory validation\Results WF\Résultats CBA\2021-CHG-CBA-FADROZOLE HGC\plaque 1/@06 EE2 171/D6_03.tif </t>
  </si>
  <si>
    <t xml:space="preserve"> 37895.0412 </t>
  </si>
  <si>
    <t xml:space="preserve"> 69.7732 </t>
  </si>
  <si>
    <t xml:space="preserve">\\192.168.24.208\images\R&amp;D\2-Test oestrogénique\OECD and AOPs\REACTIV oecd interlaboratory validation\Results WF\Résultats CBA\2021-CHG-CBA-FADROZOLE HGC\plaque 1/@06 EE2 171/E6_01.tif </t>
  </si>
  <si>
    <t xml:space="preserve"> 37024.891 </t>
  </si>
  <si>
    <t xml:space="preserve"> 72.0223 </t>
  </si>
  <si>
    <t xml:space="preserve">\\192.168.24.208\images\R&amp;D\2-Test oestrogénique\OECD and AOPs\REACTIV oecd interlaboratory validation\Results WF\Résultats CBA\2021-CHG-CBA-FADROZOLE HGC\plaque 1/@06 EE2 171/E6_02.tif </t>
  </si>
  <si>
    <t xml:space="preserve"> 37133.6598 </t>
  </si>
  <si>
    <t xml:space="preserve"> 73.4388 </t>
  </si>
  <si>
    <t xml:space="preserve">\\192.168.24.208\images\R&amp;D\2-Test oestrogénique\OECD and AOPs\REACTIV oecd interlaboratory validation\Results WF\Résultats CBA\2021-CHG-CBA-FADROZOLE HGC\plaque 1/@06 EE2 171/E6_03.tif </t>
  </si>
  <si>
    <t xml:space="preserve"> 35393.3594 </t>
  </si>
  <si>
    <t xml:space="preserve"> 71.9453 </t>
  </si>
  <si>
    <t xml:space="preserve">\\192.168.24.208\images\R&amp;D\2-Test oestrogénique\OECD and AOPs\REACTIV oecd interlaboratory validation\Results WF\Résultats CBA\2021-CHG-CBA-FADROZOLE HGC\plaque 1/@06 EE2 171/F6_01.tif </t>
  </si>
  <si>
    <t xml:space="preserve"> 32978.6926 </t>
  </si>
  <si>
    <t xml:space="preserve"> 69.9321 </t>
  </si>
  <si>
    <t xml:space="preserve">\\192.168.24.208\images\R&amp;D\2-Test oestrogénique\OECD and AOPs\REACTIV oecd interlaboratory validation\Results WF\Résultats CBA\2021-CHG-CBA-FADROZOLE HGC\plaque 1/@06 EE2 171/F6_02.tif </t>
  </si>
  <si>
    <t xml:space="preserve"> 38873.9602 </t>
  </si>
  <si>
    <t xml:space="preserve"> 73.6626 </t>
  </si>
  <si>
    <t xml:space="preserve">\\192.168.24.208\images\R&amp;D\2-Test oestrogénique\OECD and AOPs\REACTIV oecd interlaboratory validation\Results WF\Résultats CBA\2021-CHG-CBA-FADROZOLE HGC\plaque 1/@06 EE2 171/F6_03.tif </t>
  </si>
  <si>
    <t xml:space="preserve"> 42876.6511 </t>
  </si>
  <si>
    <t xml:space="preserve"> 72.4297 </t>
  </si>
  <si>
    <t xml:space="preserve">\\192.168.24.208\images\R&amp;D\2-Test oestrogénique\OECD and AOPs\REACTIV oecd interlaboratory validation\Results WF\Résultats CBA\2021-CHG-CBA-FADROZOLE HGC\plaque 1/@06 EE2 171/G6_01.tif </t>
  </si>
  <si>
    <t xml:space="preserve"> 51382.3693 </t>
  </si>
  <si>
    <t xml:space="preserve"> 87.5398 </t>
  </si>
  <si>
    <t xml:space="preserve">\\192.168.24.208\images\R&amp;D\2-Test oestrogénique\OECD and AOPs\REACTIV oecd interlaboratory validation\Results WF\Résultats CBA\2021-CHG-CBA-FADROZOLE HGC\plaque 1/@06 EE2 171/G6_02.tif </t>
  </si>
  <si>
    <t xml:space="preserve"> 50642.7416 </t>
  </si>
  <si>
    <t xml:space="preserve"> 87.5863 </t>
  </si>
  <si>
    <t xml:space="preserve">\\192.168.24.208\images\R&amp;D\2-Test oestrogénique\OECD and AOPs\REACTIV oecd interlaboratory validation\Results WF\Résultats CBA\2021-CHG-CBA-FADROZOLE HGC\plaque 1/@06 EE2 171/G6_03.tif </t>
  </si>
  <si>
    <t xml:space="preserve"> 50664.4954 </t>
  </si>
  <si>
    <t xml:space="preserve"> 87.1498 </t>
  </si>
  <si>
    <t xml:space="preserve">\\192.168.24.208\images\R&amp;D\2-Test oestrogénique\OECD and AOPs\REACTIV oecd interlaboratory validation\Results WF\Résultats CBA\2021-CHG-CBA-FADROZOLE HGC\plaque 1/@06 EE2 171/H6_01.tif </t>
  </si>
  <si>
    <t xml:space="preserve"> 27670.7764 </t>
  </si>
  <si>
    <t xml:space="preserve"> 88.6038 </t>
  </si>
  <si>
    <t xml:space="preserve">\\192.168.24.208\images\R&amp;D\2-Test oestrogénique\OECD and AOPs\REACTIV oecd interlaboratory validation\Results WF\Résultats CBA\2021-CHG-CBA-FADROZOLE HGC\plaque 1/@06 EE2 171/H6_02.tif </t>
  </si>
  <si>
    <t xml:space="preserve"> 40505.4918 </t>
  </si>
  <si>
    <t xml:space="preserve"> 78.8963 </t>
  </si>
  <si>
    <t xml:space="preserve">\\192.168.24.208\images\R&amp;D\2-Test oestrogénique\OECD and AOPs\REACTIV oecd interlaboratory validation\Results WF\Résultats CBA\2021-CHG-CBA-FADROZOLE HGC\plaque 1/@06 EE2 171/H6_03.tif </t>
  </si>
  <si>
    <t xml:space="preserve"> 46683.5582 </t>
  </si>
  <si>
    <t xml:space="preserve"> 81.1584 </t>
  </si>
  <si>
    <t xml:space="preserve">\\192.168.24.208\images\R&amp;D\2-Test oestrogénique\OECD and AOPs\REACTIV oecd interlaboratory validation\Results WF\Résultats CBA\2021-CHG-CBA-FADROZOLE HGC\plaque 1/@06 EE2 171/ </t>
  </si>
  <si>
    <t xml:space="preserve"> 75.1386 </t>
  </si>
  <si>
    <t xml:space="preserve"> 6.867 </t>
  </si>
  <si>
    <t xml:space="preserve"> 3193212.79 </t>
  </si>
  <si>
    <t xml:space="preserve"> 839997.604 </t>
  </si>
  <si>
    <t xml:space="preserve">\\192.168.24.208\images\R&amp;D\2-Test oestrogénique\OECD and AOPs\REACTIV oecd interlaboratory validation\Results WF\Résultats CBA\2021-CHG-CBA-FADROZOLE HGC\plaque 1/@07 EE2 488/A7_01.tif </t>
  </si>
  <si>
    <t xml:space="preserve"> 70395.1512 </t>
  </si>
  <si>
    <t xml:space="preserve"> 97.2259 </t>
  </si>
  <si>
    <t xml:space="preserve">\\192.168.24.208\images\R&amp;D\2-Test oestrogénique\OECD and AOPs\REACTIV oecd interlaboratory validation\Results WF\Résultats CBA\2021-CHG-CBA-FADROZOLE HGC\plaque 1/@07 EE2 488/A7_02.tif </t>
  </si>
  <si>
    <t xml:space="preserve"> 74223.8121 </t>
  </si>
  <si>
    <t xml:space="preserve"> 96.9751 </t>
  </si>
  <si>
    <t xml:space="preserve">\\192.168.24.208\images\R&amp;D\2-Test oestrogénique\OECD and AOPs\REACTIV oecd interlaboratory validation\Results WF\Résultats CBA\2021-CHG-CBA-FADROZOLE HGC\plaque 1/@07 EE2 488/A7_03.tif </t>
  </si>
  <si>
    <t xml:space="preserve"> 70482.1662 </t>
  </si>
  <si>
    <t xml:space="preserve"> 96.3321 </t>
  </si>
  <si>
    <t xml:space="preserve">\\192.168.24.208\images\R&amp;D\2-Test oestrogénique\OECD and AOPs\REACTIV oecd interlaboratory validation\Results WF\Résultats CBA\2021-CHG-CBA-FADROZOLE HGC\plaque 1/@07 EE2 488/B7_01.tif </t>
  </si>
  <si>
    <t xml:space="preserve"> 78531.0556 </t>
  </si>
  <si>
    <t xml:space="preserve"> 97.5432 </t>
  </si>
  <si>
    <t xml:space="preserve">\\192.168.24.208\images\R&amp;D\2-Test oestrogénique\OECD and AOPs\REACTIV oecd interlaboratory validation\Results WF\Résultats CBA\2021-CHG-CBA-FADROZOLE HGC\plaque 1/@07 EE2 488/B7_02.tif </t>
  </si>
  <si>
    <t xml:space="preserve"> 82816.5453 </t>
  </si>
  <si>
    <t xml:space="preserve"> 94.3756 </t>
  </si>
  <si>
    <t xml:space="preserve">\\192.168.24.208\images\R&amp;D\2-Test oestrogénique\OECD and AOPs\REACTIV oecd interlaboratory validation\Results WF\Résultats CBA\2021-CHG-CBA-FADROZOLE HGC\plaque 1/@07 EE2 488/B7_03.tif </t>
  </si>
  <si>
    <t xml:space="preserve"> 85927.3323 </t>
  </si>
  <si>
    <t xml:space="preserve"> 93.5648 </t>
  </si>
  <si>
    <t xml:space="preserve">\\192.168.24.208\images\R&amp;D\2-Test oestrogénique\OECD and AOPs\REACTIV oecd interlaboratory validation\Results WF\Résultats CBA\2021-CHG-CBA-FADROZOLE HGC\plaque 1/@07 EE2 488/C7_01.tif </t>
  </si>
  <si>
    <t xml:space="preserve"> 54123.3424 </t>
  </si>
  <si>
    <t xml:space="preserve"> 97.1744 </t>
  </si>
  <si>
    <t xml:space="preserve">\\192.168.24.208\images\R&amp;D\2-Test oestrogénique\OECD and AOPs\REACTIV oecd interlaboratory validation\Results WF\Résultats CBA\2021-CHG-CBA-FADROZOLE HGC\plaque 1/@07 EE2 488/C7_02.tif </t>
  </si>
  <si>
    <t xml:space="preserve"> 54819.4626 </t>
  </si>
  <si>
    <t xml:space="preserve"> 98.0071 </t>
  </si>
  <si>
    <t xml:space="preserve">\\192.168.24.208\images\R&amp;D\2-Test oestrogénique\OECD and AOPs\REACTIV oecd interlaboratory validation\Results WF\Résultats CBA\2021-CHG-CBA-FADROZOLE HGC\plaque 1/@07 EE2 488/C7_03.tif </t>
  </si>
  <si>
    <t xml:space="preserve"> 54449.6488 </t>
  </si>
  <si>
    <t xml:space="preserve"> 98.2145 </t>
  </si>
  <si>
    <t xml:space="preserve">\\192.168.24.208\images\R&amp;D\2-Test oestrogénique\OECD and AOPs\REACTIV oecd interlaboratory validation\Results WF\Résultats CBA\2021-CHG-CBA-FADROZOLE HGC\plaque 1/@07 EE2 488/D7_01.tif </t>
  </si>
  <si>
    <t xml:space="preserve"> 73723.4757 </t>
  </si>
  <si>
    <t xml:space="preserve"> 87.9979 </t>
  </si>
  <si>
    <t xml:space="preserve">\\192.168.24.208\images\R&amp;D\2-Test oestrogénique\OECD and AOPs\REACTIV oecd interlaboratory validation\Results WF\Résultats CBA\2021-CHG-CBA-FADROZOLE HGC\plaque 1/@07 EE2 488/D7_02.tif </t>
  </si>
  <si>
    <t xml:space="preserve"> 68567.8358 </t>
  </si>
  <si>
    <t xml:space="preserve"> 89.2008 </t>
  </si>
  <si>
    <t xml:space="preserve">\\192.168.24.208\images\R&amp;D\2-Test oestrogénique\OECD and AOPs\REACTIV oecd interlaboratory validation\Results WF\Résultats CBA\2021-CHG-CBA-FADROZOLE HGC\plaque 1/@07 EE2 488/D7_03.tif </t>
  </si>
  <si>
    <t xml:space="preserve"> 65108.9887 </t>
  </si>
  <si>
    <t xml:space="preserve"> 91.3191 </t>
  </si>
  <si>
    <t xml:space="preserve">\\192.168.24.208\images\R&amp;D\2-Test oestrogénique\OECD and AOPs\REACTIV oecd interlaboratory validation\Results WF\Résultats CBA\2021-CHG-CBA-FADROZOLE HGC\plaque 1/@07 EE2 488/E7_01.tif </t>
  </si>
  <si>
    <t xml:space="preserve"> 59714.0575 </t>
  </si>
  <si>
    <t xml:space="preserve"> 86.0412 </t>
  </si>
  <si>
    <t xml:space="preserve">\\192.168.24.208\images\R&amp;D\2-Test oestrogénique\OECD and AOPs\REACTIV oecd interlaboratory validation\Results WF\Résultats CBA\2021-CHG-CBA-FADROZOLE HGC\plaque 1/@07 EE2 488/E7_02.tif </t>
  </si>
  <si>
    <t xml:space="preserve"> 59822.8263 </t>
  </si>
  <si>
    <t xml:space="preserve"> 87.6109 </t>
  </si>
  <si>
    <t xml:space="preserve">\\192.168.24.208\images\R&amp;D\2-Test oestrogénique\OECD and AOPs\REACTIV oecd interlaboratory validation\Results WF\Résultats CBA\2021-CHG-CBA-FADROZOLE HGC\plaque 1/@07 EE2 488/E7_03.tif </t>
  </si>
  <si>
    <t xml:space="preserve"> 59518.2737 </t>
  </si>
  <si>
    <t xml:space="preserve"> 87.7887 </t>
  </si>
  <si>
    <t xml:space="preserve">\\192.168.24.208\images\R&amp;D\2-Test oestrogénique\OECD and AOPs\REACTIV oecd interlaboratory validation\Results WF\Résultats CBA\2021-CHG-CBA-FADROZOLE HGC\plaque 1/@07 EE2 488/F7_01.tif </t>
  </si>
  <si>
    <t xml:space="preserve"> 89190.3955 </t>
  </si>
  <si>
    <t xml:space="preserve"> 94.5727 </t>
  </si>
  <si>
    <t xml:space="preserve">\\192.168.24.208\images\R&amp;D\2-Test oestrogénique\OECD and AOPs\REACTIV oecd interlaboratory validation\Results WF\Résultats CBA\2021-CHG-CBA-FADROZOLE HGC\plaque 1/@07 EE2 488/F7_02.tif </t>
  </si>
  <si>
    <t xml:space="preserve"> 89038.1192 </t>
  </si>
  <si>
    <t xml:space="preserve"> 93.7383 </t>
  </si>
  <si>
    <t xml:space="preserve">\\192.168.24.208\images\R&amp;D\2-Test oestrogénique\OECD and AOPs\REACTIV oecd interlaboratory validation\Results WF\Résultats CBA\2021-CHG-CBA-FADROZOLE HGC\plaque 1/@07 EE2 488/F7_03.tif </t>
  </si>
  <si>
    <t xml:space="preserve"> 90082.2995 </t>
  </si>
  <si>
    <t xml:space="preserve"> 94.0485 </t>
  </si>
  <si>
    <t xml:space="preserve">\\192.168.24.208\images\R&amp;D\2-Test oestrogénique\OECD and AOPs\REACTIV oecd interlaboratory validation\Results WF\Résultats CBA\2021-CHG-CBA-FADROZOLE HGC\plaque 1/@07 EE2 488/G7_01.tif </t>
  </si>
  <si>
    <t xml:space="preserve"> 66066.1539 </t>
  </si>
  <si>
    <t xml:space="preserve"> 86.9865 </t>
  </si>
  <si>
    <t xml:space="preserve">\\192.168.24.208\images\R&amp;D\2-Test oestrogénique\OECD and AOPs\REACTIV oecd interlaboratory validation\Results WF\Résultats CBA\2021-CHG-CBA-FADROZOLE HGC\plaque 1/@07 EE2 488/G7_02.tif </t>
  </si>
  <si>
    <t xml:space="preserve"> 67414.8868 </t>
  </si>
  <si>
    <t xml:space="preserve"> 87.6805 </t>
  </si>
  <si>
    <t xml:space="preserve">\\192.168.24.208\images\R&amp;D\2-Test oestrogénique\OECD and AOPs\REACTIV oecd interlaboratory validation\Results WF\Résultats CBA\2021-CHG-CBA-FADROZOLE HGC\plaque 1/@07 EE2 488/G7_03.tif </t>
  </si>
  <si>
    <t xml:space="preserve"> 69916.5686 </t>
  </si>
  <si>
    <t xml:space="preserve"> 88.3276 </t>
  </si>
  <si>
    <t xml:space="preserve">\\192.168.24.208\images\R&amp;D\2-Test oestrogénique\OECD and AOPs\REACTIV oecd interlaboratory validation\Results WF\Résultats CBA\2021-CHG-CBA-FADROZOLE HGC\plaque 1/@07 EE2 488/H7_01.tif </t>
  </si>
  <si>
    <t xml:space="preserve"> 101568.282 </t>
  </si>
  <si>
    <t xml:space="preserve"> 93.9968 </t>
  </si>
  <si>
    <t xml:space="preserve">\\192.168.24.208\images\R&amp;D\2-Test oestrogénique\OECD and AOPs\REACTIV oecd interlaboratory validation\Results WF\Résultats CBA\2021-CHG-CBA-FADROZOLE HGC\plaque 1/@07 EE2 488/H7_02.tif </t>
  </si>
  <si>
    <t xml:space="preserve"> 87493.6026 </t>
  </si>
  <si>
    <t xml:space="preserve"> 102.64 </t>
  </si>
  <si>
    <t xml:space="preserve">\\192.168.24.208\images\R&amp;D\2-Test oestrogénique\OECD and AOPs\REACTIV oecd interlaboratory validation\Results WF\Résultats CBA\2021-CHG-CBA-FADROZOLE HGC\plaque 1/@07 EE2 488/H7_03.tif </t>
  </si>
  <si>
    <t xml:space="preserve"> 92845.0264 </t>
  </si>
  <si>
    <t xml:space="preserve"> 101.2193 </t>
  </si>
  <si>
    <t xml:space="preserve">\\192.168.24.208\images\R&amp;D\2-Test oestrogénique\OECD and AOPs\REACTIV oecd interlaboratory validation\Results WF\Résultats CBA\2021-CHG-CBA-FADROZOLE HGC\plaque 1/@07 EE2 488/ </t>
  </si>
  <si>
    <t xml:space="preserve"> 93.4409 </t>
  </si>
  <si>
    <t xml:space="preserve"> 4.8068 </t>
  </si>
  <si>
    <t xml:space="preserve"> 6895537.96 </t>
  </si>
  <si>
    <t xml:space="preserve"> 1443667.4 </t>
  </si>
  <si>
    <t xml:space="preserve">\\192.168.24.208\images\R&amp;D\2-Test oestrogénique\OECD and AOPs\REACTIV oecd interlaboratory validation\Results WF\Résultats CBA\2021-CHG-CBA-FADROZOLE HGC\plaque 1/@08 Fadrozole 5.4/A8_01.tif </t>
  </si>
  <si>
    <t xml:space="preserve"> 4089.7059 </t>
  </si>
  <si>
    <t xml:space="preserve"> 67.2181 </t>
  </si>
  <si>
    <t xml:space="preserve">\\192.168.24.208\images\R&amp;D\2-Test oestrogénique\OECD and AOPs\REACTIV oecd interlaboratory validation\Results WF\Résultats CBA\2021-CHG-CBA-FADROZOLE HGC\plaque 1/@08 Fadrozole 5.4/A8_02.tif </t>
  </si>
  <si>
    <t xml:space="preserve"> 2066.6067 </t>
  </si>
  <si>
    <t xml:space="preserve"> 63.2737 </t>
  </si>
  <si>
    <t xml:space="preserve">\\192.168.24.208\images\R&amp;D\2-Test oestrogénique\OECD and AOPs\REACTIV oecd interlaboratory validation\Results WF\Résultats CBA\2021-CHG-CBA-FADROZOLE HGC\plaque 1/@08 Fadrozole 5.4/A8_03.tif </t>
  </si>
  <si>
    <t xml:space="preserve"> 3632.8771 </t>
  </si>
  <si>
    <t xml:space="preserve"> 67.3353 </t>
  </si>
  <si>
    <t xml:space="preserve">\\192.168.24.208\images\R&amp;D\2-Test oestrogénique\OECD and AOPs\REACTIV oecd interlaboratory validation\Results WF\Résultats CBA\2021-CHG-CBA-FADROZOLE HGC\plaque 1/@08 Fadrozole 5.4/B8_01.tif </t>
  </si>
  <si>
    <t xml:space="preserve"> 4568.2886 </t>
  </si>
  <si>
    <t xml:space="preserve"> 69.0524 </t>
  </si>
  <si>
    <t xml:space="preserve">\\192.168.24.208\images\R&amp;D\2-Test oestrogénique\OECD and AOPs\REACTIV oecd interlaboratory validation\Results WF\Résultats CBA\2021-CHG-CBA-FADROZOLE HGC\plaque 1/@08 Fadrozole 5.4/B8_02.tif </t>
  </si>
  <si>
    <t xml:space="preserve"> 65.1646 </t>
  </si>
  <si>
    <t xml:space="preserve">\\192.168.24.208\images\R&amp;D\2-Test oestrogénique\OECD and AOPs\REACTIV oecd interlaboratory validation\Results WF\Résultats CBA\2021-CHG-CBA-FADROZOLE HGC\plaque 1/@08 Fadrozole 5.4/B8_03.tif </t>
  </si>
  <si>
    <t xml:space="preserve"> 66.8177 </t>
  </si>
  <si>
    <t xml:space="preserve">\\192.168.24.208\images\R&amp;D\2-Test oestrogénique\OECD and AOPs\REACTIV oecd interlaboratory validation\Results WF\Résultats CBA\2021-CHG-CBA-FADROZOLE HGC\plaque 1/@08 Fadrozole 5.4/C8_01.tif </t>
  </si>
  <si>
    <t xml:space="preserve"> 7265.7542 </t>
  </si>
  <si>
    <t xml:space="preserve"> 73.7485 </t>
  </si>
  <si>
    <t xml:space="preserve">\\192.168.24.208\images\R&amp;D\2-Test oestrogénique\OECD and AOPs\REACTIV oecd interlaboratory validation\Results WF\Résultats CBA\2021-CHG-CBA-FADROZOLE HGC\plaque 1/@08 Fadrozole 5.4/C8_02.tif </t>
  </si>
  <si>
    <t xml:space="preserve"> 9158.3309 </t>
  </si>
  <si>
    <t xml:space="preserve"> 82.867 </t>
  </si>
  <si>
    <t xml:space="preserve">\\192.168.24.208\images\R&amp;D\2-Test oestrogénique\OECD and AOPs\REACTIV oecd interlaboratory validation\Results WF\Résultats CBA\2021-CHG-CBA-FADROZOLE HGC\plaque 1/@08 Fadrozole 5.4/C8_03.tif </t>
  </si>
  <si>
    <t xml:space="preserve"> 10137.2498 </t>
  </si>
  <si>
    <t xml:space="preserve"> 87.7725 </t>
  </si>
  <si>
    <t xml:space="preserve">\\192.168.24.208\images\R&amp;D\2-Test oestrogénique\OECD and AOPs\REACTIV oecd interlaboratory validation\Results WF\Résultats CBA\2021-CHG-CBA-FADROZOLE HGC\plaque 1/@08 Fadrozole 5.4/D8_01.tif </t>
  </si>
  <si>
    <t xml:space="preserve"> 14792.5534 </t>
  </si>
  <si>
    <t xml:space="preserve"> 92.7206 </t>
  </si>
  <si>
    <t xml:space="preserve">\\192.168.24.208\images\R&amp;D\2-Test oestrogénique\OECD and AOPs\REACTIV oecd interlaboratory validation\Results WF\Résultats CBA\2021-CHG-CBA-FADROZOLE HGC\plaque 1/@08 Fadrozole 5.4/D8_02.tif </t>
  </si>
  <si>
    <t xml:space="preserve"> 14705.5384 </t>
  </si>
  <si>
    <t xml:space="preserve"> 95.963 </t>
  </si>
  <si>
    <t xml:space="preserve">\\192.168.24.208\images\R&amp;D\2-Test oestrogénique\OECD and AOPs\REACTIV oecd interlaboratory validation\Results WF\Résultats CBA\2021-CHG-CBA-FADROZOLE HGC\plaque 1/@08 Fadrozole 5.4/D8_03.tif </t>
  </si>
  <si>
    <t xml:space="preserve"> 15727.9649 </t>
  </si>
  <si>
    <t xml:space="preserve"> 93.8492 </t>
  </si>
  <si>
    <t xml:space="preserve">\\192.168.24.208\images\R&amp;D\2-Test oestrogénique\OECD and AOPs\REACTIV oecd interlaboratory validation\Results WF\Résultats CBA\2021-CHG-CBA-FADROZOLE HGC\plaque 1/@08 Fadrozole 5.4/E8_01.tif </t>
  </si>
  <si>
    <t xml:space="preserve"> 761.3814 </t>
  </si>
  <si>
    <t xml:space="preserve"> 63.7714 </t>
  </si>
  <si>
    <t xml:space="preserve">\\192.168.24.208\images\R&amp;D\2-Test oestrogénique\OECD and AOPs\REACTIV oecd interlaboratory validation\Results WF\Résultats CBA\2021-CHG-CBA-FADROZOLE HGC\plaque 1/@08 Fadrozole 5.4/E8_02.tif </t>
  </si>
  <si>
    <t xml:space="preserve"> 64.0968 </t>
  </si>
  <si>
    <t xml:space="preserve">\\192.168.24.208\images\R&amp;D\2-Test oestrogénique\OECD and AOPs\REACTIV oecd interlaboratory validation\Results WF\Résultats CBA\2021-CHG-CBA-FADROZOLE HGC\plaque 1/@08 Fadrozole 5.4/E8_03.tif </t>
  </si>
  <si>
    <t xml:space="preserve"> 478.5826 </t>
  </si>
  <si>
    <t xml:space="preserve"> 62.0455 </t>
  </si>
  <si>
    <t xml:space="preserve">\\192.168.24.208\images\R&amp;D\2-Test oestrogénique\OECD and AOPs\REACTIV oecd interlaboratory validation\Results WF\Résultats CBA\2021-CHG-CBA-FADROZOLE HGC\plaque 1/@08 Fadrozole 5.4/F8_01.tif </t>
  </si>
  <si>
    <t xml:space="preserve"> 4938.1024 </t>
  </si>
  <si>
    <t xml:space="preserve"> 67.1189 </t>
  </si>
  <si>
    <t xml:space="preserve">\\192.168.24.208\images\R&amp;D\2-Test oestrogénique\OECD and AOPs\REACTIV oecd interlaboratory validation\Results WF\Résultats CBA\2021-CHG-CBA-FADROZOLE HGC\plaque 1/@08 Fadrozole 5.4/F8_02.tif </t>
  </si>
  <si>
    <t xml:space="preserve"> 1218.2103 </t>
  </si>
  <si>
    <t xml:space="preserve"> 65.0714 </t>
  </si>
  <si>
    <t xml:space="preserve">\\192.168.24.208\images\R&amp;D\2-Test oestrogénique\OECD and AOPs\REACTIV oecd interlaboratory validation\Results WF\Résultats CBA\2021-CHG-CBA-FADROZOLE HGC\plaque 1/@08 Fadrozole 5.4/F8_03.tif </t>
  </si>
  <si>
    <t xml:space="preserve"> 4981.6099 </t>
  </si>
  <si>
    <t xml:space="preserve"> 68.7031 </t>
  </si>
  <si>
    <t xml:space="preserve">\\192.168.24.208\images\R&amp;D\2-Test oestrogénique\OECD and AOPs\REACTIV oecd interlaboratory validation\Results WF\Résultats CBA\2021-CHG-CBA-FADROZOLE HGC\plaque 1/@08 Fadrozole 5.4/G8_01.tif </t>
  </si>
  <si>
    <t xml:space="preserve"> 63.6923 </t>
  </si>
  <si>
    <t xml:space="preserve">\\192.168.24.208\images\R&amp;D\2-Test oestrogénique\OECD and AOPs\REACTIV oecd interlaboratory validation\Results WF\Résultats CBA\2021-CHG-CBA-FADROZOLE HGC\plaque 1/@08 Fadrozole 5.4/G8_02.tif </t>
  </si>
  <si>
    <t xml:space="preserve">\\192.168.24.208\images\R&amp;D\2-Test oestrogénique\OECD and AOPs\REACTIV oecd interlaboratory validation\Results WF\Résultats CBA\2021-CHG-CBA-FADROZOLE HGC\plaque 1/@08 Fadrozole 5.4/G8_03.tif </t>
  </si>
  <si>
    <t xml:space="preserve">\\192.168.24.208\images\R&amp;D\2-Test oestrogénique\OECD and AOPs\REACTIV oecd interlaboratory validation\Results WF\Résultats CBA\2021-CHG-CBA-FADROZOLE HGC\plaque 1/@08 Fadrozole 5.4/H8_01.tif </t>
  </si>
  <si>
    <t xml:space="preserve">\\192.168.24.208\images\R&amp;D\2-Test oestrogénique\OECD and AOPs\REACTIV oecd interlaboratory validation\Results WF\Résultats CBA\2021-CHG-CBA-FADROZOLE HGC\plaque 1/@08 Fadrozole 5.4/H8_02.tif </t>
  </si>
  <si>
    <t xml:space="preserve"> 62.6364 </t>
  </si>
  <si>
    <t xml:space="preserve">\\192.168.24.208\images\R&amp;D\2-Test oestrogénique\OECD and AOPs\REACTIV oecd interlaboratory validation\Results WF\Résultats CBA\2021-CHG-CBA-FADROZOLE HGC\plaque 1/@08 Fadrozole 5.4/H8_03.tif </t>
  </si>
  <si>
    <t xml:space="preserve"> 62.4 </t>
  </si>
  <si>
    <t xml:space="preserve">\\192.168.24.208\images\R&amp;D\2-Test oestrogénique\OECD and AOPs\REACTIV oecd interlaboratory validation\Results WF\Résultats CBA\2021-CHG-CBA-FADROZOLE HGC\plaque 1/@08 Fadrozole 5.4/ </t>
  </si>
  <si>
    <t xml:space="preserve"> 70.6253 </t>
  </si>
  <si>
    <t xml:space="preserve"> 11.0366 </t>
  </si>
  <si>
    <t xml:space="preserve"> 370161.875 </t>
  </si>
  <si>
    <t xml:space="preserve"> 466385.947 </t>
  </si>
  <si>
    <t>\\192.168.24.208\images\R&amp;D\2-Test oestrogénique\OECD and AOPs\REACTIV oecd interlaboratory validation\Results WF\Résultats CBA\2021-CHG-CBA-FADROZOLE HGC\plaque 1/@09  Fadrozole 11/A9_01- exclu.tif</t>
  </si>
  <si>
    <t>\\192.168.24.208\images\R&amp;D\2-Test oestrogénique\OECD and AOPs\REACTIV oecd interlaboratory validation\Results WF\Résultats CBA\2021-CHG-CBA-FADROZOLE HGC\plaque 1/@09  Fadrozole 11/A9_02- exclu.tif</t>
  </si>
  <si>
    <t>\\192.168.24.208\images\R&amp;D\2-Test oestrogénique\OECD and AOPs\REACTIV oecd interlaboratory validation\Results WF\Résultats CBA\2021-CHG-CBA-FADROZOLE HGC\plaque 1/@09  Fadrozole 11/A9_03- exclu.tif</t>
  </si>
  <si>
    <t xml:space="preserve">\\192.168.24.208\images\R&amp;D\2-Test oestrogénique\OECD and AOPs\REACTIV oecd interlaboratory validation\Results WF\Résultats CBA\2021-CHG-CBA-FADROZOLE HGC\plaque 1/@09  Fadrozole 11/B9_01.tif </t>
  </si>
  <si>
    <t xml:space="preserve"> 64.0345 </t>
  </si>
  <si>
    <t xml:space="preserve">\\192.168.24.208\images\R&amp;D\2-Test oestrogénique\OECD and AOPs\REACTIV oecd interlaboratory validation\Results WF\Résultats CBA\2021-CHG-CBA-FADROZOLE HGC\plaque 1/@09  Fadrozole 11/B9_02.tif </t>
  </si>
  <si>
    <t xml:space="preserve"> 1065.934 </t>
  </si>
  <si>
    <t xml:space="preserve"> 65.9592 </t>
  </si>
  <si>
    <t xml:space="preserve">\\192.168.24.208\images\R&amp;D\2-Test oestrogénique\OECD and AOPs\REACTIV oecd interlaboratory validation\Results WF\Résultats CBA\2021-CHG-CBA-FADROZOLE HGC\plaque 1/@09  Fadrozole 11/B9_03.tif </t>
  </si>
  <si>
    <t xml:space="preserve"> 63.7308 </t>
  </si>
  <si>
    <t xml:space="preserve">\\192.168.24.208\images\R&amp;D\2-Test oestrogénique\OECD and AOPs\REACTIV oecd interlaboratory validation\Results WF\Résultats CBA\2021-CHG-CBA-FADROZOLE HGC\plaque 1/@09  Fadrozole 11/C9_01.tif </t>
  </si>
  <si>
    <t xml:space="preserve"> 62.9667 </t>
  </si>
  <si>
    <t xml:space="preserve">\\192.168.24.208\images\R&amp;D\2-Test oestrogénique\OECD and AOPs\REACTIV oecd interlaboratory validation\Results WF\Résultats CBA\2021-CHG-CBA-FADROZOLE HGC\plaque 1/@09  Fadrozole 11/C9_02.tif </t>
  </si>
  <si>
    <t xml:space="preserve"> 63.6857 </t>
  </si>
  <si>
    <t xml:space="preserve">\\192.168.24.208\images\R&amp;D\2-Test oestrogénique\OECD and AOPs\REACTIV oecd interlaboratory validation\Results WF\Résultats CBA\2021-CHG-CBA-FADROZOLE HGC\plaque 1/@09  Fadrozole 11/C9_03.tif </t>
  </si>
  <si>
    <t xml:space="preserve"> 62.2353 </t>
  </si>
  <si>
    <t xml:space="preserve">\\192.168.24.208\images\R&amp;D\2-Test oestrogénique\OECD and AOPs\REACTIV oecd interlaboratory validation\Results WF\Résultats CBA\2021-CHG-CBA-FADROZOLE HGC\plaque 1/@09  Fadrozole 11/D9_01.tif </t>
  </si>
  <si>
    <t xml:space="preserve"> 130.5225 </t>
  </si>
  <si>
    <t>\\192.168.24.208\images\R&amp;D\2-Test oestrogénique\OECD and AOPs\REACTIV oecd interlaboratory validation\Results WF\Résultats CBA\2021-CHG-CBA-FADROZOLE HGC\plaque 1/@09  Fadrozole 11/D9_02- exclu.tif</t>
  </si>
  <si>
    <t xml:space="preserve">\\192.168.24.208\images\R&amp;D\2-Test oestrogénique\OECD and AOPs\REACTIV oecd interlaboratory validation\Results WF\Résultats CBA\2021-CHG-CBA-FADROZOLE HGC\plaque 1/@09  Fadrozole 11/D9_03.tif </t>
  </si>
  <si>
    <t xml:space="preserve">\\192.168.24.208\images\R&amp;D\2-Test oestrogénique\OECD and AOPs\REACTIV oecd interlaboratory validation\Results WF\Résultats CBA\2021-CHG-CBA-FADROZOLE HGC\plaque 1/@09  Fadrozole 11/E9_01.tif </t>
  </si>
  <si>
    <t xml:space="preserve"> 2349.4055 </t>
  </si>
  <si>
    <t xml:space="preserve">\\192.168.24.208\images\R&amp;D\2-Test oestrogénique\OECD and AOPs\REACTIV oecd interlaboratory validation\Results WF\Résultats CBA\2021-CHG-CBA-FADROZOLE HGC\plaque 1/@09  Fadrozole 11/E9_02.tif </t>
  </si>
  <si>
    <t xml:space="preserve">\\192.168.24.208\images\R&amp;D\2-Test oestrogénique\OECD and AOPs\REACTIV oecd interlaboratory validation\Results WF\Résultats CBA\2021-CHG-CBA-FADROZOLE HGC\plaque 1/@09  Fadrozole 11/E9_03.tif </t>
  </si>
  <si>
    <t xml:space="preserve">\\192.168.24.208\images\R&amp;D\2-Test oestrogénique\OECD and AOPs\REACTIV oecd interlaboratory validation\Results WF\Résultats CBA\2021-CHG-CBA-FADROZOLE HGC\plaque 1/@09  Fadrozole 11/F9_01.tif </t>
  </si>
  <si>
    <t xml:space="preserve"> 1261.7178 </t>
  </si>
  <si>
    <t xml:space="preserve"> 63.0172 </t>
  </si>
  <si>
    <t xml:space="preserve">\\192.168.24.208\images\R&amp;D\2-Test oestrogénique\OECD and AOPs\REACTIV oecd interlaboratory validation\Results WF\Résultats CBA\2021-CHG-CBA-FADROZOLE HGC\plaque 1/@09  Fadrozole 11/F9_02.tif </t>
  </si>
  <si>
    <t xml:space="preserve"> 2436.4206 </t>
  </si>
  <si>
    <t xml:space="preserve"> 65.2321 </t>
  </si>
  <si>
    <t xml:space="preserve">\\192.168.24.208\images\R&amp;D\2-Test oestrogénique\OECD and AOPs\REACTIV oecd interlaboratory validation\Results WF\Résultats CBA\2021-CHG-CBA-FADROZOLE HGC\plaque 1/@09  Fadrozole 11/F9_03.tif </t>
  </si>
  <si>
    <t xml:space="preserve"> 62.8571 </t>
  </si>
  <si>
    <t xml:space="preserve">\\192.168.24.208\images\R&amp;D\2-Test oestrogénique\OECD and AOPs\REACTIV oecd interlaboratory validation\Results WF\Résultats CBA\2021-CHG-CBA-FADROZOLE HGC\plaque 1/@09  Fadrozole 11/G9_01.tif </t>
  </si>
  <si>
    <t xml:space="preserve">\\192.168.24.208\images\R&amp;D\2-Test oestrogénique\OECD and AOPs\REACTIV oecd interlaboratory validation\Results WF\Résultats CBA\2021-CHG-CBA-FADROZOLE HGC\plaque 1/@09  Fadrozole 11/G9_02.tif </t>
  </si>
  <si>
    <t xml:space="preserve"> 87.015 </t>
  </si>
  <si>
    <t>\\192.168.24.208\images\R&amp;D\2-Test oestrogénique\OECD and AOPs\REACTIV oecd interlaboratory validation\Results WF\Résultats CBA\2021-CHG-CBA-FADROZOLE HGC\plaque 1/@09  Fadrozole 11/G9_03- exclu.tif</t>
  </si>
  <si>
    <t>\\192.168.24.208\images\R&amp;D\2-Test oestrogénique\OECD and AOPs\REACTIV oecd interlaboratory validation\Results WF\Résultats CBA\2021-CHG-CBA-FADROZOLE HGC\plaque 1/@09  Fadrozole 11/H9_01- exclu.tif</t>
  </si>
  <si>
    <t>\\192.168.24.208\images\R&amp;D\2-Test oestrogénique\OECD and AOPs\REACTIV oecd interlaboratory validation\Results WF\Résultats CBA\2021-CHG-CBA-FADROZOLE HGC\plaque 1/@09  Fadrozole 11/H9_02- exclu.tif</t>
  </si>
  <si>
    <t>\\192.168.24.208\images\R&amp;D\2-Test oestrogénique\OECD and AOPs\REACTIV oecd interlaboratory validation\Results WF\Résultats CBA\2021-CHG-CBA-FADROZOLE HGC\plaque 1/@09  Fadrozole 11/H9_03- exclu.tif</t>
  </si>
  <si>
    <t xml:space="preserve">\\192.168.24.208\images\R&amp;D\2-Test oestrogénique\OECD and AOPs\REACTIV oecd interlaboratory validation\Results WF\Résultats CBA\2021-CHG-CBA-FADROZOLE HGC\plaque 1/@09  Fadrozole 11/ </t>
  </si>
  <si>
    <t xml:space="preserve"> 67.5676 </t>
  </si>
  <si>
    <t xml:space="preserve"> 11.9944 </t>
  </si>
  <si>
    <t xml:space="preserve"> 97014.4583 </t>
  </si>
  <si>
    <t xml:space="preserve"> 255496.906 </t>
  </si>
  <si>
    <t xml:space="preserve">\\192.168.24.208\images\R&amp;D\2-Test oestrogénique\OECD and AOPs\REACTIV oecd interlaboratory validation\Results WF\Résultats CBA\2021-CHG-CBA-FADROZOLE HGC\plaque 1/@10  Fadrozole 22/A10_01.tif </t>
  </si>
  <si>
    <t xml:space="preserve"> 2458.1743 </t>
  </si>
  <si>
    <t xml:space="preserve"> 65.0442 </t>
  </si>
  <si>
    <t xml:space="preserve">\\192.168.24.208\images\R&amp;D\2-Test oestrogénique\OECD and AOPs\REACTIV oecd interlaboratory validation\Results WF\Résultats CBA\2021-CHG-CBA-FADROZOLE HGC\plaque 1/@10  Fadrozole 22/A10_02.tif </t>
  </si>
  <si>
    <t xml:space="preserve"> 6613.1415 </t>
  </si>
  <si>
    <t xml:space="preserve"> 67.9145 </t>
  </si>
  <si>
    <t xml:space="preserve">\\192.168.24.208\images\R&amp;D\2-Test oestrogénique\OECD and AOPs\REACTIV oecd interlaboratory validation\Results WF\Résultats CBA\2021-CHG-CBA-FADROZOLE HGC\plaque 1/@10  Fadrozole 22/A10_03.tif </t>
  </si>
  <si>
    <t xml:space="preserve"> 2240.6368 </t>
  </si>
  <si>
    <t xml:space="preserve"> 64.0097 </t>
  </si>
  <si>
    <t xml:space="preserve">\\192.168.24.208\images\R&amp;D\2-Test oestrogénique\OECD and AOPs\REACTIV oecd interlaboratory validation\Results WF\Résultats CBA\2021-CHG-CBA-FADROZOLE HGC\plaque 1/@10  Fadrozole 22/B10_01.tif </t>
  </si>
  <si>
    <t xml:space="preserve"> 2262.3905 </t>
  </si>
  <si>
    <t xml:space="preserve"> 63.5096 </t>
  </si>
  <si>
    <t>\\192.168.24.208\images\R&amp;D\2-Test oestrogénique\OECD and AOPs\REACTIV oecd interlaboratory validation\Results WF\Résultats CBA\2021-CHG-CBA-FADROZOLE HGC\plaque 1/@10  Fadrozole 22/B10_02- exclu.tif</t>
  </si>
  <si>
    <t xml:space="preserve">\\192.168.24.208\images\R&amp;D\2-Test oestrogénique\OECD and AOPs\REACTIV oecd interlaboratory validation\Results WF\Résultats CBA\2021-CHG-CBA-FADROZOLE HGC\plaque 1/@10  Fadrozole 22/B10_03.tif </t>
  </si>
  <si>
    <t xml:space="preserve"> 2305.898 </t>
  </si>
  <si>
    <t xml:space="preserve"> 64.9151 </t>
  </si>
  <si>
    <t xml:space="preserve">\\192.168.24.208\images\R&amp;D\2-Test oestrogénique\OECD and AOPs\REACTIV oecd interlaboratory validation\Results WF\Résultats CBA\2021-CHG-CBA-FADROZOLE HGC\plaque 1/@10  Fadrozole 22/C10_01.tif </t>
  </si>
  <si>
    <t xml:space="preserve"> 65.3895 </t>
  </si>
  <si>
    <t xml:space="preserve">\\192.168.24.208\images\R&amp;D\2-Test oestrogénique\OECD and AOPs\REACTIV oecd interlaboratory validation\Results WF\Résultats CBA\2021-CHG-CBA-FADROZOLE HGC\plaque 1/@10  Fadrozole 22/C10_02.tif </t>
  </si>
  <si>
    <t xml:space="preserve"> 66.8981 </t>
  </si>
  <si>
    <t>\\192.168.24.208\images\R&amp;D\2-Test oestrogénique\OECD and AOPs\REACTIV oecd interlaboratory validation\Results WF\Résultats CBA\2021-CHG-CBA-FADROZOLE HGC\plaque 1/@10  Fadrozole 22/C10_03- exclu.tif</t>
  </si>
  <si>
    <t xml:space="preserve">\\192.168.24.208\images\R&amp;D\2-Test oestrogénique\OECD and AOPs\REACTIV oecd interlaboratory validation\Results WF\Résultats CBA\2021-CHG-CBA-FADROZOLE HGC\plaque 1/@10  Fadrozole 22/D10_01.tif </t>
  </si>
  <si>
    <t xml:space="preserve"> 63.3636 </t>
  </si>
  <si>
    <t xml:space="preserve">\\192.168.24.208\images\R&amp;D\2-Test oestrogénique\OECD and AOPs\REACTIV oecd interlaboratory validation\Results WF\Résultats CBA\2021-CHG-CBA-FADROZOLE HGC\plaque 1/@10  Fadrozole 22/D10_02.tif </t>
  </si>
  <si>
    <t xml:space="preserve"> 64.8966 </t>
  </si>
  <si>
    <t xml:space="preserve">\\192.168.24.208\images\R&amp;D\2-Test oestrogénique\OECD and AOPs\REACTIV oecd interlaboratory validation\Results WF\Résultats CBA\2021-CHG-CBA-FADROZOLE HGC\plaque 1/@10  Fadrozole 22/D10_03.tif </t>
  </si>
  <si>
    <t xml:space="preserve"> 543.8439 </t>
  </si>
  <si>
    <t xml:space="preserve"> 62.64 </t>
  </si>
  <si>
    <t xml:space="preserve">\\192.168.24.208\images\R&amp;D\2-Test oestrogénique\OECD and AOPs\REACTIV oecd interlaboratory validation\Results WF\Résultats CBA\2021-CHG-CBA-FADROZOLE HGC\plaque 1/@10  Fadrozole 22/E10_01.tif </t>
  </si>
  <si>
    <t xml:space="preserve"> 1588.0241 </t>
  </si>
  <si>
    <t xml:space="preserve"> 67.3562 </t>
  </si>
  <si>
    <t xml:space="preserve">\\192.168.24.208\images\R&amp;D\2-Test oestrogénique\OECD and AOPs\REACTIV oecd interlaboratory validation\Results WF\Résultats CBA\2021-CHG-CBA-FADROZOLE HGC\plaque 1/@10  Fadrozole 22/E10_02.tif </t>
  </si>
  <si>
    <t xml:space="preserve"> 65.0667 </t>
  </si>
  <si>
    <t xml:space="preserve">\\192.168.24.208\images\R&amp;D\2-Test oestrogénique\OECD and AOPs\REACTIV oecd interlaboratory validation\Results WF\Résultats CBA\2021-CHG-CBA-FADROZOLE HGC\plaque 1/@10  Fadrozole 22/E10_03.tif </t>
  </si>
  <si>
    <t xml:space="preserve"> 63.7778 </t>
  </si>
  <si>
    <t xml:space="preserve">\\192.168.24.208\images\R&amp;D\2-Test oestrogénique\OECD and AOPs\REACTIV oecd interlaboratory validation\Results WF\Résultats CBA\2021-CHG-CBA-FADROZOLE HGC\plaque 1/@10  Fadrozole 22/F10_01.tif </t>
  </si>
  <si>
    <t xml:space="preserve"> 6591.3878 </t>
  </si>
  <si>
    <t xml:space="preserve"> 70.3927 </t>
  </si>
  <si>
    <t xml:space="preserve">\\192.168.24.208\images\R&amp;D\2-Test oestrogénique\OECD and AOPs\REACTIV oecd interlaboratory validation\Results WF\Résultats CBA\2021-CHG-CBA-FADROZOLE HGC\plaque 1/@10  Fadrozole 22/F10_02.tif </t>
  </si>
  <si>
    <t xml:space="preserve"> 11594.7514 </t>
  </si>
  <si>
    <t xml:space="preserve"> 84.0657 </t>
  </si>
  <si>
    <t>\\192.168.24.208\images\R&amp;D\2-Test oestrogénique\OECD and AOPs\REACTIV oecd interlaboratory validation\Results WF\Résultats CBA\2021-CHG-CBA-FADROZOLE HGC\plaque 1/@10  Fadrozole 22/F10_03- exclu.tif</t>
  </si>
  <si>
    <t xml:space="preserve">\\192.168.24.208\images\R&amp;D\2-Test oestrogénique\OECD and AOPs\REACTIV oecd interlaboratory validation\Results WF\Résultats CBA\2021-CHG-CBA-FADROZOLE HGC\plaque 1/@10  Fadrozole 22/G10_01.tif </t>
  </si>
  <si>
    <t xml:space="preserve"> 1152.949 </t>
  </si>
  <si>
    <t xml:space="preserve"> 63.9623 </t>
  </si>
  <si>
    <t xml:space="preserve">\\192.168.24.208\images\R&amp;D\2-Test oestrogénique\OECD and AOPs\REACTIV oecd interlaboratory validation\Results WF\Résultats CBA\2021-CHG-CBA-FADROZOLE HGC\plaque 1/@10  Fadrozole 22/G10_02.tif </t>
  </si>
  <si>
    <t xml:space="preserve"> 1892.5767 </t>
  </si>
  <si>
    <t xml:space="preserve">\\192.168.24.208\images\R&amp;D\2-Test oestrogénique\OECD and AOPs\REACTIV oecd interlaboratory validation\Results WF\Résultats CBA\2021-CHG-CBA-FADROZOLE HGC\plaque 1/@10  Fadrozole 22/G10_03.tif </t>
  </si>
  <si>
    <t xml:space="preserve"> 1435.7478 </t>
  </si>
  <si>
    <t xml:space="preserve"> 63.7576 </t>
  </si>
  <si>
    <t xml:space="preserve">\\192.168.24.208\images\R&amp;D\2-Test oestrogénique\OECD and AOPs\REACTIV oecd interlaboratory validation\Results WF\Résultats CBA\2021-CHG-CBA-FADROZOLE HGC\plaque 1/@10  Fadrozole 22/H10_01.tif </t>
  </si>
  <si>
    <t xml:space="preserve"> 63.3684 </t>
  </si>
  <si>
    <t xml:space="preserve">\\192.168.24.208\images\R&amp;D\2-Test oestrogénique\OECD and AOPs\REACTIV oecd interlaboratory validation\Results WF\Résultats CBA\2021-CHG-CBA-FADROZOLE HGC\plaque 1/@10  Fadrozole 22/H10_02.tif </t>
  </si>
  <si>
    <t xml:space="preserve"> 62.0667 </t>
  </si>
  <si>
    <t xml:space="preserve">\\192.168.24.208\images\R&amp;D\2-Test oestrogénique\OECD and AOPs\REACTIV oecd interlaboratory validation\Results WF\Résultats CBA\2021-CHG-CBA-FADROZOLE HGC\plaque 1/@10  Fadrozole 22/H10_03.tif </t>
  </si>
  <si>
    <t xml:space="preserve"> 957.1652 </t>
  </si>
  <si>
    <t xml:space="preserve"> 64.0455 </t>
  </si>
  <si>
    <t xml:space="preserve">\\192.168.24.208\images\R&amp;D\2-Test oestrogénique\OECD and AOPs\REACTIV oecd interlaboratory validation\Results WF\Résultats CBA\2021-CHG-CBA-FADROZOLE HGC\plaque 1/@10  Fadrozole 22/ </t>
  </si>
  <si>
    <t xml:space="preserve"> 66.7643 </t>
  </si>
  <si>
    <t xml:space="preserve"> 7.6584 </t>
  </si>
  <si>
    <t xml:space="preserve"> 224215.167 </t>
  </si>
  <si>
    <t xml:space="preserve"> 364295.747 </t>
  </si>
  <si>
    <t xml:space="preserve">\\192.168.24.208\images\R&amp;D\2-Test oestrogénique\OECD and AOPs\REACTIV oecd interlaboratory validation\Results WF\Résultats CBA\2021-CHG-CBA-FADROZOLE HGC\plaque 1/@11  Fadrozole 44/A11_01.tif </t>
  </si>
  <si>
    <t xml:space="preserve"> 63.3143 </t>
  </si>
  <si>
    <t xml:space="preserve">\\192.168.24.208\images\R&amp;D\2-Test oestrogénique\OECD and AOPs\REACTIV oecd interlaboratory validation\Results WF\Résultats CBA\2021-CHG-CBA-FADROZOLE HGC\plaque 1/@11  Fadrozole 44/A11_02.tif </t>
  </si>
  <si>
    <t xml:space="preserve"> 64.381 </t>
  </si>
  <si>
    <t xml:space="preserve">\\192.168.24.208\images\R&amp;D\2-Test oestrogénique\OECD and AOPs\REACTIV oecd interlaboratory validation\Results WF\Résultats CBA\2021-CHG-CBA-FADROZOLE HGC\plaque 1/@11  Fadrozole 44/A11_03.tif </t>
  </si>
  <si>
    <t xml:space="preserve"> 870.1502 </t>
  </si>
  <si>
    <t xml:space="preserve">\\192.168.24.208\images\R&amp;D\2-Test oestrogénique\OECD and AOPs\REACTIV oecd interlaboratory validation\Results WF\Résultats CBA\2021-CHG-CBA-FADROZOLE HGC\plaque 1/@11  Fadrozole 44/B11_01.tif </t>
  </si>
  <si>
    <t xml:space="preserve">\\192.168.24.208\images\R&amp;D\2-Test oestrogénique\OECD and AOPs\REACTIV oecd interlaboratory validation\Results WF\Résultats CBA\2021-CHG-CBA-FADROZOLE HGC\plaque 1/@11  Fadrozole 44/B11_02.tif </t>
  </si>
  <si>
    <t xml:space="preserve"> 65.2 </t>
  </si>
  <si>
    <t xml:space="preserve">\\192.168.24.208\images\R&amp;D\2-Test oestrogénique\OECD and AOPs\REACTIV oecd interlaboratory validation\Results WF\Résultats CBA\2021-CHG-CBA-FADROZOLE HGC\plaque 1/@11  Fadrozole 44/B11_03.tif </t>
  </si>
  <si>
    <t xml:space="preserve"> 152.2763 </t>
  </si>
  <si>
    <t xml:space="preserve"> 63.7143 </t>
  </si>
  <si>
    <t xml:space="preserve">\\192.168.24.208\images\R&amp;D\2-Test oestrogénique\OECD and AOPs\REACTIV oecd interlaboratory validation\Results WF\Résultats CBA\2021-CHG-CBA-FADROZOLE HGC\plaque 1/@11  Fadrozole 44/C11_01.tif </t>
  </si>
  <si>
    <t xml:space="preserve"> 64.2857 </t>
  </si>
  <si>
    <t xml:space="preserve">\\192.168.24.208\images\R&amp;D\2-Test oestrogénique\OECD and AOPs\REACTIV oecd interlaboratory validation\Results WF\Résultats CBA\2021-CHG-CBA-FADROZOLE HGC\plaque 1/@11  Fadrozole 44/C11_02.tif </t>
  </si>
  <si>
    <t xml:space="preserve"> 64.8095 </t>
  </si>
  <si>
    <t xml:space="preserve">\\192.168.24.208\images\R&amp;D\2-Test oestrogénique\OECD and AOPs\REACTIV oecd interlaboratory validation\Results WF\Résultats CBA\2021-CHG-CBA-FADROZOLE HGC\plaque 1/@11  Fadrozole 44/C11_03.tif </t>
  </si>
  <si>
    <t xml:space="preserve"> 65.5455 </t>
  </si>
  <si>
    <t xml:space="preserve">\\192.168.24.208\images\R&amp;D\2-Test oestrogénique\OECD and AOPs\REACTIV oecd interlaboratory validation\Results WF\Résultats CBA\2021-CHG-CBA-FADROZOLE HGC\plaque 1/@11  Fadrozole 44/D11_01.tif </t>
  </si>
  <si>
    <t xml:space="preserve"> 6199.8202 </t>
  </si>
  <si>
    <t xml:space="preserve"> 75.3579 </t>
  </si>
  <si>
    <t xml:space="preserve">\\192.168.24.208\images\R&amp;D\2-Test oestrogénique\OECD and AOPs\REACTIV oecd interlaboratory validation\Results WF\Résultats CBA\2021-CHG-CBA-FADROZOLE HGC\plaque 1/@11  Fadrozole 44/D11_02.tif </t>
  </si>
  <si>
    <t xml:space="preserve"> 2784.4806 </t>
  </si>
  <si>
    <t xml:space="preserve"> 67.1719 </t>
  </si>
  <si>
    <t xml:space="preserve">\\192.168.24.208\images\R&amp;D\2-Test oestrogénique\OECD and AOPs\REACTIV oecd interlaboratory validation\Results WF\Résultats CBA\2021-CHG-CBA-FADROZOLE HGC\plaque 1/@11  Fadrozole 44/D11_03.tif </t>
  </si>
  <si>
    <t xml:space="preserve"> 70.4339 </t>
  </si>
  <si>
    <t xml:space="preserve">\\192.168.24.208\images\R&amp;D\2-Test oestrogénique\OECD and AOPs\REACTIV oecd interlaboratory validation\Results WF\Résultats CBA\2021-CHG-CBA-FADROZOLE HGC\plaque 1/@11  Fadrozole 44/E11_01.tif </t>
  </si>
  <si>
    <t xml:space="preserve"> 4328.9972 </t>
  </si>
  <si>
    <t xml:space="preserve"> 65.9749 </t>
  </si>
  <si>
    <t xml:space="preserve">\\192.168.24.208\images\R&amp;D\2-Test oestrogénique\OECD and AOPs\REACTIV oecd interlaboratory validation\Results WF\Résultats CBA\2021-CHG-CBA-FADROZOLE HGC\plaque 1/@11  Fadrozole 44/E11_02.tif </t>
  </si>
  <si>
    <t xml:space="preserve"> 5460.1925 </t>
  </si>
  <si>
    <t xml:space="preserve"> 71.0717 </t>
  </si>
  <si>
    <t xml:space="preserve">\\192.168.24.208\images\R&amp;D\2-Test oestrogénique\OECD and AOPs\REACTIV oecd interlaboratory validation\Results WF\Résultats CBA\2021-CHG-CBA-FADROZOLE HGC\plaque 1/@11  Fadrozole 44/E11_03.tif </t>
  </si>
  <si>
    <t xml:space="preserve"> 64.1546 </t>
  </si>
  <si>
    <t xml:space="preserve">\\192.168.24.208\images\R&amp;D\2-Test oestrogénique\OECD and AOPs\REACTIV oecd interlaboratory validation\Results WF\Résultats CBA\2021-CHG-CBA-FADROZOLE HGC\plaque 1/@11  Fadrozole 44/F11_01.tif </t>
  </si>
  <si>
    <t xml:space="preserve"> 391.5676 </t>
  </si>
  <si>
    <t xml:space="preserve"> 62.4444 </t>
  </si>
  <si>
    <t xml:space="preserve">\\192.168.24.208\images\R&amp;D\2-Test oestrogénique\OECD and AOPs\REACTIV oecd interlaboratory validation\Results WF\Résultats CBA\2021-CHG-CBA-FADROZOLE HGC\plaque 1/@11  Fadrozole 44/F11_02.tif </t>
  </si>
  <si>
    <t xml:space="preserve"> 65.5263 </t>
  </si>
  <si>
    <t xml:space="preserve">\\192.168.24.208\images\R&amp;D\2-Test oestrogénique\OECD and AOPs\REACTIV oecd interlaboratory validation\Results WF\Résultats CBA\2021-CHG-CBA-FADROZOLE HGC\plaque 1/@11  Fadrozole 44/F11_03.tif </t>
  </si>
  <si>
    <t xml:space="preserve">\\192.168.24.208\images\R&amp;D\2-Test oestrogénique\OECD and AOPs\REACTIV oecd interlaboratory validation\Results WF\Résultats CBA\2021-CHG-CBA-FADROZOLE HGC\plaque 1/@11  Fadrozole 44/G11_01.tif </t>
  </si>
  <si>
    <t xml:space="preserve">\\192.168.24.208\images\R&amp;D\2-Test oestrogénique\OECD and AOPs\REACTIV oecd interlaboratory validation\Results WF\Résultats CBA\2021-CHG-CBA-FADROZOLE HGC\plaque 1/@11  Fadrozole 44/G11_02.tif </t>
  </si>
  <si>
    <t xml:space="preserve">\\192.168.24.208\images\R&amp;D\2-Test oestrogénique\OECD and AOPs\REACTIV oecd interlaboratory validation\Results WF\Résultats CBA\2021-CHG-CBA-FADROZOLE HGC\plaque 1/@11  Fadrozole 44/G11_03.tif </t>
  </si>
  <si>
    <t xml:space="preserve">\\192.168.24.208\images\R&amp;D\2-Test oestrogénique\OECD and AOPs\REACTIV oecd interlaboratory validation\Results WF\Résultats CBA\2021-CHG-CBA-FADROZOLE HGC\plaque 1/@11  Fadrozole 44/H11_01.tif </t>
  </si>
  <si>
    <t xml:space="preserve"> 65.5804 </t>
  </si>
  <si>
    <t>\\192.168.24.208\images\R&amp;D\2-Test oestrogénique\OECD and AOPs\REACTIV oecd interlaboratory validation\Results WF\Résultats CBA\2021-CHG-CBA-FADROZOLE HGC\plaque 1/@11  Fadrozole 44/H11_02- exclu.tif</t>
  </si>
  <si>
    <t xml:space="preserve">\\192.168.24.208\images\R&amp;D\2-Test oestrogénique\OECD and AOPs\REACTIV oecd interlaboratory validation\Results WF\Résultats CBA\2021-CHG-CBA-FADROZOLE HGC\plaque 1/@11  Fadrozole 44/H11_03.tif </t>
  </si>
  <si>
    <t xml:space="preserve"> 3241.3095 </t>
  </si>
  <si>
    <t xml:space="preserve"> 65.8054 </t>
  </si>
  <si>
    <t xml:space="preserve">\\192.168.24.208\images\R&amp;D\2-Test oestrogénique\OECD and AOPs\REACTIV oecd interlaboratory validation\Results WF\Résultats CBA\2021-CHG-CBA-FADROZOLE HGC\plaque 1/@11  Fadrozole 44/ </t>
  </si>
  <si>
    <t xml:space="preserve"> 65.2927 </t>
  </si>
  <si>
    <t xml:space="preserve"> 3.0915 </t>
  </si>
  <si>
    <t xml:space="preserve"> 109026.167 </t>
  </si>
  <si>
    <t xml:space="preserve"> 138563.879 </t>
  </si>
  <si>
    <t xml:space="preserve">\\192.168.24.208\images\R&amp;D\2-Test oestrogénique\OECD and AOPs\REACTIV oecd interlaboratory validation\Results WF\Résultats CBA\2021-CHG-CBA-FADROZOLE HGC\plaque 1/@12  Fadrozole 87/A12_01.tif </t>
  </si>
  <si>
    <t xml:space="preserve"> 62.6735 </t>
  </si>
  <si>
    <t xml:space="preserve">\\192.168.24.208\images\R&amp;D\2-Test oestrogénique\OECD and AOPs\REACTIV oecd interlaboratory validation\Results WF\Résultats CBA\2021-CHG-CBA-FADROZOLE HGC\plaque 1/@12  Fadrozole 87/A12_02.tif </t>
  </si>
  <si>
    <t xml:space="preserve"> 65.2222 </t>
  </si>
  <si>
    <t xml:space="preserve">\\192.168.24.208\images\R&amp;D\2-Test oestrogénique\OECD and AOPs\REACTIV oecd interlaboratory validation\Results WF\Résultats CBA\2021-CHG-CBA-FADROZOLE HGC\plaque 1/@12  Fadrozole 87/A12_03.tif </t>
  </si>
  <si>
    <t xml:space="preserve"> 63.375 </t>
  </si>
  <si>
    <t xml:space="preserve">\\192.168.24.208\images\R&amp;D\2-Test oestrogénique\OECD and AOPs\REACTIV oecd interlaboratory validation\Results WF\Résultats CBA\2021-CHG-CBA-FADROZOLE HGC\plaque 1/@12  Fadrozole 87/B12_01.tif </t>
  </si>
  <si>
    <t xml:space="preserve">\\192.168.24.208\images\R&amp;D\2-Test oestrogénique\OECD and AOPs\REACTIV oecd interlaboratory validation\Results WF\Résultats CBA\2021-CHG-CBA-FADROZOLE HGC\plaque 1/@12  Fadrozole 87/B12_02.tif </t>
  </si>
  <si>
    <t xml:space="preserve"> 65.3095 </t>
  </si>
  <si>
    <t xml:space="preserve">\\192.168.24.208\images\R&amp;D\2-Test oestrogénique\OECD and AOPs\REACTIV oecd interlaboratory validation\Results WF\Résultats CBA\2021-CHG-CBA-FADROZOLE HGC\plaque 1/@12  Fadrozole 87/B12_03.tif </t>
  </si>
  <si>
    <t xml:space="preserve"> 62.6 </t>
  </si>
  <si>
    <t xml:space="preserve">\\192.168.24.208\images\R&amp;D\2-Test oestrogénique\OECD and AOPs\REACTIV oecd interlaboratory validation\Results WF\Résultats CBA\2021-CHG-CBA-FADROZOLE HGC\plaque 1/@12  Fadrozole 87/C12_01.tif </t>
  </si>
  <si>
    <t xml:space="preserve"> 5329.67 </t>
  </si>
  <si>
    <t xml:space="preserve"> 64.1306 </t>
  </si>
  <si>
    <t>\\192.168.24.208\images\R&amp;D\2-Test oestrogénique\OECD and AOPs\REACTIV oecd interlaboratory validation\Results WF\Résultats CBA\2021-CHG-CBA-FADROZOLE HGC\plaque 1/@12  Fadrozole 87/C12_02- exclu.tif</t>
  </si>
  <si>
    <t xml:space="preserve">\\192.168.24.208\images\R&amp;D\2-Test oestrogénique\OECD and AOPs\REACTIV oecd interlaboratory validation\Results WF\Résultats CBA\2021-CHG-CBA-FADROZOLE HGC\plaque 1/@12  Fadrozole 87/C12_03.tif </t>
  </si>
  <si>
    <t xml:space="preserve"> 3502.3546 </t>
  </si>
  <si>
    <t xml:space="preserve"> 64.1988 </t>
  </si>
  <si>
    <t xml:space="preserve">\\192.168.24.208\images\R&amp;D\2-Test oestrogénique\OECD and AOPs\REACTIV oecd interlaboratory validation\Results WF\Résultats CBA\2021-CHG-CBA-FADROZOLE HGC\plaque 1/@12  Fadrozole 87/D12_01.tif </t>
  </si>
  <si>
    <t xml:space="preserve"> 63.4231 </t>
  </si>
  <si>
    <t xml:space="preserve">\\192.168.24.208\images\R&amp;D\2-Test oestrogénique\OECD and AOPs\REACTIV oecd interlaboratory validation\Results WF\Résultats CBA\2021-CHG-CBA-FADROZOLE HGC\plaque 1/@12  Fadrozole 87/D12_02.tif </t>
  </si>
  <si>
    <t xml:space="preserve">\\192.168.24.208\images\R&amp;D\2-Test oestrogénique\OECD and AOPs\REACTIV oecd interlaboratory validation\Results WF\Résultats CBA\2021-CHG-CBA-FADROZOLE HGC\plaque 1/@12  Fadrozole 87/D12_03.tif </t>
  </si>
  <si>
    <t xml:space="preserve"> 500.3364 </t>
  </si>
  <si>
    <t xml:space="preserve">\\192.168.24.208\images\R&amp;D\2-Test oestrogénique\OECD and AOPs\REACTIV oecd interlaboratory validation\Results WF\Résultats CBA\2021-CHG-CBA-FADROZOLE HGC\plaque 1/@12  Fadrozole 87/E12_01.tif </t>
  </si>
  <si>
    <t xml:space="preserve"> 65.1275 </t>
  </si>
  <si>
    <t xml:space="preserve">\\192.168.24.208\images\R&amp;D\2-Test oestrogénique\OECD and AOPs\REACTIV oecd interlaboratory validation\Results WF\Résultats CBA\2021-CHG-CBA-FADROZOLE HGC\plaque 1/@12  Fadrozole 87/E12_02.tif </t>
  </si>
  <si>
    <t xml:space="preserve"> 6765.4178 </t>
  </si>
  <si>
    <t xml:space="preserve"> 69.6624 </t>
  </si>
  <si>
    <t xml:space="preserve">\\192.168.24.208\images\R&amp;D\2-Test oestrogénique\OECD and AOPs\REACTIV oecd interlaboratory validation\Results WF\Résultats CBA\2021-CHG-CBA-FADROZOLE HGC\plaque 1/@12  Fadrozole 87/E12_03.tif </t>
  </si>
  <si>
    <t xml:space="preserve"> 64.9799 </t>
  </si>
  <si>
    <t xml:space="preserve">\\192.168.24.208\images\R&amp;D\2-Test oestrogénique\OECD and AOPs\REACTIV oecd interlaboratory validation\Results WF\Résultats CBA\2021-CHG-CBA-FADROZOLE HGC\plaque 1/@12  Fadrozole 87/F12_01.tif </t>
  </si>
  <si>
    <t xml:space="preserve"> 61.9 </t>
  </si>
  <si>
    <t>\\192.168.24.208\images\R&amp;D\2-Test oestrogénique\OECD and AOPs\REACTIV oecd interlaboratory validation\Results WF\Résultats CBA\2021-CHG-CBA-FADROZOLE HGC\plaque 1/@12  Fadrozole 87/F12_02- exclu.tif</t>
  </si>
  <si>
    <t>\\192.168.24.208\images\R&amp;D\2-Test oestrogénique\OECD and AOPs\REACTIV oecd interlaboratory validation\Results WF\Résultats CBA\2021-CHG-CBA-FADROZOLE HGC\plaque 1/@12  Fadrozole 87/F12_03- exclu.tif</t>
  </si>
  <si>
    <t xml:space="preserve">\\192.168.24.208\images\R&amp;D\2-Test oestrogénique\OECD and AOPs\REACTIV oecd interlaboratory validation\Results WF\Résultats CBA\2021-CHG-CBA-FADROZOLE HGC\plaque 1/@12  Fadrozole 87/G12_01.tif </t>
  </si>
  <si>
    <t xml:space="preserve">\\192.168.24.208\images\R&amp;D\2-Test oestrogénique\OECD and AOPs\REACTIV oecd interlaboratory validation\Results WF\Résultats CBA\2021-CHG-CBA-FADROZOLE HGC\plaque 1/@12  Fadrozole 87/G12_02.tif </t>
  </si>
  <si>
    <t xml:space="preserve"> 62.5333 </t>
  </si>
  <si>
    <t xml:space="preserve">\\192.168.24.208\images\R&amp;D\2-Test oestrogénique\OECD and AOPs\REACTIV oecd interlaboratory validation\Results WF\Résultats CBA\2021-CHG-CBA-FADROZOLE HGC\plaque 1/@12  Fadrozole 87/G12_03.tif </t>
  </si>
  <si>
    <t xml:space="preserve"> 2044.853 </t>
  </si>
  <si>
    <t xml:space="preserve"> 64.3511 </t>
  </si>
  <si>
    <t xml:space="preserve">\\192.168.24.208\images\R&amp;D\2-Test oestrogénique\OECD and AOPs\REACTIV oecd interlaboratory validation\Results WF\Résultats CBA\2021-CHG-CBA-FADROZOLE HGC\plaque 1/@12  Fadrozole 87/H12_01.tif </t>
  </si>
  <si>
    <t xml:space="preserve"> 587.3514 </t>
  </si>
  <si>
    <t xml:space="preserve">\\192.168.24.208\images\R&amp;D\2-Test oestrogénique\OECD and AOPs\REACTIV oecd interlaboratory validation\Results WF\Résultats CBA\2021-CHG-CBA-FADROZOLE HGC\plaque 1/@12  Fadrozole 87/H12_02.tif </t>
  </si>
  <si>
    <t xml:space="preserve"> 63.381 </t>
  </si>
  <si>
    <t xml:space="preserve">\\192.168.24.208\images\R&amp;D\2-Test oestrogénique\OECD and AOPs\REACTIV oecd interlaboratory validation\Results WF\Résultats CBA\2021-CHG-CBA-FADROZOLE HGC\plaque 1/@12  Fadrozole 87/H12_03.tif </t>
  </si>
  <si>
    <t xml:space="preserve"> 62.7059 </t>
  </si>
  <si>
    <t xml:space="preserve">\\192.168.24.208\images\R&amp;D\2-Test oestrogénique\OECD and AOPs\REACTIV oecd interlaboratory validation\Results WF\Résultats CBA\2021-CHG-CBA-FADROZOLE HGC\plaque 1/@12  Fadrozole 87/ </t>
  </si>
  <si>
    <t xml:space="preserve"> 63.7993 </t>
  </si>
  <si>
    <t xml:space="preserve"> 1.6114 </t>
  </si>
  <si>
    <t xml:space="preserve"> 103135.5 </t>
  </si>
  <si>
    <t xml:space="preserve"> 119729.03 </t>
  </si>
  <si>
    <t>\\192.168.24.208\images\R&amp;D\2-Test oestrogénique\OECD and AOPs\REACTIV oecd interlaboratory validation\Results WF\Résultats CBA\2021-CHG-CBA-FADROZOLE HGC\plaque 2/@13 TESTO/A1_01- exclu- exclu.tif</t>
  </si>
  <si>
    <t xml:space="preserve">\\192.168.24.208\images\R&amp;D\2-Test oestrogénique\OECD and AOPs\REACTIV oecd interlaboratory validation\Results WF\Résultats CBA\2021-CHG-CBA-FADROZOLE HGC\plaque 2/@13 TESTO/A1_02.tif </t>
  </si>
  <si>
    <t xml:space="preserve"> 46444.2669 </t>
  </si>
  <si>
    <t xml:space="preserve"> 70.1148 </t>
  </si>
  <si>
    <t xml:space="preserve">\\192.168.24.208\images\R&amp;D\2-Test oestrogénique\OECD and AOPs\REACTIV oecd interlaboratory validation\Results WF\Résultats CBA\2021-CHG-CBA-FADROZOLE HGC\plaque 2/@13 TESTO/A1_03.tif </t>
  </si>
  <si>
    <t xml:space="preserve"> 36763.846 </t>
  </si>
  <si>
    <t xml:space="preserve"> 68.2047 </t>
  </si>
  <si>
    <t xml:space="preserve">\\192.168.24.208\images\R&amp;D\2-Test oestrogénique\OECD and AOPs\REACTIV oecd interlaboratory validation\Results WF\Résultats CBA\2021-CHG-CBA-FADROZOLE HGC\plaque 2/@13 TESTO/B1_01.tif </t>
  </si>
  <si>
    <t xml:space="preserve"> 34958.2843 </t>
  </si>
  <si>
    <t xml:space="preserve"> 68.9552 </t>
  </si>
  <si>
    <t xml:space="preserve">\\192.168.24.208\images\R&amp;D\2-Test oestrogénique\OECD and AOPs\REACTIV oecd interlaboratory validation\Results WF\Résultats CBA\2021-CHG-CBA-FADROZOLE HGC\plaque 2/@13 TESTO/B1_02.tif </t>
  </si>
  <si>
    <t xml:space="preserve"> 36394.0321 </t>
  </si>
  <si>
    <t xml:space="preserve"> 69.3048 </t>
  </si>
  <si>
    <t xml:space="preserve">\\192.168.24.208\images\R&amp;D\2-Test oestrogénique\OECD and AOPs\REACTIV oecd interlaboratory validation\Results WF\Résultats CBA\2021-CHG-CBA-FADROZOLE HGC\plaque 2/@13 TESTO/B1_03.tif </t>
  </si>
  <si>
    <t xml:space="preserve"> 42463.3298 </t>
  </si>
  <si>
    <t xml:space="preserve"> 70.1557 </t>
  </si>
  <si>
    <t xml:space="preserve">\\192.168.24.208\images\R&amp;D\2-Test oestrogénique\OECD and AOPs\REACTIV oecd interlaboratory validation\Results WF\Résultats CBA\2021-CHG-CBA-FADROZOLE HGC\plaque 2/@13 TESTO/C1_01.tif </t>
  </si>
  <si>
    <t xml:space="preserve"> 24734.0194 </t>
  </si>
  <si>
    <t xml:space="preserve"> 69.4811 </t>
  </si>
  <si>
    <t xml:space="preserve">\\192.168.24.208\images\R&amp;D\2-Test oestrogénique\OECD and AOPs\REACTIV oecd interlaboratory validation\Results WF\Résultats CBA\2021-CHG-CBA-FADROZOLE HGC\plaque 2/@13 TESTO/C1_02.tif </t>
  </si>
  <si>
    <t xml:space="preserve"> 15075.3522 </t>
  </si>
  <si>
    <t xml:space="preserve"> 66.8514 </t>
  </si>
  <si>
    <t>\\192.168.24.208\images\R&amp;D\2-Test oestrogénique\OECD and AOPs\REACTIV oecd interlaboratory validation\Results WF\Résultats CBA\2021-CHG-CBA-FADROZOLE HGC\plaque 2/@13 TESTO/C1_03- exclu.tif</t>
  </si>
  <si>
    <t xml:space="preserve">\\192.168.24.208\images\R&amp;D\2-Test oestrogénique\OECD and AOPs\REACTIV oecd interlaboratory validation\Results WF\Résultats CBA\2021-CHG-CBA-FADROZOLE HGC\plaque 2/@13 TESTO/D1_01.tif </t>
  </si>
  <si>
    <t xml:space="preserve"> 52013.2282 </t>
  </si>
  <si>
    <t xml:space="preserve"> 72.8938 </t>
  </si>
  <si>
    <t xml:space="preserve">\\192.168.24.208\images\R&amp;D\2-Test oestrogénique\OECD and AOPs\REACTIV oecd interlaboratory validation\Results WF\Résultats CBA\2021-CHG-CBA-FADROZOLE HGC\plaque 2/@13 TESTO/D1_02.tif </t>
  </si>
  <si>
    <t xml:space="preserve"> 57429.9132 </t>
  </si>
  <si>
    <t xml:space="preserve"> 72.6784 </t>
  </si>
  <si>
    <t xml:space="preserve">\\192.168.24.208\images\R&amp;D\2-Test oestrogénique\OECD and AOPs\REACTIV oecd interlaboratory validation\Results WF\Résultats CBA\2021-CHG-CBA-FADROZOLE HGC\plaque 2/@13 TESTO/D1_03.tif </t>
  </si>
  <si>
    <t xml:space="preserve"> 52774.6096 </t>
  </si>
  <si>
    <t xml:space="preserve"> 73.1443 </t>
  </si>
  <si>
    <t xml:space="preserve">\\192.168.24.208\images\R&amp;D\2-Test oestrogénique\OECD and AOPs\REACTIV oecd interlaboratory validation\Results WF\Résultats CBA\2021-CHG-CBA-FADROZOLE HGC\plaque 2/@13 TESTO/E1_01.tif </t>
  </si>
  <si>
    <t xml:space="preserve"> 17228.974 </t>
  </si>
  <si>
    <t xml:space="preserve"> 66.2336 </t>
  </si>
  <si>
    <t xml:space="preserve">\\192.168.24.208\images\R&amp;D\2-Test oestrogénique\OECD and AOPs\REACTIV oecd interlaboratory validation\Results WF\Résultats CBA\2021-CHG-CBA-FADROZOLE HGC\plaque 2/@13 TESTO/E1_02.tif </t>
  </si>
  <si>
    <t xml:space="preserve"> 21449.2024 </t>
  </si>
  <si>
    <t xml:space="preserve"> 66.6876 </t>
  </si>
  <si>
    <t xml:space="preserve">\\192.168.24.208\images\R&amp;D\2-Test oestrogénique\OECD and AOPs\REACTIV oecd interlaboratory validation\Results WF\Résultats CBA\2021-CHG-CBA-FADROZOLE HGC\plaque 2/@13 TESTO/E1_03.tif </t>
  </si>
  <si>
    <t xml:space="preserve"> 23080.7341 </t>
  </si>
  <si>
    <t xml:space="preserve"> 67.164 </t>
  </si>
  <si>
    <t xml:space="preserve">\\192.168.24.208\images\R&amp;D\2-Test oestrogénique\OECD and AOPs\REACTIV oecd interlaboratory validation\Results WF\Résultats CBA\2021-CHG-CBA-FADROZOLE HGC\plaque 2/@13 TESTO/F1_01.tif </t>
  </si>
  <si>
    <t xml:space="preserve"> 31651.7135 </t>
  </si>
  <si>
    <t xml:space="preserve"> 66.8522 </t>
  </si>
  <si>
    <t xml:space="preserve">\\192.168.24.208\images\R&amp;D\2-Test oestrogénique\OECD and AOPs\REACTIV oecd interlaboratory validation\Results WF\Résultats CBA\2021-CHG-CBA-FADROZOLE HGC\plaque 2/@13 TESTO/F1_02.tif </t>
  </si>
  <si>
    <t xml:space="preserve"> 32434.8487 </t>
  </si>
  <si>
    <t xml:space="preserve"> 67.0744 </t>
  </si>
  <si>
    <t xml:space="preserve">\\192.168.24.208\images\R&amp;D\2-Test oestrogénique\OECD and AOPs\REACTIV oecd interlaboratory validation\Results WF\Résultats CBA\2021-CHG-CBA-FADROZOLE HGC\plaque 2/@13 TESTO/F1_03.tif </t>
  </si>
  <si>
    <t xml:space="preserve"> 38525.9001 </t>
  </si>
  <si>
    <t xml:space="preserve"> 68.1959 </t>
  </si>
  <si>
    <t xml:space="preserve">\\192.168.24.208\images\R&amp;D\2-Test oestrogénique\OECD and AOPs\REACTIV oecd interlaboratory validation\Results WF\Résultats CBA\2021-CHG-CBA-FADROZOLE HGC\plaque 2/@13 TESTO/G1_01.tif </t>
  </si>
  <si>
    <t xml:space="preserve"> 40179.1855 </t>
  </si>
  <si>
    <t xml:space="preserve"> 71.7071 </t>
  </si>
  <si>
    <t xml:space="preserve">\\192.168.24.208\images\R&amp;D\2-Test oestrogénique\OECD and AOPs\REACTIV oecd interlaboratory validation\Results WF\Résultats CBA\2021-CHG-CBA-FADROZOLE HGC\plaque 2/@13 TESTO/G1_02.tif </t>
  </si>
  <si>
    <t xml:space="preserve"> 46204.9756 </t>
  </si>
  <si>
    <t xml:space="preserve"> 74.1304 </t>
  </si>
  <si>
    <t>\\192.168.24.208\images\R&amp;D\2-Test oestrogénique\OECD and AOPs\REACTIV oecd interlaboratory validation\Results WF\Résultats CBA\2021-CHG-CBA-FADROZOLE HGC\plaque 2/@13 TESTO/G1_03- exclu.tif</t>
  </si>
  <si>
    <t xml:space="preserve">\\192.168.24.208\images\R&amp;D\2-Test oestrogénique\OECD and AOPs\REACTIV oecd interlaboratory validation\Results WF\Résultats CBA\2021-CHG-CBA-FADROZOLE HGC\plaque 2/@13 TESTO/H1_01.tif </t>
  </si>
  <si>
    <t xml:space="preserve"> 43616.2788 </t>
  </si>
  <si>
    <t xml:space="preserve"> 67.998 </t>
  </si>
  <si>
    <t xml:space="preserve">\\192.168.24.208\images\R&amp;D\2-Test oestrogénique\OECD and AOPs\REACTIV oecd interlaboratory validation\Results WF\Résultats CBA\2021-CHG-CBA-FADROZOLE HGC\plaque 2/@13 TESTO/H1_02.tif </t>
  </si>
  <si>
    <t xml:space="preserve"> 42202.2847 </t>
  </si>
  <si>
    <t xml:space="preserve"> 67.1742 </t>
  </si>
  <si>
    <t xml:space="preserve">\\192.168.24.208\images\R&amp;D\2-Test oestrogénique\OECD and AOPs\REACTIV oecd interlaboratory validation\Results WF\Résultats CBA\2021-CHG-CBA-FADROZOLE HGC\plaque 2/@13 TESTO/H1_03.tif </t>
  </si>
  <si>
    <t xml:space="preserve"> 42137.0234 </t>
  </si>
  <si>
    <t xml:space="preserve"> 67.1884 </t>
  </si>
  <si>
    <t xml:space="preserve">\\192.168.24.208\images\R&amp;D\2-Test oestrogénique\OECD and AOPs\REACTIV oecd interlaboratory validation\Results WF\Résultats CBA\2021-CHG-CBA-FADROZOLE HGC\plaque 2/@13 TESTO/ </t>
  </si>
  <si>
    <t xml:space="preserve"> 68.8194 </t>
  </si>
  <si>
    <t xml:space="preserve"> 2.7991 </t>
  </si>
  <si>
    <t xml:space="preserve"> 2411921.38 </t>
  </si>
  <si>
    <t xml:space="preserve"> 1012266.14 </t>
  </si>
  <si>
    <t xml:space="preserve">\\192.168.24.208\images\R&amp;D\2-Test oestrogénique\OECD and AOPs\REACTIV oecd interlaboratory validation\Results WF\Résultats CBA\2021-CHG-CBA-FADROZOLE HGC\plaque 2/@14 TESTO/A2_01.tif </t>
  </si>
  <si>
    <t xml:space="preserve"> 58082.5259 </t>
  </si>
  <si>
    <t xml:space="preserve"> 75.8472 </t>
  </si>
  <si>
    <t xml:space="preserve">\\192.168.24.208\images\R&amp;D\2-Test oestrogénique\OECD and AOPs\REACTIV oecd interlaboratory validation\Results WF\Résultats CBA\2021-CHG-CBA-FADROZOLE HGC\plaque 2/@14 TESTO/A2_02.tif </t>
  </si>
  <si>
    <t xml:space="preserve"> 56886.0693 </t>
  </si>
  <si>
    <t xml:space="preserve"> 76.4467 </t>
  </si>
  <si>
    <t xml:space="preserve">\\192.168.24.208\images\R&amp;D\2-Test oestrogénique\OECD and AOPs\REACTIV oecd interlaboratory validation\Results WF\Résultats CBA\2021-CHG-CBA-FADROZOLE HGC\plaque 2/@14 TESTO/A2_03.tif </t>
  </si>
  <si>
    <t xml:space="preserve"> 65761.6014 </t>
  </si>
  <si>
    <t xml:space="preserve"> 76.7261 </t>
  </si>
  <si>
    <t xml:space="preserve">\\192.168.24.208\images\R&amp;D\2-Test oestrogénique\OECD and AOPs\REACTIV oecd interlaboratory validation\Results WF\Résultats CBA\2021-CHG-CBA-FADROZOLE HGC\plaque 2/@14 TESTO/B2_01.tif </t>
  </si>
  <si>
    <t xml:space="preserve"> 29737.3831 </t>
  </si>
  <si>
    <t xml:space="preserve">\\192.168.24.208\images\R&amp;D\2-Test oestrogénique\OECD and AOPs\REACTIV oecd interlaboratory validation\Results WF\Résultats CBA\2021-CHG-CBA-FADROZOLE HGC\plaque 2/@14 TESTO/B2_02.tif </t>
  </si>
  <si>
    <t xml:space="preserve"> 26496.0736 </t>
  </si>
  <si>
    <t xml:space="preserve"> 69.5452 </t>
  </si>
  <si>
    <t xml:space="preserve">\\192.168.24.208\images\R&amp;D\2-Test oestrogénique\OECD and AOPs\REACTIV oecd interlaboratory validation\Results WF\Résultats CBA\2021-CHG-CBA-FADROZOLE HGC\plaque 2/@14 TESTO/B2_03.tif </t>
  </si>
  <si>
    <t xml:space="preserve"> 28888.9866 </t>
  </si>
  <si>
    <t xml:space="preserve"> 67.5919 </t>
  </si>
  <si>
    <t xml:space="preserve">\\192.168.24.208\images\R&amp;D\2-Test oestrogénique\OECD and AOPs\REACTIV oecd interlaboratory validation\Results WF\Résultats CBA\2021-CHG-CBA-FADROZOLE HGC\plaque 2/@14 TESTO/C2_01.tif </t>
  </si>
  <si>
    <t xml:space="preserve"> 22188.8301 </t>
  </si>
  <si>
    <t xml:space="preserve"> 67.7137 </t>
  </si>
  <si>
    <t xml:space="preserve">\\192.168.24.208\images\R&amp;D\2-Test oestrogénique\OECD and AOPs\REACTIV oecd interlaboratory validation\Results WF\Résultats CBA\2021-CHG-CBA-FADROZOLE HGC\plaque 2/@14 TESTO/C2_02.tif </t>
  </si>
  <si>
    <t xml:space="preserve"> 24908.0495 </t>
  </si>
  <si>
    <t xml:space="preserve"> 67.9485 </t>
  </si>
  <si>
    <t xml:space="preserve">\\192.168.24.208\images\R&amp;D\2-Test oestrogénique\OECD and AOPs\REACTIV oecd interlaboratory validation\Results WF\Résultats CBA\2021-CHG-CBA-FADROZOLE HGC\plaque 2/@14 TESTO/C2_03.tif </t>
  </si>
  <si>
    <t xml:space="preserve"> 18838.7518 </t>
  </si>
  <si>
    <t xml:space="preserve"> 66.2517 </t>
  </si>
  <si>
    <t xml:space="preserve">\\192.168.24.208\images\R&amp;D\2-Test oestrogénique\OECD and AOPs\REACTIV oecd interlaboratory validation\Results WF\Résultats CBA\2021-CHG-CBA-FADROZOLE HGC\plaque 2/@14 TESTO/D2_01.tif </t>
  </si>
  <si>
    <t xml:space="preserve"> 14422.7396 </t>
  </si>
  <si>
    <t xml:space="preserve"> 65.1629 </t>
  </si>
  <si>
    <t xml:space="preserve">\\192.168.24.208\images\R&amp;D\2-Test oestrogénique\OECD and AOPs\REACTIV oecd interlaboratory validation\Results WF\Résultats CBA\2021-CHG-CBA-FADROZOLE HGC\plaque 2/@14 TESTO/D2_02.tif </t>
  </si>
  <si>
    <t xml:space="preserve"> 13965.9107 </t>
  </si>
  <si>
    <t xml:space="preserve"> 64.9673 </t>
  </si>
  <si>
    <t xml:space="preserve">\\192.168.24.208\images\R&amp;D\2-Test oestrogénique\OECD and AOPs\REACTIV oecd interlaboratory validation\Results WF\Résultats CBA\2021-CHG-CBA-FADROZOLE HGC\plaque 2/@14 TESTO/D2_03.tif </t>
  </si>
  <si>
    <t xml:space="preserve"> 14770.7996 </t>
  </si>
  <si>
    <t xml:space="preserve"> 65.2946 </t>
  </si>
  <si>
    <t xml:space="preserve">\\192.168.24.208\images\R&amp;D\2-Test oestrogénique\OECD and AOPs\REACTIV oecd interlaboratory validation\Results WF\Résultats CBA\2021-CHG-CBA-FADROZOLE HGC\plaque 2/@14 TESTO/E2_01.tif </t>
  </si>
  <si>
    <t xml:space="preserve"> 27605.5151 </t>
  </si>
  <si>
    <t xml:space="preserve"> 67.6068 </t>
  </si>
  <si>
    <t xml:space="preserve">\\192.168.24.208\images\R&amp;D\2-Test oestrogénique\OECD and AOPs\REACTIV oecd interlaboratory validation\Results WF\Résultats CBA\2021-CHG-CBA-FADROZOLE HGC\plaque 2/@14 TESTO/E2_02.tif </t>
  </si>
  <si>
    <t xml:space="preserve"> 32826.4163 </t>
  </si>
  <si>
    <t xml:space="preserve"> 67.6932 </t>
  </si>
  <si>
    <t xml:space="preserve">\\192.168.24.208\images\R&amp;D\2-Test oestrogénique\OECD and AOPs\REACTIV oecd interlaboratory validation\Results WF\Résultats CBA\2021-CHG-CBA-FADROZOLE HGC\plaque 2/@14 TESTO/E2_03.tif </t>
  </si>
  <si>
    <t xml:space="preserve"> 27170.44 </t>
  </si>
  <si>
    <t xml:space="preserve"> 67.4836 </t>
  </si>
  <si>
    <t xml:space="preserve">\\192.168.24.208\images\R&amp;D\2-Test oestrogénique\OECD and AOPs\REACTIV oecd interlaboratory validation\Results WF\Résultats CBA\2021-CHG-CBA-FADROZOLE HGC\plaque 2/@14 TESTO/F2_01.tif </t>
  </si>
  <si>
    <t xml:space="preserve"> 17707.5566 </t>
  </si>
  <si>
    <t xml:space="preserve"> 71.6044 </t>
  </si>
  <si>
    <t xml:space="preserve">\\192.168.24.208\images\R&amp;D\2-Test oestrogénique\OECD and AOPs\REACTIV oecd interlaboratory validation\Results WF\Résultats CBA\2021-CHG-CBA-FADROZOLE HGC\plaque 2/@14 TESTO/F2_02.tif </t>
  </si>
  <si>
    <t xml:space="preserve"> 67.4366 </t>
  </si>
  <si>
    <t xml:space="preserve">\\192.168.24.208\images\R&amp;D\2-Test oestrogénique\OECD and AOPs\REACTIV oecd interlaboratory validation\Results WF\Résultats CBA\2021-CHG-CBA-FADROZOLE HGC\plaque 2/@14 TESTO/F2_03.tif </t>
  </si>
  <si>
    <t xml:space="preserve"> 16989.6827 </t>
  </si>
  <si>
    <t xml:space="preserve"> 66.7311 </t>
  </si>
  <si>
    <t xml:space="preserve">\\192.168.24.208\images\R&amp;D\2-Test oestrogénique\OECD and AOPs\REACTIV oecd interlaboratory validation\Results WF\Résultats CBA\2021-CHG-CBA-FADROZOLE HGC\plaque 2/@14 TESTO/G2_01.tif </t>
  </si>
  <si>
    <t xml:space="preserve"> 28976.0017 </t>
  </si>
  <si>
    <t xml:space="preserve"> 66.9677 </t>
  </si>
  <si>
    <t xml:space="preserve">\\192.168.24.208\images\R&amp;D\2-Test oestrogénique\OECD and AOPs\REACTIV oecd interlaboratory validation\Results WF\Résultats CBA\2021-CHG-CBA-FADROZOLE HGC\plaque 2/@14 TESTO/G2_02.tif </t>
  </si>
  <si>
    <t xml:space="preserve"> 36024.2183 </t>
  </si>
  <si>
    <t xml:space="preserve"> 69.2228 </t>
  </si>
  <si>
    <t xml:space="preserve">\\192.168.24.208\images\R&amp;D\2-Test oestrogénique\OECD and AOPs\REACTIV oecd interlaboratory validation\Results WF\Résultats CBA\2021-CHG-CBA-FADROZOLE HGC\plaque 2/@14 TESTO/G2_03.tif </t>
  </si>
  <si>
    <t xml:space="preserve"> 28910.7404 </t>
  </si>
  <si>
    <t xml:space="preserve"> 67.2912 </t>
  </si>
  <si>
    <t>\\192.168.24.208\images\R&amp;D\2-Test oestrogénique\OECD and AOPs\REACTIV oecd interlaboratory validation\Results WF\Résultats CBA\2021-CHG-CBA-FADROZOLE HGC\plaque 2/@14 TESTO/H2_01- exclu.tif</t>
  </si>
  <si>
    <t xml:space="preserve">\\192.168.24.208\images\R&amp;D\2-Test oestrogénique\OECD and AOPs\REACTIV oecd interlaboratory validation\Results WF\Résultats CBA\2021-CHG-CBA-FADROZOLE HGC\plaque 2/@14 TESTO/H2_02.tif </t>
  </si>
  <si>
    <t xml:space="preserve"> 34523.2092 </t>
  </si>
  <si>
    <t xml:space="preserve"> 75.7738 </t>
  </si>
  <si>
    <t xml:space="preserve">\\192.168.24.208\images\R&amp;D\2-Test oestrogénique\OECD and AOPs\REACTIV oecd interlaboratory validation\Results WF\Résultats CBA\2021-CHG-CBA-FADROZOLE HGC\plaque 2/@14 TESTO/H2_03.tif </t>
  </si>
  <si>
    <t xml:space="preserve"> 36154.7408 </t>
  </si>
  <si>
    <t xml:space="preserve"> 76.1546 </t>
  </si>
  <si>
    <t xml:space="preserve">\\192.168.24.208\images\R&amp;D\2-Test oestrogénique\OECD and AOPs\REACTIV oecd interlaboratory validation\Results WF\Résultats CBA\2021-CHG-CBA-FADROZOLE HGC\plaque 2/@14 TESTO/ </t>
  </si>
  <si>
    <t xml:space="preserve"> 69.3083 </t>
  </si>
  <si>
    <t xml:space="preserve"> 3.8656 </t>
  </si>
  <si>
    <t xml:space="preserve"> 2102124.17 </t>
  </si>
  <si>
    <t xml:space="preserve"> 1093772.81 </t>
  </si>
  <si>
    <t xml:space="preserve">\\192.168.24.208\images\R&amp;D\2-Test oestrogénique\OECD and AOPs\REACTIV oecd interlaboratory validation\Results WF\Résultats CBA\2021-CHG-CBA-FADROZOLE HGC\plaque 2/@15 TESTO + EE2/A3_01.tif </t>
  </si>
  <si>
    <t xml:space="preserve"> 72222.4666 </t>
  </si>
  <si>
    <t xml:space="preserve"> 76.1994 </t>
  </si>
  <si>
    <t xml:space="preserve">\\192.168.24.208\images\R&amp;D\2-Test oestrogénique\OECD and AOPs\REACTIV oecd interlaboratory validation\Results WF\Résultats CBA\2021-CHG-CBA-FADROZOLE HGC\plaque 2/@15 TESTO + EE2/A3_02.tif </t>
  </si>
  <si>
    <t xml:space="preserve"> 76116.3888 </t>
  </si>
  <si>
    <t xml:space="preserve"> 76.172 </t>
  </si>
  <si>
    <t xml:space="preserve">\\192.168.24.208\images\R&amp;D\2-Test oestrogénique\OECD and AOPs\REACTIV oecd interlaboratory validation\Results WF\Résultats CBA\2021-CHG-CBA-FADROZOLE HGC\plaque 2/@15 TESTO + EE2/A3_03.tif </t>
  </si>
  <si>
    <t xml:space="preserve"> 61519.6192 </t>
  </si>
  <si>
    <t xml:space="preserve"> 73.8936 </t>
  </si>
  <si>
    <t xml:space="preserve">\\192.168.24.208\images\R&amp;D\2-Test oestrogénique\OECD and AOPs\REACTIV oecd interlaboratory validation\Results WF\Résultats CBA\2021-CHG-CBA-FADROZOLE HGC\plaque 2/@15 TESTO + EE2/B3_01.tif </t>
  </si>
  <si>
    <t xml:space="preserve"> 63999.5472 </t>
  </si>
  <si>
    <t xml:space="preserve"> 78.3273 </t>
  </si>
  <si>
    <t>\\192.168.24.208\images\R&amp;D\2-Test oestrogénique\OECD and AOPs\REACTIV oecd interlaboratory validation\Results WF\Résultats CBA\2021-CHG-CBA-FADROZOLE HGC\plaque 2/@15 TESTO + EE2/B3_02- exclu.tif</t>
  </si>
  <si>
    <t xml:space="preserve">\\192.168.24.208\images\R&amp;D\2-Test oestrogénique\OECD and AOPs\REACTIV oecd interlaboratory validation\Results WF\Résultats CBA\2021-CHG-CBA-FADROZOLE HGC\plaque 2/@15 TESTO + EE2/B3_03.tif </t>
  </si>
  <si>
    <t xml:space="preserve"> 63782.0097 </t>
  </si>
  <si>
    <t xml:space="preserve"> 81.6518 </t>
  </si>
  <si>
    <t xml:space="preserve">\\192.168.24.208\images\R&amp;D\2-Test oestrogénique\OECD and AOPs\REACTIV oecd interlaboratory validation\Results WF\Résultats CBA\2021-CHG-CBA-FADROZOLE HGC\plaque 2/@15 TESTO + EE2/C3_01.tif </t>
  </si>
  <si>
    <t xml:space="preserve"> 59170.2136 </t>
  </si>
  <si>
    <t xml:space="preserve"> 74.9835 </t>
  </si>
  <si>
    <t xml:space="preserve">\\192.168.24.208\images\R&amp;D\2-Test oestrogénique\OECD and AOPs\REACTIV oecd interlaboratory validation\Results WF\Résultats CBA\2021-CHG-CBA-FADROZOLE HGC\plaque 2/@15 TESTO + EE2/C3_02.tif </t>
  </si>
  <si>
    <t xml:space="preserve"> 56690.2855 </t>
  </si>
  <si>
    <t xml:space="preserve"> 74.452 </t>
  </si>
  <si>
    <t xml:space="preserve">\\192.168.24.208\images\R&amp;D\2-Test oestrogénique\OECD and AOPs\REACTIV oecd interlaboratory validation\Results WF\Résultats CBA\2021-CHG-CBA-FADROZOLE HGC\plaque 2/@15 TESTO + EE2/C3_03.tif </t>
  </si>
  <si>
    <t xml:space="preserve"> 60257.9014 </t>
  </si>
  <si>
    <t xml:space="preserve"> 73.6191 </t>
  </si>
  <si>
    <t xml:space="preserve">\\192.168.24.208\images\R&amp;D\2-Test oestrogénique\OECD and AOPs\REACTIV oecd interlaboratory validation\Results WF\Résultats CBA\2021-CHG-CBA-FADROZOLE HGC\plaque 2/@15 TESTO + EE2/D3_01.tif </t>
  </si>
  <si>
    <t xml:space="preserve"> 46857.5883 </t>
  </si>
  <si>
    <t xml:space="preserve"> 80.4308 </t>
  </si>
  <si>
    <t xml:space="preserve">\\192.168.24.208\images\R&amp;D\2-Test oestrogénique\OECD and AOPs\REACTIV oecd interlaboratory validation\Results WF\Résultats CBA\2021-CHG-CBA-FADROZOLE HGC\plaque 2/@15 TESTO + EE2/D3_02.tif </t>
  </si>
  <si>
    <t xml:space="preserve"> 51143.078 </t>
  </si>
  <si>
    <t xml:space="preserve"> 83.6185 </t>
  </si>
  <si>
    <t xml:space="preserve">\\192.168.24.208\images\R&amp;D\2-Test oestrogénique\OECD and AOPs\REACTIV oecd interlaboratory validation\Results WF\Résultats CBA\2021-CHG-CBA-FADROZOLE HGC\plaque 2/@15 TESTO + EE2/D3_03.tif </t>
  </si>
  <si>
    <t xml:space="preserve"> 50359.9428 </t>
  </si>
  <si>
    <t xml:space="preserve"> 83.7974 </t>
  </si>
  <si>
    <t xml:space="preserve">\\192.168.24.208\images\R&amp;D\2-Test oestrogénique\OECD and AOPs\REACTIV oecd interlaboratory validation\Results WF\Résultats CBA\2021-CHG-CBA-FADROZOLE HGC\plaque 2/@15 TESTO + EE2/E3_01.tif </t>
  </si>
  <si>
    <t xml:space="preserve"> 61302.0816 </t>
  </si>
  <si>
    <t xml:space="preserve"> 77.0806 </t>
  </si>
  <si>
    <t xml:space="preserve">\\192.168.24.208\images\R&amp;D\2-Test oestrogénique\OECD and AOPs\REACTIV oecd interlaboratory validation\Results WF\Résultats CBA\2021-CHG-CBA-FADROZOLE HGC\plaque 2/@15 TESTO + EE2/E3_02.tif </t>
  </si>
  <si>
    <t xml:space="preserve"> 62737.8294 </t>
  </si>
  <si>
    <t xml:space="preserve"> 77.8755 </t>
  </si>
  <si>
    <t xml:space="preserve">\\192.168.24.208\images\R&amp;D\2-Test oestrogénique\OECD and AOPs\REACTIV oecd interlaboratory validation\Results WF\Résultats CBA\2021-CHG-CBA-FADROZOLE HGC\plaque 2/@15 TESTO + EE2/E3_03.tif </t>
  </si>
  <si>
    <t xml:space="preserve"> 63368.6883 </t>
  </si>
  <si>
    <t xml:space="preserve"> 76.4706 </t>
  </si>
  <si>
    <t xml:space="preserve">\\192.168.24.208\images\R&amp;D\2-Test oestrogénique\OECD and AOPs\REACTIV oecd interlaboratory validation\Results WF\Résultats CBA\2021-CHG-CBA-FADROZOLE HGC\plaque 2/@15 TESTO + EE2/F3_01.tif </t>
  </si>
  <si>
    <t xml:space="preserve"> 41353.8883 </t>
  </si>
  <si>
    <t xml:space="preserve"> 75.424 </t>
  </si>
  <si>
    <t xml:space="preserve">\\192.168.24.208\images\R&amp;D\2-Test oestrogénique\OECD and AOPs\REACTIV oecd interlaboratory validation\Results WF\Résultats CBA\2021-CHG-CBA-FADROZOLE HGC\plaque 2/@15 TESTO + EE2/F3_02.tif </t>
  </si>
  <si>
    <t xml:space="preserve"> 44508.1827 </t>
  </si>
  <si>
    <t xml:space="preserve"> 73.848 </t>
  </si>
  <si>
    <t xml:space="preserve">\\192.168.24.208\images\R&amp;D\2-Test oestrogénique\OECD and AOPs\REACTIV oecd interlaboratory validation\Results WF\Résultats CBA\2021-CHG-CBA-FADROZOLE HGC\plaque 2/@15 TESTO + EE2/F3_03.tif </t>
  </si>
  <si>
    <t xml:space="preserve"> 42941.9124 </t>
  </si>
  <si>
    <t xml:space="preserve"> 74.4276 </t>
  </si>
  <si>
    <t xml:space="preserve">\\192.168.24.208\images\R&amp;D\2-Test oestrogénique\OECD and AOPs\REACTIV oecd interlaboratory validation\Results WF\Résultats CBA\2021-CHG-CBA-FADROZOLE HGC\plaque 2/@15 TESTO + EE2/G3_01.tif </t>
  </si>
  <si>
    <t xml:space="preserve"> 35175.8218 </t>
  </si>
  <si>
    <t xml:space="preserve"> 77.7613 </t>
  </si>
  <si>
    <t xml:space="preserve">\\192.168.24.208\images\R&amp;D\2-Test oestrogénique\OECD and AOPs\REACTIV oecd interlaboratory validation\Results WF\Résultats CBA\2021-CHG-CBA-FADROZOLE HGC\plaque 2/@15 TESTO + EE2/G3_02.tif </t>
  </si>
  <si>
    <t xml:space="preserve"> 36742.0922 </t>
  </si>
  <si>
    <t xml:space="preserve"> 77.0077 </t>
  </si>
  <si>
    <t>\\192.168.24.208\images\R&amp;D\2-Test oestrogénique\OECD and AOPs\REACTIV oecd interlaboratory validation\Results WF\Résultats CBA\2021-CHG-CBA-FADROZOLE HGC\plaque 2/@15 TESTO + EE2/G3_03- exclu.tif</t>
  </si>
  <si>
    <t xml:space="preserve">\\192.168.24.208\images\R&amp;D\2-Test oestrogénique\OECD and AOPs\REACTIV oecd interlaboratory validation\Results WF\Résultats CBA\2021-CHG-CBA-FADROZOLE HGC\plaque 2/@15 TESTO + EE2/H3_01.tif </t>
  </si>
  <si>
    <t xml:space="preserve"> 53949.3124 </t>
  </si>
  <si>
    <t xml:space="preserve"> 79.3815 </t>
  </si>
  <si>
    <t xml:space="preserve">\\192.168.24.208\images\R&amp;D\2-Test oestrogénique\OECD and AOPs\REACTIV oecd interlaboratory validation\Results WF\Résultats CBA\2021-CHG-CBA-FADROZOLE HGC\plaque 2/@15 TESTO + EE2/H3_02.tif </t>
  </si>
  <si>
    <t xml:space="preserve"> 50947.2942 </t>
  </si>
  <si>
    <t xml:space="preserve"> 79.8903 </t>
  </si>
  <si>
    <t xml:space="preserve">\\192.168.24.208\images\R&amp;D\2-Test oestrogénique\OECD and AOPs\REACTIV oecd interlaboratory validation\Results WF\Résultats CBA\2021-CHG-CBA-FADROZOLE HGC\plaque 2/@15 TESTO + EE2/H3_03.tif </t>
  </si>
  <si>
    <t xml:space="preserve"> 54558.4175 </t>
  </si>
  <si>
    <t xml:space="preserve"> 83.4242 </t>
  </si>
  <si>
    <t xml:space="preserve">\\192.168.24.208\images\R&amp;D\2-Test oestrogénique\OECD and AOPs\REACTIV oecd interlaboratory validation\Results WF\Résultats CBA\2021-CHG-CBA-FADROZOLE HGC\plaque 2/@15 TESTO + EE2/ </t>
  </si>
  <si>
    <t xml:space="preserve"> 77.4113 </t>
  </si>
  <si>
    <t xml:space="preserve"> 3.2824 </t>
  </si>
  <si>
    <t xml:space="preserve"> 4213307.12 </t>
  </si>
  <si>
    <t xml:space="preserve"> 941432.932 </t>
  </si>
  <si>
    <t xml:space="preserve">\\192.168.24.208\images\R&amp;D\2-Test oestrogénique\OECD and AOPs\REACTIV oecd interlaboratory validation\Results WF\Résultats CBA\2021-CHG-CBA-FADROZOLE HGC\plaque 2/@16 TESTO + FAD/A4_01.tif </t>
  </si>
  <si>
    <t xml:space="preserve"> 2501.6818 </t>
  </si>
  <si>
    <t xml:space="preserve"> 70.1913 </t>
  </si>
  <si>
    <t xml:space="preserve">\\192.168.24.208\images\R&amp;D\2-Test oestrogénique\OECD and AOPs\REACTIV oecd interlaboratory validation\Results WF\Résultats CBA\2021-CHG-CBA-FADROZOLE HGC\plaque 2/@16 TESTO + FAD/A4_02.tif </t>
  </si>
  <si>
    <t xml:space="preserve"> 68.2635 </t>
  </si>
  <si>
    <t xml:space="preserve">\\192.168.24.208\images\R&amp;D\2-Test oestrogénique\OECD and AOPs\REACTIV oecd interlaboratory validation\Results WF\Résultats CBA\2021-CHG-CBA-FADROZOLE HGC\plaque 2/@16 TESTO + FAD/A4_03.tif </t>
  </si>
  <si>
    <t xml:space="preserve"> 1696.7929 </t>
  </si>
  <si>
    <t xml:space="preserve"> 68.4615 </t>
  </si>
  <si>
    <t xml:space="preserve">\\192.168.24.208\images\R&amp;D\2-Test oestrogénique\OECD and AOPs\REACTIV oecd interlaboratory validation\Results WF\Résultats CBA\2021-CHG-CBA-FADROZOLE HGC\plaque 2/@16 TESTO + FAD/B4_01.tif </t>
  </si>
  <si>
    <t xml:space="preserve"> 65.9615 </t>
  </si>
  <si>
    <t xml:space="preserve">\\192.168.24.208\images\R&amp;D\2-Test oestrogénique\OECD and AOPs\REACTIV oecd interlaboratory validation\Results WF\Résultats CBA\2021-CHG-CBA-FADROZOLE HGC\plaque 2/@16 TESTO + FAD/B4_02.tif </t>
  </si>
  <si>
    <t xml:space="preserve"> 2479.9281 </t>
  </si>
  <si>
    <t xml:space="preserve"> 65.3772 </t>
  </si>
  <si>
    <t xml:space="preserve">\\192.168.24.208\images\R&amp;D\2-Test oestrogénique\OECD and AOPs\REACTIV oecd interlaboratory validation\Results WF\Résultats CBA\2021-CHG-CBA-FADROZOLE HGC\plaque 2/@16 TESTO + FAD/B4_03.tif </t>
  </si>
  <si>
    <t xml:space="preserve">\\192.168.24.208\images\R&amp;D\2-Test oestrogénique\OECD and AOPs\REACTIV oecd interlaboratory validation\Results WF\Résultats CBA\2021-CHG-CBA-FADROZOLE HGC\plaque 2/@16 TESTO + FAD/C4_01.tif </t>
  </si>
  <si>
    <t xml:space="preserve"> 1131.1953 </t>
  </si>
  <si>
    <t xml:space="preserve"> 64.6538 </t>
  </si>
  <si>
    <t xml:space="preserve">\\192.168.24.208\images\R&amp;D\2-Test oestrogénique\OECD and AOPs\REACTIV oecd interlaboratory validation\Results WF\Résultats CBA\2021-CHG-CBA-FADROZOLE HGC\plaque 2/@16 TESTO + FAD/C4_02.tif </t>
  </si>
  <si>
    <t xml:space="preserve">\\192.168.24.208\images\R&amp;D\2-Test oestrogénique\OECD and AOPs\REACTIV oecd interlaboratory validation\Results WF\Résultats CBA\2021-CHG-CBA-FADROZOLE HGC\plaque 2/@16 TESTO + FAD/C4_03.tif </t>
  </si>
  <si>
    <t xml:space="preserve"> 63.2667 </t>
  </si>
  <si>
    <t xml:space="preserve">\\192.168.24.208\images\R&amp;D\2-Test oestrogénique\OECD and AOPs\REACTIV oecd interlaboratory validation\Results WF\Résultats CBA\2021-CHG-CBA-FADROZOLE HGC\plaque 2/@16 TESTO + FAD/D4_01.tif </t>
  </si>
  <si>
    <t xml:space="preserve"> 63.7273 </t>
  </si>
  <si>
    <t xml:space="preserve">\\192.168.24.208\images\R&amp;D\2-Test oestrogénique\OECD and AOPs\REACTIV oecd interlaboratory validation\Results WF\Résultats CBA\2021-CHG-CBA-FADROZOLE HGC\plaque 2/@16 TESTO + FAD/D4_02.tif </t>
  </si>
  <si>
    <t xml:space="preserve">\\192.168.24.208\images\R&amp;D\2-Test oestrogénique\OECD and AOPs\REACTIV oecd interlaboratory validation\Results WF\Résultats CBA\2021-CHG-CBA-FADROZOLE HGC\plaque 2/@16 TESTO + FAD/D4_03.tif </t>
  </si>
  <si>
    <t xml:space="preserve">\\192.168.24.208\images\R&amp;D\2-Test oestrogénique\OECD and AOPs\REACTIV oecd interlaboratory validation\Results WF\Résultats CBA\2021-CHG-CBA-FADROZOLE HGC\plaque 2/@16 TESTO + FAD/E4_01.tif </t>
  </si>
  <si>
    <t xml:space="preserve"> 4524.781 </t>
  </si>
  <si>
    <t xml:space="preserve"> 67.6779 </t>
  </si>
  <si>
    <t xml:space="preserve">\\192.168.24.208\images\R&amp;D\2-Test oestrogénique\OECD and AOPs\REACTIV oecd interlaboratory validation\Results WF\Résultats CBA\2021-CHG-CBA-FADROZOLE HGC\plaque 2/@16 TESTO + FAD/E4_02.tif </t>
  </si>
  <si>
    <t xml:space="preserve"> 4394.2585 </t>
  </si>
  <si>
    <t xml:space="preserve"> 67.7723 </t>
  </si>
  <si>
    <t xml:space="preserve">\\192.168.24.208\images\R&amp;D\2-Test oestrogénique\OECD and AOPs\REACTIV oecd interlaboratory validation\Results WF\Résultats CBA\2021-CHG-CBA-FADROZOLE HGC\plaque 2/@16 TESTO + FAD/E4_03.tif </t>
  </si>
  <si>
    <t xml:space="preserve">\\192.168.24.208\images\R&amp;D\2-Test oestrogénique\OECD and AOPs\REACTIV oecd interlaboratory validation\Results WF\Résultats CBA\2021-CHG-CBA-FADROZOLE HGC\plaque 2/@16 TESTO + FAD/F4_01.tif </t>
  </si>
  <si>
    <t xml:space="preserve">\\192.168.24.208\images\R&amp;D\2-Test oestrogénique\OECD and AOPs\REACTIV oecd interlaboratory validation\Results WF\Résultats CBA\2021-CHG-CBA-FADROZOLE HGC\plaque 2/@16 TESTO + FAD/F4_02.tif </t>
  </si>
  <si>
    <t xml:space="preserve"> 5938.7751 </t>
  </si>
  <si>
    <t xml:space="preserve"> 71.0769 </t>
  </si>
  <si>
    <t xml:space="preserve">\\192.168.24.208\images\R&amp;D\2-Test oestrogénique\OECD and AOPs\REACTIV oecd interlaboratory validation\Results WF\Résultats CBA\2021-CHG-CBA-FADROZOLE HGC\plaque 2/@16 TESTO + FAD/F4_03.tif </t>
  </si>
  <si>
    <t xml:space="preserve">\\192.168.24.208\images\R&amp;D\2-Test oestrogénique\OECD and AOPs\REACTIV oecd interlaboratory validation\Results WF\Résultats CBA\2021-CHG-CBA-FADROZOLE HGC\plaque 2/@16 TESTO + FAD/G4_01.tif </t>
  </si>
  <si>
    <t xml:space="preserve"> 2197.1293 </t>
  </si>
  <si>
    <t xml:space="preserve"> 65.2871 </t>
  </si>
  <si>
    <t xml:space="preserve">\\192.168.24.208\images\R&amp;D\2-Test oestrogénique\OECD and AOPs\REACTIV oecd interlaboratory validation\Results WF\Résultats CBA\2021-CHG-CBA-FADROZOLE HGC\plaque 2/@16 TESTO + FAD/G4_02.tif </t>
  </si>
  <si>
    <t xml:space="preserve"> 64.7586 </t>
  </si>
  <si>
    <t xml:space="preserve">\\192.168.24.208\images\R&amp;D\2-Test oestrogénique\OECD and AOPs\REACTIV oecd interlaboratory validation\Results WF\Résultats CBA\2021-CHG-CBA-FADROZOLE HGC\plaque 2/@16 TESTO + FAD/G4_03.tif </t>
  </si>
  <si>
    <t xml:space="preserve"> 64.9623 </t>
  </si>
  <si>
    <t xml:space="preserve">\\192.168.24.208\images\R&amp;D\2-Test oestrogénique\OECD and AOPs\REACTIV oecd interlaboratory validation\Results WF\Résultats CBA\2021-CHG-CBA-FADROZOLE HGC\plaque 2/@16 TESTO + FAD/H4_01.tif </t>
  </si>
  <si>
    <t xml:space="preserve"> 63.0385 </t>
  </si>
  <si>
    <t xml:space="preserve">\\192.168.24.208\images\R&amp;D\2-Test oestrogénique\OECD and AOPs\REACTIV oecd interlaboratory validation\Results WF\Résultats CBA\2021-CHG-CBA-FADROZOLE HGC\plaque 2/@16 TESTO + FAD/H4_02.tif </t>
  </si>
  <si>
    <t xml:space="preserve"> 522.0901 </t>
  </si>
  <si>
    <t xml:space="preserve"> 63.2083 </t>
  </si>
  <si>
    <t xml:space="preserve">\\192.168.24.208\images\R&amp;D\2-Test oestrogénique\OECD and AOPs\REACTIV oecd interlaboratory validation\Results WF\Résultats CBA\2021-CHG-CBA-FADROZOLE HGC\plaque 2/@16 TESTO + FAD/H4_03.tif </t>
  </si>
  <si>
    <t xml:space="preserve"> 2980.2644 </t>
  </si>
  <si>
    <t xml:space="preserve"> 66.1241 </t>
  </si>
  <si>
    <t xml:space="preserve">\\192.168.24.208\images\R&amp;D\2-Test oestrogénique\OECD and AOPs\REACTIV oecd interlaboratory validation\Results WF\Résultats CBA\2021-CHG-CBA-FADROZOLE HGC\plaque 2/@16 TESTO + FAD/ </t>
  </si>
  <si>
    <t xml:space="preserve"> 65.2293 </t>
  </si>
  <si>
    <t xml:space="preserve"> 2.4889 </t>
  </si>
  <si>
    <t xml:space="preserve"> 116582.042 </t>
  </si>
  <si>
    <t xml:space="preserve"> 110926.936 </t>
  </si>
  <si>
    <t xml:space="preserve">\\192.168.24.208\images\R&amp;D\2-Test oestrogénique\OECD and AOPs\REACTIV oecd interlaboratory validation\Results WF\Résultats CBA\2021-CHG-CBA-FADROZOLE HGC\plaque 2/@17 FADROZOLE 5.4/A5_01.tif </t>
  </si>
  <si>
    <t xml:space="preserve"> 1849.0692 </t>
  </si>
  <si>
    <t xml:space="preserve"> 65.3059 </t>
  </si>
  <si>
    <t xml:space="preserve">\\192.168.24.208\images\R&amp;D\2-Test oestrogénique\OECD and AOPs\REACTIV oecd interlaboratory validation\Results WF\Résultats CBA\2021-CHG-CBA-FADROZOLE HGC\plaque 2/@17 FADROZOLE 5.4/A5_02.tif </t>
  </si>
  <si>
    <t xml:space="preserve"> 63.6571 </t>
  </si>
  <si>
    <t xml:space="preserve">\\192.168.24.208\images\R&amp;D\2-Test oestrogénique\OECD and AOPs\REACTIV oecd interlaboratory validation\Results WF\Résultats CBA\2021-CHG-CBA-FADROZOLE HGC\plaque 2/@17 FADROZOLE 5.4/A5_03.tif </t>
  </si>
  <si>
    <t xml:space="preserve"> 62.2174 </t>
  </si>
  <si>
    <t xml:space="preserve">\\192.168.24.208\images\R&amp;D\2-Test oestrogénique\OECD and AOPs\REACTIV oecd interlaboratory validation\Results WF\Résultats CBA\2021-CHG-CBA-FADROZOLE HGC\plaque 2/@17 FADROZOLE 5.4/B5_01.tif </t>
  </si>
  <si>
    <t xml:space="preserve"> 4024.4447 </t>
  </si>
  <si>
    <t xml:space="preserve"> 66.173 </t>
  </si>
  <si>
    <t xml:space="preserve">\\192.168.24.208\images\R&amp;D\2-Test oestrogénique\OECD and AOPs\REACTIV oecd interlaboratory validation\Results WF\Résultats CBA\2021-CHG-CBA-FADROZOLE HGC\plaque 2/@17 FADROZOLE 5.4/B5_02.tif </t>
  </si>
  <si>
    <t xml:space="preserve"> 63.1644 </t>
  </si>
  <si>
    <t xml:space="preserve">\\192.168.24.208\images\R&amp;D\2-Test oestrogénique\OECD and AOPs\REACTIV oecd interlaboratory validation\Results WF\Résultats CBA\2021-CHG-CBA-FADROZOLE HGC\plaque 2/@17 FADROZOLE 5.4/B5_03.tif </t>
  </si>
  <si>
    <t xml:space="preserve"> 63.2 </t>
  </si>
  <si>
    <t xml:space="preserve">\\192.168.24.208\images\R&amp;D\2-Test oestrogénique\OECD and AOPs\REACTIV oecd interlaboratory validation\Results WF\Résultats CBA\2021-CHG-CBA-FADROZOLE HGC\plaque 2/@17 FADROZOLE 5.4/C5_01.tif </t>
  </si>
  <si>
    <t xml:space="preserve"> 9332.3609 </t>
  </si>
  <si>
    <t xml:space="preserve"> 70.8462 </t>
  </si>
  <si>
    <t xml:space="preserve">\\192.168.24.208\images\R&amp;D\2-Test oestrogénique\OECD and AOPs\REACTIV oecd interlaboratory validation\Results WF\Résultats CBA\2021-CHG-CBA-FADROZOLE HGC\plaque 2/@17 FADROZOLE 5.4/C5_02.tif </t>
  </si>
  <si>
    <t xml:space="preserve"> 5155.6399 </t>
  </si>
  <si>
    <t xml:space="preserve"> 65.4304 </t>
  </si>
  <si>
    <t xml:space="preserve">\\192.168.24.208\images\R&amp;D\2-Test oestrogénique\OECD and AOPs\REACTIV oecd interlaboratory validation\Results WF\Résultats CBA\2021-CHG-CBA-FADROZOLE HGC\plaque 2/@17 FADROZOLE 5.4/C5_03.tif </t>
  </si>
  <si>
    <t xml:space="preserve"> 6634.8953 </t>
  </si>
  <si>
    <t xml:space="preserve"> 73.7738 </t>
  </si>
  <si>
    <t xml:space="preserve">\\192.168.24.208\images\R&amp;D\2-Test oestrogénique\OECD and AOPs\REACTIV oecd interlaboratory validation\Results WF\Résultats CBA\2021-CHG-CBA-FADROZOLE HGC\plaque 2/@17 FADROZOLE 5.4/D5_01.tif </t>
  </si>
  <si>
    <t xml:space="preserve">\\192.168.24.208\images\R&amp;D\2-Test oestrogénique\OECD and AOPs\REACTIV oecd interlaboratory validation\Results WF\Résultats CBA\2021-CHG-CBA-FADROZOLE HGC\plaque 2/@17 FADROZOLE 5.4/D5_02.tif </t>
  </si>
  <si>
    <t xml:space="preserve">\\192.168.24.208\images\R&amp;D\2-Test oestrogénique\OECD and AOPs\REACTIV oecd interlaboratory validation\Results WF\Résultats CBA\2021-CHG-CBA-FADROZOLE HGC\plaque 2/@17 FADROZOLE 5.4/D5_03.tif </t>
  </si>
  <si>
    <t xml:space="preserve">\\192.168.24.208\images\R&amp;D\2-Test oestrogénique\OECD and AOPs\REACTIV oecd interlaboratory validation\Results WF\Résultats CBA\2021-CHG-CBA-FADROZOLE HGC\plaque 2/@17 FADROZOLE 5.4/E5_01.tif </t>
  </si>
  <si>
    <t xml:space="preserve">\\192.168.24.208\images\R&amp;D\2-Test oestrogénique\OECD and AOPs\REACTIV oecd interlaboratory validation\Results WF\Résultats CBA\2021-CHG-CBA-FADROZOLE HGC\plaque 2/@17 FADROZOLE 5.4/E5_02.tif </t>
  </si>
  <si>
    <t xml:space="preserve"> 63.7037 </t>
  </si>
  <si>
    <t xml:space="preserve">\\192.168.24.208\images\R&amp;D\2-Test oestrogénique\OECD and AOPs\REACTIV oecd interlaboratory validation\Results WF\Résultats CBA\2021-CHG-CBA-FADROZOLE HGC\plaque 2/@17 FADROZOLE 5.4/E5_03.tif </t>
  </si>
  <si>
    <t xml:space="preserve"> 63.9216 </t>
  </si>
  <si>
    <t xml:space="preserve">\\192.168.24.208\images\R&amp;D\2-Test oestrogénique\OECD and AOPs\REACTIV oecd interlaboratory validation\Results WF\Résultats CBA\2021-CHG-CBA-FADROZOLE HGC\plaque 2/@17 FADROZOLE 5.4/F5_01.tif </t>
  </si>
  <si>
    <t xml:space="preserve">\\192.168.24.208\images\R&amp;D\2-Test oestrogénique\OECD and AOPs\REACTIV oecd interlaboratory validation\Results WF\Résultats CBA\2021-CHG-CBA-FADROZOLE HGC\plaque 2/@17 FADROZOLE 5.4/F5_02.tif </t>
  </si>
  <si>
    <t xml:space="preserve">\\192.168.24.208\images\R&amp;D\2-Test oestrogénique\OECD and AOPs\REACTIV oecd interlaboratory validation\Results WF\Résultats CBA\2021-CHG-CBA-FADROZOLE HGC\plaque 2/@17 FADROZOLE 5.4/F5_03.tif </t>
  </si>
  <si>
    <t xml:space="preserve"> 3176.0482 </t>
  </si>
  <si>
    <t xml:space="preserve"> 66.3767 </t>
  </si>
  <si>
    <t xml:space="preserve">\\192.168.24.208\images\R&amp;D\2-Test oestrogénique\OECD and AOPs\REACTIV oecd interlaboratory validation\Results WF\Résultats CBA\2021-CHG-CBA-FADROZOLE HGC\plaque 2/@17 FADROZOLE 5.4/G5_01.tif </t>
  </si>
  <si>
    <t xml:space="preserve"> 62.2 </t>
  </si>
  <si>
    <t xml:space="preserve">\\192.168.24.208\images\R&amp;D\2-Test oestrogénique\OECD and AOPs\REACTIV oecd interlaboratory validation\Results WF\Résultats CBA\2021-CHG-CBA-FADROZOLE HGC\plaque 2/@17 FADROZOLE 5.4/G5_02.tif </t>
  </si>
  <si>
    <t xml:space="preserve"> 2762.7269 </t>
  </si>
  <si>
    <t xml:space="preserve"> 63.4331 </t>
  </si>
  <si>
    <t xml:space="preserve">\\192.168.24.208\images\R&amp;D\2-Test oestrogénique\OECD and AOPs\REACTIV oecd interlaboratory validation\Results WF\Résultats CBA\2021-CHG-CBA-FADROZOLE HGC\plaque 2/@17 FADROZOLE 5.4/G5_03.tif </t>
  </si>
  <si>
    <t xml:space="preserve"> 1283.4715 </t>
  </si>
  <si>
    <t xml:space="preserve"> 64.0508 </t>
  </si>
  <si>
    <t>\\192.168.24.208\images\R&amp;D\2-Test oestrogénique\OECD and AOPs\REACTIV oecd interlaboratory validation\Results WF\Résultats CBA\2021-CHG-CBA-FADROZOLE HGC\plaque 2/@17 FADROZOLE 5.4/H5_01- exclu.tif</t>
  </si>
  <si>
    <t>\\192.168.24.208\images\R&amp;D\2-Test oestrogénique\OECD and AOPs\REACTIV oecd interlaboratory validation\Results WF\Résultats CBA\2021-CHG-CBA-FADROZOLE HGC\plaque 2/@17 FADROZOLE 5.4/H5_02- exclu.tif</t>
  </si>
  <si>
    <t>\\192.168.24.208\images\R&amp;D\2-Test oestrogénique\OECD and AOPs\REACTIV oecd interlaboratory validation\Results WF\Résultats CBA\2021-CHG-CBA-FADROZOLE HGC\plaque 2/@17 FADROZOLE 5.4/H5_03- exclu.tif</t>
  </si>
  <si>
    <t xml:space="preserve">\\192.168.24.208\images\R&amp;D\2-Test oestrogénique\OECD and AOPs\REACTIV oecd interlaboratory validation\Results WF\Résultats CBA\2021-CHG-CBA-FADROZOLE HGC\plaque 2/@17 FADROZOLE 5.4/ </t>
  </si>
  <si>
    <t xml:space="preserve"> 64.4401 </t>
  </si>
  <si>
    <t xml:space="preserve"> 2.6952 </t>
  </si>
  <si>
    <t xml:space="preserve"> 118511.667 </t>
  </si>
  <si>
    <t xml:space="preserve"> 167623.55 </t>
  </si>
  <si>
    <t xml:space="preserve">\\192.168.24.208\images\R&amp;D\2-Test oestrogénique\OECD and AOPs\REACTIV oecd interlaboratory validation\Results WF\Résultats CBA\2021-CHG-CBA-FADROZOLE HGC\plaque 2/@18 FADROZOLE 11/A6_01.tif </t>
  </si>
  <si>
    <t xml:space="preserve"> 5025.1174 </t>
  </si>
  <si>
    <t xml:space="preserve"> 66.1688 </t>
  </si>
  <si>
    <t xml:space="preserve">\\192.168.24.208\images\R&amp;D\2-Test oestrogénique\OECD and AOPs\REACTIV oecd interlaboratory validation\Results WF\Résultats CBA\2021-CHG-CBA-FADROZOLE HGC\plaque 2/@18 FADROZOLE 11/A6_02.tif </t>
  </si>
  <si>
    <t xml:space="preserve"> 4437.766 </t>
  </si>
  <si>
    <t xml:space="preserve"> 67.7206 </t>
  </si>
  <si>
    <t xml:space="preserve">\\192.168.24.208\images\R&amp;D\2-Test oestrogénique\OECD and AOPs\REACTIV oecd interlaboratory validation\Results WF\Résultats CBA\2021-CHG-CBA-FADROZOLE HGC\plaque 2/@18 FADROZOLE 11/A6_03.tif </t>
  </si>
  <si>
    <t xml:space="preserve">\\192.168.24.208\images\R&amp;D\2-Test oestrogénique\OECD and AOPs\REACTIV oecd interlaboratory validation\Results WF\Résultats CBA\2021-CHG-CBA-FADROZOLE HGC\plaque 2/@18 FADROZOLE 11/B6_01.tif </t>
  </si>
  <si>
    <t xml:space="preserve">\\192.168.24.208\images\R&amp;D\2-Test oestrogénique\OECD and AOPs\REACTIV oecd interlaboratory validation\Results WF\Résultats CBA\2021-CHG-CBA-FADROZOLE HGC\plaque 2/@18 FADROZOLE 11/B6_02.tif </t>
  </si>
  <si>
    <t xml:space="preserve">\\192.168.24.208\images\R&amp;D\2-Test oestrogénique\OECD and AOPs\REACTIV oecd interlaboratory validation\Results WF\Résultats CBA\2021-CHG-CBA-FADROZOLE HGC\plaque 2/@18 FADROZOLE 11/B6_03.tif </t>
  </si>
  <si>
    <t xml:space="preserve"> 64.4545 </t>
  </si>
  <si>
    <t xml:space="preserve">\\192.168.24.208\images\R&amp;D\2-Test oestrogénique\OECD and AOPs\REACTIV oecd interlaboratory validation\Results WF\Résultats CBA\2021-CHG-CBA-FADROZOLE HGC\plaque 2/@18 FADROZOLE 11/C6_01.tif </t>
  </si>
  <si>
    <t xml:space="preserve"> 4350.751 </t>
  </si>
  <si>
    <t xml:space="preserve"> 73.975 </t>
  </si>
  <si>
    <t xml:space="preserve">\\192.168.24.208\images\R&amp;D\2-Test oestrogénique\OECD and AOPs\REACTIV oecd interlaboratory validation\Results WF\Résultats CBA\2021-CHG-CBA-FADROZOLE HGC\plaque 2/@18 FADROZOLE 11/C6_02.tif </t>
  </si>
  <si>
    <t xml:space="preserve"> 74.7304 </t>
  </si>
  <si>
    <t xml:space="preserve">\\192.168.24.208\images\R&amp;D\2-Test oestrogénique\OECD and AOPs\REACTIV oecd interlaboratory validation\Results WF\Résultats CBA\2021-CHG-CBA-FADROZOLE HGC\plaque 2/@18 FADROZOLE 11/C6_03.tif </t>
  </si>
  <si>
    <t xml:space="preserve"> 4198.4747 </t>
  </si>
  <si>
    <t xml:space="preserve"> 73.3264 </t>
  </si>
  <si>
    <t xml:space="preserve">\\192.168.24.208\images\R&amp;D\2-Test oestrogénique\OECD and AOPs\REACTIV oecd interlaboratory validation\Results WF\Résultats CBA\2021-CHG-CBA-FADROZOLE HGC\plaque 2/@18 FADROZOLE 11/D6_01.tif </t>
  </si>
  <si>
    <t xml:space="preserve"> 2827.9882 </t>
  </si>
  <si>
    <t xml:space="preserve"> 66.3615 </t>
  </si>
  <si>
    <t xml:space="preserve">\\192.168.24.208\images\R&amp;D\2-Test oestrogénique\OECD and AOPs\REACTIV oecd interlaboratory validation\Results WF\Résultats CBA\2021-CHG-CBA-FADROZOLE HGC\plaque 2/@18 FADROZOLE 11/D6_02.tif </t>
  </si>
  <si>
    <t xml:space="preserve">\\192.168.24.208\images\R&amp;D\2-Test oestrogénique\OECD and AOPs\REACTIV oecd interlaboratory validation\Results WF\Résultats CBA\2021-CHG-CBA-FADROZOLE HGC\plaque 2/@18 FADROZOLE 11/D6_03.tif </t>
  </si>
  <si>
    <t xml:space="preserve"> 62.6957 </t>
  </si>
  <si>
    <t xml:space="preserve">\\192.168.24.208\images\R&amp;D\2-Test oestrogénique\OECD and AOPs\REACTIV oecd interlaboratory validation\Results WF\Résultats CBA\2021-CHG-CBA-FADROZOLE HGC\plaque 2/@18 FADROZOLE 11/E6_01.tif </t>
  </si>
  <si>
    <t xml:space="preserve"> 2675.7119 </t>
  </si>
  <si>
    <t xml:space="preserve"> 66.4309 </t>
  </si>
  <si>
    <t xml:space="preserve">\\192.168.24.208\images\R&amp;D\2-Test oestrogénique\OECD and AOPs\REACTIV oecd interlaboratory validation\Results WF\Résultats CBA\2021-CHG-CBA-FADROZOLE HGC\plaque 2/@18 FADROZOLE 11/E6_02.tif </t>
  </si>
  <si>
    <t xml:space="preserve"> 63.7879 </t>
  </si>
  <si>
    <t xml:space="preserve">\\192.168.24.208\images\R&amp;D\2-Test oestrogénique\OECD and AOPs\REACTIV oecd interlaboratory validation\Results WF\Résultats CBA\2021-CHG-CBA-FADROZOLE HGC\plaque 2/@18 FADROZOLE 11/E6_03.tif </t>
  </si>
  <si>
    <t xml:space="preserve">\\192.168.24.208\images\R&amp;D\2-Test oestrogénique\OECD and AOPs\REACTIV oecd interlaboratory validation\Results WF\Résultats CBA\2021-CHG-CBA-FADROZOLE HGC\plaque 2/@18 FADROZOLE 11/F6_01.tif </t>
  </si>
  <si>
    <t xml:space="preserve"> 3524.1083 </t>
  </si>
  <si>
    <t xml:space="preserve"> 65.4198 </t>
  </si>
  <si>
    <t xml:space="preserve">\\192.168.24.208\images\R&amp;D\2-Test oestrogénique\OECD and AOPs\REACTIV oecd interlaboratory validation\Results WF\Résultats CBA\2021-CHG-CBA-FADROZOLE HGC\plaque 2/@18 FADROZOLE 11/F6_02.tif </t>
  </si>
  <si>
    <t xml:space="preserve"> 65.0833 </t>
  </si>
  <si>
    <t xml:space="preserve">\\192.168.24.208\images\R&amp;D\2-Test oestrogénique\OECD and AOPs\REACTIV oecd interlaboratory validation\Results WF\Résultats CBA\2021-CHG-CBA-FADROZOLE HGC\plaque 2/@18 FADROZOLE 11/F6_03.tif </t>
  </si>
  <si>
    <t xml:space="preserve">\\192.168.24.208\images\R&amp;D\2-Test oestrogénique\OECD and AOPs\REACTIV oecd interlaboratory validation\Results WF\Résultats CBA\2021-CHG-CBA-FADROZOLE HGC\plaque 2/@18 FADROZOLE 11/G6_01.tif </t>
  </si>
  <si>
    <t xml:space="preserve"> 15553.9348 </t>
  </si>
  <si>
    <t xml:space="preserve"> 74.7231 </t>
  </si>
  <si>
    <t>\\192.168.24.208\images\R&amp;D\2-Test oestrogénique\OECD and AOPs\REACTIV oecd interlaboratory validation\Results WF\Résultats CBA\2021-CHG-CBA-FADROZOLE HGC\plaque 2/@18 FADROZOLE 11/G6_02- exclu.tif</t>
  </si>
  <si>
    <t>\\192.168.24.208\images\R&amp;D\2-Test oestrogénique\OECD and AOPs\REACTIV oecd interlaboratory validation\Results WF\Résultats CBA\2021-CHG-CBA-FADROZOLE HGC\plaque 2/@18 FADROZOLE 11/G6_03- exclu.tif</t>
  </si>
  <si>
    <t xml:space="preserve">\\192.168.24.208\images\R&amp;D\2-Test oestrogénique\OECD and AOPs\REACTIV oecd interlaboratory validation\Results WF\Résultats CBA\2021-CHG-CBA-FADROZOLE HGC\plaque 2/@18 FADROZOLE 11/H6_01.tif </t>
  </si>
  <si>
    <t xml:space="preserve"> 65.1892 </t>
  </si>
  <si>
    <t xml:space="preserve">\\192.168.24.208\images\R&amp;D\2-Test oestrogénique\OECD and AOPs\REACTIV oecd interlaboratory validation\Results WF\Résultats CBA\2021-CHG-CBA-FADROZOLE HGC\plaque 2/@18 FADROZOLE 11/H6_02.tif </t>
  </si>
  <si>
    <t xml:space="preserve">\\192.168.24.208\images\R&amp;D\2-Test oestrogénique\OECD and AOPs\REACTIV oecd interlaboratory validation\Results WF\Résultats CBA\2021-CHG-CBA-FADROZOLE HGC\plaque 2/@18 FADROZOLE 11/H6_03.tif </t>
  </si>
  <si>
    <t xml:space="preserve"> 1609.7779 </t>
  </si>
  <si>
    <t xml:space="preserve"> 64.2703 </t>
  </si>
  <si>
    <t xml:space="preserve">\\192.168.24.208\images\R&amp;D\2-Test oestrogénique\OECD and AOPs\REACTIV oecd interlaboratory validation\Results WF\Résultats CBA\2021-CHG-CBA-FADROZOLE HGC\plaque 2/@18 FADROZOLE 11/ </t>
  </si>
  <si>
    <t xml:space="preserve"> 68.4065 </t>
  </si>
  <si>
    <t xml:space="preserve"> 8.292 </t>
  </si>
  <si>
    <t xml:space="preserve"> 253284.417 </t>
  </si>
  <si>
    <t xml:space="preserve"> 343546.925 </t>
  </si>
  <si>
    <t xml:space="preserve">\\192.168.24.208\images\R&amp;D\2-Test oestrogénique\OECD and AOPs\REACTIV oecd interlaboratory validation\Results WF\Résultats CBA\2021-CHG-CBA-FADROZOLE HGC\plaque 2/@19 FADROZOLE 22/A7_01.tif </t>
  </si>
  <si>
    <t xml:space="preserve"> 8375.1957 </t>
  </si>
  <si>
    <t xml:space="preserve"> 82.1299 </t>
  </si>
  <si>
    <t xml:space="preserve">\\192.168.24.208\images\R&amp;D\2-Test oestrogénique\OECD and AOPs\REACTIV oecd interlaboratory validation\Results WF\Résultats CBA\2021-CHG-CBA-FADROZOLE HGC\plaque 2/@19 FADROZOLE 22/A7_02.tif </t>
  </si>
  <si>
    <t xml:space="preserve"> 3154.2945 </t>
  </si>
  <si>
    <t xml:space="preserve"> 66.2 </t>
  </si>
  <si>
    <t>\\192.168.24.208\images\R&amp;D\2-Test oestrogénique\OECD and AOPs\REACTIV oecd interlaboratory validation\Results WF\Résultats CBA\2021-CHG-CBA-FADROZOLE HGC\plaque 2/@19 FADROZOLE 22/A7_03- exclu.tif</t>
  </si>
  <si>
    <t>\\192.168.24.208\images\R&amp;D\2-Test oestrogénique\OECD and AOPs\REACTIV oecd interlaboratory validation\Results WF\Résultats CBA\2021-CHG-CBA-FADROZOLE HGC\plaque 2/@19 FADROZOLE 22/B7_01- exclu.tif</t>
  </si>
  <si>
    <t xml:space="preserve">\\192.168.24.208\images\R&amp;D\2-Test oestrogénique\OECD and AOPs\REACTIV oecd interlaboratory validation\Results WF\Résultats CBA\2021-CHG-CBA-FADROZOLE HGC\plaque 2/@19 FADROZOLE 22/B7_02.tif </t>
  </si>
  <si>
    <t xml:space="preserve"> 4416.0123 </t>
  </si>
  <si>
    <t xml:space="preserve"> 65.798 </t>
  </si>
  <si>
    <t xml:space="preserve">\\192.168.24.208\images\R&amp;D\2-Test oestrogénique\OECD and AOPs\REACTIV oecd interlaboratory validation\Results WF\Résultats CBA\2021-CHG-CBA-FADROZOLE HGC\plaque 2/@19 FADROZOLE 22/B7_03.tif </t>
  </si>
  <si>
    <t xml:space="preserve"> 66.6054 </t>
  </si>
  <si>
    <t xml:space="preserve">\\192.168.24.208\images\R&amp;D\2-Test oestrogénique\OECD and AOPs\REACTIV oecd interlaboratory validation\Results WF\Résultats CBA\2021-CHG-CBA-FADROZOLE HGC\plaque 2/@19 FADROZOLE 22/C7_01.tif </t>
  </si>
  <si>
    <t xml:space="preserve"> 63.0833 </t>
  </si>
  <si>
    <t xml:space="preserve">\\192.168.24.208\images\R&amp;D\2-Test oestrogénique\OECD and AOPs\REACTIV oecd interlaboratory validation\Results WF\Résultats CBA\2021-CHG-CBA-FADROZOLE HGC\plaque 2/@19 FADROZOLE 22/C7_02.tif </t>
  </si>
  <si>
    <t xml:space="preserve"> 66.2432 </t>
  </si>
  <si>
    <t xml:space="preserve">\\192.168.24.208\images\R&amp;D\2-Test oestrogénique\OECD and AOPs\REACTIV oecd interlaboratory validation\Results WF\Résultats CBA\2021-CHG-CBA-FADROZOLE HGC\plaque 2/@19 FADROZOLE 22/C7_03.tif </t>
  </si>
  <si>
    <t xml:space="preserve"> 435.0751 </t>
  </si>
  <si>
    <t xml:space="preserve"> 63.7 </t>
  </si>
  <si>
    <t xml:space="preserve">\\192.168.24.208\images\R&amp;D\2-Test oestrogénique\OECD and AOPs\REACTIV oecd interlaboratory validation\Results WF\Résultats CBA\2021-CHG-CBA-FADROZOLE HGC\plaque 2/@19 FADROZOLE 22/D7_01.tif </t>
  </si>
  <si>
    <t xml:space="preserve"> 6656.649 </t>
  </si>
  <si>
    <t xml:space="preserve"> 69.6569 </t>
  </si>
  <si>
    <t xml:space="preserve">\\192.168.24.208\images\R&amp;D\2-Test oestrogénique\OECD and AOPs\REACTIV oecd interlaboratory validation\Results WF\Résultats CBA\2021-CHG-CBA-FADROZOLE HGC\plaque 2/@19 FADROZOLE 22/D7_02.tif </t>
  </si>
  <si>
    <t xml:space="preserve"> 7200.4929 </t>
  </si>
  <si>
    <t xml:space="preserve"> 73.4955 </t>
  </si>
  <si>
    <t xml:space="preserve">\\192.168.24.208\images\R&amp;D\2-Test oestrogénique\OECD and AOPs\REACTIV oecd interlaboratory validation\Results WF\Résultats CBA\2021-CHG-CBA-FADROZOLE HGC\plaque 2/@19 FADROZOLE 22/D7_03.tif </t>
  </si>
  <si>
    <t xml:space="preserve"> 62.7083 </t>
  </si>
  <si>
    <t xml:space="preserve">\\192.168.24.208\images\R&amp;D\2-Test oestrogénique\OECD and AOPs\REACTIV oecd interlaboratory validation\Results WF\Résultats CBA\2021-CHG-CBA-FADROZOLE HGC\plaque 2/@19 FADROZOLE 22/E7_01.tif </t>
  </si>
  <si>
    <t xml:space="preserve"> 66.9333 </t>
  </si>
  <si>
    <t xml:space="preserve">\\192.168.24.208\images\R&amp;D\2-Test oestrogénique\OECD and AOPs\REACTIV oecd interlaboratory validation\Results WF\Résultats CBA\2021-CHG-CBA-FADROZOLE HGC\plaque 2/@19 FADROZOLE 22/E7_02.tif </t>
  </si>
  <si>
    <t xml:space="preserve">\\192.168.24.208\images\R&amp;D\2-Test oestrogénique\OECD and AOPs\REACTIV oecd interlaboratory validation\Results WF\Résultats CBA\2021-CHG-CBA-FADROZOLE HGC\plaque 2/@19 FADROZOLE 22/E7_03.tif </t>
  </si>
  <si>
    <t xml:space="preserve"> 63.3125 </t>
  </si>
  <si>
    <t xml:space="preserve">\\192.168.24.208\images\R&amp;D\2-Test oestrogénique\OECD and AOPs\REACTIV oecd interlaboratory validation\Results WF\Résultats CBA\2021-CHG-CBA-FADROZOLE HGC\plaque 2/@19 FADROZOLE 22/F7_01.tif </t>
  </si>
  <si>
    <t xml:space="preserve"> 64.2424 </t>
  </si>
  <si>
    <t xml:space="preserve">\\192.168.24.208\images\R&amp;D\2-Test oestrogénique\OECD and AOPs\REACTIV oecd interlaboratory validation\Results WF\Résultats CBA\2021-CHG-CBA-FADROZOLE HGC\plaque 2/@19 FADROZOLE 22/F7_02.tif </t>
  </si>
  <si>
    <t xml:space="preserve"> 609.1051 </t>
  </si>
  <si>
    <t xml:space="preserve">\\192.168.24.208\images\R&amp;D\2-Test oestrogénique\OECD and AOPs\REACTIV oecd interlaboratory validation\Results WF\Résultats CBA\2021-CHG-CBA-FADROZOLE HGC\plaque 2/@19 FADROZOLE 22/F7_03.tif </t>
  </si>
  <si>
    <t xml:space="preserve"> 65.2381 </t>
  </si>
  <si>
    <t xml:space="preserve">\\192.168.24.208\images\R&amp;D\2-Test oestrogénique\OECD and AOPs\REACTIV oecd interlaboratory validation\Results WF\Résultats CBA\2021-CHG-CBA-FADROZOLE HGC\plaque 2/@19 FADROZOLE 22/G7_01.tif </t>
  </si>
  <si>
    <t xml:space="preserve">\\192.168.24.208\images\R&amp;D\2-Test oestrogénique\OECD and AOPs\REACTIV oecd interlaboratory validation\Results WF\Résultats CBA\2021-CHG-CBA-FADROZOLE HGC\plaque 2/@19 FADROZOLE 22/G7_02.tif </t>
  </si>
  <si>
    <t xml:space="preserve"> 63.1481 </t>
  </si>
  <si>
    <t xml:space="preserve">\\192.168.24.208\images\R&amp;D\2-Test oestrogénique\OECD and AOPs\REACTIV oecd interlaboratory validation\Results WF\Résultats CBA\2021-CHG-CBA-FADROZOLE HGC\plaque 2/@19 FADROZOLE 22/G7_03.tif </t>
  </si>
  <si>
    <t xml:space="preserve">\\192.168.24.208\images\R&amp;D\2-Test oestrogénique\OECD and AOPs\REACTIV oecd interlaboratory validation\Results WF\Résultats CBA\2021-CHG-CBA-FADROZOLE HGC\plaque 2/@19 FADROZOLE 22/H7_01.tif </t>
  </si>
  <si>
    <t xml:space="preserve"> 5873.5139 </t>
  </si>
  <si>
    <t xml:space="preserve"> 75.2296 </t>
  </si>
  <si>
    <t xml:space="preserve">\\192.168.24.208\images\R&amp;D\2-Test oestrogénique\OECD and AOPs\REACTIV oecd interlaboratory validation\Results WF\Résultats CBA\2021-CHG-CBA-FADROZOLE HGC\plaque 2/@19 FADROZOLE 22/H7_02.tif </t>
  </si>
  <si>
    <t xml:space="preserve"> 70.8657 </t>
  </si>
  <si>
    <t xml:space="preserve">\\192.168.24.208\images\R&amp;D\2-Test oestrogénique\OECD and AOPs\REACTIV oecd interlaboratory validation\Results WF\Résultats CBA\2021-CHG-CBA-FADROZOLE HGC\plaque 2/@19 FADROZOLE 22/H7_03.tif </t>
  </si>
  <si>
    <t xml:space="preserve"> 63.2812 </t>
  </si>
  <si>
    <t xml:space="preserve">\\192.168.24.208\images\R&amp;D\2-Test oestrogénique\OECD and AOPs\REACTIV oecd interlaboratory validation\Results WF\Résultats CBA\2021-CHG-CBA-FADROZOLE HGC\plaque 2/@19 FADROZOLE 22/ </t>
  </si>
  <si>
    <t xml:space="preserve"> 66.9913 </t>
  </si>
  <si>
    <t xml:space="preserve"> 4.7297 </t>
  </si>
  <si>
    <t xml:space="preserve"> 171722.292 </t>
  </si>
  <si>
    <t xml:space="preserve"> 195128.971 </t>
  </si>
  <si>
    <t xml:space="preserve">\\192.168.24.208\images\R&amp;D\2-Test oestrogénique\OECD and AOPs\REACTIV oecd interlaboratory validation\Results WF\Résultats CBA\2021-CHG-CBA-FADROZOLE HGC\plaque 2/@20 FADROZOLE 44/A8_01.tif </t>
  </si>
  <si>
    <t xml:space="preserve"> 1675.0391 </t>
  </si>
  <si>
    <t xml:space="preserve"> 65.1948 </t>
  </si>
  <si>
    <t xml:space="preserve">\\192.168.24.208\images\R&amp;D\2-Test oestrogénique\OECD and AOPs\REACTIV oecd interlaboratory validation\Results WF\Résultats CBA\2021-CHG-CBA-FADROZOLE HGC\plaque 2/@20 FADROZOLE 44/A8_02.tif </t>
  </si>
  <si>
    <t xml:space="preserve"> 65.6995 </t>
  </si>
  <si>
    <t xml:space="preserve">\\192.168.24.208\images\R&amp;D\2-Test oestrogénique\OECD and AOPs\REACTIV oecd interlaboratory validation\Results WF\Résultats CBA\2021-CHG-CBA-FADROZOLE HGC\plaque 2/@20 FADROZOLE 44/A8_03.tif </t>
  </si>
  <si>
    <t>\\192.168.24.208\images\R&amp;D\2-Test oestrogénique\OECD and AOPs\REACTIV oecd interlaboratory validation\Results WF\Résultats CBA\2021-CHG-CBA-FADROZOLE HGC\plaque 2/@20 FADROZOLE 44/B8_01- exclu.tif</t>
  </si>
  <si>
    <t xml:space="preserve">\\192.168.24.208\images\R&amp;D\2-Test oestrogénique\OECD and AOPs\REACTIV oecd interlaboratory validation\Results WF\Résultats CBA\2021-CHG-CBA-FADROZOLE HGC\plaque 2/@20 FADROZOLE 44/B8_02.tif </t>
  </si>
  <si>
    <t xml:space="preserve"> 63.1154 </t>
  </si>
  <si>
    <t xml:space="preserve">\\192.168.24.208\images\R&amp;D\2-Test oestrogénique\OECD and AOPs\REACTIV oecd interlaboratory validation\Results WF\Résultats CBA\2021-CHG-CBA-FADROZOLE HGC\plaque 2/@20 FADROZOLE 44/B8_03.tif </t>
  </si>
  <si>
    <t xml:space="preserve"> 4067.9522 </t>
  </si>
  <si>
    <t xml:space="preserve"> 65.1497 </t>
  </si>
  <si>
    <t xml:space="preserve">\\192.168.24.208\images\R&amp;D\2-Test oestrogénique\OECD and AOPs\REACTIV oecd interlaboratory validation\Results WF\Résultats CBA\2021-CHG-CBA-FADROZOLE HGC\plaque 2/@20 FADROZOLE 44/C8_01.tif </t>
  </si>
  <si>
    <t xml:space="preserve"> 69.902 </t>
  </si>
  <si>
    <t xml:space="preserve">\\192.168.24.208\images\R&amp;D\2-Test oestrogénique\OECD and AOPs\REACTIV oecd interlaboratory validation\Results WF\Résultats CBA\2021-CHG-CBA-FADROZOLE HGC\plaque 2/@20 FADROZOLE 44/C8_02.tif </t>
  </si>
  <si>
    <t xml:space="preserve"> 63.4583 </t>
  </si>
  <si>
    <t xml:space="preserve">\\192.168.24.208\images\R&amp;D\2-Test oestrogénique\OECD and AOPs\REACTIV oecd interlaboratory validation\Results WF\Résultats CBA\2021-CHG-CBA-FADROZOLE HGC\plaque 2/@20 FADROZOLE 44/C8_03.tif </t>
  </si>
  <si>
    <t xml:space="preserve">\\192.168.24.208\images\R&amp;D\2-Test oestrogénique\OECD and AOPs\REACTIV oecd interlaboratory validation\Results WF\Résultats CBA\2021-CHG-CBA-FADROZOLE HGC\plaque 2/@20 FADROZOLE 44/D8_01.tif </t>
  </si>
  <si>
    <t xml:space="preserve"> 7069.9704 </t>
  </si>
  <si>
    <t xml:space="preserve"> 71.0585 </t>
  </si>
  <si>
    <t xml:space="preserve">\\192.168.24.208\images\R&amp;D\2-Test oestrogénique\OECD and AOPs\REACTIV oecd interlaboratory validation\Results WF\Résultats CBA\2021-CHG-CBA-FADROZOLE HGC\plaque 2/@20 FADROZOLE 44/D8_02.tif </t>
  </si>
  <si>
    <t xml:space="preserve"> 65.6429 </t>
  </si>
  <si>
    <t>\\192.168.24.208\images\R&amp;D\2-Test oestrogénique\OECD and AOPs\REACTIV oecd interlaboratory validation\Results WF\Résultats CBA\2021-CHG-CBA-FADROZOLE HGC\plaque 2/@20 FADROZOLE 44/D8_03- exclu.tif</t>
  </si>
  <si>
    <t xml:space="preserve">\\192.168.24.208\images\R&amp;D\2-Test oestrogénique\OECD and AOPs\REACTIV oecd interlaboratory validation\Results WF\Résultats CBA\2021-CHG-CBA-FADROZOLE HGC\plaque 2/@20 FADROZOLE 44/E8_01.tif </t>
  </si>
  <si>
    <t xml:space="preserve"> 65.4211 </t>
  </si>
  <si>
    <t xml:space="preserve">\\192.168.24.208\images\R&amp;D\2-Test oestrogénique\OECD and AOPs\REACTIV oecd interlaboratory validation\Results WF\Résultats CBA\2021-CHG-CBA-FADROZOLE HGC\plaque 2/@20 FADROZOLE 44/E8_02.tif </t>
  </si>
  <si>
    <t xml:space="preserve"> 64.7945 </t>
  </si>
  <si>
    <t xml:space="preserve">\\192.168.24.208\images\R&amp;D\2-Test oestrogénique\OECD and AOPs\REACTIV oecd interlaboratory validation\Results WF\Résultats CBA\2021-CHG-CBA-FADROZOLE HGC\plaque 2/@20 FADROZOLE 44/E8_03.tif </t>
  </si>
  <si>
    <t xml:space="preserve"> 63.434 </t>
  </si>
  <si>
    <t xml:space="preserve">\\192.168.24.208\images\R&amp;D\2-Test oestrogénique\OECD and AOPs\REACTIV oecd interlaboratory validation\Results WF\Résultats CBA\2021-CHG-CBA-FADROZOLE HGC\plaque 2/@20 FADROZOLE 44/F8_01.tif </t>
  </si>
  <si>
    <t xml:space="preserve"> 71.6767 </t>
  </si>
  <si>
    <t xml:space="preserve">\\192.168.24.208\images\R&amp;D\2-Test oestrogénique\OECD and AOPs\REACTIV oecd interlaboratory validation\Results WF\Résultats CBA\2021-CHG-CBA-FADROZOLE HGC\plaque 2/@20 FADROZOLE 44/F8_02.tif </t>
  </si>
  <si>
    <t xml:space="preserve"> 3806.9071 </t>
  </si>
  <si>
    <t xml:space="preserve"> 63.9886 </t>
  </si>
  <si>
    <t xml:space="preserve">\\192.168.24.208\images\R&amp;D\2-Test oestrogénique\OECD and AOPs\REACTIV oecd interlaboratory validation\Results WF\Résultats CBA\2021-CHG-CBA-FADROZOLE HGC\plaque 2/@20 FADROZOLE 44/F8_03.tif </t>
  </si>
  <si>
    <t xml:space="preserve"> 69.1471 </t>
  </si>
  <si>
    <t xml:space="preserve">\\192.168.24.208\images\R&amp;D\2-Test oestrogénique\OECD and AOPs\REACTIV oecd interlaboratory validation\Results WF\Résultats CBA\2021-CHG-CBA-FADROZOLE HGC\plaque 2/@20 FADROZOLE 44/G8_01.tif </t>
  </si>
  <si>
    <t xml:space="preserve"> 64.1143 </t>
  </si>
  <si>
    <t xml:space="preserve">\\192.168.24.208\images\R&amp;D\2-Test oestrogénique\OECD and AOPs\REACTIV oecd interlaboratory validation\Results WF\Résultats CBA\2021-CHG-CBA-FADROZOLE HGC\plaque 2/@20 FADROZOLE 44/G8_02.tif </t>
  </si>
  <si>
    <t xml:space="preserve"> 63.6905 </t>
  </si>
  <si>
    <t xml:space="preserve">\\192.168.24.208\images\R&amp;D\2-Test oestrogénique\OECD and AOPs\REACTIV oecd interlaboratory validation\Results WF\Résultats CBA\2021-CHG-CBA-FADROZOLE HGC\plaque 2/@20 FADROZOLE 44/G8_03.tif </t>
  </si>
  <si>
    <t xml:space="preserve">\\192.168.24.208\images\R&amp;D\2-Test oestrogénique\OECD and AOPs\REACTIV oecd interlaboratory validation\Results WF\Résultats CBA\2021-CHG-CBA-FADROZOLE HGC\plaque 2/@20 FADROZOLE 44/H8_01.tif </t>
  </si>
  <si>
    <t xml:space="preserve"> 62.0909 </t>
  </si>
  <si>
    <t xml:space="preserve">\\192.168.24.208\images\R&amp;D\2-Test oestrogénique\OECD and AOPs\REACTIV oecd interlaboratory validation\Results WF\Résultats CBA\2021-CHG-CBA-FADROZOLE HGC\plaque 2/@20 FADROZOLE 44/H8_02.tif </t>
  </si>
  <si>
    <t xml:space="preserve">\\192.168.24.208\images\R&amp;D\2-Test oestrogénique\OECD and AOPs\REACTIV oecd interlaboratory validation\Results WF\Résultats CBA\2021-CHG-CBA-FADROZOLE HGC\plaque 2/@20 FADROZOLE 44/H8_03.tif </t>
  </si>
  <si>
    <t xml:space="preserve"> 63.7391 </t>
  </si>
  <si>
    <t xml:space="preserve">\\192.168.24.208\images\R&amp;D\2-Test oestrogénique\OECD and AOPs\REACTIV oecd interlaboratory validation\Results WF\Résultats CBA\2021-CHG-CBA-FADROZOLE HGC\plaque 2/@20 FADROZOLE 44/ </t>
  </si>
  <si>
    <t xml:space="preserve"> 64.9791 </t>
  </si>
  <si>
    <t xml:space="preserve"> 2.7312 </t>
  </si>
  <si>
    <t xml:space="preserve"> 141078.542 </t>
  </si>
  <si>
    <t xml:space="preserve"> 155958.936 </t>
  </si>
  <si>
    <t xml:space="preserve">\\192.168.24.208\images\R&amp;D\2-Test oestrogénique\OECD and AOPs\REACTIV oecd interlaboratory validation\Results WF\Résultats CBA\2021-CHG-CBA-FADROZOLE HGC\plaque 2/@21 FADROZOLE 87/A9_01.tif </t>
  </si>
  <si>
    <t xml:space="preserve"> 63.9459 </t>
  </si>
  <si>
    <t xml:space="preserve">\\192.168.24.208\images\R&amp;D\2-Test oestrogénique\OECD and AOPs\REACTIV oecd interlaboratory validation\Results WF\Résultats CBA\2021-CHG-CBA-FADROZOLE HGC\plaque 2/@21 FADROZOLE 87/A9_02.tif </t>
  </si>
  <si>
    <t xml:space="preserve"> 6917.6941 </t>
  </si>
  <si>
    <t xml:space="preserve"> 70.0943 </t>
  </si>
  <si>
    <t xml:space="preserve">\\192.168.24.208\images\R&amp;D\2-Test oestrogénique\OECD and AOPs\REACTIV oecd interlaboratory validation\Results WF\Résultats CBA\2021-CHG-CBA-FADROZOLE HGC\plaque 2/@21 FADROZOLE 87/A9_03.tif </t>
  </si>
  <si>
    <t xml:space="preserve"> 63.4104 </t>
  </si>
  <si>
    <t xml:space="preserve">\\192.168.24.208\images\R&amp;D\2-Test oestrogénique\OECD and AOPs\REACTIV oecd interlaboratory validation\Results WF\Résultats CBA\2021-CHG-CBA-FADROZOLE HGC\plaque 2/@21 FADROZOLE 87/B9_01.tif </t>
  </si>
  <si>
    <t xml:space="preserve"> 4633.5498 </t>
  </si>
  <si>
    <t xml:space="preserve"> 69.8122 </t>
  </si>
  <si>
    <t xml:space="preserve">\\192.168.24.208\images\R&amp;D\2-Test oestrogénique\OECD and AOPs\REACTIV oecd interlaboratory validation\Results WF\Résultats CBA\2021-CHG-CBA-FADROZOLE HGC\plaque 2/@21 FADROZOLE 87/B9_02.tif </t>
  </si>
  <si>
    <t xml:space="preserve"> 68.8327 </t>
  </si>
  <si>
    <t xml:space="preserve">\\192.168.24.208\images\R&amp;D\2-Test oestrogénique\OECD and AOPs\REACTIV oecd interlaboratory validation\Results WF\Résultats CBA\2021-CHG-CBA-FADROZOLE HGC\plaque 2/@21 FADROZOLE 87/B9_03.tif </t>
  </si>
  <si>
    <t xml:space="preserve"> 63.3704 </t>
  </si>
  <si>
    <t xml:space="preserve">\\192.168.24.208\images\R&amp;D\2-Test oestrogénique\OECD and AOPs\REACTIV oecd interlaboratory validation\Results WF\Résultats CBA\2021-CHG-CBA-FADROZOLE HGC\plaque 2/@21 FADROZOLE 87/C9_01.tif </t>
  </si>
  <si>
    <t xml:space="preserve"> 9245.3459 </t>
  </si>
  <si>
    <t xml:space="preserve"> 85.8306 </t>
  </si>
  <si>
    <t xml:space="preserve">\\192.168.24.208\images\R&amp;D\2-Test oestrogénique\OECD and AOPs\REACTIV oecd interlaboratory validation\Results WF\Résultats CBA\2021-CHG-CBA-FADROZOLE HGC\plaque 2/@21 FADROZOLE 87/C9_02.tif </t>
  </si>
  <si>
    <t xml:space="preserve"> 11812.289 </t>
  </si>
  <si>
    <t xml:space="preserve"> 90.4346 </t>
  </si>
  <si>
    <t xml:space="preserve">\\192.168.24.208\images\R&amp;D\2-Test oestrogénique\OECD and AOPs\REACTIV oecd interlaboratory validation\Results WF\Résultats CBA\2021-CHG-CBA-FADROZOLE HGC\plaque 2/@21 FADROZOLE 87/C9_03.tif </t>
  </si>
  <si>
    <t xml:space="preserve"> 11181.4301 </t>
  </si>
  <si>
    <t xml:space="preserve"> 87.6537 </t>
  </si>
  <si>
    <t xml:space="preserve">\\192.168.24.208\images\R&amp;D\2-Test oestrogénique\OECD and AOPs\REACTIV oecd interlaboratory validation\Results WF\Résultats CBA\2021-CHG-CBA-FADROZOLE HGC\plaque 2/@21 FADROZOLE 87/D9_01.tif </t>
  </si>
  <si>
    <t xml:space="preserve"> 5547.2075 </t>
  </si>
  <si>
    <t xml:space="preserve"> 66.549 </t>
  </si>
  <si>
    <t xml:space="preserve">\\192.168.24.208\images\R&amp;D\2-Test oestrogénique\OECD and AOPs\REACTIV oecd interlaboratory validation\Results WF\Résultats CBA\2021-CHG-CBA-FADROZOLE HGC\plaque 2/@21 FADROZOLE 87/D9_02.tif </t>
  </si>
  <si>
    <t xml:space="preserve"> 5133.8862 </t>
  </si>
  <si>
    <t xml:space="preserve"> 68.3347 </t>
  </si>
  <si>
    <t xml:space="preserve">\\192.168.24.208\images\R&amp;D\2-Test oestrogénique\OECD and AOPs\REACTIV oecd interlaboratory validation\Results WF\Résultats CBA\2021-CHG-CBA-FADROZOLE HGC\plaque 2/@21 FADROZOLE 87/D9_03.tif </t>
  </si>
  <si>
    <t xml:space="preserve"> 1653.2854 </t>
  </si>
  <si>
    <t xml:space="preserve"> 63.7237 </t>
  </si>
  <si>
    <t xml:space="preserve">\\192.168.24.208\images\R&amp;D\2-Test oestrogénique\OECD and AOPs\REACTIV oecd interlaboratory validation\Results WF\Résultats CBA\2021-CHG-CBA-FADROZOLE HGC\plaque 2/@21 FADROZOLE 87/E9_01.tif </t>
  </si>
  <si>
    <t xml:space="preserve"> 3197.802 </t>
  </si>
  <si>
    <t xml:space="preserve">\\192.168.24.208\images\R&amp;D\2-Test oestrogénique\OECD and AOPs\REACTIV oecd interlaboratory validation\Results WF\Résultats CBA\2021-CHG-CBA-FADROZOLE HGC\plaque 2/@21 FADROZOLE 87/E9_02.tif </t>
  </si>
  <si>
    <t xml:space="preserve"> 6982.9554 </t>
  </si>
  <si>
    <t xml:space="preserve"> 69.5109 </t>
  </si>
  <si>
    <t xml:space="preserve">\\192.168.24.208\images\R&amp;D\2-Test oestrogénique\OECD and AOPs\REACTIV oecd interlaboratory validation\Results WF\Résultats CBA\2021-CHG-CBA-FADROZOLE HGC\plaque 2/@21 FADROZOLE 87/E9_03.tif </t>
  </si>
  <si>
    <t xml:space="preserve"> 5895.2676 </t>
  </si>
  <si>
    <t xml:space="preserve"> 68.3653 </t>
  </si>
  <si>
    <t xml:space="preserve">\\192.168.24.208\images\R&amp;D\2-Test oestrogénique\OECD and AOPs\REACTIV oecd interlaboratory validation\Results WF\Résultats CBA\2021-CHG-CBA-FADROZOLE HGC\plaque 2/@21 FADROZOLE 87/F9_01.tif </t>
  </si>
  <si>
    <t xml:space="preserve"> 64.2 </t>
  </si>
  <si>
    <t xml:space="preserve">\\192.168.24.208\images\R&amp;D\2-Test oestrogénique\OECD and AOPs\REACTIV oecd interlaboratory validation\Results WF\Résultats CBA\2021-CHG-CBA-FADROZOLE HGC\plaque 2/@21 FADROZOLE 87/F9_02.tif </t>
  </si>
  <si>
    <t xml:space="preserve"> 64.9167 </t>
  </si>
  <si>
    <t xml:space="preserve">\\192.168.24.208\images\R&amp;D\2-Test oestrogénique\OECD and AOPs\REACTIV oecd interlaboratory validation\Results WF\Résultats CBA\2021-CHG-CBA-FADROZOLE HGC\plaque 2/@21 FADROZOLE 87/F9_03.tif </t>
  </si>
  <si>
    <t xml:space="preserve"> 61.25 </t>
  </si>
  <si>
    <t xml:space="preserve">\\192.168.24.208\images\R&amp;D\2-Test oestrogénique\OECD and AOPs\REACTIV oecd interlaboratory validation\Results WF\Résultats CBA\2021-CHG-CBA-FADROZOLE HGC\plaque 2/@21 FADROZOLE 87/G9_01.tif </t>
  </si>
  <si>
    <t xml:space="preserve"> 66.082 </t>
  </si>
  <si>
    <t xml:space="preserve">\\192.168.24.208\images\R&amp;D\2-Test oestrogénique\OECD and AOPs\REACTIV oecd interlaboratory validation\Results WF\Résultats CBA\2021-CHG-CBA-FADROZOLE HGC\plaque 2/@21 FADROZOLE 87/G9_02.tif </t>
  </si>
  <si>
    <t xml:space="preserve"> 63.3103 </t>
  </si>
  <si>
    <t xml:space="preserve">\\192.168.24.208\images\R&amp;D\2-Test oestrogénique\OECD and AOPs\REACTIV oecd interlaboratory validation\Results WF\Résultats CBA\2021-CHG-CBA-FADROZOLE HGC\plaque 2/@21 FADROZOLE 87/G9_03.tif </t>
  </si>
  <si>
    <t xml:space="preserve"> 62.1905 </t>
  </si>
  <si>
    <t xml:space="preserve">\\192.168.24.208\images\R&amp;D\2-Test oestrogénique\OECD and AOPs\REACTIV oecd interlaboratory validation\Results WF\Résultats CBA\2021-CHG-CBA-FADROZOLE HGC\plaque 2/@21 FADROZOLE 87/H9_01.tif </t>
  </si>
  <si>
    <t xml:space="preserve"> 6787.1716 </t>
  </si>
  <si>
    <t xml:space="preserve"> 65.5545 </t>
  </si>
  <si>
    <t xml:space="preserve">\\192.168.24.208\images\R&amp;D\2-Test oestrogénique\OECD and AOPs\REACTIV oecd interlaboratory validation\Results WF\Résultats CBA\2021-CHG-CBA-FADROZOLE HGC\plaque 2/@21 FADROZOLE 87/H9_02.tif </t>
  </si>
  <si>
    <t xml:space="preserve"> 3350.0783 </t>
  </si>
  <si>
    <t xml:space="preserve"> 64.5455 </t>
  </si>
  <si>
    <t>\\192.168.24.208\images\R&amp;D\2-Test oestrogénique\OECD and AOPs\REACTIV oecd interlaboratory validation\Results WF\Résultats CBA\2021-CHG-CBA-FADROZOLE HGC\plaque 2/@21 FADROZOLE 87/H9_03- exclu.tif</t>
  </si>
  <si>
    <t xml:space="preserve">\\192.168.24.208\images\R&amp;D\2-Test oestrogénique\OECD and AOPs\REACTIV oecd interlaboratory validation\Results WF\Résultats CBA\2021-CHG-CBA-FADROZOLE HGC\plaque 2/@21 FADROZOLE 87/ </t>
  </si>
  <si>
    <t xml:space="preserve"> 68.4689 </t>
  </si>
  <si>
    <t xml:space="preserve"> 7.9773 </t>
  </si>
  <si>
    <t xml:space="preserve"> 304954.125 </t>
  </si>
  <si>
    <t xml:space="preserve"> 297052.964 </t>
  </si>
  <si>
    <t>01 TS</t>
  </si>
  <si>
    <t>02 EE2 34</t>
  </si>
  <si>
    <t>03 EE2 51</t>
  </si>
  <si>
    <t>06 EE2 171</t>
  </si>
  <si>
    <t>08 Fadrozole 5.4</t>
  </si>
  <si>
    <t>09  Fadrozole 11</t>
  </si>
  <si>
    <t>10  Fadrozole 22</t>
  </si>
  <si>
    <t>11  Fadrozole 44</t>
  </si>
  <si>
    <t>12  Fadrozole 87</t>
  </si>
  <si>
    <t>13 TESTO</t>
  </si>
  <si>
    <t>14 TESTO</t>
  </si>
  <si>
    <t>15 TESTO + EE2</t>
  </si>
  <si>
    <t>16 TESTO + FAD</t>
  </si>
  <si>
    <t>17 FADROZOLE 5.4</t>
  </si>
  <si>
    <t>18 FADROZOLE 11</t>
  </si>
  <si>
    <t>19 FADROZOLE 22</t>
  </si>
  <si>
    <t>20 FADROZOLE 44</t>
  </si>
  <si>
    <t>21 FADROZOLE 87</t>
  </si>
  <si>
    <t>ANOVA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</si>
</sst>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6"/>
      <name val="Arial"/>
      <family val="2"/>
    </font>
    <font>
      <sz val="9"/>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7">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3" fillId="14" borderId="46" xfId="0" applyNumberFormat="1" applyFont="1" applyFill="1" applyBorder="1" applyAlignment="1">
      <alignment horizontal="center" vertical="center"/>
    </xf>
    <xf numFmtId="0" fontId="0" fillId="0" borderId="0" xfId="0" applyNumberFormat="1" applyFont="1"/>
    <xf numFmtId="0" fontId="14" fillId="0" borderId="0" xfId="0" applyFont="1"/>
    <xf numFmtId="0" fontId="19"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xf numFmtId="0" fontId="20" fillId="0" borderId="0" xfId="0" applyFont="1"/>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BC63-4DCA-96A0-C1BF8DBE117A}"/>
              </c:ext>
            </c:extLst>
          </c:dPt>
          <c:dPt>
            <c:idx val="1"/>
            <c:invertIfNegative val="0"/>
            <c:bubble3D val="0"/>
            <c:spPr>
              <a:solidFill>
                <a:srgbClr val="FF0000"/>
              </a:solidFill>
            </c:spPr>
            <c:extLst>
              <c:ext xmlns:c16="http://schemas.microsoft.com/office/drawing/2014/chart" uri="{C3380CC4-5D6E-409C-BE32-E72D297353CC}">
                <c16:uniqueId val="{00000002-BC63-4DCA-96A0-C1BF8DBE117A}"/>
              </c:ext>
            </c:extLst>
          </c:dPt>
          <c:dPt>
            <c:idx val="2"/>
            <c:invertIfNegative val="0"/>
            <c:bubble3D val="0"/>
            <c:spPr>
              <a:solidFill>
                <a:srgbClr val="FF0000"/>
              </a:solidFill>
            </c:spPr>
            <c:extLst>
              <c:ext xmlns:c16="http://schemas.microsoft.com/office/drawing/2014/chart" uri="{C3380CC4-5D6E-409C-BE32-E72D297353CC}">
                <c16:uniqueId val="{00000003-BC63-4DCA-96A0-C1BF8DBE117A}"/>
              </c:ext>
            </c:extLst>
          </c:dPt>
          <c:dPt>
            <c:idx val="3"/>
            <c:invertIfNegative val="0"/>
            <c:bubble3D val="0"/>
            <c:spPr>
              <a:solidFill>
                <a:srgbClr val="FF0000"/>
              </a:solidFill>
            </c:spPr>
            <c:extLst>
              <c:ext xmlns:c16="http://schemas.microsoft.com/office/drawing/2014/chart" uri="{C3380CC4-5D6E-409C-BE32-E72D297353CC}">
                <c16:uniqueId val="{00000004-BC63-4DCA-96A0-C1BF8DBE117A}"/>
              </c:ext>
            </c:extLst>
          </c:dPt>
          <c:dPt>
            <c:idx val="4"/>
            <c:invertIfNegative val="0"/>
            <c:bubble3D val="0"/>
            <c:spPr>
              <a:solidFill>
                <a:srgbClr val="FF0000"/>
              </a:solidFill>
            </c:spPr>
            <c:extLst>
              <c:ext xmlns:c16="http://schemas.microsoft.com/office/drawing/2014/chart" uri="{C3380CC4-5D6E-409C-BE32-E72D297353CC}">
                <c16:uniqueId val="{00000005-BC63-4DCA-96A0-C1BF8DBE117A}"/>
              </c:ext>
            </c:extLst>
          </c:dPt>
          <c:dPt>
            <c:idx val="5"/>
            <c:invertIfNegative val="0"/>
            <c:bubble3D val="0"/>
            <c:spPr>
              <a:solidFill>
                <a:srgbClr val="FF0000"/>
              </a:solidFill>
            </c:spPr>
            <c:extLst>
              <c:ext xmlns:c16="http://schemas.microsoft.com/office/drawing/2014/chart" uri="{C3380CC4-5D6E-409C-BE32-E72D297353CC}">
                <c16:uniqueId val="{00000006-BC63-4DCA-96A0-C1BF8DBE117A}"/>
              </c:ext>
            </c:extLst>
          </c:dPt>
          <c:dPt>
            <c:idx val="6"/>
            <c:invertIfNegative val="0"/>
            <c:bubble3D val="0"/>
            <c:spPr>
              <a:solidFill>
                <a:srgbClr val="FF0000"/>
              </a:solidFill>
            </c:spPr>
            <c:extLst>
              <c:ext xmlns:c16="http://schemas.microsoft.com/office/drawing/2014/chart" uri="{C3380CC4-5D6E-409C-BE32-E72D297353CC}">
                <c16:uniqueId val="{00000007-BC63-4DCA-96A0-C1BF8DBE117A}"/>
              </c:ext>
            </c:extLst>
          </c:dPt>
          <c:dPt>
            <c:idx val="7"/>
            <c:invertIfNegative val="0"/>
            <c:bubble3D val="0"/>
            <c:spPr>
              <a:solidFill>
                <a:schemeClr val="bg1">
                  <a:lumMod val="65000"/>
                </a:schemeClr>
              </a:solidFill>
            </c:spPr>
            <c:extLst>
              <c:ext xmlns:c16="http://schemas.microsoft.com/office/drawing/2014/chart" uri="{C3380CC4-5D6E-409C-BE32-E72D297353CC}">
                <c16:uniqueId val="{00000008-BC63-4DCA-96A0-C1BF8DBE117A}"/>
              </c:ext>
            </c:extLst>
          </c:dPt>
          <c:dPt>
            <c:idx val="8"/>
            <c:invertIfNegative val="0"/>
            <c:bubble3D val="0"/>
            <c:spPr>
              <a:solidFill>
                <a:schemeClr val="bg1">
                  <a:lumMod val="65000"/>
                </a:schemeClr>
              </a:solidFill>
            </c:spPr>
            <c:extLst>
              <c:ext xmlns:c16="http://schemas.microsoft.com/office/drawing/2014/chart" uri="{C3380CC4-5D6E-409C-BE32-E72D297353CC}">
                <c16:uniqueId val="{00000009-BC63-4DCA-96A0-C1BF8DBE117A}"/>
              </c:ext>
            </c:extLst>
          </c:dPt>
          <c:dPt>
            <c:idx val="9"/>
            <c:invertIfNegative val="0"/>
            <c:bubble3D val="0"/>
            <c:spPr>
              <a:solidFill>
                <a:schemeClr val="bg1">
                  <a:lumMod val="65000"/>
                </a:schemeClr>
              </a:solidFill>
            </c:spPr>
            <c:extLst>
              <c:ext xmlns:c16="http://schemas.microsoft.com/office/drawing/2014/chart" uri="{C3380CC4-5D6E-409C-BE32-E72D297353CC}">
                <c16:uniqueId val="{0000000A-BC63-4DCA-96A0-C1BF8DBE117A}"/>
              </c:ext>
            </c:extLst>
          </c:dPt>
          <c:dPt>
            <c:idx val="10"/>
            <c:invertIfNegative val="0"/>
            <c:bubble3D val="0"/>
            <c:spPr>
              <a:solidFill>
                <a:schemeClr val="bg1">
                  <a:lumMod val="65000"/>
                </a:schemeClr>
              </a:solidFill>
            </c:spPr>
            <c:extLst>
              <c:ext xmlns:c16="http://schemas.microsoft.com/office/drawing/2014/chart" uri="{C3380CC4-5D6E-409C-BE32-E72D297353CC}">
                <c16:uniqueId val="{0000000B-BC63-4DCA-96A0-C1BF8DBE117A}"/>
              </c:ext>
            </c:extLst>
          </c:dPt>
          <c:dPt>
            <c:idx val="11"/>
            <c:invertIfNegative val="0"/>
            <c:bubble3D val="0"/>
            <c:spPr>
              <a:solidFill>
                <a:schemeClr val="bg1">
                  <a:lumMod val="65000"/>
                </a:schemeClr>
              </a:solidFill>
            </c:spPr>
            <c:extLst>
              <c:ext xmlns:c16="http://schemas.microsoft.com/office/drawing/2014/chart" uri="{C3380CC4-5D6E-409C-BE32-E72D297353CC}">
                <c16:uniqueId val="{0000000C-BC63-4DCA-96A0-C1BF8DBE117A}"/>
              </c:ext>
            </c:extLst>
          </c:dPt>
          <c:dPt>
            <c:idx val="14"/>
            <c:invertIfNegative val="0"/>
            <c:bubble3D val="0"/>
            <c:spPr>
              <a:solidFill>
                <a:srgbClr val="92D050"/>
              </a:solidFill>
            </c:spPr>
            <c:extLst>
              <c:ext xmlns:c16="http://schemas.microsoft.com/office/drawing/2014/chart" uri="{C3380CC4-5D6E-409C-BE32-E72D297353CC}">
                <c16:uniqueId val="{0000000D-BC63-4DCA-96A0-C1BF8DBE117A}"/>
              </c:ext>
            </c:extLst>
          </c:dPt>
          <c:dPt>
            <c:idx val="15"/>
            <c:invertIfNegative val="0"/>
            <c:bubble3D val="0"/>
            <c:spPr>
              <a:solidFill>
                <a:srgbClr val="92D050"/>
              </a:solidFill>
            </c:spPr>
            <c:extLst>
              <c:ext xmlns:c16="http://schemas.microsoft.com/office/drawing/2014/chart" uri="{C3380CC4-5D6E-409C-BE32-E72D297353CC}">
                <c16:uniqueId val="{0000000E-BC63-4DCA-96A0-C1BF8DBE117A}"/>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BC63-4DCA-96A0-C1BF8DBE117A}"/>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BC63-4DCA-96A0-C1BF8DBE117A}"/>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BC63-4DCA-96A0-C1BF8DBE117A}"/>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BC63-4DCA-96A0-C1BF8DBE117A}"/>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BC63-4DCA-96A0-C1BF8DBE117A}"/>
              </c:ext>
            </c:extLst>
          </c:dPt>
          <c:dLbls>
            <c:dLbl>
              <c:idx val="0"/>
              <c:tx>
                <c:rich>
                  <a:bodyPr/>
                  <a:lstStyle/>
                  <a:p>
                    <a:fld id="{5CF0245A-ADA5-4742-BF69-B8930B394C9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C63-4DCA-96A0-C1BF8DBE117A}"/>
                </c:ext>
              </c:extLst>
            </c:dLbl>
            <c:dLbl>
              <c:idx val="1"/>
              <c:tx>
                <c:rich>
                  <a:bodyPr/>
                  <a:lstStyle/>
                  <a:p>
                    <a:fld id="{B3111B5E-4EEF-4182-9306-7127575C926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C63-4DCA-96A0-C1BF8DBE117A}"/>
                </c:ext>
              </c:extLst>
            </c:dLbl>
            <c:dLbl>
              <c:idx val="2"/>
              <c:tx>
                <c:rich>
                  <a:bodyPr/>
                  <a:lstStyle/>
                  <a:p>
                    <a:fld id="{E4B70D34-5425-4171-97A3-5C307CD7444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C63-4DCA-96A0-C1BF8DBE117A}"/>
                </c:ext>
              </c:extLst>
            </c:dLbl>
            <c:dLbl>
              <c:idx val="3"/>
              <c:tx>
                <c:rich>
                  <a:bodyPr/>
                  <a:lstStyle/>
                  <a:p>
                    <a:fld id="{CAA42F0D-2542-48CF-9206-E1D832C525F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C63-4DCA-96A0-C1BF8DBE117A}"/>
                </c:ext>
              </c:extLst>
            </c:dLbl>
            <c:dLbl>
              <c:idx val="4"/>
              <c:tx>
                <c:rich>
                  <a:bodyPr/>
                  <a:lstStyle/>
                  <a:p>
                    <a:fld id="{6CBFDFF5-64D7-499F-97F1-68A91145B90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C63-4DCA-96A0-C1BF8DBE117A}"/>
                </c:ext>
              </c:extLst>
            </c:dLbl>
            <c:dLbl>
              <c:idx val="5"/>
              <c:tx>
                <c:rich>
                  <a:bodyPr/>
                  <a:lstStyle/>
                  <a:p>
                    <a:fld id="{3BA9A32A-EBCE-44E9-8E58-BC734D53DF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C63-4DCA-96A0-C1BF8DBE117A}"/>
                </c:ext>
              </c:extLst>
            </c:dLbl>
            <c:dLbl>
              <c:idx val="6"/>
              <c:tx>
                <c:rich>
                  <a:bodyPr/>
                  <a:lstStyle/>
                  <a:p>
                    <a:fld id="{922BBBC3-B5D1-4289-8F30-9E3470D13EE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C63-4DCA-96A0-C1BF8DBE117A}"/>
                </c:ext>
              </c:extLst>
            </c:dLbl>
            <c:dLbl>
              <c:idx val="7"/>
              <c:tx>
                <c:rich>
                  <a:bodyPr/>
                  <a:lstStyle/>
                  <a:p>
                    <a:fld id="{E242449F-7645-4048-BC57-71776CAC63F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C63-4DCA-96A0-C1BF8DBE117A}"/>
                </c:ext>
              </c:extLst>
            </c:dLbl>
            <c:dLbl>
              <c:idx val="8"/>
              <c:tx>
                <c:rich>
                  <a:bodyPr/>
                  <a:lstStyle/>
                  <a:p>
                    <a:fld id="{F7066E52-0BF3-4EE0-A2F4-CB23494EBB4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C63-4DCA-96A0-C1BF8DBE117A}"/>
                </c:ext>
              </c:extLst>
            </c:dLbl>
            <c:dLbl>
              <c:idx val="9"/>
              <c:tx>
                <c:rich>
                  <a:bodyPr/>
                  <a:lstStyle/>
                  <a:p>
                    <a:fld id="{27CD8ABC-6BC9-479D-9279-3EC45BD2F2E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C63-4DCA-96A0-C1BF8DBE117A}"/>
                </c:ext>
              </c:extLst>
            </c:dLbl>
            <c:dLbl>
              <c:idx val="10"/>
              <c:tx>
                <c:rich>
                  <a:bodyPr/>
                  <a:lstStyle/>
                  <a:p>
                    <a:fld id="{C5D4DC14-CA42-4583-BC23-6DF5EA86EE9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C63-4DCA-96A0-C1BF8DBE117A}"/>
                </c:ext>
              </c:extLst>
            </c:dLbl>
            <c:dLbl>
              <c:idx val="11"/>
              <c:tx>
                <c:rich>
                  <a:bodyPr/>
                  <a:lstStyle/>
                  <a:p>
                    <a:fld id="{3535CD68-D4D2-4954-9349-99C851D2DAF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C63-4DCA-96A0-C1BF8DBE117A}"/>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BC63-4DCA-96A0-C1BF8DBE117A}"/>
                </c:ext>
              </c:extLst>
            </c:dLbl>
            <c:dLbl>
              <c:idx val="13"/>
              <c:tx>
                <c:rich>
                  <a:bodyPr/>
                  <a:lstStyle/>
                  <a:p>
                    <a:fld id="{1C6E42B4-0BAC-497A-9BA8-25CDAD4B01C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C63-4DCA-96A0-C1BF8DBE117A}"/>
                </c:ext>
              </c:extLst>
            </c:dLbl>
            <c:dLbl>
              <c:idx val="14"/>
              <c:tx>
                <c:rich>
                  <a:bodyPr/>
                  <a:lstStyle/>
                  <a:p>
                    <a:fld id="{DF5CA23F-9900-4845-9151-F7BC045A363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C63-4DCA-96A0-C1BF8DBE117A}"/>
                </c:ext>
              </c:extLst>
            </c:dLbl>
            <c:dLbl>
              <c:idx val="15"/>
              <c:tx>
                <c:rich>
                  <a:bodyPr/>
                  <a:lstStyle/>
                  <a:p>
                    <a:fld id="{61E60001-7417-4F1C-B102-4EBC7C7CB40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C63-4DCA-96A0-C1BF8DBE117A}"/>
                </c:ext>
              </c:extLst>
            </c:dLbl>
            <c:dLbl>
              <c:idx val="16"/>
              <c:tx>
                <c:rich>
                  <a:bodyPr/>
                  <a:lstStyle/>
                  <a:p>
                    <a:fld id="{C2B79D02-AE89-45A2-A937-D5A099FED2F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C63-4DCA-96A0-C1BF8DBE117A}"/>
                </c:ext>
              </c:extLst>
            </c:dLbl>
            <c:dLbl>
              <c:idx val="17"/>
              <c:tx>
                <c:rich>
                  <a:bodyPr/>
                  <a:lstStyle/>
                  <a:p>
                    <a:fld id="{F60A1297-E5D5-47DA-9D49-7B6E1684FCC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C63-4DCA-96A0-C1BF8DBE117A}"/>
                </c:ext>
              </c:extLst>
            </c:dLbl>
            <c:dLbl>
              <c:idx val="18"/>
              <c:tx>
                <c:rich>
                  <a:bodyPr/>
                  <a:lstStyle/>
                  <a:p>
                    <a:fld id="{7C2A8A54-929D-4B51-90B4-B38BD6805D2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C63-4DCA-96A0-C1BF8DBE117A}"/>
                </c:ext>
              </c:extLst>
            </c:dLbl>
            <c:dLbl>
              <c:idx val="19"/>
              <c:tx>
                <c:rich>
                  <a:bodyPr/>
                  <a:lstStyle/>
                  <a:p>
                    <a:fld id="{C3BF5E14-D1D6-420F-A10F-28562E82B18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C63-4DCA-96A0-C1BF8DBE117A}"/>
                </c:ext>
              </c:extLst>
            </c:dLbl>
            <c:dLbl>
              <c:idx val="20"/>
              <c:tx>
                <c:rich>
                  <a:bodyPr/>
                  <a:lstStyle/>
                  <a:p>
                    <a:fld id="{37D13528-4924-45AA-BAF0-5B52A2F6A68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C63-4DCA-96A0-C1BF8DBE117A}"/>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4.4310763125399659E-2</c:v>
                  </c:pt>
                  <c:pt idx="1">
                    <c:v>3.4061957287477733E-2</c:v>
                  </c:pt>
                  <c:pt idx="2">
                    <c:v>5.7271465921781596E-2</c:v>
                  </c:pt>
                  <c:pt idx="3">
                    <c:v>0.25130245812812863</c:v>
                  </c:pt>
                  <c:pt idx="4">
                    <c:v>9.7446195167696731E-2</c:v>
                  </c:pt>
                  <c:pt idx="5">
                    <c:v>0.23919436604415414</c:v>
                  </c:pt>
                  <c:pt idx="6">
                    <c:v>0.24950929694250931</c:v>
                  </c:pt>
                  <c:pt idx="7">
                    <c:v>6.8453953672413317E-2</c:v>
                  </c:pt>
                  <c:pt idx="8">
                    <c:v>2.0679456743164962E-2</c:v>
                  </c:pt>
                  <c:pt idx="9">
                    <c:v>1.6959813555340913E-2</c:v>
                  </c:pt>
                  <c:pt idx="10">
                    <c:v>3.2228364131676089E-2</c:v>
                  </c:pt>
                  <c:pt idx="11">
                    <c:v>5.7196093253388758E-2</c:v>
                  </c:pt>
                  <c:pt idx="13">
                    <c:v>0.13890185807001362</c:v>
                  </c:pt>
                  <c:pt idx="14">
                    <c:v>0.20462209134944256</c:v>
                  </c:pt>
                  <c:pt idx="15">
                    <c:v>2.6012441140912751E-2</c:v>
                  </c:pt>
                  <c:pt idx="16">
                    <c:v>1.0508120881790869E-2</c:v>
                  </c:pt>
                  <c:pt idx="17">
                    <c:v>6.6530314715368605E-2</c:v>
                  </c:pt>
                  <c:pt idx="18">
                    <c:v>1.9118209101985115E-2</c:v>
                  </c:pt>
                  <c:pt idx="19">
                    <c:v>1.826425993019563E-2</c:v>
                  </c:pt>
                  <c:pt idx="20">
                    <c:v>1.0016272644118453E-2</c:v>
                  </c:pt>
                </c:numCache>
              </c:numRef>
            </c:plus>
            <c:minus>
              <c:numRef>
                <c:f>'R1'!$N$48:$V$48</c:f>
                <c:numCache>
                  <c:formatCode>General</c:formatCode>
                  <c:ptCount val="9"/>
                  <c:pt idx="0">
                    <c:v>0</c:v>
                  </c:pt>
                  <c:pt idx="1">
                    <c:v>0.13890185807001362</c:v>
                  </c:pt>
                  <c:pt idx="2">
                    <c:v>0.20462209134944256</c:v>
                  </c:pt>
                  <c:pt idx="3">
                    <c:v>2.6012441140912751E-2</c:v>
                  </c:pt>
                  <c:pt idx="4">
                    <c:v>1.0508120881790869E-2</c:v>
                  </c:pt>
                  <c:pt idx="5">
                    <c:v>6.6530314715368605E-2</c:v>
                  </c:pt>
                  <c:pt idx="6">
                    <c:v>1.9118209101985115E-2</c:v>
                  </c:pt>
                  <c:pt idx="7">
                    <c:v>1.826425993019563E-2</c:v>
                  </c:pt>
                  <c:pt idx="8">
                    <c:v>1.0016272644118453E-2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Fadrozole-5,4µg/L</c:v>
                </c:pt>
                <c:pt idx="8">
                  <c:v>Fadrozole-11µg/L</c:v>
                </c:pt>
                <c:pt idx="9">
                  <c:v>Fadrozole-22µg/L</c:v>
                </c:pt>
                <c:pt idx="10">
                  <c:v>Fadrozole-44µg/L</c:v>
                </c:pt>
                <c:pt idx="11">
                  <c:v>Fadrozole-87µg/L</c:v>
                </c:pt>
                <c:pt idx="13">
                  <c:v>Testo -30µg/L</c:v>
                </c:pt>
                <c:pt idx="14">
                  <c:v>Testo 30µg/L + EE2 -64ng/L</c:v>
                </c:pt>
                <c:pt idx="15">
                  <c:v>Testo 30µg/L + FAD-10µg/L</c:v>
                </c:pt>
                <c:pt idx="16">
                  <c:v>Fadrozole-5,4µg/L + Testostérone</c:v>
                </c:pt>
                <c:pt idx="17">
                  <c:v>Fadrozole-11µg/L + Testostérone</c:v>
                </c:pt>
                <c:pt idx="18">
                  <c:v>Fadrozole-22µg/L + Testostérone</c:v>
                </c:pt>
                <c:pt idx="19">
                  <c:v>Fadrozole-44µg/L + Testostérone</c:v>
                </c:pt>
                <c:pt idx="20">
                  <c:v>Fadrozole-87µg/L + Testostérone</c:v>
                </c:pt>
              </c:strCache>
            </c:strRef>
          </c:cat>
          <c:val>
            <c:numRef>
              <c:f>'R1'!$B$53:$V$53</c:f>
              <c:numCache>
                <c:formatCode>0.0000</c:formatCode>
                <c:ptCount val="21"/>
                <c:pt idx="0">
                  <c:v>0.10803423939957338</c:v>
                </c:pt>
                <c:pt idx="1">
                  <c:v>9.105554159832599E-2</c:v>
                </c:pt>
                <c:pt idx="2">
                  <c:v>0.10583190974668706</c:v>
                </c:pt>
                <c:pt idx="3">
                  <c:v>0.41411939407716375</c:v>
                </c:pt>
                <c:pt idx="4">
                  <c:v>0.60412729948829047</c:v>
                </c:pt>
                <c:pt idx="5">
                  <c:v>1.0429709404523049</c:v>
                </c:pt>
                <c:pt idx="6">
                  <c:v>1.9173527240907706</c:v>
                </c:pt>
                <c:pt idx="7">
                  <c:v>0.26933442498544774</c:v>
                </c:pt>
                <c:pt idx="8">
                  <c:v>7.5293182464640146E-2</c:v>
                </c:pt>
                <c:pt idx="9">
                  <c:v>7.3730735674437234E-2</c:v>
                </c:pt>
                <c:pt idx="10">
                  <c:v>0.12300069803618281</c:v>
                </c:pt>
                <c:pt idx="11">
                  <c:v>0.12154020478748288</c:v>
                </c:pt>
                <c:pt idx="13">
                  <c:v>0.99999999999999989</c:v>
                </c:pt>
                <c:pt idx="14">
                  <c:v>1.2488741206386857</c:v>
                </c:pt>
                <c:pt idx="15">
                  <c:v>9.3771693442498763E-2</c:v>
                </c:pt>
                <c:pt idx="16">
                  <c:v>4.5894432520485258E-2</c:v>
                </c:pt>
                <c:pt idx="17">
                  <c:v>0.1961468495464869</c:v>
                </c:pt>
                <c:pt idx="18">
                  <c:v>3.8449029968272395E-2</c:v>
                </c:pt>
                <c:pt idx="19">
                  <c:v>4.6829830529357366E-2</c:v>
                </c:pt>
                <c:pt idx="20">
                  <c:v>3.4349305332763522E-2</c:v>
                </c:pt>
              </c:numCache>
            </c:numRef>
          </c:val>
          <c:extLst>
            <c:ext xmlns:c15="http://schemas.microsoft.com/office/drawing/2012/chart" uri="{02D57815-91ED-43cb-92C2-25804820EDAC}">
              <c15:datalabelsRange>
                <c15:f>'R1'!$B$61:$V$61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NS</c:v>
                  </c:pt>
                  <c:pt idx="15">
                    <c:v>***</c:v>
                  </c:pt>
                  <c:pt idx="16">
                    <c:v>**</c:v>
                  </c:pt>
                  <c:pt idx="17">
                    <c:v>NS</c:v>
                  </c:pt>
                  <c:pt idx="18">
                    <c:v>***</c:v>
                  </c:pt>
                  <c:pt idx="19">
                    <c:v>***</c:v>
                  </c:pt>
                  <c:pt idx="20">
                    <c:v>***</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C4CB-4CF4-9CB3-12B04162F454}"/>
              </c:ext>
            </c:extLst>
          </c:dPt>
          <c:dPt>
            <c:idx val="1"/>
            <c:invertIfNegative val="0"/>
            <c:bubble3D val="0"/>
            <c:spPr>
              <a:solidFill>
                <a:srgbClr val="FF0000"/>
              </a:solidFill>
            </c:spPr>
            <c:extLst>
              <c:ext xmlns:c16="http://schemas.microsoft.com/office/drawing/2014/chart" uri="{C3380CC4-5D6E-409C-BE32-E72D297353CC}">
                <c16:uniqueId val="{00000018-C4CB-4CF4-9CB3-12B04162F454}"/>
              </c:ext>
            </c:extLst>
          </c:dPt>
          <c:dPt>
            <c:idx val="2"/>
            <c:invertIfNegative val="0"/>
            <c:bubble3D val="0"/>
            <c:spPr>
              <a:solidFill>
                <a:srgbClr val="FF0000"/>
              </a:solidFill>
            </c:spPr>
            <c:extLst>
              <c:ext xmlns:c16="http://schemas.microsoft.com/office/drawing/2014/chart" uri="{C3380CC4-5D6E-409C-BE32-E72D297353CC}">
                <c16:uniqueId val="{00000019-C4CB-4CF4-9CB3-12B04162F454}"/>
              </c:ext>
            </c:extLst>
          </c:dPt>
          <c:dPt>
            <c:idx val="3"/>
            <c:invertIfNegative val="0"/>
            <c:bubble3D val="0"/>
            <c:spPr>
              <a:solidFill>
                <a:srgbClr val="FF0000"/>
              </a:solidFill>
            </c:spPr>
            <c:extLst>
              <c:ext xmlns:c16="http://schemas.microsoft.com/office/drawing/2014/chart" uri="{C3380CC4-5D6E-409C-BE32-E72D297353CC}">
                <c16:uniqueId val="{0000001A-C4CB-4CF4-9CB3-12B04162F454}"/>
              </c:ext>
            </c:extLst>
          </c:dPt>
          <c:dPt>
            <c:idx val="4"/>
            <c:invertIfNegative val="0"/>
            <c:bubble3D val="0"/>
            <c:spPr>
              <a:solidFill>
                <a:srgbClr val="FF0000"/>
              </a:solidFill>
            </c:spPr>
            <c:extLst>
              <c:ext xmlns:c16="http://schemas.microsoft.com/office/drawing/2014/chart" uri="{C3380CC4-5D6E-409C-BE32-E72D297353CC}">
                <c16:uniqueId val="{0000001B-C4CB-4CF4-9CB3-12B04162F454}"/>
              </c:ext>
            </c:extLst>
          </c:dPt>
          <c:dPt>
            <c:idx val="5"/>
            <c:invertIfNegative val="0"/>
            <c:bubble3D val="0"/>
            <c:spPr>
              <a:solidFill>
                <a:srgbClr val="FF0000"/>
              </a:solidFill>
            </c:spPr>
            <c:extLst>
              <c:ext xmlns:c16="http://schemas.microsoft.com/office/drawing/2014/chart" uri="{C3380CC4-5D6E-409C-BE32-E72D297353CC}">
                <c16:uniqueId val="{0000001C-C4CB-4CF4-9CB3-12B04162F454}"/>
              </c:ext>
            </c:extLst>
          </c:dPt>
          <c:dPt>
            <c:idx val="6"/>
            <c:invertIfNegative val="0"/>
            <c:bubble3D val="0"/>
            <c:spPr>
              <a:solidFill>
                <a:srgbClr val="FF0000"/>
              </a:solidFill>
            </c:spPr>
            <c:extLst>
              <c:ext xmlns:c16="http://schemas.microsoft.com/office/drawing/2014/chart" uri="{C3380CC4-5D6E-409C-BE32-E72D297353CC}">
                <c16:uniqueId val="{0000001D-C4CB-4CF4-9CB3-12B04162F454}"/>
              </c:ext>
            </c:extLst>
          </c:dPt>
          <c:dPt>
            <c:idx val="7"/>
            <c:invertIfNegative val="0"/>
            <c:bubble3D val="0"/>
            <c:spPr>
              <a:solidFill>
                <a:schemeClr val="bg1">
                  <a:lumMod val="65000"/>
                </a:schemeClr>
              </a:solidFill>
            </c:spPr>
            <c:extLst>
              <c:ext xmlns:c16="http://schemas.microsoft.com/office/drawing/2014/chart" uri="{C3380CC4-5D6E-409C-BE32-E72D297353CC}">
                <c16:uniqueId val="{0000001E-C4CB-4CF4-9CB3-12B04162F454}"/>
              </c:ext>
            </c:extLst>
          </c:dPt>
          <c:dPt>
            <c:idx val="8"/>
            <c:invertIfNegative val="0"/>
            <c:bubble3D val="0"/>
            <c:spPr>
              <a:solidFill>
                <a:schemeClr val="bg1">
                  <a:lumMod val="65000"/>
                </a:schemeClr>
              </a:solidFill>
            </c:spPr>
            <c:extLst>
              <c:ext xmlns:c16="http://schemas.microsoft.com/office/drawing/2014/chart" uri="{C3380CC4-5D6E-409C-BE32-E72D297353CC}">
                <c16:uniqueId val="{0000001F-C4CB-4CF4-9CB3-12B04162F454}"/>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C4CB-4CF4-9CB3-12B04162F454}"/>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C4CB-4CF4-9CB3-12B04162F454}"/>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C4CB-4CF4-9CB3-12B04162F45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C4CB-4CF4-9CB3-12B04162F45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C4CB-4CF4-9CB3-12B04162F45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6-C4CB-4CF4-9CB3-12B04162F45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5-C4CB-4CF4-9CB3-12B04162F454}"/>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7FC84EC1-8F82-4AA1-B86F-4947FB17E6D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C4CB-4CF4-9CB3-12B04162F454}"/>
                </c:ext>
              </c:extLst>
            </c:dLbl>
            <c:dLbl>
              <c:idx val="1"/>
              <c:tx>
                <c:rich>
                  <a:bodyPr/>
                  <a:lstStyle/>
                  <a:p>
                    <a:fld id="{EC7CA162-0646-4F86-8490-34CAA21796A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4CB-4CF4-9CB3-12B04162F454}"/>
                </c:ext>
              </c:extLst>
            </c:dLbl>
            <c:dLbl>
              <c:idx val="2"/>
              <c:tx>
                <c:rich>
                  <a:bodyPr/>
                  <a:lstStyle/>
                  <a:p>
                    <a:fld id="{C0C75FA4-4701-4A0D-8311-731F48AEBA8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4CB-4CF4-9CB3-12B04162F454}"/>
                </c:ext>
              </c:extLst>
            </c:dLbl>
            <c:dLbl>
              <c:idx val="3"/>
              <c:tx>
                <c:rich>
                  <a:bodyPr/>
                  <a:lstStyle/>
                  <a:p>
                    <a:fld id="{0CC3DED5-9E53-4637-B10F-F746BDCFEF3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4CB-4CF4-9CB3-12B04162F454}"/>
                </c:ext>
              </c:extLst>
            </c:dLbl>
            <c:dLbl>
              <c:idx val="4"/>
              <c:tx>
                <c:rich>
                  <a:bodyPr/>
                  <a:lstStyle/>
                  <a:p>
                    <a:fld id="{1A519F79-86E2-4A00-AB80-F4573C7EB77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4CB-4CF4-9CB3-12B04162F454}"/>
                </c:ext>
              </c:extLst>
            </c:dLbl>
            <c:dLbl>
              <c:idx val="5"/>
              <c:tx>
                <c:rich>
                  <a:bodyPr/>
                  <a:lstStyle/>
                  <a:p>
                    <a:fld id="{C668B39F-8F17-4090-9BA3-A01A8E69A42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4CB-4CF4-9CB3-12B04162F454}"/>
                </c:ext>
              </c:extLst>
            </c:dLbl>
            <c:dLbl>
              <c:idx val="6"/>
              <c:tx>
                <c:rich>
                  <a:bodyPr/>
                  <a:lstStyle/>
                  <a:p>
                    <a:fld id="{17485053-7067-4CC2-ABF2-144C7F39287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4CB-4CF4-9CB3-12B04162F454}"/>
                </c:ext>
              </c:extLst>
            </c:dLbl>
            <c:dLbl>
              <c:idx val="7"/>
              <c:tx>
                <c:rich>
                  <a:bodyPr/>
                  <a:lstStyle/>
                  <a:p>
                    <a:fld id="{E73FCD2F-BA62-4C66-9B27-D92FBD2D530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4CB-4CF4-9CB3-12B04162F454}"/>
                </c:ext>
              </c:extLst>
            </c:dLbl>
            <c:dLbl>
              <c:idx val="8"/>
              <c:tx>
                <c:rich>
                  <a:bodyPr/>
                  <a:lstStyle/>
                  <a:p>
                    <a:fld id="{DCB74385-50A2-4703-8F5C-72F5E5E2773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4CB-4CF4-9CB3-12B04162F454}"/>
                </c:ext>
              </c:extLst>
            </c:dLbl>
            <c:dLbl>
              <c:idx val="9"/>
              <c:tx>
                <c:rich>
                  <a:bodyPr/>
                  <a:lstStyle/>
                  <a:p>
                    <a:fld id="{1924433D-29BF-4CB9-981D-CAA3A551E31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83ED7D8B-E05E-48F9-AAF3-E18C3851920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4CB-4CF4-9CB3-12B04162F454}"/>
                </c:ext>
              </c:extLst>
            </c:dLbl>
            <c:dLbl>
              <c:idx val="11"/>
              <c:tx>
                <c:rich>
                  <a:bodyPr/>
                  <a:lstStyle/>
                  <a:p>
                    <a:fld id="{C56D0158-F8FD-4C1E-83D0-D39EA4AD557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C4CB-4CF4-9CB3-12B04162F454}"/>
                </c:ext>
              </c:extLst>
            </c:dLbl>
            <c:dLbl>
              <c:idx val="13"/>
              <c:tx>
                <c:rich>
                  <a:bodyPr/>
                  <a:lstStyle/>
                  <a:p>
                    <a:fld id="{B7FD5F07-E5C0-47E6-8B03-B4F8012CD55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FD461AD0-8136-48BD-AD86-DABDD484CC6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4CB-4CF4-9CB3-12B04162F454}"/>
                </c:ext>
              </c:extLst>
            </c:dLbl>
            <c:dLbl>
              <c:idx val="15"/>
              <c:tx>
                <c:rich>
                  <a:bodyPr/>
                  <a:lstStyle/>
                  <a:p>
                    <a:fld id="{1FEC839F-3824-4296-ACEC-BE139811E21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819F913D-1C98-40E1-8123-A16150D6096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4CB-4CF4-9CB3-12B04162F454}"/>
                </c:ext>
              </c:extLst>
            </c:dLbl>
            <c:dLbl>
              <c:idx val="17"/>
              <c:tx>
                <c:rich>
                  <a:bodyPr/>
                  <a:lstStyle/>
                  <a:p>
                    <a:fld id="{19ED3B26-DC46-4032-93F5-7E9D5E66321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4CB-4CF4-9CB3-12B04162F454}"/>
                </c:ext>
              </c:extLst>
            </c:dLbl>
            <c:dLbl>
              <c:idx val="18"/>
              <c:tx>
                <c:rich>
                  <a:bodyPr/>
                  <a:lstStyle/>
                  <a:p>
                    <a:fld id="{874C955A-2792-4804-9C82-8A4C3E5B0EB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4CB-4CF4-9CB3-12B04162F454}"/>
                </c:ext>
              </c:extLst>
            </c:dLbl>
            <c:dLbl>
              <c:idx val="19"/>
              <c:tx>
                <c:rich>
                  <a:bodyPr/>
                  <a:lstStyle/>
                  <a:p>
                    <a:fld id="{CD0C2BD8-15A4-449B-B7B6-85F9C95AFEC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C4CB-4CF4-9CB3-12B04162F454}"/>
                </c:ext>
              </c:extLst>
            </c:dLbl>
            <c:dLbl>
              <c:idx val="20"/>
              <c:tx>
                <c:rich>
                  <a:bodyPr/>
                  <a:lstStyle/>
                  <a:p>
                    <a:fld id="{752B6772-6B64-4650-A8FB-A6ACB9CC325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4CB-4CF4-9CB3-12B04162F454}"/>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0.13383645909446515</c:v>
                  </c:pt>
                  <c:pt idx="1">
                    <c:v>3.2447841625469806E-2</c:v>
                  </c:pt>
                  <c:pt idx="2">
                    <c:v>1.78809419265453E-2</c:v>
                  </c:pt>
                  <c:pt idx="3">
                    <c:v>2.6943966957597265E-2</c:v>
                  </c:pt>
                  <c:pt idx="4">
                    <c:v>0.11546777693891312</c:v>
                  </c:pt>
                  <c:pt idx="5">
                    <c:v>0.14762750887406717</c:v>
                  </c:pt>
                  <c:pt idx="6">
                    <c:v>0.18507730626288882</c:v>
                  </c:pt>
                  <c:pt idx="7">
                    <c:v>2.2706240212699368E-2</c:v>
                  </c:pt>
                  <c:pt idx="8">
                    <c:v>2.7940801416693577E-2</c:v>
                  </c:pt>
                  <c:pt idx="9">
                    <c:v>1.5604463811950383E-2</c:v>
                  </c:pt>
                  <c:pt idx="10">
                    <c:v>3.2252533868031293E-2</c:v>
                  </c:pt>
                  <c:pt idx="11">
                    <c:v>3.1911656010182268E-2</c:v>
                  </c:pt>
                  <c:pt idx="13">
                    <c:v>0.15427855586367617</c:v>
                  </c:pt>
                  <c:pt idx="14">
                    <c:v>0.21242785370704706</c:v>
                  </c:pt>
                  <c:pt idx="15">
                    <c:v>2.2052033111241244E-2</c:v>
                  </c:pt>
                  <c:pt idx="16">
                    <c:v>4.1051837636837493E-2</c:v>
                  </c:pt>
                  <c:pt idx="17">
                    <c:v>3.5368374697698039E-2</c:v>
                  </c:pt>
                  <c:pt idx="18">
                    <c:v>1.1581957676367821E-2</c:v>
                  </c:pt>
                  <c:pt idx="19">
                    <c:v>4.5020910712641341E-3</c:v>
                  </c:pt>
                  <c:pt idx="20">
                    <c:v>1.8814464839808816E-2</c:v>
                  </c:pt>
                </c:numCache>
              </c:numRef>
            </c:plus>
            <c:minus>
              <c:numRef>
                <c:f>'R1'!$N$48:$V$48</c:f>
                <c:numCache>
                  <c:formatCode>General</c:formatCode>
                  <c:ptCount val="9"/>
                  <c:pt idx="0">
                    <c:v>0</c:v>
                  </c:pt>
                  <c:pt idx="1">
                    <c:v>0.13890185807001362</c:v>
                  </c:pt>
                  <c:pt idx="2">
                    <c:v>0.20462209134944256</c:v>
                  </c:pt>
                  <c:pt idx="3">
                    <c:v>2.6012441140912751E-2</c:v>
                  </c:pt>
                  <c:pt idx="4">
                    <c:v>1.0508120881790869E-2</c:v>
                  </c:pt>
                  <c:pt idx="5">
                    <c:v>6.6530314715368605E-2</c:v>
                  </c:pt>
                  <c:pt idx="6">
                    <c:v>1.9118209101985115E-2</c:v>
                  </c:pt>
                  <c:pt idx="7">
                    <c:v>1.826425993019563E-2</c:v>
                  </c:pt>
                  <c:pt idx="8">
                    <c:v>1.0016272644118453E-2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Fadrozole-5,4µg/L</c:v>
                </c:pt>
                <c:pt idx="8">
                  <c:v>Fadrozole-11µg/L</c:v>
                </c:pt>
                <c:pt idx="9">
                  <c:v>Fadrozole-22µg/L</c:v>
                </c:pt>
                <c:pt idx="10">
                  <c:v>Fadrozole-44µg/L</c:v>
                </c:pt>
                <c:pt idx="11">
                  <c:v>Fadrozole-87µg/L</c:v>
                </c:pt>
                <c:pt idx="13">
                  <c:v>Testo -30µg/L</c:v>
                </c:pt>
                <c:pt idx="14">
                  <c:v>Testo 30µg/L + EE2 -64ng/L</c:v>
                </c:pt>
                <c:pt idx="15">
                  <c:v>Testo 30µg/L + FAD-10µg/L</c:v>
                </c:pt>
                <c:pt idx="16">
                  <c:v>Fadrozole-5,4µg/L + Testostérone</c:v>
                </c:pt>
                <c:pt idx="17">
                  <c:v>Fadrozole-11µg/L + Testostérone</c:v>
                </c:pt>
                <c:pt idx="18">
                  <c:v>Fadrozole-22µg/L + Testostérone</c:v>
                </c:pt>
                <c:pt idx="19">
                  <c:v>Fadrozole-44µg/L + Testostérone</c:v>
                </c:pt>
                <c:pt idx="20">
                  <c:v>Fadrozole-87µg/L + Testostérone</c:v>
                </c:pt>
              </c:strCache>
            </c:strRef>
          </c:cat>
          <c:val>
            <c:numRef>
              <c:f>'R2'!$B$53:$V$53</c:f>
              <c:numCache>
                <c:formatCode>0.0000</c:formatCode>
                <c:ptCount val="21"/>
                <c:pt idx="0">
                  <c:v>0.23144340443818567</c:v>
                </c:pt>
                <c:pt idx="1">
                  <c:v>0.14285458254065048</c:v>
                </c:pt>
                <c:pt idx="2">
                  <c:v>6.5267572879980904E-2</c:v>
                </c:pt>
                <c:pt idx="3">
                  <c:v>0.12767187392208171</c:v>
                </c:pt>
                <c:pt idx="4">
                  <c:v>0.41432047514143383</c:v>
                </c:pt>
                <c:pt idx="5">
                  <c:v>0.8337146615852441</c:v>
                </c:pt>
                <c:pt idx="6">
                  <c:v>1.6754143569522408</c:v>
                </c:pt>
                <c:pt idx="7">
                  <c:v>6.5926934930399264E-2</c:v>
                </c:pt>
                <c:pt idx="8">
                  <c:v>8.8724194282174512E-2</c:v>
                </c:pt>
                <c:pt idx="9">
                  <c:v>6.4117329912937823E-2</c:v>
                </c:pt>
                <c:pt idx="10">
                  <c:v>0.12298433550102224</c:v>
                </c:pt>
                <c:pt idx="11">
                  <c:v>0.10551442988027487</c:v>
                </c:pt>
                <c:pt idx="13">
                  <c:v>0.99999999999999989</c:v>
                </c:pt>
                <c:pt idx="14">
                  <c:v>1.172352509064827</c:v>
                </c:pt>
                <c:pt idx="15">
                  <c:v>5.5479680044291553E-2</c:v>
                </c:pt>
                <c:pt idx="16">
                  <c:v>0.11276558547860817</c:v>
                </c:pt>
                <c:pt idx="17">
                  <c:v>0.10629415959116201</c:v>
                </c:pt>
                <c:pt idx="18">
                  <c:v>2.574710861728223E-2</c:v>
                </c:pt>
                <c:pt idx="19">
                  <c:v>3.4211701503331943E-2</c:v>
                </c:pt>
                <c:pt idx="20">
                  <c:v>4.9283769311937099E-2</c:v>
                </c:pt>
              </c:numCache>
            </c:numRef>
          </c:val>
          <c:extLst>
            <c:ext xmlns:c15="http://schemas.microsoft.com/office/drawing/2012/chart" uri="{02D57815-91ED-43cb-92C2-25804820EDAC}">
              <c15:datalabelsRange>
                <c15:f>'R2'!$B$61:$V$61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NS</c:v>
                  </c:pt>
                  <c:pt idx="15">
                    <c:v>***</c:v>
                  </c:pt>
                  <c:pt idx="16">
                    <c:v>*</c:v>
                  </c:pt>
                  <c:pt idx="17">
                    <c:v>*</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0E7E-49F3-9EA3-90EEA9EA0F4B}"/>
              </c:ext>
            </c:extLst>
          </c:dPt>
          <c:dPt>
            <c:idx val="1"/>
            <c:invertIfNegative val="0"/>
            <c:bubble3D val="0"/>
            <c:spPr>
              <a:solidFill>
                <a:srgbClr val="FF0000"/>
              </a:solidFill>
            </c:spPr>
            <c:extLst>
              <c:ext xmlns:c16="http://schemas.microsoft.com/office/drawing/2014/chart" uri="{C3380CC4-5D6E-409C-BE32-E72D297353CC}">
                <c16:uniqueId val="{00000018-0E7E-49F3-9EA3-90EEA9EA0F4B}"/>
              </c:ext>
            </c:extLst>
          </c:dPt>
          <c:dPt>
            <c:idx val="2"/>
            <c:invertIfNegative val="0"/>
            <c:bubble3D val="0"/>
            <c:spPr>
              <a:solidFill>
                <a:srgbClr val="FF0000"/>
              </a:solidFill>
            </c:spPr>
            <c:extLst>
              <c:ext xmlns:c16="http://schemas.microsoft.com/office/drawing/2014/chart" uri="{C3380CC4-5D6E-409C-BE32-E72D297353CC}">
                <c16:uniqueId val="{00000019-0E7E-49F3-9EA3-90EEA9EA0F4B}"/>
              </c:ext>
            </c:extLst>
          </c:dPt>
          <c:dPt>
            <c:idx val="3"/>
            <c:invertIfNegative val="0"/>
            <c:bubble3D val="0"/>
            <c:spPr>
              <a:solidFill>
                <a:srgbClr val="FF0000"/>
              </a:solidFill>
            </c:spPr>
            <c:extLst>
              <c:ext xmlns:c16="http://schemas.microsoft.com/office/drawing/2014/chart" uri="{C3380CC4-5D6E-409C-BE32-E72D297353CC}">
                <c16:uniqueId val="{0000001A-0E7E-49F3-9EA3-90EEA9EA0F4B}"/>
              </c:ext>
            </c:extLst>
          </c:dPt>
          <c:dPt>
            <c:idx val="4"/>
            <c:invertIfNegative val="0"/>
            <c:bubble3D val="0"/>
            <c:spPr>
              <a:solidFill>
                <a:srgbClr val="FF0000"/>
              </a:solidFill>
            </c:spPr>
            <c:extLst>
              <c:ext xmlns:c16="http://schemas.microsoft.com/office/drawing/2014/chart" uri="{C3380CC4-5D6E-409C-BE32-E72D297353CC}">
                <c16:uniqueId val="{0000001B-0E7E-49F3-9EA3-90EEA9EA0F4B}"/>
              </c:ext>
            </c:extLst>
          </c:dPt>
          <c:dPt>
            <c:idx val="5"/>
            <c:invertIfNegative val="0"/>
            <c:bubble3D val="0"/>
            <c:spPr>
              <a:solidFill>
                <a:srgbClr val="FF0000"/>
              </a:solidFill>
            </c:spPr>
            <c:extLst>
              <c:ext xmlns:c16="http://schemas.microsoft.com/office/drawing/2014/chart" uri="{C3380CC4-5D6E-409C-BE32-E72D297353CC}">
                <c16:uniqueId val="{0000001C-0E7E-49F3-9EA3-90EEA9EA0F4B}"/>
              </c:ext>
            </c:extLst>
          </c:dPt>
          <c:dPt>
            <c:idx val="6"/>
            <c:invertIfNegative val="0"/>
            <c:bubble3D val="0"/>
            <c:spPr>
              <a:solidFill>
                <a:srgbClr val="FF0000"/>
              </a:solidFill>
            </c:spPr>
            <c:extLst>
              <c:ext xmlns:c16="http://schemas.microsoft.com/office/drawing/2014/chart" uri="{C3380CC4-5D6E-409C-BE32-E72D297353CC}">
                <c16:uniqueId val="{0000001D-0E7E-49F3-9EA3-90EEA9EA0F4B}"/>
              </c:ext>
            </c:extLst>
          </c:dPt>
          <c:dPt>
            <c:idx val="7"/>
            <c:invertIfNegative val="0"/>
            <c:bubble3D val="0"/>
            <c:spPr>
              <a:solidFill>
                <a:schemeClr val="bg1">
                  <a:lumMod val="65000"/>
                </a:schemeClr>
              </a:solidFill>
            </c:spPr>
            <c:extLst>
              <c:ext xmlns:c16="http://schemas.microsoft.com/office/drawing/2014/chart" uri="{C3380CC4-5D6E-409C-BE32-E72D297353CC}">
                <c16:uniqueId val="{0000001E-0E7E-49F3-9EA3-90EEA9EA0F4B}"/>
              </c:ext>
            </c:extLst>
          </c:dPt>
          <c:dPt>
            <c:idx val="8"/>
            <c:invertIfNegative val="0"/>
            <c:bubble3D val="0"/>
            <c:spPr>
              <a:solidFill>
                <a:schemeClr val="bg1">
                  <a:lumMod val="65000"/>
                </a:schemeClr>
              </a:solidFill>
            </c:spPr>
            <c:extLst>
              <c:ext xmlns:c16="http://schemas.microsoft.com/office/drawing/2014/chart" uri="{C3380CC4-5D6E-409C-BE32-E72D297353CC}">
                <c16:uniqueId val="{00000020-0E7E-49F3-9EA3-90EEA9EA0F4B}"/>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1F-0E7E-49F3-9EA3-90EEA9EA0F4B}"/>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0E7E-49F3-9EA3-90EEA9EA0F4B}"/>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0E7E-49F3-9EA3-90EEA9EA0F4B}"/>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0E7E-49F3-9EA3-90EEA9EA0F4B}"/>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0E7E-49F3-9EA3-90EEA9EA0F4B}"/>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E7E-49F3-9EA3-90EEA9EA0F4B}"/>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0E7E-49F3-9EA3-90EEA9EA0F4B}"/>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8D6FA1AE-3FA5-46D5-85B4-90AF1F0A719C}"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E7E-49F3-9EA3-90EEA9EA0F4B}"/>
                </c:ext>
              </c:extLst>
            </c:dLbl>
            <c:dLbl>
              <c:idx val="1"/>
              <c:tx>
                <c:rich>
                  <a:bodyPr/>
                  <a:lstStyle/>
                  <a:p>
                    <a:fld id="{1D89A0F9-2E58-4911-9BE9-EB47CE08F52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E7E-49F3-9EA3-90EEA9EA0F4B}"/>
                </c:ext>
              </c:extLst>
            </c:dLbl>
            <c:dLbl>
              <c:idx val="2"/>
              <c:tx>
                <c:rich>
                  <a:bodyPr/>
                  <a:lstStyle/>
                  <a:p>
                    <a:fld id="{F2EBE28F-FB16-4760-B819-1E5557FE4FF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E7E-49F3-9EA3-90EEA9EA0F4B}"/>
                </c:ext>
              </c:extLst>
            </c:dLbl>
            <c:dLbl>
              <c:idx val="3"/>
              <c:tx>
                <c:rich>
                  <a:bodyPr/>
                  <a:lstStyle/>
                  <a:p>
                    <a:fld id="{43BE90D6-80AC-4581-BDD5-769508AFA17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E7E-49F3-9EA3-90EEA9EA0F4B}"/>
                </c:ext>
              </c:extLst>
            </c:dLbl>
            <c:dLbl>
              <c:idx val="4"/>
              <c:tx>
                <c:rich>
                  <a:bodyPr/>
                  <a:lstStyle/>
                  <a:p>
                    <a:fld id="{A2B4A17F-66E8-4ABB-859B-9E3E140E9EA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E7E-49F3-9EA3-90EEA9EA0F4B}"/>
                </c:ext>
              </c:extLst>
            </c:dLbl>
            <c:dLbl>
              <c:idx val="5"/>
              <c:tx>
                <c:rich>
                  <a:bodyPr/>
                  <a:lstStyle/>
                  <a:p>
                    <a:fld id="{EC147AAC-F06F-4867-9E7D-77B00BB1239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E7E-49F3-9EA3-90EEA9EA0F4B}"/>
                </c:ext>
              </c:extLst>
            </c:dLbl>
            <c:dLbl>
              <c:idx val="6"/>
              <c:tx>
                <c:rich>
                  <a:bodyPr/>
                  <a:lstStyle/>
                  <a:p>
                    <a:fld id="{7851916D-2726-4EF7-B54D-61275491642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E7E-49F3-9EA3-90EEA9EA0F4B}"/>
                </c:ext>
              </c:extLst>
            </c:dLbl>
            <c:dLbl>
              <c:idx val="7"/>
              <c:tx>
                <c:rich>
                  <a:bodyPr/>
                  <a:lstStyle/>
                  <a:p>
                    <a:fld id="{A07C333E-0535-4C4C-8ABE-6511127948E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E7E-49F3-9EA3-90EEA9EA0F4B}"/>
                </c:ext>
              </c:extLst>
            </c:dLbl>
            <c:dLbl>
              <c:idx val="8"/>
              <c:tx>
                <c:rich>
                  <a:bodyPr/>
                  <a:lstStyle/>
                  <a:p>
                    <a:fld id="{1FC4FE73-750F-46EA-B1A0-3502C6A4732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E7E-49F3-9EA3-90EEA9EA0F4B}"/>
                </c:ext>
              </c:extLst>
            </c:dLbl>
            <c:dLbl>
              <c:idx val="9"/>
              <c:tx>
                <c:rich>
                  <a:bodyPr/>
                  <a:lstStyle/>
                  <a:p>
                    <a:fld id="{7A339004-9A1D-46A5-9E5D-4CCABA195DA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2524A0CC-8A2B-4827-83E2-CEB66642F7D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E7E-49F3-9EA3-90EEA9EA0F4B}"/>
                </c:ext>
              </c:extLst>
            </c:dLbl>
            <c:dLbl>
              <c:idx val="11"/>
              <c:tx>
                <c:rich>
                  <a:bodyPr/>
                  <a:lstStyle/>
                  <a:p>
                    <a:fld id="{4F055F35-3A7F-4417-BFA7-35FD0113EB0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0E7E-49F3-9EA3-90EEA9EA0F4B}"/>
                </c:ext>
              </c:extLst>
            </c:dLbl>
            <c:dLbl>
              <c:idx val="13"/>
              <c:tx>
                <c:rich>
                  <a:bodyPr/>
                  <a:lstStyle/>
                  <a:p>
                    <a:fld id="{BE866651-5D14-4D7F-B285-CA78C07A8E2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5024CEF3-C3C4-4A0F-BC3A-A90759B7270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E7E-49F3-9EA3-90EEA9EA0F4B}"/>
                </c:ext>
              </c:extLst>
            </c:dLbl>
            <c:dLbl>
              <c:idx val="15"/>
              <c:tx>
                <c:rich>
                  <a:bodyPr/>
                  <a:lstStyle/>
                  <a:p>
                    <a:fld id="{80E50486-D388-4FFF-8BE4-9A262E34173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21142294-F95E-41AF-8176-FF021487430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E7E-49F3-9EA3-90EEA9EA0F4B}"/>
                </c:ext>
              </c:extLst>
            </c:dLbl>
            <c:dLbl>
              <c:idx val="17"/>
              <c:tx>
                <c:rich>
                  <a:bodyPr/>
                  <a:lstStyle/>
                  <a:p>
                    <a:fld id="{8C0DDD01-490A-4E97-B767-F92AB3679D3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E7E-49F3-9EA3-90EEA9EA0F4B}"/>
                </c:ext>
              </c:extLst>
            </c:dLbl>
            <c:dLbl>
              <c:idx val="18"/>
              <c:tx>
                <c:rich>
                  <a:bodyPr/>
                  <a:lstStyle/>
                  <a:p>
                    <a:fld id="{43A411DC-2485-4BCC-A02F-6B05FC900FD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E7E-49F3-9EA3-90EEA9EA0F4B}"/>
                </c:ext>
              </c:extLst>
            </c:dLbl>
            <c:dLbl>
              <c:idx val="19"/>
              <c:tx>
                <c:rich>
                  <a:bodyPr/>
                  <a:lstStyle/>
                  <a:p>
                    <a:fld id="{90E64AF4-4214-4C0A-BAB2-D9239F24B76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E7E-49F3-9EA3-90EEA9EA0F4B}"/>
                </c:ext>
              </c:extLst>
            </c:dLbl>
            <c:dLbl>
              <c:idx val="20"/>
              <c:tx>
                <c:rich>
                  <a:bodyPr/>
                  <a:lstStyle/>
                  <a:p>
                    <a:fld id="{491E3E0F-471D-43F9-A3CD-9E766AFC376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E7E-49F3-9EA3-90EEA9EA0F4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1.917684591993098E-2</c:v>
                  </c:pt>
                  <c:pt idx="1">
                    <c:v>3.4312709428927599E-2</c:v>
                  </c:pt>
                  <c:pt idx="2">
                    <c:v>1.2798835025068222E-2</c:v>
                  </c:pt>
                  <c:pt idx="3">
                    <c:v>9.5935253706788251E-2</c:v>
                  </c:pt>
                  <c:pt idx="4">
                    <c:v>0.17786950491301887</c:v>
                  </c:pt>
                  <c:pt idx="5">
                    <c:v>0.12927446811865392</c:v>
                  </c:pt>
                  <c:pt idx="6">
                    <c:v>0.22604865654681958</c:v>
                  </c:pt>
                  <c:pt idx="7">
                    <c:v>7.2382623522228906E-2</c:v>
                  </c:pt>
                  <c:pt idx="8">
                    <c:v>6.2578178875503316E-3</c:v>
                  </c:pt>
                  <c:pt idx="9">
                    <c:v>3.4456633405113637E-2</c:v>
                  </c:pt>
                  <c:pt idx="10">
                    <c:v>1.9921273569102262E-2</c:v>
                  </c:pt>
                  <c:pt idx="11">
                    <c:v>1.8028553871565413E-2</c:v>
                  </c:pt>
                  <c:pt idx="13">
                    <c:v>0.10704531290652641</c:v>
                  </c:pt>
                  <c:pt idx="14">
                    <c:v>0.13258030739179913</c:v>
                  </c:pt>
                  <c:pt idx="15">
                    <c:v>9.5629419220135941E-3</c:v>
                  </c:pt>
                  <c:pt idx="16">
                    <c:v>2.6415515773364505E-2</c:v>
                  </c:pt>
                  <c:pt idx="17">
                    <c:v>5.6843977848508469E-2</c:v>
                  </c:pt>
                  <c:pt idx="18">
                    <c:v>2.5331577991846405E-2</c:v>
                  </c:pt>
                  <c:pt idx="19">
                    <c:v>1.6914977716477771E-2</c:v>
                  </c:pt>
                  <c:pt idx="20">
                    <c:v>4.3059888256815497E-2</c:v>
                  </c:pt>
                </c:numCache>
              </c:numRef>
            </c:plus>
            <c:minus>
              <c:numLit>
                <c:formatCode>General</c:formatCode>
                <c:ptCount val="1"/>
                <c:pt idx="0">
                  <c:v>1</c:v>
                </c:pt>
              </c:numLit>
            </c:minus>
          </c:errBars>
          <c:cat>
            <c:strRef>
              <c:f>'R3'!$B$52:$V$52</c:f>
              <c:strCache>
                <c:ptCount val="21"/>
                <c:pt idx="0">
                  <c:v>Témoin solvant</c:v>
                </c:pt>
                <c:pt idx="1">
                  <c:v>EE2-33,8ng/L</c:v>
                </c:pt>
                <c:pt idx="2">
                  <c:v>EE2-50,6ng/L</c:v>
                </c:pt>
                <c:pt idx="3">
                  <c:v>EE2-76ng/L</c:v>
                </c:pt>
                <c:pt idx="4">
                  <c:v>EE2-114ng/L</c:v>
                </c:pt>
                <c:pt idx="5">
                  <c:v>EE2-170,9ng/L</c:v>
                </c:pt>
                <c:pt idx="6">
                  <c:v>EE2-488ng/L</c:v>
                </c:pt>
                <c:pt idx="7">
                  <c:v>Fadrozole-5,4µg/L</c:v>
                </c:pt>
                <c:pt idx="8">
                  <c:v>Fadrozole-11µg/L</c:v>
                </c:pt>
                <c:pt idx="9">
                  <c:v>Fadrozole-22µg/L</c:v>
                </c:pt>
                <c:pt idx="10">
                  <c:v>Fadrozole-44µg/L</c:v>
                </c:pt>
                <c:pt idx="11">
                  <c:v>Fadrozole-87µg/L</c:v>
                </c:pt>
                <c:pt idx="13">
                  <c:v>Testo -30µg/L</c:v>
                </c:pt>
                <c:pt idx="14">
                  <c:v>Testo 30µg/L + EE2 -64ng/L</c:v>
                </c:pt>
                <c:pt idx="15">
                  <c:v>Testo 30µg/L + FAD-10µg/L</c:v>
                </c:pt>
                <c:pt idx="16">
                  <c:v>Fadrozole-5,4µg/L + Testostérone</c:v>
                </c:pt>
                <c:pt idx="17">
                  <c:v>Fadrozole-11µg/L + Testostérone</c:v>
                </c:pt>
                <c:pt idx="18">
                  <c:v>Fadrozole-22µg/L + Testostérone</c:v>
                </c:pt>
                <c:pt idx="19">
                  <c:v>Fadrozole-44µg/L + Testostérone</c:v>
                </c:pt>
                <c:pt idx="20">
                  <c:v>Fadrozole-87µg/L + Testostérone</c:v>
                </c:pt>
              </c:strCache>
            </c:strRef>
          </c:cat>
          <c:val>
            <c:numRef>
              <c:f>'R3'!$B$53:$V$53</c:f>
              <c:numCache>
                <c:formatCode>0.0000</c:formatCode>
                <c:ptCount val="21"/>
                <c:pt idx="0">
                  <c:v>6.0985378453082648E-2</c:v>
                </c:pt>
                <c:pt idx="1">
                  <c:v>7.2775654075736496E-2</c:v>
                </c:pt>
                <c:pt idx="2">
                  <c:v>5.0473522514241004E-2</c:v>
                </c:pt>
                <c:pt idx="3">
                  <c:v>0.2782030335657395</c:v>
                </c:pt>
                <c:pt idx="4">
                  <c:v>0.57594830711721035</c:v>
                </c:pt>
                <c:pt idx="5">
                  <c:v>1.3954871167593101</c:v>
                </c:pt>
                <c:pt idx="6">
                  <c:v>2.9368730125873608</c:v>
                </c:pt>
                <c:pt idx="7">
                  <c:v>0.15765534575332757</c:v>
                </c:pt>
                <c:pt idx="8">
                  <c:v>2.0250219373920974E-2</c:v>
                </c:pt>
                <c:pt idx="9">
                  <c:v>8.313485706103696E-2</c:v>
                </c:pt>
                <c:pt idx="10">
                  <c:v>4.9012503136699213E-2</c:v>
                </c:pt>
                <c:pt idx="11">
                  <c:v>4.7012052019005025E-2</c:v>
                </c:pt>
                <c:pt idx="13">
                  <c:v>1.0000000000000004</c:v>
                </c:pt>
                <c:pt idx="14">
                  <c:v>1.8074076247656954</c:v>
                </c:pt>
                <c:pt idx="15">
                  <c:v>4.9653363376731263E-2</c:v>
                </c:pt>
                <c:pt idx="16">
                  <c:v>5.7186523229433177E-2</c:v>
                </c:pt>
                <c:pt idx="17">
                  <c:v>0.11182157151894469</c:v>
                </c:pt>
                <c:pt idx="18">
                  <c:v>7.8905649751560308E-2</c:v>
                </c:pt>
                <c:pt idx="19">
                  <c:v>6.6725312292259753E-2</c:v>
                </c:pt>
                <c:pt idx="20">
                  <c:v>0.13260844239244751</c:v>
                </c:pt>
              </c:numCache>
            </c:numRef>
          </c:val>
          <c:extLst>
            <c:ext xmlns:c15="http://schemas.microsoft.com/office/drawing/2012/chart" uri="{02D57815-91ED-43cb-92C2-25804820EDAC}">
              <c15:datalabelsRange>
                <c15:f>'R3'!$B$61:$V$61</c15:f>
                <c15:dlblRangeCache>
                  <c:ptCount val="21"/>
                  <c:pt idx="1">
                    <c:v>NS</c:v>
                  </c:pt>
                  <c:pt idx="2">
                    <c:v>NS</c:v>
                  </c:pt>
                  <c:pt idx="3">
                    <c:v>NS</c:v>
                  </c:pt>
                  <c:pt idx="4">
                    <c:v>NS</c:v>
                  </c:pt>
                  <c:pt idx="5">
                    <c:v>**</c:v>
                  </c:pt>
                  <c:pt idx="6">
                    <c:v>***</c:v>
                  </c:pt>
                  <c:pt idx="7">
                    <c:v>NS</c:v>
                  </c:pt>
                  <c:pt idx="8">
                    <c:v>NS</c:v>
                  </c:pt>
                  <c:pt idx="9">
                    <c:v>NS</c:v>
                  </c:pt>
                  <c:pt idx="10">
                    <c:v>NS</c:v>
                  </c:pt>
                  <c:pt idx="11">
                    <c:v>NS</c:v>
                  </c:pt>
                  <c:pt idx="13">
                    <c:v>***</c:v>
                  </c:pt>
                  <c:pt idx="14">
                    <c:v>***</c:v>
                  </c:pt>
                  <c:pt idx="15">
                    <c:v>***</c:v>
                  </c:pt>
                  <c:pt idx="16">
                    <c:v>***</c:v>
                  </c:pt>
                  <c:pt idx="17">
                    <c:v>***</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Fadrozole-High concs Pool</a:t>
            </a:r>
          </a:p>
        </c:rich>
      </c:tx>
      <c:overlay val="0"/>
    </c:title>
    <c:autoTitleDeleted val="0"/>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chemeClr val="accent3">
                  <a:lumMod val="40000"/>
                  <a:lumOff val="60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9F7A9F3A-D393-43B6-A046-97B6380B759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E8D8DC60-BBF1-409D-AE72-63F5C22480E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42D144F5-F67B-4095-A680-DDD4CD5C28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ECF03078-7876-44F5-AF36-5D4BDE4439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EB0B640B-8018-411B-9B81-40F5C375AE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5CC7D9A3-549D-41C7-A875-933BF082DD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D939E378-FCA2-4DC7-8A7A-4308B584D34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1E5FE6CE-B12C-4F06-AEDD-9175AD0F94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461A78AB-6392-4AF7-AFA0-AB33A3B986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9ED8A4C3-D269-46AE-BA18-C00C37ED80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0C7B885E-8A48-424D-8054-5B027067D4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FBECEBF2-8A53-4F7D-B283-524A8C8D043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8AE842EF-8627-4CFD-AC25-B54682729B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B665C834-D04F-49DD-84EF-F812C9C934F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89791383-63EE-4B8E-8D48-F0AEFD7E30E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866CABFF-ED5F-4D75-A7BD-4620107C835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72885F9B-4BE3-4520-9DA3-044BA23EB2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DC0B1178-1679-4E87-B100-887EC19722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72D2B73A-DC76-4D82-85E2-558DB7D745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A0A3A922-B009-4EE9-9148-5E02C6DE91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4.7731667827215135E-2</c:v>
                  </c:pt>
                  <c:pt idx="1">
                    <c:v>1.9551445862385181E-2</c:v>
                  </c:pt>
                  <c:pt idx="2">
                    <c:v>1.8698560294525286E-2</c:v>
                  </c:pt>
                  <c:pt idx="3">
                    <c:v>8.5626185993402701E-2</c:v>
                  </c:pt>
                  <c:pt idx="4">
                    <c:v>7.6351999373620486E-2</c:v>
                  </c:pt>
                  <c:pt idx="5">
                    <c:v>0.10975946769648941</c:v>
                  </c:pt>
                  <c:pt idx="6">
                    <c:v>0.16723049700092293</c:v>
                  </c:pt>
                  <c:pt idx="7">
                    <c:v>3.6877975604205117E-2</c:v>
                  </c:pt>
                  <c:pt idx="8">
                    <c:v>1.365991901400563E-2</c:v>
                  </c:pt>
                  <c:pt idx="9">
                    <c:v>1.3642293935618353E-2</c:v>
                  </c:pt>
                  <c:pt idx="10">
                    <c:v>1.7369233028249276E-2</c:v>
                  </c:pt>
                  <c:pt idx="11">
                    <c:v>2.2644499754325281E-2</c:v>
                  </c:pt>
                  <c:pt idx="13">
                    <c:v>7.5668391813926331E-2</c:v>
                  </c:pt>
                  <c:pt idx="14">
                    <c:v>0.11983139499804872</c:v>
                  </c:pt>
                  <c:pt idx="15">
                    <c:v>1.1996139224645338E-2</c:v>
                  </c:pt>
                  <c:pt idx="16">
                    <c:v>1.7225498050746357E-2</c:v>
                  </c:pt>
                  <c:pt idx="17">
                    <c:v>3.1261102658595157E-2</c:v>
                  </c:pt>
                  <c:pt idx="18">
                    <c:v>1.1752679624781555E-2</c:v>
                  </c:pt>
                  <c:pt idx="19">
                    <c:v>8.5271718205970695E-3</c:v>
                  </c:pt>
                  <c:pt idx="20">
                    <c:v>1.7760978340985681E-2</c:v>
                  </c:pt>
                </c:numCache>
              </c:numRef>
            </c:plus>
            <c:minus>
              <c:numRef>
                <c:f>'pooled normalised values'!$B$76:$V$76</c:f>
                <c:numCache>
                  <c:formatCode>General</c:formatCode>
                  <c:ptCount val="21"/>
                  <c:pt idx="0">
                    <c:v>4.7731667827215135E-2</c:v>
                  </c:pt>
                  <c:pt idx="1">
                    <c:v>1.9551445862385181E-2</c:v>
                  </c:pt>
                  <c:pt idx="2">
                    <c:v>1.8698560294525286E-2</c:v>
                  </c:pt>
                  <c:pt idx="3">
                    <c:v>8.5626185993402701E-2</c:v>
                  </c:pt>
                  <c:pt idx="4">
                    <c:v>7.6351999373620486E-2</c:v>
                  </c:pt>
                  <c:pt idx="5">
                    <c:v>0.10975946769648941</c:v>
                  </c:pt>
                  <c:pt idx="6">
                    <c:v>0.16723049700092293</c:v>
                  </c:pt>
                  <c:pt idx="7">
                    <c:v>3.6877975604205117E-2</c:v>
                  </c:pt>
                  <c:pt idx="8">
                    <c:v>1.365991901400563E-2</c:v>
                  </c:pt>
                  <c:pt idx="9">
                    <c:v>1.3642293935618353E-2</c:v>
                  </c:pt>
                  <c:pt idx="10">
                    <c:v>1.7369233028249276E-2</c:v>
                  </c:pt>
                  <c:pt idx="11">
                    <c:v>2.2644499754325281E-2</c:v>
                  </c:pt>
                  <c:pt idx="13">
                    <c:v>7.5668391813926331E-2</c:v>
                  </c:pt>
                  <c:pt idx="14">
                    <c:v>0.11983139499804872</c:v>
                  </c:pt>
                  <c:pt idx="15">
                    <c:v>1.1996139224645338E-2</c:v>
                  </c:pt>
                  <c:pt idx="16">
                    <c:v>1.7225498050746357E-2</c:v>
                  </c:pt>
                  <c:pt idx="17">
                    <c:v>3.1261102658595157E-2</c:v>
                  </c:pt>
                  <c:pt idx="18">
                    <c:v>1.1752679624781555E-2</c:v>
                  </c:pt>
                  <c:pt idx="19">
                    <c:v>8.5271718205970695E-3</c:v>
                  </c:pt>
                  <c:pt idx="20">
                    <c:v>1.7760978340985681E-2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Fadrozole-5,4µg/L</c:v>
                </c:pt>
                <c:pt idx="8">
                  <c:v>Fadrozole-11µg/L</c:v>
                </c:pt>
                <c:pt idx="9">
                  <c:v>Fadrozole-22µg/L</c:v>
                </c:pt>
                <c:pt idx="10">
                  <c:v>Fadrozole-44µg/L</c:v>
                </c:pt>
                <c:pt idx="11">
                  <c:v>Fadrozole-87µg/L</c:v>
                </c:pt>
                <c:pt idx="13">
                  <c:v>Testo -30µg/L</c:v>
                </c:pt>
                <c:pt idx="14">
                  <c:v>Testo 30µg/L + EE2 -64ng/L</c:v>
                </c:pt>
                <c:pt idx="15">
                  <c:v>Testo 30µg/L + FAD-10µg/L</c:v>
                </c:pt>
                <c:pt idx="16">
                  <c:v>Fadrozole-5,4µg/L + Testostérone</c:v>
                </c:pt>
                <c:pt idx="17">
                  <c:v>Fadrozole-11µg/L + Testostérone</c:v>
                </c:pt>
                <c:pt idx="18">
                  <c:v>Fadrozole-22µg/L + Testostérone</c:v>
                </c:pt>
                <c:pt idx="19">
                  <c:v>Fadrozole-44µg/L + Testostérone</c:v>
                </c:pt>
                <c:pt idx="20">
                  <c:v>Fadrozole-87µg/L + Testostérone</c:v>
                </c:pt>
              </c:strCache>
            </c:strRef>
          </c:cat>
          <c:val>
            <c:numRef>
              <c:f>'pooled normalised values'!$B$75:$V$75</c:f>
              <c:numCache>
                <c:formatCode>0.0000</c:formatCode>
                <c:ptCount val="21"/>
                <c:pt idx="0">
                  <c:v>0.1334876740969472</c:v>
                </c:pt>
                <c:pt idx="1">
                  <c:v>0.10222859273823763</c:v>
                </c:pt>
                <c:pt idx="2">
                  <c:v>7.2467483973068875E-2</c:v>
                </c:pt>
                <c:pt idx="3">
                  <c:v>0.26671054476713529</c:v>
                </c:pt>
                <c:pt idx="4">
                  <c:v>0.53146536058231153</c:v>
                </c:pt>
                <c:pt idx="5">
                  <c:v>1.0907242395989531</c:v>
                </c:pt>
                <c:pt idx="6">
                  <c:v>2.1765466978767907</c:v>
                </c:pt>
                <c:pt idx="7">
                  <c:v>0.16430556855639153</c:v>
                </c:pt>
                <c:pt idx="8">
                  <c:v>6.5165469555365604E-2</c:v>
                </c:pt>
                <c:pt idx="9">
                  <c:v>7.4075915272798207E-2</c:v>
                </c:pt>
                <c:pt idx="10">
                  <c:v>9.7259982406741358E-2</c:v>
                </c:pt>
                <c:pt idx="11">
                  <c:v>9.1355562228920925E-2</c:v>
                </c:pt>
                <c:pt idx="13">
                  <c:v>1</c:v>
                </c:pt>
                <c:pt idx="14">
                  <c:v>1.424151172476195</c:v>
                </c:pt>
                <c:pt idx="15">
                  <c:v>6.6301578954507209E-2</c:v>
                </c:pt>
                <c:pt idx="16">
                  <c:v>7.2590687243425212E-2</c:v>
                </c:pt>
                <c:pt idx="17">
                  <c:v>0.13808752688553119</c:v>
                </c:pt>
                <c:pt idx="18">
                  <c:v>4.7700596112371645E-2</c:v>
                </c:pt>
                <c:pt idx="19">
                  <c:v>4.9255614774983025E-2</c:v>
                </c:pt>
                <c:pt idx="20">
                  <c:v>7.2080505679049375E-2</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c:v>
                  </c:pt>
                  <c:pt idx="17">
                    <c:v>***</c:v>
                  </c:pt>
                  <c:pt idx="18">
                    <c:v>***</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Fadrozole-5,4µg/L : 0%</c:v>
                  </c:pt>
                  <c:pt idx="1">
                    <c:v>Fadrozole-11µg/L : 0%</c:v>
                  </c:pt>
                  <c:pt idx="2">
                    <c:v>Fadrozole-22µg/L : 0%</c:v>
                  </c:pt>
                  <c:pt idx="3">
                    <c:v>Fadrozole-44µg/L : 0%</c:v>
                  </c:pt>
                  <c:pt idx="4">
                    <c:v>Fadrozole-87µg/L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Fadrozole-5,4µg/L : 0%</c:v>
                  </c:pt>
                  <c:pt idx="1">
                    <c:v>Fadrozole-11µg/L : 0%</c:v>
                  </c:pt>
                  <c:pt idx="2">
                    <c:v>Fadrozole-22µg/L : 0%</c:v>
                  </c:pt>
                  <c:pt idx="3">
                    <c:v>Fadrozole-44µg/L : 0%</c:v>
                  </c:pt>
                  <c:pt idx="4">
                    <c:v>Fadrozole-87µg/L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#NOMBRE!</c:v>
                  </c:pt>
                  <c:pt idx="1">
                    <c:v>#NOMBRE!</c:v>
                  </c:pt>
                  <c:pt idx="2">
                    <c:v>#NOMBRE!</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9BF66FDE-CD75-4D4C-9B70-F8891E20075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A216F9A3-9850-4418-ACDF-3A6D4E17C9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97C704D0-F3B9-43EF-A9CA-81AA68267B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D1175B4B-02C1-4C04-96AE-BB7AADD87A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CF3F3901-D140-4697-93A1-74CD8FCEAA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B1FDAC8A-97EE-43AA-BC10-6020A3F5F24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9F1755C5-BE39-4F18-BF15-F8E2E30A33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C1E383BB-AAA8-496E-B036-AD7104CDA5E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6FB99486-E865-476F-9023-CF15126D72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962EDD8-ED17-4DC7-9561-5D12446CE0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3AB97987-B727-452C-B1D6-FA213D6B2F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6E53E6DD-363F-4D8F-86F2-D5CA063EFA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9E91A22E-7C4F-49E5-A822-DA709AA700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1A2D384A-974F-40C2-9CF0-C685423C2A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1.365991901400563E-2</c:v>
                  </c:pt>
                  <c:pt idx="2">
                    <c:v>1.3642293935618353E-2</c:v>
                  </c:pt>
                  <c:pt idx="3">
                    <c:v>1.7369233028249276E-2</c:v>
                  </c:pt>
                  <c:pt idx="4">
                    <c:v>2.2644499754325281E-2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1.365991901400563E-2</c:v>
                  </c:pt>
                  <c:pt idx="2">
                    <c:v>1.3642293935618353E-2</c:v>
                  </c:pt>
                  <c:pt idx="3">
                    <c:v>1.7369233028249276E-2</c:v>
                  </c:pt>
                  <c:pt idx="4">
                    <c:v>2.2644499754325281E-2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6.5165469555365604E-2</c:v>
                </c:pt>
                <c:pt idx="2">
                  <c:v>7.4075915272798207E-2</c:v>
                </c:pt>
                <c:pt idx="3">
                  <c:v>9.7259982406741358E-2</c:v>
                </c:pt>
                <c:pt idx="4">
                  <c:v>9.1355562228920925E-2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0.1334876740969472</c:v>
                </c:pt>
                <c:pt idx="1">
                  <c:v>0.1334876740969472</c:v>
                </c:pt>
                <c:pt idx="2">
                  <c:v>0.1334876740969472</c:v>
                </c:pt>
                <c:pt idx="3">
                  <c:v>0.1334876740969472</c:v>
                </c:pt>
                <c:pt idx="4">
                  <c:v>0.1334876740969472</c:v>
                </c:pt>
                <c:pt idx="5">
                  <c:v>0.1334876740969472</c:v>
                </c:pt>
                <c:pt idx="6">
                  <c:v>0.1334876740969472</c:v>
                </c:pt>
                <c:pt idx="7">
                  <c:v>0.1334876740969472</c:v>
                </c:pt>
                <c:pt idx="8">
                  <c:v>0.1334876740969472</c:v>
                </c:pt>
                <c:pt idx="9">
                  <c:v>0.1334876740969472</c:v>
                </c:pt>
                <c:pt idx="10">
                  <c:v>0.1334876740969472</c:v>
                </c:pt>
                <c:pt idx="11">
                  <c:v>0.1334876740969472</c:v>
                </c:pt>
                <c:pt idx="12">
                  <c:v>0.1334876740969472</c:v>
                </c:pt>
                <c:pt idx="13">
                  <c:v>0.1334876740969472</c:v>
                </c:pt>
                <c:pt idx="14">
                  <c:v>0.1334876740969472</c:v>
                </c:pt>
                <c:pt idx="15">
                  <c:v>0.1334876740969472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6.6301578954507209E-2</c:v>
                </c:pt>
                <c:pt idx="1">
                  <c:v>6.6301578954507209E-2</c:v>
                </c:pt>
                <c:pt idx="2">
                  <c:v>6.6301578954507209E-2</c:v>
                </c:pt>
                <c:pt idx="3">
                  <c:v>6.6301578954507209E-2</c:v>
                </c:pt>
                <c:pt idx="4">
                  <c:v>6.6301578954507209E-2</c:v>
                </c:pt>
                <c:pt idx="5">
                  <c:v>6.6301578954507209E-2</c:v>
                </c:pt>
                <c:pt idx="6">
                  <c:v>6.6301578954507209E-2</c:v>
                </c:pt>
                <c:pt idx="7">
                  <c:v>6.6301578954507209E-2</c:v>
                </c:pt>
                <c:pt idx="8">
                  <c:v>6.6301578954507209E-2</c:v>
                </c:pt>
                <c:pt idx="9">
                  <c:v>6.6301578954507209E-2</c:v>
                </c:pt>
                <c:pt idx="10">
                  <c:v>6.6301578954507209E-2</c:v>
                </c:pt>
                <c:pt idx="11">
                  <c:v>6.6301578954507209E-2</c:v>
                </c:pt>
                <c:pt idx="12">
                  <c:v>6.6301578954507209E-2</c:v>
                </c:pt>
                <c:pt idx="13">
                  <c:v>6.6301578954507209E-2</c:v>
                </c:pt>
                <c:pt idx="14">
                  <c:v>6.6301578954507209E-2</c:v>
                </c:pt>
                <c:pt idx="15">
                  <c:v>6.6301578954507209E-2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1.3578495935216879</c:v>
                </c:pt>
                <c:pt idx="1">
                  <c:v>1.3578495935216879</c:v>
                </c:pt>
                <c:pt idx="2">
                  <c:v>1.3578495935216879</c:v>
                </c:pt>
                <c:pt idx="3">
                  <c:v>1.3578495935216879</c:v>
                </c:pt>
                <c:pt idx="4">
                  <c:v>1.3578495935216879</c:v>
                </c:pt>
                <c:pt idx="5">
                  <c:v>1.3578495935216879</c:v>
                </c:pt>
                <c:pt idx="6">
                  <c:v>1.3578495935216879</c:v>
                </c:pt>
                <c:pt idx="7">
                  <c:v>1.3578495935216879</c:v>
                </c:pt>
                <c:pt idx="8">
                  <c:v>1.3578495935216879</c:v>
                </c:pt>
                <c:pt idx="9">
                  <c:v>1.3578495935216879</c:v>
                </c:pt>
                <c:pt idx="10">
                  <c:v>1.3578495935216879</c:v>
                </c:pt>
                <c:pt idx="11">
                  <c:v>1.3578495935216879</c:v>
                </c:pt>
                <c:pt idx="12">
                  <c:v>1.3578495935216879</c:v>
                </c:pt>
                <c:pt idx="13">
                  <c:v>1.3578495935216879</c:v>
                </c:pt>
                <c:pt idx="14">
                  <c:v>1.3578495935216879</c:v>
                </c:pt>
                <c:pt idx="15">
                  <c:v>1.3578495935216879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1.1421504064783121</c:v>
                </c:pt>
                <c:pt idx="1">
                  <c:v>1.1421504064783121</c:v>
                </c:pt>
                <c:pt idx="2">
                  <c:v>1.1421504064783121</c:v>
                </c:pt>
                <c:pt idx="3">
                  <c:v>1.1421504064783121</c:v>
                </c:pt>
                <c:pt idx="4">
                  <c:v>1.1421504064783121</c:v>
                </c:pt>
                <c:pt idx="5">
                  <c:v>1.1421504064783121</c:v>
                </c:pt>
                <c:pt idx="6">
                  <c:v>1.1421504064783121</c:v>
                </c:pt>
                <c:pt idx="7">
                  <c:v>1.1421504064783121</c:v>
                </c:pt>
                <c:pt idx="8">
                  <c:v>1.1421504064783121</c:v>
                </c:pt>
                <c:pt idx="9">
                  <c:v>1.1421504064783121</c:v>
                </c:pt>
                <c:pt idx="10">
                  <c:v>1.1421504064783121</c:v>
                </c:pt>
                <c:pt idx="11">
                  <c:v>1.1421504064783121</c:v>
                </c:pt>
                <c:pt idx="12">
                  <c:v>1.1421504064783121</c:v>
                </c:pt>
                <c:pt idx="13">
                  <c:v>1.1421504064783121</c:v>
                </c:pt>
                <c:pt idx="14">
                  <c:v>1.1421504064783121</c:v>
                </c:pt>
                <c:pt idx="15">
                  <c:v>1.1421504064783121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60729D05-0892-481C-A778-17EAD69939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918D520E-103C-4BC0-A216-55C7E49F9D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1FABD8D2-81BC-4762-9AC4-BD006CF800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9B48C242-7A9F-4344-BC1A-59FAA03616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83061BBE-65B2-44BA-A25D-4B3C1C604C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67ADA187-3F78-4B53-8A16-BF2D3D64BA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EA2B82A7-54B5-46AA-94EC-9825222F29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F6595F47-D624-4986-A90D-B98E12762B1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CBB1AFD3-E5F2-4689-8D62-BFF18E921F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363155CE-A371-4E2E-8B76-CB56C275CF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01B08724-1541-4F70-B120-393D162FF6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C2FBF1D-3174-4038-BBD1-397CDB82E7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5ECD789F-5FDD-4F3B-95E2-7F391F4D0D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8B511061-2E97-4456-AE43-2A1ECAF4A07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1.7225498050746357E-2</c:v>
                  </c:pt>
                  <c:pt idx="2">
                    <c:v>3.1261102658595157E-2</c:v>
                  </c:pt>
                  <c:pt idx="3">
                    <c:v>1.1752679624781555E-2</c:v>
                  </c:pt>
                  <c:pt idx="4">
                    <c:v>8.5271718205970695E-3</c:v>
                  </c:pt>
                  <c:pt idx="5">
                    <c:v>1.7760978340985681E-2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1.7225498050746357E-2</c:v>
                  </c:pt>
                  <c:pt idx="2">
                    <c:v>3.1261102658595157E-2</c:v>
                  </c:pt>
                  <c:pt idx="3">
                    <c:v>1.1752679624781555E-2</c:v>
                  </c:pt>
                  <c:pt idx="4">
                    <c:v>8.5271718205970695E-3</c:v>
                  </c:pt>
                  <c:pt idx="5">
                    <c:v>1.7760978340985681E-2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7.2590687243425212E-2</c:v>
                </c:pt>
                <c:pt idx="2">
                  <c:v>0.13808752688553119</c:v>
                </c:pt>
                <c:pt idx="3">
                  <c:v>4.7700596112371645E-2</c:v>
                </c:pt>
                <c:pt idx="4">
                  <c:v>4.9255614774983025E-2</c:v>
                </c:pt>
                <c:pt idx="5">
                  <c:v>7.2080505679049375E-2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76D0DA8A-66CF-4B2F-9F2F-7BC42AC08DA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5DACCF47-3DB6-40A6-9886-F35DE9ECB1A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D05BA753-F83C-48A4-9043-66DC7C84689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6ACF763A-5A42-4671-810A-BCB8104F89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4BB6234D-B6A4-4CDF-9B65-8212147FC7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17816D3B-F1A7-4C0E-AD89-62B52D1AB3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0452078A-09CF-4983-AD8E-6BDF60EFA1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CCEAE4AA-2CDB-450B-ADB3-BECBC256CE0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0F8EF9C0-DF39-4A8F-A82E-B7B6620675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7BF0073C-B916-435B-8702-33C3F1DE14F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67701673-727D-46B1-A4DD-DC71D6A3FB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A40A8709-1299-4AFC-A281-D8A6155B0B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3BF88DAD-7EFA-4CC0-AC4E-9E63C99F182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5B18A21B-A09E-4DDD-923D-2CE3EE24432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1.365991901400563E-2</c:v>
                  </c:pt>
                  <c:pt idx="2">
                    <c:v>1.3642293935618353E-2</c:v>
                  </c:pt>
                  <c:pt idx="3">
                    <c:v>1.7369233028249276E-2</c:v>
                  </c:pt>
                  <c:pt idx="4">
                    <c:v>2.2644499754325281E-2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1.365991901400563E-2</c:v>
                  </c:pt>
                  <c:pt idx="2">
                    <c:v>1.3642293935618353E-2</c:v>
                  </c:pt>
                  <c:pt idx="3">
                    <c:v>1.7369233028249276E-2</c:v>
                  </c:pt>
                  <c:pt idx="4">
                    <c:v>2.2644499754325281E-2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Fadrozole-11µg/L</c:v>
                </c:pt>
                <c:pt idx="2">
                  <c:v>Fadrozole-22µg/L</c:v>
                </c:pt>
                <c:pt idx="3">
                  <c:v>Fadrozole-44µg/L</c:v>
                </c:pt>
                <c:pt idx="4">
                  <c:v>Fadrozole-87µg/L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6.5165469555365604E-2</c:v>
                </c:pt>
                <c:pt idx="2">
                  <c:v>7.4075915272798207E-2</c:v>
                </c:pt>
                <c:pt idx="3">
                  <c:v>9.7259982406741358E-2</c:v>
                </c:pt>
                <c:pt idx="4">
                  <c:v>9.1355562228920925E-2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0.1334876740969472</c:v>
                </c:pt>
                <c:pt idx="1">
                  <c:v>0.1334876740969472</c:v>
                </c:pt>
                <c:pt idx="2">
                  <c:v>0.1334876740969472</c:v>
                </c:pt>
                <c:pt idx="3">
                  <c:v>0.1334876740969472</c:v>
                </c:pt>
                <c:pt idx="4">
                  <c:v>0.1334876740969472</c:v>
                </c:pt>
                <c:pt idx="5">
                  <c:v>0.1334876740969472</c:v>
                </c:pt>
                <c:pt idx="6">
                  <c:v>0.1334876740969472</c:v>
                </c:pt>
                <c:pt idx="7">
                  <c:v>0.1334876740969472</c:v>
                </c:pt>
                <c:pt idx="8">
                  <c:v>0.1334876740969472</c:v>
                </c:pt>
                <c:pt idx="9">
                  <c:v>0.1334876740969472</c:v>
                </c:pt>
                <c:pt idx="10">
                  <c:v>0.1334876740969472</c:v>
                </c:pt>
                <c:pt idx="11">
                  <c:v>0.1334876740969472</c:v>
                </c:pt>
                <c:pt idx="12">
                  <c:v>0.1334876740969472</c:v>
                </c:pt>
                <c:pt idx="13">
                  <c:v>0.1334876740969472</c:v>
                </c:pt>
                <c:pt idx="14">
                  <c:v>0.1334876740969472</c:v>
                </c:pt>
                <c:pt idx="15">
                  <c:v>0.1334876740969472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6.6301578954507209E-2</c:v>
                </c:pt>
                <c:pt idx="1">
                  <c:v>6.6301578954507209E-2</c:v>
                </c:pt>
                <c:pt idx="2">
                  <c:v>6.6301578954507209E-2</c:v>
                </c:pt>
                <c:pt idx="3">
                  <c:v>6.6301578954507209E-2</c:v>
                </c:pt>
                <c:pt idx="4">
                  <c:v>6.6301578954507209E-2</c:v>
                </c:pt>
                <c:pt idx="5">
                  <c:v>6.6301578954507209E-2</c:v>
                </c:pt>
                <c:pt idx="6">
                  <c:v>6.6301578954507209E-2</c:v>
                </c:pt>
                <c:pt idx="7">
                  <c:v>6.6301578954507209E-2</c:v>
                </c:pt>
                <c:pt idx="8">
                  <c:v>6.6301578954507209E-2</c:v>
                </c:pt>
                <c:pt idx="9">
                  <c:v>6.6301578954507209E-2</c:v>
                </c:pt>
                <c:pt idx="10">
                  <c:v>6.6301578954507209E-2</c:v>
                </c:pt>
                <c:pt idx="11">
                  <c:v>6.6301578954507209E-2</c:v>
                </c:pt>
                <c:pt idx="12">
                  <c:v>6.6301578954507209E-2</c:v>
                </c:pt>
                <c:pt idx="13">
                  <c:v>6.6301578954507209E-2</c:v>
                </c:pt>
                <c:pt idx="14">
                  <c:v>6.6301578954507209E-2</c:v>
                </c:pt>
                <c:pt idx="15">
                  <c:v>6.6301578954507209E-2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1.3578495935216879</c:v>
                </c:pt>
                <c:pt idx="1">
                  <c:v>1.3578495935216879</c:v>
                </c:pt>
                <c:pt idx="2">
                  <c:v>1.3578495935216879</c:v>
                </c:pt>
                <c:pt idx="3">
                  <c:v>1.3578495935216879</c:v>
                </c:pt>
                <c:pt idx="4">
                  <c:v>1.3578495935216879</c:v>
                </c:pt>
                <c:pt idx="5">
                  <c:v>1.3578495935216879</c:v>
                </c:pt>
                <c:pt idx="6">
                  <c:v>1.3578495935216879</c:v>
                </c:pt>
                <c:pt idx="7">
                  <c:v>1.3578495935216879</c:v>
                </c:pt>
                <c:pt idx="8">
                  <c:v>1.3578495935216879</c:v>
                </c:pt>
                <c:pt idx="9">
                  <c:v>1.3578495935216879</c:v>
                </c:pt>
                <c:pt idx="10">
                  <c:v>1.3578495935216879</c:v>
                </c:pt>
                <c:pt idx="11">
                  <c:v>1.3578495935216879</c:v>
                </c:pt>
                <c:pt idx="12">
                  <c:v>1.3578495935216879</c:v>
                </c:pt>
                <c:pt idx="13">
                  <c:v>1.3578495935216879</c:v>
                </c:pt>
                <c:pt idx="14">
                  <c:v>1.3578495935216879</c:v>
                </c:pt>
                <c:pt idx="15">
                  <c:v>1.3578495935216879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1.1421504064783121</c:v>
                </c:pt>
                <c:pt idx="1">
                  <c:v>1.1421504064783121</c:v>
                </c:pt>
                <c:pt idx="2">
                  <c:v>1.1421504064783121</c:v>
                </c:pt>
                <c:pt idx="3">
                  <c:v>1.1421504064783121</c:v>
                </c:pt>
                <c:pt idx="4">
                  <c:v>1.1421504064783121</c:v>
                </c:pt>
                <c:pt idx="5">
                  <c:v>1.1421504064783121</c:v>
                </c:pt>
                <c:pt idx="6">
                  <c:v>1.1421504064783121</c:v>
                </c:pt>
                <c:pt idx="7">
                  <c:v>1.1421504064783121</c:v>
                </c:pt>
                <c:pt idx="8">
                  <c:v>1.1421504064783121</c:v>
                </c:pt>
                <c:pt idx="9">
                  <c:v>1.1421504064783121</c:v>
                </c:pt>
                <c:pt idx="10">
                  <c:v>1.1421504064783121</c:v>
                </c:pt>
                <c:pt idx="11">
                  <c:v>1.1421504064783121</c:v>
                </c:pt>
                <c:pt idx="12">
                  <c:v>1.1421504064783121</c:v>
                </c:pt>
                <c:pt idx="13">
                  <c:v>1.1421504064783121</c:v>
                </c:pt>
                <c:pt idx="14">
                  <c:v>1.1421504064783121</c:v>
                </c:pt>
                <c:pt idx="15">
                  <c:v>1.1421504064783121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C10E4A9-67CC-4E94-BB33-D90E2F91E4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39558756-0500-49E8-84B9-515E40D2B9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EE21C597-6A27-4868-8B1E-6279CA655E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B6128B3D-F46B-412F-816E-45489A8624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094E9FEB-7721-4D2A-86D8-8F61F8D89D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B3E3A86E-F0F1-4084-AB76-149AF6171A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2FFB5160-B766-4B10-A6F1-DD4CC7D99F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26D111C5-80E9-4836-958F-215C34C90E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514115E8-E190-4450-AB27-6009635057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40EA7CCC-2B8E-435A-A09C-8AB45A943E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3572BB29-FAA7-432E-AC5F-09B3E06072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F79E979C-212A-408D-BE99-01205B684F8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30F8BAF1-88BB-4A79-BA5F-C3D1CDEDBA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EAE44C9-4EBA-4BBF-8EED-49672419CF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1.7225498050746357E-2</c:v>
                  </c:pt>
                  <c:pt idx="2">
                    <c:v>3.1261102658595157E-2</c:v>
                  </c:pt>
                  <c:pt idx="3">
                    <c:v>1.1752679624781555E-2</c:v>
                  </c:pt>
                  <c:pt idx="4">
                    <c:v>8.5271718205970695E-3</c:v>
                  </c:pt>
                  <c:pt idx="5">
                    <c:v>1.7760978340985681E-2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1.7225498050746357E-2</c:v>
                  </c:pt>
                  <c:pt idx="2">
                    <c:v>3.1261102658595157E-2</c:v>
                  </c:pt>
                  <c:pt idx="3">
                    <c:v>1.1752679624781555E-2</c:v>
                  </c:pt>
                  <c:pt idx="4">
                    <c:v>8.5271718205970695E-3</c:v>
                  </c:pt>
                  <c:pt idx="5">
                    <c:v>1.7760978340985681E-2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7.2590687243425212E-2</c:v>
                </c:pt>
                <c:pt idx="2">
                  <c:v>0.13808752688553119</c:v>
                </c:pt>
                <c:pt idx="3">
                  <c:v>4.7700596112371645E-2</c:v>
                </c:pt>
                <c:pt idx="4">
                  <c:v>4.9255614774983025E-2</c:v>
                </c:pt>
                <c:pt idx="5">
                  <c:v>7.2080505679049375E-2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c:v>
                  </c:pt>
                  <c:pt idx="2">
                    <c:v>***</c:v>
                  </c:pt>
                  <c:pt idx="3">
                    <c:v>***</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Fadrozole-5,4µg/L + Testostérone</c:v>
                </c:pt>
                <c:pt idx="2">
                  <c:v>Fadrozole-11µg/L + Testostérone</c:v>
                </c:pt>
                <c:pt idx="3">
                  <c:v>Fadrozole-22µg/L + Testostérone</c:v>
                </c:pt>
                <c:pt idx="4">
                  <c:v>Fadrozole-44µg/L + Testostérone</c:v>
                </c:pt>
                <c:pt idx="5">
                  <c:v>Fadrozole-87µg/L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Fadrozole-11µg/L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Fadrozole-11µg/L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Fadrozole-11µg/L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73C7A11E-D284-4DE5-A3AE-2F616055BA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3F9C100C-A913-4E02-8F2B-C3A50F67239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1.365991901400563E-2</c:v>
                  </c:pt>
                </c:numCache>
              </c:numRef>
            </c:plus>
            <c:minus>
              <c:numRef>
                <c:f>'Graph format rapport CHG 1éch'!$E$4:$G$4</c:f>
                <c:numCache>
                  <c:formatCode>General</c:formatCode>
                  <c:ptCount val="3"/>
                  <c:pt idx="1">
                    <c:v>1.365991901400563E-2</c:v>
                  </c:pt>
                </c:numCache>
              </c:numRef>
            </c:minus>
          </c:errBars>
          <c:cat>
            <c:strRef>
              <c:f>'Graph format rapport CHG 1éch'!$E$2:$G$2</c:f>
              <c:strCache>
                <c:ptCount val="2"/>
                <c:pt idx="1">
                  <c:v>Fadrozole-11µg/L</c:v>
                </c:pt>
              </c:strCache>
            </c:strRef>
          </c:cat>
          <c:val>
            <c:numRef>
              <c:f>'Graph format rapport CHG 1éch'!$E$3:$G$3</c:f>
              <c:numCache>
                <c:formatCode>General</c:formatCode>
                <c:ptCount val="3"/>
                <c:pt idx="1">
                  <c:v>6.5165469555365604E-2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0.1334876740969472</c:v>
                </c:pt>
                <c:pt idx="1">
                  <c:v>0.1334876740969472</c:v>
                </c:pt>
                <c:pt idx="2">
                  <c:v>0.1334876740969472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Fadrozole-5,4µg/L + Testostérone</c:v>
                </c:pt>
              </c:strCache>
            </c:strRef>
          </c:cat>
          <c:val>
            <c:numRef>
              <c:f>'Graph format rapport CHG 1éch'!$H$8:$J$8</c:f>
              <c:numCache>
                <c:formatCode>General</c:formatCode>
                <c:ptCount val="3"/>
                <c:pt idx="0">
                  <c:v>6.6301578954507209E-2</c:v>
                </c:pt>
                <c:pt idx="1">
                  <c:v>6.6301578954507209E-2</c:v>
                </c:pt>
                <c:pt idx="2">
                  <c:v>6.6301578954507209E-2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Fadrozole-5,4µg/L + Testostérone</c:v>
                </c:pt>
              </c:strCache>
            </c:strRef>
          </c:cat>
          <c:val>
            <c:numRef>
              <c:f>'Graph format rapport CHG 1éch'!$H$9:$J$9</c:f>
              <c:numCache>
                <c:formatCode>General</c:formatCode>
                <c:ptCount val="3"/>
                <c:pt idx="0">
                  <c:v>1.3578495935216879</c:v>
                </c:pt>
                <c:pt idx="1">
                  <c:v>1.3578495935216879</c:v>
                </c:pt>
                <c:pt idx="2">
                  <c:v>1.3578495935216879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Fadrozole-5,4µg/L + Testostérone</c:v>
                </c:pt>
              </c:strCache>
            </c:strRef>
          </c:cat>
          <c:val>
            <c:numRef>
              <c:f>'Graph format rapport CHG 1éch'!$H$10:$J$10</c:f>
              <c:numCache>
                <c:formatCode>General</c:formatCode>
                <c:ptCount val="3"/>
                <c:pt idx="0">
                  <c:v>1.1421504064783121</c:v>
                </c:pt>
                <c:pt idx="1">
                  <c:v>1.1421504064783121</c:v>
                </c:pt>
                <c:pt idx="2">
                  <c:v>1.1421504064783121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C3BDF2F6-3E96-42ED-8B14-5BC2D1EE70D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83606409-E162-488F-8B83-46EAEBF4CB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1.7225498050746357E-2</c:v>
                  </c:pt>
                </c:numCache>
              </c:numRef>
            </c:plus>
            <c:minus>
              <c:numRef>
                <c:f>'Graph format rapport CHG 1éch'!$H$4:$J$4</c:f>
                <c:numCache>
                  <c:formatCode>General</c:formatCode>
                  <c:ptCount val="3"/>
                  <c:pt idx="1">
                    <c:v>1.7225498050746357E-2</c:v>
                  </c:pt>
                </c:numCache>
              </c:numRef>
            </c:minus>
          </c:errBars>
          <c:cat>
            <c:strRef>
              <c:f>'Graph format rapport CHG 1éch'!$H$2:$J$2</c:f>
              <c:strCache>
                <c:ptCount val="2"/>
                <c:pt idx="1">
                  <c:v>Fadrozole-5,4µg/L + Testostérone</c:v>
                </c:pt>
              </c:strCache>
            </c:strRef>
          </c:cat>
          <c:val>
            <c:numRef>
              <c:f>'Graph format rapport CHG 1éch'!$H$3:$J$3</c:f>
              <c:numCache>
                <c:formatCode>General</c:formatCode>
                <c:ptCount val="3"/>
                <c:pt idx="1">
                  <c:v>7.2590687243425212E-2</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Fadrozole-5,4µg/L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Fadrozole-11µg/L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Fadrozole-11µg/L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Fadrozole-11µg/L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884DBBDE-2377-41CF-9983-C02004B291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23B29FB4-182B-40A0-A181-82EF6358E1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1.365991901400563E-2</c:v>
                  </c:pt>
                </c:numCache>
              </c:numRef>
            </c:plus>
            <c:minus>
              <c:numRef>
                <c:f>'Graph format rapport CHG 1éch'!$E$4:$G$4</c:f>
                <c:numCache>
                  <c:formatCode>General</c:formatCode>
                  <c:ptCount val="3"/>
                  <c:pt idx="1">
                    <c:v>1.365991901400563E-2</c:v>
                  </c:pt>
                </c:numCache>
              </c:numRef>
            </c:minus>
          </c:errBars>
          <c:cat>
            <c:strRef>
              <c:f>'Graph format rapport CHG 1éch'!$E$2:$G$2</c:f>
              <c:strCache>
                <c:ptCount val="2"/>
                <c:pt idx="1">
                  <c:v>Fadrozole-11µg/L</c:v>
                </c:pt>
              </c:strCache>
            </c:strRef>
          </c:cat>
          <c:val>
            <c:numRef>
              <c:f>'Graph format rapport CHG 1éch'!$E$3:$G$3</c:f>
              <c:numCache>
                <c:formatCode>General</c:formatCode>
                <c:ptCount val="3"/>
                <c:pt idx="1">
                  <c:v>6.5165469555365604E-2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0.1334876740969472</c:v>
                </c:pt>
                <c:pt idx="1">
                  <c:v>0.1334876740969472</c:v>
                </c:pt>
                <c:pt idx="2">
                  <c:v>0.1334876740969472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Fadrozole-5,4µg/L + Testostérone</c:v>
                </c:pt>
              </c:strCache>
            </c:strRef>
          </c:cat>
          <c:val>
            <c:numRef>
              <c:f>'Graph format rapport CHG 1éch'!$H$8:$J$8</c:f>
              <c:numCache>
                <c:formatCode>General</c:formatCode>
                <c:ptCount val="3"/>
                <c:pt idx="0">
                  <c:v>6.6301578954507209E-2</c:v>
                </c:pt>
                <c:pt idx="1">
                  <c:v>6.6301578954507209E-2</c:v>
                </c:pt>
                <c:pt idx="2">
                  <c:v>6.6301578954507209E-2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Fadrozole-5,4µg/L + Testostérone</c:v>
                </c:pt>
              </c:strCache>
            </c:strRef>
          </c:cat>
          <c:val>
            <c:numRef>
              <c:f>'Graph format rapport CHG 1éch'!$H$9:$J$9</c:f>
              <c:numCache>
                <c:formatCode>General</c:formatCode>
                <c:ptCount val="3"/>
                <c:pt idx="0">
                  <c:v>1.3578495935216879</c:v>
                </c:pt>
                <c:pt idx="1">
                  <c:v>1.3578495935216879</c:v>
                </c:pt>
                <c:pt idx="2">
                  <c:v>1.3578495935216879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Fadrozole-5,4µg/L + Testostérone</c:v>
                </c:pt>
              </c:strCache>
            </c:strRef>
          </c:cat>
          <c:val>
            <c:numRef>
              <c:f>'Graph format rapport CHG 1éch'!$H$10:$J$10</c:f>
              <c:numCache>
                <c:formatCode>General</c:formatCode>
                <c:ptCount val="3"/>
                <c:pt idx="0">
                  <c:v>1.1421504064783121</c:v>
                </c:pt>
                <c:pt idx="1">
                  <c:v>1.1421504064783121</c:v>
                </c:pt>
                <c:pt idx="2">
                  <c:v>1.1421504064783121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5D9ACB58-3523-4200-B5F8-387F545F99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00E9E02C-88E7-488C-9832-6092232788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1.7225498050746357E-2</c:v>
                  </c:pt>
                </c:numCache>
              </c:numRef>
            </c:plus>
            <c:minus>
              <c:numRef>
                <c:f>'Graph format rapport CHG 1éch'!$H$4:$J$4</c:f>
                <c:numCache>
                  <c:formatCode>General</c:formatCode>
                  <c:ptCount val="3"/>
                  <c:pt idx="1">
                    <c:v>1.7225498050746357E-2</c:v>
                  </c:pt>
                </c:numCache>
              </c:numRef>
            </c:minus>
          </c:errBars>
          <c:cat>
            <c:strRef>
              <c:f>'Graph format rapport CHG 1éch'!$H$2:$J$2</c:f>
              <c:strCache>
                <c:ptCount val="2"/>
                <c:pt idx="1">
                  <c:v>Fadrozole-5,4µg/L + Testostérone</c:v>
                </c:pt>
              </c:strCache>
            </c:strRef>
          </c:cat>
          <c:val>
            <c:numRef>
              <c:f>'Graph format rapport CHG 1éch'!$H$3:$J$3</c:f>
              <c:numCache>
                <c:formatCode>General</c:formatCode>
                <c:ptCount val="3"/>
                <c:pt idx="1">
                  <c:v>7.2590687243425212E-2</c:v>
                </c:pt>
              </c:numCache>
            </c:numRef>
          </c:val>
          <c:extLst>
            <c:ext xmlns:c15="http://schemas.microsoft.com/office/drawing/2012/chart" uri="{02D57815-91ED-43cb-92C2-25804820EDAC}">
              <c15:datalabelsRange>
                <c15:f>'Graph format rapport CHG 1éch'!$H$5:$J$5</c15:f>
                <c15:dlblRangeCache>
                  <c:ptCount val="3"/>
                  <c:pt idx="1">
                    <c:v>***</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Fadrozole-5,4µg/L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34"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0" workbookViewId="0"/>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0" workbookViewId="0"/>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3321" cy="604908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0.34684</cdr:x>
      <cdr:y>0.01461</cdr:y>
    </cdr:from>
    <cdr:to>
      <cdr:x>0.62251</cdr:x>
      <cdr:y>0.0661</cdr:y>
    </cdr:to>
    <cdr:sp macro="" textlink="">
      <cdr:nvSpPr>
        <cdr:cNvPr id="2" name="ZoneTexte 1"/>
        <cdr:cNvSpPr txBox="1"/>
      </cdr:nvSpPr>
      <cdr:spPr>
        <a:xfrm xmlns:a="http://schemas.openxmlformats.org/drawingml/2006/main">
          <a:off x="3219817" y="88375"/>
          <a:ext cx="2559157"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Fadrozole-High</a:t>
          </a:r>
          <a:r>
            <a:rPr lang="fr-FR" sz="1400" b="1" baseline="0"/>
            <a:t> concs R1</a:t>
          </a:r>
          <a:endParaRPr lang="fr-FR" sz="1400" b="1"/>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2545" cy="6044045"/>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0.61474</cdr:x>
      <cdr:y>0.06658</cdr:y>
    </cdr:to>
    <cdr:sp macro="" textlink="">
      <cdr:nvSpPr>
        <cdr:cNvPr id="2" name="ZoneTexte 1"/>
        <cdr:cNvSpPr txBox="1"/>
      </cdr:nvSpPr>
      <cdr:spPr>
        <a:xfrm xmlns:a="http://schemas.openxmlformats.org/drawingml/2006/main">
          <a:off x="3480397" y="90902"/>
          <a:ext cx="2225944"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Fadrozole-High</a:t>
          </a:r>
          <a:r>
            <a:rPr lang="fr-FR" sz="1400" b="1" baseline="0"/>
            <a:t> concs R2</a:t>
          </a:r>
          <a:endParaRPr lang="fr-FR" sz="1400" b="1"/>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2545" cy="6044045"/>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0.60448</cdr:x>
      <cdr:y>0.06658</cdr:y>
    </cdr:to>
    <cdr:sp macro="" textlink="">
      <cdr:nvSpPr>
        <cdr:cNvPr id="2" name="ZoneTexte 1"/>
        <cdr:cNvSpPr txBox="1"/>
      </cdr:nvSpPr>
      <cdr:spPr>
        <a:xfrm xmlns:a="http://schemas.openxmlformats.org/drawingml/2006/main">
          <a:off x="3480397" y="90902"/>
          <a:ext cx="2130694"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Fadrozole-High</a:t>
          </a:r>
          <a:r>
            <a:rPr lang="fr-FR" sz="1400" b="1" baseline="0"/>
            <a:t> concs R3</a:t>
          </a:r>
          <a:endParaRPr lang="fr-FR"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48375"/>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6.553566666669" createdVersion="6" refreshedVersion="7"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Fadrozole-5,4µg/L"/>
        <s v="Fadrozole-11µg/L"/>
        <s v="Fadrozole-22µg/L"/>
        <s v="Fadrozole-44µg/L"/>
        <s v="Fadrozole-87µg/L"/>
        <s v=" "/>
        <s v="Testo -30µg/L"/>
        <s v="Testo 30µg/L + EE2 -64ng/L"/>
        <s v="Testo 30µg/L + FAD-10µg/L"/>
        <s v="Fadrozole-5,4µg/L + Testostérone"/>
        <s v="Fadrozole-11µg/L + Testostérone"/>
        <s v="Fadrozole-22µg/L + Testostérone"/>
        <s v="Fadrozole-44µg/L + Testostérone"/>
        <s v="Fadrozole-87µg/L + Testostérone"/>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6.553567013892" createdVersion="5" refreshedVersion="7" minRefreshableVersion="3" recordCount="1710" xr:uid="{00000000-000A-0000-FFFF-FFFF14000000}">
  <cacheSource type="worksheet">
    <worksheetSource name="Tableau467"/>
  </cacheSource>
  <cacheFields count="10">
    <cacheField name="Nom groupe" numFmtId="0">
      <sharedItems count="40">
        <s v="01 TS"/>
        <s v=""/>
        <s v="02 EE2 34"/>
        <s v="03 EE2 51"/>
        <s v="04 EE2 76"/>
        <s v="05 EE2 114"/>
        <s v="06 EE2 171"/>
        <s v="07 EE2 488"/>
        <s v="08 Fadrozole 5.4"/>
        <s v="09  Fadrozole 11"/>
        <s v="10  Fadrozole 22"/>
        <s v="11  Fadrozole 44"/>
        <s v="12  Fadrozole 87"/>
        <s v="13 TESTO"/>
        <s v="14 TESTO"/>
        <s v="15 TESTO + EE2"/>
        <s v="16 TESTO + FAD"/>
        <s v="17 FADROZOLE 5.4"/>
        <s v="18 FADROZOLE 11"/>
        <s v="19 FADROZOLE 22"/>
        <s v="20 FADROZOLE 44"/>
        <s v="21 FADROZOLE 87"/>
        <s v="07  Fadrozole 22 µg_L Dopé" u="1"/>
        <s v="10 Fadrozole 22 µg_L" u="1"/>
        <s v="09  Fadrozole 87 µg_L Dopé" u="1"/>
        <s v="02 EE2 33.8" u="1"/>
        <s v="05 Fadrozole 5.4 µg_L Dopé" u="1"/>
        <s v="06 Fadrozole 11 µg_L Dopé" u="1"/>
        <s v="08 Fadrozole 44 µg_L Dopé" u="1"/>
        <s v="11 Fadrozole 44 µg_L" u="1"/>
        <s v="01 Testo 30" u="1"/>
        <s v="12Fadrozole 87 µg_L" u="1"/>
        <s v="04 Testo+ FAD" u="1"/>
        <s v="03 Testo+ EE2 64" u="1"/>
        <s v="08 Fadrozole 5.4 µg_L" u="1"/>
        <s v="02 Testo 30" u="1"/>
        <s v="01 Evian + 0.2% DMSO" u="1"/>
        <s v="09 Fadrozole 11 µg_L" u="1"/>
        <s v="06 EE2 170.9" u="1"/>
        <s v="03 EE2 50.6"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6"/>
    </cacheField>
    <cacheField name=" " numFmtId="0">
      <sharedItems containsBlank="1" count="45">
        <s v=" "/>
        <m/>
        <s v=" SD mean fluo "/>
        <s v=" 3.5953 "/>
        <s v=" 4.2885 "/>
        <s v=" 2.2064 "/>
        <s v=" 1.4308 "/>
        <s v=" 3.6451 "/>
        <s v=" 6.867 "/>
        <s v=" 4.8068 "/>
        <s v=" 11.0366 "/>
        <s v=" 11.9944 "/>
        <s v=" 7.6584 "/>
        <s v=" 3.0915 "/>
        <s v=" 1.6114 "/>
        <s v=" 2.7991 "/>
        <s v=" 3.8656 "/>
        <s v=" 3.2824 "/>
        <s v=" 2.4889 "/>
        <s v=" 2.6952 "/>
        <s v=" 8.292 "/>
        <s v=" 4.7297 "/>
        <s v=" 2.7312 "/>
        <s v=" 7.9773 "/>
        <s v=" 3.6483 " u="1"/>
        <s v=" 3.3656 " u="1"/>
        <s v=" 5.1997 " u="1"/>
        <s v=" 1.9849 " u="1"/>
        <s v=" 2.3511 " u="1"/>
        <s v=" 2.3829 " u="1"/>
        <s v=" 6.2808 " u="1"/>
        <s v=" 6.6311 " u="1"/>
        <s v=" 8.59 " u="1"/>
        <s v=" 4.1359 " u="1"/>
        <s v=" 3.5808 " u="1"/>
        <s v=" 5.4216 " u="1"/>
        <s v=" 5.7025 " u="1"/>
        <s v=" 5.0434 " u="1"/>
        <s v=" 5.2438 " u="1"/>
        <s v=" 7.0695 " u="1"/>
        <s v=" 4.6841 " u="1"/>
        <s v=" 4.0176 " u="1"/>
        <s v=" 3.2771 " u="1"/>
        <s v=" 5.3138 " u="1"/>
        <s v=" 7.6648 " u="1"/>
      </sharedItems>
    </cacheField>
    <cacheField name=" total fluorescence" numFmtId="0">
      <sharedItems containsBlank="1" containsMixedTypes="1" containsNumber="1" containsInteger="1" minValue="5743" maxValue="9547092"/>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6.553567129631" createdVersion="5" refreshedVersion="7"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Fadrozole 5.4 µg_L"/>
        <s v="09 Fadrozole 11 µg_L"/>
        <s v="10 Fadrozole 22 µg_L"/>
        <s v="11 Fadrozole 44 µg_L"/>
        <s v="12Fadrozole 87 µg_L"/>
        <s v="01 Testo 30"/>
        <s v="02 Testo 30"/>
        <s v="03 Testo+ EE2 64"/>
        <s v="04 Testo+ FAD"/>
        <s v="05 Fadrozole 5.4 µg_L Dopé"/>
        <s v="06 Fadrozole 11 µg_L Dopé"/>
        <s v="07  Fadrozole 22 µg_L Dopé"/>
        <s v="08 Fadrozole 44 µg_L Dopé"/>
        <s v="09  Fadrozole 87 µ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6"/>
    </cacheField>
    <cacheField name=" " numFmtId="0">
      <sharedItems containsBlank="1" count="24">
        <s v=" "/>
        <m/>
        <s v=" SD mean fluo "/>
        <s v=" 16.7203 "/>
        <s v=" 4.3759 "/>
        <s v=" 1.9864 "/>
        <s v=" 1.8207 "/>
        <s v=" 2.6702 "/>
        <s v=" 2.3978 "/>
        <s v=" 8.3458 "/>
        <s v=" 5.3963 "/>
        <s v=" 3.5366 "/>
        <s v=" 2.9701 "/>
        <s v=" 4.8418 "/>
        <s v=" 5.8738 "/>
        <s v=" 4.5872 "/>
        <s v=" 4.1884 "/>
        <s v=" 4.6175 "/>
        <s v=" 5.3043 "/>
        <s v=" 5.9411 "/>
        <s v=" 5.8345 "/>
        <s v=" 2.1681 "/>
        <s v=" 2.6203 "/>
        <s v=" 3.5877 "/>
      </sharedItems>
    </cacheField>
    <cacheField name=" total fluorescence" numFmtId="0">
      <sharedItems containsBlank="1" containsMixedTypes="1" containsNumber="1" containsInteger="1" minValue="4088" maxValue="5605214"/>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16.553567361108" createdVersion="5" refreshedVersion="7" minRefreshableVersion="3" recordCount="1556" xr:uid="{00000000-000A-0000-FFFF-FFFF0C000000}">
  <cacheSource type="worksheet">
    <worksheetSource name="Tableau4"/>
  </cacheSource>
  <cacheFields count="10">
    <cacheField name="Nom groupe" numFmtId="0">
      <sharedItems containsBlank="1" count="23">
        <s v="01 Evian + 0.2% DMSO"/>
        <s v=""/>
        <s v="02 EE2 33.8"/>
        <s v="03 EE2 50.6"/>
        <s v="04 EE2 76"/>
        <s v="05 EE2 114"/>
        <s v="06 EE2 170.9"/>
        <s v="07 EE2 488"/>
        <s v="08 Fadrozole 5.4 µg_L"/>
        <s v="09 Fadrozole 11 µg_L"/>
        <s v="10 Fadrozole 22 µg_L"/>
        <s v="11 Fadrozole 44 µg_L"/>
        <s v="12Fadrozole 87 µg_L"/>
        <s v="01 Testo 30"/>
        <s v="02 Testo 30"/>
        <s v="03 Testo+ EE2 64"/>
        <s v="04 Testo+ FAD"/>
        <s v="05 Fadrozole 5.4 µg_L Dopé"/>
        <s v="06 Fadrozole 11 µg_L Dopé"/>
        <s v="07  Fadrozole 22 µg_L Dopé"/>
        <s v="08 Fadrozole 44 µg_L Dopé"/>
        <s v="09  Fadrozole 87 µg_L Dopé"/>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6"/>
    </cacheField>
    <cacheField name=" " numFmtId="0">
      <sharedItems containsBlank="1" count="24">
        <s v=" "/>
        <m/>
        <s v=" SD mean fluo "/>
        <s v=" 4.2984 "/>
        <s v=" 3.3345 "/>
        <s v=" 6.6082 "/>
        <s v=" 3.8581 "/>
        <s v=" 2.1067 "/>
        <s v=" 7.4387 "/>
        <s v=" 7.7832 "/>
        <s v=" 10.1737 "/>
        <s v=" 2.3901 "/>
        <s v=" 2.784 "/>
        <s v=" 3.1446 "/>
        <s v=" 6.706 "/>
        <s v=" 4.8311 "/>
        <s v=" 2.9765 "/>
        <s v=" 5.7551 "/>
        <s v=" 4.1712 "/>
        <s v=" 1.9329 "/>
        <s v=" 6.9553 "/>
        <s v=" 1.7706 "/>
        <s v=" 4.1665 "/>
        <s v=" 1.5947 "/>
      </sharedItems>
    </cacheField>
    <cacheField name=" total fluorescence" numFmtId="0">
      <sharedItems containsBlank="1" containsMixedTypes="1" containsNumber="1" containsInteger="1" minValue="5667" maxValue="6320580"/>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5.4"/>
    <s v="µg/L"/>
    <s v="Fadrozole"/>
    <x v="0"/>
  </r>
  <r>
    <x v="9"/>
    <x v="1"/>
    <n v="11"/>
    <s v="µg/L"/>
    <s v="Fadrozole"/>
    <x v="0"/>
  </r>
  <r>
    <x v="10"/>
    <x v="1"/>
    <n v="22"/>
    <s v="µg/L"/>
    <s v="Fadrozole"/>
    <x v="0"/>
  </r>
  <r>
    <x v="11"/>
    <x v="1"/>
    <n v="44"/>
    <s v="µg/L"/>
    <s v="Fadrozole"/>
    <x v="0"/>
  </r>
  <r>
    <x v="12"/>
    <x v="1"/>
    <n v="87"/>
    <s v="µg/L"/>
    <s v="Fadrozole"/>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µg/L"/>
    <s v="Testo 30µg/L + FAD"/>
    <x v="0"/>
  </r>
  <r>
    <x v="17"/>
    <x v="2"/>
    <n v="5.4"/>
    <s v="µg/L"/>
    <s v="Fadrozole"/>
    <x v="1"/>
  </r>
  <r>
    <x v="18"/>
    <x v="2"/>
    <n v="11"/>
    <s v="µg/L"/>
    <s v="Fadrozole"/>
    <x v="1"/>
  </r>
  <r>
    <x v="19"/>
    <x v="2"/>
    <n v="22"/>
    <s v="µg/L"/>
    <s v="Fadrozole"/>
    <x v="1"/>
  </r>
  <r>
    <x v="20"/>
    <x v="2"/>
    <n v="44"/>
    <s v="µg/L"/>
    <s v="Fadrozole"/>
    <x v="1"/>
  </r>
  <r>
    <x v="21"/>
    <x v="2"/>
    <n v="87"/>
    <s v="µg/L"/>
    <s v="Fadrozole"/>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192.168.24.208\images\R&amp;D\2-Test oestrogénique\OECD and AOPs\REACTIV oecd interlaboratory validation\Results WF\Résultats CBA\2021-CHG-CBA-FADROZOLE HGC\plaque 1/@01 TS/A1_01.tif "/>
    <s v=" 413.3213 "/>
    <s v=" 62.8947 "/>
    <x v="0"/>
    <n v="25996"/>
    <m/>
    <m/>
    <m/>
  </r>
  <r>
    <x v="0"/>
    <x v="0"/>
    <s v="\\192.168.24.208\images\R&amp;D\2-Test oestrogénique\OECD and AOPs\REACTIV oecd interlaboratory validation\Results WF\Résultats CBA\2021-CHG-CBA-FADROZOLE HGC\plaque 1/@01 TS/A1_02.tif "/>
    <s v=" 891.904 "/>
    <s v=" 65.9512 "/>
    <x v="0"/>
    <n v="58822"/>
    <m/>
    <m/>
    <m/>
  </r>
  <r>
    <x v="0"/>
    <x v="0"/>
    <s v="\\192.168.24.208\images\R&amp;D\2-Test oestrogénique\OECD and AOPs\REACTIV oecd interlaboratory validation\Results WF\Résultats CBA\2021-CHG-CBA-FADROZOLE HGC\plaque 1/@01 TS/A1_03.tif "/>
    <s v=" 5525.4538 "/>
    <s v=" 70.1024 "/>
    <x v="0"/>
    <n v="387347"/>
    <m/>
    <m/>
    <m/>
  </r>
  <r>
    <x v="0"/>
    <x v="1"/>
    <s v="\\192.168.24.208\images\R&amp;D\2-Test oestrogénique\OECD and AOPs\REACTIV oecd interlaboratory validation\Results WF\Résultats CBA\2021-CHG-CBA-FADROZOLE HGC\plaque 1/@01 TS/B1_01.tif "/>
    <s v=" 282.7988 "/>
    <n v="65"/>
    <x v="0"/>
    <n v="18382"/>
    <m/>
    <m/>
    <m/>
  </r>
  <r>
    <x v="0"/>
    <x v="1"/>
    <s v="\\192.168.24.208\images\R&amp;D\2-Test oestrogénique\OECD and AOPs\REACTIV oecd interlaboratory validation\Results WF\Résultats CBA\2021-CHG-CBA-FADROZOLE HGC\plaque 1/@01 TS/B1_02.tif "/>
    <s v=" 1044.1802 "/>
    <s v=" 62.7917 "/>
    <x v="0"/>
    <n v="65566"/>
    <m/>
    <m/>
    <m/>
  </r>
  <r>
    <x v="0"/>
    <x v="1"/>
    <s v="\\192.168.24.208\images\R&amp;D\2-Test oestrogénique\OECD and AOPs\REACTIV oecd interlaboratory validation\Results WF\Résultats CBA\2021-CHG-CBA-FADROZOLE HGC\plaque 1/@01 TS/B1_03.tif "/>
    <s v=" 913.6577 "/>
    <s v=" 64.1429 "/>
    <x v="0"/>
    <n v="58605"/>
    <m/>
    <m/>
    <m/>
  </r>
  <r>
    <x v="0"/>
    <x v="2"/>
    <s v="\\192.168.24.208\images\R&amp;D\2-Test oestrogénique\OECD and AOPs\REACTIV oecd interlaboratory validation\Results WF\Résultats CBA\2021-CHG-CBA-FADROZOLE HGC\plaque 1/@01 TS/C1_01- exclu.tif"/>
    <m/>
    <m/>
    <x v="1"/>
    <m/>
    <m/>
    <m/>
    <m/>
  </r>
  <r>
    <x v="0"/>
    <x v="2"/>
    <s v="\\192.168.24.208\images\R&amp;D\2-Test oestrogénique\OECD and AOPs\REACTIV oecd interlaboratory validation\Results WF\Résultats CBA\2021-CHG-CBA-FADROZOLE HGC\plaque 1/@01 TS/C1_02.tif "/>
    <s v=" 1870.8229 "/>
    <s v=" 63.6395 "/>
    <x v="0"/>
    <n v="119058"/>
    <m/>
    <m/>
    <m/>
  </r>
  <r>
    <x v="0"/>
    <x v="2"/>
    <s v="\\192.168.24.208\images\R&amp;D\2-Test oestrogénique\OECD and AOPs\REACTIV oecd interlaboratory validation\Results WF\Résultats CBA\2021-CHG-CBA-FADROZOLE HGC\plaque 1/@01 TS/C1_03.tif "/>
    <s v=" 978.919 "/>
    <s v=" 63.4222 "/>
    <x v="0"/>
    <n v="62085"/>
    <m/>
    <m/>
    <m/>
  </r>
  <r>
    <x v="0"/>
    <x v="3"/>
    <s v="\\192.168.24.208\images\R&amp;D\2-Test oestrogénique\OECD and AOPs\REACTIV oecd interlaboratory validation\Results WF\Résultats CBA\2021-CHG-CBA-FADROZOLE HGC\plaque 1/@01 TS/D1_01.tif "/>
    <s v=" 261.0451 "/>
    <s v=" 62.3333 "/>
    <x v="0"/>
    <n v="16272"/>
    <m/>
    <m/>
    <m/>
  </r>
  <r>
    <x v="0"/>
    <x v="3"/>
    <s v="\\192.168.24.208\images\R&amp;D\2-Test oestrogénique\OECD and AOPs\REACTIV oecd interlaboratory validation\Results WF\Résultats CBA\2021-CHG-CBA-FADROZOLE HGC\plaque 1/@01 TS/D1_02.tif "/>
    <s v=" 4372.5048 "/>
    <s v=" 71.7861 "/>
    <x v="0"/>
    <n v="313885"/>
    <m/>
    <m/>
    <m/>
  </r>
  <r>
    <x v="0"/>
    <x v="3"/>
    <s v="\\192.168.24.208\images\R&amp;D\2-Test oestrogénique\OECD and AOPs\REACTIV oecd interlaboratory validation\Results WF\Résultats CBA\2021-CHG-CBA-FADROZOLE HGC\plaque 1/@01 TS/D1_03.tif "/>
    <s v=" 4111.4597 "/>
    <s v=" 70.873 "/>
    <x v="0"/>
    <n v="291392"/>
    <m/>
    <m/>
    <m/>
  </r>
  <r>
    <x v="0"/>
    <x v="4"/>
    <s v="\\192.168.24.208\images\R&amp;D\2-Test oestrogénique\OECD and AOPs\REACTIV oecd interlaboratory validation\Results WF\Résultats CBA\2021-CHG-CBA-FADROZOLE HGC\plaque 1/@01 TS/E1_01.tif "/>
    <s v=" 804.8889 "/>
    <s v=" 64.9459 "/>
    <x v="0"/>
    <n v="52274"/>
    <m/>
    <m/>
    <m/>
  </r>
  <r>
    <x v="0"/>
    <x v="4"/>
    <s v="\\192.168.24.208\images\R&amp;D\2-Test oestrogénique\OECD and AOPs\REACTIV oecd interlaboratory validation\Results WF\Résultats CBA\2021-CHG-CBA-FADROZOLE HGC\plaque 1/@01 TS/E1_02.tif "/>
    <s v=" 217.5376 "/>
    <s v=" 64.7 "/>
    <x v="0"/>
    <n v="14075"/>
    <m/>
    <m/>
    <m/>
  </r>
  <r>
    <x v="0"/>
    <x v="4"/>
    <s v="\\192.168.24.208\images\R&amp;D\2-Test oestrogénique\OECD and AOPs\REACTIV oecd interlaboratory validation\Results WF\Résultats CBA\2021-CHG-CBA-FADROZOLE HGC\plaque 1/@01 TS/E1_03.tif "/>
    <s v=" 217.5376 "/>
    <s v=" 63.3 "/>
    <x v="0"/>
    <n v="13770"/>
    <m/>
    <m/>
    <m/>
  </r>
  <r>
    <x v="0"/>
    <x v="5"/>
    <s v="\\192.168.24.208\images\R&amp;D\2-Test oestrogénique\OECD and AOPs\REACTIV oecd interlaboratory validation\Results WF\Résultats CBA\2021-CHG-CBA-FADROZOLE HGC\plaque 1/@01 TS/F1_01.tif "/>
    <s v=" 4742.3186 "/>
    <s v=" 69.3257 "/>
    <x v="0"/>
    <n v="328764"/>
    <m/>
    <m/>
    <m/>
  </r>
  <r>
    <x v="0"/>
    <x v="5"/>
    <s v="\\192.168.24.208\images\R&amp;D\2-Test oestrogénique\OECD and AOPs\REACTIV oecd interlaboratory validation\Results WF\Résultats CBA\2021-CHG-CBA-FADROZOLE HGC\plaque 1/@01 TS/F1_02.tif "/>
    <s v=" 5917.0214 "/>
    <s v=" 73.5074 "/>
    <x v="0"/>
    <n v="434945"/>
    <m/>
    <m/>
    <m/>
  </r>
  <r>
    <x v="0"/>
    <x v="5"/>
    <s v="\\192.168.24.208\images\R&amp;D\2-Test oestrogénique\OECD and AOPs\REACTIV oecd interlaboratory validation\Results WF\Résultats CBA\2021-CHG-CBA-FADROZOLE HGC\plaque 1/@01 TS/F1_03.tif "/>
    <s v=" 5786.4988 "/>
    <s v=" 72.7895 "/>
    <x v="0"/>
    <n v="421196"/>
    <m/>
    <m/>
    <m/>
  </r>
  <r>
    <x v="0"/>
    <x v="6"/>
    <s v="\\192.168.24.208\images\R&amp;D\2-Test oestrogénique\OECD and AOPs\REACTIV oecd interlaboratory validation\Results WF\Résultats CBA\2021-CHG-CBA-FADROZOLE HGC\plaque 1/@01 TS/G1_01.tif "/>
    <s v=" 2915.0032 "/>
    <s v=" 65.7687 "/>
    <x v="0"/>
    <n v="191716"/>
    <m/>
    <m/>
    <m/>
  </r>
  <r>
    <x v="0"/>
    <x v="6"/>
    <s v="\\192.168.24.208\images\R&amp;D\2-Test oestrogénique\OECD and AOPs\REACTIV oecd interlaboratory validation\Results WF\Résultats CBA\2021-CHG-CBA-FADROZOLE HGC\plaque 1/@01 TS/G1_02.tif "/>
    <s v=" 5568.9613 "/>
    <s v=" 67.5469 "/>
    <x v="0"/>
    <n v="376166"/>
    <m/>
    <m/>
    <m/>
  </r>
  <r>
    <x v="0"/>
    <x v="6"/>
    <s v="\\192.168.24.208\images\R&amp;D\2-Test oestrogénique\OECD and AOPs\REACTIV oecd interlaboratory validation\Results WF\Résultats CBA\2021-CHG-CBA-FADROZOLE HGC\plaque 1/@01 TS/G1_03.tif "/>
    <s v=" 804.8889 "/>
    <s v=" 62.4324 "/>
    <x v="0"/>
    <n v="50251"/>
    <m/>
    <m/>
    <m/>
  </r>
  <r>
    <x v="0"/>
    <x v="7"/>
    <s v="\\192.168.24.208\images\R&amp;D\2-Test oestrogénique\OECD and AOPs\REACTIV oecd interlaboratory validation\Results WF\Résultats CBA\2021-CHG-CBA-FADROZOLE HGC\plaque 1/@01 TS/H1_01.tif "/>
    <s v=" 195.7838 "/>
    <s v=" 63.6667 "/>
    <x v="0"/>
    <n v="12465"/>
    <m/>
    <m/>
    <m/>
  </r>
  <r>
    <x v="0"/>
    <x v="7"/>
    <s v="\\192.168.24.208\images\R&amp;D\2-Test oestrogénique\OECD and AOPs\REACTIV oecd interlaboratory validation\Results WF\Résultats CBA\2021-CHG-CBA-FADROZOLE HGC\plaque 1/@01 TS/H1_02.tif "/>
    <s v=" 282.7988 "/>
    <s v=" 62.9231 "/>
    <x v="0"/>
    <n v="17795"/>
    <m/>
    <m/>
    <m/>
  </r>
  <r>
    <x v="0"/>
    <x v="7"/>
    <s v="\\192.168.24.208\images\R&amp;D\2-Test oestrogénique\OECD and AOPs\REACTIV oecd interlaboratory validation\Results WF\Résultats CBA\2021-CHG-CBA-FADROZOLE HGC\plaque 1/@01 TS/H1_03- exclu.tif"/>
    <m/>
    <m/>
    <x v="1"/>
    <m/>
    <m/>
    <m/>
    <m/>
  </r>
  <r>
    <x v="1"/>
    <x v="8"/>
    <s v=" "/>
    <m/>
    <m/>
    <x v="1"/>
    <m/>
    <m/>
    <m/>
    <m/>
  </r>
  <r>
    <x v="1"/>
    <x v="8"/>
    <s v="group "/>
    <s v=" "/>
    <s v=" mean of mean fluo "/>
    <x v="2"/>
    <s v=" mean of total fluo "/>
    <s v=" SD total fluo "/>
    <s v=" n fluorescent "/>
    <m/>
  </r>
  <r>
    <x v="0"/>
    <x v="9"/>
    <s v="\\192.168.24.208\images\R&amp;D\2-Test oestrogénique\OECD and AOPs\REACTIV oecd interlaboratory validation\Results WF\Résultats CBA\2021-CHG-CBA-FADROZOLE HGC\plaque 1/@01 TS/ "/>
    <s v=" "/>
    <s v=" 65.8125 "/>
    <x v="3"/>
    <s v=" 142246.917 "/>
    <s v=" 153524.22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192.168.24.208\images\R&amp;D\2-Test oestrogénique\OECD and AOPs\REACTIV oecd interlaboratory validation\Results WF\Résultats CBA\2021-CHG-CBA-FADROZOLE HGC\plaque 1/@02 EE2 34/A2_01.tif "/>
    <s v=" 3937.4297 "/>
    <s v=" 66.7569 "/>
    <x v="0"/>
    <n v="262851"/>
    <m/>
    <m/>
    <m/>
  </r>
  <r>
    <x v="2"/>
    <x v="0"/>
    <s v="\\192.168.24.208\images\R&amp;D\2-Test oestrogénique\OECD and AOPs\REACTIV oecd interlaboratory validation\Results WF\Résultats CBA\2021-CHG-CBA-FADROZOLE HGC\plaque 1/@02 EE2 34/A2_02.tif "/>
    <s v=" 4894.5949 "/>
    <s v=" 68.2622 "/>
    <x v="0"/>
    <n v="334116"/>
    <m/>
    <m/>
    <m/>
  </r>
  <r>
    <x v="2"/>
    <x v="0"/>
    <s v="\\192.168.24.208\images\R&amp;D\2-Test oestrogénique\OECD and AOPs\REACTIV oecd interlaboratory validation\Results WF\Résultats CBA\2021-CHG-CBA-FADROZOLE HGC\plaque 1/@02 EE2 34/A2_03.tif "/>
    <s v=" 891.904 "/>
    <s v=" 63.9756 "/>
    <x v="0"/>
    <n v="57060"/>
    <m/>
    <m/>
    <m/>
  </r>
  <r>
    <x v="2"/>
    <x v="1"/>
    <s v="\\192.168.24.208\images\R&amp;D\2-Test oestrogénique\OECD and AOPs\REACTIV oecd interlaboratory validation\Results WF\Résultats CBA\2021-CHG-CBA-FADROZOLE HGC\plaque 1/@02 EE2 34/B2_01.tif "/>
    <s v=" 174.03 "/>
    <s v=" 61.625 "/>
    <x v="0"/>
    <n v="10725"/>
    <m/>
    <m/>
    <m/>
  </r>
  <r>
    <x v="2"/>
    <x v="1"/>
    <s v="\\192.168.24.208\images\R&amp;D\2-Test oestrogénique\OECD and AOPs\REACTIV oecd interlaboratory validation\Results WF\Résultats CBA\2021-CHG-CBA-FADROZOLE HGC\plaque 1/@02 EE2 34/B2_02.tif "/>
    <s v=" 696.1202 "/>
    <s v=" 63.125 "/>
    <x v="0"/>
    <n v="43943"/>
    <m/>
    <m/>
    <m/>
  </r>
  <r>
    <x v="2"/>
    <x v="1"/>
    <s v="\\192.168.24.208\images\R&amp;D\2-Test oestrogénique\OECD and AOPs\REACTIV oecd interlaboratory validation\Results WF\Résultats CBA\2021-CHG-CBA-FADROZOLE HGC\plaque 1/@02 EE2 34/B2_03.tif "/>
    <s v=" 261.0451 "/>
    <s v=" 62.8333 "/>
    <x v="0"/>
    <n v="16402"/>
    <m/>
    <m/>
    <m/>
  </r>
  <r>
    <x v="2"/>
    <x v="2"/>
    <s v="\\192.168.24.208\images\R&amp;D\2-Test oestrogénique\OECD and AOPs\REACTIV oecd interlaboratory validation\Results WF\Résultats CBA\2021-CHG-CBA-FADROZOLE HGC\plaque 1/@02 EE2 34/C2_01.tif "/>
    <s v=" 913.6577 "/>
    <s v=" 63.2143 "/>
    <x v="0"/>
    <n v="57756"/>
    <m/>
    <m/>
    <m/>
  </r>
  <r>
    <x v="2"/>
    <x v="2"/>
    <s v="\\192.168.24.208\images\R&amp;D\2-Test oestrogénique\OECD and AOPs\REACTIV oecd interlaboratory validation\Results WF\Résultats CBA\2021-CHG-CBA-FADROZOLE HGC\plaque 1/@02 EE2 34/C2_02.tif "/>
    <s v=" 2218.883 "/>
    <s v=" 65.902 "/>
    <x v="0"/>
    <n v="146229"/>
    <m/>
    <m/>
    <m/>
  </r>
  <r>
    <x v="2"/>
    <x v="2"/>
    <s v="\\192.168.24.208\images\R&amp;D\2-Test oestrogénique\OECD and AOPs\REACTIV oecd interlaboratory validation\Results WF\Résultats CBA\2021-CHG-CBA-FADROZOLE HGC\plaque 1/@02 EE2 34/C2_03.tif "/>
    <s v=" 978.919 "/>
    <s v=" 63.0667 "/>
    <x v="0"/>
    <n v="61737"/>
    <m/>
    <m/>
    <m/>
  </r>
  <r>
    <x v="2"/>
    <x v="3"/>
    <s v="\\192.168.24.208\images\R&amp;D\2-Test oestrogénique\OECD and AOPs\REACTIV oecd interlaboratory validation\Results WF\Résultats CBA\2021-CHG-CBA-FADROZOLE HGC\plaque 1/@02 EE2 34/D2_01.tif "/>
    <s v=" 1718.5466 "/>
    <s v=" 65.5063 "/>
    <x v="0"/>
    <n v="112576"/>
    <m/>
    <m/>
    <m/>
  </r>
  <r>
    <x v="2"/>
    <x v="3"/>
    <s v="\\192.168.24.208\images\R&amp;D\2-Test oestrogénique\OECD and AOPs\REACTIV oecd interlaboratory validation\Results WF\Résultats CBA\2021-CHG-CBA-FADROZOLE HGC\plaque 1/@02 EE2 34/D2_02.tif "/>
    <s v=" 239.2913 "/>
    <s v=" 63.8182 "/>
    <x v="0"/>
    <n v="15271"/>
    <m/>
    <m/>
    <m/>
  </r>
  <r>
    <x v="2"/>
    <x v="3"/>
    <s v="\\192.168.24.208\images\R&amp;D\2-Test oestrogénique\OECD and AOPs\REACTIV oecd interlaboratory validation\Results WF\Résultats CBA\2021-CHG-CBA-FADROZOLE HGC\plaque 1/@02 EE2 34/D2_03.tif "/>
    <s v=" 565.5976 "/>
    <s v=" 62.3846 "/>
    <x v="0"/>
    <n v="35285"/>
    <m/>
    <m/>
    <m/>
  </r>
  <r>
    <x v="2"/>
    <x v="4"/>
    <s v="\\192.168.24.208\images\R&amp;D\2-Test oestrogénique\OECD and AOPs\REACTIV oecd interlaboratory validation\Results WF\Résultats CBA\2021-CHG-CBA-FADROZOLE HGC\plaque 1/@02 EE2 34/E2_01.tif "/>
    <s v=" 8222.9194 "/>
    <s v=" 70.1746 "/>
    <x v="0"/>
    <n v="577040"/>
    <m/>
    <m/>
    <m/>
  </r>
  <r>
    <x v="2"/>
    <x v="4"/>
    <s v="\\192.168.24.208\images\R&amp;D\2-Test oestrogénique\OECD and AOPs\REACTIV oecd interlaboratory validation\Results WF\Résultats CBA\2021-CHG-CBA-FADROZOLE HGC\plaque 1/@02 EE2 34/E2_02- exclu.tif"/>
    <m/>
    <m/>
    <x v="1"/>
    <m/>
    <m/>
    <m/>
    <m/>
  </r>
  <r>
    <x v="2"/>
    <x v="4"/>
    <s v="\\192.168.24.208\images\R&amp;D\2-Test oestrogénique\OECD and AOPs\REACTIV oecd interlaboratory validation\Results WF\Résultats CBA\2021-CHG-CBA-FADROZOLE HGC\plaque 1/@02 EE2 34/E2_03.tif "/>
    <s v=" 9702.1747 "/>
    <s v=" 82.3139 "/>
    <x v="0"/>
    <n v="798624"/>
    <m/>
    <m/>
    <m/>
  </r>
  <r>
    <x v="2"/>
    <x v="5"/>
    <s v="\\192.168.24.208\images\R&amp;D\2-Test oestrogénique\OECD and AOPs\REACTIV oecd interlaboratory validation\Results WF\Résultats CBA\2021-CHG-CBA-FADROZOLE HGC\plaque 1/@02 EE2 34/F2_01.tif "/>
    <s v=" 2936.7569 "/>
    <s v=" 65.8593 "/>
    <x v="0"/>
    <n v="193413"/>
    <m/>
    <m/>
    <m/>
  </r>
  <r>
    <x v="2"/>
    <x v="5"/>
    <s v="\\192.168.24.208\images\R&amp;D\2-Test oestrogénique\OECD and AOPs\REACTIV oecd interlaboratory validation\Results WF\Résultats CBA\2021-CHG-CBA-FADROZOLE HGC\plaque 1/@02 EE2 34/F2_02.tif "/>
    <s v=" 6221.5739 "/>
    <s v=" 69.7378 "/>
    <x v="0"/>
    <n v="433879"/>
    <m/>
    <m/>
    <m/>
  </r>
  <r>
    <x v="2"/>
    <x v="5"/>
    <s v="\\192.168.24.208\images\R&amp;D\2-Test oestrogénique\OECD and AOPs\REACTIV oecd interlaboratory validation\Results WF\Résultats CBA\2021-CHG-CBA-FADROZOLE HGC\plaque 1/@02 EE2 34/F2_03.tif "/>
    <s v=" 2001.3455 "/>
    <s v=" 66.2826 "/>
    <x v="0"/>
    <n v="132654"/>
    <m/>
    <m/>
    <m/>
  </r>
  <r>
    <x v="2"/>
    <x v="6"/>
    <s v="\\192.168.24.208\images\R&amp;D\2-Test oestrogénique\OECD and AOPs\REACTIV oecd interlaboratory validation\Results WF\Résultats CBA\2021-CHG-CBA-FADROZOLE HGC\plaque 1/@02 EE2 34/G2_01.tif "/>
    <s v=" 261.0451 "/>
    <s v=" 61.8333 "/>
    <x v="0"/>
    <n v="16141"/>
    <m/>
    <m/>
    <m/>
  </r>
  <r>
    <x v="2"/>
    <x v="6"/>
    <s v="\\192.168.24.208\images\R&amp;D\2-Test oestrogénique\OECD and AOPs\REACTIV oecd interlaboratory validation\Results WF\Résultats CBA\2021-CHG-CBA-FADROZOLE HGC\plaque 1/@02 EE2 34/G2_02.tif "/>
    <s v=" 174.03 "/>
    <s v=" 64.75 "/>
    <x v="0"/>
    <n v="11268"/>
    <m/>
    <m/>
    <m/>
  </r>
  <r>
    <x v="2"/>
    <x v="6"/>
    <s v="\\192.168.24.208\images\R&amp;D\2-Test oestrogénique\OECD and AOPs\REACTIV oecd interlaboratory validation\Results WF\Résultats CBA\2021-CHG-CBA-FADROZOLE HGC\plaque 1/@02 EE2 34/G2_03.tif "/>
    <s v=" 369.8138 "/>
    <s v=" 66.1765 "/>
    <x v="0"/>
    <n v="24473"/>
    <m/>
    <m/>
    <m/>
  </r>
  <r>
    <x v="2"/>
    <x v="7"/>
    <s v="\\192.168.24.208\images\R&amp;D\2-Test oestrogénique\OECD and AOPs\REACTIV oecd interlaboratory validation\Results WF\Résultats CBA\2021-CHG-CBA-FADROZOLE HGC\plaque 1/@02 EE2 34/H2_01.tif "/>
    <s v=" 413.3213 "/>
    <s v=" 64.1579 "/>
    <x v="0"/>
    <n v="26518"/>
    <m/>
    <m/>
    <m/>
  </r>
  <r>
    <x v="2"/>
    <x v="7"/>
    <s v="\\192.168.24.208\images\R&amp;D\2-Test oestrogénique\OECD and AOPs\REACTIV oecd interlaboratory validation\Results WF\Résultats CBA\2021-CHG-CBA-FADROZOLE HGC\plaque 1/@02 EE2 34/H2_02.tif "/>
    <s v=" 456.8289 "/>
    <s v=" 63.0952 "/>
    <x v="0"/>
    <n v="28824"/>
    <m/>
    <m/>
    <m/>
  </r>
  <r>
    <x v="2"/>
    <x v="7"/>
    <s v="\\192.168.24.208\images\R&amp;D\2-Test oestrogénique\OECD and AOPs\REACTIV oecd interlaboratory validation\Results WF\Résultats CBA\2021-CHG-CBA-FADROZOLE HGC\plaque 1/@02 EE2 34/H2_03.tif "/>
    <s v=" 261.0451 "/>
    <s v=" 62.4167 "/>
    <x v="0"/>
    <n v="16294"/>
    <m/>
    <m/>
    <m/>
  </r>
  <r>
    <x v="1"/>
    <x v="8"/>
    <s v=" "/>
    <m/>
    <m/>
    <x v="1"/>
    <m/>
    <m/>
    <m/>
    <m/>
  </r>
  <r>
    <x v="1"/>
    <x v="8"/>
    <s v="group "/>
    <s v=" "/>
    <s v=" mean of mean fluo "/>
    <x v="2"/>
    <s v=" mean of total fluo "/>
    <s v=" SD total fluo "/>
    <s v=" n fluorescent "/>
    <m/>
  </r>
  <r>
    <x v="2"/>
    <x v="9"/>
    <s v="\\192.168.24.208\images\R&amp;D\2-Test oestrogénique\OECD and AOPs\REACTIV oecd interlaboratory validation\Results WF\Résultats CBA\2021-CHG-CBA-FADROZOLE HGC\plaque 1/@02 EE2 34/ "/>
    <s v=" "/>
    <s v=" 65.4376 "/>
    <x v="4"/>
    <n v="143186"/>
    <s v=" 203692.87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192.168.24.208\images\R&amp;D\2-Test oestrogénique\OECD and AOPs\REACTIV oecd interlaboratory validation\Results WF\Résultats CBA\2021-CHG-CBA-FADROZOLE HGC\plaque 1/@03 EE2 51/A3_01.tif "/>
    <s v=" 1109.4415 "/>
    <s v=" 62.8431 "/>
    <x v="0"/>
    <n v="69721"/>
    <m/>
    <m/>
    <m/>
  </r>
  <r>
    <x v="3"/>
    <x v="0"/>
    <s v="\\192.168.24.208\images\R&amp;D\2-Test oestrogénique\OECD and AOPs\REACTIV oecd interlaboratory validation\Results WF\Résultats CBA\2021-CHG-CBA-FADROZOLE HGC\plaque 1/@03 EE2 51/A3_02.tif "/>
    <s v=" 5373.1775 "/>
    <s v=" 67.9838 "/>
    <x v="0"/>
    <n v="365289"/>
    <m/>
    <m/>
    <m/>
  </r>
  <r>
    <x v="3"/>
    <x v="0"/>
    <s v="\\192.168.24.208\images\R&amp;D\2-Test oestrogénique\OECD and AOPs\REACTIV oecd interlaboratory validation\Results WF\Résultats CBA\2021-CHG-CBA-FADROZOLE HGC\plaque 1/@03 EE2 51/A3_03.tif "/>
    <s v=" 1370.4866 "/>
    <s v=" 62.9365 "/>
    <x v="0"/>
    <n v="86254"/>
    <m/>
    <m/>
    <m/>
  </r>
  <r>
    <x v="3"/>
    <x v="1"/>
    <s v="\\192.168.24.208\images\R&amp;D\2-Test oestrogénique\OECD and AOPs\REACTIV oecd interlaboratory validation\Results WF\Résultats CBA\2021-CHG-CBA-FADROZOLE HGC\plaque 1/@03 EE2 51/B3_01.tif "/>
    <s v=" 652.6127 "/>
    <s v=" 62.7 "/>
    <x v="0"/>
    <n v="40919"/>
    <m/>
    <m/>
    <m/>
  </r>
  <r>
    <x v="3"/>
    <x v="1"/>
    <s v="\\192.168.24.208\images\R&amp;D\2-Test oestrogénique\OECD and AOPs\REACTIV oecd interlaboratory validation\Results WF\Résultats CBA\2021-CHG-CBA-FADROZOLE HGC\plaque 1/@03 EE2 51/B3_02.tif "/>
    <s v=" 4611.7961 "/>
    <s v=" 67.4717 "/>
    <x v="0"/>
    <n v="311166"/>
    <m/>
    <m/>
    <m/>
  </r>
  <r>
    <x v="3"/>
    <x v="1"/>
    <s v="\\192.168.24.208\images\R&amp;D\2-Test oestrogénique\OECD and AOPs\REACTIV oecd interlaboratory validation\Results WF\Résultats CBA\2021-CHG-CBA-FADROZOLE HGC\plaque 1/@03 EE2 51/B3_03.tif "/>
    <s v=" 5677.7301 "/>
    <s v=" 71.7778 "/>
    <x v="0"/>
    <n v="407535"/>
    <m/>
    <m/>
    <m/>
  </r>
  <r>
    <x v="3"/>
    <x v="2"/>
    <s v="\\192.168.24.208\images\R&amp;D\2-Test oestrogénique\OECD and AOPs\REACTIV oecd interlaboratory validation\Results WF\Résultats CBA\2021-CHG-CBA-FADROZOLE HGC\plaque 1/@03 EE2 51/C3_01.tif "/>
    <s v=" 848.3964 "/>
    <s v=" 63.7949 "/>
    <x v="0"/>
    <n v="54123"/>
    <m/>
    <m/>
    <m/>
  </r>
  <r>
    <x v="3"/>
    <x v="2"/>
    <s v="\\192.168.24.208\images\R&amp;D\2-Test oestrogénique\OECD and AOPs\REACTIV oecd interlaboratory validation\Results WF\Résultats CBA\2021-CHG-CBA-FADROZOLE HGC\plaque 1/@03 EE2 51/C3_02- exclu.tif"/>
    <m/>
    <m/>
    <x v="1"/>
    <m/>
    <m/>
    <m/>
    <m/>
  </r>
  <r>
    <x v="3"/>
    <x v="2"/>
    <s v="\\192.168.24.208\images\R&amp;D\2-Test oestrogénique\OECD and AOPs\REACTIV oecd interlaboratory validation\Results WF\Résultats CBA\2021-CHG-CBA-FADROZOLE HGC\plaque 1/@03 EE2 51/C3_03.tif "/>
    <s v=" 2915.0032 "/>
    <s v=" 64.2761 "/>
    <x v="0"/>
    <n v="187365"/>
    <m/>
    <m/>
    <m/>
  </r>
  <r>
    <x v="3"/>
    <x v="3"/>
    <s v="\\192.168.24.208\images\R&amp;D\2-Test oestrogénique\OECD and AOPs\REACTIV oecd interlaboratory validation\Results WF\Résultats CBA\2021-CHG-CBA-FADROZOLE HGC\plaque 1/@03 EE2 51/D3_01.tif "/>
    <s v=" 2110.1142 "/>
    <s v=" 62.4124 "/>
    <x v="0"/>
    <n v="131697"/>
    <m/>
    <m/>
    <m/>
  </r>
  <r>
    <x v="3"/>
    <x v="3"/>
    <s v="\\192.168.24.208\images\R&amp;D\2-Test oestrogénique\OECD and AOPs\REACTIV oecd interlaboratory validation\Results WF\Résultats CBA\2021-CHG-CBA-FADROZOLE HGC\plaque 1/@03 EE2 51/D3_02.tif "/>
    <s v=" 3567.6158 "/>
    <s v=" 63.5 "/>
    <x v="0"/>
    <n v="226544"/>
    <m/>
    <m/>
    <m/>
  </r>
  <r>
    <x v="3"/>
    <x v="3"/>
    <s v="\\192.168.24.208\images\R&amp;D\2-Test oestrogénique\OECD and AOPs\REACTIV oecd interlaboratory validation\Results WF\Résultats CBA\2021-CHG-CBA-FADROZOLE HGC\plaque 1/@03 EE2 51/D3_03.tif "/>
    <s v=" 4111.4597 "/>
    <s v=" 64.5344 "/>
    <x v="0"/>
    <n v="265331"/>
    <m/>
    <m/>
    <m/>
  </r>
  <r>
    <x v="3"/>
    <x v="4"/>
    <s v="\\192.168.24.208\images\R&amp;D\2-Test oestrogénique\OECD and AOPs\REACTIV oecd interlaboratory validation\Results WF\Résultats CBA\2021-CHG-CBA-FADROZOLE HGC\plaque 1/@03 EE2 51/E3_01.tif "/>
    <s v=" 565.5976 "/>
    <s v=" 61.7308 "/>
    <x v="0"/>
    <n v="34915"/>
    <m/>
    <m/>
    <m/>
  </r>
  <r>
    <x v="3"/>
    <x v="4"/>
    <s v="\\192.168.24.208\images\R&amp;D\2-Test oestrogénique\OECD and AOPs\REACTIV oecd interlaboratory validation\Results WF\Résultats CBA\2021-CHG-CBA-FADROZOLE HGC\plaque 1/@03 EE2 51/E3_02.tif "/>
    <s v=" 717.8739 "/>
    <s v=" 63.5758 "/>
    <x v="0"/>
    <n v="45639"/>
    <m/>
    <m/>
    <m/>
  </r>
  <r>
    <x v="3"/>
    <x v="4"/>
    <s v="\\192.168.24.208\images\R&amp;D\2-Test oestrogénique\OECD and AOPs\REACTIV oecd interlaboratory validation\Results WF\Résultats CBA\2021-CHG-CBA-FADROZOLE HGC\plaque 1/@03 EE2 51/E3_03.tif "/>
    <s v=" 630.8589 "/>
    <s v=" 62.8276 "/>
    <x v="0"/>
    <n v="39635"/>
    <m/>
    <m/>
    <m/>
  </r>
  <r>
    <x v="3"/>
    <x v="5"/>
    <s v="\\192.168.24.208\images\R&amp;D\2-Test oestrogénique\OECD and AOPs\REACTIV oecd interlaboratory validation\Results WF\Résultats CBA\2021-CHG-CBA-FADROZOLE HGC\plaque 1/@03 EE2 51/F3_01.tif "/>
    <s v=" 1326.9791 "/>
    <s v=" 64.3279 "/>
    <x v="0"/>
    <n v="85362"/>
    <m/>
    <m/>
    <m/>
  </r>
  <r>
    <x v="3"/>
    <x v="5"/>
    <s v="\\192.168.24.208\images\R&amp;D\2-Test oestrogénique\OECD and AOPs\REACTIV oecd interlaboratory validation\Results WF\Résultats CBA\2021-CHG-CBA-FADROZOLE HGC\plaque 1/@03 EE2 51/F3_02.tif "/>
    <s v=" 1762.0542 "/>
    <s v=" 65.0123 "/>
    <x v="0"/>
    <n v="114555"/>
    <m/>
    <m/>
    <m/>
  </r>
  <r>
    <x v="3"/>
    <x v="5"/>
    <s v="\\192.168.24.208\images\R&amp;D\2-Test oestrogénique\OECD and AOPs\REACTIV oecd interlaboratory validation\Results WF\Résultats CBA\2021-CHG-CBA-FADROZOLE HGC\plaque 1/@03 EE2 51/F3_03.tif "/>
    <s v=" 326.3063 "/>
    <s v=" 62.2667 "/>
    <x v="0"/>
    <n v="20318"/>
    <m/>
    <m/>
    <m/>
  </r>
  <r>
    <x v="3"/>
    <x v="6"/>
    <s v="\\192.168.24.208\images\R&amp;D\2-Test oestrogénique\OECD and AOPs\REACTIV oecd interlaboratory validation\Results WF\Résultats CBA\2021-CHG-CBA-FADROZOLE HGC\plaque 1/@03 EE2 51/G3_01.tif "/>
    <s v=" 326.3063 "/>
    <s v=" 62.3333 "/>
    <x v="0"/>
    <n v="20340"/>
    <m/>
    <m/>
    <m/>
  </r>
  <r>
    <x v="3"/>
    <x v="6"/>
    <s v="\\192.168.24.208\images\R&amp;D\2-Test oestrogénique\OECD and AOPs\REACTIV oecd interlaboratory validation\Results WF\Résultats CBA\2021-CHG-CBA-FADROZOLE HGC\plaque 1/@03 EE2 51/G3_02.tif "/>
    <s v=" 304.5526 "/>
    <s v=" 63.1429 "/>
    <x v="0"/>
    <n v="19230"/>
    <m/>
    <m/>
    <m/>
  </r>
  <r>
    <x v="3"/>
    <x v="6"/>
    <s v="\\192.168.24.208\images\R&amp;D\2-Test oestrogénique\OECD and AOPs\REACTIV oecd interlaboratory validation\Results WF\Résultats CBA\2021-CHG-CBA-FADROZOLE HGC\plaque 1/@03 EE2 51/G3_03.tif "/>
    <s v=" 348.0601 "/>
    <s v=" 63.5625 "/>
    <x v="0"/>
    <n v="22124"/>
    <m/>
    <m/>
    <m/>
  </r>
  <r>
    <x v="3"/>
    <x v="7"/>
    <s v="\\192.168.24.208\images\R&amp;D\2-Test oestrogénique\OECD and AOPs\REACTIV oecd interlaboratory validation\Results WF\Résultats CBA\2021-CHG-CBA-FADROZOLE HGC\plaque 1/@03 EE2 51/H3_01.tif "/>
    <s v=" 935.4115 "/>
    <s v=" 63.0698 "/>
    <x v="0"/>
    <n v="58996"/>
    <m/>
    <m/>
    <m/>
  </r>
  <r>
    <x v="3"/>
    <x v="7"/>
    <s v="\\192.168.24.208\images\R&amp;D\2-Test oestrogénique\OECD and AOPs\REACTIV oecd interlaboratory validation\Results WF\Résultats CBA\2021-CHG-CBA-FADROZOLE HGC\plaque 1/@03 EE2 51/H3_02.tif "/>
    <s v=" 1000.6727 "/>
    <s v=" 64.0435 "/>
    <x v="0"/>
    <n v="64087"/>
    <m/>
    <m/>
    <m/>
  </r>
  <r>
    <x v="3"/>
    <x v="7"/>
    <s v="\\192.168.24.208\images\R&amp;D\2-Test oestrogénique\OECD and AOPs\REACTIV oecd interlaboratory validation\Results WF\Résultats CBA\2021-CHG-CBA-FADROZOLE HGC\plaque 1/@03 EE2 51/H3_03.tif "/>
    <s v=" 826.6427 "/>
    <s v=" 63.2632 "/>
    <x v="0"/>
    <n v="52296"/>
    <m/>
    <m/>
    <m/>
  </r>
  <r>
    <x v="1"/>
    <x v="8"/>
    <s v=" "/>
    <m/>
    <m/>
    <x v="1"/>
    <m/>
    <m/>
    <m/>
    <m/>
  </r>
  <r>
    <x v="1"/>
    <x v="8"/>
    <s v="group "/>
    <s v=" "/>
    <s v=" mean of mean fluo "/>
    <x v="2"/>
    <s v=" mean of total fluo "/>
    <s v=" SD total fluo "/>
    <s v=" n fluorescent "/>
    <m/>
  </r>
  <r>
    <x v="3"/>
    <x v="9"/>
    <s v="\\192.168.24.208\images\R&amp;D\2-Test oestrogénique\OECD and AOPs\REACTIV oecd interlaboratory validation\Results WF\Résultats CBA\2021-CHG-CBA-FADROZOLE HGC\plaque 1/@03 EE2 51/ "/>
    <s v=" "/>
    <s v=" 64.0353 "/>
    <x v="5"/>
    <s v=" 114224.5 "/>
    <s v=" 116451.371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192.168.24.208\images\R&amp;D\2-Test oestrogénique\OECD and AOPs\REACTIV oecd interlaboratory validation\Results WF\Résultats CBA\2021-CHG-CBA-FADROZOLE HGC\plaque 1/@04 EE2 76/A4_01.tif "/>
    <s v=" 8636.2407 "/>
    <s v=" 65.3753 "/>
    <x v="0"/>
    <n v="564597"/>
    <m/>
    <m/>
    <m/>
  </r>
  <r>
    <x v="4"/>
    <x v="0"/>
    <s v="\\192.168.24.208\images\R&amp;D\2-Test oestrogénique\OECD and AOPs\REACTIV oecd interlaboratory validation\Results WF\Résultats CBA\2021-CHG-CBA-FADROZOLE HGC\plaque 1/@04 EE2 76/A4_02.tif "/>
    <s v=" 5612.4688 "/>
    <s v=" 63.6667 "/>
    <x v="0"/>
    <n v="357327"/>
    <m/>
    <m/>
    <m/>
  </r>
  <r>
    <x v="4"/>
    <x v="0"/>
    <s v="\\192.168.24.208\images\R&amp;D\2-Test oestrogénique\OECD and AOPs\REACTIV oecd interlaboratory validation\Results WF\Résultats CBA\2021-CHG-CBA-FADROZOLE HGC\plaque 1/@04 EE2 76/A4_03.tif "/>
    <s v=" 7222.2467 "/>
    <s v=" 66.1084 "/>
    <x v="0"/>
    <n v="477451"/>
    <m/>
    <m/>
    <m/>
  </r>
  <r>
    <x v="4"/>
    <x v="1"/>
    <s v="\\192.168.24.208\images\R&amp;D\2-Test oestrogénique\OECD and AOPs\REACTIV oecd interlaboratory validation\Results WF\Résultats CBA\2021-CHG-CBA-FADROZOLE HGC\plaque 1/@04 EE2 76/B4_01.tif "/>
    <s v=" 3415.3395 "/>
    <s v=" 63.6497 "/>
    <x v="0"/>
    <n v="217385"/>
    <m/>
    <m/>
    <m/>
  </r>
  <r>
    <x v="4"/>
    <x v="1"/>
    <s v="\\192.168.24.208\images\R&amp;D\2-Test oestrogénique\OECD and AOPs\REACTIV oecd interlaboratory validation\Results WF\Résultats CBA\2021-CHG-CBA-FADROZOLE HGC\plaque 1/@04 EE2 76/B4_02.tif "/>
    <s v=" 3741.6459 "/>
    <s v=" 66.1105 "/>
    <x v="0"/>
    <n v="247362"/>
    <m/>
    <m/>
    <m/>
  </r>
  <r>
    <x v="4"/>
    <x v="1"/>
    <s v="\\192.168.24.208\images\R&amp;D\2-Test oestrogénique\OECD and AOPs\REACTIV oecd interlaboratory validation\Results WF\Résultats CBA\2021-CHG-CBA-FADROZOLE HGC\plaque 1/@04 EE2 76/B4_03.tif "/>
    <s v=" 1936.0842 "/>
    <s v=" 63.1798 "/>
    <x v="0"/>
    <n v="122321"/>
    <m/>
    <m/>
    <m/>
  </r>
  <r>
    <x v="4"/>
    <x v="2"/>
    <s v="\\192.168.24.208\images\R&amp;D\2-Test oestrogénique\OECD and AOPs\REACTIV oecd interlaboratory validation\Results WF\Résultats CBA\2021-CHG-CBA-FADROZOLE HGC\plaque 1/@04 EE2 76/C4_01.tif "/>
    <s v=" 29237.0467 "/>
    <s v=" 66.2455 "/>
    <x v="0"/>
    <n v="1936824"/>
    <m/>
    <m/>
    <m/>
  </r>
  <r>
    <x v="4"/>
    <x v="2"/>
    <s v="\\192.168.24.208\images\R&amp;D\2-Test oestrogénique\OECD and AOPs\REACTIV oecd interlaboratory validation\Results WF\Résultats CBA\2021-CHG-CBA-FADROZOLE HGC\plaque 1/@04 EE2 76/C4_02.tif "/>
    <s v=" 25865.2147 "/>
    <s v=" 66.3381 "/>
    <x v="0"/>
    <n v="1715849"/>
    <m/>
    <m/>
    <m/>
  </r>
  <r>
    <x v="4"/>
    <x v="2"/>
    <s v="\\192.168.24.208\images\R&amp;D\2-Test oestrogénique\OECD and AOPs\REACTIV oecd interlaboratory validation\Results WF\Résultats CBA\2021-CHG-CBA-FADROZOLE HGC\plaque 1/@04 EE2 76/C4_03.tif "/>
    <s v=" 21470.9562 "/>
    <s v=" 65.08 "/>
    <x v="0"/>
    <n v="1397331"/>
    <m/>
    <m/>
    <m/>
  </r>
  <r>
    <x v="4"/>
    <x v="3"/>
    <s v="\\192.168.24.208\images\R&amp;D\2-Test oestrogénique\OECD and AOPs\REACTIV oecd interlaboratory validation\Results WF\Résultats CBA\2021-CHG-CBA-FADROZOLE HGC\plaque 1/@04 EE2 76/D4_01- exclu.tif"/>
    <m/>
    <m/>
    <x v="1"/>
    <m/>
    <m/>
    <m/>
    <m/>
  </r>
  <r>
    <x v="4"/>
    <x v="3"/>
    <s v="\\192.168.24.208\images\R&amp;D\2-Test oestrogénique\OECD and AOPs\REACTIV oecd interlaboratory validation\Results WF\Résultats CBA\2021-CHG-CBA-FADROZOLE HGC\plaque 1/@04 EE2 76/D4_02- exclu.tif"/>
    <m/>
    <m/>
    <x v="1"/>
    <m/>
    <m/>
    <m/>
    <m/>
  </r>
  <r>
    <x v="4"/>
    <x v="3"/>
    <s v="\\192.168.24.208\images\R&amp;D\2-Test oestrogénique\OECD and AOPs\REACTIV oecd interlaboratory validation\Results WF\Résultats CBA\2021-CHG-CBA-FADROZOLE HGC\plaque 1/@04 EE2 76/D4_03- exclu.tif"/>
    <m/>
    <m/>
    <x v="1"/>
    <m/>
    <m/>
    <m/>
    <m/>
  </r>
  <r>
    <x v="4"/>
    <x v="4"/>
    <s v="\\192.168.24.208\images\R&amp;D\2-Test oestrogénique\OECD and AOPs\REACTIV oecd interlaboratory validation\Results WF\Résultats CBA\2021-CHG-CBA-FADROZOLE HGC\plaque 1/@04 EE2 76/E4_01.tif "/>
    <s v=" 1870.8229 "/>
    <s v=" 63.1395 "/>
    <x v="0"/>
    <n v="118123"/>
    <m/>
    <m/>
    <m/>
  </r>
  <r>
    <x v="4"/>
    <x v="4"/>
    <s v="\\192.168.24.208\images\R&amp;D\2-Test oestrogénique\OECD and AOPs\REACTIV oecd interlaboratory validation\Results WF\Résultats CBA\2021-CHG-CBA-FADROZOLE HGC\plaque 1/@04 EE2 76/E4_02.tif "/>
    <s v=" 3067.2795 "/>
    <s v=" 64.1489 "/>
    <x v="0"/>
    <n v="196763"/>
    <m/>
    <m/>
    <m/>
  </r>
  <r>
    <x v="4"/>
    <x v="4"/>
    <s v="\\192.168.24.208\images\R&amp;D\2-Test oestrogénique\OECD and AOPs\REACTIV oecd interlaboratory validation\Results WF\Résultats CBA\2021-CHG-CBA-FADROZOLE HGC\plaque 1/@04 EE2 76/E4_03.tif "/>
    <s v=" 2632.2044 "/>
    <s v=" 63.0744 "/>
    <x v="0"/>
    <n v="166025"/>
    <m/>
    <m/>
    <m/>
  </r>
  <r>
    <x v="4"/>
    <x v="5"/>
    <s v="\\192.168.24.208\images\R&amp;D\2-Test oestrogénique\OECD and AOPs\REACTIV oecd interlaboratory validation\Results WF\Résultats CBA\2021-CHG-CBA-FADROZOLE HGC\plaque 1/@04 EE2 76/F4_01.tif "/>
    <s v=" 4655.3036 "/>
    <s v=" 67.7056 "/>
    <x v="0"/>
    <n v="315190"/>
    <m/>
    <m/>
    <m/>
  </r>
  <r>
    <x v="4"/>
    <x v="5"/>
    <s v="\\192.168.24.208\images\R&amp;D\2-Test oestrogénique\OECD and AOPs\REACTIV oecd interlaboratory validation\Results WF\Résultats CBA\2021-CHG-CBA-FADROZOLE HGC\plaque 1/@04 EE2 76/F4_02.tif "/>
    <s v=" 1174.7028 "/>
    <s v=" 62.7407 "/>
    <x v="0"/>
    <n v="73702"/>
    <m/>
    <m/>
    <m/>
  </r>
  <r>
    <x v="4"/>
    <x v="5"/>
    <s v="\\192.168.24.208\images\R&amp;D\2-Test oestrogénique\OECD and AOPs\REACTIV oecd interlaboratory validation\Results WF\Résultats CBA\2021-CHG-CBA-FADROZOLE HGC\plaque 1/@04 EE2 76/F4_03.tif "/>
    <s v=" 3611.1233 "/>
    <s v=" 64.6867 "/>
    <x v="0"/>
    <n v="233592"/>
    <m/>
    <m/>
    <m/>
  </r>
  <r>
    <x v="4"/>
    <x v="6"/>
    <s v="\\192.168.24.208\images\R&amp;D\2-Test oestrogénique\OECD and AOPs\REACTIV oecd interlaboratory validation\Results WF\Résultats CBA\2021-CHG-CBA-FADROZOLE HGC\plaque 1/@04 EE2 76/G4_01.tif "/>
    <s v=" 7831.3518 "/>
    <s v=" 64.7889 "/>
    <x v="0"/>
    <n v="507385"/>
    <m/>
    <m/>
    <m/>
  </r>
  <r>
    <x v="4"/>
    <x v="6"/>
    <s v="\\192.168.24.208\images\R&amp;D\2-Test oestrogénique\OECD and AOPs\REACTIV oecd interlaboratory validation\Results WF\Résultats CBA\2021-CHG-CBA-FADROZOLE HGC\plaque 1/@04 EE2 76/G4_02.tif "/>
    <s v=" 6569.634 "/>
    <s v=" 63.8609 "/>
    <x v="0"/>
    <n v="419543"/>
    <m/>
    <m/>
    <m/>
  </r>
  <r>
    <x v="4"/>
    <x v="6"/>
    <s v="\\192.168.24.208\images\R&amp;D\2-Test oestrogénique\OECD and AOPs\REACTIV oecd interlaboratory validation\Results WF\Résultats CBA\2021-CHG-CBA-FADROZOLE HGC\plaque 1/@04 EE2 76/G4_03.tif "/>
    <s v=" 13008.7455 "/>
    <s v=" 64.699 "/>
    <x v="0"/>
    <n v="841653"/>
    <m/>
    <m/>
    <m/>
  </r>
  <r>
    <x v="4"/>
    <x v="7"/>
    <s v="\\192.168.24.208\images\R&amp;D\2-Test oestrogénique\OECD and AOPs\REACTIV oecd interlaboratory validation\Results WF\Résultats CBA\2021-CHG-CBA-FADROZOLE HGC\plaque 1/@04 EE2 76/H4_01.tif "/>
    <s v=" 24864.542 "/>
    <s v=" 66.2266 "/>
    <x v="0"/>
    <n v="1646694"/>
    <m/>
    <m/>
    <m/>
  </r>
  <r>
    <x v="4"/>
    <x v="7"/>
    <s v="\\192.168.24.208\images\R&amp;D\2-Test oestrogénique\OECD and AOPs\REACTIV oecd interlaboratory validation\Results WF\Résultats CBA\2021-CHG-CBA-FADROZOLE HGC\plaque 1/@04 EE2 76/H4_02.tif "/>
    <s v=" 15989.0099 "/>
    <s v=" 65.1551 "/>
    <x v="0"/>
    <n v="1041766"/>
    <m/>
    <m/>
    <m/>
  </r>
  <r>
    <x v="4"/>
    <x v="7"/>
    <s v="\\192.168.24.208\images\R&amp;D\2-Test oestrogénique\OECD and AOPs\REACTIV oecd interlaboratory validation\Results WF\Résultats CBA\2021-CHG-CBA-FADROZOLE HGC\plaque 1/@04 EE2 76/H4_03.tif "/>
    <s v=" 17315.989 "/>
    <s v=" 64.696 "/>
    <x v="0"/>
    <n v="1120275"/>
    <m/>
    <m/>
    <m/>
  </r>
  <r>
    <x v="1"/>
    <x v="8"/>
    <s v=" "/>
    <m/>
    <m/>
    <x v="1"/>
    <m/>
    <m/>
    <m/>
    <m/>
  </r>
  <r>
    <x v="1"/>
    <x v="8"/>
    <s v="group "/>
    <s v=" "/>
    <s v=" mean of mean fluo "/>
    <x v="2"/>
    <s v=" mean of total fluo "/>
    <s v=" SD total fluo "/>
    <s v=" n fluorescent "/>
    <m/>
  </r>
  <r>
    <x v="4"/>
    <x v="9"/>
    <s v="\\192.168.24.208\images\R&amp;D\2-Test oestrogénique\OECD and AOPs\REACTIV oecd interlaboratory validation\Results WF\Résultats CBA\2021-CHG-CBA-FADROZOLE HGC\plaque 1/@04 EE2 76/ "/>
    <s v=" "/>
    <s v=" 64.5538 "/>
    <x v="6"/>
    <s v=" 580173.625 "/>
    <s v=" 582970.27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192.168.24.208\images\R&amp;D\2-Test oestrogénique\OECD and AOPs\REACTIV oecd interlaboratory validation\Results WF\Résultats CBA\2021-CHG-CBA-FADROZOLE HGC\plaque 1/@05 EE2 114/A5_01.tif "/>
    <s v=" 31064.3621 "/>
    <s v=" 72.0308 "/>
    <x v="0"/>
    <n v="2237591"/>
    <m/>
    <m/>
    <m/>
  </r>
  <r>
    <x v="5"/>
    <x v="0"/>
    <s v="\\192.168.24.208\images\R&amp;D\2-Test oestrogénique\OECD and AOPs\REACTIV oecd interlaboratory validation\Results WF\Résultats CBA\2021-CHG-CBA-FADROZOLE HGC\plaque 1/@05 EE2 114/A5_02.tif "/>
    <s v=" 31695.221 "/>
    <s v=" 70.9966 "/>
    <x v="0"/>
    <n v="2250252"/>
    <m/>
    <m/>
    <m/>
  </r>
  <r>
    <x v="5"/>
    <x v="0"/>
    <s v="\\192.168.24.208\images\R&amp;D\2-Test oestrogénique\OECD and AOPs\REACTIV oecd interlaboratory validation\Results WF\Résultats CBA\2021-CHG-CBA-FADROZOLE HGC\plaque 1/@05 EE2 114/A5_03.tif "/>
    <s v=" 30585.7795 "/>
    <s v=" 69.4132 "/>
    <x v="0"/>
    <n v="2123058"/>
    <m/>
    <m/>
    <m/>
  </r>
  <r>
    <x v="5"/>
    <x v="1"/>
    <s v="\\192.168.24.208\images\R&amp;D\2-Test oestrogénique\OECD and AOPs\REACTIV oecd interlaboratory validation\Results WF\Résultats CBA\2021-CHG-CBA-FADROZOLE HGC\plaque 1/@05 EE2 114/B5_01.tif "/>
    <s v=" 30672.7946 "/>
    <s v=" 70.8844 "/>
    <x v="0"/>
    <n v="2174223"/>
    <m/>
    <m/>
    <m/>
  </r>
  <r>
    <x v="5"/>
    <x v="1"/>
    <s v="\\192.168.24.208\images\R&amp;D\2-Test oestrogénique\OECD and AOPs\REACTIV oecd interlaboratory validation\Results WF\Résultats CBA\2021-CHG-CBA-FADROZOLE HGC\plaque 1/@05 EE2 114/B5_02.tif "/>
    <s v=" 25995.7372 "/>
    <s v=" 70.8301 "/>
    <x v="0"/>
    <n v="1841281"/>
    <m/>
    <m/>
    <m/>
  </r>
  <r>
    <x v="5"/>
    <x v="1"/>
    <s v="\\192.168.24.208\images\R&amp;D\2-Test oestrogénique\OECD and AOPs\REACTIV oecd interlaboratory validation\Results WF\Résultats CBA\2021-CHG-CBA-FADROZOLE HGC\plaque 1/@05 EE2 114/B5_03.tif "/>
    <s v=" 29215.293 "/>
    <s v=" 69.6418 "/>
    <x v="0"/>
    <n v="2034607"/>
    <m/>
    <m/>
    <m/>
  </r>
  <r>
    <x v="5"/>
    <x v="2"/>
    <s v="\\192.168.24.208\images\R&amp;D\2-Test oestrogénique\OECD and AOPs\REACTIV oecd interlaboratory validation\Results WF\Résultats CBA\2021-CHG-CBA-FADROZOLE HGC\plaque 1/@05 EE2 114/C5_01.tif "/>
    <s v=" 1392.2403 "/>
    <s v=" 63.2969 "/>
    <x v="0"/>
    <n v="88124"/>
    <m/>
    <m/>
    <m/>
  </r>
  <r>
    <x v="5"/>
    <x v="2"/>
    <s v="\\192.168.24.208\images\R&amp;D\2-Test oestrogénique\OECD and AOPs\REACTIV oecd interlaboratory validation\Results WF\Résultats CBA\2021-CHG-CBA-FADROZOLE HGC\plaque 1/@05 EE2 114/C5_02.tif "/>
    <s v=" 5394.9312 "/>
    <s v=" 71.7863 "/>
    <x v="0"/>
    <n v="387282"/>
    <m/>
    <m/>
    <m/>
  </r>
  <r>
    <x v="5"/>
    <x v="2"/>
    <s v="\\192.168.24.208\images\R&amp;D\2-Test oestrogénique\OECD and AOPs\REACTIV oecd interlaboratory validation\Results WF\Résultats CBA\2021-CHG-CBA-FADROZOLE HGC\plaque 1/@05 EE2 114/C5_03.tif "/>
    <s v=" 1479.2553 "/>
    <s v=" 63.5588 "/>
    <x v="0"/>
    <n v="94020"/>
    <m/>
    <m/>
    <m/>
  </r>
  <r>
    <x v="5"/>
    <x v="3"/>
    <s v="\\192.168.24.208\images\R&amp;D\2-Test oestrogénique\OECD and AOPs\REACTIV oecd interlaboratory validation\Results WF\Résultats CBA\2021-CHG-CBA-FADROZOLE HGC\plaque 1/@05 EE2 114/D5_01.tif "/>
    <s v=" 17990.3554 "/>
    <s v=" 68.9468 "/>
    <x v="0"/>
    <n v="1240377"/>
    <m/>
    <m/>
    <m/>
  </r>
  <r>
    <x v="5"/>
    <x v="3"/>
    <s v="\\192.168.24.208\images\R&amp;D\2-Test oestrogénique\OECD and AOPs\REACTIV oecd interlaboratory validation\Results WF\Résultats CBA\2021-CHG-CBA-FADROZOLE HGC\plaque 1/@05 EE2 114/D5_02.tif "/>
    <s v=" 17577.034 "/>
    <s v=" 72.3168 "/>
    <x v="0"/>
    <n v="1271115"/>
    <m/>
    <m/>
    <m/>
  </r>
  <r>
    <x v="5"/>
    <x v="3"/>
    <s v="\\192.168.24.208\images\R&amp;D\2-Test oestrogénique\OECD and AOPs\REACTIV oecd interlaboratory validation\Results WF\Résultats CBA\2021-CHG-CBA-FADROZOLE HGC\plaque 1/@05 EE2 114/D5_03.tif "/>
    <s v=" 21775.5088 "/>
    <s v=" 72.3207 "/>
    <x v="0"/>
    <n v="1574820"/>
    <m/>
    <m/>
    <m/>
  </r>
  <r>
    <x v="5"/>
    <x v="4"/>
    <s v="\\192.168.24.208\images\R&amp;D\2-Test oestrogénique\OECD and AOPs\REACTIV oecd interlaboratory validation\Results WF\Résultats CBA\2021-CHG-CBA-FADROZOLE HGC\plaque 1/@05 EE2 114/E5_01.tif "/>
    <s v=" 6004.0364 "/>
    <s v=" 65.4239 "/>
    <x v="0"/>
    <n v="392808"/>
    <m/>
    <m/>
    <m/>
  </r>
  <r>
    <x v="5"/>
    <x v="4"/>
    <s v="\\192.168.24.208\images\R&amp;D\2-Test oestrogénique\OECD and AOPs\REACTIV oecd interlaboratory validation\Results WF\Résultats CBA\2021-CHG-CBA-FADROZOLE HGC\plaque 1/@05 EE2 114/E5_02.tif "/>
    <s v=" 5264.4087 "/>
    <s v=" 64.1198 "/>
    <x v="0"/>
    <n v="337553"/>
    <m/>
    <m/>
    <m/>
  </r>
  <r>
    <x v="5"/>
    <x v="4"/>
    <s v="\\192.168.24.208\images\R&amp;D\2-Test oestrogénique\OECD and AOPs\REACTIV oecd interlaboratory validation\Results WF\Résultats CBA\2021-CHG-CBA-FADROZOLE HGC\plaque 1/@05 EE2 114/E5_03.tif "/>
    <s v=" 5177.3937 "/>
    <s v=" 64.0336 "/>
    <x v="0"/>
    <n v="331527"/>
    <m/>
    <m/>
    <m/>
  </r>
  <r>
    <x v="5"/>
    <x v="5"/>
    <s v="\\192.168.24.208\images\R&amp;D\2-Test oestrogénique\OECD and AOPs\REACTIV oecd interlaboratory validation\Results WF\Résultats CBA\2021-CHG-CBA-FADROZOLE HGC\plaque 1/@05 EE2 114/F5_01.tif "/>
    <s v=" 1348.7328 "/>
    <s v=" 62.6935 "/>
    <x v="0"/>
    <n v="84557"/>
    <m/>
    <m/>
    <m/>
  </r>
  <r>
    <x v="5"/>
    <x v="5"/>
    <s v="\\192.168.24.208\images\R&amp;D\2-Test oestrogénique\OECD and AOPs\REACTIV oecd interlaboratory validation\Results WF\Résultats CBA\2021-CHG-CBA-FADROZOLE HGC\plaque 1/@05 EE2 114/F5_02.tif "/>
    <s v=" 826.6427 "/>
    <s v=" 63.0789 "/>
    <x v="0"/>
    <n v="52144"/>
    <m/>
    <m/>
    <m/>
  </r>
  <r>
    <x v="5"/>
    <x v="5"/>
    <s v="\\192.168.24.208\images\R&amp;D\2-Test oestrogénique\OECD and AOPs\REACTIV oecd interlaboratory validation\Results WF\Résultats CBA\2021-CHG-CBA-FADROZOLE HGC\plaque 1/@05 EE2 114/F5_03.tif "/>
    <s v=" 565.5976 "/>
    <s v=" 62.1538 "/>
    <x v="0"/>
    <n v="35154"/>
    <m/>
    <m/>
    <m/>
  </r>
  <r>
    <x v="5"/>
    <x v="6"/>
    <s v="\\192.168.24.208\images\R&amp;D\2-Test oestrogénique\OECD and AOPs\REACTIV oecd interlaboratory validation\Results WF\Résultats CBA\2021-CHG-CBA-FADROZOLE HGC\plaque 1/@05 EE2 114/G5_01.tif "/>
    <s v=" 50272.9278 "/>
    <s v=" 70.9831 "/>
    <x v="0"/>
    <n v="3568529"/>
    <m/>
    <m/>
    <m/>
  </r>
  <r>
    <x v="5"/>
    <x v="6"/>
    <s v="\\192.168.24.208\images\R&amp;D\2-Test oestrogénique\OECD and AOPs\REACTIV oecd interlaboratory validation\Results WF\Résultats CBA\2021-CHG-CBA-FADROZOLE HGC\plaque 1/@05 EE2 114/G5_02.tif "/>
    <s v=" 49729.0839 "/>
    <s v=" 69.7275 "/>
    <x v="0"/>
    <n v="3467483"/>
    <m/>
    <m/>
    <m/>
  </r>
  <r>
    <x v="5"/>
    <x v="6"/>
    <s v="\\192.168.24.208\images\R&amp;D\2-Test oestrogénique\OECD and AOPs\REACTIV oecd interlaboratory validation\Results WF\Résultats CBA\2021-CHG-CBA-FADROZOLE HGC\plaque 1/@05 EE2 114/G5_03.tif "/>
    <s v=" 47923.5223 "/>
    <s v=" 71.1552 "/>
    <x v="0"/>
    <n v="3410010"/>
    <m/>
    <m/>
    <m/>
  </r>
  <r>
    <x v="5"/>
    <x v="7"/>
    <s v="\\192.168.24.208\images\R&amp;D\2-Test oestrogénique\OECD and AOPs\REACTIV oecd interlaboratory validation\Results WF\Résultats CBA\2021-CHG-CBA-FADROZOLE HGC\plaque 1/@05 EE2 114/H5_01.tif "/>
    <s v=" 19730.6558 "/>
    <s v=" 65.6968 "/>
    <x v="0"/>
    <n v="1296241"/>
    <m/>
    <m/>
    <m/>
  </r>
  <r>
    <x v="5"/>
    <x v="7"/>
    <s v="\\192.168.24.208\images\R&amp;D\2-Test oestrogénique\OECD and AOPs\REACTIV oecd interlaboratory validation\Results WF\Résultats CBA\2021-CHG-CBA-FADROZOLE HGC\plaque 1/@05 EE2 114/H5_02.tif "/>
    <s v=" 16706.8838 "/>
    <s v=" 65.0312 "/>
    <x v="0"/>
    <n v="1086470"/>
    <m/>
    <m/>
    <m/>
  </r>
  <r>
    <x v="5"/>
    <x v="7"/>
    <s v="\\192.168.24.208\images\R&amp;D\2-Test oestrogénique\OECD and AOPs\REACTIV oecd interlaboratory validation\Results WF\Résultats CBA\2021-CHG-CBA-FADROZOLE HGC\plaque 1/@05 EE2 114/H5_03.tif "/>
    <s v=" 16445.8388 "/>
    <s v=" 65.3955 "/>
    <x v="0"/>
    <n v="1075484"/>
    <m/>
    <m/>
    <m/>
  </r>
  <r>
    <x v="1"/>
    <x v="8"/>
    <s v=" "/>
    <m/>
    <m/>
    <x v="1"/>
    <m/>
    <m/>
    <m/>
    <m/>
  </r>
  <r>
    <x v="1"/>
    <x v="8"/>
    <s v="group "/>
    <s v=" "/>
    <s v=" mean of mean fluo "/>
    <x v="2"/>
    <s v=" mean of total fluo "/>
    <s v=" SD total fluo "/>
    <s v=" n fluorescent "/>
    <m/>
  </r>
  <r>
    <x v="5"/>
    <x v="9"/>
    <s v="\\192.168.24.208\images\R&amp;D\2-Test oestrogénique\OECD and AOPs\REACTIV oecd interlaboratory validation\Results WF\Résultats CBA\2021-CHG-CBA-FADROZOLE HGC\plaque 1/@05 EE2 114/ "/>
    <s v=" "/>
    <s v=" 67.7298 "/>
    <x v="7"/>
    <s v=" 1352279.58 "/>
    <s v=" 1133303.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192.168.24.208\images\R&amp;D\2-Test oestrogénique\OECD and AOPs\REACTIV oecd interlaboratory validation\Results WF\Résultats CBA\2021-CHG-CBA-FADROZOLE HGC\plaque 1/@06 EE2 171/A6_01.tif "/>
    <s v=" 49489.7926 "/>
    <s v=" 75.4105 "/>
    <x v="0"/>
    <n v="3732052"/>
    <m/>
    <m/>
    <m/>
  </r>
  <r>
    <x v="6"/>
    <x v="0"/>
    <s v="\\192.168.24.208\images\R&amp;D\2-Test oestrogénique\OECD and AOPs\REACTIV oecd interlaboratory validation\Results WF\Résultats CBA\2021-CHG-CBA-FADROZOLE HGC\plaque 1/@06 EE2 171/A6_02.tif "/>
    <s v=" 51099.5705 "/>
    <s v=" 76.5189 "/>
    <x v="0"/>
    <n v="3910085"/>
    <m/>
    <m/>
    <m/>
  </r>
  <r>
    <x v="6"/>
    <x v="0"/>
    <s v="\\192.168.24.208\images\R&amp;D\2-Test oestrogénique\OECD and AOPs\REACTIV oecd interlaboratory validation\Results WF\Résultats CBA\2021-CHG-CBA-FADROZOLE HGC\plaque 1/@06 EE2 171/A6_03.tif "/>
    <s v=" 49206.9938 "/>
    <s v=" 76.5318 "/>
    <x v="0"/>
    <n v="3765901"/>
    <m/>
    <m/>
    <m/>
  </r>
  <r>
    <x v="6"/>
    <x v="1"/>
    <s v="\\192.168.24.208\images\R&amp;D\2-Test oestrogénique\OECD and AOPs\REACTIV oecd interlaboratory validation\Results WF\Résultats CBA\2021-CHG-CBA-FADROZOLE HGC\plaque 1/@06 EE2 171/B6_01.tif "/>
    <s v=" 62281.0006 "/>
    <s v=" 77.0845 "/>
    <x v="0"/>
    <n v="4800901"/>
    <m/>
    <m/>
    <m/>
  </r>
  <r>
    <x v="6"/>
    <x v="1"/>
    <s v="\\192.168.24.208\images\R&amp;D\2-Test oestrogénique\OECD and AOPs\REACTIV oecd interlaboratory validation\Results WF\Résultats CBA\2021-CHG-CBA-FADROZOLE HGC\plaque 1/@06 EE2 171/B6_02- exclu.tif"/>
    <m/>
    <m/>
    <x v="1"/>
    <m/>
    <m/>
    <m/>
    <m/>
  </r>
  <r>
    <x v="6"/>
    <x v="1"/>
    <s v="\\192.168.24.208\images\R&amp;D\2-Test oestrogénique\OECD and AOPs\REACTIV oecd interlaboratory validation\Results WF\Résultats CBA\2021-CHG-CBA-FADROZOLE HGC\plaque 1/@06 EE2 171/B6_03.tif "/>
    <s v=" 55733.1203 "/>
    <s v=" 75.1269 "/>
    <x v="0"/>
    <n v="4187054"/>
    <m/>
    <m/>
    <m/>
  </r>
  <r>
    <x v="6"/>
    <x v="2"/>
    <s v="\\192.168.24.208\images\R&amp;D\2-Test oestrogénique\OECD and AOPs\REACTIV oecd interlaboratory validation\Results WF\Résultats CBA\2021-CHG-CBA-FADROZOLE HGC\plaque 1/@06 EE2 171/C6_01.tif "/>
    <s v=" 29998.4282 "/>
    <s v=" 67.6563 "/>
    <x v="0"/>
    <n v="2029582"/>
    <m/>
    <m/>
    <m/>
  </r>
  <r>
    <x v="6"/>
    <x v="2"/>
    <s v="\\192.168.24.208\images\R&amp;D\2-Test oestrogénique\OECD and AOPs\REACTIV oecd interlaboratory validation\Results WF\Résultats CBA\2021-CHG-CBA-FADROZOLE HGC\plaque 1/@06 EE2 171/C6_02.tif "/>
    <s v=" 39069.744 "/>
    <s v=" 68.8597 "/>
    <x v="0"/>
    <n v="2690330"/>
    <m/>
    <m/>
    <m/>
  </r>
  <r>
    <x v="6"/>
    <x v="2"/>
    <s v="\\192.168.24.208\images\R&amp;D\2-Test oestrogénique\OECD and AOPs\REACTIV oecd interlaboratory validation\Results WF\Résultats CBA\2021-CHG-CBA-FADROZOLE HGC\plaque 1/@06 EE2 171/C6_03.tif "/>
    <s v=" 38395.3776 "/>
    <s v=" 68.766 "/>
    <x v="0"/>
    <n v="2640297"/>
    <m/>
    <m/>
    <m/>
  </r>
  <r>
    <x v="6"/>
    <x v="3"/>
    <s v="\\192.168.24.208\images\R&amp;D\2-Test oestrogénique\OECD and AOPs\REACTIV oecd interlaboratory validation\Results WF\Résultats CBA\2021-CHG-CBA-FADROZOLE HGC\plaque 1/@06 EE2 171/D6_01.tif "/>
    <s v=" 33500.7827 "/>
    <s v=" 68.8006 "/>
    <x v="0"/>
    <n v="2304876"/>
    <m/>
    <m/>
    <m/>
  </r>
  <r>
    <x v="6"/>
    <x v="3"/>
    <s v="\\192.168.24.208\images\R&amp;D\2-Test oestrogénique\OECD and AOPs\REACTIV oecd interlaboratory validation\Results WF\Résultats CBA\2021-CHG-CBA-FADROZOLE HGC\plaque 1/@06 EE2 171/D6_02.tif "/>
    <s v=" 35676.1582 "/>
    <s v=" 68.2799 "/>
    <x v="0"/>
    <n v="2435964"/>
    <m/>
    <m/>
    <m/>
  </r>
  <r>
    <x v="6"/>
    <x v="3"/>
    <s v="\\192.168.24.208\images\R&amp;D\2-Test oestrogénique\OECD and AOPs\REACTIV oecd interlaboratory validation\Results WF\Résultats CBA\2021-CHG-CBA-FADROZOLE HGC\plaque 1/@06 EE2 171/D6_03.tif "/>
    <s v=" 37895.0412 "/>
    <s v=" 69.7732 "/>
    <x v="0"/>
    <n v="2644060"/>
    <m/>
    <m/>
    <m/>
  </r>
  <r>
    <x v="6"/>
    <x v="4"/>
    <s v="\\192.168.24.208\images\R&amp;D\2-Test oestrogénique\OECD and AOPs\REACTIV oecd interlaboratory validation\Results WF\Résultats CBA\2021-CHG-CBA-FADROZOLE HGC\plaque 1/@06 EE2 171/E6_01.tif "/>
    <s v=" 37024.891 "/>
    <s v=" 72.0223 "/>
    <x v="0"/>
    <n v="2666619"/>
    <m/>
    <m/>
    <m/>
  </r>
  <r>
    <x v="6"/>
    <x v="4"/>
    <s v="\\192.168.24.208\images\R&amp;D\2-Test oestrogénique\OECD and AOPs\REACTIV oecd interlaboratory validation\Results WF\Résultats CBA\2021-CHG-CBA-FADROZOLE HGC\plaque 1/@06 EE2 171/E6_02.tif "/>
    <s v=" 37133.6598 "/>
    <s v=" 73.4388 "/>
    <x v="0"/>
    <n v="2727051"/>
    <m/>
    <m/>
    <m/>
  </r>
  <r>
    <x v="6"/>
    <x v="4"/>
    <s v="\\192.168.24.208\images\R&amp;D\2-Test oestrogénique\OECD and AOPs\REACTIV oecd interlaboratory validation\Results WF\Résultats CBA\2021-CHG-CBA-FADROZOLE HGC\plaque 1/@06 EE2 171/E6_03.tif "/>
    <s v=" 35393.3594 "/>
    <s v=" 71.9453 "/>
    <x v="0"/>
    <n v="2546386"/>
    <m/>
    <m/>
    <m/>
  </r>
  <r>
    <x v="6"/>
    <x v="5"/>
    <s v="\\192.168.24.208\images\R&amp;D\2-Test oestrogénique\OECD and AOPs\REACTIV oecd interlaboratory validation\Results WF\Résultats CBA\2021-CHG-CBA-FADROZOLE HGC\plaque 1/@06 EE2 171/F6_01.tif "/>
    <s v=" 32978.6926 "/>
    <s v=" 69.9321 "/>
    <x v="0"/>
    <n v="2306268"/>
    <m/>
    <m/>
    <m/>
  </r>
  <r>
    <x v="6"/>
    <x v="5"/>
    <s v="\\192.168.24.208\images\R&amp;D\2-Test oestrogénique\OECD and AOPs\REACTIV oecd interlaboratory validation\Results WF\Résultats CBA\2021-CHG-CBA-FADROZOLE HGC\plaque 1/@06 EE2 171/F6_02.tif "/>
    <s v=" 38873.9602 "/>
    <s v=" 73.6626 "/>
    <x v="0"/>
    <n v="2863556"/>
    <m/>
    <m/>
    <m/>
  </r>
  <r>
    <x v="6"/>
    <x v="5"/>
    <s v="\\192.168.24.208\images\R&amp;D\2-Test oestrogénique\OECD and AOPs\REACTIV oecd interlaboratory validation\Results WF\Résultats CBA\2021-CHG-CBA-FADROZOLE HGC\plaque 1/@06 EE2 171/F6_03.tif "/>
    <s v=" 42876.6511 "/>
    <s v=" 72.4297 "/>
    <x v="0"/>
    <n v="3105544"/>
    <m/>
    <m/>
    <m/>
  </r>
  <r>
    <x v="6"/>
    <x v="6"/>
    <s v="\\192.168.24.208\images\R&amp;D\2-Test oestrogénique\OECD and AOPs\REACTIV oecd interlaboratory validation\Results WF\Résultats CBA\2021-CHG-CBA-FADROZOLE HGC\plaque 1/@06 EE2 171/G6_01.tif "/>
    <s v=" 51382.3693 "/>
    <s v=" 87.5398 "/>
    <x v="0"/>
    <n v="4498002"/>
    <m/>
    <m/>
    <m/>
  </r>
  <r>
    <x v="6"/>
    <x v="6"/>
    <s v="\\192.168.24.208\images\R&amp;D\2-Test oestrogénique\OECD and AOPs\REACTIV oecd interlaboratory validation\Results WF\Résultats CBA\2021-CHG-CBA-FADROZOLE HGC\plaque 1/@06 EE2 171/G6_02.tif "/>
    <s v=" 50642.7416 "/>
    <s v=" 87.5863 "/>
    <x v="0"/>
    <n v="4435612"/>
    <m/>
    <m/>
    <m/>
  </r>
  <r>
    <x v="6"/>
    <x v="6"/>
    <s v="\\192.168.24.208\images\R&amp;D\2-Test oestrogénique\OECD and AOPs\REACTIV oecd interlaboratory validation\Results WF\Résultats CBA\2021-CHG-CBA-FADROZOLE HGC\plaque 1/@06 EE2 171/G6_03.tif "/>
    <s v=" 50664.4954 "/>
    <s v=" 87.1498 "/>
    <x v="0"/>
    <n v="4415403"/>
    <m/>
    <m/>
    <m/>
  </r>
  <r>
    <x v="6"/>
    <x v="7"/>
    <s v="\\192.168.24.208\images\R&amp;D\2-Test oestrogénique\OECD and AOPs\REACTIV oecd interlaboratory validation\Results WF\Résultats CBA\2021-CHG-CBA-FADROZOLE HGC\plaque 1/@06 EE2 171/H6_01.tif "/>
    <s v=" 27670.7764 "/>
    <s v=" 88.6038 "/>
    <x v="0"/>
    <n v="2451735"/>
    <m/>
    <m/>
    <m/>
  </r>
  <r>
    <x v="6"/>
    <x v="7"/>
    <s v="\\192.168.24.208\images\R&amp;D\2-Test oestrogénique\OECD and AOPs\REACTIV oecd interlaboratory validation\Results WF\Résultats CBA\2021-CHG-CBA-FADROZOLE HGC\plaque 1/@06 EE2 171/H6_02.tif "/>
    <s v=" 40505.4918 "/>
    <s v=" 78.8963 "/>
    <x v="0"/>
    <n v="3195735"/>
    <m/>
    <m/>
    <m/>
  </r>
  <r>
    <x v="6"/>
    <x v="7"/>
    <s v="\\192.168.24.208\images\R&amp;D\2-Test oestrogénique\OECD and AOPs\REACTIV oecd interlaboratory validation\Results WF\Résultats CBA\2021-CHG-CBA-FADROZOLE HGC\plaque 1/@06 EE2 171/H6_03.tif "/>
    <s v=" 46683.5582 "/>
    <s v=" 81.1584 "/>
    <x v="0"/>
    <n v="3788764"/>
    <m/>
    <m/>
    <m/>
  </r>
  <r>
    <x v="1"/>
    <x v="8"/>
    <s v=" "/>
    <m/>
    <m/>
    <x v="1"/>
    <m/>
    <m/>
    <m/>
    <m/>
  </r>
  <r>
    <x v="1"/>
    <x v="8"/>
    <s v="group "/>
    <s v=" "/>
    <s v=" mean of mean fluo "/>
    <x v="2"/>
    <s v=" mean of total fluo "/>
    <s v=" SD total fluo "/>
    <s v=" n fluorescent "/>
    <m/>
  </r>
  <r>
    <x v="6"/>
    <x v="9"/>
    <s v="\\192.168.24.208\images\R&amp;D\2-Test oestrogénique\OECD and AOPs\REACTIV oecd interlaboratory validation\Results WF\Résultats CBA\2021-CHG-CBA-FADROZOLE HGC\plaque 1/@06 EE2 171/ "/>
    <s v=" "/>
    <s v=" 75.1386 "/>
    <x v="8"/>
    <s v=" 3193212.79 "/>
    <s v=" 839997.60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192.168.24.208\images\R&amp;D\2-Test oestrogénique\OECD and AOPs\REACTIV oecd interlaboratory validation\Results WF\Résultats CBA\2021-CHG-CBA-FADROZOLE HGC\plaque 1/@07 EE2 488/A7_01.tif "/>
    <s v=" 70395.1512 "/>
    <s v=" 97.2259 "/>
    <x v="0"/>
    <n v="6844232"/>
    <m/>
    <m/>
    <m/>
  </r>
  <r>
    <x v="7"/>
    <x v="0"/>
    <s v="\\192.168.24.208\images\R&amp;D\2-Test oestrogénique\OECD and AOPs\REACTIV oecd interlaboratory validation\Results WF\Résultats CBA\2021-CHG-CBA-FADROZOLE HGC\plaque 1/@07 EE2 488/A7_02.tif "/>
    <s v=" 74223.8121 "/>
    <s v=" 96.9751 "/>
    <x v="0"/>
    <n v="7197861"/>
    <m/>
    <m/>
    <m/>
  </r>
  <r>
    <x v="7"/>
    <x v="0"/>
    <s v="\\192.168.24.208\images\R&amp;D\2-Test oestrogénique\OECD and AOPs\REACTIV oecd interlaboratory validation\Results WF\Résultats CBA\2021-CHG-CBA-FADROZOLE HGC\plaque 1/@07 EE2 488/A7_03.tif "/>
    <s v=" 70482.1662 "/>
    <s v=" 96.3321 "/>
    <x v="0"/>
    <n v="6789695"/>
    <m/>
    <m/>
    <m/>
  </r>
  <r>
    <x v="7"/>
    <x v="1"/>
    <s v="\\192.168.24.208\images\R&amp;D\2-Test oestrogénique\OECD and AOPs\REACTIV oecd interlaboratory validation\Results WF\Résultats CBA\2021-CHG-CBA-FADROZOLE HGC\plaque 1/@07 EE2 488/B7_01.tif "/>
    <s v=" 78531.0556 "/>
    <s v=" 97.5432 "/>
    <x v="0"/>
    <n v="7660172"/>
    <m/>
    <m/>
    <m/>
  </r>
  <r>
    <x v="7"/>
    <x v="1"/>
    <s v="\\192.168.24.208\images\R&amp;D\2-Test oestrogénique\OECD and AOPs\REACTIV oecd interlaboratory validation\Results WF\Résultats CBA\2021-CHG-CBA-FADROZOLE HGC\plaque 1/@07 EE2 488/B7_02.tif "/>
    <s v=" 82816.5453 "/>
    <s v=" 94.3756 "/>
    <x v="0"/>
    <n v="7815863"/>
    <m/>
    <m/>
    <m/>
  </r>
  <r>
    <x v="7"/>
    <x v="1"/>
    <s v="\\192.168.24.208\images\R&amp;D\2-Test oestrogénique\OECD and AOPs\REACTIV oecd interlaboratory validation\Results WF\Résultats CBA\2021-CHG-CBA-FADROZOLE HGC\plaque 1/@07 EE2 488/B7_03.tif "/>
    <s v=" 85927.3323 "/>
    <s v=" 93.5648 "/>
    <x v="0"/>
    <n v="8039775"/>
    <m/>
    <m/>
    <m/>
  </r>
  <r>
    <x v="7"/>
    <x v="2"/>
    <s v="\\192.168.24.208\images\R&amp;D\2-Test oestrogénique\OECD and AOPs\REACTIV oecd interlaboratory validation\Results WF\Résultats CBA\2021-CHG-CBA-FADROZOLE HGC\plaque 1/@07 EE2 488/C7_01.tif "/>
    <s v=" 54123.3424 "/>
    <s v=" 97.1744 "/>
    <x v="0"/>
    <n v="5259405"/>
    <m/>
    <m/>
    <m/>
  </r>
  <r>
    <x v="7"/>
    <x v="2"/>
    <s v="\\192.168.24.208\images\R&amp;D\2-Test oestrogénique\OECD and AOPs\REACTIV oecd interlaboratory validation\Results WF\Résultats CBA\2021-CHG-CBA-FADROZOLE HGC\plaque 1/@07 EE2 488/C7_02.tif "/>
    <s v=" 54819.4626 "/>
    <s v=" 98.0071 "/>
    <x v="0"/>
    <n v="5372699"/>
    <m/>
    <m/>
    <m/>
  </r>
  <r>
    <x v="7"/>
    <x v="2"/>
    <s v="\\192.168.24.208\images\R&amp;D\2-Test oestrogénique\OECD and AOPs\REACTIV oecd interlaboratory validation\Results WF\Résultats CBA\2021-CHG-CBA-FADROZOLE HGC\plaque 1/@07 EE2 488/C7_03.tif "/>
    <s v=" 54449.6488 "/>
    <s v=" 98.2145 "/>
    <x v="0"/>
    <n v="5347747"/>
    <m/>
    <m/>
    <m/>
  </r>
  <r>
    <x v="7"/>
    <x v="3"/>
    <s v="\\192.168.24.208\images\R&amp;D\2-Test oestrogénique\OECD and AOPs\REACTIV oecd interlaboratory validation\Results WF\Résultats CBA\2021-CHG-CBA-FADROZOLE HGC\plaque 1/@07 EE2 488/D7_01.tif "/>
    <s v=" 73723.4757 "/>
    <s v=" 87.9979 "/>
    <x v="0"/>
    <n v="6487514"/>
    <m/>
    <m/>
    <m/>
  </r>
  <r>
    <x v="7"/>
    <x v="3"/>
    <s v="\\192.168.24.208\images\R&amp;D\2-Test oestrogénique\OECD and AOPs\REACTIV oecd interlaboratory validation\Results WF\Résultats CBA\2021-CHG-CBA-FADROZOLE HGC\plaque 1/@07 EE2 488/D7_02.tif "/>
    <s v=" 68567.8358 "/>
    <s v=" 89.2008 "/>
    <x v="0"/>
    <n v="6116308"/>
    <m/>
    <m/>
    <m/>
  </r>
  <r>
    <x v="7"/>
    <x v="3"/>
    <s v="\\192.168.24.208\images\R&amp;D\2-Test oestrogénique\OECD and AOPs\REACTIV oecd interlaboratory validation\Results WF\Résultats CBA\2021-CHG-CBA-FADROZOLE HGC\plaque 1/@07 EE2 488/D7_03.tif "/>
    <s v=" 65108.9887 "/>
    <s v=" 91.3191 "/>
    <x v="0"/>
    <n v="5945693"/>
    <m/>
    <m/>
    <m/>
  </r>
  <r>
    <x v="7"/>
    <x v="4"/>
    <s v="\\192.168.24.208\images\R&amp;D\2-Test oestrogénique\OECD and AOPs\REACTIV oecd interlaboratory validation\Results WF\Résultats CBA\2021-CHG-CBA-FADROZOLE HGC\plaque 1/@07 EE2 488/E7_01.tif "/>
    <s v=" 59714.0575 "/>
    <s v=" 86.0412 "/>
    <x v="0"/>
    <n v="5137867"/>
    <m/>
    <m/>
    <m/>
  </r>
  <r>
    <x v="7"/>
    <x v="4"/>
    <s v="\\192.168.24.208\images\R&amp;D\2-Test oestrogénique\OECD and AOPs\REACTIV oecd interlaboratory validation\Results WF\Résultats CBA\2021-CHG-CBA-FADROZOLE HGC\plaque 1/@07 EE2 488/E7_02.tif "/>
    <s v=" 59822.8263 "/>
    <s v=" 87.6109 "/>
    <x v="0"/>
    <n v="5241132"/>
    <m/>
    <m/>
    <m/>
  </r>
  <r>
    <x v="7"/>
    <x v="4"/>
    <s v="\\192.168.24.208\images\R&amp;D\2-Test oestrogénique\OECD and AOPs\REACTIV oecd interlaboratory validation\Results WF\Résultats CBA\2021-CHG-CBA-FADROZOLE HGC\plaque 1/@07 EE2 488/E7_03.tif "/>
    <s v=" 59518.2737 "/>
    <s v=" 87.7887 "/>
    <x v="0"/>
    <n v="5225034"/>
    <m/>
    <m/>
    <m/>
  </r>
  <r>
    <x v="7"/>
    <x v="5"/>
    <s v="\\192.168.24.208\images\R&amp;D\2-Test oestrogénique\OECD and AOPs\REACTIV oecd interlaboratory validation\Results WF\Résultats CBA\2021-CHG-CBA-FADROZOLE HGC\plaque 1/@07 EE2 488/F7_01.tif "/>
    <s v=" 89190.3955 "/>
    <s v=" 94.5727 "/>
    <x v="0"/>
    <n v="8434975"/>
    <m/>
    <m/>
    <m/>
  </r>
  <r>
    <x v="7"/>
    <x v="5"/>
    <s v="\\192.168.24.208\images\R&amp;D\2-Test oestrogénique\OECD and AOPs\REACTIV oecd interlaboratory validation\Results WF\Résultats CBA\2021-CHG-CBA-FADROZOLE HGC\plaque 1/@07 EE2 488/F7_02.tif "/>
    <s v=" 89038.1192 "/>
    <s v=" 93.7383 "/>
    <x v="0"/>
    <n v="8346285"/>
    <m/>
    <m/>
    <m/>
  </r>
  <r>
    <x v="7"/>
    <x v="5"/>
    <s v="\\192.168.24.208\images\R&amp;D\2-Test oestrogénique\OECD and AOPs\REACTIV oecd interlaboratory validation\Results WF\Résultats CBA\2021-CHG-CBA-FADROZOLE HGC\plaque 1/@07 EE2 488/F7_03.tif "/>
    <s v=" 90082.2995 "/>
    <s v=" 94.0485 "/>
    <x v="0"/>
    <n v="8472109"/>
    <m/>
    <m/>
    <m/>
  </r>
  <r>
    <x v="7"/>
    <x v="6"/>
    <s v="\\192.168.24.208\images\R&amp;D\2-Test oestrogénique\OECD and AOPs\REACTIV oecd interlaboratory validation\Results WF\Résultats CBA\2021-CHG-CBA-FADROZOLE HGC\plaque 1/@07 EE2 488/G7_01.tif "/>
    <s v=" 66066.1539 "/>
    <s v=" 86.9865 "/>
    <x v="0"/>
    <n v="5746863"/>
    <m/>
    <m/>
    <m/>
  </r>
  <r>
    <x v="7"/>
    <x v="6"/>
    <s v="\\192.168.24.208\images\R&amp;D\2-Test oestrogénique\OECD and AOPs\REACTIV oecd interlaboratory validation\Results WF\Résultats CBA\2021-CHG-CBA-FADROZOLE HGC\plaque 1/@07 EE2 488/G7_02.tif "/>
    <s v=" 67414.8868 "/>
    <s v=" 87.6805 "/>
    <x v="0"/>
    <n v="5910974"/>
    <m/>
    <m/>
    <m/>
  </r>
  <r>
    <x v="7"/>
    <x v="6"/>
    <s v="\\192.168.24.208\images\R&amp;D\2-Test oestrogénique\OECD and AOPs\REACTIV oecd interlaboratory validation\Results WF\Résultats CBA\2021-CHG-CBA-FADROZOLE HGC\plaque 1/@07 EE2 488/G7_03.tif "/>
    <s v=" 69916.5686 "/>
    <s v=" 88.3276 "/>
    <x v="0"/>
    <n v="6175565"/>
    <m/>
    <m/>
    <m/>
  </r>
  <r>
    <x v="7"/>
    <x v="7"/>
    <s v="\\192.168.24.208\images\R&amp;D\2-Test oestrogénique\OECD and AOPs\REACTIV oecd interlaboratory validation\Results WF\Résultats CBA\2021-CHG-CBA-FADROZOLE HGC\plaque 1/@07 EE2 488/H7_01.tif "/>
    <s v=" 101568.282 "/>
    <s v=" 93.9968 "/>
    <x v="0"/>
    <n v="9547092"/>
    <m/>
    <m/>
    <m/>
  </r>
  <r>
    <x v="7"/>
    <x v="7"/>
    <s v="\\192.168.24.208\images\R&amp;D\2-Test oestrogénique\OECD and AOPs\REACTIV oecd interlaboratory validation\Results WF\Résultats CBA\2021-CHG-CBA-FADROZOLE HGC\plaque 1/@07 EE2 488/H7_02.tif "/>
    <s v=" 87493.6026 "/>
    <s v=" 102.64 "/>
    <x v="0"/>
    <n v="8980342"/>
    <m/>
    <m/>
    <m/>
  </r>
  <r>
    <x v="7"/>
    <x v="7"/>
    <s v="\\192.168.24.208\images\R&amp;D\2-Test oestrogénique\OECD and AOPs\REACTIV oecd interlaboratory validation\Results WF\Résultats CBA\2021-CHG-CBA-FADROZOLE HGC\plaque 1/@07 EE2 488/H7_03.tif "/>
    <s v=" 92845.0264 "/>
    <s v=" 101.2193 "/>
    <x v="0"/>
    <n v="9397709"/>
    <m/>
    <m/>
    <m/>
  </r>
  <r>
    <x v="1"/>
    <x v="8"/>
    <s v=" "/>
    <m/>
    <m/>
    <x v="1"/>
    <m/>
    <m/>
    <m/>
    <m/>
  </r>
  <r>
    <x v="1"/>
    <x v="8"/>
    <s v="group "/>
    <s v=" "/>
    <s v=" mean of mean fluo "/>
    <x v="2"/>
    <s v=" mean of total fluo "/>
    <s v=" SD total fluo "/>
    <s v=" n fluorescent "/>
    <m/>
  </r>
  <r>
    <x v="7"/>
    <x v="9"/>
    <s v="\\192.168.24.208\images\R&amp;D\2-Test oestrogénique\OECD and AOPs\REACTIV oecd interlaboratory validation\Results WF\Résultats CBA\2021-CHG-CBA-FADROZOLE HGC\plaque 1/@07 EE2 488/ "/>
    <s v=" "/>
    <s v=" 93.4409 "/>
    <x v="9"/>
    <s v=" 6895537.96 "/>
    <s v=" 1443667.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192.168.24.208\images\R&amp;D\2-Test oestrogénique\OECD and AOPs\REACTIV oecd interlaboratory validation\Results WF\Résultats CBA\2021-CHG-CBA-FADROZOLE HGC\plaque 1/@08 Fadrozole 5.4/A8_01.tif "/>
    <s v=" 4089.7059 "/>
    <s v=" 67.2181 "/>
    <x v="0"/>
    <n v="274902"/>
    <m/>
    <m/>
    <m/>
  </r>
  <r>
    <x v="8"/>
    <x v="0"/>
    <s v="\\192.168.24.208\images\R&amp;D\2-Test oestrogénique\OECD and AOPs\REACTIV oecd interlaboratory validation\Results WF\Résultats CBA\2021-CHG-CBA-FADROZOLE HGC\plaque 1/@08 Fadrozole 5.4/A8_02.tif "/>
    <s v=" 2066.6067 "/>
    <s v=" 63.2737 "/>
    <x v="0"/>
    <n v="130762"/>
    <m/>
    <m/>
    <m/>
  </r>
  <r>
    <x v="8"/>
    <x v="0"/>
    <s v="\\192.168.24.208\images\R&amp;D\2-Test oestrogénique\OECD and AOPs\REACTIV oecd interlaboratory validation\Results WF\Résultats CBA\2021-CHG-CBA-FADROZOLE HGC\plaque 1/@08 Fadrozole 5.4/A8_03.tif "/>
    <s v=" 3632.8771 "/>
    <s v=" 67.3353 "/>
    <x v="0"/>
    <n v="244621"/>
    <m/>
    <m/>
    <m/>
  </r>
  <r>
    <x v="8"/>
    <x v="1"/>
    <s v="\\192.168.24.208\images\R&amp;D\2-Test oestrogénique\OECD and AOPs\REACTIV oecd interlaboratory validation\Results WF\Résultats CBA\2021-CHG-CBA-FADROZOLE HGC\plaque 1/@08 Fadrozole 5.4/B8_01.tif "/>
    <s v=" 4568.2886 "/>
    <s v=" 69.0524 "/>
    <x v="0"/>
    <n v="315451"/>
    <m/>
    <m/>
    <m/>
  </r>
  <r>
    <x v="8"/>
    <x v="1"/>
    <s v="\\192.168.24.208\images\R&amp;D\2-Test oestrogénique\OECD and AOPs\REACTIV oecd interlaboratory validation\Results WF\Résultats CBA\2021-CHG-CBA-FADROZOLE HGC\plaque 1/@08 Fadrozole 5.4/B8_02.tif "/>
    <s v=" 1718.5466 "/>
    <s v=" 65.1646 "/>
    <x v="0"/>
    <n v="111988"/>
    <m/>
    <m/>
    <m/>
  </r>
  <r>
    <x v="8"/>
    <x v="1"/>
    <s v="\\192.168.24.208\images\R&amp;D\2-Test oestrogénique\OECD and AOPs\REACTIV oecd interlaboratory validation\Results WF\Résultats CBA\2021-CHG-CBA-FADROZOLE HGC\plaque 1/@08 Fadrozole 5.4/B8_03.tif "/>
    <s v=" 3937.4297 "/>
    <s v=" 66.8177 "/>
    <x v="0"/>
    <n v="263090"/>
    <m/>
    <m/>
    <m/>
  </r>
  <r>
    <x v="8"/>
    <x v="2"/>
    <s v="\\192.168.24.208\images\R&amp;D\2-Test oestrogénique\OECD and AOPs\REACTIV oecd interlaboratory validation\Results WF\Résultats CBA\2021-CHG-CBA-FADROZOLE HGC\plaque 1/@08 Fadrozole 5.4/C8_01.tif "/>
    <s v=" 7265.7542 "/>
    <s v=" 73.7485 "/>
    <x v="0"/>
    <n v="535838"/>
    <m/>
    <m/>
    <m/>
  </r>
  <r>
    <x v="8"/>
    <x v="2"/>
    <s v="\\192.168.24.208\images\R&amp;D\2-Test oestrogénique\OECD and AOPs\REACTIV oecd interlaboratory validation\Results WF\Résultats CBA\2021-CHG-CBA-FADROZOLE HGC\plaque 1/@08 Fadrozole 5.4/C8_02.tif "/>
    <s v=" 9158.3309 "/>
    <s v=" 82.867 "/>
    <x v="0"/>
    <n v="758923"/>
    <m/>
    <m/>
    <m/>
  </r>
  <r>
    <x v="8"/>
    <x v="2"/>
    <s v="\\192.168.24.208\images\R&amp;D\2-Test oestrogénique\OECD and AOPs\REACTIV oecd interlaboratory validation\Results WF\Résultats CBA\2021-CHG-CBA-FADROZOLE HGC\plaque 1/@08 Fadrozole 5.4/C8_03.tif "/>
    <s v=" 10137.2498 "/>
    <s v=" 87.7725 "/>
    <x v="0"/>
    <n v="889772"/>
    <m/>
    <m/>
    <m/>
  </r>
  <r>
    <x v="8"/>
    <x v="3"/>
    <s v="\\192.168.24.208\images\R&amp;D\2-Test oestrogénique\OECD and AOPs\REACTIV oecd interlaboratory validation\Results WF\Résultats CBA\2021-CHG-CBA-FADROZOLE HGC\plaque 1/@08 Fadrozole 5.4/D8_01.tif "/>
    <s v=" 14792.5534 "/>
    <s v=" 92.7206 "/>
    <x v="0"/>
    <n v="1371574"/>
    <m/>
    <m/>
    <m/>
  </r>
  <r>
    <x v="8"/>
    <x v="3"/>
    <s v="\\192.168.24.208\images\R&amp;D\2-Test oestrogénique\OECD and AOPs\REACTIV oecd interlaboratory validation\Results WF\Résultats CBA\2021-CHG-CBA-FADROZOLE HGC\plaque 1/@08 Fadrozole 5.4/D8_02.tif "/>
    <s v=" 14705.5384 "/>
    <s v=" 95.963 "/>
    <x v="0"/>
    <n v="1411188"/>
    <m/>
    <m/>
    <m/>
  </r>
  <r>
    <x v="8"/>
    <x v="3"/>
    <s v="\\192.168.24.208\images\R&amp;D\2-Test oestrogénique\OECD and AOPs\REACTIV oecd interlaboratory validation\Results WF\Résultats CBA\2021-CHG-CBA-FADROZOLE HGC\plaque 1/@08 Fadrozole 5.4/D8_03.tif "/>
    <s v=" 15727.9649 "/>
    <s v=" 93.8492 "/>
    <x v="0"/>
    <n v="1476058"/>
    <m/>
    <m/>
    <m/>
  </r>
  <r>
    <x v="8"/>
    <x v="4"/>
    <s v="\\192.168.24.208\images\R&amp;D\2-Test oestrogénique\OECD and AOPs\REACTIV oecd interlaboratory validation\Results WF\Résultats CBA\2021-CHG-CBA-FADROZOLE HGC\plaque 1/@08 Fadrozole 5.4/E8_01.tif "/>
    <s v=" 761.3814 "/>
    <s v=" 63.7714 "/>
    <x v="0"/>
    <n v="48554"/>
    <m/>
    <m/>
    <m/>
  </r>
  <r>
    <x v="8"/>
    <x v="4"/>
    <s v="\\192.168.24.208\images\R&amp;D\2-Test oestrogénique\OECD and AOPs\REACTIV oecd interlaboratory validation\Results WF\Résultats CBA\2021-CHG-CBA-FADROZOLE HGC\plaque 1/@08 Fadrozole 5.4/E8_02.tif "/>
    <s v=" 1348.7328 "/>
    <s v=" 64.0968 "/>
    <x v="0"/>
    <n v="86449"/>
    <m/>
    <m/>
    <m/>
  </r>
  <r>
    <x v="8"/>
    <x v="4"/>
    <s v="\\192.168.24.208\images\R&amp;D\2-Test oestrogénique\OECD and AOPs\REACTIV oecd interlaboratory validation\Results WF\Résultats CBA\2021-CHG-CBA-FADROZOLE HGC\plaque 1/@08 Fadrozole 5.4/E8_03.tif "/>
    <s v=" 478.5826 "/>
    <s v=" 62.0455 "/>
    <x v="0"/>
    <n v="29694"/>
    <m/>
    <m/>
    <m/>
  </r>
  <r>
    <x v="8"/>
    <x v="5"/>
    <s v="\\192.168.24.208\images\R&amp;D\2-Test oestrogénique\OECD and AOPs\REACTIV oecd interlaboratory validation\Results WF\Résultats CBA\2021-CHG-CBA-FADROZOLE HGC\plaque 1/@08 Fadrozole 5.4/F8_01.tif "/>
    <s v=" 4938.1024 "/>
    <s v=" 67.1189 "/>
    <x v="0"/>
    <n v="331440"/>
    <m/>
    <m/>
    <m/>
  </r>
  <r>
    <x v="8"/>
    <x v="5"/>
    <s v="\\192.168.24.208\images\R&amp;D\2-Test oestrogénique\OECD and AOPs\REACTIV oecd interlaboratory validation\Results WF\Résultats CBA\2021-CHG-CBA-FADROZOLE HGC\plaque 1/@08 Fadrozole 5.4/F8_02.tif "/>
    <s v=" 1218.2103 "/>
    <s v=" 65.0714 "/>
    <x v="0"/>
    <n v="79271"/>
    <m/>
    <m/>
    <m/>
  </r>
  <r>
    <x v="8"/>
    <x v="5"/>
    <s v="\\192.168.24.208\images\R&amp;D\2-Test oestrogénique\OECD and AOPs\REACTIV oecd interlaboratory validation\Results WF\Résultats CBA\2021-CHG-CBA-FADROZOLE HGC\plaque 1/@08 Fadrozole 5.4/F8_03.tif "/>
    <s v=" 4981.6099 "/>
    <s v=" 68.7031 "/>
    <x v="0"/>
    <n v="342252"/>
    <m/>
    <m/>
    <m/>
  </r>
  <r>
    <x v="8"/>
    <x v="6"/>
    <s v="\\192.168.24.208\images\R&amp;D\2-Test oestrogénique\OECD and AOPs\REACTIV oecd interlaboratory validation\Results WF\Résultats CBA\2021-CHG-CBA-FADROZOLE HGC\plaque 1/@08 Fadrozole 5.4/G8_01.tif "/>
    <s v=" 565.5976 "/>
    <s v=" 63.6923 "/>
    <x v="0"/>
    <n v="36024"/>
    <m/>
    <m/>
    <m/>
  </r>
  <r>
    <x v="8"/>
    <x v="6"/>
    <s v="\\192.168.24.208\images\R&amp;D\2-Test oestrogénique\OECD and AOPs\REACTIV oecd interlaboratory validation\Results WF\Résultats CBA\2021-CHG-CBA-FADROZOLE HGC\plaque 1/@08 Fadrozole 5.4/G8_02.tif "/>
    <s v=" 1044.1802 "/>
    <s v=" 64.1667 "/>
    <x v="0"/>
    <n v="67002"/>
    <m/>
    <m/>
    <m/>
  </r>
  <r>
    <x v="8"/>
    <x v="6"/>
    <s v="\\192.168.24.208\images\R&amp;D\2-Test oestrogénique\OECD and AOPs\REACTIV oecd interlaboratory validation\Results WF\Résultats CBA\2021-CHG-CBA-FADROZOLE HGC\plaque 1/@08 Fadrozole 5.4/G8_03.tif "/>
    <s v=" 326.3063 "/>
    <s v=" 62.9333 "/>
    <x v="0"/>
    <n v="20536"/>
    <m/>
    <m/>
    <m/>
  </r>
  <r>
    <x v="8"/>
    <x v="7"/>
    <s v="\\192.168.24.208\images\R&amp;D\2-Test oestrogénique\OECD and AOPs\REACTIV oecd interlaboratory validation\Results WF\Résultats CBA\2021-CHG-CBA-FADROZOLE HGC\plaque 1/@08 Fadrozole 5.4/H8_01.tif "/>
    <s v=" 369.8138 "/>
    <s v=" 62.5882 "/>
    <x v="0"/>
    <n v="23146"/>
    <m/>
    <m/>
    <m/>
  </r>
  <r>
    <x v="8"/>
    <x v="7"/>
    <s v="\\192.168.24.208\images\R&amp;D\2-Test oestrogénique\OECD and AOPs\REACTIV oecd interlaboratory validation\Results WF\Résultats CBA\2021-CHG-CBA-FADROZOLE HGC\plaque 1/@08 Fadrozole 5.4/H8_02.tif "/>
    <s v=" 239.2913 "/>
    <s v=" 62.6364 "/>
    <x v="0"/>
    <n v="14988"/>
    <m/>
    <m/>
    <m/>
  </r>
  <r>
    <x v="8"/>
    <x v="7"/>
    <s v="\\192.168.24.208\images\R&amp;D\2-Test oestrogénique\OECD and AOPs\REACTIV oecd interlaboratory validation\Results WF\Résultats CBA\2021-CHG-CBA-FADROZOLE HGC\plaque 1/@08 Fadrozole 5.4/H8_03.tif "/>
    <s v=" 326.3063 "/>
    <s v=" 62.4 "/>
    <x v="0"/>
    <n v="20362"/>
    <m/>
    <m/>
    <m/>
  </r>
  <r>
    <x v="1"/>
    <x v="8"/>
    <s v=" "/>
    <m/>
    <m/>
    <x v="1"/>
    <m/>
    <m/>
    <m/>
    <m/>
  </r>
  <r>
    <x v="1"/>
    <x v="8"/>
    <s v="group "/>
    <s v=" "/>
    <s v=" mean of mean fluo "/>
    <x v="2"/>
    <s v=" mean of total fluo "/>
    <s v=" SD total fluo "/>
    <s v=" n fluorescent "/>
    <m/>
  </r>
  <r>
    <x v="8"/>
    <x v="9"/>
    <s v="\\192.168.24.208\images\R&amp;D\2-Test oestrogénique\OECD and AOPs\REACTIV oecd interlaboratory validation\Results WF\Résultats CBA\2021-CHG-CBA-FADROZOLE HGC\plaque 1/@08 Fadrozole 5.4/ "/>
    <s v=" "/>
    <s v=" 70.6253 "/>
    <x v="10"/>
    <s v=" 370161.875 "/>
    <s v=" 466385.947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192.168.24.208\images\R&amp;D\2-Test oestrogénique\OECD and AOPs\REACTIV oecd interlaboratory validation\Results WF\Résultats CBA\2021-CHG-CBA-FADROZOLE HGC\plaque 1/@09  Fadrozole 11/A9_01- exclu.tif"/>
    <m/>
    <m/>
    <x v="1"/>
    <m/>
    <m/>
    <m/>
    <m/>
  </r>
  <r>
    <x v="9"/>
    <x v="0"/>
    <s v="\\192.168.24.208\images\R&amp;D\2-Test oestrogénique\OECD and AOPs\REACTIV oecd interlaboratory validation\Results WF\Résultats CBA\2021-CHG-CBA-FADROZOLE HGC\plaque 1/@09  Fadrozole 11/A9_02- exclu.tif"/>
    <m/>
    <m/>
    <x v="1"/>
    <m/>
    <m/>
    <m/>
    <m/>
  </r>
  <r>
    <x v="9"/>
    <x v="0"/>
    <s v="\\192.168.24.208\images\R&amp;D\2-Test oestrogénique\OECD and AOPs\REACTIV oecd interlaboratory validation\Results WF\Résultats CBA\2021-CHG-CBA-FADROZOLE HGC\plaque 1/@09  Fadrozole 11/A9_03- exclu.tif"/>
    <m/>
    <m/>
    <x v="1"/>
    <m/>
    <m/>
    <m/>
    <m/>
  </r>
  <r>
    <x v="9"/>
    <x v="1"/>
    <s v="\\192.168.24.208\images\R&amp;D\2-Test oestrogénique\OECD and AOPs\REACTIV oecd interlaboratory validation\Results WF\Résultats CBA\2021-CHG-CBA-FADROZOLE HGC\plaque 1/@09  Fadrozole 11/B9_01.tif "/>
    <s v=" 630.8589 "/>
    <s v=" 64.0345 "/>
    <x v="0"/>
    <n v="40397"/>
    <m/>
    <m/>
    <m/>
  </r>
  <r>
    <x v="9"/>
    <x v="1"/>
    <s v="\\192.168.24.208\images\R&amp;D\2-Test oestrogénique\OECD and AOPs\REACTIV oecd interlaboratory validation\Results WF\Résultats CBA\2021-CHG-CBA-FADROZOLE HGC\plaque 1/@09  Fadrozole 11/B9_02.tif "/>
    <s v=" 1065.934 "/>
    <s v=" 65.9592 "/>
    <x v="0"/>
    <n v="70308"/>
    <m/>
    <m/>
    <m/>
  </r>
  <r>
    <x v="9"/>
    <x v="1"/>
    <s v="\\192.168.24.208\images\R&amp;D\2-Test oestrogénique\OECD and AOPs\REACTIV oecd interlaboratory validation\Results WF\Résultats CBA\2021-CHG-CBA-FADROZOLE HGC\plaque 1/@09  Fadrozole 11/B9_03.tif "/>
    <s v=" 565.5976 "/>
    <s v=" 63.7308 "/>
    <x v="0"/>
    <n v="36046"/>
    <m/>
    <m/>
    <m/>
  </r>
  <r>
    <x v="9"/>
    <x v="2"/>
    <s v="\\192.168.24.208\images\R&amp;D\2-Test oestrogénique\OECD and AOPs\REACTIV oecd interlaboratory validation\Results WF\Résultats CBA\2021-CHG-CBA-FADROZOLE HGC\plaque 1/@09  Fadrozole 11/C9_01.tif "/>
    <s v=" 652.6127 "/>
    <s v=" 62.9667 "/>
    <x v="0"/>
    <n v="41093"/>
    <m/>
    <m/>
    <m/>
  </r>
  <r>
    <x v="9"/>
    <x v="2"/>
    <s v="\\192.168.24.208\images\R&amp;D\2-Test oestrogénique\OECD and AOPs\REACTIV oecd interlaboratory validation\Results WF\Résultats CBA\2021-CHG-CBA-FADROZOLE HGC\plaque 1/@09  Fadrozole 11/C9_02.tif "/>
    <s v=" 761.3814 "/>
    <s v=" 63.6857 "/>
    <x v="0"/>
    <n v="48489"/>
    <m/>
    <m/>
    <m/>
  </r>
  <r>
    <x v="9"/>
    <x v="2"/>
    <s v="\\192.168.24.208\images\R&amp;D\2-Test oestrogénique\OECD and AOPs\REACTIV oecd interlaboratory validation\Results WF\Résultats CBA\2021-CHG-CBA-FADROZOLE HGC\plaque 1/@09  Fadrozole 11/C9_03.tif "/>
    <s v=" 369.8138 "/>
    <s v=" 62.2353 "/>
    <x v="0"/>
    <n v="23015"/>
    <m/>
    <m/>
    <m/>
  </r>
  <r>
    <x v="9"/>
    <x v="3"/>
    <s v="\\192.168.24.208\images\R&amp;D\2-Test oestrogénique\OECD and AOPs\REACTIV oecd interlaboratory validation\Results WF\Résultats CBA\2021-CHG-CBA-FADROZOLE HGC\plaque 1/@09  Fadrozole 11/D9_01.tif "/>
    <s v=" 130.5225 "/>
    <s v=" 64.3333 "/>
    <x v="0"/>
    <n v="8397"/>
    <m/>
    <m/>
    <m/>
  </r>
  <r>
    <x v="9"/>
    <x v="3"/>
    <s v="\\192.168.24.208\images\R&amp;D\2-Test oestrogénique\OECD and AOPs\REACTIV oecd interlaboratory validation\Results WF\Résultats CBA\2021-CHG-CBA-FADROZOLE HGC\plaque 1/@09  Fadrozole 11/D9_02- exclu.tif"/>
    <m/>
    <m/>
    <x v="1"/>
    <m/>
    <m/>
    <m/>
    <m/>
  </r>
  <r>
    <x v="9"/>
    <x v="3"/>
    <s v="\\192.168.24.208\images\R&amp;D\2-Test oestrogénique\OECD and AOPs\REACTIV oecd interlaboratory validation\Results WF\Résultats CBA\2021-CHG-CBA-FADROZOLE HGC\plaque 1/@09  Fadrozole 11/D9_03.tif "/>
    <s v=" 239.2913 "/>
    <s v=" 63.8182 "/>
    <x v="0"/>
    <n v="15271"/>
    <m/>
    <m/>
    <m/>
  </r>
  <r>
    <x v="9"/>
    <x v="4"/>
    <s v="\\192.168.24.208\images\R&amp;D\2-Test oestrogénique\OECD and AOPs\REACTIV oecd interlaboratory validation\Results WF\Résultats CBA\2021-CHG-CBA-FADROZOLE HGC\plaque 1/@09  Fadrozole 11/E9_01.tif "/>
    <s v=" 2349.4055 "/>
    <s v=" 66.4074 "/>
    <x v="0"/>
    <n v="156018"/>
    <m/>
    <m/>
    <m/>
  </r>
  <r>
    <x v="9"/>
    <x v="4"/>
    <s v="\\192.168.24.208\images\R&amp;D\2-Test oestrogénique\OECD and AOPs\REACTIV oecd interlaboratory validation\Results WF\Résultats CBA\2021-CHG-CBA-FADROZOLE HGC\plaque 1/@09  Fadrozole 11/E9_02.tif "/>
    <s v=" 282.7988 "/>
    <s v=" 63.1538 "/>
    <x v="0"/>
    <n v="17860"/>
    <m/>
    <m/>
    <m/>
  </r>
  <r>
    <x v="9"/>
    <x v="4"/>
    <s v="\\192.168.24.208\images\R&amp;D\2-Test oestrogénique\OECD and AOPs\REACTIV oecd interlaboratory validation\Results WF\Résultats CBA\2021-CHG-CBA-FADROZOLE HGC\plaque 1/@09  Fadrozole 11/E9_03.tif "/>
    <s v=" 1000.6727 "/>
    <n v="64"/>
    <x v="0"/>
    <n v="64043"/>
    <m/>
    <m/>
    <m/>
  </r>
  <r>
    <x v="9"/>
    <x v="5"/>
    <s v="\\192.168.24.208\images\R&amp;D\2-Test oestrogénique\OECD and AOPs\REACTIV oecd interlaboratory validation\Results WF\Résultats CBA\2021-CHG-CBA-FADROZOLE HGC\plaque 1/@09  Fadrozole 11/F9_01.tif "/>
    <s v=" 1261.7178 "/>
    <s v=" 63.0172 "/>
    <x v="0"/>
    <n v="79510"/>
    <m/>
    <m/>
    <m/>
  </r>
  <r>
    <x v="9"/>
    <x v="5"/>
    <s v="\\192.168.24.208\images\R&amp;D\2-Test oestrogénique\OECD and AOPs\REACTIV oecd interlaboratory validation\Results WF\Résultats CBA\2021-CHG-CBA-FADROZOLE HGC\plaque 1/@09  Fadrozole 11/F9_02.tif "/>
    <s v=" 2436.4206 "/>
    <s v=" 65.2321 "/>
    <x v="0"/>
    <n v="158933"/>
    <m/>
    <m/>
    <m/>
  </r>
  <r>
    <x v="9"/>
    <x v="5"/>
    <s v="\\192.168.24.208\images\R&amp;D\2-Test oestrogénique\OECD and AOPs\REACTIV oecd interlaboratory validation\Results WF\Résultats CBA\2021-CHG-CBA-FADROZOLE HGC\plaque 1/@09  Fadrozole 11/F9_03.tif "/>
    <s v=" 913.6577 "/>
    <s v=" 62.8571 "/>
    <x v="0"/>
    <n v="57430"/>
    <m/>
    <m/>
    <m/>
  </r>
  <r>
    <x v="9"/>
    <x v="6"/>
    <s v="\\192.168.24.208\images\R&amp;D\2-Test oestrogénique\OECD and AOPs\REACTIV oecd interlaboratory validation\Results WF\Résultats CBA\2021-CHG-CBA-FADROZOLE HGC\plaque 1/@09  Fadrozole 11/G9_01.tif "/>
    <s v=" 195.7838 "/>
    <s v=" 63.2222 "/>
    <x v="0"/>
    <n v="12378"/>
    <m/>
    <m/>
    <m/>
  </r>
  <r>
    <x v="9"/>
    <x v="6"/>
    <s v="\\192.168.24.208\images\R&amp;D\2-Test oestrogénique\OECD and AOPs\REACTIV oecd interlaboratory validation\Results WF\Résultats CBA\2021-CHG-CBA-FADROZOLE HGC\plaque 1/@09  Fadrozole 11/G9_02.tif "/>
    <s v=" 87.015 "/>
    <n v="66"/>
    <x v="0"/>
    <n v="5743"/>
    <m/>
    <m/>
    <m/>
  </r>
  <r>
    <x v="9"/>
    <x v="6"/>
    <s v="\\192.168.24.208\images\R&amp;D\2-Test oestrogénique\OECD and AOPs\REACTIV oecd interlaboratory validation\Results WF\Résultats CBA\2021-CHG-CBA-FADROZOLE HGC\plaque 1/@09  Fadrozole 11/G9_03- exclu.tif"/>
    <m/>
    <m/>
    <x v="1"/>
    <m/>
    <m/>
    <m/>
    <m/>
  </r>
  <r>
    <x v="9"/>
    <x v="7"/>
    <s v="\\192.168.24.208\images\R&amp;D\2-Test oestrogénique\OECD and AOPs\REACTIV oecd interlaboratory validation\Results WF\Résultats CBA\2021-CHG-CBA-FADROZOLE HGC\plaque 1/@09  Fadrozole 11/H9_01- exclu.tif"/>
    <m/>
    <m/>
    <x v="1"/>
    <m/>
    <m/>
    <m/>
    <m/>
  </r>
  <r>
    <x v="9"/>
    <x v="7"/>
    <s v="\\192.168.24.208\images\R&amp;D\2-Test oestrogénique\OECD and AOPs\REACTIV oecd interlaboratory validation\Results WF\Résultats CBA\2021-CHG-CBA-FADROZOLE HGC\plaque 1/@09  Fadrozole 11/H9_02- exclu.tif"/>
    <m/>
    <m/>
    <x v="1"/>
    <m/>
    <m/>
    <m/>
    <m/>
  </r>
  <r>
    <x v="9"/>
    <x v="7"/>
    <s v="\\192.168.24.208\images\R&amp;D\2-Test oestrogénique\OECD and AOPs\REACTIV oecd interlaboratory validation\Results WF\Résultats CBA\2021-CHG-CBA-FADROZOLE HGC\plaque 1/@09  Fadrozole 11/H9_03- exclu.tif"/>
    <m/>
    <m/>
    <x v="1"/>
    <m/>
    <m/>
    <m/>
    <m/>
  </r>
  <r>
    <x v="1"/>
    <x v="8"/>
    <s v=" "/>
    <m/>
    <m/>
    <x v="1"/>
    <m/>
    <m/>
    <m/>
    <m/>
  </r>
  <r>
    <x v="1"/>
    <x v="8"/>
    <s v="group "/>
    <s v=" "/>
    <s v=" mean of mean fluo "/>
    <x v="2"/>
    <s v=" mean of total fluo "/>
    <s v=" SD total fluo "/>
    <s v=" n fluorescent "/>
    <m/>
  </r>
  <r>
    <x v="9"/>
    <x v="9"/>
    <s v="\\192.168.24.208\images\R&amp;D\2-Test oestrogénique\OECD and AOPs\REACTIV oecd interlaboratory validation\Results WF\Résultats CBA\2021-CHG-CBA-FADROZOLE HGC\plaque 1/@09  Fadrozole 11/ "/>
    <s v=" "/>
    <s v=" 67.5676 "/>
    <x v="11"/>
    <s v=" 97014.4583 "/>
    <s v=" 255496.90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192.168.24.208\images\R&amp;D\2-Test oestrogénique\OECD and AOPs\REACTIV oecd interlaboratory validation\Results WF\Résultats CBA\2021-CHG-CBA-FADROZOLE HGC\plaque 1/@10  Fadrozole 22/A10_01.tif "/>
    <s v=" 2458.1743 "/>
    <s v=" 65.0442 "/>
    <x v="0"/>
    <n v="159890"/>
    <m/>
    <m/>
    <m/>
  </r>
  <r>
    <x v="10"/>
    <x v="0"/>
    <s v="\\192.168.24.208\images\R&amp;D\2-Test oestrogénique\OECD and AOPs\REACTIV oecd interlaboratory validation\Results WF\Résultats CBA\2021-CHG-CBA-FADROZOLE HGC\plaque 1/@10  Fadrozole 22/A10_02.tif "/>
    <s v=" 6613.1415 "/>
    <s v=" 67.9145 "/>
    <x v="0"/>
    <n v="449128"/>
    <m/>
    <m/>
    <m/>
  </r>
  <r>
    <x v="10"/>
    <x v="0"/>
    <s v="\\192.168.24.208\images\R&amp;D\2-Test oestrogénique\OECD and AOPs\REACTIV oecd interlaboratory validation\Results WF\Résultats CBA\2021-CHG-CBA-FADROZOLE HGC\plaque 1/@10  Fadrozole 22/A10_03.tif "/>
    <s v=" 2240.6368 "/>
    <s v=" 64.0097 "/>
    <x v="0"/>
    <n v="143423"/>
    <m/>
    <m/>
    <m/>
  </r>
  <r>
    <x v="10"/>
    <x v="1"/>
    <s v="\\192.168.24.208\images\R&amp;D\2-Test oestrogénique\OECD and AOPs\REACTIV oecd interlaboratory validation\Results WF\Résultats CBA\2021-CHG-CBA-FADROZOLE HGC\plaque 1/@10  Fadrozole 22/B10_01.tif "/>
    <s v=" 2262.3905 "/>
    <s v=" 63.5096 "/>
    <x v="0"/>
    <n v="143684"/>
    <m/>
    <m/>
    <m/>
  </r>
  <r>
    <x v="10"/>
    <x v="1"/>
    <s v="\\192.168.24.208\images\R&amp;D\2-Test oestrogénique\OECD and AOPs\REACTIV oecd interlaboratory validation\Results WF\Résultats CBA\2021-CHG-CBA-FADROZOLE HGC\plaque 1/@10  Fadrozole 22/B10_02- exclu.tif"/>
    <m/>
    <m/>
    <x v="1"/>
    <m/>
    <m/>
    <m/>
    <m/>
  </r>
  <r>
    <x v="10"/>
    <x v="1"/>
    <s v="\\192.168.24.208\images\R&amp;D\2-Test oestrogénique\OECD and AOPs\REACTIV oecd interlaboratory validation\Results WF\Résultats CBA\2021-CHG-CBA-FADROZOLE HGC\plaque 1/@10  Fadrozole 22/B10_03.tif "/>
    <s v=" 2305.898 "/>
    <s v=" 64.9151 "/>
    <x v="0"/>
    <n v="149688"/>
    <m/>
    <m/>
    <m/>
  </r>
  <r>
    <x v="10"/>
    <x v="2"/>
    <s v="\\192.168.24.208\images\R&amp;D\2-Test oestrogénique\OECD and AOPs\REACTIV oecd interlaboratory validation\Results WF\Résultats CBA\2021-CHG-CBA-FADROZOLE HGC\plaque 1/@10  Fadrozole 22/C10_01.tif "/>
    <s v=" 3741.6459 "/>
    <s v=" 65.3895 "/>
    <x v="0"/>
    <n v="244664"/>
    <m/>
    <m/>
    <m/>
  </r>
  <r>
    <x v="10"/>
    <x v="2"/>
    <s v="\\192.168.24.208\images\R&amp;D\2-Test oestrogénique\OECD and AOPs\REACTIV oecd interlaboratory validation\Results WF\Résultats CBA\2021-CHG-CBA-FADROZOLE HGC\plaque 1/@10  Fadrozole 22/C10_02.tif "/>
    <s v=" 3415.3395 "/>
    <s v=" 66.8981 "/>
    <x v="0"/>
    <n v="228480"/>
    <m/>
    <m/>
    <m/>
  </r>
  <r>
    <x v="10"/>
    <x v="2"/>
    <s v="\\192.168.24.208\images\R&amp;D\2-Test oestrogénique\OECD and AOPs\REACTIV oecd interlaboratory validation\Results WF\Résultats CBA\2021-CHG-CBA-FADROZOLE HGC\plaque 1/@10  Fadrozole 22/C10_03- exclu.tif"/>
    <m/>
    <m/>
    <x v="1"/>
    <m/>
    <m/>
    <m/>
    <m/>
  </r>
  <r>
    <x v="10"/>
    <x v="3"/>
    <s v="\\192.168.24.208\images\R&amp;D\2-Test oestrogénique\OECD and AOPs\REACTIV oecd interlaboratory validation\Results WF\Résultats CBA\2021-CHG-CBA-FADROZOLE HGC\plaque 1/@10  Fadrozole 22/D10_01.tif "/>
    <s v=" 239.2913 "/>
    <s v=" 63.3636 "/>
    <x v="0"/>
    <n v="15162"/>
    <m/>
    <m/>
    <m/>
  </r>
  <r>
    <x v="10"/>
    <x v="3"/>
    <s v="\\192.168.24.208\images\R&amp;D\2-Test oestrogénique\OECD and AOPs\REACTIV oecd interlaboratory validation\Results WF\Résultats CBA\2021-CHG-CBA-FADROZOLE HGC\plaque 1/@10  Fadrozole 22/D10_02.tif "/>
    <s v=" 630.8589 "/>
    <s v=" 64.8966 "/>
    <x v="0"/>
    <n v="40941"/>
    <m/>
    <m/>
    <m/>
  </r>
  <r>
    <x v="10"/>
    <x v="3"/>
    <s v="\\192.168.24.208\images\R&amp;D\2-Test oestrogénique\OECD and AOPs\REACTIV oecd interlaboratory validation\Results WF\Résultats CBA\2021-CHG-CBA-FADROZOLE HGC\plaque 1/@10  Fadrozole 22/D10_03.tif "/>
    <s v=" 543.8439 "/>
    <s v=" 62.64 "/>
    <x v="0"/>
    <n v="34066"/>
    <m/>
    <m/>
    <m/>
  </r>
  <r>
    <x v="10"/>
    <x v="4"/>
    <s v="\\192.168.24.208\images\R&amp;D\2-Test oestrogénique\OECD and AOPs\REACTIV oecd interlaboratory validation\Results WF\Résultats CBA\2021-CHG-CBA-FADROZOLE HGC\plaque 1/@10  Fadrozole 22/E10_01.tif "/>
    <s v=" 1588.0241 "/>
    <s v=" 67.3562 "/>
    <x v="0"/>
    <n v="106963"/>
    <m/>
    <m/>
    <m/>
  </r>
  <r>
    <x v="10"/>
    <x v="4"/>
    <s v="\\192.168.24.208\images\R&amp;D\2-Test oestrogénique\OECD and AOPs\REACTIV oecd interlaboratory validation\Results WF\Résultats CBA\2021-CHG-CBA-FADROZOLE HGC\plaque 1/@10  Fadrozole 22/E10_02.tif "/>
    <s v=" 326.3063 "/>
    <s v=" 65.0667 "/>
    <x v="0"/>
    <n v="21232"/>
    <m/>
    <m/>
    <m/>
  </r>
  <r>
    <x v="10"/>
    <x v="4"/>
    <s v="\\192.168.24.208\images\R&amp;D\2-Test oestrogénique\OECD and AOPs\REACTIV oecd interlaboratory validation\Results WF\Résultats CBA\2021-CHG-CBA-FADROZOLE HGC\plaque 1/@10  Fadrozole 22/E10_03.tif "/>
    <s v=" 195.7838 "/>
    <s v=" 63.7778 "/>
    <x v="0"/>
    <n v="12487"/>
    <m/>
    <m/>
    <m/>
  </r>
  <r>
    <x v="10"/>
    <x v="5"/>
    <s v="\\192.168.24.208\images\R&amp;D\2-Test oestrogénique\OECD and AOPs\REACTIV oecd interlaboratory validation\Results WF\Résultats CBA\2021-CHG-CBA-FADROZOLE HGC\plaque 1/@10  Fadrozole 22/F10_01.tif "/>
    <s v=" 6591.3878 "/>
    <s v=" 70.3927 "/>
    <x v="0"/>
    <n v="463986"/>
    <m/>
    <m/>
    <m/>
  </r>
  <r>
    <x v="10"/>
    <x v="5"/>
    <s v="\\192.168.24.208\images\R&amp;D\2-Test oestrogénique\OECD and AOPs\REACTIV oecd interlaboratory validation\Results WF\Résultats CBA\2021-CHG-CBA-FADROZOLE HGC\plaque 1/@10  Fadrozole 22/F10_02.tif "/>
    <s v=" 11594.7514 "/>
    <s v=" 84.0657 "/>
    <x v="0"/>
    <n v="974721"/>
    <m/>
    <m/>
    <m/>
  </r>
  <r>
    <x v="10"/>
    <x v="5"/>
    <s v="\\192.168.24.208\images\R&amp;D\2-Test oestrogénique\OECD and AOPs\REACTIV oecd interlaboratory validation\Results WF\Résultats CBA\2021-CHG-CBA-FADROZOLE HGC\plaque 1/@10  Fadrozole 22/F10_03- exclu.tif"/>
    <m/>
    <m/>
    <x v="1"/>
    <m/>
    <m/>
    <m/>
    <m/>
  </r>
  <r>
    <x v="10"/>
    <x v="6"/>
    <s v="\\192.168.24.208\images\R&amp;D\2-Test oestrogénique\OECD and AOPs\REACTIV oecd interlaboratory validation\Results WF\Résultats CBA\2021-CHG-CBA-FADROZOLE HGC\plaque 1/@10  Fadrozole 22/G10_01.tif "/>
    <s v=" 1152.949 "/>
    <s v=" 63.9623 "/>
    <x v="0"/>
    <n v="73745"/>
    <m/>
    <m/>
    <m/>
  </r>
  <r>
    <x v="10"/>
    <x v="6"/>
    <s v="\\192.168.24.208\images\R&amp;D\2-Test oestrogénique\OECD and AOPs\REACTIV oecd interlaboratory validation\Results WF\Résultats CBA\2021-CHG-CBA-FADROZOLE HGC\plaque 1/@10  Fadrozole 22/G10_02.tif "/>
    <s v=" 1892.5767 "/>
    <s v=" 63.6667 "/>
    <x v="0"/>
    <n v="120494"/>
    <m/>
    <m/>
    <m/>
  </r>
  <r>
    <x v="10"/>
    <x v="6"/>
    <s v="\\192.168.24.208\images\R&amp;D\2-Test oestrogénique\OECD and AOPs\REACTIV oecd interlaboratory validation\Results WF\Résultats CBA\2021-CHG-CBA-FADROZOLE HGC\plaque 1/@10  Fadrozole 22/G10_03.tif "/>
    <s v=" 1435.7478 "/>
    <s v=" 63.7576 "/>
    <x v="0"/>
    <n v="91540"/>
    <m/>
    <m/>
    <m/>
  </r>
  <r>
    <x v="10"/>
    <x v="7"/>
    <s v="\\192.168.24.208\images\R&amp;D\2-Test oestrogénique\OECD and AOPs\REACTIV oecd interlaboratory validation\Results WF\Résultats CBA\2021-CHG-CBA-FADROZOLE HGC\plaque 1/@10  Fadrozole 22/H10_01.tif "/>
    <s v=" 413.3213 "/>
    <s v=" 63.3684 "/>
    <x v="0"/>
    <n v="26192"/>
    <m/>
    <m/>
    <m/>
  </r>
  <r>
    <x v="10"/>
    <x v="7"/>
    <s v="\\192.168.24.208\images\R&amp;D\2-Test oestrogénique\OECD and AOPs\REACTIV oecd interlaboratory validation\Results WF\Résultats CBA\2021-CHG-CBA-FADROZOLE HGC\plaque 1/@10  Fadrozole 22/H10_02.tif "/>
    <s v=" 326.3063 "/>
    <s v=" 62.0667 "/>
    <x v="0"/>
    <n v="20253"/>
    <m/>
    <m/>
    <m/>
  </r>
  <r>
    <x v="10"/>
    <x v="7"/>
    <s v="\\192.168.24.208\images\R&amp;D\2-Test oestrogénique\OECD and AOPs\REACTIV oecd interlaboratory validation\Results WF\Résultats CBA\2021-CHG-CBA-FADROZOLE HGC\plaque 1/@10  Fadrozole 22/H10_03.tif "/>
    <s v=" 957.1652 "/>
    <s v=" 64.0455 "/>
    <x v="0"/>
    <n v="61302"/>
    <m/>
    <m/>
    <m/>
  </r>
  <r>
    <x v="1"/>
    <x v="8"/>
    <s v=" "/>
    <m/>
    <m/>
    <x v="1"/>
    <m/>
    <m/>
    <m/>
    <m/>
  </r>
  <r>
    <x v="1"/>
    <x v="8"/>
    <s v="group "/>
    <s v=" "/>
    <s v=" mean of mean fluo "/>
    <x v="2"/>
    <s v=" mean of total fluo "/>
    <s v=" SD total fluo "/>
    <s v=" n fluorescent "/>
    <m/>
  </r>
  <r>
    <x v="10"/>
    <x v="9"/>
    <s v="\\192.168.24.208\images\R&amp;D\2-Test oestrogénique\OECD and AOPs\REACTIV oecd interlaboratory validation\Results WF\Résultats CBA\2021-CHG-CBA-FADROZOLE HGC\plaque 1/@10  Fadrozole 22/ "/>
    <s v=" "/>
    <s v=" 66.7643 "/>
    <x v="12"/>
    <s v=" 224215.167 "/>
    <s v=" 364295.747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192.168.24.208\images\R&amp;D\2-Test oestrogénique\OECD and AOPs\REACTIV oecd interlaboratory validation\Results WF\Résultats CBA\2021-CHG-CBA-FADROZOLE HGC\plaque 1/@11  Fadrozole 44/A11_01.tif "/>
    <s v=" 761.3814 "/>
    <s v=" 63.3143 "/>
    <x v="0"/>
    <n v="48206"/>
    <m/>
    <m/>
    <m/>
  </r>
  <r>
    <x v="11"/>
    <x v="0"/>
    <s v="\\192.168.24.208\images\R&amp;D\2-Test oestrogénique\OECD and AOPs\REACTIV oecd interlaboratory validation\Results WF\Résultats CBA\2021-CHG-CBA-FADROZOLE HGC\plaque 1/@11  Fadrozole 44/A11_02.tif "/>
    <s v=" 913.6577 "/>
    <s v=" 64.381 "/>
    <x v="0"/>
    <n v="58822"/>
    <m/>
    <m/>
    <m/>
  </r>
  <r>
    <x v="11"/>
    <x v="0"/>
    <s v="\\192.168.24.208\images\R&amp;D\2-Test oestrogénique\OECD and AOPs\REACTIV oecd interlaboratory validation\Results WF\Résultats CBA\2021-CHG-CBA-FADROZOLE HGC\plaque 1/@11  Fadrozole 44/A11_03.tif "/>
    <s v=" 870.1502 "/>
    <s v=" 63.5 "/>
    <x v="0"/>
    <n v="55255"/>
    <m/>
    <m/>
    <m/>
  </r>
  <r>
    <x v="11"/>
    <x v="1"/>
    <s v="\\192.168.24.208\images\R&amp;D\2-Test oestrogénique\OECD and AOPs\REACTIV oecd interlaboratory validation\Results WF\Résultats CBA\2021-CHG-CBA-FADROZOLE HGC\plaque 1/@11  Fadrozole 44/B11_01.tif "/>
    <s v=" 130.5225 "/>
    <n v="63"/>
    <x v="0"/>
    <n v="8223"/>
    <m/>
    <m/>
    <m/>
  </r>
  <r>
    <x v="11"/>
    <x v="1"/>
    <s v="\\192.168.24.208\images\R&amp;D\2-Test oestrogénique\OECD and AOPs\REACTIV oecd interlaboratory validation\Results WF\Résultats CBA\2021-CHG-CBA-FADROZOLE HGC\plaque 1/@11  Fadrozole 44/B11_02.tif "/>
    <s v=" 217.5376 "/>
    <s v=" 65.2 "/>
    <x v="0"/>
    <n v="14183"/>
    <m/>
    <m/>
    <m/>
  </r>
  <r>
    <x v="11"/>
    <x v="1"/>
    <s v="\\192.168.24.208\images\R&amp;D\2-Test oestrogénique\OECD and AOPs\REACTIV oecd interlaboratory validation\Results WF\Résultats CBA\2021-CHG-CBA-FADROZOLE HGC\plaque 1/@11  Fadrozole 44/B11_03.tif "/>
    <s v=" 152.2763 "/>
    <s v=" 63.7143 "/>
    <x v="0"/>
    <n v="9702"/>
    <m/>
    <m/>
    <m/>
  </r>
  <r>
    <x v="11"/>
    <x v="2"/>
    <s v="\\192.168.24.208\images\R&amp;D\2-Test oestrogénique\OECD and AOPs\REACTIV oecd interlaboratory validation\Results WF\Résultats CBA\2021-CHG-CBA-FADROZOLE HGC\plaque 1/@11  Fadrozole 44/C11_01.tif "/>
    <s v=" 152.2763 "/>
    <s v=" 64.2857 "/>
    <x v="0"/>
    <n v="9789"/>
    <m/>
    <m/>
    <m/>
  </r>
  <r>
    <x v="11"/>
    <x v="2"/>
    <s v="\\192.168.24.208\images\R&amp;D\2-Test oestrogénique\OECD and AOPs\REACTIV oecd interlaboratory validation\Results WF\Résultats CBA\2021-CHG-CBA-FADROZOLE HGC\plaque 1/@11  Fadrozole 44/C11_02.tif "/>
    <s v=" 456.8289 "/>
    <s v=" 64.8095 "/>
    <x v="0"/>
    <n v="29607"/>
    <m/>
    <m/>
    <m/>
  </r>
  <r>
    <x v="11"/>
    <x v="2"/>
    <s v="\\192.168.24.208\images\R&amp;D\2-Test oestrogénique\OECD and AOPs\REACTIV oecd interlaboratory validation\Results WF\Résultats CBA\2021-CHG-CBA-FADROZOLE HGC\plaque 1/@11  Fadrozole 44/C11_03.tif "/>
    <s v=" 239.2913 "/>
    <s v=" 65.5455 "/>
    <x v="0"/>
    <n v="15684"/>
    <m/>
    <m/>
    <m/>
  </r>
  <r>
    <x v="11"/>
    <x v="3"/>
    <s v="\\192.168.24.208\images\R&amp;D\2-Test oestrogénique\OECD and AOPs\REACTIV oecd interlaboratory validation\Results WF\Résultats CBA\2021-CHG-CBA-FADROZOLE HGC\plaque 1/@11  Fadrozole 44/D11_01.tif "/>
    <s v=" 6199.8202 "/>
    <s v=" 75.3579 "/>
    <x v="0"/>
    <n v="467205"/>
    <m/>
    <m/>
    <m/>
  </r>
  <r>
    <x v="11"/>
    <x v="3"/>
    <s v="\\192.168.24.208\images\R&amp;D\2-Test oestrogénique\OECD and AOPs\REACTIV oecd interlaboratory validation\Results WF\Résultats CBA\2021-CHG-CBA-FADROZOLE HGC\plaque 1/@11  Fadrozole 44/D11_02.tif "/>
    <s v=" 2784.4806 "/>
    <s v=" 67.1719 "/>
    <x v="0"/>
    <n v="187039"/>
    <m/>
    <m/>
    <m/>
  </r>
  <r>
    <x v="11"/>
    <x v="3"/>
    <s v="\\192.168.24.208\images\R&amp;D\2-Test oestrogénique\OECD and AOPs\REACTIV oecd interlaboratory validation\Results WF\Résultats CBA\2021-CHG-CBA-FADROZOLE HGC\plaque 1/@11  Fadrozole 44/D11_03.tif "/>
    <s v=" 5264.4087 "/>
    <s v=" 70.4339 "/>
    <x v="0"/>
    <n v="370793"/>
    <m/>
    <m/>
    <m/>
  </r>
  <r>
    <x v="11"/>
    <x v="4"/>
    <s v="\\192.168.24.208\images\R&amp;D\2-Test oestrogénique\OECD and AOPs\REACTIV oecd interlaboratory validation\Results WF\Résultats CBA\2021-CHG-CBA-FADROZOLE HGC\plaque 1/@11  Fadrozole 44/E11_01.tif "/>
    <s v=" 4328.9972 "/>
    <s v=" 65.9749 "/>
    <x v="0"/>
    <n v="285605"/>
    <m/>
    <m/>
    <m/>
  </r>
  <r>
    <x v="11"/>
    <x v="4"/>
    <s v="\\192.168.24.208\images\R&amp;D\2-Test oestrogénique\OECD and AOPs\REACTIV oecd interlaboratory validation\Results WF\Résultats CBA\2021-CHG-CBA-FADROZOLE HGC\plaque 1/@11  Fadrozole 44/E11_02.tif "/>
    <s v=" 5460.1925 "/>
    <s v=" 71.0717 "/>
    <x v="0"/>
    <n v="388065"/>
    <m/>
    <m/>
    <m/>
  </r>
  <r>
    <x v="11"/>
    <x v="4"/>
    <s v="\\192.168.24.208\images\R&amp;D\2-Test oestrogénique\OECD and AOPs\REACTIV oecd interlaboratory validation\Results WF\Résultats CBA\2021-CHG-CBA-FADROZOLE HGC\plaque 1/@11  Fadrozole 44/E11_03.tif "/>
    <s v=" 2110.1142 "/>
    <s v=" 64.1546 "/>
    <x v="0"/>
    <n v="135374"/>
    <m/>
    <m/>
    <m/>
  </r>
  <r>
    <x v="11"/>
    <x v="5"/>
    <s v="\\192.168.24.208\images\R&amp;D\2-Test oestrogénique\OECD and AOPs\REACTIV oecd interlaboratory validation\Results WF\Résultats CBA\2021-CHG-CBA-FADROZOLE HGC\plaque 1/@11  Fadrozole 44/F11_01.tif "/>
    <s v=" 391.5676 "/>
    <s v=" 62.4444 "/>
    <x v="0"/>
    <n v="24451"/>
    <m/>
    <m/>
    <m/>
  </r>
  <r>
    <x v="11"/>
    <x v="5"/>
    <s v="\\192.168.24.208\images\R&amp;D\2-Test oestrogénique\OECD and AOPs\REACTIV oecd interlaboratory validation\Results WF\Résultats CBA\2021-CHG-CBA-FADROZOLE HGC\plaque 1/@11  Fadrozole 44/F11_02.tif "/>
    <s v=" 413.3213 "/>
    <s v=" 65.5263 "/>
    <x v="0"/>
    <n v="27083"/>
    <m/>
    <m/>
    <m/>
  </r>
  <r>
    <x v="11"/>
    <x v="5"/>
    <s v="\\192.168.24.208\images\R&amp;D\2-Test oestrogénique\OECD and AOPs\REACTIV oecd interlaboratory validation\Results WF\Résultats CBA\2021-CHG-CBA-FADROZOLE HGC\plaque 1/@11  Fadrozole 44/F11_03.tif "/>
    <s v=" 304.5526 "/>
    <s v=" 62.1429 "/>
    <x v="0"/>
    <n v="18926"/>
    <m/>
    <m/>
    <m/>
  </r>
  <r>
    <x v="11"/>
    <x v="6"/>
    <s v="\\192.168.24.208\images\R&amp;D\2-Test oestrogénique\OECD and AOPs\REACTIV oecd interlaboratory validation\Results WF\Résultats CBA\2021-CHG-CBA-FADROZOLE HGC\plaque 1/@11  Fadrozole 44/G11_01.tif "/>
    <s v=" 304.5526 "/>
    <s v=" 63.6429 "/>
    <x v="0"/>
    <n v="19383"/>
    <m/>
    <m/>
    <m/>
  </r>
  <r>
    <x v="11"/>
    <x v="6"/>
    <s v="\\192.168.24.208\images\R&amp;D\2-Test oestrogénique\OECD and AOPs\REACTIV oecd interlaboratory validation\Results WF\Résultats CBA\2021-CHG-CBA-FADROZOLE HGC\plaque 1/@11  Fadrozole 44/G11_02.tif "/>
    <s v=" 261.0451 "/>
    <n v="62"/>
    <x v="0"/>
    <n v="16185"/>
    <m/>
    <m/>
    <m/>
  </r>
  <r>
    <x v="11"/>
    <x v="6"/>
    <s v="\\192.168.24.208\images\R&amp;D\2-Test oestrogénique\OECD and AOPs\REACTIV oecd interlaboratory validation\Results WF\Résultats CBA\2021-CHG-CBA-FADROZOLE HGC\plaque 1/@11  Fadrozole 44/G11_03.tif "/>
    <s v=" 195.7838 "/>
    <s v=" 64.6667 "/>
    <x v="0"/>
    <n v="12661"/>
    <m/>
    <m/>
    <m/>
  </r>
  <r>
    <x v="11"/>
    <x v="7"/>
    <s v="\\192.168.24.208\images\R&amp;D\2-Test oestrogénique\OECD and AOPs\REACTIV oecd interlaboratory validation\Results WF\Résultats CBA\2021-CHG-CBA-FADROZOLE HGC\plaque 1/@11  Fadrozole 44/H11_01.tif "/>
    <s v=" 2436.4206 "/>
    <s v=" 65.5804 "/>
    <x v="0"/>
    <n v="159781"/>
    <m/>
    <m/>
    <m/>
  </r>
  <r>
    <x v="11"/>
    <x v="7"/>
    <s v="\\192.168.24.208\images\R&amp;D\2-Test oestrogénique\OECD and AOPs\REACTIV oecd interlaboratory validation\Results WF\Résultats CBA\2021-CHG-CBA-FADROZOLE HGC\plaque 1/@11  Fadrozole 44/H11_02- exclu.tif"/>
    <m/>
    <m/>
    <x v="1"/>
    <m/>
    <m/>
    <m/>
    <m/>
  </r>
  <r>
    <x v="11"/>
    <x v="7"/>
    <s v="\\192.168.24.208\images\R&amp;D\2-Test oestrogénique\OECD and AOPs\REACTIV oecd interlaboratory validation\Results WF\Résultats CBA\2021-CHG-CBA-FADROZOLE HGC\plaque 1/@11  Fadrozole 44/H11_03.tif "/>
    <s v=" 3241.3095 "/>
    <s v=" 65.8054 "/>
    <x v="0"/>
    <n v="213296"/>
    <m/>
    <m/>
    <m/>
  </r>
  <r>
    <x v="1"/>
    <x v="8"/>
    <s v=" "/>
    <m/>
    <m/>
    <x v="1"/>
    <m/>
    <m/>
    <m/>
    <m/>
  </r>
  <r>
    <x v="1"/>
    <x v="8"/>
    <s v="group "/>
    <s v=" "/>
    <s v=" mean of mean fluo "/>
    <x v="2"/>
    <s v=" mean of total fluo "/>
    <s v=" SD total fluo "/>
    <s v=" n fluorescent "/>
    <m/>
  </r>
  <r>
    <x v="11"/>
    <x v="9"/>
    <s v="\\192.168.24.208\images\R&amp;D\2-Test oestrogénique\OECD and AOPs\REACTIV oecd interlaboratory validation\Results WF\Résultats CBA\2021-CHG-CBA-FADROZOLE HGC\plaque 1/@11  Fadrozole 44/ "/>
    <s v=" "/>
    <s v=" 65.2927 "/>
    <x v="13"/>
    <s v=" 109026.167 "/>
    <s v=" 138563.879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192.168.24.208\images\R&amp;D\2-Test oestrogénique\OECD and AOPs\REACTIV oecd interlaboratory validation\Results WF\Résultats CBA\2021-CHG-CBA-FADROZOLE HGC\plaque 1/@12  Fadrozole 87/A12_01.tif "/>
    <s v=" 1065.934 "/>
    <s v=" 62.6735 "/>
    <x v="0"/>
    <n v="66806"/>
    <m/>
    <m/>
    <m/>
  </r>
  <r>
    <x v="12"/>
    <x v="0"/>
    <s v="\\192.168.24.208\images\R&amp;D\2-Test oestrogénique\OECD and AOPs\REACTIV oecd interlaboratory validation\Results WF\Résultats CBA\2021-CHG-CBA-FADROZOLE HGC\plaque 1/@12  Fadrozole 87/A12_02.tif "/>
    <s v=" 1174.7028 "/>
    <s v=" 65.2222 "/>
    <x v="0"/>
    <n v="76617"/>
    <m/>
    <m/>
    <m/>
  </r>
  <r>
    <x v="12"/>
    <x v="0"/>
    <s v="\\192.168.24.208\images\R&amp;D\2-Test oestrogénique\OECD and AOPs\REACTIV oecd interlaboratory validation\Results WF\Résultats CBA\2021-CHG-CBA-FADROZOLE HGC\plaque 1/@12  Fadrozole 87/A12_03.tif "/>
    <s v=" 1044.1802 "/>
    <s v=" 63.375 "/>
    <x v="0"/>
    <n v="66175"/>
    <m/>
    <m/>
    <m/>
  </r>
  <r>
    <x v="12"/>
    <x v="1"/>
    <s v="\\192.168.24.208\images\R&amp;D\2-Test oestrogénique\OECD and AOPs\REACTIV oecd interlaboratory validation\Results WF\Résultats CBA\2021-CHG-CBA-FADROZOLE HGC\plaque 1/@12  Fadrozole 87/B12_01.tif "/>
    <s v=" 217.5376 "/>
    <s v=" 64.7 "/>
    <x v="0"/>
    <n v="14075"/>
    <m/>
    <m/>
    <m/>
  </r>
  <r>
    <x v="12"/>
    <x v="1"/>
    <s v="\\192.168.24.208\images\R&amp;D\2-Test oestrogénique\OECD and AOPs\REACTIV oecd interlaboratory validation\Results WF\Résultats CBA\2021-CHG-CBA-FADROZOLE HGC\plaque 1/@12  Fadrozole 87/B12_02.tif "/>
    <s v=" 913.6577 "/>
    <s v=" 65.3095 "/>
    <x v="0"/>
    <n v="59671"/>
    <m/>
    <m/>
    <m/>
  </r>
  <r>
    <x v="12"/>
    <x v="1"/>
    <s v="\\192.168.24.208\images\R&amp;D\2-Test oestrogénique\OECD and AOPs\REACTIV oecd interlaboratory validation\Results WF\Résultats CBA\2021-CHG-CBA-FADROZOLE HGC\plaque 1/@12  Fadrozole 87/B12_03.tif "/>
    <s v=" 326.3063 "/>
    <s v=" 62.6 "/>
    <x v="0"/>
    <n v="20427"/>
    <m/>
    <m/>
    <m/>
  </r>
  <r>
    <x v="12"/>
    <x v="2"/>
    <s v="\\192.168.24.208\images\R&amp;D\2-Test oestrogénique\OECD and AOPs\REACTIV oecd interlaboratory validation\Results WF\Résultats CBA\2021-CHG-CBA-FADROZOLE HGC\plaque 1/@12  Fadrozole 87/C12_01.tif "/>
    <s v=" 5329.67 "/>
    <s v=" 64.1306 "/>
    <x v="0"/>
    <n v="341795"/>
    <m/>
    <m/>
    <m/>
  </r>
  <r>
    <x v="12"/>
    <x v="2"/>
    <s v="\\192.168.24.208\images\R&amp;D\2-Test oestrogénique\OECD and AOPs\REACTIV oecd interlaboratory validation\Results WF\Résultats CBA\2021-CHG-CBA-FADROZOLE HGC\plaque 1/@12  Fadrozole 87/C12_02- exclu.tif"/>
    <m/>
    <m/>
    <x v="1"/>
    <m/>
    <m/>
    <m/>
    <m/>
  </r>
  <r>
    <x v="12"/>
    <x v="2"/>
    <s v="\\192.168.24.208\images\R&amp;D\2-Test oestrogénique\OECD and AOPs\REACTIV oecd interlaboratory validation\Results WF\Résultats CBA\2021-CHG-CBA-FADROZOLE HGC\plaque 1/@12  Fadrozole 87/C12_03.tif "/>
    <s v=" 3502.3546 "/>
    <s v=" 64.1988 "/>
    <x v="0"/>
    <n v="224847"/>
    <m/>
    <m/>
    <m/>
  </r>
  <r>
    <x v="12"/>
    <x v="3"/>
    <s v="\\192.168.24.208\images\R&amp;D\2-Test oestrogénique\OECD and AOPs\REACTIV oecd interlaboratory validation\Results WF\Résultats CBA\2021-CHG-CBA-FADROZOLE HGC\plaque 1/@12  Fadrozole 87/D12_01.tif "/>
    <s v=" 565.5976 "/>
    <s v=" 63.4231 "/>
    <x v="0"/>
    <n v="35872"/>
    <m/>
    <m/>
    <m/>
  </r>
  <r>
    <x v="12"/>
    <x v="3"/>
    <s v="\\192.168.24.208\images\R&amp;D\2-Test oestrogénique\OECD and AOPs\REACTIV oecd interlaboratory validation\Results WF\Résultats CBA\2021-CHG-CBA-FADROZOLE HGC\plaque 1/@12  Fadrozole 87/D12_02.tif "/>
    <s v=" 456.8289 "/>
    <s v=" 63.5714 "/>
    <x v="0"/>
    <n v="29041"/>
    <m/>
    <m/>
    <m/>
  </r>
  <r>
    <x v="12"/>
    <x v="3"/>
    <s v="\\192.168.24.208\images\R&amp;D\2-Test oestrogénique\OECD and AOPs\REACTIV oecd interlaboratory validation\Results WF\Résultats CBA\2021-CHG-CBA-FADROZOLE HGC\plaque 1/@12  Fadrozole 87/D12_03.tif "/>
    <s v=" 500.3364 "/>
    <n v="63"/>
    <x v="0"/>
    <n v="31521"/>
    <m/>
    <m/>
    <m/>
  </r>
  <r>
    <x v="12"/>
    <x v="4"/>
    <s v="\\192.168.24.208\images\R&amp;D\2-Test oestrogénique\OECD and AOPs\REACTIV oecd interlaboratory validation\Results WF\Résultats CBA\2021-CHG-CBA-FADROZOLE HGC\plaque 1/@12  Fadrozole 87/E12_01.tif "/>
    <s v=" 3241.3095 "/>
    <s v=" 65.1275 "/>
    <x v="0"/>
    <n v="211098"/>
    <m/>
    <m/>
    <m/>
  </r>
  <r>
    <x v="12"/>
    <x v="4"/>
    <s v="\\192.168.24.208\images\R&amp;D\2-Test oestrogénique\OECD and AOPs\REACTIV oecd interlaboratory validation\Results WF\Résultats CBA\2021-CHG-CBA-FADROZOLE HGC\plaque 1/@12  Fadrozole 87/E12_02.tif "/>
    <s v=" 6765.4178 "/>
    <s v=" 69.6624 "/>
    <x v="0"/>
    <n v="471295"/>
    <m/>
    <m/>
    <m/>
  </r>
  <r>
    <x v="12"/>
    <x v="4"/>
    <s v="\\192.168.24.208\images\R&amp;D\2-Test oestrogénique\OECD and AOPs\REACTIV oecd interlaboratory validation\Results WF\Résultats CBA\2021-CHG-CBA-FADROZOLE HGC\plaque 1/@12  Fadrozole 87/E12_03.tif "/>
    <s v=" 4328.9972 "/>
    <s v=" 64.9799 "/>
    <x v="0"/>
    <n v="281298"/>
    <m/>
    <m/>
    <m/>
  </r>
  <r>
    <x v="12"/>
    <x v="5"/>
    <s v="\\192.168.24.208\images\R&amp;D\2-Test oestrogénique\OECD and AOPs\REACTIV oecd interlaboratory validation\Results WF\Résultats CBA\2021-CHG-CBA-FADROZOLE HGC\plaque 1/@12  Fadrozole 87/F12_01.tif "/>
    <s v=" 652.6127 "/>
    <s v=" 61.9 "/>
    <x v="0"/>
    <n v="40397"/>
    <m/>
    <m/>
    <m/>
  </r>
  <r>
    <x v="12"/>
    <x v="5"/>
    <s v="\\192.168.24.208\images\R&amp;D\2-Test oestrogénique\OECD and AOPs\REACTIV oecd interlaboratory validation\Results WF\Résultats CBA\2021-CHG-CBA-FADROZOLE HGC\plaque 1/@12  Fadrozole 87/F12_02- exclu.tif"/>
    <m/>
    <m/>
    <x v="1"/>
    <m/>
    <m/>
    <m/>
    <m/>
  </r>
  <r>
    <x v="12"/>
    <x v="5"/>
    <s v="\\192.168.24.208\images\R&amp;D\2-Test oestrogénique\OECD and AOPs\REACTIV oecd interlaboratory validation\Results WF\Résultats CBA\2021-CHG-CBA-FADROZOLE HGC\plaque 1/@12  Fadrozole 87/F12_03- exclu.tif"/>
    <m/>
    <m/>
    <x v="1"/>
    <m/>
    <m/>
    <m/>
    <m/>
  </r>
  <r>
    <x v="12"/>
    <x v="6"/>
    <s v="\\192.168.24.208\images\R&amp;D\2-Test oestrogénique\OECD and AOPs\REACTIV oecd interlaboratory validation\Results WF\Résultats CBA\2021-CHG-CBA-FADROZOLE HGC\plaque 1/@12  Fadrozole 87/G12_01.tif "/>
    <s v=" 696.1202 "/>
    <s v=" 63.375 "/>
    <x v="0"/>
    <n v="44117"/>
    <m/>
    <m/>
    <m/>
  </r>
  <r>
    <x v="12"/>
    <x v="6"/>
    <s v="\\192.168.24.208\images\R&amp;D\2-Test oestrogénique\OECD and AOPs\REACTIV oecd interlaboratory validation\Results WF\Résultats CBA\2021-CHG-CBA-FADROZOLE HGC\plaque 1/@12  Fadrozole 87/G12_02.tif "/>
    <s v=" 326.3063 "/>
    <s v=" 62.5333 "/>
    <x v="0"/>
    <n v="20405"/>
    <m/>
    <m/>
    <m/>
  </r>
  <r>
    <x v="12"/>
    <x v="6"/>
    <s v="\\192.168.24.208\images\R&amp;D\2-Test oestrogénique\OECD and AOPs\REACTIV oecd interlaboratory validation\Results WF\Résultats CBA\2021-CHG-CBA-FADROZOLE HGC\plaque 1/@12  Fadrozole 87/G12_03.tif "/>
    <s v=" 2044.853 "/>
    <s v=" 64.3511 "/>
    <x v="0"/>
    <n v="131588"/>
    <m/>
    <m/>
    <m/>
  </r>
  <r>
    <x v="12"/>
    <x v="7"/>
    <s v="\\192.168.24.208\images\R&amp;D\2-Test oestrogénique\OECD and AOPs\REACTIV oecd interlaboratory validation\Results WF\Résultats CBA\2021-CHG-CBA-FADROZOLE HGC\plaque 1/@12  Fadrozole 87/H12_01.tif "/>
    <s v=" 587.3514 "/>
    <s v=" 62.7778 "/>
    <x v="0"/>
    <n v="36873"/>
    <m/>
    <m/>
    <m/>
  </r>
  <r>
    <x v="12"/>
    <x v="7"/>
    <s v="\\192.168.24.208\images\R&amp;D\2-Test oestrogénique\OECD and AOPs\REACTIV oecd interlaboratory validation\Results WF\Résultats CBA\2021-CHG-CBA-FADROZOLE HGC\plaque 1/@12  Fadrozole 87/H12_02.tif "/>
    <s v=" 913.6577 "/>
    <s v=" 63.381 "/>
    <x v="0"/>
    <n v="57908"/>
    <m/>
    <m/>
    <m/>
  </r>
  <r>
    <x v="12"/>
    <x v="7"/>
    <s v="\\192.168.24.208\images\R&amp;D\2-Test oestrogénique\OECD and AOPs\REACTIV oecd interlaboratory validation\Results WF\Résultats CBA\2021-CHG-CBA-FADROZOLE HGC\plaque 1/@12  Fadrozole 87/H12_03.tif "/>
    <s v=" 369.8138 "/>
    <s v=" 62.7059 "/>
    <x v="0"/>
    <n v="23190"/>
    <m/>
    <m/>
    <m/>
  </r>
  <r>
    <x v="1"/>
    <x v="8"/>
    <s v=" "/>
    <m/>
    <m/>
    <x v="1"/>
    <m/>
    <m/>
    <m/>
    <m/>
  </r>
  <r>
    <x v="1"/>
    <x v="8"/>
    <s v="group "/>
    <s v=" "/>
    <s v=" mean of mean fluo "/>
    <x v="2"/>
    <s v=" mean of total fluo "/>
    <s v=" SD total fluo "/>
    <s v=" n fluorescent "/>
    <m/>
  </r>
  <r>
    <x v="12"/>
    <x v="9"/>
    <s v="\\192.168.24.208\images\R&amp;D\2-Test oestrogénique\OECD and AOPs\REACTIV oecd interlaboratory validation\Results WF\Résultats CBA\2021-CHG-CBA-FADROZOLE HGC\plaque 1/@12  Fadrozole 87/ "/>
    <s v=" "/>
    <s v=" 63.7993 "/>
    <x v="14"/>
    <s v=" 103135.5 "/>
    <s v=" 119729.03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192.168.24.208\images\R&amp;D\2-Test oestrogénique\OECD and AOPs\REACTIV oecd interlaboratory validation\Results WF\Résultats CBA\2021-CHG-CBA-FADROZOLE HGC\plaque 2/@13 TESTO/A1_01- exclu- exclu.tif"/>
    <m/>
    <m/>
    <x v="1"/>
    <m/>
    <m/>
    <m/>
    <m/>
  </r>
  <r>
    <x v="13"/>
    <x v="0"/>
    <s v="\\192.168.24.208\images\R&amp;D\2-Test oestrogénique\OECD and AOPs\REACTIV oecd interlaboratory validation\Results WF\Résultats CBA\2021-CHG-CBA-FADROZOLE HGC\plaque 2/@13 TESTO/A1_02.tif "/>
    <s v=" 46444.2669 "/>
    <s v=" 70.1148 "/>
    <x v="0"/>
    <n v="3256428"/>
    <m/>
    <m/>
    <m/>
  </r>
  <r>
    <x v="13"/>
    <x v="0"/>
    <s v="\\192.168.24.208\images\R&amp;D\2-Test oestrogénique\OECD and AOPs\REACTIV oecd interlaboratory validation\Results WF\Résultats CBA\2021-CHG-CBA-FADROZOLE HGC\plaque 2/@13 TESTO/A1_03.tif "/>
    <s v=" 36763.846 "/>
    <s v=" 68.2047 "/>
    <x v="0"/>
    <n v="2507468"/>
    <m/>
    <m/>
    <m/>
  </r>
  <r>
    <x v="13"/>
    <x v="1"/>
    <s v="\\192.168.24.208\images\R&amp;D\2-Test oestrogénique\OECD and AOPs\REACTIV oecd interlaboratory validation\Results WF\Résultats CBA\2021-CHG-CBA-FADROZOLE HGC\plaque 2/@13 TESTO/B1_01.tif "/>
    <s v=" 34958.2843 "/>
    <s v=" 68.9552 "/>
    <x v="0"/>
    <n v="2410555"/>
    <m/>
    <m/>
    <m/>
  </r>
  <r>
    <x v="13"/>
    <x v="1"/>
    <s v="\\192.168.24.208\images\R&amp;D\2-Test oestrogénique\OECD and AOPs\REACTIV oecd interlaboratory validation\Results WF\Résultats CBA\2021-CHG-CBA-FADROZOLE HGC\plaque 2/@13 TESTO/B1_02.tif "/>
    <s v=" 36394.0321 "/>
    <s v=" 69.3048 "/>
    <x v="0"/>
    <n v="2522283"/>
    <m/>
    <m/>
    <m/>
  </r>
  <r>
    <x v="13"/>
    <x v="1"/>
    <s v="\\192.168.24.208\images\R&amp;D\2-Test oestrogénique\OECD and AOPs\REACTIV oecd interlaboratory validation\Results WF\Résultats CBA\2021-CHG-CBA-FADROZOLE HGC\plaque 2/@13 TESTO/B1_03.tif "/>
    <s v=" 42463.3298 "/>
    <s v=" 70.1557 "/>
    <x v="0"/>
    <n v="2979046"/>
    <m/>
    <m/>
    <m/>
  </r>
  <r>
    <x v="13"/>
    <x v="2"/>
    <s v="\\192.168.24.208\images\R&amp;D\2-Test oestrogénique\OECD and AOPs\REACTIV oecd interlaboratory validation\Results WF\Résultats CBA\2021-CHG-CBA-FADROZOLE HGC\plaque 2/@13 TESTO/C1_01.tif "/>
    <s v=" 24734.0194 "/>
    <s v=" 69.4811 "/>
    <x v="0"/>
    <n v="1718547"/>
    <m/>
    <m/>
    <m/>
  </r>
  <r>
    <x v="13"/>
    <x v="2"/>
    <s v="\\192.168.24.208\images\R&amp;D\2-Test oestrogénique\OECD and AOPs\REACTIV oecd interlaboratory validation\Results WF\Résultats CBA\2021-CHG-CBA-FADROZOLE HGC\plaque 2/@13 TESTO/C1_02.tif "/>
    <s v=" 15075.3522 "/>
    <s v=" 66.8514 "/>
    <x v="0"/>
    <n v="1007808"/>
    <m/>
    <m/>
    <m/>
  </r>
  <r>
    <x v="13"/>
    <x v="2"/>
    <s v="\\192.168.24.208\images\R&amp;D\2-Test oestrogénique\OECD and AOPs\REACTIV oecd interlaboratory validation\Results WF\Résultats CBA\2021-CHG-CBA-FADROZOLE HGC\plaque 2/@13 TESTO/C1_03- exclu.tif"/>
    <m/>
    <m/>
    <x v="1"/>
    <m/>
    <m/>
    <m/>
    <m/>
  </r>
  <r>
    <x v="13"/>
    <x v="3"/>
    <s v="\\192.168.24.208\images\R&amp;D\2-Test oestrogénique\OECD and AOPs\REACTIV oecd interlaboratory validation\Results WF\Résultats CBA\2021-CHG-CBA-FADROZOLE HGC\plaque 2/@13 TESTO/D1_01.tif "/>
    <s v=" 52013.2282 "/>
    <s v=" 72.8938 "/>
    <x v="0"/>
    <n v="3791440"/>
    <m/>
    <m/>
    <m/>
  </r>
  <r>
    <x v="13"/>
    <x v="3"/>
    <s v="\\192.168.24.208\images\R&amp;D\2-Test oestrogénique\OECD and AOPs\REACTIV oecd interlaboratory validation\Results WF\Résultats CBA\2021-CHG-CBA-FADROZOLE HGC\plaque 2/@13 TESTO/D1_02.tif "/>
    <s v=" 57429.9132 "/>
    <s v=" 72.6784 "/>
    <x v="0"/>
    <n v="4173915"/>
    <m/>
    <m/>
    <m/>
  </r>
  <r>
    <x v="13"/>
    <x v="3"/>
    <s v="\\192.168.24.208\images\R&amp;D\2-Test oestrogénique\OECD and AOPs\REACTIV oecd interlaboratory validation\Results WF\Résultats CBA\2021-CHG-CBA-FADROZOLE HGC\plaque 2/@13 TESTO/D1_03.tif "/>
    <s v=" 52774.6096 "/>
    <s v=" 73.1443 "/>
    <x v="0"/>
    <n v="3860160"/>
    <m/>
    <m/>
    <m/>
  </r>
  <r>
    <x v="13"/>
    <x v="4"/>
    <s v="\\192.168.24.208\images\R&amp;D\2-Test oestrogénique\OECD and AOPs\REACTIV oecd interlaboratory validation\Results WF\Résultats CBA\2021-CHG-CBA-FADROZOLE HGC\plaque 2/@13 TESTO/E1_01.tif "/>
    <s v=" 17228.974 "/>
    <s v=" 66.2336 "/>
    <x v="0"/>
    <n v="1141137"/>
    <m/>
    <m/>
    <m/>
  </r>
  <r>
    <x v="13"/>
    <x v="4"/>
    <s v="\\192.168.24.208\images\R&amp;D\2-Test oestrogénique\OECD and AOPs\REACTIV oecd interlaboratory validation\Results WF\Résultats CBA\2021-CHG-CBA-FADROZOLE HGC\plaque 2/@13 TESTO/E1_02.tif "/>
    <s v=" 21449.2024 "/>
    <s v=" 66.6876 "/>
    <x v="0"/>
    <n v="1430396"/>
    <m/>
    <m/>
    <m/>
  </r>
  <r>
    <x v="13"/>
    <x v="4"/>
    <s v="\\192.168.24.208\images\R&amp;D\2-Test oestrogénique\OECD and AOPs\REACTIV oecd interlaboratory validation\Results WF\Résultats CBA\2021-CHG-CBA-FADROZOLE HGC\plaque 2/@13 TESTO/E1_03.tif "/>
    <s v=" 23080.7341 "/>
    <s v=" 67.164 "/>
    <x v="0"/>
    <n v="1550194"/>
    <m/>
    <m/>
    <m/>
  </r>
  <r>
    <x v="13"/>
    <x v="5"/>
    <s v="\\192.168.24.208\images\R&amp;D\2-Test oestrogénique\OECD and AOPs\REACTIV oecd interlaboratory validation\Results WF\Résultats CBA\2021-CHG-CBA-FADROZOLE HGC\plaque 2/@13 TESTO/F1_01.tif "/>
    <s v=" 31651.7135 "/>
    <s v=" 66.8522 "/>
    <x v="0"/>
    <n v="2115988"/>
    <m/>
    <m/>
    <m/>
  </r>
  <r>
    <x v="13"/>
    <x v="5"/>
    <s v="\\192.168.24.208\images\R&amp;D\2-Test oestrogénique\OECD and AOPs\REACTIV oecd interlaboratory validation\Results WF\Résultats CBA\2021-CHG-CBA-FADROZOLE HGC\plaque 2/@13 TESTO/F1_02.tif "/>
    <s v=" 32434.8487 "/>
    <s v=" 67.0744 "/>
    <x v="0"/>
    <n v="2175550"/>
    <m/>
    <m/>
    <m/>
  </r>
  <r>
    <x v="13"/>
    <x v="5"/>
    <s v="\\192.168.24.208\images\R&amp;D\2-Test oestrogénique\OECD and AOPs\REACTIV oecd interlaboratory validation\Results WF\Résultats CBA\2021-CHG-CBA-FADROZOLE HGC\plaque 2/@13 TESTO/F1_03.tif "/>
    <s v=" 38525.9001 "/>
    <s v=" 68.1959 "/>
    <x v="0"/>
    <n v="2627310"/>
    <m/>
    <m/>
    <m/>
  </r>
  <r>
    <x v="13"/>
    <x v="6"/>
    <s v="\\192.168.24.208\images\R&amp;D\2-Test oestrogénique\OECD and AOPs\REACTIV oecd interlaboratory validation\Results WF\Résultats CBA\2021-CHG-CBA-FADROZOLE HGC\plaque 2/@13 TESTO/G1_01.tif "/>
    <s v=" 40179.1855 "/>
    <s v=" 71.7071 "/>
    <x v="0"/>
    <n v="2881133"/>
    <m/>
    <m/>
    <m/>
  </r>
  <r>
    <x v="13"/>
    <x v="6"/>
    <s v="\\192.168.24.208\images\R&amp;D\2-Test oestrogénique\OECD and AOPs\REACTIV oecd interlaboratory validation\Results WF\Résultats CBA\2021-CHG-CBA-FADROZOLE HGC\plaque 2/@13 TESTO/G1_02.tif "/>
    <s v=" 46204.9756 "/>
    <s v=" 74.1304 "/>
    <x v="0"/>
    <n v="3425194"/>
    <m/>
    <m/>
    <m/>
  </r>
  <r>
    <x v="13"/>
    <x v="6"/>
    <s v="\\192.168.24.208\images\R&amp;D\2-Test oestrogénique\OECD and AOPs\REACTIV oecd interlaboratory validation\Results WF\Résultats CBA\2021-CHG-CBA-FADROZOLE HGC\plaque 2/@13 TESTO/G1_03- exclu.tif"/>
    <m/>
    <m/>
    <x v="1"/>
    <m/>
    <m/>
    <m/>
    <m/>
  </r>
  <r>
    <x v="13"/>
    <x v="7"/>
    <s v="\\192.168.24.208\images\R&amp;D\2-Test oestrogénique\OECD and AOPs\REACTIV oecd interlaboratory validation\Results WF\Résultats CBA\2021-CHG-CBA-FADROZOLE HGC\plaque 2/@13 TESTO/H1_01.tif "/>
    <s v=" 43616.2788 "/>
    <s v=" 67.998 "/>
    <x v="0"/>
    <n v="2965820"/>
    <m/>
    <m/>
    <m/>
  </r>
  <r>
    <x v="13"/>
    <x v="7"/>
    <s v="\\192.168.24.208\images\R&amp;D\2-Test oestrogénique\OECD and AOPs\REACTIV oecd interlaboratory validation\Results WF\Résultats CBA\2021-CHG-CBA-FADROZOLE HGC\plaque 2/@13 TESTO/H1_02.tif "/>
    <s v=" 42202.2847 "/>
    <s v=" 67.1742 "/>
    <x v="0"/>
    <n v="2834906"/>
    <m/>
    <m/>
    <m/>
  </r>
  <r>
    <x v="13"/>
    <x v="7"/>
    <s v="\\192.168.24.208\images\R&amp;D\2-Test oestrogénique\OECD and AOPs\REACTIV oecd interlaboratory validation\Results WF\Résultats CBA\2021-CHG-CBA-FADROZOLE HGC\plaque 2/@13 TESTO/H1_03.tif "/>
    <s v=" 42137.0234 "/>
    <s v=" 67.1884 "/>
    <x v="0"/>
    <n v="2831121"/>
    <m/>
    <m/>
    <m/>
  </r>
  <r>
    <x v="1"/>
    <x v="8"/>
    <s v=" "/>
    <m/>
    <m/>
    <x v="1"/>
    <m/>
    <m/>
    <m/>
    <m/>
  </r>
  <r>
    <x v="1"/>
    <x v="8"/>
    <s v="group "/>
    <s v=" "/>
    <s v=" mean of mean fluo "/>
    <x v="2"/>
    <s v=" mean of total fluo "/>
    <s v=" SD total fluo "/>
    <s v=" n fluorescent "/>
    <m/>
  </r>
  <r>
    <x v="13"/>
    <x v="9"/>
    <s v="\\192.168.24.208\images\R&amp;D\2-Test oestrogénique\OECD and AOPs\REACTIV oecd interlaboratory validation\Results WF\Résultats CBA\2021-CHG-CBA-FADROZOLE HGC\plaque 2/@13 TESTO/ "/>
    <s v=" "/>
    <s v=" 68.8194 "/>
    <x v="15"/>
    <s v=" 2411921.38 "/>
    <s v=" 1012266.14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192.168.24.208\images\R&amp;D\2-Test oestrogénique\OECD and AOPs\REACTIV oecd interlaboratory validation\Results WF\Résultats CBA\2021-CHG-CBA-FADROZOLE HGC\plaque 2/@14 TESTO/A2_01.tif "/>
    <s v=" 58082.5259 "/>
    <s v=" 75.8472 "/>
    <x v="0"/>
    <n v="4405396"/>
    <m/>
    <m/>
    <m/>
  </r>
  <r>
    <x v="14"/>
    <x v="0"/>
    <s v="\\192.168.24.208\images\R&amp;D\2-Test oestrogénique\OECD and AOPs\REACTIV oecd interlaboratory validation\Results WF\Résultats CBA\2021-CHG-CBA-FADROZOLE HGC\plaque 2/@14 TESTO/A2_02.tif "/>
    <s v=" 56886.0693 "/>
    <s v=" 76.4467 "/>
    <x v="0"/>
    <n v="4348750"/>
    <m/>
    <m/>
    <m/>
  </r>
  <r>
    <x v="14"/>
    <x v="0"/>
    <s v="\\192.168.24.208\images\R&amp;D\2-Test oestrogénique\OECD and AOPs\REACTIV oecd interlaboratory validation\Results WF\Résultats CBA\2021-CHG-CBA-FADROZOLE HGC\plaque 2/@14 TESTO/A2_03.tif "/>
    <s v=" 65761.6014 "/>
    <s v=" 76.7261 "/>
    <x v="0"/>
    <n v="5045631"/>
    <m/>
    <m/>
    <m/>
  </r>
  <r>
    <x v="14"/>
    <x v="1"/>
    <s v="\\192.168.24.208\images\R&amp;D\2-Test oestrogénique\OECD and AOPs\REACTIV oecd interlaboratory validation\Results WF\Résultats CBA\2021-CHG-CBA-FADROZOLE HGC\plaque 2/@14 TESTO/B2_01.tif "/>
    <s v=" 29737.3831 "/>
    <s v=" 67.9254 "/>
    <x v="0"/>
    <n v="2019923"/>
    <m/>
    <m/>
    <m/>
  </r>
  <r>
    <x v="14"/>
    <x v="1"/>
    <s v="\\192.168.24.208\images\R&amp;D\2-Test oestrogénique\OECD and AOPs\REACTIV oecd interlaboratory validation\Results WF\Résultats CBA\2021-CHG-CBA-FADROZOLE HGC\plaque 2/@14 TESTO/B2_02.tif "/>
    <s v=" 26496.0736 "/>
    <s v=" 69.5452 "/>
    <x v="0"/>
    <n v="1842674"/>
    <m/>
    <m/>
    <m/>
  </r>
  <r>
    <x v="14"/>
    <x v="1"/>
    <s v="\\192.168.24.208\images\R&amp;D\2-Test oestrogénique\OECD and AOPs\REACTIV oecd interlaboratory validation\Results WF\Résultats CBA\2021-CHG-CBA-FADROZOLE HGC\plaque 2/@14 TESTO/B2_03.tif "/>
    <s v=" 28888.9866 "/>
    <s v=" 67.5919 "/>
    <x v="0"/>
    <n v="1952661"/>
    <m/>
    <m/>
    <m/>
  </r>
  <r>
    <x v="14"/>
    <x v="2"/>
    <s v="\\192.168.24.208\images\R&amp;D\2-Test oestrogénique\OECD and AOPs\REACTIV oecd interlaboratory validation\Results WF\Résultats CBA\2021-CHG-CBA-FADROZOLE HGC\plaque 2/@14 TESTO/C2_01.tif "/>
    <s v=" 22188.8301 "/>
    <s v=" 67.7137 "/>
    <x v="0"/>
    <n v="1502488"/>
    <m/>
    <m/>
    <m/>
  </r>
  <r>
    <x v="14"/>
    <x v="2"/>
    <s v="\\192.168.24.208\images\R&amp;D\2-Test oestrogénique\OECD and AOPs\REACTIV oecd interlaboratory validation\Results WF\Résultats CBA\2021-CHG-CBA-FADROZOLE HGC\plaque 2/@14 TESTO/C2_02.tif "/>
    <s v=" 24908.0495 "/>
    <s v=" 67.9485 "/>
    <x v="0"/>
    <n v="1692464"/>
    <m/>
    <m/>
    <m/>
  </r>
  <r>
    <x v="14"/>
    <x v="2"/>
    <s v="\\192.168.24.208\images\R&amp;D\2-Test oestrogénique\OECD and AOPs\REACTIV oecd interlaboratory validation\Results WF\Résultats CBA\2021-CHG-CBA-FADROZOLE HGC\plaque 2/@14 TESTO/C2_03.tif "/>
    <s v=" 18838.7518 "/>
    <s v=" 66.2517 "/>
    <x v="0"/>
    <n v="1248100"/>
    <m/>
    <m/>
    <m/>
  </r>
  <r>
    <x v="14"/>
    <x v="3"/>
    <s v="\\192.168.24.208\images\R&amp;D\2-Test oestrogénique\OECD and AOPs\REACTIV oecd interlaboratory validation\Results WF\Résultats CBA\2021-CHG-CBA-FADROZOLE HGC\plaque 2/@14 TESTO/D2_01.tif "/>
    <s v=" 14422.7396 "/>
    <s v=" 65.1629 "/>
    <x v="0"/>
    <n v="939827"/>
    <m/>
    <m/>
    <m/>
  </r>
  <r>
    <x v="14"/>
    <x v="3"/>
    <s v="\\192.168.24.208\images\R&amp;D\2-Test oestrogénique\OECD and AOPs\REACTIV oecd interlaboratory validation\Results WF\Résultats CBA\2021-CHG-CBA-FADROZOLE HGC\plaque 2/@14 TESTO/D2_02.tif "/>
    <s v=" 13965.9107 "/>
    <s v=" 64.9673 "/>
    <x v="0"/>
    <n v="907327"/>
    <m/>
    <m/>
    <m/>
  </r>
  <r>
    <x v="14"/>
    <x v="3"/>
    <s v="\\192.168.24.208\images\R&amp;D\2-Test oestrogénique\OECD and AOPs\REACTIV oecd interlaboratory validation\Results WF\Résultats CBA\2021-CHG-CBA-FADROZOLE HGC\plaque 2/@14 TESTO/D2_03.tif "/>
    <s v=" 14770.7996 "/>
    <s v=" 65.2946 "/>
    <x v="0"/>
    <n v="964453"/>
    <m/>
    <m/>
    <m/>
  </r>
  <r>
    <x v="14"/>
    <x v="4"/>
    <s v="\\192.168.24.208\images\R&amp;D\2-Test oestrogénique\OECD and AOPs\REACTIV oecd interlaboratory validation\Results WF\Résultats CBA\2021-CHG-CBA-FADROZOLE HGC\plaque 2/@14 TESTO/E2_01.tif "/>
    <s v=" 27605.5151 "/>
    <s v=" 67.6068 "/>
    <x v="0"/>
    <n v="1866320"/>
    <m/>
    <m/>
    <m/>
  </r>
  <r>
    <x v="14"/>
    <x v="4"/>
    <s v="\\192.168.24.208\images\R&amp;D\2-Test oestrogénique\OECD and AOPs\REACTIV oecd interlaboratory validation\Results WF\Résultats CBA\2021-CHG-CBA-FADROZOLE HGC\plaque 2/@14 TESTO/E2_02.tif "/>
    <s v=" 32826.4163 "/>
    <s v=" 67.6932 "/>
    <x v="0"/>
    <n v="2222124"/>
    <m/>
    <m/>
    <m/>
  </r>
  <r>
    <x v="14"/>
    <x v="4"/>
    <s v="\\192.168.24.208\images\R&amp;D\2-Test oestrogénique\OECD and AOPs\REACTIV oecd interlaboratory validation\Results WF\Résultats CBA\2021-CHG-CBA-FADROZOLE HGC\plaque 2/@14 TESTO/E2_03.tif "/>
    <s v=" 27170.44 "/>
    <s v=" 67.4836 "/>
    <x v="0"/>
    <n v="1833559"/>
    <m/>
    <m/>
    <m/>
  </r>
  <r>
    <x v="14"/>
    <x v="5"/>
    <s v="\\192.168.24.208\images\R&amp;D\2-Test oestrogénique\OECD and AOPs\REACTIV oecd interlaboratory validation\Results WF\Résultats CBA\2021-CHG-CBA-FADROZOLE HGC\plaque 2/@14 TESTO/F2_01.tif "/>
    <s v=" 17707.5566 "/>
    <s v=" 71.6044 "/>
    <x v="0"/>
    <n v="1267939"/>
    <m/>
    <m/>
    <m/>
  </r>
  <r>
    <x v="14"/>
    <x v="5"/>
    <s v="\\192.168.24.208\images\R&amp;D\2-Test oestrogénique\OECD and AOPs\REACTIV oecd interlaboratory validation\Results WF\Résultats CBA\2021-CHG-CBA-FADROZOLE HGC\plaque 2/@14 TESTO/F2_02.tif "/>
    <s v=" 21775.5088 "/>
    <s v=" 67.4366 "/>
    <x v="0"/>
    <n v="1468465"/>
    <m/>
    <m/>
    <m/>
  </r>
  <r>
    <x v="14"/>
    <x v="5"/>
    <s v="\\192.168.24.208\images\R&amp;D\2-Test oestrogénique\OECD and AOPs\REACTIV oecd interlaboratory validation\Results WF\Résultats CBA\2021-CHG-CBA-FADROZOLE HGC\plaque 2/@14 TESTO/F2_03.tif "/>
    <s v=" 16989.6827 "/>
    <s v=" 66.7311 "/>
    <x v="0"/>
    <n v="1133740"/>
    <m/>
    <m/>
    <m/>
  </r>
  <r>
    <x v="14"/>
    <x v="6"/>
    <s v="\\192.168.24.208\images\R&amp;D\2-Test oestrogénique\OECD and AOPs\REACTIV oecd interlaboratory validation\Results WF\Résultats CBA\2021-CHG-CBA-FADROZOLE HGC\plaque 2/@14 TESTO/G2_01.tif "/>
    <s v=" 28976.0017 "/>
    <s v=" 66.9677 "/>
    <x v="0"/>
    <n v="1940457"/>
    <m/>
    <m/>
    <m/>
  </r>
  <r>
    <x v="14"/>
    <x v="6"/>
    <s v="\\192.168.24.208\images\R&amp;D\2-Test oestrogénique\OECD and AOPs\REACTIV oecd interlaboratory validation\Results WF\Résultats CBA\2021-CHG-CBA-FADROZOLE HGC\plaque 2/@14 TESTO/G2_02.tif "/>
    <s v=" 36024.2183 "/>
    <s v=" 69.2228 "/>
    <x v="0"/>
    <n v="2493698"/>
    <m/>
    <m/>
    <m/>
  </r>
  <r>
    <x v="14"/>
    <x v="6"/>
    <s v="\\192.168.24.208\images\R&amp;D\2-Test oestrogénique\OECD and AOPs\REACTIV oecd interlaboratory validation\Results WF\Résultats CBA\2021-CHG-CBA-FADROZOLE HGC\plaque 2/@14 TESTO/G2_03.tif "/>
    <s v=" 28910.7404 "/>
    <s v=" 67.2912 "/>
    <x v="0"/>
    <n v="1945438"/>
    <m/>
    <m/>
    <m/>
  </r>
  <r>
    <x v="14"/>
    <x v="7"/>
    <s v="\\192.168.24.208\images\R&amp;D\2-Test oestrogénique\OECD and AOPs\REACTIV oecd interlaboratory validation\Results WF\Résultats CBA\2021-CHG-CBA-FADROZOLE HGC\plaque 2/@14 TESTO/H2_01- exclu.tif"/>
    <m/>
    <m/>
    <x v="1"/>
    <m/>
    <m/>
    <m/>
    <m/>
  </r>
  <r>
    <x v="14"/>
    <x v="7"/>
    <s v="\\192.168.24.208\images\R&amp;D\2-Test oestrogénique\OECD and AOPs\REACTIV oecd interlaboratory validation\Results WF\Résultats CBA\2021-CHG-CBA-FADROZOLE HGC\plaque 2/@14 TESTO/H2_02.tif "/>
    <s v=" 34523.2092 "/>
    <s v=" 75.7738 "/>
    <x v="0"/>
    <n v="2615954"/>
    <m/>
    <m/>
    <m/>
  </r>
  <r>
    <x v="14"/>
    <x v="7"/>
    <s v="\\192.168.24.208\images\R&amp;D\2-Test oestrogénique\OECD and AOPs\REACTIV oecd interlaboratory validation\Results WF\Résultats CBA\2021-CHG-CBA-FADROZOLE HGC\plaque 2/@14 TESTO/H2_03.tif "/>
    <s v=" 36154.7408 "/>
    <s v=" 76.1546 "/>
    <x v="0"/>
    <n v="2753351"/>
    <m/>
    <m/>
    <m/>
  </r>
  <r>
    <x v="1"/>
    <x v="8"/>
    <s v=" "/>
    <m/>
    <m/>
    <x v="1"/>
    <m/>
    <m/>
    <m/>
    <m/>
  </r>
  <r>
    <x v="1"/>
    <x v="8"/>
    <s v="group "/>
    <s v=" "/>
    <s v=" mean of mean fluo "/>
    <x v="2"/>
    <s v=" mean of total fluo "/>
    <s v=" SD total fluo "/>
    <s v=" n fluorescent "/>
    <m/>
  </r>
  <r>
    <x v="14"/>
    <x v="9"/>
    <s v="\\192.168.24.208\images\R&amp;D\2-Test oestrogénique\OECD and AOPs\REACTIV oecd interlaboratory validation\Results WF\Résultats CBA\2021-CHG-CBA-FADROZOLE HGC\plaque 2/@14 TESTO/ "/>
    <s v=" "/>
    <s v=" 69.3083 "/>
    <x v="16"/>
    <s v=" 2102124.17 "/>
    <s v=" 1093772.81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192.168.24.208\images\R&amp;D\2-Test oestrogénique\OECD and AOPs\REACTIV oecd interlaboratory validation\Results WF\Résultats CBA\2021-CHG-CBA-FADROZOLE HGC\plaque 2/@15 TESTO + EE2/A3_01.tif "/>
    <s v=" 72222.4666 "/>
    <s v=" 76.1994 "/>
    <x v="0"/>
    <n v="5503308"/>
    <m/>
    <m/>
    <m/>
  </r>
  <r>
    <x v="15"/>
    <x v="0"/>
    <s v="\\192.168.24.208\images\R&amp;D\2-Test oestrogénique\OECD and AOPs\REACTIV oecd interlaboratory validation\Results WF\Résultats CBA\2021-CHG-CBA-FADROZOLE HGC\plaque 2/@15 TESTO + EE2/A3_02.tif "/>
    <s v=" 76116.3888 "/>
    <s v=" 76.172 "/>
    <x v="0"/>
    <n v="5797941"/>
    <m/>
    <m/>
    <m/>
  </r>
  <r>
    <x v="15"/>
    <x v="0"/>
    <s v="\\192.168.24.208\images\R&amp;D\2-Test oestrogénique\OECD and AOPs\REACTIV oecd interlaboratory validation\Results WF\Résultats CBA\2021-CHG-CBA-FADROZOLE HGC\plaque 2/@15 TESTO + EE2/A3_03.tif "/>
    <s v=" 61519.6192 "/>
    <s v=" 73.8936 "/>
    <x v="0"/>
    <n v="4545904"/>
    <m/>
    <m/>
    <m/>
  </r>
  <r>
    <x v="15"/>
    <x v="1"/>
    <s v="\\192.168.24.208\images\R&amp;D\2-Test oestrogénique\OECD and AOPs\REACTIV oecd interlaboratory validation\Results WF\Résultats CBA\2021-CHG-CBA-FADROZOLE HGC\plaque 2/@15 TESTO + EE2/B3_01.tif "/>
    <s v=" 63999.5472 "/>
    <s v=" 78.3273 "/>
    <x v="0"/>
    <n v="5012914"/>
    <m/>
    <m/>
    <m/>
  </r>
  <r>
    <x v="15"/>
    <x v="1"/>
    <s v="\\192.168.24.208\images\R&amp;D\2-Test oestrogénique\OECD and AOPs\REACTIV oecd interlaboratory validation\Results WF\Résultats CBA\2021-CHG-CBA-FADROZOLE HGC\plaque 2/@15 TESTO + EE2/B3_02- exclu.tif"/>
    <m/>
    <m/>
    <x v="1"/>
    <m/>
    <m/>
    <m/>
    <m/>
  </r>
  <r>
    <x v="15"/>
    <x v="1"/>
    <s v="\\192.168.24.208\images\R&amp;D\2-Test oestrogénique\OECD and AOPs\REACTIV oecd interlaboratory validation\Results WF\Résultats CBA\2021-CHG-CBA-FADROZOLE HGC\plaque 2/@15 TESTO + EE2/B3_03.tif "/>
    <s v=" 63782.0097 "/>
    <s v=" 81.6518 "/>
    <x v="0"/>
    <n v="5207914"/>
    <m/>
    <m/>
    <m/>
  </r>
  <r>
    <x v="15"/>
    <x v="2"/>
    <s v="\\192.168.24.208\images\R&amp;D\2-Test oestrogénique\OECD and AOPs\REACTIV oecd interlaboratory validation\Results WF\Résultats CBA\2021-CHG-CBA-FADROZOLE HGC\plaque 2/@15 TESTO + EE2/C3_01.tif "/>
    <s v=" 59170.2136 "/>
    <s v=" 74.9835 "/>
    <x v="0"/>
    <n v="4436787"/>
    <m/>
    <m/>
    <m/>
  </r>
  <r>
    <x v="15"/>
    <x v="2"/>
    <s v="\\192.168.24.208\images\R&amp;D\2-Test oestrogénique\OECD and AOPs\REACTIV oecd interlaboratory validation\Results WF\Résultats CBA\2021-CHG-CBA-FADROZOLE HGC\plaque 2/@15 TESTO + EE2/C3_02.tif "/>
    <s v=" 56690.2855 "/>
    <s v=" 74.452 "/>
    <x v="0"/>
    <n v="4220707"/>
    <m/>
    <m/>
    <m/>
  </r>
  <r>
    <x v="15"/>
    <x v="2"/>
    <s v="\\192.168.24.208\images\R&amp;D\2-Test oestrogénique\OECD and AOPs\REACTIV oecd interlaboratory validation\Results WF\Résultats CBA\2021-CHG-CBA-FADROZOLE HGC\plaque 2/@15 TESTO + EE2/C3_03.tif "/>
    <s v=" 60257.9014 "/>
    <s v=" 73.6191 "/>
    <x v="0"/>
    <n v="4436134"/>
    <m/>
    <m/>
    <m/>
  </r>
  <r>
    <x v="15"/>
    <x v="3"/>
    <s v="\\192.168.24.208\images\R&amp;D\2-Test oestrogénique\OECD and AOPs\REACTIV oecd interlaboratory validation\Results WF\Résultats CBA\2021-CHG-CBA-FADROZOLE HGC\plaque 2/@15 TESTO + EE2/D3_01.tif "/>
    <s v=" 46857.5883 "/>
    <s v=" 80.4308 "/>
    <x v="0"/>
    <n v="3768795"/>
    <m/>
    <m/>
    <m/>
  </r>
  <r>
    <x v="15"/>
    <x v="3"/>
    <s v="\\192.168.24.208\images\R&amp;D\2-Test oestrogénique\OECD and AOPs\REACTIV oecd interlaboratory validation\Results WF\Résultats CBA\2021-CHG-CBA-FADROZOLE HGC\plaque 2/@15 TESTO + EE2/D3_02.tif "/>
    <s v=" 51143.078 "/>
    <s v=" 83.6185 "/>
    <x v="0"/>
    <n v="4276505"/>
    <m/>
    <m/>
    <m/>
  </r>
  <r>
    <x v="15"/>
    <x v="3"/>
    <s v="\\192.168.24.208\images\R&amp;D\2-Test oestrogénique\OECD and AOPs\REACTIV oecd interlaboratory validation\Results WF\Résultats CBA\2021-CHG-CBA-FADROZOLE HGC\plaque 2/@15 TESTO + EE2/D3_03.tif "/>
    <s v=" 50359.9428 "/>
    <s v=" 83.7974 "/>
    <x v="0"/>
    <n v="4220033"/>
    <m/>
    <m/>
    <m/>
  </r>
  <r>
    <x v="15"/>
    <x v="4"/>
    <s v="\\192.168.24.208\images\R&amp;D\2-Test oestrogénique\OECD and AOPs\REACTIV oecd interlaboratory validation\Results WF\Résultats CBA\2021-CHG-CBA-FADROZOLE HGC\plaque 2/@15 TESTO + EE2/E3_01.tif "/>
    <s v=" 61302.0816 "/>
    <s v=" 77.0806 "/>
    <x v="0"/>
    <n v="4725198"/>
    <m/>
    <m/>
    <m/>
  </r>
  <r>
    <x v="15"/>
    <x v="4"/>
    <s v="\\192.168.24.208\images\R&amp;D\2-Test oestrogénique\OECD and AOPs\REACTIV oecd interlaboratory validation\Results WF\Résultats CBA\2021-CHG-CBA-FADROZOLE HGC\plaque 2/@15 TESTO + EE2/E3_02.tif "/>
    <s v=" 62737.8294 "/>
    <s v=" 77.8755 "/>
    <x v="0"/>
    <n v="4885741"/>
    <m/>
    <m/>
    <m/>
  </r>
  <r>
    <x v="15"/>
    <x v="4"/>
    <s v="\\192.168.24.208\images\R&amp;D\2-Test oestrogénique\OECD and AOPs\REACTIV oecd interlaboratory validation\Results WF\Résultats CBA\2021-CHG-CBA-FADROZOLE HGC\plaque 2/@15 TESTO + EE2/E3_03.tif "/>
    <s v=" 63368.6883 "/>
    <s v=" 76.4706 "/>
    <x v="0"/>
    <n v="4845845"/>
    <m/>
    <m/>
    <m/>
  </r>
  <r>
    <x v="15"/>
    <x v="5"/>
    <s v="\\192.168.24.208\images\R&amp;D\2-Test oestrogénique\OECD and AOPs\REACTIV oecd interlaboratory validation\Results WF\Résultats CBA\2021-CHG-CBA-FADROZOLE HGC\plaque 2/@15 TESTO + EE2/F3_01.tif "/>
    <s v=" 41353.8883 "/>
    <s v=" 75.424 "/>
    <x v="0"/>
    <n v="3119075"/>
    <m/>
    <m/>
    <m/>
  </r>
  <r>
    <x v="15"/>
    <x v="5"/>
    <s v="\\192.168.24.208\images\R&amp;D\2-Test oestrogénique\OECD and AOPs\REACTIV oecd interlaboratory validation\Results WF\Résultats CBA\2021-CHG-CBA-FADROZOLE HGC\plaque 2/@15 TESTO + EE2/F3_02.tif "/>
    <s v=" 44508.1827 "/>
    <s v=" 73.848 "/>
    <x v="0"/>
    <n v="3286840"/>
    <m/>
    <m/>
    <m/>
  </r>
  <r>
    <x v="15"/>
    <x v="5"/>
    <s v="\\192.168.24.208\images\R&amp;D\2-Test oestrogénique\OECD and AOPs\REACTIV oecd interlaboratory validation\Results WF\Résultats CBA\2021-CHG-CBA-FADROZOLE HGC\plaque 2/@15 TESTO + EE2/F3_03.tif "/>
    <s v=" 42941.9124 "/>
    <s v=" 74.4276 "/>
    <x v="0"/>
    <n v="3196062"/>
    <m/>
    <m/>
    <m/>
  </r>
  <r>
    <x v="15"/>
    <x v="6"/>
    <s v="\\192.168.24.208\images\R&amp;D\2-Test oestrogénique\OECD and AOPs\REACTIV oecd interlaboratory validation\Results WF\Résultats CBA\2021-CHG-CBA-FADROZOLE HGC\plaque 2/@15 TESTO + EE2/G3_01.tif "/>
    <s v=" 35175.8218 "/>
    <s v=" 77.7613 "/>
    <x v="0"/>
    <n v="2735317"/>
    <m/>
    <m/>
    <m/>
  </r>
  <r>
    <x v="15"/>
    <x v="6"/>
    <s v="\\192.168.24.208\images\R&amp;D\2-Test oestrogénique\OECD and AOPs\REACTIV oecd interlaboratory validation\Results WF\Résultats CBA\2021-CHG-CBA-FADROZOLE HGC\plaque 2/@15 TESTO + EE2/G3_02.tif "/>
    <s v=" 36742.0922 "/>
    <s v=" 77.0077 "/>
    <x v="0"/>
    <n v="2829424"/>
    <m/>
    <m/>
    <m/>
  </r>
  <r>
    <x v="15"/>
    <x v="6"/>
    <s v="\\192.168.24.208\images\R&amp;D\2-Test oestrogénique\OECD and AOPs\REACTIV oecd interlaboratory validation\Results WF\Résultats CBA\2021-CHG-CBA-FADROZOLE HGC\plaque 2/@15 TESTO + EE2/G3_03- exclu.tif"/>
    <m/>
    <m/>
    <x v="1"/>
    <m/>
    <m/>
    <m/>
    <m/>
  </r>
  <r>
    <x v="15"/>
    <x v="7"/>
    <s v="\\192.168.24.208\images\R&amp;D\2-Test oestrogénique\OECD and AOPs\REACTIV oecd interlaboratory validation\Results WF\Résultats CBA\2021-CHG-CBA-FADROZOLE HGC\plaque 2/@15 TESTO + EE2/H3_01.tif "/>
    <s v=" 53949.3124 "/>
    <s v=" 79.3815 "/>
    <x v="0"/>
    <n v="4282575"/>
    <m/>
    <m/>
    <m/>
  </r>
  <r>
    <x v="15"/>
    <x v="7"/>
    <s v="\\192.168.24.208\images\R&amp;D\2-Test oestrogénique\OECD and AOPs\REACTIV oecd interlaboratory validation\Results WF\Résultats CBA\2021-CHG-CBA-FADROZOLE HGC\plaque 2/@15 TESTO + EE2/H3_02.tif "/>
    <s v=" 50947.2942 "/>
    <s v=" 79.8903 "/>
    <x v="0"/>
    <n v="4070193"/>
    <m/>
    <m/>
    <m/>
  </r>
  <r>
    <x v="15"/>
    <x v="7"/>
    <s v="\\192.168.24.208\images\R&amp;D\2-Test oestrogénique\OECD and AOPs\REACTIV oecd interlaboratory validation\Results WF\Résultats CBA\2021-CHG-CBA-FADROZOLE HGC\plaque 2/@15 TESTO + EE2/H3_03.tif "/>
    <s v=" 54558.4175 "/>
    <s v=" 83.4242 "/>
    <x v="0"/>
    <n v="4551495"/>
    <m/>
    <m/>
    <m/>
  </r>
  <r>
    <x v="1"/>
    <x v="8"/>
    <s v=" "/>
    <m/>
    <m/>
    <x v="1"/>
    <m/>
    <m/>
    <m/>
    <m/>
  </r>
  <r>
    <x v="1"/>
    <x v="8"/>
    <s v="group "/>
    <s v=" "/>
    <s v=" mean of mean fluo "/>
    <x v="2"/>
    <s v=" mean of total fluo "/>
    <s v=" SD total fluo "/>
    <s v=" n fluorescent "/>
    <m/>
  </r>
  <r>
    <x v="15"/>
    <x v="9"/>
    <s v="\\192.168.24.208\images\R&amp;D\2-Test oestrogénique\OECD and AOPs\REACTIV oecd interlaboratory validation\Results WF\Résultats CBA\2021-CHG-CBA-FADROZOLE HGC\plaque 2/@15 TESTO + EE2/ "/>
    <s v=" "/>
    <s v=" 77.4113 "/>
    <x v="17"/>
    <s v=" 4213307.12 "/>
    <s v=" 941432.932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192.168.24.208\images\R&amp;D\2-Test oestrogénique\OECD and AOPs\REACTIV oecd interlaboratory validation\Results WF\Résultats CBA\2021-CHG-CBA-FADROZOLE HGC\plaque 2/@16 TESTO + FAD/A4_01.tif "/>
    <s v=" 2501.6818 "/>
    <s v=" 70.1913 "/>
    <x v="0"/>
    <n v="175596"/>
    <m/>
    <m/>
    <m/>
  </r>
  <r>
    <x v="16"/>
    <x v="0"/>
    <s v="\\192.168.24.208\images\R&amp;D\2-Test oestrogénique\OECD and AOPs\REACTIV oecd interlaboratory validation\Results WF\Résultats CBA\2021-CHG-CBA-FADROZOLE HGC\plaque 2/@16 TESTO + FAD/A4_02.tif "/>
    <s v=" 3632.8771 "/>
    <s v=" 68.2635 "/>
    <x v="0"/>
    <n v="247993"/>
    <m/>
    <m/>
    <m/>
  </r>
  <r>
    <x v="16"/>
    <x v="0"/>
    <s v="\\192.168.24.208\images\R&amp;D\2-Test oestrogénique\OECD and AOPs\REACTIV oecd interlaboratory validation\Results WF\Résultats CBA\2021-CHG-CBA-FADROZOLE HGC\plaque 2/@16 TESTO + FAD/A4_03.tif "/>
    <s v=" 1696.7929 "/>
    <s v=" 68.4615 "/>
    <x v="0"/>
    <n v="116165"/>
    <m/>
    <m/>
    <m/>
  </r>
  <r>
    <x v="16"/>
    <x v="1"/>
    <s v="\\192.168.24.208\images\R&amp;D\2-Test oestrogénique\OECD and AOPs\REACTIV oecd interlaboratory validation\Results WF\Résultats CBA\2021-CHG-CBA-FADROZOLE HGC\plaque 2/@16 TESTO + FAD/B4_01.tif "/>
    <s v=" 565.5976 "/>
    <s v=" 65.9615 "/>
    <x v="0"/>
    <n v="37308"/>
    <m/>
    <m/>
    <m/>
  </r>
  <r>
    <x v="16"/>
    <x v="1"/>
    <s v="\\192.168.24.208\images\R&amp;D\2-Test oestrogénique\OECD and AOPs\REACTIV oecd interlaboratory validation\Results WF\Résultats CBA\2021-CHG-CBA-FADROZOLE HGC\plaque 2/@16 TESTO + FAD/B4_02.tif "/>
    <s v=" 2479.9281 "/>
    <s v=" 65.3772 "/>
    <x v="0"/>
    <n v="162131"/>
    <m/>
    <m/>
    <m/>
  </r>
  <r>
    <x v="16"/>
    <x v="1"/>
    <s v="\\192.168.24.208\images\R&amp;D\2-Test oestrogénique\OECD and AOPs\REACTIV oecd interlaboratory validation\Results WF\Résultats CBA\2021-CHG-CBA-FADROZOLE HGC\plaque 2/@16 TESTO + FAD/B4_03.tif "/>
    <s v=" 369.8138 "/>
    <s v=" 64.5294 "/>
    <x v="0"/>
    <n v="23864"/>
    <m/>
    <m/>
    <m/>
  </r>
  <r>
    <x v="16"/>
    <x v="2"/>
    <s v="\\192.168.24.208\images\R&amp;D\2-Test oestrogénique\OECD and AOPs\REACTIV oecd interlaboratory validation\Results WF\Résultats CBA\2021-CHG-CBA-FADROZOLE HGC\plaque 2/@16 TESTO + FAD/C4_01.tif "/>
    <s v=" 1131.1953 "/>
    <s v=" 64.6538 "/>
    <x v="0"/>
    <n v="73136"/>
    <m/>
    <m/>
    <m/>
  </r>
  <r>
    <x v="16"/>
    <x v="2"/>
    <s v="\\192.168.24.208\images\R&amp;D\2-Test oestrogénique\OECD and AOPs\REACTIV oecd interlaboratory validation\Results WF\Résultats CBA\2021-CHG-CBA-FADROZOLE HGC\plaque 2/@16 TESTO + FAD/C4_02.tif "/>
    <s v=" 217.5376 "/>
    <s v=" 62.7 "/>
    <x v="0"/>
    <n v="13640"/>
    <m/>
    <m/>
    <m/>
  </r>
  <r>
    <x v="16"/>
    <x v="2"/>
    <s v="\\192.168.24.208\images\R&amp;D\2-Test oestrogénique\OECD and AOPs\REACTIV oecd interlaboratory validation\Results WF\Résultats CBA\2021-CHG-CBA-FADROZOLE HGC\plaque 2/@16 TESTO + FAD/C4_03.tif "/>
    <s v=" 326.3063 "/>
    <s v=" 63.2667 "/>
    <x v="0"/>
    <n v="20644"/>
    <m/>
    <m/>
    <m/>
  </r>
  <r>
    <x v="16"/>
    <x v="3"/>
    <s v="\\192.168.24.208\images\R&amp;D\2-Test oestrogénique\OECD and AOPs\REACTIV oecd interlaboratory validation\Results WF\Résultats CBA\2021-CHG-CBA-FADROZOLE HGC\plaque 2/@16 TESTO + FAD/D4_01.tif "/>
    <s v=" 957.1652 "/>
    <s v=" 63.7273 "/>
    <x v="0"/>
    <n v="60998"/>
    <m/>
    <m/>
    <m/>
  </r>
  <r>
    <x v="16"/>
    <x v="3"/>
    <s v="\\192.168.24.208\images\R&amp;D\2-Test oestrogénique\OECD and AOPs\REACTIV oecd interlaboratory validation\Results WF\Résultats CBA\2021-CHG-CBA-FADROZOLE HGC\plaque 2/@16 TESTO + FAD/D4_02.tif "/>
    <s v=" 652.6127 "/>
    <s v=" 63.3333 "/>
    <x v="0"/>
    <n v="41332"/>
    <m/>
    <m/>
    <m/>
  </r>
  <r>
    <x v="16"/>
    <x v="3"/>
    <s v="\\192.168.24.208\images\R&amp;D\2-Test oestrogénique\OECD and AOPs\REACTIV oecd interlaboratory validation\Results WF\Résultats CBA\2021-CHG-CBA-FADROZOLE HGC\plaque 2/@16 TESTO + FAD/D4_03.tif "/>
    <s v=" 717.8739 "/>
    <s v=" 62.8182 "/>
    <x v="0"/>
    <n v="45096"/>
    <m/>
    <m/>
    <m/>
  </r>
  <r>
    <x v="16"/>
    <x v="4"/>
    <s v="\\192.168.24.208\images\R&amp;D\2-Test oestrogénique\OECD and AOPs\REACTIV oecd interlaboratory validation\Results WF\Résultats CBA\2021-CHG-CBA-FADROZOLE HGC\plaque 2/@16 TESTO + FAD/E4_01.tif "/>
    <s v=" 4524.781 "/>
    <s v=" 67.6779 "/>
    <x v="0"/>
    <n v="306228"/>
    <m/>
    <m/>
    <m/>
  </r>
  <r>
    <x v="16"/>
    <x v="4"/>
    <s v="\\192.168.24.208\images\R&amp;D\2-Test oestrogénique\OECD and AOPs\REACTIV oecd interlaboratory validation\Results WF\Résultats CBA\2021-CHG-CBA-FADROZOLE HGC\plaque 2/@16 TESTO + FAD/E4_02.tif "/>
    <s v=" 4394.2585 "/>
    <s v=" 67.7723 "/>
    <x v="0"/>
    <n v="297809"/>
    <m/>
    <m/>
    <m/>
  </r>
  <r>
    <x v="16"/>
    <x v="4"/>
    <s v="\\192.168.24.208\images\R&amp;D\2-Test oestrogénique\OECD and AOPs\REACTIV oecd interlaboratory validation\Results WF\Résultats CBA\2021-CHG-CBA-FADROZOLE HGC\plaque 2/@16 TESTO + FAD/E4_03.tif "/>
    <s v=" 326.3063 "/>
    <s v=" 62.4667 "/>
    <x v="0"/>
    <n v="20383"/>
    <m/>
    <m/>
    <m/>
  </r>
  <r>
    <x v="16"/>
    <x v="5"/>
    <s v="\\192.168.24.208\images\R&amp;D\2-Test oestrogénique\OECD and AOPs\REACTIV oecd interlaboratory validation\Results WF\Résultats CBA\2021-CHG-CBA-FADROZOLE HGC\plaque 2/@16 TESTO + FAD/F4_01.tif "/>
    <s v=" 500.3364 "/>
    <s v=" 62.913 "/>
    <x v="0"/>
    <n v="31478"/>
    <m/>
    <m/>
    <m/>
  </r>
  <r>
    <x v="16"/>
    <x v="5"/>
    <s v="\\192.168.24.208\images\R&amp;D\2-Test oestrogénique\OECD and AOPs\REACTIV oecd interlaboratory validation\Results WF\Résultats CBA\2021-CHG-CBA-FADROZOLE HGC\plaque 2/@16 TESTO + FAD/F4_02.tif "/>
    <s v=" 5938.7751 "/>
    <s v=" 71.0769 "/>
    <x v="0"/>
    <n v="422110"/>
    <m/>
    <m/>
    <m/>
  </r>
  <r>
    <x v="16"/>
    <x v="5"/>
    <s v="\\192.168.24.208\images\R&amp;D\2-Test oestrogénique\OECD and AOPs\REACTIV oecd interlaboratory validation\Results WF\Résultats CBA\2021-CHG-CBA-FADROZOLE HGC\plaque 2/@16 TESTO + FAD/F4_03.tif "/>
    <s v=" 326.3063 "/>
    <s v=" 62.9333 "/>
    <x v="0"/>
    <n v="20536"/>
    <m/>
    <m/>
    <m/>
  </r>
  <r>
    <x v="16"/>
    <x v="6"/>
    <s v="\\192.168.24.208\images\R&amp;D\2-Test oestrogénique\OECD and AOPs\REACTIV oecd interlaboratory validation\Results WF\Résultats CBA\2021-CHG-CBA-FADROZOLE HGC\plaque 2/@16 TESTO + FAD/G4_01.tif "/>
    <s v=" 2197.1293 "/>
    <s v=" 65.2871 "/>
    <x v="0"/>
    <n v="143444"/>
    <m/>
    <m/>
    <m/>
  </r>
  <r>
    <x v="16"/>
    <x v="6"/>
    <s v="\\192.168.24.208\images\R&amp;D\2-Test oestrogénique\OECD and AOPs\REACTIV oecd interlaboratory validation\Results WF\Résultats CBA\2021-CHG-CBA-FADROZOLE HGC\plaque 2/@16 TESTO + FAD/G4_02.tif "/>
    <s v=" 1892.5767 "/>
    <s v=" 64.7586 "/>
    <x v="0"/>
    <n v="122561"/>
    <m/>
    <m/>
    <m/>
  </r>
  <r>
    <x v="16"/>
    <x v="6"/>
    <s v="\\192.168.24.208\images\R&amp;D\2-Test oestrogénique\OECD and AOPs\REACTIV oecd interlaboratory validation\Results WF\Résultats CBA\2021-CHG-CBA-FADROZOLE HGC\plaque 2/@16 TESTO + FAD/G4_03.tif "/>
    <s v=" 2305.898 "/>
    <s v=" 64.9623 "/>
    <x v="0"/>
    <n v="149796"/>
    <m/>
    <m/>
    <m/>
  </r>
  <r>
    <x v="16"/>
    <x v="7"/>
    <s v="\\192.168.24.208\images\R&amp;D\2-Test oestrogénique\OECD and AOPs\REACTIV oecd interlaboratory validation\Results WF\Résultats CBA\2021-CHG-CBA-FADROZOLE HGC\plaque 2/@16 TESTO + FAD/H4_01.tif "/>
    <s v=" 565.5976 "/>
    <s v=" 63.0385 "/>
    <x v="0"/>
    <n v="35654"/>
    <m/>
    <m/>
    <m/>
  </r>
  <r>
    <x v="16"/>
    <x v="7"/>
    <s v="\\192.168.24.208\images\R&amp;D\2-Test oestrogénique\OECD and AOPs\REACTIV oecd interlaboratory validation\Results WF\Résultats CBA\2021-CHG-CBA-FADROZOLE HGC\plaque 2/@16 TESTO + FAD/H4_02.tif "/>
    <s v=" 522.0901 "/>
    <s v=" 63.2083 "/>
    <x v="0"/>
    <n v="33000"/>
    <m/>
    <m/>
    <m/>
  </r>
  <r>
    <x v="16"/>
    <x v="7"/>
    <s v="\\192.168.24.208\images\R&amp;D\2-Test oestrogénique\OECD and AOPs\REACTIV oecd interlaboratory validation\Results WF\Résultats CBA\2021-CHG-CBA-FADROZOLE HGC\plaque 2/@16 TESTO + FAD/H4_03.tif "/>
    <s v=" 2980.2644 "/>
    <s v=" 66.1241 "/>
    <x v="0"/>
    <n v="197067"/>
    <m/>
    <m/>
    <m/>
  </r>
  <r>
    <x v="1"/>
    <x v="8"/>
    <s v=" "/>
    <m/>
    <m/>
    <x v="1"/>
    <m/>
    <m/>
    <m/>
    <m/>
  </r>
  <r>
    <x v="1"/>
    <x v="8"/>
    <s v="group "/>
    <s v=" "/>
    <s v=" mean of mean fluo "/>
    <x v="2"/>
    <s v=" mean of total fluo "/>
    <s v=" SD total fluo "/>
    <s v=" n fluorescent "/>
    <m/>
  </r>
  <r>
    <x v="16"/>
    <x v="9"/>
    <s v="\\192.168.24.208\images\R&amp;D\2-Test oestrogénique\OECD and AOPs\REACTIV oecd interlaboratory validation\Results WF\Résultats CBA\2021-CHG-CBA-FADROZOLE HGC\plaque 2/@16 TESTO + FAD/ "/>
    <s v=" "/>
    <s v=" 65.2293 "/>
    <x v="18"/>
    <s v=" 116582.042 "/>
    <s v=" 110926.93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192.168.24.208\images\R&amp;D\2-Test oestrogénique\OECD and AOPs\REACTIV oecd interlaboratory validation\Results WF\Résultats CBA\2021-CHG-CBA-FADROZOLE HGC\plaque 2/@17 FADROZOLE 5.4/A5_01.tif "/>
    <s v=" 1849.0692 "/>
    <s v=" 65.3059 "/>
    <x v="0"/>
    <n v="120755"/>
    <m/>
    <m/>
    <m/>
  </r>
  <r>
    <x v="17"/>
    <x v="0"/>
    <s v="\\192.168.24.208\images\R&amp;D\2-Test oestrogénique\OECD and AOPs\REACTIV oecd interlaboratory validation\Results WF\Résultats CBA\2021-CHG-CBA-FADROZOLE HGC\plaque 2/@17 FADROZOLE 5.4/A5_02.tif "/>
    <s v=" 761.3814 "/>
    <s v=" 63.6571 "/>
    <x v="0"/>
    <n v="48467"/>
    <m/>
    <m/>
    <m/>
  </r>
  <r>
    <x v="17"/>
    <x v="0"/>
    <s v="\\192.168.24.208\images\R&amp;D\2-Test oestrogénique\OECD and AOPs\REACTIV oecd interlaboratory validation\Results WF\Résultats CBA\2021-CHG-CBA-FADROZOLE HGC\plaque 2/@17 FADROZOLE 5.4/A5_03.tif "/>
    <s v=" 500.3364 "/>
    <s v=" 62.2174 "/>
    <x v="0"/>
    <n v="31130"/>
    <m/>
    <m/>
    <m/>
  </r>
  <r>
    <x v="17"/>
    <x v="1"/>
    <s v="\\192.168.24.208\images\R&amp;D\2-Test oestrogénique\OECD and AOPs\REACTIV oecd interlaboratory validation\Results WF\Résultats CBA\2021-CHG-CBA-FADROZOLE HGC\plaque 2/@17 FADROZOLE 5.4/B5_01.tif "/>
    <s v=" 4024.4447 "/>
    <s v=" 66.173 "/>
    <x v="0"/>
    <n v="266309"/>
    <m/>
    <m/>
    <m/>
  </r>
  <r>
    <x v="17"/>
    <x v="1"/>
    <s v="\\192.168.24.208\images\R&amp;D\2-Test oestrogénique\OECD and AOPs\REACTIV oecd interlaboratory validation\Results WF\Résultats CBA\2021-CHG-CBA-FADROZOLE HGC\plaque 2/@17 FADROZOLE 5.4/B5_02.tif "/>
    <s v=" 1588.0241 "/>
    <s v=" 63.1644 "/>
    <x v="0"/>
    <n v="100307"/>
    <m/>
    <m/>
    <m/>
  </r>
  <r>
    <x v="17"/>
    <x v="1"/>
    <s v="\\192.168.24.208\images\R&amp;D\2-Test oestrogénique\OECD and AOPs\REACTIV oecd interlaboratory validation\Results WF\Résultats CBA\2021-CHG-CBA-FADROZOLE HGC\plaque 2/@17 FADROZOLE 5.4/B5_03.tif "/>
    <s v=" 652.6127 "/>
    <s v=" 63.2 "/>
    <x v="0"/>
    <n v="41245"/>
    <m/>
    <m/>
    <m/>
  </r>
  <r>
    <x v="17"/>
    <x v="2"/>
    <s v="\\192.168.24.208\images\R&amp;D\2-Test oestrogénique\OECD and AOPs\REACTIV oecd interlaboratory validation\Results WF\Résultats CBA\2021-CHG-CBA-FADROZOLE HGC\plaque 2/@17 FADROZOLE 5.4/C5_01.tif "/>
    <s v=" 9332.3609 "/>
    <s v=" 70.8462 "/>
    <x v="0"/>
    <n v="661162"/>
    <m/>
    <m/>
    <m/>
  </r>
  <r>
    <x v="17"/>
    <x v="2"/>
    <s v="\\192.168.24.208\images\R&amp;D\2-Test oestrogénique\OECD and AOPs\REACTIV oecd interlaboratory validation\Results WF\Résultats CBA\2021-CHG-CBA-FADROZOLE HGC\plaque 2/@17 FADROZOLE 5.4/C5_02.tif "/>
    <s v=" 5155.6399 "/>
    <s v=" 65.4304 "/>
    <x v="0"/>
    <n v="337335"/>
    <m/>
    <m/>
    <m/>
  </r>
  <r>
    <x v="17"/>
    <x v="2"/>
    <s v="\\192.168.24.208\images\R&amp;D\2-Test oestrogénique\OECD and AOPs\REACTIV oecd interlaboratory validation\Results WF\Résultats CBA\2021-CHG-CBA-FADROZOLE HGC\plaque 2/@17 FADROZOLE 5.4/C5_03.tif "/>
    <s v=" 6634.8953 "/>
    <s v=" 73.7738 "/>
    <x v="0"/>
    <n v="489481"/>
    <m/>
    <m/>
    <m/>
  </r>
  <r>
    <x v="17"/>
    <x v="3"/>
    <s v="\\192.168.24.208\images\R&amp;D\2-Test oestrogénique\OECD and AOPs\REACTIV oecd interlaboratory validation\Results WF\Résultats CBA\2021-CHG-CBA-FADROZOLE HGC\plaque 2/@17 FADROZOLE 5.4/D5_01.tif "/>
    <s v=" 413.3213 "/>
    <s v=" 63.5789 "/>
    <x v="0"/>
    <n v="26279"/>
    <m/>
    <m/>
    <m/>
  </r>
  <r>
    <x v="17"/>
    <x v="3"/>
    <s v="\\192.168.24.208\images\R&amp;D\2-Test oestrogénique\OECD and AOPs\REACTIV oecd interlaboratory validation\Results WF\Résultats CBA\2021-CHG-CBA-FADROZOLE HGC\plaque 2/@17 FADROZOLE 5.4/D5_02.tif "/>
    <s v=" 195.7838 "/>
    <n v="64"/>
    <x v="0"/>
    <n v="12530"/>
    <m/>
    <m/>
    <m/>
  </r>
  <r>
    <x v="17"/>
    <x v="3"/>
    <s v="\\192.168.24.208\images\R&amp;D\2-Test oestrogénique\OECD and AOPs\REACTIV oecd interlaboratory validation\Results WF\Résultats CBA\2021-CHG-CBA-FADROZOLE HGC\plaque 2/@17 FADROZOLE 5.4/D5_03.tif "/>
    <s v=" 195.7838 "/>
    <s v=" 63.2222 "/>
    <x v="0"/>
    <n v="12378"/>
    <m/>
    <m/>
    <m/>
  </r>
  <r>
    <x v="17"/>
    <x v="4"/>
    <s v="\\192.168.24.208\images\R&amp;D\2-Test oestrogénique\OECD and AOPs\REACTIV oecd interlaboratory validation\Results WF\Résultats CBA\2021-CHG-CBA-FADROZOLE HGC\plaque 2/@17 FADROZOLE 5.4/E5_01.tif "/>
    <s v=" 261.0451 "/>
    <n v="63"/>
    <x v="0"/>
    <n v="16446"/>
    <m/>
    <m/>
    <m/>
  </r>
  <r>
    <x v="17"/>
    <x v="4"/>
    <s v="\\192.168.24.208\images\R&amp;D\2-Test oestrogénique\OECD and AOPs\REACTIV oecd interlaboratory validation\Results WF\Résultats CBA\2021-CHG-CBA-FADROZOLE HGC\plaque 2/@17 FADROZOLE 5.4/E5_02.tif "/>
    <s v=" 587.3514 "/>
    <s v=" 63.7037 "/>
    <x v="0"/>
    <n v="37416"/>
    <m/>
    <m/>
    <m/>
  </r>
  <r>
    <x v="17"/>
    <x v="4"/>
    <s v="\\192.168.24.208\images\R&amp;D\2-Test oestrogénique\OECD and AOPs\REACTIV oecd interlaboratory validation\Results WF\Résultats CBA\2021-CHG-CBA-FADROZOLE HGC\plaque 2/@17 FADROZOLE 5.4/E5_03.tif "/>
    <s v=" 1109.4415 "/>
    <s v=" 63.9216 "/>
    <x v="0"/>
    <n v="70917"/>
    <m/>
    <m/>
    <m/>
  </r>
  <r>
    <x v="17"/>
    <x v="5"/>
    <s v="\\192.168.24.208\images\R&amp;D\2-Test oestrogénique\OECD and AOPs\REACTIV oecd interlaboratory validation\Results WF\Résultats CBA\2021-CHG-CBA-FADROZOLE HGC\plaque 2/@17 FADROZOLE 5.4/F5_01.tif "/>
    <s v=" 304.5526 "/>
    <s v=" 63.4286 "/>
    <x v="0"/>
    <n v="19317"/>
    <m/>
    <m/>
    <m/>
  </r>
  <r>
    <x v="17"/>
    <x v="5"/>
    <s v="\\192.168.24.208\images\R&amp;D\2-Test oestrogénique\OECD and AOPs\REACTIV oecd interlaboratory validation\Results WF\Résultats CBA\2021-CHG-CBA-FADROZOLE HGC\plaque 2/@17 FADROZOLE 5.4/F5_02.tif "/>
    <s v=" 304.5526 "/>
    <s v=" 63.4286 "/>
    <x v="0"/>
    <n v="19317"/>
    <m/>
    <m/>
    <m/>
  </r>
  <r>
    <x v="17"/>
    <x v="5"/>
    <s v="\\192.168.24.208\images\R&amp;D\2-Test oestrogénique\OECD and AOPs\REACTIV oecd interlaboratory validation\Results WF\Résultats CBA\2021-CHG-CBA-FADROZOLE HGC\plaque 2/@17 FADROZOLE 5.4/F5_03.tif "/>
    <s v=" 3176.0482 "/>
    <s v=" 66.3767 "/>
    <x v="0"/>
    <n v="210816"/>
    <m/>
    <m/>
    <m/>
  </r>
  <r>
    <x v="17"/>
    <x v="6"/>
    <s v="\\192.168.24.208\images\R&amp;D\2-Test oestrogénique\OECD and AOPs\REACTIV oecd interlaboratory validation\Results WF\Résultats CBA\2021-CHG-CBA-FADROZOLE HGC\plaque 2/@17 FADROZOLE 5.4/G5_01.tif "/>
    <s v=" 652.6127 "/>
    <s v=" 62.2 "/>
    <x v="0"/>
    <n v="40593"/>
    <m/>
    <m/>
    <m/>
  </r>
  <r>
    <x v="17"/>
    <x v="6"/>
    <s v="\\192.168.24.208\images\R&amp;D\2-Test oestrogénique\OECD and AOPs\REACTIV oecd interlaboratory validation\Results WF\Résultats CBA\2021-CHG-CBA-FADROZOLE HGC\plaque 2/@17 FADROZOLE 5.4/G5_02.tif "/>
    <s v=" 2762.7269 "/>
    <s v=" 63.4331 "/>
    <x v="0"/>
    <n v="175248"/>
    <m/>
    <m/>
    <m/>
  </r>
  <r>
    <x v="17"/>
    <x v="6"/>
    <s v="\\192.168.24.208\images\R&amp;D\2-Test oestrogénique\OECD and AOPs\REACTIV oecd interlaboratory validation\Results WF\Résultats CBA\2021-CHG-CBA-FADROZOLE HGC\plaque 2/@17 FADROZOLE 5.4/G5_03.tif "/>
    <s v=" 1283.4715 "/>
    <s v=" 64.0508 "/>
    <x v="0"/>
    <n v="82207"/>
    <m/>
    <m/>
    <m/>
  </r>
  <r>
    <x v="17"/>
    <x v="7"/>
    <s v="\\192.168.24.208\images\R&amp;D\2-Test oestrogénique\OECD and AOPs\REACTIV oecd interlaboratory validation\Results WF\Résultats CBA\2021-CHG-CBA-FADROZOLE HGC\plaque 2/@17 FADROZOLE 5.4/H5_01- exclu.tif"/>
    <m/>
    <m/>
    <x v="1"/>
    <m/>
    <m/>
    <m/>
    <m/>
  </r>
  <r>
    <x v="17"/>
    <x v="7"/>
    <s v="\\192.168.24.208\images\R&amp;D\2-Test oestrogénique\OECD and AOPs\REACTIV oecd interlaboratory validation\Results WF\Résultats CBA\2021-CHG-CBA-FADROZOLE HGC\plaque 2/@17 FADROZOLE 5.4/H5_02- exclu.tif"/>
    <m/>
    <m/>
    <x v="1"/>
    <m/>
    <m/>
    <m/>
    <m/>
  </r>
  <r>
    <x v="17"/>
    <x v="7"/>
    <s v="\\192.168.24.208\images\R&amp;D\2-Test oestrogénique\OECD and AOPs\REACTIV oecd interlaboratory validation\Results WF\Résultats CBA\2021-CHG-CBA-FADROZOLE HGC\plaque 2/@17 FADROZOLE 5.4/H5_03- exclu.tif"/>
    <m/>
    <m/>
    <x v="1"/>
    <m/>
    <m/>
    <m/>
    <m/>
  </r>
  <r>
    <x v="1"/>
    <x v="8"/>
    <s v=" "/>
    <m/>
    <m/>
    <x v="1"/>
    <m/>
    <m/>
    <m/>
    <m/>
  </r>
  <r>
    <x v="1"/>
    <x v="8"/>
    <s v="group "/>
    <s v=" "/>
    <s v=" mean of mean fluo "/>
    <x v="2"/>
    <s v=" mean of total fluo "/>
    <s v=" SD total fluo "/>
    <s v=" n fluorescent "/>
    <m/>
  </r>
  <r>
    <x v="17"/>
    <x v="9"/>
    <s v="\\192.168.24.208\images\R&amp;D\2-Test oestrogénique\OECD and AOPs\REACTIV oecd interlaboratory validation\Results WF\Résultats CBA\2021-CHG-CBA-FADROZOLE HGC\plaque 2/@17 FADROZOLE 5.4/ "/>
    <s v=" "/>
    <s v=" 64.4401 "/>
    <x v="19"/>
    <s v=" 118511.667 "/>
    <s v=" 167623.55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192.168.24.208\images\R&amp;D\2-Test oestrogénique\OECD and AOPs\REACTIV oecd interlaboratory validation\Results WF\Résultats CBA\2021-CHG-CBA-FADROZOLE HGC\plaque 2/@18 FADROZOLE 11/A6_01.tif "/>
    <s v=" 5025.1174 "/>
    <s v=" 66.1688 "/>
    <x v="0"/>
    <n v="332506"/>
    <m/>
    <m/>
    <m/>
  </r>
  <r>
    <x v="18"/>
    <x v="0"/>
    <s v="\\192.168.24.208\images\R&amp;D\2-Test oestrogénique\OECD and AOPs\REACTIV oecd interlaboratory validation\Results WF\Résultats CBA\2021-CHG-CBA-FADROZOLE HGC\plaque 2/@18 FADROZOLE 11/A6_02.tif "/>
    <s v=" 4437.766 "/>
    <s v=" 67.7206 "/>
    <x v="0"/>
    <n v="300528"/>
    <m/>
    <m/>
    <m/>
  </r>
  <r>
    <x v="18"/>
    <x v="0"/>
    <s v="\\192.168.24.208\images\R&amp;D\2-Test oestrogénique\OECD and AOPs\REACTIV oecd interlaboratory validation\Results WF\Résultats CBA\2021-CHG-CBA-FADROZOLE HGC\plaque 2/@18 FADROZOLE 11/A6_03.tif "/>
    <s v=" 2262.3905 "/>
    <s v=" 65.0769 "/>
    <x v="0"/>
    <n v="147229"/>
    <m/>
    <m/>
    <m/>
  </r>
  <r>
    <x v="18"/>
    <x v="1"/>
    <s v="\\192.168.24.208\images\R&amp;D\2-Test oestrogénique\OECD and AOPs\REACTIV oecd interlaboratory validation\Results WF\Résultats CBA\2021-CHG-CBA-FADROZOLE HGC\plaque 2/@18 FADROZOLE 11/B6_01.tif "/>
    <s v=" 369.8138 "/>
    <s v=" 62.5882 "/>
    <x v="0"/>
    <n v="23146"/>
    <m/>
    <m/>
    <m/>
  </r>
  <r>
    <x v="18"/>
    <x v="1"/>
    <s v="\\192.168.24.208\images\R&amp;D\2-Test oestrogénique\OECD and AOPs\REACTIV oecd interlaboratory validation\Results WF\Résultats CBA\2021-CHG-CBA-FADROZOLE HGC\plaque 2/@18 FADROZOLE 11/B6_02.tif "/>
    <s v=" 348.0601 "/>
    <s v=" 63.5625 "/>
    <x v="0"/>
    <n v="22124"/>
    <m/>
    <m/>
    <m/>
  </r>
  <r>
    <x v="18"/>
    <x v="1"/>
    <s v="\\192.168.24.208\images\R&amp;D\2-Test oestrogénique\OECD and AOPs\REACTIV oecd interlaboratory validation\Results WF\Résultats CBA\2021-CHG-CBA-FADROZOLE HGC\plaque 2/@18 FADROZOLE 11/B6_03.tif "/>
    <s v=" 957.1652 "/>
    <s v=" 64.4545 "/>
    <x v="0"/>
    <n v="61694"/>
    <m/>
    <m/>
    <m/>
  </r>
  <r>
    <x v="18"/>
    <x v="2"/>
    <s v="\\192.168.24.208\images\R&amp;D\2-Test oestrogénique\OECD and AOPs\REACTIV oecd interlaboratory validation\Results WF\Résultats CBA\2021-CHG-CBA-FADROZOLE HGC\plaque 2/@18 FADROZOLE 11/C6_01.tif "/>
    <s v=" 4350.751 "/>
    <s v=" 73.975 "/>
    <x v="0"/>
    <n v="321847"/>
    <m/>
    <m/>
    <m/>
  </r>
  <r>
    <x v="18"/>
    <x v="2"/>
    <s v="\\192.168.24.208\images\R&amp;D\2-Test oestrogénique\OECD and AOPs\REACTIV oecd interlaboratory validation\Results WF\Résultats CBA\2021-CHG-CBA-FADROZOLE HGC\plaque 2/@18 FADROZOLE 11/C6_02.tif "/>
    <s v=" 4437.766 "/>
    <s v=" 74.7304 "/>
    <x v="0"/>
    <n v="331636"/>
    <m/>
    <m/>
    <m/>
  </r>
  <r>
    <x v="18"/>
    <x v="2"/>
    <s v="\\192.168.24.208\images\R&amp;D\2-Test oestrogénique\OECD and AOPs\REACTIV oecd interlaboratory validation\Results WF\Résultats CBA\2021-CHG-CBA-FADROZOLE HGC\plaque 2/@18 FADROZOLE 11/C6_03.tif "/>
    <s v=" 4198.4747 "/>
    <s v=" 73.3264 "/>
    <x v="0"/>
    <n v="307859"/>
    <m/>
    <m/>
    <m/>
  </r>
  <r>
    <x v="18"/>
    <x v="3"/>
    <s v="\\192.168.24.208\images\R&amp;D\2-Test oestrogénique\OECD and AOPs\REACTIV oecd interlaboratory validation\Results WF\Résultats CBA\2021-CHG-CBA-FADROZOLE HGC\plaque 2/@18 FADROZOLE 11/D6_01.tif "/>
    <s v=" 2827.9882 "/>
    <s v=" 66.3615 "/>
    <x v="0"/>
    <n v="187670"/>
    <m/>
    <m/>
    <m/>
  </r>
  <r>
    <x v="18"/>
    <x v="3"/>
    <s v="\\192.168.24.208\images\R&amp;D\2-Test oestrogénique\OECD and AOPs\REACTIV oecd interlaboratory validation\Results WF\Résultats CBA\2021-CHG-CBA-FADROZOLE HGC\plaque 2/@18 FADROZOLE 11/D6_02.tif "/>
    <s v=" 391.5676 "/>
    <s v=" 63.1667 "/>
    <x v="0"/>
    <n v="24734"/>
    <m/>
    <m/>
    <m/>
  </r>
  <r>
    <x v="18"/>
    <x v="3"/>
    <s v="\\192.168.24.208\images\R&amp;D\2-Test oestrogénique\OECD and AOPs\REACTIV oecd interlaboratory validation\Results WF\Résultats CBA\2021-CHG-CBA-FADROZOLE HGC\plaque 2/@18 FADROZOLE 11/D6_03.tif "/>
    <s v=" 500.3364 "/>
    <s v=" 62.6957 "/>
    <x v="0"/>
    <n v="31369"/>
    <m/>
    <m/>
    <m/>
  </r>
  <r>
    <x v="18"/>
    <x v="4"/>
    <s v="\\192.168.24.208\images\R&amp;D\2-Test oestrogénique\OECD and AOPs\REACTIV oecd interlaboratory validation\Results WF\Résultats CBA\2021-CHG-CBA-FADROZOLE HGC\plaque 2/@18 FADROZOLE 11/E6_01.tif "/>
    <s v=" 2675.7119 "/>
    <s v=" 66.4309 "/>
    <x v="0"/>
    <n v="177750"/>
    <m/>
    <m/>
    <m/>
  </r>
  <r>
    <x v="18"/>
    <x v="4"/>
    <s v="\\192.168.24.208\images\R&amp;D\2-Test oestrogénique\OECD and AOPs\REACTIV oecd interlaboratory validation\Results WF\Résultats CBA\2021-CHG-CBA-FADROZOLE HGC\plaque 2/@18 FADROZOLE 11/E6_02.tif "/>
    <s v=" 1435.7478 "/>
    <s v=" 63.7879 "/>
    <x v="0"/>
    <n v="91583"/>
    <m/>
    <m/>
    <m/>
  </r>
  <r>
    <x v="18"/>
    <x v="4"/>
    <s v="\\192.168.24.208\images\R&amp;D\2-Test oestrogénique\OECD and AOPs\REACTIV oecd interlaboratory validation\Results WF\Résultats CBA\2021-CHG-CBA-FADROZOLE HGC\plaque 2/@18 FADROZOLE 11/E6_03.tif "/>
    <s v=" 217.5376 "/>
    <s v=" 62.5 "/>
    <x v="0"/>
    <n v="13596"/>
    <m/>
    <m/>
    <m/>
  </r>
  <r>
    <x v="18"/>
    <x v="5"/>
    <s v="\\192.168.24.208\images\R&amp;D\2-Test oestrogénique\OECD and AOPs\REACTIV oecd interlaboratory validation\Results WF\Résultats CBA\2021-CHG-CBA-FADROZOLE HGC\plaque 2/@18 FADROZOLE 11/F6_01.tif "/>
    <s v=" 3524.1083 "/>
    <s v=" 65.4198 "/>
    <x v="0"/>
    <n v="230546"/>
    <m/>
    <m/>
    <m/>
  </r>
  <r>
    <x v="18"/>
    <x v="5"/>
    <s v="\\192.168.24.208\images\R&amp;D\2-Test oestrogénique\OECD and AOPs\REACTIV oecd interlaboratory validation\Results WF\Résultats CBA\2021-CHG-CBA-FADROZOLE HGC\plaque 2/@18 FADROZOLE 11/F6_02.tif "/>
    <s v=" 261.0451 "/>
    <s v=" 65.0833 "/>
    <x v="0"/>
    <n v="16990"/>
    <m/>
    <m/>
    <m/>
  </r>
  <r>
    <x v="18"/>
    <x v="5"/>
    <s v="\\192.168.24.208\images\R&amp;D\2-Test oestrogénique\OECD and AOPs\REACTIV oecd interlaboratory validation\Results WF\Résultats CBA\2021-CHG-CBA-FADROZOLE HGC\plaque 2/@18 FADROZOLE 11/F6_03.tif "/>
    <s v=" 195.7838 "/>
    <s v=" 63.3333 "/>
    <x v="0"/>
    <n v="12400"/>
    <m/>
    <m/>
    <m/>
  </r>
  <r>
    <x v="18"/>
    <x v="6"/>
    <s v="\\192.168.24.208\images\R&amp;D\2-Test oestrogénique\OECD and AOPs\REACTIV oecd interlaboratory validation\Results WF\Résultats CBA\2021-CHG-CBA-FADROZOLE HGC\plaque 2/@18 FADROZOLE 11/G6_01.tif "/>
    <s v=" 15553.9348 "/>
    <s v=" 74.7231 "/>
    <x v="0"/>
    <n v="1162238"/>
    <m/>
    <m/>
    <m/>
  </r>
  <r>
    <x v="18"/>
    <x v="6"/>
    <s v="\\192.168.24.208\images\R&amp;D\2-Test oestrogénique\OECD and AOPs\REACTIV oecd interlaboratory validation\Results WF\Résultats CBA\2021-CHG-CBA-FADROZOLE HGC\plaque 2/@18 FADROZOLE 11/G6_02- exclu.tif"/>
    <m/>
    <m/>
    <x v="1"/>
    <m/>
    <m/>
    <m/>
    <m/>
  </r>
  <r>
    <x v="18"/>
    <x v="6"/>
    <s v="\\192.168.24.208\images\R&amp;D\2-Test oestrogénique\OECD and AOPs\REACTIV oecd interlaboratory validation\Results WF\Résultats CBA\2021-CHG-CBA-FADROZOLE HGC\plaque 2/@18 FADROZOLE 11/G6_03- exclu.tif"/>
    <m/>
    <m/>
    <x v="1"/>
    <m/>
    <m/>
    <m/>
    <m/>
  </r>
  <r>
    <x v="18"/>
    <x v="7"/>
    <s v="\\192.168.24.208\images\R&amp;D\2-Test oestrogénique\OECD and AOPs\REACTIV oecd interlaboratory validation\Results WF\Résultats CBA\2021-CHG-CBA-FADROZOLE HGC\plaque 2/@18 FADROZOLE 11/H6_01.tif "/>
    <s v=" 804.8889 "/>
    <s v=" 65.1892 "/>
    <x v="0"/>
    <n v="52470"/>
    <m/>
    <m/>
    <m/>
  </r>
  <r>
    <x v="18"/>
    <x v="7"/>
    <s v="\\192.168.24.208\images\R&amp;D\2-Test oestrogénique\OECD and AOPs\REACTIV oecd interlaboratory validation\Results WF\Résultats CBA\2021-CHG-CBA-FADROZOLE HGC\plaque 2/@18 FADROZOLE 11/H6_02.tif "/>
    <s v=" 369.8138 "/>
    <n v="63"/>
    <x v="0"/>
    <n v="23298"/>
    <m/>
    <m/>
    <m/>
  </r>
  <r>
    <x v="18"/>
    <x v="7"/>
    <s v="\\192.168.24.208\images\R&amp;D\2-Test oestrogénique\OECD and AOPs\REACTIV oecd interlaboratory validation\Results WF\Résultats CBA\2021-CHG-CBA-FADROZOLE HGC\plaque 2/@18 FADROZOLE 11/H6_03.tif "/>
    <s v=" 1609.7779 "/>
    <s v=" 64.2703 "/>
    <x v="0"/>
    <n v="103461"/>
    <m/>
    <m/>
    <m/>
  </r>
  <r>
    <x v="1"/>
    <x v="8"/>
    <s v=" "/>
    <m/>
    <m/>
    <x v="1"/>
    <m/>
    <m/>
    <m/>
    <m/>
  </r>
  <r>
    <x v="1"/>
    <x v="8"/>
    <s v="group "/>
    <s v=" "/>
    <s v=" mean of mean fluo "/>
    <x v="2"/>
    <s v=" mean of total fluo "/>
    <s v=" SD total fluo "/>
    <s v=" n fluorescent "/>
    <m/>
  </r>
  <r>
    <x v="18"/>
    <x v="9"/>
    <s v="\\192.168.24.208\images\R&amp;D\2-Test oestrogénique\OECD and AOPs\REACTIV oecd interlaboratory validation\Results WF\Résultats CBA\2021-CHG-CBA-FADROZOLE HGC\plaque 2/@18 FADROZOLE 11/ "/>
    <s v=" "/>
    <s v=" 68.4065 "/>
    <x v="20"/>
    <s v=" 253284.417 "/>
    <s v=" 343546.925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192.168.24.208\images\R&amp;D\2-Test oestrogénique\OECD and AOPs\REACTIV oecd interlaboratory validation\Results WF\Résultats CBA\2021-CHG-CBA-FADROZOLE HGC\plaque 2/@19 FADROZOLE 22/A7_01.tif "/>
    <s v=" 8375.1957 "/>
    <s v=" 82.1299 "/>
    <x v="0"/>
    <n v="687854"/>
    <m/>
    <m/>
    <m/>
  </r>
  <r>
    <x v="19"/>
    <x v="0"/>
    <s v="\\192.168.24.208\images\R&amp;D\2-Test oestrogénique\OECD and AOPs\REACTIV oecd interlaboratory validation\Results WF\Résultats CBA\2021-CHG-CBA-FADROZOLE HGC\plaque 2/@19 FADROZOLE 22/A7_02.tif "/>
    <s v=" 3154.2945 "/>
    <s v=" 66.2 "/>
    <x v="0"/>
    <n v="208814"/>
    <m/>
    <m/>
    <m/>
  </r>
  <r>
    <x v="19"/>
    <x v="0"/>
    <s v="\\192.168.24.208\images\R&amp;D\2-Test oestrogénique\OECD and AOPs\REACTIV oecd interlaboratory validation\Results WF\Résultats CBA\2021-CHG-CBA-FADROZOLE HGC\plaque 2/@19 FADROZOLE 22/A7_03- exclu.tif"/>
    <m/>
    <m/>
    <x v="1"/>
    <m/>
    <m/>
    <m/>
    <m/>
  </r>
  <r>
    <x v="19"/>
    <x v="1"/>
    <s v="\\192.168.24.208\images\R&amp;D\2-Test oestrogénique\OECD and AOPs\REACTIV oecd interlaboratory validation\Results WF\Résultats CBA\2021-CHG-CBA-FADROZOLE HGC\plaque 2/@19 FADROZOLE 22/B7_01- exclu.tif"/>
    <m/>
    <m/>
    <x v="1"/>
    <m/>
    <m/>
    <m/>
    <m/>
  </r>
  <r>
    <x v="19"/>
    <x v="1"/>
    <s v="\\192.168.24.208\images\R&amp;D\2-Test oestrogénique\OECD and AOPs\REACTIV oecd interlaboratory validation\Results WF\Résultats CBA\2021-CHG-CBA-FADROZOLE HGC\plaque 2/@19 FADROZOLE 22/B7_02.tif "/>
    <s v=" 4416.0123 "/>
    <s v=" 65.798 "/>
    <x v="0"/>
    <n v="290565"/>
    <m/>
    <m/>
    <m/>
  </r>
  <r>
    <x v="19"/>
    <x v="1"/>
    <s v="\\192.168.24.208\images\R&amp;D\2-Test oestrogénique\OECD and AOPs\REACTIV oecd interlaboratory validation\Results WF\Résultats CBA\2021-CHG-CBA-FADROZOLE HGC\plaque 2/@19 FADROZOLE 22/B7_03.tif "/>
    <s v=" 4024.4447 "/>
    <s v=" 66.6054 "/>
    <x v="0"/>
    <n v="268050"/>
    <m/>
    <m/>
    <m/>
  </r>
  <r>
    <x v="19"/>
    <x v="2"/>
    <s v="\\192.168.24.208\images\R&amp;D\2-Test oestrogénique\OECD and AOPs\REACTIV oecd interlaboratory validation\Results WF\Résultats CBA\2021-CHG-CBA-FADROZOLE HGC\plaque 2/@19 FADROZOLE 22/C7_01.tif "/>
    <s v=" 261.0451 "/>
    <s v=" 63.0833 "/>
    <x v="0"/>
    <n v="16468"/>
    <m/>
    <m/>
    <m/>
  </r>
  <r>
    <x v="19"/>
    <x v="2"/>
    <s v="\\192.168.24.208\images\R&amp;D\2-Test oestrogénique\OECD and AOPs\REACTIV oecd interlaboratory validation\Results WF\Résultats CBA\2021-CHG-CBA-FADROZOLE HGC\plaque 2/@19 FADROZOLE 22/C7_02.tif "/>
    <s v=" 804.8889 "/>
    <s v=" 66.2432 "/>
    <x v="0"/>
    <n v="53318"/>
    <m/>
    <m/>
    <m/>
  </r>
  <r>
    <x v="19"/>
    <x v="2"/>
    <s v="\\192.168.24.208\images\R&amp;D\2-Test oestrogénique\OECD and AOPs\REACTIV oecd interlaboratory validation\Results WF\Résultats CBA\2021-CHG-CBA-FADROZOLE HGC\plaque 2/@19 FADROZOLE 22/C7_03.tif "/>
    <s v=" 435.0751 "/>
    <s v=" 63.7 "/>
    <x v="0"/>
    <n v="27714"/>
    <m/>
    <m/>
    <m/>
  </r>
  <r>
    <x v="19"/>
    <x v="3"/>
    <s v="\\192.168.24.208\images\R&amp;D\2-Test oestrogénique\OECD and AOPs\REACTIV oecd interlaboratory validation\Results WF\Résultats CBA\2021-CHG-CBA-FADROZOLE HGC\plaque 2/@19 FADROZOLE 22/D7_01.tif "/>
    <s v=" 6656.649 "/>
    <s v=" 69.6569 "/>
    <x v="0"/>
    <n v="463681"/>
    <m/>
    <m/>
    <m/>
  </r>
  <r>
    <x v="19"/>
    <x v="3"/>
    <s v="\\192.168.24.208\images\R&amp;D\2-Test oestrogénique\OECD and AOPs\REACTIV oecd interlaboratory validation\Results WF\Résultats CBA\2021-CHG-CBA-FADROZOLE HGC\plaque 2/@19 FADROZOLE 22/D7_02.tif "/>
    <s v=" 7200.4929 "/>
    <s v=" 73.4955 "/>
    <x v="0"/>
    <n v="529204"/>
    <m/>
    <m/>
    <m/>
  </r>
  <r>
    <x v="19"/>
    <x v="3"/>
    <s v="\\192.168.24.208\images\R&amp;D\2-Test oestrogénique\OECD and AOPs\REACTIV oecd interlaboratory validation\Results WF\Résultats CBA\2021-CHG-CBA-FADROZOLE HGC\plaque 2/@19 FADROZOLE 22/D7_03.tif "/>
    <s v=" 522.0901 "/>
    <s v=" 62.7083 "/>
    <x v="0"/>
    <n v="32739"/>
    <m/>
    <m/>
    <m/>
  </r>
  <r>
    <x v="19"/>
    <x v="4"/>
    <s v="\\192.168.24.208\images\R&amp;D\2-Test oestrogénique\OECD and AOPs\REACTIV oecd interlaboratory validation\Results WF\Résultats CBA\2021-CHG-CBA-FADROZOLE HGC\plaque 2/@19 FADROZOLE 22/E7_01.tif "/>
    <s v=" 326.3063 "/>
    <s v=" 66.9333 "/>
    <x v="0"/>
    <n v="21841"/>
    <m/>
    <m/>
    <m/>
  </r>
  <r>
    <x v="19"/>
    <x v="4"/>
    <s v="\\192.168.24.208\images\R&amp;D\2-Test oestrogénique\OECD and AOPs\REACTIV oecd interlaboratory validation\Results WF\Résultats CBA\2021-CHG-CBA-FADROZOLE HGC\plaque 2/@19 FADROZOLE 22/E7_02.tif "/>
    <s v=" 435.0751 "/>
    <s v=" 65.3 "/>
    <x v="0"/>
    <n v="28410"/>
    <m/>
    <m/>
    <m/>
  </r>
  <r>
    <x v="19"/>
    <x v="4"/>
    <s v="\\192.168.24.208\images\R&amp;D\2-Test oestrogénique\OECD and AOPs\REACTIV oecd interlaboratory validation\Results WF\Résultats CBA\2021-CHG-CBA-FADROZOLE HGC\plaque 2/@19 FADROZOLE 22/E7_03.tif "/>
    <s v=" 348.0601 "/>
    <s v=" 63.3125 "/>
    <x v="0"/>
    <n v="22037"/>
    <m/>
    <m/>
    <m/>
  </r>
  <r>
    <x v="19"/>
    <x v="5"/>
    <s v="\\192.168.24.208\images\R&amp;D\2-Test oestrogénique\OECD and AOPs\REACTIV oecd interlaboratory validation\Results WF\Résultats CBA\2021-CHG-CBA-FADROZOLE HGC\plaque 2/@19 FADROZOLE 22/F7_01.tif "/>
    <s v=" 1435.7478 "/>
    <s v=" 64.2424 "/>
    <x v="0"/>
    <n v="92236"/>
    <m/>
    <m/>
    <m/>
  </r>
  <r>
    <x v="19"/>
    <x v="5"/>
    <s v="\\192.168.24.208\images\R&amp;D\2-Test oestrogénique\OECD and AOPs\REACTIV oecd interlaboratory validation\Results WF\Résultats CBA\2021-CHG-CBA-FADROZOLE HGC\plaque 2/@19 FADROZOLE 22/F7_02.tif "/>
    <s v=" 609.1051 "/>
    <s v=" 64.2857 "/>
    <x v="0"/>
    <n v="39157"/>
    <m/>
    <m/>
    <m/>
  </r>
  <r>
    <x v="19"/>
    <x v="5"/>
    <s v="\\192.168.24.208\images\R&amp;D\2-Test oestrogénique\OECD and AOPs\REACTIV oecd interlaboratory validation\Results WF\Résultats CBA\2021-CHG-CBA-FADROZOLE HGC\plaque 2/@19 FADROZOLE 22/F7_03.tif "/>
    <s v=" 913.6577 "/>
    <s v=" 65.2381 "/>
    <x v="0"/>
    <n v="59605"/>
    <m/>
    <m/>
    <m/>
  </r>
  <r>
    <x v="19"/>
    <x v="6"/>
    <s v="\\192.168.24.208\images\R&amp;D\2-Test oestrogénique\OECD and AOPs\REACTIV oecd interlaboratory validation\Results WF\Résultats CBA\2021-CHG-CBA-FADROZOLE HGC\plaque 2/@19 FADROZOLE 22/G7_01.tif "/>
    <s v=" 348.0601 "/>
    <s v=" 64.3125 "/>
    <x v="0"/>
    <n v="22385"/>
    <m/>
    <m/>
    <m/>
  </r>
  <r>
    <x v="19"/>
    <x v="6"/>
    <s v="\\192.168.24.208\images\R&amp;D\2-Test oestrogénique\OECD and AOPs\REACTIV oecd interlaboratory validation\Results WF\Résultats CBA\2021-CHG-CBA-FADROZOLE HGC\plaque 2/@19 FADROZOLE 22/G7_02.tif "/>
    <s v=" 587.3514 "/>
    <s v=" 63.1481 "/>
    <x v="0"/>
    <n v="37090"/>
    <m/>
    <m/>
    <m/>
  </r>
  <r>
    <x v="19"/>
    <x v="6"/>
    <s v="\\192.168.24.208\images\R&amp;D\2-Test oestrogénique\OECD and AOPs\REACTIV oecd interlaboratory validation\Results WF\Résultats CBA\2021-CHG-CBA-FADROZOLE HGC\plaque 2/@19 FADROZOLE 22/G7_03.tif "/>
    <s v=" 348.0601 "/>
    <s v=" 62.5 "/>
    <x v="0"/>
    <n v="21754"/>
    <m/>
    <m/>
    <m/>
  </r>
  <r>
    <x v="19"/>
    <x v="7"/>
    <s v="\\192.168.24.208\images\R&amp;D\2-Test oestrogénique\OECD and AOPs\REACTIV oecd interlaboratory validation\Results WF\Résultats CBA\2021-CHG-CBA-FADROZOLE HGC\plaque 2/@19 FADROZOLE 22/H7_01.tif "/>
    <s v=" 5873.5139 "/>
    <s v=" 75.2296 "/>
    <x v="0"/>
    <n v="441862"/>
    <m/>
    <m/>
    <m/>
  </r>
  <r>
    <x v="19"/>
    <x v="7"/>
    <s v="\\192.168.24.208\images\R&amp;D\2-Test oestrogénique\OECD and AOPs\REACTIV oecd interlaboratory validation\Results WF\Résultats CBA\2021-CHG-CBA-FADROZOLE HGC\plaque 2/@19 FADROZOLE 22/H7_02.tif "/>
    <s v=" 4372.5048 "/>
    <s v=" 70.8657 "/>
    <x v="0"/>
    <n v="309860"/>
    <m/>
    <m/>
    <m/>
  </r>
  <r>
    <x v="19"/>
    <x v="7"/>
    <s v="\\192.168.24.208\images\R&amp;D\2-Test oestrogénique\OECD and AOPs\REACTIV oecd interlaboratory validation\Results WF\Résultats CBA\2021-CHG-CBA-FADROZOLE HGC\plaque 2/@19 FADROZOLE 22/H7_03.tif "/>
    <s v=" 696.1202 "/>
    <s v=" 63.2812 "/>
    <x v="0"/>
    <n v="44051"/>
    <m/>
    <m/>
    <m/>
  </r>
  <r>
    <x v="1"/>
    <x v="8"/>
    <s v=" "/>
    <m/>
    <m/>
    <x v="1"/>
    <m/>
    <m/>
    <m/>
    <m/>
  </r>
  <r>
    <x v="1"/>
    <x v="8"/>
    <s v="group "/>
    <s v=" "/>
    <s v=" mean of mean fluo "/>
    <x v="2"/>
    <s v=" mean of total fluo "/>
    <s v=" SD total fluo "/>
    <s v=" n fluorescent "/>
    <m/>
  </r>
  <r>
    <x v="19"/>
    <x v="9"/>
    <s v="\\192.168.24.208\images\R&amp;D\2-Test oestrogénique\OECD and AOPs\REACTIV oecd interlaboratory validation\Results WF\Résultats CBA\2021-CHG-CBA-FADROZOLE HGC\plaque 2/@19 FADROZOLE 22/ "/>
    <s v=" "/>
    <s v=" 66.9913 "/>
    <x v="21"/>
    <s v=" 171722.292 "/>
    <s v=" 195128.971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192.168.24.208\images\R&amp;D\2-Test oestrogénique\OECD and AOPs\REACTIV oecd interlaboratory validation\Results WF\Résultats CBA\2021-CHG-CBA-FADROZOLE HGC\plaque 2/@20 FADROZOLE 44/A8_01.tif "/>
    <s v=" 1675.0391 "/>
    <s v=" 65.1948 "/>
    <x v="0"/>
    <n v="109204"/>
    <m/>
    <m/>
    <m/>
  </r>
  <r>
    <x v="20"/>
    <x v="0"/>
    <s v="\\192.168.24.208\images\R&amp;D\2-Test oestrogénique\OECD and AOPs\REACTIV oecd interlaboratory validation\Results WF\Résultats CBA\2021-CHG-CBA-FADROZOLE HGC\plaque 2/@20 FADROZOLE 44/A8_02.tif "/>
    <s v=" 4416.0123 "/>
    <s v=" 65.6995 "/>
    <x v="0"/>
    <n v="290130"/>
    <m/>
    <m/>
    <m/>
  </r>
  <r>
    <x v="20"/>
    <x v="0"/>
    <s v="\\192.168.24.208\images\R&amp;D\2-Test oestrogénique\OECD and AOPs\REACTIV oecd interlaboratory validation\Results WF\Résultats CBA\2021-CHG-CBA-FADROZOLE HGC\plaque 2/@20 FADROZOLE 44/A8_03.tif "/>
    <s v=" 413.3213 "/>
    <s v=" 63.5263 "/>
    <x v="0"/>
    <n v="26257"/>
    <m/>
    <m/>
    <m/>
  </r>
  <r>
    <x v="20"/>
    <x v="1"/>
    <s v="\\192.168.24.208\images\R&amp;D\2-Test oestrogénique\OECD and AOPs\REACTIV oecd interlaboratory validation\Results WF\Résultats CBA\2021-CHG-CBA-FADROZOLE HGC\plaque 2/@20 FADROZOLE 44/B8_01- exclu.tif"/>
    <m/>
    <m/>
    <x v="1"/>
    <m/>
    <m/>
    <m/>
    <m/>
  </r>
  <r>
    <x v="20"/>
    <x v="1"/>
    <s v="\\192.168.24.208\images\R&amp;D\2-Test oestrogénique\OECD and AOPs\REACTIV oecd interlaboratory validation\Results WF\Résultats CBA\2021-CHG-CBA-FADROZOLE HGC\plaque 2/@20 FADROZOLE 44/B8_02.tif "/>
    <s v=" 565.5976 "/>
    <s v=" 63.1154 "/>
    <x v="0"/>
    <n v="35698"/>
    <m/>
    <m/>
    <m/>
  </r>
  <r>
    <x v="20"/>
    <x v="1"/>
    <s v="\\192.168.24.208\images\R&amp;D\2-Test oestrogénique\OECD and AOPs\REACTIV oecd interlaboratory validation\Results WF\Résultats CBA\2021-CHG-CBA-FADROZOLE HGC\plaque 2/@20 FADROZOLE 44/B8_03.tif "/>
    <s v=" 4067.9522 "/>
    <s v=" 65.1497 "/>
    <x v="0"/>
    <n v="265026"/>
    <m/>
    <m/>
    <m/>
  </r>
  <r>
    <x v="20"/>
    <x v="2"/>
    <s v="\\192.168.24.208\images\R&amp;D\2-Test oestrogénique\OECD and AOPs\REACTIV oecd interlaboratory validation\Results WF\Résultats CBA\2021-CHG-CBA-FADROZOLE HGC\plaque 2/@20 FADROZOLE 44/C8_01.tif "/>
    <s v=" 5329.67 "/>
    <s v=" 69.902 "/>
    <x v="0"/>
    <n v="372555"/>
    <m/>
    <m/>
    <m/>
  </r>
  <r>
    <x v="20"/>
    <x v="2"/>
    <s v="\\192.168.24.208\images\R&amp;D\2-Test oestrogénique\OECD and AOPs\REACTIV oecd interlaboratory validation\Results WF\Résultats CBA\2021-CHG-CBA-FADROZOLE HGC\plaque 2/@20 FADROZOLE 44/C8_02.tif "/>
    <s v=" 522.0901 "/>
    <s v=" 63.4583 "/>
    <x v="0"/>
    <n v="33131"/>
    <m/>
    <m/>
    <m/>
  </r>
  <r>
    <x v="20"/>
    <x v="2"/>
    <s v="\\192.168.24.208\images\R&amp;D\2-Test oestrogénique\OECD and AOPs\REACTIV oecd interlaboratory validation\Results WF\Résultats CBA\2021-CHG-CBA-FADROZOLE HGC\plaque 2/@20 FADROZOLE 44/C8_03.tif "/>
    <s v=" 543.8439 "/>
    <s v=" 62.84 "/>
    <x v="0"/>
    <n v="34175"/>
    <m/>
    <m/>
    <m/>
  </r>
  <r>
    <x v="20"/>
    <x v="3"/>
    <s v="\\192.168.24.208\images\R&amp;D\2-Test oestrogénique\OECD and AOPs\REACTIV oecd interlaboratory validation\Results WF\Résultats CBA\2021-CHG-CBA-FADROZOLE HGC\plaque 2/@20 FADROZOLE 44/D8_01.tif "/>
    <s v=" 7069.9704 "/>
    <s v=" 71.0585 "/>
    <x v="0"/>
    <n v="502381"/>
    <m/>
    <m/>
    <m/>
  </r>
  <r>
    <x v="20"/>
    <x v="3"/>
    <s v="\\192.168.24.208\images\R&amp;D\2-Test oestrogénique\OECD and AOPs\REACTIV oecd interlaboratory validation\Results WF\Résultats CBA\2021-CHG-CBA-FADROZOLE HGC\plaque 2/@20 FADROZOLE 44/D8_02.tif "/>
    <s v=" 913.6577 "/>
    <s v=" 65.6429 "/>
    <x v="0"/>
    <n v="59975"/>
    <m/>
    <m/>
    <m/>
  </r>
  <r>
    <x v="20"/>
    <x v="3"/>
    <s v="\\192.168.24.208\images\R&amp;D\2-Test oestrogénique\OECD and AOPs\REACTIV oecd interlaboratory validation\Results WF\Résultats CBA\2021-CHG-CBA-FADROZOLE HGC\plaque 2/@20 FADROZOLE 44/D8_03- exclu.tif"/>
    <m/>
    <m/>
    <x v="1"/>
    <m/>
    <m/>
    <m/>
    <m/>
  </r>
  <r>
    <x v="20"/>
    <x v="4"/>
    <s v="\\192.168.24.208\images\R&amp;D\2-Test oestrogénique\OECD and AOPs\REACTIV oecd interlaboratory validation\Results WF\Résultats CBA\2021-CHG-CBA-FADROZOLE HGC\plaque 2/@20 FADROZOLE 44/E8_01.tif "/>
    <s v=" 2479.9281 "/>
    <s v=" 65.4211 "/>
    <x v="0"/>
    <n v="162240"/>
    <m/>
    <m/>
    <m/>
  </r>
  <r>
    <x v="20"/>
    <x v="4"/>
    <s v="\\192.168.24.208\images\R&amp;D\2-Test oestrogénique\OECD and AOPs\REACTIV oecd interlaboratory validation\Results WF\Résultats CBA\2021-CHG-CBA-FADROZOLE HGC\plaque 2/@20 FADROZOLE 44/E8_02.tif "/>
    <s v=" 1588.0241 "/>
    <s v=" 64.7945 "/>
    <x v="0"/>
    <n v="102895"/>
    <m/>
    <m/>
    <m/>
  </r>
  <r>
    <x v="20"/>
    <x v="4"/>
    <s v="\\192.168.24.208\images\R&amp;D\2-Test oestrogénique\OECD and AOPs\REACTIV oecd interlaboratory validation\Results WF\Résultats CBA\2021-CHG-CBA-FADROZOLE HGC\plaque 2/@20 FADROZOLE 44/E8_03.tif "/>
    <s v=" 1152.949 "/>
    <s v=" 63.434 "/>
    <x v="0"/>
    <n v="73136"/>
    <m/>
    <m/>
    <m/>
  </r>
  <r>
    <x v="20"/>
    <x v="5"/>
    <s v="\\192.168.24.208\images\R&amp;D\2-Test oestrogénique\OECD and AOPs\REACTIV oecd interlaboratory validation\Results WF\Résultats CBA\2021-CHG-CBA-FADROZOLE HGC\plaque 2/@20 FADROZOLE 44/F8_01.tif "/>
    <s v=" 7200.4929 "/>
    <s v=" 71.6767 "/>
    <x v="0"/>
    <n v="516108"/>
    <m/>
    <m/>
    <m/>
  </r>
  <r>
    <x v="20"/>
    <x v="5"/>
    <s v="\\192.168.24.208\images\R&amp;D\2-Test oestrogénique\OECD and AOPs\REACTIV oecd interlaboratory validation\Results WF\Résultats CBA\2021-CHG-CBA-FADROZOLE HGC\plaque 2/@20 FADROZOLE 44/F8_02.tif "/>
    <s v=" 3806.9071 "/>
    <s v=" 63.9886 "/>
    <x v="0"/>
    <n v="243599"/>
    <m/>
    <m/>
    <m/>
  </r>
  <r>
    <x v="20"/>
    <x v="5"/>
    <s v="\\192.168.24.208\images\R&amp;D\2-Test oestrogénique\OECD and AOPs\REACTIV oecd interlaboratory validation\Results WF\Résultats CBA\2021-CHG-CBA-FADROZOLE HGC\plaque 2/@20 FADROZOLE 44/F8_03.tif "/>
    <s v=" 4437.766 "/>
    <s v=" 69.1471 "/>
    <x v="0"/>
    <n v="306858"/>
    <m/>
    <m/>
    <m/>
  </r>
  <r>
    <x v="20"/>
    <x v="6"/>
    <s v="\\192.168.24.208\images\R&amp;D\2-Test oestrogénique\OECD and AOPs\REACTIV oecd interlaboratory validation\Results WF\Résultats CBA\2021-CHG-CBA-FADROZOLE HGC\plaque 2/@20 FADROZOLE 44/G8_01.tif "/>
    <s v=" 761.3814 "/>
    <s v=" 64.1143 "/>
    <x v="0"/>
    <n v="48815"/>
    <m/>
    <m/>
    <m/>
  </r>
  <r>
    <x v="20"/>
    <x v="6"/>
    <s v="\\192.168.24.208\images\R&amp;D\2-Test oestrogénique\OECD and AOPs\REACTIV oecd interlaboratory validation\Results WF\Résultats CBA\2021-CHG-CBA-FADROZOLE HGC\plaque 2/@20 FADROZOLE 44/G8_02.tif "/>
    <s v=" 913.6577 "/>
    <s v=" 63.6905 "/>
    <x v="0"/>
    <n v="58191"/>
    <m/>
    <m/>
    <m/>
  </r>
  <r>
    <x v="20"/>
    <x v="6"/>
    <s v="\\192.168.24.208\images\R&amp;D\2-Test oestrogénique\OECD and AOPs\REACTIV oecd interlaboratory validation\Results WF\Résultats CBA\2021-CHG-CBA-FADROZOLE HGC\plaque 2/@20 FADROZOLE 44/G8_03.tif "/>
    <s v=" 282.7988 "/>
    <s v=" 62.6154 "/>
    <x v="0"/>
    <n v="17708"/>
    <m/>
    <m/>
    <m/>
  </r>
  <r>
    <x v="20"/>
    <x v="7"/>
    <s v="\\192.168.24.208\images\R&amp;D\2-Test oestrogénique\OECD and AOPs\REACTIV oecd interlaboratory validation\Results WF\Résultats CBA\2021-CHG-CBA-FADROZOLE HGC\plaque 2/@20 FADROZOLE 44/H8_01.tif "/>
    <s v=" 239.2913 "/>
    <s v=" 62.0909 "/>
    <x v="0"/>
    <n v="14858"/>
    <m/>
    <m/>
    <m/>
  </r>
  <r>
    <x v="20"/>
    <x v="7"/>
    <s v="\\192.168.24.208\images\R&amp;D\2-Test oestrogénique\OECD and AOPs\REACTIV oecd interlaboratory validation\Results WF\Résultats CBA\2021-CHG-CBA-FADROZOLE HGC\plaque 2/@20 FADROZOLE 44/H8_02.tif "/>
    <s v=" 369.8138 "/>
    <s v=" 63.8235 "/>
    <x v="0"/>
    <n v="23603"/>
    <m/>
    <m/>
    <m/>
  </r>
  <r>
    <x v="20"/>
    <x v="7"/>
    <s v="\\192.168.24.208\images\R&amp;D\2-Test oestrogénique\OECD and AOPs\REACTIV oecd interlaboratory validation\Results WF\Résultats CBA\2021-CHG-CBA-FADROZOLE HGC\plaque 2/@20 FADROZOLE 44/H8_03.tif "/>
    <s v=" 500.3364 "/>
    <s v=" 63.7391 "/>
    <x v="0"/>
    <n v="31891"/>
    <m/>
    <m/>
    <m/>
  </r>
  <r>
    <x v="1"/>
    <x v="8"/>
    <s v=" "/>
    <m/>
    <m/>
    <x v="1"/>
    <m/>
    <m/>
    <m/>
    <m/>
  </r>
  <r>
    <x v="1"/>
    <x v="8"/>
    <s v="group "/>
    <s v=" "/>
    <s v=" mean of mean fluo "/>
    <x v="2"/>
    <s v=" mean of total fluo "/>
    <s v=" SD total fluo "/>
    <s v=" n fluorescent "/>
    <m/>
  </r>
  <r>
    <x v="20"/>
    <x v="9"/>
    <s v="\\192.168.24.208\images\R&amp;D\2-Test oestrogénique\OECD and AOPs\REACTIV oecd interlaboratory validation\Results WF\Résultats CBA\2021-CHG-CBA-FADROZOLE HGC\plaque 2/@20 FADROZOLE 44/ "/>
    <s v=" "/>
    <s v=" 64.9791 "/>
    <x v="22"/>
    <s v=" 141078.542 "/>
    <s v=" 155958.936 "/>
    <n v="24"/>
    <m/>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192.168.24.208\images\R&amp;D\2-Test oestrogénique\OECD and AOPs\REACTIV oecd interlaboratory validation\Results WF\Résultats CBA\2021-CHG-CBA-FADROZOLE HGC\plaque 2/@21 FADROZOLE 87/A9_01.tif "/>
    <s v=" 1609.7779 "/>
    <s v=" 63.9459 "/>
    <x v="0"/>
    <n v="102939"/>
    <m/>
    <m/>
    <m/>
  </r>
  <r>
    <x v="21"/>
    <x v="0"/>
    <s v="\\192.168.24.208\images\R&amp;D\2-Test oestrogénique\OECD and AOPs\REACTIV oecd interlaboratory validation\Results WF\Résultats CBA\2021-CHG-CBA-FADROZOLE HGC\plaque 2/@21 FADROZOLE 87/A9_02.tif "/>
    <s v=" 6917.6941 "/>
    <s v=" 70.0943 "/>
    <x v="0"/>
    <n v="484891"/>
    <m/>
    <m/>
    <m/>
  </r>
  <r>
    <x v="21"/>
    <x v="0"/>
    <s v="\\192.168.24.208\images\R&amp;D\2-Test oestrogénique\OECD and AOPs\REACTIV oecd interlaboratory validation\Results WF\Résultats CBA\2021-CHG-CBA-FADROZOLE HGC\plaque 2/@21 FADROZOLE 87/A9_03.tif "/>
    <s v=" 2915.0032 "/>
    <s v=" 63.4104 "/>
    <x v="0"/>
    <n v="184842"/>
    <m/>
    <m/>
    <m/>
  </r>
  <r>
    <x v="21"/>
    <x v="1"/>
    <s v="\\192.168.24.208\images\R&amp;D\2-Test oestrogénique\OECD and AOPs\REACTIV oecd interlaboratory validation\Results WF\Résultats CBA\2021-CHG-CBA-FADROZOLE HGC\plaque 2/@21 FADROZOLE 87/B9_01.tif "/>
    <s v=" 4633.5498 "/>
    <s v=" 69.8122 "/>
    <x v="0"/>
    <n v="323478"/>
    <m/>
    <m/>
    <m/>
  </r>
  <r>
    <x v="21"/>
    <x v="1"/>
    <s v="\\192.168.24.208\images\R&amp;D\2-Test oestrogénique\OECD and AOPs\REACTIV oecd interlaboratory validation\Results WF\Résultats CBA\2021-CHG-CBA-FADROZOLE HGC\plaque 2/@21 FADROZOLE 87/B9_02.tif "/>
    <s v=" 5460.1925 "/>
    <s v=" 68.8327 "/>
    <x v="0"/>
    <n v="375840"/>
    <m/>
    <m/>
    <m/>
  </r>
  <r>
    <x v="21"/>
    <x v="1"/>
    <s v="\\192.168.24.208\images\R&amp;D\2-Test oestrogénique\OECD and AOPs\REACTIV oecd interlaboratory validation\Results WF\Résultats CBA\2021-CHG-CBA-FADROZOLE HGC\plaque 2/@21 FADROZOLE 87/B9_03.tif "/>
    <s v=" 587.3514 "/>
    <s v=" 63.3704 "/>
    <x v="0"/>
    <n v="37221"/>
    <m/>
    <m/>
    <m/>
  </r>
  <r>
    <x v="21"/>
    <x v="2"/>
    <s v="\\192.168.24.208\images\R&amp;D\2-Test oestrogénique\OECD and AOPs\REACTIV oecd interlaboratory validation\Results WF\Résultats CBA\2021-CHG-CBA-FADROZOLE HGC\plaque 2/@21 FADROZOLE 87/C9_01.tif "/>
    <s v=" 9245.3459 "/>
    <s v=" 85.8306 "/>
    <x v="0"/>
    <n v="793533"/>
    <m/>
    <m/>
    <m/>
  </r>
  <r>
    <x v="21"/>
    <x v="2"/>
    <s v="\\192.168.24.208\images\R&amp;D\2-Test oestrogénique\OECD and AOPs\REACTIV oecd interlaboratory validation\Results WF\Résultats CBA\2021-CHG-CBA-FADROZOLE HGC\plaque 2/@21 FADROZOLE 87/C9_02.tif "/>
    <s v=" 11812.289 "/>
    <s v=" 90.4346 "/>
    <x v="0"/>
    <n v="1068240"/>
    <m/>
    <m/>
    <m/>
  </r>
  <r>
    <x v="21"/>
    <x v="2"/>
    <s v="\\192.168.24.208\images\R&amp;D\2-Test oestrogénique\OECD and AOPs\REACTIV oecd interlaboratory validation\Results WF\Résultats CBA\2021-CHG-CBA-FADROZOLE HGC\plaque 2/@21 FADROZOLE 87/C9_03.tif "/>
    <s v=" 11181.4301 "/>
    <s v=" 87.6537 "/>
    <x v="0"/>
    <n v="980094"/>
    <m/>
    <m/>
    <m/>
  </r>
  <r>
    <x v="21"/>
    <x v="3"/>
    <s v="\\192.168.24.208\images\R&amp;D\2-Test oestrogénique\OECD and AOPs\REACTIV oecd interlaboratory validation\Results WF\Résultats CBA\2021-CHG-CBA-FADROZOLE HGC\plaque 2/@21 FADROZOLE 87/D9_01.tif "/>
    <s v=" 5547.2075 "/>
    <s v=" 66.549 "/>
    <x v="0"/>
    <n v="369161"/>
    <m/>
    <m/>
    <m/>
  </r>
  <r>
    <x v="21"/>
    <x v="3"/>
    <s v="\\192.168.24.208\images\R&amp;D\2-Test oestrogénique\OECD and AOPs\REACTIV oecd interlaboratory validation\Results WF\Résultats CBA\2021-CHG-CBA-FADROZOLE HGC\plaque 2/@21 FADROZOLE 87/D9_02.tif "/>
    <s v=" 5133.8862 "/>
    <s v=" 68.3347 "/>
    <x v="0"/>
    <n v="350823"/>
    <m/>
    <m/>
    <m/>
  </r>
  <r>
    <x v="21"/>
    <x v="3"/>
    <s v="\\192.168.24.208\images\R&amp;D\2-Test oestrogénique\OECD and AOPs\REACTIV oecd interlaboratory validation\Results WF\Résultats CBA\2021-CHG-CBA-FADROZOLE HGC\plaque 2/@21 FADROZOLE 87/D9_03.tif "/>
    <s v=" 1653.2854 "/>
    <s v=" 63.7237 "/>
    <x v="0"/>
    <n v="105353"/>
    <m/>
    <m/>
    <m/>
  </r>
  <r>
    <x v="21"/>
    <x v="4"/>
    <s v="\\192.168.24.208\images\R&amp;D\2-Test oestrogénique\OECD and AOPs\REACTIV oecd interlaboratory validation\Results WF\Résultats CBA\2021-CHG-CBA-FADROZOLE HGC\plaque 2/@21 FADROZOLE 87/E9_01.tif "/>
    <s v=" 3197.802 "/>
    <s v=" 68.2653 "/>
    <x v="0"/>
    <n v="218299"/>
    <m/>
    <m/>
    <m/>
  </r>
  <r>
    <x v="21"/>
    <x v="4"/>
    <s v="\\192.168.24.208\images\R&amp;D\2-Test oestrogénique\OECD and AOPs\REACTIV oecd interlaboratory validation\Results WF\Résultats CBA\2021-CHG-CBA-FADROZOLE HGC\plaque 2/@21 FADROZOLE 87/E9_02.tif "/>
    <s v=" 6982.9554 "/>
    <s v=" 69.5109 "/>
    <x v="0"/>
    <n v="485392"/>
    <m/>
    <m/>
    <m/>
  </r>
  <r>
    <x v="21"/>
    <x v="4"/>
    <s v="\\192.168.24.208\images\R&amp;D\2-Test oestrogénique\OECD and AOPs\REACTIV oecd interlaboratory validation\Results WF\Résultats CBA\2021-CHG-CBA-FADROZOLE HGC\plaque 2/@21 FADROZOLE 87/E9_03.tif "/>
    <s v=" 5895.2676 "/>
    <s v=" 68.3653 "/>
    <x v="0"/>
    <n v="403032"/>
    <m/>
    <m/>
    <m/>
  </r>
  <r>
    <x v="21"/>
    <x v="5"/>
    <s v="\\192.168.24.208\images\R&amp;D\2-Test oestrogénique\OECD and AOPs\REACTIV oecd interlaboratory validation\Results WF\Résultats CBA\2021-CHG-CBA-FADROZOLE HGC\plaque 2/@21 FADROZOLE 87/F9_01.tif "/>
    <s v=" 217.5376 "/>
    <s v=" 64.2 "/>
    <x v="0"/>
    <n v="13966"/>
    <m/>
    <m/>
    <m/>
  </r>
  <r>
    <x v="21"/>
    <x v="5"/>
    <s v="\\192.168.24.208\images\R&amp;D\2-Test oestrogénique\OECD and AOPs\REACTIV oecd interlaboratory validation\Results WF\Résultats CBA\2021-CHG-CBA-FADROZOLE HGC\plaque 2/@21 FADROZOLE 87/F9_02.tif "/>
    <s v=" 261.0451 "/>
    <s v=" 64.9167 "/>
    <x v="0"/>
    <n v="16946"/>
    <m/>
    <m/>
    <m/>
  </r>
  <r>
    <x v="21"/>
    <x v="5"/>
    <s v="\\192.168.24.208\images\R&amp;D\2-Test oestrogénique\OECD and AOPs\REACTIV oecd interlaboratory validation\Results WF\Résultats CBA\2021-CHG-CBA-FADROZOLE HGC\plaque 2/@21 FADROZOLE 87/F9_03.tif "/>
    <s v=" 174.03 "/>
    <s v=" 61.25 "/>
    <x v="0"/>
    <n v="10659"/>
    <m/>
    <m/>
    <m/>
  </r>
  <r>
    <x v="21"/>
    <x v="6"/>
    <s v="\\192.168.24.208\images\R&amp;D\2-Test oestrogénique\OECD and AOPs\REACTIV oecd interlaboratory validation\Results WF\Résultats CBA\2021-CHG-CBA-FADROZOLE HGC\plaque 2/@21 FADROZOLE 87/G9_01.tif "/>
    <s v=" 1326.9791 "/>
    <s v=" 66.082 "/>
    <x v="0"/>
    <n v="87689"/>
    <m/>
    <m/>
    <m/>
  </r>
  <r>
    <x v="21"/>
    <x v="6"/>
    <s v="\\192.168.24.208\images\R&amp;D\2-Test oestrogénique\OECD and AOPs\REACTIV oecd interlaboratory validation\Results WF\Résultats CBA\2021-CHG-CBA-FADROZOLE HGC\plaque 2/@21 FADROZOLE 87/G9_02.tif "/>
    <s v=" 630.8589 "/>
    <s v=" 63.3103 "/>
    <x v="0"/>
    <n v="39940"/>
    <m/>
    <m/>
    <m/>
  </r>
  <r>
    <x v="21"/>
    <x v="6"/>
    <s v="\\192.168.24.208\images\R&amp;D\2-Test oestrogénique\OECD and AOPs\REACTIV oecd interlaboratory validation\Results WF\Résultats CBA\2021-CHG-CBA-FADROZOLE HGC\plaque 2/@21 FADROZOLE 87/G9_03.tif "/>
    <s v=" 456.8289 "/>
    <s v=" 62.1905 "/>
    <x v="0"/>
    <n v="28410"/>
    <m/>
    <m/>
    <m/>
  </r>
  <r>
    <x v="21"/>
    <x v="7"/>
    <s v="\\192.168.24.208\images\R&amp;D\2-Test oestrogénique\OECD and AOPs\REACTIV oecd interlaboratory validation\Results WF\Résultats CBA\2021-CHG-CBA-FADROZOLE HGC\plaque 2/@21 FADROZOLE 87/H9_01.tif "/>
    <s v=" 6787.1716 "/>
    <s v=" 65.5545 "/>
    <x v="0"/>
    <n v="444930"/>
    <m/>
    <m/>
    <m/>
  </r>
  <r>
    <x v="21"/>
    <x v="7"/>
    <s v="\\192.168.24.208\images\R&amp;D\2-Test oestrogénique\OECD and AOPs\REACTIV oecd interlaboratory validation\Results WF\Résultats CBA\2021-CHG-CBA-FADROZOLE HGC\plaque 2/@21 FADROZOLE 87/H9_02.tif "/>
    <s v=" 3350.0783 "/>
    <s v=" 64.5455 "/>
    <x v="0"/>
    <n v="216232"/>
    <m/>
    <m/>
    <m/>
  </r>
  <r>
    <x v="21"/>
    <x v="7"/>
    <s v="\\192.168.24.208\images\R&amp;D\2-Test oestrogénique\OECD and AOPs\REACTIV oecd interlaboratory validation\Results WF\Résultats CBA\2021-CHG-CBA-FADROZOLE HGC\plaque 2/@21 FADROZOLE 87/H9_03- exclu.tif"/>
    <m/>
    <m/>
    <x v="1"/>
    <m/>
    <m/>
    <m/>
    <m/>
  </r>
  <r>
    <x v="1"/>
    <x v="8"/>
    <s v=" "/>
    <m/>
    <m/>
    <x v="1"/>
    <m/>
    <m/>
    <m/>
    <m/>
  </r>
  <r>
    <x v="1"/>
    <x v="8"/>
    <s v="group "/>
    <s v=" "/>
    <s v=" mean of mean fluo "/>
    <x v="2"/>
    <s v=" mean of total fluo "/>
    <s v=" SD total fluo "/>
    <s v=" n fluorescent "/>
    <m/>
  </r>
  <r>
    <x v="21"/>
    <x v="9"/>
    <s v="\\192.168.24.208\images\R&amp;D\2-Test oestrogénique\OECD and AOPs\REACTIV oecd interlaboratory validation\Results WF\Résultats CBA\2021-CHG-CBA-FADROZOLE HGC\plaque 2/@21 FADROZOLE 87/ "/>
    <s v=" "/>
    <s v=" 68.4689 "/>
    <x v="23"/>
    <s v=" 304954.125 "/>
    <s v=" 297052.964 "/>
    <n v="24"/>
    <m/>
  </r>
  <r>
    <x v="1"/>
    <x v="8"/>
    <m/>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408\plaque 1/@01 Evian + 0.2% DMSO/A1_01.tif "/>
    <s v=" 5775.1819 "/>
    <s v=" 68.1086 "/>
    <x v="0"/>
    <n v="393340"/>
    <m/>
    <m/>
    <m/>
  </r>
  <r>
    <x v="0"/>
    <x v="0"/>
    <s v="F:\images\20210408\plaque 1/@01 Evian + 0.2% DMSO/A1_02.tif "/>
    <s v=" 1189.6442 "/>
    <s v=" 65.3818 "/>
    <x v="0"/>
    <n v="77781"/>
    <m/>
    <m/>
    <m/>
  </r>
  <r>
    <x v="0"/>
    <x v="0"/>
    <s v="F:\images\20210408\plaque 1/@01 Evian + 0.2% DMSO/A1_03.tif "/>
    <s v=" 2595.5874 "/>
    <s v=" 66.275 "/>
    <x v="0"/>
    <n v="172023"/>
    <m/>
    <m/>
    <m/>
  </r>
  <r>
    <x v="0"/>
    <x v="1"/>
    <s v="F:\images\20210408\plaque 1/@01 Evian + 0.2% DMSO/B1_01.tif "/>
    <s v=" 6726.8972 "/>
    <s v=" 71.4534 "/>
    <x v="0"/>
    <n v="480660"/>
    <m/>
    <m/>
    <m/>
  </r>
  <r>
    <x v="0"/>
    <x v="1"/>
    <s v="F:\images\20210408\plaque 1/@01 Evian + 0.2% DMSO/B1_02.tif "/>
    <s v=" 11312.4349 "/>
    <s v=" 75.8375 "/>
    <x v="0"/>
    <n v="857907"/>
    <m/>
    <m/>
    <m/>
  </r>
  <r>
    <x v="0"/>
    <x v="1"/>
    <s v="F:\images\20210408\plaque 1/@01 Evian + 0.2% DMSO/B1_03.tif "/>
    <s v=" 6380.8189 "/>
    <s v=" 82.4746 "/>
    <x v="0"/>
    <n v="526255"/>
    <m/>
    <m/>
    <m/>
  </r>
  <r>
    <x v="0"/>
    <x v="2"/>
    <s v="F:\images\20210408\plaque 1/@01 Evian + 0.2% DMSO/C1_01.tif "/>
    <s v=" 5083.0252 "/>
    <s v=" 67.8638 "/>
    <x v="0"/>
    <n v="344954"/>
    <m/>
    <m/>
    <m/>
  </r>
  <r>
    <x v="0"/>
    <x v="2"/>
    <s v="F:\images\20210408\plaque 1/@01 Evian + 0.2% DMSO/C1_02.tif "/>
    <s v=" 5710.2922 "/>
    <s v=" 66.322 "/>
    <x v="0"/>
    <n v="378718"/>
    <m/>
    <m/>
    <m/>
  </r>
  <r>
    <x v="0"/>
    <x v="2"/>
    <s v="F:\images\20210408\plaque 1/@01 Evian + 0.2% DMSO/C1_03.tif "/>
    <s v=" 6813.4168 "/>
    <s v=" 70.6159 "/>
    <x v="0"/>
    <n v="481135"/>
    <m/>
    <m/>
    <m/>
  </r>
  <r>
    <x v="0"/>
    <x v="3"/>
    <s v="F:\images\20210408\plaque 1/@01 Evian + 0.2% DMSO/D1_01.tif "/>
    <s v=" 29048.9485 "/>
    <s v=" 110.5748 "/>
    <x v="0"/>
    <n v="3212083"/>
    <m/>
    <m/>
    <m/>
  </r>
  <r>
    <x v="0"/>
    <x v="3"/>
    <s v="F:\images\20210408\plaque 1/@01 Evian + 0.2% DMSO/D1_02.tif "/>
    <s v=" 22062.4925 "/>
    <s v=" 116.8392 "/>
    <x v="0"/>
    <n v="2577764"/>
    <m/>
    <m/>
    <m/>
  </r>
  <r>
    <x v="0"/>
    <x v="3"/>
    <s v="F:\images\20210408\plaque 1/@01 Evian + 0.2% DMSO/D1_03.tif "/>
    <s v=" 22581.61 "/>
    <s v=" 117.7375 "/>
    <x v="0"/>
    <n v="2658703"/>
    <m/>
    <m/>
    <m/>
  </r>
  <r>
    <x v="0"/>
    <x v="4"/>
    <s v="F:\images\20210408\plaque 1/@01 Evian + 0.2% DMSO/E1_01.tif "/>
    <s v=" 5429.1036 "/>
    <s v=" 72.3586 "/>
    <x v="0"/>
    <n v="392842"/>
    <m/>
    <m/>
    <m/>
  </r>
  <r>
    <x v="0"/>
    <x v="4"/>
    <s v="F:\images\20210408\plaque 1/@01 Evian + 0.2% DMSO/E1_02.tif "/>
    <s v=" 5558.8829 "/>
    <s v=" 74.2568 "/>
    <x v="0"/>
    <n v="412785"/>
    <m/>
    <m/>
    <m/>
  </r>
  <r>
    <x v="0"/>
    <x v="4"/>
    <s v="F:\images\20210408\plaque 1/@01 Evian + 0.2% DMSO/E1_03.tif "/>
    <s v=" 5342.584 "/>
    <s v=" 70.7895 "/>
    <x v="0"/>
    <n v="378199"/>
    <m/>
    <m/>
    <m/>
  </r>
  <r>
    <x v="0"/>
    <x v="5"/>
    <s v="F:\images\20210408\plaque 1/@01 Evian + 0.2% DMSO/F1_01.tif "/>
    <s v=" 562.3773 "/>
    <s v=" 63.5 "/>
    <x v="0"/>
    <n v="35711"/>
    <m/>
    <m/>
    <m/>
  </r>
  <r>
    <x v="0"/>
    <x v="5"/>
    <s v="F:\images\20210408\plaque 1/@01 Evian + 0.2% DMSO/F1_02.tif "/>
    <s v=" 302.8185 "/>
    <s v=" 63.0714 "/>
    <x v="0"/>
    <n v="19099"/>
    <m/>
    <m/>
    <m/>
  </r>
  <r>
    <x v="0"/>
    <x v="5"/>
    <s v="F:\images\20210408\plaque 1/@01 Evian + 0.2% DMSO/F1_03.tif "/>
    <s v=" 1795.2813 "/>
    <s v=" 65.1205 "/>
    <x v="0"/>
    <n v="116910"/>
    <m/>
    <m/>
    <m/>
  </r>
  <r>
    <x v="0"/>
    <x v="6"/>
    <s v="F:\images\20210408\plaque 1/@01 Evian + 0.2% DMSO/G1_01.tif "/>
    <s v=" 1449.2029 "/>
    <s v=" 64.4627 "/>
    <x v="0"/>
    <n v="93420"/>
    <m/>
    <m/>
    <m/>
  </r>
  <r>
    <x v="0"/>
    <x v="6"/>
    <s v="F:\images\20210408\plaque 1/@01 Evian + 0.2% DMSO/G1_02.tif "/>
    <s v=" 346.0783 "/>
    <s v=" 63.5 "/>
    <x v="0"/>
    <n v="21976"/>
    <m/>
    <m/>
    <m/>
  </r>
  <r>
    <x v="0"/>
    <x v="6"/>
    <s v="F:\images\20210408\plaque 1/@01 Evian + 0.2% DMSO/G1_03.tif "/>
    <s v=" 194.6691 "/>
    <s v=" 62.1111 "/>
    <x v="0"/>
    <n v="12091"/>
    <m/>
    <m/>
    <m/>
  </r>
  <r>
    <x v="0"/>
    <x v="7"/>
    <s v="F:\images\20210408\plaque 1/@01 Evian + 0.2% DMSO/H1_01.tif "/>
    <s v=" 389.3381 "/>
    <s v=" 64.2222 "/>
    <x v="0"/>
    <n v="25004"/>
    <m/>
    <m/>
    <m/>
  </r>
  <r>
    <x v="0"/>
    <x v="7"/>
    <s v="F:\images\20210408\plaque 1/@01 Evian + 0.2% DMSO/H1_02.tif "/>
    <s v=" 129.7794 "/>
    <s v=" 63.6667 "/>
    <x v="0"/>
    <n v="8263"/>
    <m/>
    <m/>
    <m/>
  </r>
  <r>
    <x v="0"/>
    <x v="7"/>
    <s v="F:\images\20210408\plaque 1/@01 Evian + 0.2% DMSO/H1_03.tif "/>
    <s v=" 64.8897 "/>
    <n v="63"/>
    <x v="0"/>
    <n v="4088"/>
    <m/>
    <m/>
    <m/>
  </r>
  <r>
    <x v="1"/>
    <x v="8"/>
    <s v=" "/>
    <m/>
    <m/>
    <x v="1"/>
    <m/>
    <m/>
    <m/>
    <m/>
  </r>
  <r>
    <x v="1"/>
    <x v="8"/>
    <s v="group "/>
    <s v=" "/>
    <s v=" mean of mean fluo "/>
    <x v="2"/>
    <s v=" mean of total fluo "/>
    <s v=" SD total fluo "/>
    <s v=" n fluorescent "/>
    <s v=" n total"/>
  </r>
  <r>
    <x v="0"/>
    <x v="9"/>
    <s v="F:\images\20210408\plaque 1/@01 Evian + 0.2% DMSO/ "/>
    <s v=" "/>
    <s v=" 73.731 "/>
    <x v="3"/>
    <s v=" 570071.292 "/>
    <s v=" 900552.3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408\plaque 1/@02 EE2 33.8/A2_01.tif "/>
    <s v=" 4001.5305 "/>
    <s v=" 65.8324 "/>
    <x v="0"/>
    <n v="263430"/>
    <m/>
    <m/>
    <m/>
  </r>
  <r>
    <x v="2"/>
    <x v="0"/>
    <s v="F:\images\20210408\plaque 1/@02 EE2 33.8/A2_02.tif "/>
    <s v=" 5299.3242 "/>
    <s v=" 67.0653 "/>
    <x v="0"/>
    <n v="355401"/>
    <m/>
    <m/>
    <m/>
  </r>
  <r>
    <x v="2"/>
    <x v="0"/>
    <s v="F:\images\20210408\plaque 1/@02 EE2 33.8/A2_03.tif "/>
    <s v=" 1816.9111 "/>
    <s v=" 63.6429 "/>
    <x v="0"/>
    <n v="115633"/>
    <m/>
    <m/>
    <m/>
  </r>
  <r>
    <x v="2"/>
    <x v="1"/>
    <s v="F:\images\20210408\plaque 1/@02 EE2 33.8/B2_01.tif "/>
    <s v=" 12761.6378 "/>
    <s v=" 76.9864 "/>
    <x v="0"/>
    <n v="982473"/>
    <m/>
    <m/>
    <m/>
  </r>
  <r>
    <x v="2"/>
    <x v="1"/>
    <s v="F:\images\20210408\plaque 1/@02 EE2 33.8/B2_02.tif "/>
    <s v=" 10923.0968 "/>
    <s v=" 74.8238 "/>
    <x v="0"/>
    <n v="817307"/>
    <m/>
    <m/>
    <m/>
  </r>
  <r>
    <x v="2"/>
    <x v="1"/>
    <s v="F:\images\20210408\plaque 1/@02 EE2 33.8/B2_03.tif "/>
    <s v=" 7894.9115 "/>
    <s v=" 76.4658 "/>
    <x v="0"/>
    <n v="603690"/>
    <m/>
    <m/>
    <m/>
  </r>
  <r>
    <x v="2"/>
    <x v="2"/>
    <s v="F:\images\20210408\plaque 1/@02 EE2 33.8/C2_01.tif "/>
    <s v=" 1643.872 "/>
    <s v=" 63.7895 "/>
    <x v="0"/>
    <n v="104862"/>
    <m/>
    <m/>
    <m/>
  </r>
  <r>
    <x v="2"/>
    <x v="2"/>
    <s v="F:\images\20210408\plaque 1/@02 EE2 33.8/C2_02.tif "/>
    <s v=" 3677.0821 "/>
    <s v=" 65.9294 "/>
    <x v="0"/>
    <n v="242428"/>
    <m/>
    <m/>
    <m/>
  </r>
  <r>
    <x v="2"/>
    <x v="2"/>
    <s v="F:\images\20210408\plaque 1/@02 EE2 33.8/C2_03.tif "/>
    <s v=" 1708.7617 "/>
    <s v=" 65.4684 "/>
    <x v="0"/>
    <n v="111870"/>
    <m/>
    <m/>
    <m/>
  </r>
  <r>
    <x v="2"/>
    <x v="3"/>
    <s v="F:\images\20210408\plaque 1/@02 EE2 33.8/D2_01.tif "/>
    <s v=" 5645.4025 "/>
    <s v=" 70.2567 "/>
    <x v="0"/>
    <n v="396627"/>
    <m/>
    <m/>
    <m/>
  </r>
  <r>
    <x v="2"/>
    <x v="3"/>
    <s v="F:\images\20210408\plaque 1/@02 EE2 33.8/D2_02.tif "/>
    <s v=" 4131.3099 "/>
    <s v=" 67.5079 "/>
    <x v="0"/>
    <n v="278896"/>
    <m/>
    <m/>
    <m/>
  </r>
  <r>
    <x v="2"/>
    <x v="3"/>
    <s v="F:\images\20210408\plaque 1/@02 EE2 33.8/D2_03.tif "/>
    <s v=" 7808.392 "/>
    <s v=" 74.7036 "/>
    <x v="0"/>
    <n v="583315"/>
    <m/>
    <m/>
    <m/>
  </r>
  <r>
    <x v="2"/>
    <x v="4"/>
    <s v="F:\images\20210408\plaque 1/@02 EE2 33.8/E2_01.tif "/>
    <s v=" 6251.0395 "/>
    <s v=" 69.654 "/>
    <x v="0"/>
    <n v="435410"/>
    <m/>
    <m/>
    <m/>
  </r>
  <r>
    <x v="2"/>
    <x v="4"/>
    <s v="F:\images\20210408\plaque 1/@02 EE2 33.8/E2_02.tif "/>
    <s v=" 930.0855 "/>
    <s v=" 62.814 "/>
    <x v="0"/>
    <n v="58422"/>
    <m/>
    <m/>
    <m/>
  </r>
  <r>
    <x v="2"/>
    <x v="4"/>
    <s v="F:\images\20210408\plaque 1/@02 EE2 33.8/E2_03.tif "/>
    <s v=" 216.2989 "/>
    <n v="62"/>
    <x v="0"/>
    <n v="13411"/>
    <m/>
    <m/>
    <m/>
  </r>
  <r>
    <x v="2"/>
    <x v="5"/>
    <s v="F:\images\20210408\plaque 1/@02 EE2 33.8/F2_01.tif "/>
    <s v=" 5667.0324 "/>
    <s v=" 67.4351 "/>
    <x v="0"/>
    <n v="382157"/>
    <m/>
    <m/>
    <m/>
  </r>
  <r>
    <x v="2"/>
    <x v="5"/>
    <s v="F:\images\20210408\plaque 1/@02 EE2 33.8/F2_02.tif "/>
    <s v=" 2292.7688 "/>
    <s v=" 65.4811 "/>
    <x v="0"/>
    <n v="150133"/>
    <m/>
    <m/>
    <m/>
  </r>
  <r>
    <x v="2"/>
    <x v="5"/>
    <s v="F:\images\20210408\plaque 1/@02 EE2 33.8/F2_03.tif "/>
    <s v=" 2206.2493 "/>
    <s v=" 65.1176 "/>
    <x v="0"/>
    <n v="143666"/>
    <m/>
    <m/>
    <m/>
  </r>
  <r>
    <x v="2"/>
    <x v="6"/>
    <s v="F:\images\20210408\plaque 1/@02 EE2 33.8/G2_01.tif "/>
    <s v=" 7072.9755 "/>
    <s v=" 68.0887 "/>
    <x v="0"/>
    <n v="481590"/>
    <m/>
    <m/>
    <m/>
  </r>
  <r>
    <x v="2"/>
    <x v="6"/>
    <s v="F:\images\20210408\plaque 1/@02 EE2 33.8/G2_02.tif "/>
    <s v=" 519.1175 "/>
    <s v=" 63.9583 "/>
    <x v="0"/>
    <n v="33202"/>
    <m/>
    <m/>
    <m/>
  </r>
  <r>
    <x v="2"/>
    <x v="6"/>
    <s v="F:\images\20210408\plaque 1/@02 EE2 33.8/G2_03.tif "/>
    <s v=" 3568.9326 "/>
    <s v=" 65.2667 "/>
    <x v="0"/>
    <n v="232932"/>
    <m/>
    <m/>
    <m/>
  </r>
  <r>
    <x v="2"/>
    <x v="7"/>
    <s v="F:\images\20210408\plaque 1/@02 EE2 33.8/H2_01.tif "/>
    <s v=" 9062.9258 "/>
    <s v=" 72.5656 "/>
    <x v="0"/>
    <n v="657657"/>
    <m/>
    <m/>
    <m/>
  </r>
  <r>
    <x v="2"/>
    <x v="7"/>
    <s v="F:\images\20210408\plaque 1/@02 EE2 33.8/H2_02.tif "/>
    <s v=" 5991.4808 "/>
    <s v=" 68.1697 "/>
    <x v="0"/>
    <n v="408437"/>
    <m/>
    <m/>
    <m/>
  </r>
  <r>
    <x v="2"/>
    <x v="7"/>
    <s v="F:\images\20210408\plaque 1/@02 EE2 33.8/H2_03.tif "/>
    <s v=" 8262.6197 "/>
    <s v=" 71.6309 "/>
    <x v="0"/>
    <n v="591859"/>
    <m/>
    <m/>
    <m/>
  </r>
  <r>
    <x v="1"/>
    <x v="8"/>
    <s v=" "/>
    <m/>
    <m/>
    <x v="1"/>
    <m/>
    <m/>
    <m/>
    <m/>
  </r>
  <r>
    <x v="1"/>
    <x v="8"/>
    <s v="group "/>
    <s v=" "/>
    <s v=" mean of mean fluo "/>
    <x v="2"/>
    <s v=" mean of total fluo "/>
    <s v=" SD total fluo "/>
    <s v=" n fluorescent "/>
    <s v=" n total"/>
  </r>
  <r>
    <x v="2"/>
    <x v="9"/>
    <s v="F:\images\20210408\plaque 1/@02 EE2 33.8/ "/>
    <s v=" "/>
    <s v=" 68.1106 "/>
    <x v="4"/>
    <n v="351867"/>
    <s v=" 25641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408\plaque 1/@03 EE2 50.6/A3_01.tif "/>
    <s v=" 2314.3987 "/>
    <s v=" 64.2991 "/>
    <x v="0"/>
    <n v="148814"/>
    <m/>
    <m/>
    <m/>
  </r>
  <r>
    <x v="3"/>
    <x v="0"/>
    <s v="F:\images\20210408\plaque 1/@03 EE2 50.6/A3_02.tif "/>
    <s v=" 1470.8328 "/>
    <s v=" 63.8088 "/>
    <x v="0"/>
    <n v="93852"/>
    <m/>
    <m/>
    <m/>
  </r>
  <r>
    <x v="3"/>
    <x v="0"/>
    <s v="F:\images\20210408\plaque 1/@03 EE2 50.6/A3_03.tif "/>
    <s v=" 3114.7048 "/>
    <s v=" 65.7917 "/>
    <x v="0"/>
    <n v="204922"/>
    <m/>
    <m/>
    <m/>
  </r>
  <r>
    <x v="3"/>
    <x v="1"/>
    <s v="F:\images\20210408\plaque 1/@03 EE2 50.6/B3_01.tif "/>
    <s v=" 4477.3882 "/>
    <s v=" 63.7971 "/>
    <x v="0"/>
    <n v="285644"/>
    <m/>
    <m/>
    <m/>
  </r>
  <r>
    <x v="3"/>
    <x v="1"/>
    <s v="F:\images\20210408\plaque 1/@03 EE2 50.6/B3_02.tif "/>
    <s v=" 3222.8543 "/>
    <s v=" 64.4832 "/>
    <x v="0"/>
    <n v="207820"/>
    <m/>
    <m/>
    <m/>
  </r>
  <r>
    <x v="3"/>
    <x v="1"/>
    <s v="F:\images\20210408\plaque 1/@03 EE2 50.6/B3_03.tif "/>
    <s v=" 3244.4842 "/>
    <s v=" 64.5 "/>
    <x v="0"/>
    <n v="209269"/>
    <m/>
    <m/>
    <m/>
  </r>
  <r>
    <x v="3"/>
    <x v="2"/>
    <s v="F:\images\20210408\plaque 1/@03 EE2 50.6/C3_01.tif "/>
    <s v=" 584.0072 "/>
    <s v=" 64.3333 "/>
    <x v="0"/>
    <n v="37571"/>
    <m/>
    <m/>
    <m/>
  </r>
  <r>
    <x v="3"/>
    <x v="2"/>
    <s v="F:\images\20210408\plaque 1/@03 EE2 50.6/C3_02.tif "/>
    <s v=" 237.9288 "/>
    <s v=" 63.5455 "/>
    <x v="0"/>
    <n v="15119"/>
    <m/>
    <m/>
    <m/>
  </r>
  <r>
    <x v="3"/>
    <x v="2"/>
    <s v="F:\images\20210408\plaque 1/@03 EE2 50.6/C3_03.tif "/>
    <s v=" 324.4484 "/>
    <s v=" 61.9333 "/>
    <x v="0"/>
    <n v="20094"/>
    <m/>
    <m/>
    <m/>
  </r>
  <r>
    <x v="3"/>
    <x v="3"/>
    <s v="F:\images\20210408\plaque 1/@03 EE2 50.6/D3_01.tif "/>
    <s v=" 2660.477 "/>
    <s v=" 66.2195 "/>
    <x v="0"/>
    <n v="176175"/>
    <m/>
    <m/>
    <m/>
  </r>
  <r>
    <x v="3"/>
    <x v="3"/>
    <s v="F:\images\20210408\plaque 1/@03 EE2 50.6/D3_02.tif "/>
    <s v=" 7137.8652 "/>
    <s v=" 70.0939 "/>
    <x v="0"/>
    <n v="500321"/>
    <m/>
    <m/>
    <m/>
  </r>
  <r>
    <x v="3"/>
    <x v="3"/>
    <s v="F:\images\20210408\plaque 1/@03 EE2 50.6/D3_03.tif "/>
    <s v=" 7224.3848 "/>
    <s v=" 69.6587 "/>
    <x v="0"/>
    <n v="503241"/>
    <m/>
    <m/>
    <m/>
  </r>
  <r>
    <x v="3"/>
    <x v="4"/>
    <s v="F:\images\20210408\plaque 1/@03 EE2 50.6/E3_01.tif "/>
    <s v=" 627.2669 "/>
    <s v=" 63.6552 "/>
    <x v="0"/>
    <n v="39929"/>
    <m/>
    <m/>
    <m/>
  </r>
  <r>
    <x v="3"/>
    <x v="4"/>
    <s v="F:\images\20210408\plaque 1/@03 EE2 50.6/E3_02.tif "/>
    <s v=" 648.8968 "/>
    <s v=" 65.1667 "/>
    <x v="0"/>
    <n v="42286"/>
    <m/>
    <m/>
    <m/>
  </r>
  <r>
    <x v="3"/>
    <x v="4"/>
    <s v="F:\images\20210408\plaque 1/@03 EE2 50.6/E3_03.tif "/>
    <s v=" 173.0392 "/>
    <n v="65"/>
    <x v="0"/>
    <n v="11248"/>
    <m/>
    <m/>
    <m/>
  </r>
  <r>
    <x v="3"/>
    <x v="5"/>
    <s v="F:\images\20210408\plaque 1/@03 EE2 50.6/F3_01.tif "/>
    <s v=" 2595.5874 "/>
    <s v=" 66.4333 "/>
    <x v="0"/>
    <n v="172434"/>
    <m/>
    <m/>
    <m/>
  </r>
  <r>
    <x v="3"/>
    <x v="5"/>
    <s v="F:\images\20210408\plaque 1/@03 EE2 50.6/F3_02.tif "/>
    <s v=" 3287.744 "/>
    <s v=" 66.0526 "/>
    <x v="0"/>
    <n v="217164"/>
    <m/>
    <m/>
    <m/>
  </r>
  <r>
    <x v="3"/>
    <x v="5"/>
    <s v="F:\images\20210408\plaque 1/@03 EE2 50.6/F3_03.tif "/>
    <s v=" 3222.8543 "/>
    <s v=" 66.0336 "/>
    <x v="0"/>
    <n v="212817"/>
    <m/>
    <m/>
    <m/>
  </r>
  <r>
    <x v="3"/>
    <x v="6"/>
    <s v="F:\images\20210408\plaque 1/@03 EE2 50.6/G3_01.tif "/>
    <s v=" 1103.1246 "/>
    <s v=" 66.1569 "/>
    <x v="0"/>
    <n v="72979"/>
    <m/>
    <m/>
    <m/>
  </r>
  <r>
    <x v="3"/>
    <x v="6"/>
    <s v="F:\images\20210408\plaque 1/@03 EE2 50.6/G3_02.tif "/>
    <s v=" 994.9752 "/>
    <s v=" 62.8261 "/>
    <x v="0"/>
    <n v="62510"/>
    <m/>
    <m/>
    <m/>
  </r>
  <r>
    <x v="3"/>
    <x v="6"/>
    <s v="F:\images\20210408\plaque 1/@03 EE2 50.6/G3_03.tif "/>
    <s v=" 562.3773 "/>
    <s v=" 63.3462 "/>
    <x v="0"/>
    <n v="35624"/>
    <m/>
    <m/>
    <m/>
  </r>
  <r>
    <x v="3"/>
    <x v="7"/>
    <s v="F:\images\20210408\plaque 1/@03 EE2 50.6/H3_01.tif "/>
    <s v=" 389.3381 "/>
    <s v=" 62.3889 "/>
    <x v="0"/>
    <n v="24290"/>
    <m/>
    <m/>
    <m/>
  </r>
  <r>
    <x v="3"/>
    <x v="7"/>
    <s v="F:\images\20210408\plaque 1/@03 EE2 50.6/H3_02.tif "/>
    <s v=" 5126.285 "/>
    <s v=" 66.4135 "/>
    <x v="0"/>
    <n v="340455"/>
    <m/>
    <m/>
    <m/>
  </r>
  <r>
    <x v="3"/>
    <x v="7"/>
    <s v="F:\images\20210408\plaque 1/@03 EE2 50.6/H3_03.tif "/>
    <s v=" 3374.2636 "/>
    <s v=" 66.2949 "/>
    <x v="0"/>
    <n v="223696"/>
    <m/>
    <m/>
    <m/>
  </r>
  <r>
    <x v="1"/>
    <x v="8"/>
    <s v=" "/>
    <m/>
    <m/>
    <x v="1"/>
    <m/>
    <m/>
    <m/>
    <m/>
  </r>
  <r>
    <x v="1"/>
    <x v="8"/>
    <s v="group "/>
    <s v=" "/>
    <s v=" mean of mean fluo "/>
    <x v="2"/>
    <s v=" mean of total fluo "/>
    <s v=" SD total fluo "/>
    <s v=" n fluorescent "/>
    <s v=" n total"/>
  </r>
  <r>
    <x v="3"/>
    <x v="9"/>
    <s v="F:\images\20210408\plaque 1/@03 EE2 50.6/ "/>
    <s v=" "/>
    <s v=" 65.093 "/>
    <x v="5"/>
    <s v=" 160761.417 "/>
    <s v=" 141521.2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408\plaque 1/@04 EE2 76/A4_01.tif "/>
    <s v=" 8803.3671 "/>
    <s v=" 69.3219 "/>
    <x v="0"/>
    <n v="610266"/>
    <m/>
    <m/>
    <m/>
  </r>
  <r>
    <x v="4"/>
    <x v="0"/>
    <s v="F:\images\20210408\plaque 1/@04 EE2 76/A4_02.tif "/>
    <s v=" 5840.0715 "/>
    <s v=" 64.4074 "/>
    <x v="0"/>
    <n v="376144"/>
    <m/>
    <m/>
    <m/>
  </r>
  <r>
    <x v="4"/>
    <x v="0"/>
    <s v="F:\images\20210408\plaque 1/@04 EE2 76/A4_03.tif "/>
    <s v=" 7830.0219 "/>
    <s v=" 66.8204 "/>
    <x v="0"/>
    <n v="523206"/>
    <m/>
    <m/>
    <m/>
  </r>
  <r>
    <x v="4"/>
    <x v="1"/>
    <s v="F:\images\20210408\plaque 1/@04 EE2 76/B4_01.tif "/>
    <s v=" 10209.3103 "/>
    <s v=" 67.9301 "/>
    <x v="0"/>
    <n v="693519"/>
    <m/>
    <m/>
    <m/>
  </r>
  <r>
    <x v="4"/>
    <x v="1"/>
    <s v="F:\images\20210408\plaque 1/@04 EE2 76/B4_02.tif "/>
    <s v=" 3374.2636 "/>
    <s v=" 66.109 "/>
    <x v="0"/>
    <n v="223069"/>
    <m/>
    <m/>
    <m/>
  </r>
  <r>
    <x v="4"/>
    <x v="1"/>
    <s v="F:\images\20210408\plaque 1/@04 EE2 76/B4_03.tif "/>
    <s v=" 4023.1604 "/>
    <s v=" 65.5753 "/>
    <x v="0"/>
    <n v="263820"/>
    <m/>
    <m/>
    <m/>
  </r>
  <r>
    <x v="4"/>
    <x v="2"/>
    <s v="F:\images\20210408\plaque 1/@04 EE2 76/C4_01.tif "/>
    <s v=" 6553.8581 "/>
    <s v=" 64.5545 "/>
    <x v="0"/>
    <n v="423081"/>
    <m/>
    <m/>
    <m/>
  </r>
  <r>
    <x v="4"/>
    <x v="2"/>
    <s v="F:\images\20210408\plaque 1/@04 EE2 76/C4_02.tif "/>
    <s v=" 9127.8155 "/>
    <s v=" 64.936 "/>
    <x v="0"/>
    <n v="592724"/>
    <m/>
    <m/>
    <m/>
  </r>
  <r>
    <x v="4"/>
    <x v="2"/>
    <s v="F:\images\20210408\plaque 1/@04 EE2 76/C4_03- exclu.tif"/>
    <m/>
    <m/>
    <x v="1"/>
    <m/>
    <m/>
    <m/>
    <m/>
  </r>
  <r>
    <x v="4"/>
    <x v="3"/>
    <s v="F:\images\20210408\plaque 1/@04 EE2 76/D4_01.tif "/>
    <s v=" 3655.4522 "/>
    <s v=" 65.497 "/>
    <x v="0"/>
    <n v="239421"/>
    <m/>
    <m/>
    <m/>
  </r>
  <r>
    <x v="4"/>
    <x v="3"/>
    <s v="F:\images\20210408\plaque 1/@04 EE2 76/D4_02.tif "/>
    <s v=" 1643.872 "/>
    <s v=" 62.7763 "/>
    <x v="0"/>
    <n v="103196"/>
    <m/>
    <m/>
    <m/>
  </r>
  <r>
    <x v="4"/>
    <x v="3"/>
    <s v="F:\images\20210408\plaque 1/@04 EE2 76/D4_03.tif "/>
    <s v=" 3547.3027 "/>
    <s v=" 64.2866 "/>
    <x v="0"/>
    <n v="228044"/>
    <m/>
    <m/>
    <m/>
  </r>
  <r>
    <x v="4"/>
    <x v="4"/>
    <s v="F:\images\20210408\plaque 1/@04 EE2 76/E4_01.tif "/>
    <s v=" 4369.2387 "/>
    <s v=" 64.1287 "/>
    <x v="0"/>
    <n v="280194"/>
    <m/>
    <m/>
    <m/>
  </r>
  <r>
    <x v="4"/>
    <x v="4"/>
    <s v="F:\images\20210408\plaque 1/@04 EE2 76/E4_02.tif "/>
    <s v=" 4693.6871 "/>
    <s v=" 64.6083 "/>
    <x v="0"/>
    <n v="303251"/>
    <m/>
    <m/>
    <m/>
  </r>
  <r>
    <x v="4"/>
    <x v="4"/>
    <s v="F:\images\20210408\plaque 1/@04 EE2 76/E4_03.tif "/>
    <s v=" 4131.3099 "/>
    <s v=" 63.0785 "/>
    <x v="0"/>
    <n v="260597"/>
    <m/>
    <m/>
    <m/>
  </r>
  <r>
    <x v="4"/>
    <x v="5"/>
    <s v="F:\images\20210408\plaque 1/@04 EE2 76/F4_01.tif "/>
    <s v=" 1708.7617 "/>
    <s v=" 63.1772 "/>
    <x v="0"/>
    <n v="107955"/>
    <m/>
    <m/>
    <m/>
  </r>
  <r>
    <x v="4"/>
    <x v="5"/>
    <s v="F:\images\20210408\plaque 1/@04 EE2 76/F4_02.tif "/>
    <s v=" 1081.4947 "/>
    <s v=" 62.82 "/>
    <x v="0"/>
    <n v="67939"/>
    <m/>
    <m/>
    <m/>
  </r>
  <r>
    <x v="4"/>
    <x v="5"/>
    <s v="F:\images\20210408\plaque 1/@04 EE2 76/F4_03.tif "/>
    <s v=" 778.6762 "/>
    <s v=" 62.8333 "/>
    <x v="0"/>
    <n v="48927"/>
    <m/>
    <m/>
    <m/>
  </r>
  <r>
    <x v="4"/>
    <x v="6"/>
    <s v="F:\images\20210408\plaque 1/@04 EE2 76/G4_01.tif "/>
    <s v=" 7202.7549 "/>
    <s v=" 67.5796 "/>
    <x v="0"/>
    <n v="486759"/>
    <m/>
    <m/>
    <m/>
  </r>
  <r>
    <x v="4"/>
    <x v="6"/>
    <s v="F:\images\20210408\plaque 1/@04 EE2 76/G4_02.tif "/>
    <s v=" 7851.6518 "/>
    <s v=" 66.2948 "/>
    <x v="0"/>
    <n v="520523"/>
    <m/>
    <m/>
    <m/>
  </r>
  <r>
    <x v="4"/>
    <x v="6"/>
    <s v="F:\images\20210408\plaque 1/@04 EE2 76/G4_03.tif "/>
    <s v=" 7224.3848 "/>
    <s v=" 66.5868 "/>
    <x v="0"/>
    <n v="481049"/>
    <m/>
    <m/>
    <m/>
  </r>
  <r>
    <x v="4"/>
    <x v="7"/>
    <s v="F:\images\20210408\plaque 1/@04 EE2 76/H4_01.tif "/>
    <s v=" 1016.605 "/>
    <s v=" 63.5106 "/>
    <x v="0"/>
    <n v="64565"/>
    <m/>
    <m/>
    <m/>
  </r>
  <r>
    <x v="4"/>
    <x v="7"/>
    <s v="F:\images\20210408\plaque 1/@04 EE2 76/H4_02.tif "/>
    <s v=" 1016.605 "/>
    <s v=" 62.8511 "/>
    <x v="0"/>
    <n v="63895"/>
    <m/>
    <m/>
    <m/>
  </r>
  <r>
    <x v="4"/>
    <x v="7"/>
    <s v="F:\images\20210408\plaque 1/@04 EE2 76/H4_03.tif "/>
    <s v=" 1211.2741 "/>
    <s v=" 63.7679 "/>
    <x v="0"/>
    <n v="77240"/>
    <m/>
    <m/>
    <m/>
  </r>
  <r>
    <x v="1"/>
    <x v="8"/>
    <s v=" "/>
    <m/>
    <m/>
    <x v="1"/>
    <m/>
    <m/>
    <m/>
    <m/>
  </r>
  <r>
    <x v="1"/>
    <x v="8"/>
    <s v="group "/>
    <s v=" "/>
    <s v=" mean of mean fluo "/>
    <x v="2"/>
    <s v=" mean of total fluo "/>
    <s v=" SD total fluo "/>
    <s v=" n fluorescent "/>
    <s v=" n total"/>
  </r>
  <r>
    <x v="4"/>
    <x v="9"/>
    <s v="F:\images\20210408\plaque 1/@04 EE2 76/ "/>
    <s v=" "/>
    <s v=" 64.8827 "/>
    <x v="6"/>
    <s v=" 295030.833 "/>
    <s v=" 204461.1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408\plaque 1/@05 EE2 114/A5_01.tif "/>
    <s v=" 13886.3924 "/>
    <s v=" 69.5047 "/>
    <x v="0"/>
    <n v="965169"/>
    <m/>
    <m/>
    <m/>
  </r>
  <r>
    <x v="5"/>
    <x v="0"/>
    <s v="F:\images\20210408\plaque 1/@05 EE2 114/A5_02.tif "/>
    <s v=" 20461.8803 "/>
    <s v=" 68.7833 "/>
    <x v="0"/>
    <n v="1407436"/>
    <m/>
    <m/>
    <m/>
  </r>
  <r>
    <x v="5"/>
    <x v="0"/>
    <s v="F:\images\20210408\plaque 1/@05 EE2 114/A5_03.tif "/>
    <s v=" 15357.2252 "/>
    <s v=" 69.5155 "/>
    <x v="0"/>
    <n v="1067565"/>
    <m/>
    <m/>
    <m/>
  </r>
  <r>
    <x v="5"/>
    <x v="1"/>
    <s v="F:\images\20210408\plaque 1/@05 EE2 114/B5_01.tif "/>
    <s v=" 12480.4492 "/>
    <s v=" 70.9844 "/>
    <x v="0"/>
    <n v="885917"/>
    <m/>
    <m/>
    <m/>
  </r>
  <r>
    <x v="5"/>
    <x v="1"/>
    <s v="F:\images\20210408\plaque 1/@05 EE2 114/B5_02.tif "/>
    <s v=" 7483.9435 "/>
    <s v=" 64.5491 "/>
    <x v="0"/>
    <n v="483082"/>
    <m/>
    <m/>
    <m/>
  </r>
  <r>
    <x v="5"/>
    <x v="1"/>
    <s v="F:\images\20210408\plaque 1/@05 EE2 114/B5_03.tif "/>
    <s v=" 10252.5701 "/>
    <s v=" 68.2785 "/>
    <x v="0"/>
    <n v="700030"/>
    <m/>
    <m/>
    <m/>
  </r>
  <r>
    <x v="5"/>
    <x v="2"/>
    <s v="F:\images\20210408\plaque 1/@05 EE2 114/C5_01.tif "/>
    <s v=" 2184.6194 "/>
    <s v=" 65.3762 "/>
    <x v="0"/>
    <n v="142822"/>
    <m/>
    <m/>
    <m/>
  </r>
  <r>
    <x v="5"/>
    <x v="2"/>
    <s v="F:\images\20210408\plaque 1/@05 EE2 114/C5_02.tif "/>
    <s v=" 1081.4947 "/>
    <s v=" 64.46 "/>
    <x v="0"/>
    <n v="69713"/>
    <m/>
    <m/>
    <m/>
  </r>
  <r>
    <x v="5"/>
    <x v="2"/>
    <s v="F:\images\20210408\plaque 1/@05 EE2 114/C5_03.tif "/>
    <s v=" 1708.7617 "/>
    <s v=" 64.1266 "/>
    <x v="0"/>
    <n v="109577"/>
    <m/>
    <m/>
    <m/>
  </r>
  <r>
    <x v="5"/>
    <x v="3"/>
    <s v="F:\images\20210408\plaque 1/@05 EE2 114/D5_01.tif "/>
    <s v=" 2790.2564 "/>
    <s v=" 66.8527 "/>
    <x v="0"/>
    <n v="186536"/>
    <m/>
    <m/>
    <m/>
  </r>
  <r>
    <x v="5"/>
    <x v="3"/>
    <s v="F:\images\20210408\plaque 1/@05 EE2 114/D5_02.tif "/>
    <s v=" 930.0855 "/>
    <s v=" 63.3256 "/>
    <x v="0"/>
    <n v="58898"/>
    <m/>
    <m/>
    <m/>
  </r>
  <r>
    <x v="5"/>
    <x v="3"/>
    <s v="F:\images\20210408\plaque 1/@05 EE2 114/D5_03.tif "/>
    <s v=" 4239.4593 "/>
    <s v=" 68.2653 "/>
    <x v="0"/>
    <n v="289408"/>
    <m/>
    <m/>
    <m/>
  </r>
  <r>
    <x v="5"/>
    <x v="4"/>
    <s v="F:\images\20210408\plaque 1/@05 EE2 114/E5_01.tif "/>
    <s v=" 12069.4812 "/>
    <s v=" 65.1756 "/>
    <x v="0"/>
    <n v="786636"/>
    <m/>
    <m/>
    <m/>
  </r>
  <r>
    <x v="5"/>
    <x v="4"/>
    <s v="F:\images\20210408\plaque 1/@05 EE2 114/E5_02.tif "/>
    <s v=" 14578.549 "/>
    <s v=" 65.049 "/>
    <x v="0"/>
    <n v="948319"/>
    <m/>
    <m/>
    <m/>
  </r>
  <r>
    <x v="5"/>
    <x v="4"/>
    <s v="F:\images\20210408\plaque 1/@05 EE2 114/E5_03.tif "/>
    <s v=" 17844.6631 "/>
    <s v=" 65.7952 "/>
    <x v="0"/>
    <n v="1174092"/>
    <m/>
    <m/>
    <m/>
  </r>
  <r>
    <x v="5"/>
    <x v="5"/>
    <s v="F:\images\20210408\plaque 1/@05 EE2 114/F5_01.tif "/>
    <s v=" 11723.4029 "/>
    <s v=" 73.5277 "/>
    <x v="0"/>
    <n v="861995"/>
    <m/>
    <m/>
    <m/>
  </r>
  <r>
    <x v="5"/>
    <x v="5"/>
    <s v="F:\images\20210408\plaque 1/@05 EE2 114/F5_02.tif "/>
    <s v=" 14708.3283 "/>
    <s v=" 71.2221 "/>
    <x v="0"/>
    <n v="1047557"/>
    <m/>
    <m/>
    <m/>
  </r>
  <r>
    <x v="5"/>
    <x v="5"/>
    <s v="F:\images\20210408\plaque 1/@05 EE2 114/F5_03.tif "/>
    <s v=" 12372.2997 "/>
    <s v=" 71.4948 "/>
    <x v="0"/>
    <n v="884555"/>
    <m/>
    <m/>
    <m/>
  </r>
  <r>
    <x v="5"/>
    <x v="6"/>
    <s v="F:\images\20210408\plaque 1/@05 EE2 114/G5_01.tif "/>
    <s v=" 26669.6601 "/>
    <s v=" 67.7178 "/>
    <x v="0"/>
    <n v="1806010"/>
    <m/>
    <m/>
    <m/>
  </r>
  <r>
    <x v="5"/>
    <x v="6"/>
    <s v="F:\images\20210408\plaque 1/@05 EE2 114/G5_02.tif "/>
    <s v=" 23511.6955 "/>
    <s v=" 66.1058 "/>
    <x v="0"/>
    <n v="1554259"/>
    <m/>
    <m/>
    <m/>
  </r>
  <r>
    <x v="5"/>
    <x v="6"/>
    <s v="F:\images\20210408\plaque 1/@05 EE2 114/G5_03.tif "/>
    <s v=" 17455.325 "/>
    <s v=" 65.6964 "/>
    <x v="0"/>
    <n v="1146752"/>
    <m/>
    <m/>
    <m/>
  </r>
  <r>
    <x v="5"/>
    <x v="7"/>
    <s v="F:\images\20210408\plaque 1/@05 EE2 114/H5_01.tif "/>
    <s v=" 34889.02 "/>
    <s v=" 67.4501 "/>
    <x v="0"/>
    <n v="2353268"/>
    <m/>
    <m/>
    <m/>
  </r>
  <r>
    <x v="5"/>
    <x v="7"/>
    <s v="F:\images\20210408\plaque 1/@05 EE2 114/H5_02.tif "/>
    <s v=" 44124.985 "/>
    <s v=" 69.2642 "/>
    <x v="0"/>
    <n v="3056282"/>
    <m/>
    <m/>
    <m/>
  </r>
  <r>
    <x v="5"/>
    <x v="7"/>
    <s v="F:\images\20210408\plaque 1/@05 EE2 114/H5_03.tif "/>
    <s v=" 36770.8209 "/>
    <s v=" 68.1671 "/>
    <x v="0"/>
    <n v="2506559"/>
    <m/>
    <m/>
    <m/>
  </r>
  <r>
    <x v="1"/>
    <x v="8"/>
    <s v=" "/>
    <m/>
    <m/>
    <x v="1"/>
    <m/>
    <m/>
    <m/>
    <m/>
  </r>
  <r>
    <x v="1"/>
    <x v="8"/>
    <s v="group "/>
    <s v=" "/>
    <s v=" mean of mean fluo "/>
    <x v="2"/>
    <s v=" mean of total fluo "/>
    <s v=" SD total fluo "/>
    <s v=" n fluorescent "/>
    <s v=" n total"/>
  </r>
  <r>
    <x v="5"/>
    <x v="9"/>
    <s v="F:\images\20210408\plaque 1/@05 EE2 114/ "/>
    <s v=" "/>
    <s v=" 67.5286 "/>
    <x v="7"/>
    <s v=" 1020518.21 "/>
    <s v=" 791205.3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408\plaque 1/@06 EE2 170.9/A6_01.tif "/>
    <s v=" 10447.2391 "/>
    <s v=" 70.1014 "/>
    <x v="0"/>
    <n v="732367"/>
    <m/>
    <m/>
    <m/>
  </r>
  <r>
    <x v="6"/>
    <x v="0"/>
    <s v="F:\images\20210408\plaque 1/@06 EE2 170.9/A6_02.tif "/>
    <s v=" 8716.8475 "/>
    <s v=" 70.928 "/>
    <x v="0"/>
    <n v="618269"/>
    <m/>
    <m/>
    <m/>
  </r>
  <r>
    <x v="6"/>
    <x v="0"/>
    <s v="F:\images\20210408\plaque 1/@06 EE2 170.9/A6_03.tif "/>
    <s v=" 9603.6732 "/>
    <s v=" 71.7455 "/>
    <x v="0"/>
    <n v="689020"/>
    <m/>
    <m/>
    <m/>
  </r>
  <r>
    <x v="6"/>
    <x v="1"/>
    <s v="F:\images\20210408\plaque 1/@06 EE2 170.9/B6_01.tif "/>
    <s v=" 32899.0697 "/>
    <s v=" 75.549 "/>
    <x v="0"/>
    <n v="2485491"/>
    <m/>
    <m/>
    <m/>
  </r>
  <r>
    <x v="6"/>
    <x v="1"/>
    <s v="F:\images\20210408\plaque 1/@06 EE2 170.9/B6_02.tif "/>
    <s v=" 29957.4041 "/>
    <s v=" 74.9061 "/>
    <x v="0"/>
    <n v="2243993"/>
    <m/>
    <m/>
    <m/>
  </r>
  <r>
    <x v="6"/>
    <x v="1"/>
    <s v="F:\images\20210408\plaque 1/@06 EE2 170.9/B6_03- exclu.tif"/>
    <m/>
    <m/>
    <x v="1"/>
    <m/>
    <m/>
    <m/>
    <m/>
  </r>
  <r>
    <x v="6"/>
    <x v="2"/>
    <s v="F:\images\20210408\plaque 1/@06 EE2 170.9/C6_01.tif "/>
    <s v=" 58141.1568 "/>
    <s v=" 70.6756 "/>
    <x v="0"/>
    <n v="4109161"/>
    <m/>
    <m/>
    <m/>
  </r>
  <r>
    <x v="6"/>
    <x v="2"/>
    <s v="F:\images\20210408\plaque 1/@06 EE2 170.9/C6_02.tif "/>
    <s v=" 49705.4979 "/>
    <s v=" 70.1641 "/>
    <x v="0"/>
    <n v="3487539"/>
    <m/>
    <m/>
    <m/>
  </r>
  <r>
    <x v="6"/>
    <x v="2"/>
    <s v="F:\images\20210408\plaque 1/@06 EE2 170.9/C6_03.tif "/>
    <s v=" 51068.1812 "/>
    <s v=" 69.7183 "/>
    <x v="0"/>
    <n v="3560389"/>
    <m/>
    <m/>
    <m/>
  </r>
  <r>
    <x v="6"/>
    <x v="3"/>
    <s v="F:\images\20210408\plaque 1/@06 EE2 170.9/D6_01.tif "/>
    <s v=" 13215.8656 "/>
    <s v=" 75.239 "/>
    <x v="0"/>
    <n v="994348"/>
    <m/>
    <m/>
    <m/>
  </r>
  <r>
    <x v="6"/>
    <x v="3"/>
    <s v="F:\images\20210408\plaque 1/@06 EE2 170.9/D6_02.tif "/>
    <s v=" 10944.7267 "/>
    <s v=" 71.5138 "/>
    <x v="0"/>
    <n v="782699"/>
    <m/>
    <m/>
    <m/>
  </r>
  <r>
    <x v="6"/>
    <x v="3"/>
    <s v="F:\images\20210408\plaque 1/@06 EE2 170.9/D6_03.tif "/>
    <s v=" 7440.6838 "/>
    <s v=" 66.8837 "/>
    <x v="0"/>
    <n v="497661"/>
    <m/>
    <m/>
    <m/>
  </r>
  <r>
    <x v="6"/>
    <x v="4"/>
    <s v="F:\images\20210408\plaque 1/@06 EE2 170.9/E6_01.tif "/>
    <s v=" 29784.3649 "/>
    <s v=" 72.5497 "/>
    <x v="0"/>
    <n v="2160848"/>
    <m/>
    <m/>
    <m/>
  </r>
  <r>
    <x v="6"/>
    <x v="4"/>
    <s v="F:\images\20210408\plaque 1/@06 EE2 170.9/E6_02.tif "/>
    <s v=" 32423.212 "/>
    <s v=" 74.7992 "/>
    <x v="0"/>
    <n v="2425230"/>
    <m/>
    <m/>
    <m/>
  </r>
  <r>
    <x v="6"/>
    <x v="4"/>
    <s v="F:\images\20210408\plaque 1/@06 EE2 170.9/E6_03.tif "/>
    <s v=" 30281.8525 "/>
    <s v=" 75.5514 "/>
    <x v="0"/>
    <n v="2287837"/>
    <m/>
    <m/>
    <m/>
  </r>
  <r>
    <x v="6"/>
    <x v="5"/>
    <s v="F:\images\20210408\plaque 1/@06 EE2 170.9/F6_01.tif "/>
    <s v=" 32142.0234 "/>
    <s v=" 75.8647 "/>
    <x v="0"/>
    <n v="2438446"/>
    <m/>
    <m/>
    <m/>
  </r>
  <r>
    <x v="6"/>
    <x v="5"/>
    <s v="F:\images\20210408\plaque 1/@06 EE2 170.9/F6_02.tif "/>
    <s v=" 33547.9666 "/>
    <s v=" 74.4449 "/>
    <x v="0"/>
    <n v="2497474"/>
    <m/>
    <m/>
    <m/>
  </r>
  <r>
    <x v="6"/>
    <x v="5"/>
    <s v="F:\images\20210408\plaque 1/@06 EE2 170.9/F6_03.tif "/>
    <s v=" 23987.5531 "/>
    <s v=" 73.3877 "/>
    <x v="0"/>
    <n v="1760392"/>
    <m/>
    <m/>
    <m/>
  </r>
  <r>
    <x v="6"/>
    <x v="6"/>
    <s v="F:\images\20210408\plaque 1/@06 EE2 170.9/G6_01.tif "/>
    <s v=" 21435.2256 "/>
    <s v=" 71.0737 "/>
    <x v="0"/>
    <n v="1523480"/>
    <m/>
    <m/>
    <m/>
  </r>
  <r>
    <x v="6"/>
    <x v="6"/>
    <s v="F:\images\20210408\plaque 1/@06 EE2 170.9/G6_02.tif "/>
    <s v=" 21911.0833 "/>
    <s v=" 70.4679 "/>
    <x v="0"/>
    <n v="1544028"/>
    <m/>
    <m/>
    <m/>
  </r>
  <r>
    <x v="6"/>
    <x v="6"/>
    <s v="F:\images\20210408\plaque 1/@06 EE2 170.9/G6_03.tif "/>
    <s v=" 21413.5957 "/>
    <s v=" 72.8424 "/>
    <x v="0"/>
    <n v="1559818"/>
    <m/>
    <m/>
    <m/>
  </r>
  <r>
    <x v="6"/>
    <x v="7"/>
    <s v="F:\images\20210408\plaque 1/@06 EE2 170.9/H6_01.tif "/>
    <s v=" 40447.903 "/>
    <s v=" 72.3027 "/>
    <x v="0"/>
    <n v="2924492"/>
    <m/>
    <m/>
    <m/>
  </r>
  <r>
    <x v="6"/>
    <x v="7"/>
    <s v="F:\images\20210408\plaque 1/@06 EE2 170.9/H6_02.tif "/>
    <s v=" 38998.7 "/>
    <s v=" 70.3461 "/>
    <x v="0"/>
    <n v="2743406"/>
    <m/>
    <m/>
    <m/>
  </r>
  <r>
    <x v="6"/>
    <x v="7"/>
    <s v="F:\images\20210408\plaque 1/@06 EE2 170.9/H6_03.tif "/>
    <s v=" 37700.9063 "/>
    <s v=" 75.6925 "/>
    <x v="0"/>
    <n v="2853675"/>
    <m/>
    <m/>
    <m/>
  </r>
  <r>
    <x v="1"/>
    <x v="8"/>
    <s v=" "/>
    <m/>
    <m/>
    <x v="1"/>
    <m/>
    <m/>
    <m/>
    <m/>
  </r>
  <r>
    <x v="1"/>
    <x v="8"/>
    <s v="group "/>
    <s v=" "/>
    <s v=" mean of mean fluo "/>
    <x v="2"/>
    <s v=" mean of total fluo "/>
    <s v=" SD total fluo "/>
    <s v=" n fluorescent "/>
    <s v=" n total"/>
  </r>
  <r>
    <x v="6"/>
    <x v="9"/>
    <s v="F:\images\20210408\plaque 1/@06 EE2 170.9/ "/>
    <s v=" "/>
    <s v=" 72.4862 "/>
    <x v="8"/>
    <s v=" 2039254.67 "/>
    <s v=" 997634.5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408\plaque 1/@07 EE2 488/A7_01.tif "/>
    <s v=" 49510.8288 "/>
    <s v=" 98.062 "/>
    <x v="0"/>
    <n v="4855133"/>
    <m/>
    <m/>
    <m/>
  </r>
  <r>
    <x v="7"/>
    <x v="0"/>
    <s v="F:\images\20210408\plaque 1/@07 EE2 488/A7_02.tif "/>
    <s v=" 43735.6469 "/>
    <s v=" 107.7428 "/>
    <x v="0"/>
    <n v="4712202"/>
    <m/>
    <m/>
    <m/>
  </r>
  <r>
    <x v="7"/>
    <x v="0"/>
    <s v="F:\images\20210408\plaque 1/@07 EE2 488/A7_03.tif "/>
    <s v=" 50267.8751 "/>
    <s v=" 97.2242 "/>
    <x v="0"/>
    <n v="4887253"/>
    <m/>
    <m/>
    <m/>
  </r>
  <r>
    <x v="7"/>
    <x v="1"/>
    <s v="F:\images\20210408\plaque 1/@07 EE2 488/B7_01.tif "/>
    <s v=" 35559.5468 "/>
    <s v=" 77.7427 "/>
    <x v="0"/>
    <n v="2764495"/>
    <m/>
    <m/>
    <m/>
  </r>
  <r>
    <x v="7"/>
    <x v="1"/>
    <s v="F:\images\20210408\plaque 1/@07 EE2 488/B7_02.tif "/>
    <s v=" 27989.0836 "/>
    <s v=" 90.2133 "/>
    <x v="0"/>
    <n v="2524987"/>
    <m/>
    <m/>
    <m/>
  </r>
  <r>
    <x v="7"/>
    <x v="1"/>
    <s v="F:\images\20210408\plaque 1/@07 EE2 488/B7_03.tif "/>
    <s v=" 33677.7459 "/>
    <s v=" 80.6808 "/>
    <x v="0"/>
    <n v="2717147"/>
    <m/>
    <m/>
    <m/>
  </r>
  <r>
    <x v="7"/>
    <x v="2"/>
    <s v="F:\images\20210408\plaque 1/@07 EE2 488/C7_01.tif "/>
    <s v=" 36965.4899 "/>
    <s v=" 96.1978 "/>
    <x v="0"/>
    <n v="3555998"/>
    <m/>
    <m/>
    <m/>
  </r>
  <r>
    <x v="7"/>
    <x v="2"/>
    <s v="F:\images\20210408\plaque 1/@07 EE2 488/C7_02.tif "/>
    <s v=" 38220.0238 "/>
    <s v=" 95.8381 "/>
    <x v="0"/>
    <n v="3662936"/>
    <m/>
    <m/>
    <m/>
  </r>
  <r>
    <x v="7"/>
    <x v="2"/>
    <s v="F:\images\20210408\plaque 1/@07 EE2 488/C7_03.tif "/>
    <s v=" 36684.3013 "/>
    <s v=" 97.0749 "/>
    <x v="0"/>
    <n v="3561124"/>
    <m/>
    <m/>
    <m/>
  </r>
  <r>
    <x v="7"/>
    <x v="3"/>
    <s v="F:\images\20210408\plaque 1/@07 EE2 488/D7_01.tif "/>
    <s v=" 19791.3536 "/>
    <s v=" 83.1574 "/>
    <x v="0"/>
    <n v="1645797"/>
    <m/>
    <m/>
    <m/>
  </r>
  <r>
    <x v="7"/>
    <x v="3"/>
    <s v="F:\images\20210408\plaque 1/@07 EE2 488/D7_02.tif "/>
    <s v=" 24960.8984 "/>
    <s v=" 77.643 "/>
    <x v="0"/>
    <n v="1938039"/>
    <m/>
    <m/>
    <m/>
  </r>
  <r>
    <x v="7"/>
    <x v="3"/>
    <s v="F:\images\20210408\plaque 1/@07 EE2 488/D7_03.tif "/>
    <s v=" 25847.7241 "/>
    <s v=" 76.8485 "/>
    <x v="0"/>
    <n v="1986360"/>
    <m/>
    <m/>
    <m/>
  </r>
  <r>
    <x v="7"/>
    <x v="4"/>
    <s v="F:\images\20210408\plaque 1/@07 EE2 488/E7_01.tif "/>
    <s v=" 43216.5295 "/>
    <s v=" 101.0696 "/>
    <x v="0"/>
    <n v="4367876"/>
    <m/>
    <m/>
    <m/>
  </r>
  <r>
    <x v="7"/>
    <x v="4"/>
    <s v="F:\images\20210408\plaque 1/@07 EE2 488/E7_02.tif "/>
    <s v=" 45422.7787 "/>
    <s v=" 99.2981 "/>
    <x v="0"/>
    <n v="4510395"/>
    <m/>
    <m/>
    <m/>
  </r>
  <r>
    <x v="7"/>
    <x v="4"/>
    <s v="F:\images\20210408\plaque 1/@07 EE2 488/E7_03.tif "/>
    <s v=" 49683.868 "/>
    <s v=" 91.7627 "/>
    <x v="0"/>
    <n v="4559128"/>
    <m/>
    <m/>
    <m/>
  </r>
  <r>
    <x v="7"/>
    <x v="5"/>
    <s v="F:\images\20210408\plaque 1/@07 EE2 488/F7_01.tif "/>
    <s v=" 59157.7618 "/>
    <s v=" 94.7503 "/>
    <x v="0"/>
    <n v="5605214"/>
    <m/>
    <m/>
    <m/>
  </r>
  <r>
    <x v="7"/>
    <x v="5"/>
    <s v="F:\images\20210408\plaque 1/@07 EE2 488/F7_02.tif "/>
    <s v=" 53317.6903 "/>
    <s v=" 97.4178 "/>
    <x v="0"/>
    <n v="5194095"/>
    <m/>
    <m/>
    <m/>
  </r>
  <r>
    <x v="7"/>
    <x v="5"/>
    <s v="F:\images\20210408\plaque 1/@07 EE2 488/F7_03.tif "/>
    <s v=" 53620.5088 "/>
    <s v=" 96.1392 "/>
    <x v="0"/>
    <n v="5155031"/>
    <m/>
    <m/>
    <m/>
  </r>
  <r>
    <x v="7"/>
    <x v="6"/>
    <s v="F:\images\20210408\plaque 1/@07 EE2 488/G7_01.tif "/>
    <s v=" 61428.9007 "/>
    <s v=" 86.5556 "/>
    <x v="0"/>
    <n v="5317017"/>
    <m/>
    <m/>
    <m/>
  </r>
  <r>
    <x v="7"/>
    <x v="6"/>
    <s v="F:\images\20210408\plaque 1/@07 EE2 488/G7_02.tif "/>
    <s v=" 57600.4094 "/>
    <s v=" 88.8881 "/>
    <x v="0"/>
    <n v="5119991"/>
    <m/>
    <m/>
    <m/>
  </r>
  <r>
    <x v="7"/>
    <x v="6"/>
    <s v="F:\images\20210408\plaque 1/@07 EE2 488/G7_03.tif "/>
    <s v=" 55783.4982 "/>
    <s v=" 90.3823 "/>
    <x v="0"/>
    <n v="5041842"/>
    <m/>
    <m/>
    <m/>
  </r>
  <r>
    <x v="7"/>
    <x v="7"/>
    <s v="F:\images\20210408\plaque 1/@07 EE2 488/H7_01.tif "/>
    <s v=" 53490.7294 "/>
    <s v=" 81.3591 "/>
    <x v="0"/>
    <n v="4351956"/>
    <m/>
    <m/>
    <m/>
  </r>
  <r>
    <x v="7"/>
    <x v="7"/>
    <s v="F:\images\20210408\plaque 1/@07 EE2 488/H7_02.tif "/>
    <s v=" 64327.3066 "/>
    <s v=" 85.5881 "/>
    <x v="0"/>
    <n v="5505652"/>
    <m/>
    <m/>
    <m/>
  </r>
  <r>
    <x v="7"/>
    <x v="7"/>
    <s v="F:\images\20210408\plaque 1/@07 EE2 488/H7_03.tif "/>
    <s v=" 63981.2283 "/>
    <s v=" 85.9936 "/>
    <x v="0"/>
    <n v="5501975"/>
    <m/>
    <m/>
    <m/>
  </r>
  <r>
    <x v="1"/>
    <x v="8"/>
    <s v=" "/>
    <m/>
    <m/>
    <x v="1"/>
    <m/>
    <m/>
    <m/>
    <m/>
  </r>
  <r>
    <x v="1"/>
    <x v="8"/>
    <s v="group "/>
    <s v=" "/>
    <s v=" mean of mean fluo "/>
    <x v="2"/>
    <s v=" mean of total fluo "/>
    <s v=" SD total fluo "/>
    <s v=" n fluorescent "/>
    <s v=" n total"/>
  </r>
  <r>
    <x v="7"/>
    <x v="9"/>
    <s v="F:\images\20210408\plaque 1/@07 EE2 488/ "/>
    <s v=" "/>
    <s v=" 90.7346 "/>
    <x v="9"/>
    <s v=" 4126735.12 "/>
    <s v=" 1252933.9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408\plaque 1/@08 Fadrozole 5.4 µg_L/A8_01.tif "/>
    <s v=" 519.1175 "/>
    <s v=" 62.9167 "/>
    <x v="0"/>
    <n v="32661"/>
    <m/>
    <m/>
    <m/>
  </r>
  <r>
    <x v="8"/>
    <x v="0"/>
    <s v="F:\images\20210408\plaque 1/@08 Fadrozole 5.4 µg_L/A8_02.tif "/>
    <s v=" 1600.6122 "/>
    <s v=" 65.7703 "/>
    <x v="0"/>
    <n v="105273"/>
    <m/>
    <m/>
    <m/>
  </r>
  <r>
    <x v="8"/>
    <x v="0"/>
    <s v="F:\images\20210408\plaque 1/@08 Fadrozole 5.4 µg_L/A8_03.tif "/>
    <s v=" 1189.6442 "/>
    <s v=" 65.2364 "/>
    <x v="0"/>
    <n v="77608"/>
    <m/>
    <m/>
    <m/>
  </r>
  <r>
    <x v="8"/>
    <x v="1"/>
    <s v="F:\images\20210408\plaque 1/@08 Fadrozole 5.4 µg_L/B8_01.tif "/>
    <s v=" 237.9288 "/>
    <s v=" 62.8182 "/>
    <x v="0"/>
    <n v="14946"/>
    <m/>
    <m/>
    <m/>
  </r>
  <r>
    <x v="8"/>
    <x v="1"/>
    <s v="F:\images\20210408\plaque 1/@08 Fadrozole 5.4 µg_L/B8_02.tif "/>
    <s v=" 1124.7545 "/>
    <s v=" 65.5192 "/>
    <x v="0"/>
    <n v="73693"/>
    <m/>
    <m/>
    <m/>
  </r>
  <r>
    <x v="8"/>
    <x v="1"/>
    <s v="F:\images\20210408\plaque 1/@08 Fadrozole 5.4 µg_L/B8_03.tif "/>
    <s v=" 194.6691 "/>
    <s v=" 65.1111 "/>
    <x v="0"/>
    <n v="12675"/>
    <m/>
    <m/>
    <m/>
  </r>
  <r>
    <x v="8"/>
    <x v="2"/>
    <s v="F:\images\20210408\plaque 1/@08 Fadrozole 5.4 µg_L/C8_01.tif "/>
    <s v=" 389.3381 "/>
    <s v=" 63.5556 "/>
    <x v="0"/>
    <n v="24745"/>
    <m/>
    <m/>
    <m/>
  </r>
  <r>
    <x v="8"/>
    <x v="2"/>
    <s v="F:\images\20210408\plaque 1/@08 Fadrozole 5.4 µg_L/C8_02.tif "/>
    <s v=" 389.3381 "/>
    <s v=" 62.0556 "/>
    <x v="0"/>
    <n v="24161"/>
    <m/>
    <m/>
    <m/>
  </r>
  <r>
    <x v="8"/>
    <x v="2"/>
    <s v="F:\images\20210408\plaque 1/@08 Fadrozole 5.4 µg_L/C8_03.tif "/>
    <s v=" 497.4876 "/>
    <s v=" 64.0435 "/>
    <x v="0"/>
    <n v="31861"/>
    <m/>
    <m/>
    <m/>
  </r>
  <r>
    <x v="8"/>
    <x v="3"/>
    <s v="F:\images\20210408\plaque 1/@08 Fadrozole 5.4 µg_L/D8_01.tif "/>
    <s v=" 389.3381 "/>
    <s v=" 63.8333 "/>
    <x v="0"/>
    <n v="24853"/>
    <m/>
    <m/>
    <m/>
  </r>
  <r>
    <x v="8"/>
    <x v="3"/>
    <s v="F:\images\20210408\plaque 1/@08 Fadrozole 5.4 µg_L/D8_02.tif "/>
    <s v=" 973.3453 "/>
    <s v=" 65.4 "/>
    <x v="0"/>
    <n v="63657"/>
    <m/>
    <m/>
    <m/>
  </r>
  <r>
    <x v="8"/>
    <x v="3"/>
    <s v="F:\images\20210408\plaque 1/@08 Fadrozole 5.4 µg_L/D8_03.tif "/>
    <s v=" 713.7865 "/>
    <s v=" 64.7576 "/>
    <x v="0"/>
    <n v="46223"/>
    <m/>
    <m/>
    <m/>
  </r>
  <r>
    <x v="8"/>
    <x v="4"/>
    <s v="F:\images\20210408\plaque 1/@08 Fadrozole 5.4 µg_L/E8_01.tif "/>
    <s v=" 7202.7549 "/>
    <s v=" 67.4444 "/>
    <x v="0"/>
    <n v="485786"/>
    <m/>
    <m/>
    <m/>
  </r>
  <r>
    <x v="8"/>
    <x v="4"/>
    <s v="F:\images\20210408\plaque 1/@08 Fadrozole 5.4 µg_L/E8_02.tif "/>
    <s v=" 908.4556 "/>
    <s v=" 63.7381 "/>
    <x v="0"/>
    <n v="57903"/>
    <m/>
    <m/>
    <m/>
  </r>
  <r>
    <x v="8"/>
    <x v="4"/>
    <s v="F:\images\20210408\plaque 1/@08 Fadrozole 5.4 µg_L/E8_03.tif "/>
    <s v=" 2984.9255 "/>
    <s v=" 65.1739 "/>
    <x v="0"/>
    <n v="194539"/>
    <m/>
    <m/>
    <m/>
  </r>
  <r>
    <x v="8"/>
    <x v="5"/>
    <s v="F:\images\20210408\plaque 1/@08 Fadrozole 5.4 µg_L/F8_01.tif "/>
    <s v=" 6597.1179 "/>
    <s v=" 74.1869 "/>
    <x v="0"/>
    <n v="489420"/>
    <m/>
    <m/>
    <m/>
  </r>
  <r>
    <x v="8"/>
    <x v="5"/>
    <s v="F:\images\20210408\plaque 1/@08 Fadrozole 5.4 µg_L/F8_02.tif "/>
    <s v=" 9387.3743 "/>
    <s v=" 85.1452 "/>
    <x v="0"/>
    <n v="799289"/>
    <m/>
    <m/>
    <m/>
  </r>
  <r>
    <x v="8"/>
    <x v="5"/>
    <s v="F:\images\20210408\plaque 1/@08 Fadrozole 5.4 µg_L/F8_03.tif "/>
    <s v=" 584.0072 "/>
    <s v=" 66.4074 "/>
    <x v="0"/>
    <n v="38782"/>
    <m/>
    <m/>
    <m/>
  </r>
  <r>
    <x v="8"/>
    <x v="6"/>
    <s v="F:\images\20210408\plaque 1/@08 Fadrozole 5.4 µg_L/G8_01.tif "/>
    <s v=" 5688.6623 "/>
    <s v=" 75.3232 "/>
    <x v="0"/>
    <n v="428488"/>
    <m/>
    <m/>
    <m/>
  </r>
  <r>
    <x v="8"/>
    <x v="6"/>
    <s v="F:\images\20210408\plaque 1/@08 Fadrozole 5.4 µg_L/G8_02.tif "/>
    <s v=" 6986.456 "/>
    <s v=" 75.2353 "/>
    <x v="0"/>
    <n v="525628"/>
    <m/>
    <m/>
    <m/>
  </r>
  <r>
    <x v="8"/>
    <x v="6"/>
    <s v="F:\images\20210408\plaque 1/@08 Fadrozole 5.4 µg_L/G8_03.tif "/>
    <s v=" 692.1566 "/>
    <s v=" 63.125 "/>
    <x v="0"/>
    <n v="43692"/>
    <m/>
    <m/>
    <m/>
  </r>
  <r>
    <x v="8"/>
    <x v="7"/>
    <s v="F:\images\20210408\plaque 1/@08 Fadrozole 5.4 µg_L/H8_01.tif "/>
    <s v=" 3266.1141 "/>
    <s v=" 68.7682 "/>
    <x v="0"/>
    <n v="224605"/>
    <m/>
    <m/>
    <m/>
  </r>
  <r>
    <x v="8"/>
    <x v="7"/>
    <s v="F:\images\20210408\plaque 1/@08 Fadrozole 5.4 µg_L/H8_02.tif "/>
    <s v=" 648.8968 "/>
    <s v=" 64.6333 "/>
    <x v="0"/>
    <n v="41940"/>
    <m/>
    <m/>
    <m/>
  </r>
  <r>
    <x v="8"/>
    <x v="7"/>
    <s v="F:\images\20210408\plaque 1/@08 Fadrozole 5.4 µg_L/H8_03.tif "/>
    <s v=" 540.7474 "/>
    <s v=" 64.4 "/>
    <x v="0"/>
    <n v="34824"/>
    <m/>
    <m/>
    <m/>
  </r>
  <r>
    <x v="1"/>
    <x v="8"/>
    <s v=" "/>
    <m/>
    <m/>
    <x v="1"/>
    <m/>
    <m/>
    <m/>
    <m/>
  </r>
  <r>
    <x v="1"/>
    <x v="8"/>
    <s v="group "/>
    <s v=" "/>
    <s v=" mean of mean fluo "/>
    <x v="2"/>
    <s v=" mean of total fluo "/>
    <s v=" SD total fluo "/>
    <s v=" n fluorescent "/>
    <s v=" n total"/>
  </r>
  <r>
    <x v="8"/>
    <x v="9"/>
    <s v="F:\images\20210408\plaque 1/@08 Fadrozole 5.4 µg_L/ "/>
    <s v=" "/>
    <s v=" 66.8583 "/>
    <x v="10"/>
    <s v=" 162385.5 "/>
    <s v=" 215935.49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408\plaque 1/@09 Fadrozole 11 µg_L/A9_01.tif "/>
    <s v=" 8781.7372 "/>
    <s v=" 71.5862 "/>
    <x v="0"/>
    <n v="628651"/>
    <m/>
    <m/>
    <m/>
  </r>
  <r>
    <x v="9"/>
    <x v="0"/>
    <s v="F:\images\20210408\plaque 1/@09 Fadrozole 11 µg_L/A9_02.tif "/>
    <s v=" 7289.2745 "/>
    <s v=" 68.8338 "/>
    <x v="0"/>
    <n v="501749"/>
    <m/>
    <m/>
    <m/>
  </r>
  <r>
    <x v="9"/>
    <x v="0"/>
    <s v="F:\images\20210408\plaque 1/@09 Fadrozole 11 µg_L/A9_03.tif "/>
    <s v=" 7959.8012 "/>
    <s v=" 75.3125 "/>
    <x v="0"/>
    <n v="599473"/>
    <m/>
    <m/>
    <m/>
  </r>
  <r>
    <x v="9"/>
    <x v="1"/>
    <s v="F:\images\20210408\plaque 1/@09 Fadrozole 11 µg_L/B9_01.tif "/>
    <s v=" 1535.7225 "/>
    <s v=" 66.5211 "/>
    <x v="0"/>
    <n v="102158"/>
    <m/>
    <m/>
    <m/>
  </r>
  <r>
    <x v="9"/>
    <x v="1"/>
    <s v="F:\images\20210408\plaque 1/@09 Fadrozole 11 µg_L/B9_02.tif "/>
    <s v=" 1470.8328 "/>
    <s v=" 66.3529 "/>
    <x v="0"/>
    <n v="97594"/>
    <m/>
    <m/>
    <m/>
  </r>
  <r>
    <x v="9"/>
    <x v="1"/>
    <s v="F:\images\20210408\plaque 1/@09 Fadrozole 11 µg_L/B9_03.tif "/>
    <s v=" 973.3453 "/>
    <s v=" 67.0667 "/>
    <x v="0"/>
    <n v="65279"/>
    <m/>
    <m/>
    <m/>
  </r>
  <r>
    <x v="9"/>
    <x v="2"/>
    <s v="F:\images\20210408\plaque 1/@09 Fadrozole 11 µg_L/C9_01.tif "/>
    <s v=" 2011.5802 "/>
    <s v=" 63.6022 "/>
    <x v="0"/>
    <n v="127941"/>
    <m/>
    <m/>
    <m/>
  </r>
  <r>
    <x v="9"/>
    <x v="2"/>
    <s v="F:\images\20210408\plaque 1/@09 Fadrozole 11 µg_L/C9_02.tif "/>
    <s v=" 5969.8509 "/>
    <s v=" 71.0471 "/>
    <x v="0"/>
    <n v="424141"/>
    <m/>
    <m/>
    <m/>
  </r>
  <r>
    <x v="9"/>
    <x v="2"/>
    <s v="F:\images\20210408\plaque 1/@09 Fadrozole 11 µg_L/C9_03.tif "/>
    <s v=" 2682.1069 "/>
    <s v=" 63.5565 "/>
    <x v="0"/>
    <n v="170465"/>
    <m/>
    <m/>
    <m/>
  </r>
  <r>
    <x v="9"/>
    <x v="3"/>
    <s v="F:\images\20210408\plaque 1/@09 Fadrozole 11 µg_L/D9_01.tif "/>
    <s v=" 1211.2741 "/>
    <s v=" 63.0714 "/>
    <x v="0"/>
    <n v="76397"/>
    <m/>
    <m/>
    <m/>
  </r>
  <r>
    <x v="9"/>
    <x v="3"/>
    <s v="F:\images\20210408\plaque 1/@09 Fadrozole 11 µg_L/D9_02.tif "/>
    <s v=" 757.0463 "/>
    <s v=" 65.1714 "/>
    <x v="0"/>
    <n v="49338"/>
    <m/>
    <m/>
    <m/>
  </r>
  <r>
    <x v="9"/>
    <x v="3"/>
    <s v="F:\images\20210408\plaque 1/@09 Fadrozole 11 µg_L/D9_03.tif "/>
    <s v=" 562.3773 "/>
    <s v=" 63.1538 "/>
    <x v="0"/>
    <n v="35516"/>
    <m/>
    <m/>
    <m/>
  </r>
  <r>
    <x v="9"/>
    <x v="4"/>
    <s v="F:\images\20210408\plaque 1/@09 Fadrozole 11 µg_L/E9_01.tif "/>
    <s v=" 2617.2173 "/>
    <s v=" 66.5702 "/>
    <x v="0"/>
    <n v="174229"/>
    <m/>
    <m/>
    <m/>
  </r>
  <r>
    <x v="9"/>
    <x v="4"/>
    <s v="F:\images\20210408\plaque 1/@09 Fadrozole 11 µg_L/E9_02.tif "/>
    <s v=" 5018.1356 "/>
    <s v=" 69.2155 "/>
    <x v="0"/>
    <n v="347333"/>
    <m/>
    <m/>
    <m/>
  </r>
  <r>
    <x v="9"/>
    <x v="4"/>
    <s v="F:\images\20210408\plaque 1/@09 Fadrozole 11 µg_L/E9_03.tif "/>
    <s v=" 5191.1747 "/>
    <s v=" 68.4417 "/>
    <x v="0"/>
    <n v="355293"/>
    <m/>
    <m/>
    <m/>
  </r>
  <r>
    <x v="9"/>
    <x v="5"/>
    <s v="F:\images\20210408\plaque 1/@09 Fadrozole 11 µg_L/F9_01.tif "/>
    <s v=" 129.7794 "/>
    <s v=" 65.5 "/>
    <x v="0"/>
    <n v="8501"/>
    <m/>
    <m/>
    <m/>
  </r>
  <r>
    <x v="9"/>
    <x v="5"/>
    <s v="F:\images\20210408\plaque 1/@09 Fadrozole 11 µg_L/F9_02.tif "/>
    <s v=" 281.1886 "/>
    <s v=" 61.6154 "/>
    <x v="0"/>
    <n v="17326"/>
    <m/>
    <m/>
    <m/>
  </r>
  <r>
    <x v="9"/>
    <x v="5"/>
    <s v="F:\images\20210408\plaque 1/@09 Fadrozole 11 µg_L/F9_03.tif "/>
    <s v=" 216.2989 "/>
    <s v=" 63.4 "/>
    <x v="0"/>
    <n v="13713"/>
    <m/>
    <m/>
    <m/>
  </r>
  <r>
    <x v="9"/>
    <x v="6"/>
    <s v="F:\images\20210408\plaque 1/@09 Fadrozole 11 µg_L/G9_01- exclu.tif"/>
    <m/>
    <m/>
    <x v="1"/>
    <m/>
    <m/>
    <m/>
    <m/>
  </r>
  <r>
    <x v="9"/>
    <x v="6"/>
    <s v="F:\images\20210408\plaque 1/@09 Fadrozole 11 µg_L/G9_02.tif "/>
    <s v=" 1232.904 "/>
    <s v=" 64.0526 "/>
    <x v="0"/>
    <n v="78971"/>
    <m/>
    <m/>
    <m/>
  </r>
  <r>
    <x v="9"/>
    <x v="6"/>
    <s v="F:\images\20210408\plaque 1/@09 Fadrozole 11 µg_L/G9_03.tif "/>
    <s v=" 1665.5019 "/>
    <s v=" 65.1818 "/>
    <x v="0"/>
    <n v="108560"/>
    <m/>
    <m/>
    <m/>
  </r>
  <r>
    <x v="9"/>
    <x v="7"/>
    <s v="F:\images\20210408\plaque 1/@09 Fadrozole 11 µg_L/H9_01.tif "/>
    <s v=" 5320.9541 "/>
    <s v=" 64.6748 "/>
    <x v="0"/>
    <n v="344132"/>
    <m/>
    <m/>
    <m/>
  </r>
  <r>
    <x v="9"/>
    <x v="7"/>
    <s v="F:\images\20210408\plaque 1/@09 Fadrozole 11 µg_L/H9_02.tif "/>
    <s v=" 10620.2783 "/>
    <s v=" 71.9063 "/>
    <x v="0"/>
    <n v="763665"/>
    <m/>
    <m/>
    <m/>
  </r>
  <r>
    <x v="9"/>
    <x v="7"/>
    <s v="F:\images\20210408\plaque 1/@09 Fadrozole 11 µg_L/H9_03.tif "/>
    <s v=" 973.3453 "/>
    <s v=" 62.3778 "/>
    <x v="0"/>
    <n v="60715"/>
    <m/>
    <m/>
    <m/>
  </r>
  <r>
    <x v="1"/>
    <x v="8"/>
    <s v=" "/>
    <m/>
    <m/>
    <x v="1"/>
    <m/>
    <m/>
    <m/>
    <m/>
  </r>
  <r>
    <x v="1"/>
    <x v="8"/>
    <s v="group "/>
    <s v=" "/>
    <s v=" mean of mean fluo "/>
    <x v="2"/>
    <s v=" mean of total fluo "/>
    <s v=" SD total fluo "/>
    <s v=" n fluorescent "/>
    <s v=" n total"/>
  </r>
  <r>
    <x v="9"/>
    <x v="9"/>
    <s v="F:\images\20210408\plaque 1/@09 Fadrozole 11 µg_L/ "/>
    <s v=" "/>
    <s v=" 66.2901 "/>
    <x v="11"/>
    <s v=" 216214.333 "/>
    <s v=" 223216.0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408\plaque 1/@10 Fadrozole 22 µg_L/A10_01.tif "/>
    <s v=" 3006.5554 "/>
    <s v=" 67.8058 "/>
    <x v="0"/>
    <n v="203862"/>
    <m/>
    <m/>
    <m/>
  </r>
  <r>
    <x v="10"/>
    <x v="0"/>
    <s v="F:\images\20210408\plaque 1/@10 Fadrozole 22 µg_L/A10_02.tif "/>
    <s v=" 3828.4913 "/>
    <s v=" 67.096 "/>
    <x v="0"/>
    <n v="256877"/>
    <m/>
    <m/>
    <m/>
  </r>
  <r>
    <x v="10"/>
    <x v="0"/>
    <s v="F:\images\20210408\plaque 1/@10 Fadrozole 22 µg_L/A10_03.tif "/>
    <s v=" 1643.872 "/>
    <s v=" 65.8947 "/>
    <x v="0"/>
    <n v="108323"/>
    <m/>
    <m/>
    <m/>
  </r>
  <r>
    <x v="10"/>
    <x v="1"/>
    <s v="F:\images\20210408\plaque 1/@10 Fadrozole 22 µg_L/B10_01- exclu.tif"/>
    <m/>
    <m/>
    <x v="1"/>
    <m/>
    <m/>
    <m/>
    <m/>
  </r>
  <r>
    <x v="10"/>
    <x v="1"/>
    <s v="F:\images\20210408\plaque 1/@10 Fadrozole 22 µg_L/B10_02- exclu.tif"/>
    <m/>
    <m/>
    <x v="1"/>
    <m/>
    <m/>
    <m/>
    <m/>
  </r>
  <r>
    <x v="10"/>
    <x v="1"/>
    <s v="F:\images\20210408\plaque 1/@10 Fadrozole 22 µg_L/B10_03- exclu.tif"/>
    <m/>
    <m/>
    <x v="1"/>
    <m/>
    <m/>
    <m/>
    <m/>
  </r>
  <r>
    <x v="10"/>
    <x v="2"/>
    <s v="F:\images\20210408\plaque 1/@10 Fadrozole 22 µg_L/C10_01.tif "/>
    <s v=" 6251.0395 "/>
    <s v=" 70.8478 "/>
    <x v="0"/>
    <n v="442872"/>
    <m/>
    <m/>
    <m/>
  </r>
  <r>
    <x v="10"/>
    <x v="2"/>
    <s v="F:\images\20210408\plaque 1/@10 Fadrozole 22 µg_L/C10_02.tif "/>
    <s v=" 3655.4522 "/>
    <s v=" 65.7456 "/>
    <x v="0"/>
    <n v="240330"/>
    <m/>
    <m/>
    <m/>
  </r>
  <r>
    <x v="10"/>
    <x v="2"/>
    <s v="F:\images\20210408\plaque 1/@10 Fadrozole 22 µg_L/C10_03.tif "/>
    <s v=" 2141.3596 "/>
    <s v=" 64.7677 "/>
    <x v="0"/>
    <n v="138691"/>
    <m/>
    <m/>
    <m/>
  </r>
  <r>
    <x v="10"/>
    <x v="3"/>
    <s v="F:\images\20210408\plaque 1/@10 Fadrozole 22 µg_L/D10_01.tif "/>
    <s v=" 432.5979 "/>
    <s v=" 63.6 "/>
    <x v="0"/>
    <n v="27513"/>
    <m/>
    <m/>
    <m/>
  </r>
  <r>
    <x v="10"/>
    <x v="3"/>
    <s v="F:\images\20210408\plaque 1/@10 Fadrozole 22 µg_L/D10_02.tif "/>
    <s v=" 562.3773 "/>
    <s v=" 62.8462 "/>
    <x v="0"/>
    <n v="35343"/>
    <m/>
    <m/>
    <m/>
  </r>
  <r>
    <x v="10"/>
    <x v="3"/>
    <s v="F:\images\20210408\plaque 1/@10 Fadrozole 22 µg_L/D10_03.tif "/>
    <s v=" 237.9288 "/>
    <n v="63"/>
    <x v="0"/>
    <n v="14990"/>
    <m/>
    <m/>
    <m/>
  </r>
  <r>
    <x v="10"/>
    <x v="4"/>
    <s v="F:\images\20210408\plaque 1/@10 Fadrozole 22 µg_L/E10_01.tif "/>
    <s v=" 1773.6514 "/>
    <s v=" 67.7439 "/>
    <x v="0"/>
    <n v="120154"/>
    <m/>
    <m/>
    <m/>
  </r>
  <r>
    <x v="10"/>
    <x v="4"/>
    <s v="F:\images\20210408\plaque 1/@10 Fadrozole 22 µg_L/E10_02.tif "/>
    <s v=" 973.3453 "/>
    <s v=" 64.1778 "/>
    <x v="0"/>
    <n v="62467"/>
    <m/>
    <m/>
    <m/>
  </r>
  <r>
    <x v="10"/>
    <x v="4"/>
    <s v="F:\images\20210408\plaque 1/@10 Fadrozole 22 µg_L/E10_03.tif "/>
    <s v=" 2054.84 "/>
    <s v=" 66.7053 "/>
    <x v="0"/>
    <n v="137069"/>
    <m/>
    <m/>
    <m/>
  </r>
  <r>
    <x v="10"/>
    <x v="5"/>
    <s v="F:\images\20210408\plaque 1/@10 Fadrozole 22 µg_L/F10_01.tif "/>
    <s v=" 5688.6623 "/>
    <s v=" 69.4791 "/>
    <x v="0"/>
    <n v="395243"/>
    <m/>
    <m/>
    <m/>
  </r>
  <r>
    <x v="10"/>
    <x v="5"/>
    <s v="F:\images\20210408\plaque 1/@10 Fadrozole 22 µg_L/F10_02.tif "/>
    <s v=" 4499.0181 "/>
    <s v=" 70.1154 "/>
    <x v="0"/>
    <n v="315450"/>
    <m/>
    <m/>
    <m/>
  </r>
  <r>
    <x v="10"/>
    <x v="5"/>
    <s v="F:\images\20210408\plaque 1/@10 Fadrozole 22 µg_L/F10_03.tif "/>
    <s v=" 1535.7225 "/>
    <s v=" 64.3239 "/>
    <x v="0"/>
    <n v="98784"/>
    <m/>
    <m/>
    <m/>
  </r>
  <r>
    <x v="10"/>
    <x v="6"/>
    <s v="F:\images\20210408\plaque 1/@10 Fadrozole 22 µg_L/G10_01.tif "/>
    <s v=" 6380.8189 "/>
    <s v=" 71.9085 "/>
    <x v="0"/>
    <n v="458835"/>
    <m/>
    <m/>
    <m/>
  </r>
  <r>
    <x v="10"/>
    <x v="6"/>
    <s v="F:\images\20210408\plaque 1/@10 Fadrozole 22 µg_L/G10_02.tif "/>
    <s v=" 1059.8648 "/>
    <s v=" 62.6122 "/>
    <x v="0"/>
    <n v="66361"/>
    <m/>
    <m/>
    <m/>
  </r>
  <r>
    <x v="10"/>
    <x v="6"/>
    <s v="F:\images\20210408\plaque 1/@10 Fadrozole 22 µg_L/G10_03.tif "/>
    <s v=" 1081.4947 "/>
    <s v=" 62.16 "/>
    <x v="0"/>
    <n v="67226"/>
    <m/>
    <m/>
    <m/>
  </r>
  <r>
    <x v="10"/>
    <x v="7"/>
    <s v="F:\images\20210408\plaque 1/@10 Fadrozole 22 µg_L/H10_01.tif "/>
    <s v=" 346.0783 "/>
    <s v=" 63.0625 "/>
    <x v="0"/>
    <n v="21825"/>
    <m/>
    <m/>
    <m/>
  </r>
  <r>
    <x v="10"/>
    <x v="7"/>
    <s v="F:\images\20210408\plaque 1/@10 Fadrozole 22 µg_L/H10_02.tif "/>
    <s v=" 519.1175 "/>
    <s v=" 67.9167 "/>
    <x v="0"/>
    <n v="35257"/>
    <m/>
    <m/>
    <m/>
  </r>
  <r>
    <x v="10"/>
    <x v="7"/>
    <s v="F:\images\20210408\plaque 1/@10 Fadrozole 22 µg_L/H10_03.tif "/>
    <s v=" 973.3453 "/>
    <s v=" 70.9111 "/>
    <x v="0"/>
    <n v="69021"/>
    <m/>
    <m/>
    <m/>
  </r>
  <r>
    <x v="1"/>
    <x v="8"/>
    <s v=" "/>
    <m/>
    <m/>
    <x v="1"/>
    <m/>
    <m/>
    <m/>
    <m/>
  </r>
  <r>
    <x v="1"/>
    <x v="8"/>
    <s v="group "/>
    <s v=" "/>
    <s v=" mean of mean fluo "/>
    <x v="2"/>
    <s v=" mean of total fluo "/>
    <s v=" SD total fluo "/>
    <s v=" n fluorescent "/>
    <s v=" n total"/>
  </r>
  <r>
    <x v="10"/>
    <x v="9"/>
    <s v="F:\images\20210408\plaque 1/@10 Fadrozole 22 µg_L/ "/>
    <s v=" "/>
    <s v=" 66.0648 "/>
    <x v="12"/>
    <s v=" 140725.125 "/>
    <s v=" 139765.93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408\plaque 1/@11 Fadrozole 44 µg_L/A11_01.tif "/>
    <s v=" 9473.8938 "/>
    <s v=" 70.5525 "/>
    <x v="0"/>
    <n v="668407"/>
    <m/>
    <m/>
    <m/>
  </r>
  <r>
    <x v="11"/>
    <x v="0"/>
    <s v="F:\images\20210408\plaque 1/@11 Fadrozole 44 µg_L/A11_02.tif "/>
    <s v=" 4996.5057 "/>
    <s v=" 66.0649 "/>
    <x v="0"/>
    <n v="330094"/>
    <m/>
    <m/>
    <m/>
  </r>
  <r>
    <x v="11"/>
    <x v="0"/>
    <s v="F:\images\20210408\plaque 1/@11 Fadrozole 44 µg_L/A11_03.tif "/>
    <s v=" 5969.8509 "/>
    <s v=" 71.7826 "/>
    <x v="0"/>
    <n v="428531"/>
    <m/>
    <m/>
    <m/>
  </r>
  <r>
    <x v="11"/>
    <x v="1"/>
    <s v="F:\images\20210408\plaque 1/@11 Fadrozole 44 µg_L/B11_01.tif "/>
    <s v=" 5515.6231 "/>
    <s v=" 67.1804 "/>
    <x v="0"/>
    <n v="370542"/>
    <m/>
    <m/>
    <m/>
  </r>
  <r>
    <x v="11"/>
    <x v="1"/>
    <s v="F:\images\20210408\plaque 1/@11 Fadrozole 44 µg_L/B11_02- exclu.tif"/>
    <m/>
    <m/>
    <x v="1"/>
    <m/>
    <m/>
    <m/>
    <m/>
  </r>
  <r>
    <x v="11"/>
    <x v="1"/>
    <s v="F:\images\20210408\plaque 1/@11 Fadrozole 44 µg_L/B11_03.tif "/>
    <s v=" 2638.8471 "/>
    <s v=" 64.5328 "/>
    <x v="0"/>
    <n v="170292"/>
    <m/>
    <m/>
    <m/>
  </r>
  <r>
    <x v="11"/>
    <x v="2"/>
    <s v="F:\images\20210408\plaque 1/@11 Fadrozole 44 µg_L/C11_01.tif "/>
    <s v=" 3741.9718 "/>
    <s v=" 64.7977 "/>
    <x v="0"/>
    <n v="242471"/>
    <m/>
    <m/>
    <m/>
  </r>
  <r>
    <x v="11"/>
    <x v="2"/>
    <s v="F:\images\20210408\plaque 1/@11 Fadrozole 44 µg_L/C11_02.tif "/>
    <s v=" 11528.7338 "/>
    <s v=" 80.666 "/>
    <x v="0"/>
    <n v="929977"/>
    <m/>
    <m/>
    <m/>
  </r>
  <r>
    <x v="11"/>
    <x v="2"/>
    <s v="F:\images\20210408\plaque 1/@11 Fadrozole 44 µg_L/C11_03.tif "/>
    <s v=" 7051.3456 "/>
    <s v=" 72.6871 "/>
    <x v="0"/>
    <n v="512542"/>
    <m/>
    <m/>
    <m/>
  </r>
  <r>
    <x v="11"/>
    <x v="3"/>
    <s v="F:\images\20210408\plaque 1/@11 Fadrozole 44 µg_L/D11_01.tif "/>
    <s v=" 454.2278 "/>
    <s v=" 62.4286 "/>
    <x v="0"/>
    <n v="28357"/>
    <m/>
    <m/>
    <m/>
  </r>
  <r>
    <x v="11"/>
    <x v="3"/>
    <s v="F:\images\20210408\plaque 1/@11 Fadrozole 44 µg_L/D11_02.tif "/>
    <s v=" 584.0072 "/>
    <s v=" 63.2963 "/>
    <x v="0"/>
    <n v="36965"/>
    <m/>
    <m/>
    <m/>
  </r>
  <r>
    <x v="11"/>
    <x v="3"/>
    <s v="F:\images\20210408\plaque 1/@11 Fadrozole 44 µg_L/D11_03.tif "/>
    <s v=" 475.8577 "/>
    <s v=" 63.1818 "/>
    <x v="0"/>
    <n v="30066"/>
    <m/>
    <m/>
    <m/>
  </r>
  <r>
    <x v="11"/>
    <x v="4"/>
    <s v="F:\images\20210408\plaque 1/@11 Fadrozole 44 µg_L/E11_01.tif "/>
    <s v=" 1146.3844 "/>
    <s v=" 65.8679 "/>
    <x v="0"/>
    <n v="75510"/>
    <m/>
    <m/>
    <m/>
  </r>
  <r>
    <x v="11"/>
    <x v="4"/>
    <s v="F:\images\20210408\plaque 1/@11 Fadrozole 44 µg_L/E11_02.tif "/>
    <s v=" 389.3381 "/>
    <s v=" 65.1111 "/>
    <x v="0"/>
    <n v="25350"/>
    <m/>
    <m/>
    <m/>
  </r>
  <r>
    <x v="11"/>
    <x v="4"/>
    <s v="F:\images\20210408\plaque 1/@11 Fadrozole 44 µg_L/E11_03.tif "/>
    <s v=" 1881.8008 "/>
    <s v=" 69.8161 "/>
    <x v="0"/>
    <n v="131380"/>
    <m/>
    <m/>
    <m/>
  </r>
  <r>
    <x v="11"/>
    <x v="5"/>
    <s v="F:\images\20210408\plaque 1/@11 Fadrozole 44 µg_L/F11_01.tif "/>
    <s v=" 5342.584 "/>
    <s v=" 73.4534 "/>
    <x v="0"/>
    <n v="392431"/>
    <m/>
    <m/>
    <m/>
  </r>
  <r>
    <x v="11"/>
    <x v="5"/>
    <s v="F:\images\20210408\plaque 1/@11 Fadrozole 44 µg_L/F11_02.tif "/>
    <s v=" 692.1566 "/>
    <s v=" 62.9688 "/>
    <x v="0"/>
    <n v="43584"/>
    <m/>
    <m/>
    <m/>
  </r>
  <r>
    <x v="11"/>
    <x v="5"/>
    <s v="F:\images\20210408\plaque 1/@11 Fadrozole 44 µg_L/F11_03.tif "/>
    <s v=" 5212.8046 "/>
    <s v=" 71.5104 "/>
    <x v="0"/>
    <n v="372770"/>
    <m/>
    <m/>
    <m/>
  </r>
  <r>
    <x v="11"/>
    <x v="6"/>
    <s v="F:\images\20210408\plaque 1/@11 Fadrozole 44 µg_L/G11_01- exclu.tif"/>
    <m/>
    <m/>
    <x v="1"/>
    <m/>
    <m/>
    <m/>
    <m/>
  </r>
  <r>
    <x v="11"/>
    <x v="6"/>
    <s v="F:\images\20210408\plaque 1/@11 Fadrozole 44 µg_L/G11_02.tif "/>
    <s v=" 8132.8404 "/>
    <s v=" 73.7181 "/>
    <x v="0"/>
    <n v="599537"/>
    <m/>
    <m/>
    <m/>
  </r>
  <r>
    <x v="11"/>
    <x v="6"/>
    <s v="F:\images\20210408\plaque 1/@11 Fadrozole 44 µg_L/G11_03.tif "/>
    <s v=" 8024.6909 "/>
    <s v=" 78.5418 "/>
    <x v="0"/>
    <n v="630273"/>
    <m/>
    <m/>
    <m/>
  </r>
  <r>
    <x v="11"/>
    <x v="7"/>
    <s v="F:\images\20210408\plaque 1/@11 Fadrozole 44 µg_L/H11_01.tif "/>
    <s v=" 2530.6977 "/>
    <s v=" 67.1538 "/>
    <x v="0"/>
    <n v="169946"/>
    <m/>
    <m/>
    <m/>
  </r>
  <r>
    <x v="11"/>
    <x v="7"/>
    <s v="F:\images\20210408\plaque 1/@11 Fadrozole 44 µg_L/H11_02.tif "/>
    <s v=" 1038.2349 "/>
    <s v=" 67.5625 "/>
    <x v="0"/>
    <n v="70146"/>
    <m/>
    <m/>
    <m/>
  </r>
  <r>
    <x v="11"/>
    <x v="7"/>
    <s v="F:\images\20210408\plaque 1/@11 Fadrozole 44 µg_L/H11_03.tif "/>
    <s v=" 1860.1709 "/>
    <s v=" 67.5698 "/>
    <x v="0"/>
    <n v="125691"/>
    <m/>
    <m/>
    <m/>
  </r>
  <r>
    <x v="1"/>
    <x v="8"/>
    <s v=" "/>
    <m/>
    <m/>
    <x v="1"/>
    <m/>
    <m/>
    <m/>
    <m/>
  </r>
  <r>
    <x v="1"/>
    <x v="8"/>
    <s v="group "/>
    <s v=" "/>
    <s v=" mean of mean fluo "/>
    <x v="2"/>
    <s v=" mean of total fluo "/>
    <s v=" SD total fluo "/>
    <s v=" n fluorescent "/>
    <s v=" n total"/>
  </r>
  <r>
    <x v="11"/>
    <x v="9"/>
    <s v="F:\images\20210408\plaque 1/@11 Fadrozole 44 µg_L/ "/>
    <s v=" "/>
    <s v=" 68.43 "/>
    <x v="13"/>
    <s v=" 269366.042 "/>
    <s v=" 253813.2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408\plaque 1/@12Fadrozole 87 µg_L/A12_01.tif "/>
    <s v=" 3395.8935 "/>
    <s v=" 65.6815 "/>
    <x v="0"/>
    <n v="223047"/>
    <m/>
    <m/>
    <m/>
  </r>
  <r>
    <x v="12"/>
    <x v="0"/>
    <s v="F:\images\20210408\plaque 1/@12Fadrozole 87 µg_L/A12_02.tif "/>
    <s v=" 1276.1638 "/>
    <s v=" 64.0847 "/>
    <x v="0"/>
    <n v="81783"/>
    <m/>
    <m/>
    <m/>
  </r>
  <r>
    <x v="12"/>
    <x v="0"/>
    <s v="F:\images\20210408\plaque 1/@12Fadrozole 87 µg_L/A12_03.tif "/>
    <s v=" 4758.5768 "/>
    <s v=" 66.2091 "/>
    <x v="0"/>
    <n v="315061"/>
    <m/>
    <m/>
    <m/>
  </r>
  <r>
    <x v="12"/>
    <x v="1"/>
    <s v="F:\images\20210408\plaque 1/@12Fadrozole 87 µg_L/B12_01.tif "/>
    <s v=" 1665.5019 "/>
    <s v=" 65.1039 "/>
    <x v="0"/>
    <n v="108431"/>
    <m/>
    <m/>
    <m/>
  </r>
  <r>
    <x v="12"/>
    <x v="1"/>
    <s v="F:\images\20210408\plaque 1/@12Fadrozole 87 µg_L/B12_02.tif "/>
    <s v=" 346.0783 "/>
    <s v=" 62.6875 "/>
    <x v="0"/>
    <n v="21695"/>
    <m/>
    <m/>
    <m/>
  </r>
  <r>
    <x v="12"/>
    <x v="1"/>
    <s v="F:\images\20210408\plaque 1/@12Fadrozole 87 µg_L/B12_03.tif "/>
    <s v=" 1989.9503 "/>
    <s v=" 66.4022 "/>
    <x v="0"/>
    <n v="132137"/>
    <m/>
    <m/>
    <m/>
  </r>
  <r>
    <x v="12"/>
    <x v="2"/>
    <s v="F:\images\20210408\plaque 1/@12Fadrozole 87 µg_L/C12_01.tif "/>
    <s v=" 173.0392 "/>
    <s v=" 63.875 "/>
    <x v="0"/>
    <n v="11053"/>
    <m/>
    <m/>
    <m/>
  </r>
  <r>
    <x v="12"/>
    <x v="2"/>
    <s v="F:\images\20210408\plaque 1/@12Fadrozole 87 µg_L/C12_02.tif "/>
    <s v=" 9863.232 "/>
    <s v=" 86.5548 "/>
    <x v="0"/>
    <n v="853710"/>
    <m/>
    <m/>
    <m/>
  </r>
  <r>
    <x v="12"/>
    <x v="2"/>
    <s v="F:\images\20210408\plaque 1/@12Fadrozole 87 µg_L/C12_03- exclu.tif"/>
    <m/>
    <m/>
    <x v="1"/>
    <m/>
    <m/>
    <m/>
    <m/>
  </r>
  <r>
    <x v="12"/>
    <x v="3"/>
    <s v="F:\images\20210408\plaque 1/@12Fadrozole 87 µg_L/D12_01.tif "/>
    <s v=" 1211.2741 "/>
    <s v=" 64.1964 "/>
    <x v="0"/>
    <n v="77759"/>
    <m/>
    <m/>
    <m/>
  </r>
  <r>
    <x v="12"/>
    <x v="3"/>
    <s v="F:\images\20210408\plaque 1/@12Fadrozole 87 µg_L/D12_02.tif "/>
    <s v=" 8500.5486 "/>
    <s v=" 81.6616 "/>
    <x v="0"/>
    <n v="694168"/>
    <m/>
    <m/>
    <m/>
  </r>
  <r>
    <x v="12"/>
    <x v="3"/>
    <s v="F:\images\20210408\plaque 1/@12Fadrozole 87 µg_L/D12_03.tif "/>
    <s v=" 1665.5019 "/>
    <s v=" 65.3636 "/>
    <x v="0"/>
    <n v="108863"/>
    <m/>
    <m/>
    <m/>
  </r>
  <r>
    <x v="12"/>
    <x v="4"/>
    <s v="F:\images\20210408\plaque 1/@12Fadrozole 87 µg_L/E12_01.tif "/>
    <s v=" 6121.2602 "/>
    <s v=" 68.7562 "/>
    <x v="0"/>
    <n v="420874"/>
    <m/>
    <m/>
    <m/>
  </r>
  <r>
    <x v="12"/>
    <x v="4"/>
    <s v="F:\images\20210408\plaque 1/@12Fadrozole 87 µg_L/E12_02.tif "/>
    <s v=" 1470.8328 "/>
    <s v=" 63.9265 "/>
    <x v="0"/>
    <n v="94025"/>
    <m/>
    <m/>
    <m/>
  </r>
  <r>
    <x v="12"/>
    <x v="4"/>
    <s v="F:\images\20210408\plaque 1/@12Fadrozole 87 µg_L/E12_03.tif "/>
    <s v=" 6229.4097 "/>
    <s v=" 67.9792 "/>
    <x v="0"/>
    <n v="423470"/>
    <m/>
    <m/>
    <m/>
  </r>
  <r>
    <x v="12"/>
    <x v="5"/>
    <s v="F:\images\20210408\plaque 1/@12Fadrozole 87 µg_L/F12_01.tif "/>
    <s v=" 627.2669 "/>
    <s v=" 64.3103 "/>
    <x v="0"/>
    <n v="40340"/>
    <m/>
    <m/>
    <m/>
  </r>
  <r>
    <x v="12"/>
    <x v="5"/>
    <s v="F:\images\20210408\plaque 1/@12Fadrozole 87 µg_L/F12_02.tif "/>
    <s v=" 627.2669 "/>
    <s v=" 65.6552 "/>
    <x v="0"/>
    <n v="41183"/>
    <m/>
    <m/>
    <m/>
  </r>
  <r>
    <x v="12"/>
    <x v="5"/>
    <s v="F:\images\20210408\plaque 1/@12Fadrozole 87 µg_L/F12_03.tif "/>
    <s v=" 886.8257 "/>
    <s v=" 65.3902 "/>
    <x v="0"/>
    <n v="57990"/>
    <m/>
    <m/>
    <m/>
  </r>
  <r>
    <x v="12"/>
    <x v="6"/>
    <s v="F:\images\20210408\plaque 1/@12Fadrozole 87 µg_L/G12_01.tif "/>
    <s v=" 237.9288 "/>
    <s v=" 62.7273 "/>
    <x v="0"/>
    <n v="14925"/>
    <m/>
    <m/>
    <m/>
  </r>
  <r>
    <x v="12"/>
    <x v="6"/>
    <s v="F:\images\20210408\plaque 1/@12Fadrozole 87 µg_L/G12_02.tif "/>
    <s v=" 497.4876 "/>
    <s v=" 64.7826 "/>
    <x v="0"/>
    <n v="32229"/>
    <m/>
    <m/>
    <m/>
  </r>
  <r>
    <x v="12"/>
    <x v="6"/>
    <s v="F:\images\20210408\plaque 1/@12Fadrozole 87 µg_L/G12_03.tif "/>
    <s v=" 194.6691 "/>
    <s v=" 62.6667 "/>
    <x v="0"/>
    <n v="12199"/>
    <m/>
    <m/>
    <m/>
  </r>
  <r>
    <x v="12"/>
    <x v="7"/>
    <s v="F:\images\20210408\plaque 1/@12Fadrozole 87 µg_L/H12_01.tif "/>
    <s v=" 11334.0648 "/>
    <s v=" 73.5573 "/>
    <x v="0"/>
    <n v="833703"/>
    <m/>
    <m/>
    <m/>
  </r>
  <r>
    <x v="12"/>
    <x v="7"/>
    <s v="F:\images\20210408\plaque 1/@12Fadrozole 87 µg_L/H12_02.tif "/>
    <s v=" 6748.5271 "/>
    <s v=" 71.4904 "/>
    <x v="0"/>
    <n v="482455"/>
    <m/>
    <m/>
    <m/>
  </r>
  <r>
    <x v="12"/>
    <x v="7"/>
    <s v="F:\images\20210408\plaque 1/@12Fadrozole 87 µg_L/H12_03.tif "/>
    <s v=" 10166.0505 "/>
    <s v=" 71.2149 "/>
    <x v="0"/>
    <n v="723974"/>
    <m/>
    <m/>
    <m/>
  </r>
  <r>
    <x v="1"/>
    <x v="8"/>
    <s v=" "/>
    <m/>
    <m/>
    <x v="1"/>
    <m/>
    <m/>
    <m/>
    <m/>
  </r>
  <r>
    <x v="1"/>
    <x v="8"/>
    <s v="group "/>
    <s v=" "/>
    <s v=" mean of mean fluo "/>
    <x v="2"/>
    <s v=" mean of total fluo "/>
    <s v=" SD total fluo "/>
    <s v=" n fluorescent "/>
    <s v=" n total"/>
  </r>
  <r>
    <x v="12"/>
    <x v="9"/>
    <s v="F:\images\20210408\plaque 1/@12Fadrozole 87 µg_L/ "/>
    <s v=" "/>
    <s v=" 67.515 "/>
    <x v="14"/>
    <s v=" 242592.792 "/>
    <s v=" 281866.7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408\plaque 2/@01 Testo 30/A1_01.tif "/>
    <s v=" 61904.7584 "/>
    <s v=" 74.6677 "/>
    <x v="0"/>
    <n v="4622287"/>
    <m/>
    <m/>
    <m/>
  </r>
  <r>
    <x v="13"/>
    <x v="0"/>
    <s v="F:\images\20210408\plaque 2/@01 Testo 30/A1_02.tif "/>
    <s v=" 53858.4376 "/>
    <s v=" 72.7988 "/>
    <x v="0"/>
    <n v="3920829"/>
    <m/>
    <m/>
    <m/>
  </r>
  <r>
    <x v="13"/>
    <x v="0"/>
    <s v="F:\images\20210408\plaque 2/@01 Testo 30/A1_03.tif "/>
    <s v=" 63180.9222 "/>
    <s v=" 73.758 "/>
    <x v="0"/>
    <n v="4660096"/>
    <m/>
    <m/>
    <m/>
  </r>
  <r>
    <x v="13"/>
    <x v="1"/>
    <s v="F:\images\20210408\plaque 2/@01 Testo 30/B1_01.tif "/>
    <s v=" 16590.1292 "/>
    <s v=" 71.1369 "/>
    <x v="0"/>
    <n v="1180170"/>
    <m/>
    <m/>
    <m/>
  </r>
  <r>
    <x v="13"/>
    <x v="1"/>
    <s v="F:\images\20210408\plaque 2/@01 Testo 30/B1_02.tif "/>
    <s v=" 13972.9119 "/>
    <s v=" 68.8421 "/>
    <x v="0"/>
    <n v="961925"/>
    <m/>
    <m/>
    <m/>
  </r>
  <r>
    <x v="13"/>
    <x v="1"/>
    <s v="F:\images\20210408\plaque 2/@01 Testo 30/B1_03.tif "/>
    <s v=" 13518.6841 "/>
    <s v=" 68.3136 "/>
    <x v="0"/>
    <n v="923510"/>
    <m/>
    <m/>
    <m/>
  </r>
  <r>
    <x v="13"/>
    <x v="2"/>
    <s v="F:\images\20210408\plaque 2/@01 Testo 30/C1_01.tif "/>
    <s v=" 7830.0219 "/>
    <s v=" 73.674 "/>
    <x v="0"/>
    <n v="576869"/>
    <m/>
    <m/>
    <m/>
  </r>
  <r>
    <x v="13"/>
    <x v="2"/>
    <s v="F:\images\20210408\plaque 2/@01 Testo 30/C1_02.tif "/>
    <s v=" 2855.1461 "/>
    <s v=" 63.0379 "/>
    <x v="0"/>
    <n v="179982"/>
    <m/>
    <m/>
    <m/>
  </r>
  <r>
    <x v="13"/>
    <x v="2"/>
    <s v="F:\images\20210408\plaque 2/@01 Testo 30/C1_03.tif "/>
    <s v=" 2465.808 "/>
    <s v=" 63.1667 "/>
    <x v="0"/>
    <n v="155757"/>
    <m/>
    <m/>
    <m/>
  </r>
  <r>
    <x v="13"/>
    <x v="3"/>
    <s v="F:\images\20210408\plaque 2/@01 Testo 30/D1_01.tif "/>
    <s v=" 48645.633 "/>
    <s v=" 74.1472 "/>
    <x v="0"/>
    <n v="3606936"/>
    <m/>
    <m/>
    <m/>
  </r>
  <r>
    <x v="13"/>
    <x v="3"/>
    <s v="F:\images\20210408\plaque 2/@01 Testo 30/D1_02.tif "/>
    <s v=" 39561.0773 "/>
    <s v=" 74.4893 "/>
    <x v="0"/>
    <n v="2946878"/>
    <m/>
    <m/>
    <m/>
  </r>
  <r>
    <x v="13"/>
    <x v="3"/>
    <s v="F:\images\20210408\plaque 2/@01 Testo 30/D1_03.tif "/>
    <s v=" 42978.6006 "/>
    <s v=" 74.8968 "/>
    <x v="0"/>
    <n v="3218961"/>
    <m/>
    <m/>
    <m/>
  </r>
  <r>
    <x v="13"/>
    <x v="4"/>
    <s v="F:\images\20210408\plaque 2/@01 Testo 30/E1_01.tif "/>
    <s v=" 2098.0998 "/>
    <s v=" 63.2062 "/>
    <x v="0"/>
    <n v="132613"/>
    <m/>
    <m/>
    <m/>
  </r>
  <r>
    <x v="13"/>
    <x v="4"/>
    <s v="F:\images\20210408\plaque 2/@01 Testo 30/E1_02.tif "/>
    <s v=" 1989.9503 "/>
    <s v=" 64.7283 "/>
    <x v="0"/>
    <n v="128806"/>
    <m/>
    <m/>
    <m/>
  </r>
  <r>
    <x v="13"/>
    <x v="4"/>
    <s v="F:\images\20210408\plaque 2/@01 Testo 30/E1_03.tif "/>
    <s v=" 1189.6442 "/>
    <s v=" 64.1091 "/>
    <x v="0"/>
    <n v="76267"/>
    <m/>
    <m/>
    <m/>
  </r>
  <r>
    <x v="13"/>
    <x v="5"/>
    <s v="F:\images\20210408\plaque 2/@01 Testo 30/F1_01.tif "/>
    <s v=" 55826.758 "/>
    <s v=" 74.8032 "/>
    <x v="0"/>
    <n v="4176019"/>
    <m/>
    <m/>
    <m/>
  </r>
  <r>
    <x v="13"/>
    <x v="5"/>
    <s v="F:\images\20210408\plaque 2/@01 Testo 30/F1_02.tif "/>
    <s v=" 51068.1812 "/>
    <s v=" 75.0305 "/>
    <x v="0"/>
    <n v="3831671"/>
    <m/>
    <m/>
    <m/>
  </r>
  <r>
    <x v="13"/>
    <x v="5"/>
    <s v="F:\images\20210408\plaque 2/@01 Testo 30/F1_03.tif "/>
    <s v=" 55523.9395 "/>
    <s v=" 73.9556 "/>
    <x v="0"/>
    <n v="4106306"/>
    <m/>
    <m/>
    <m/>
  </r>
  <r>
    <x v="13"/>
    <x v="6"/>
    <s v="F:\images\20210408\plaque 2/@01 Testo 30/G1_01.tif "/>
    <s v=" 36835.7106 "/>
    <s v=" 69.7933 "/>
    <x v="0"/>
    <n v="2570886"/>
    <m/>
    <m/>
    <m/>
  </r>
  <r>
    <x v="13"/>
    <x v="6"/>
    <s v="F:\images\20210408\plaque 2/@01 Testo 30/G1_02.tif "/>
    <s v=" 34153.6036 "/>
    <s v=" 71.0608 "/>
    <x v="0"/>
    <n v="2426982"/>
    <m/>
    <m/>
    <m/>
  </r>
  <r>
    <x v="13"/>
    <x v="6"/>
    <s v="F:\images\20210408\plaque 2/@01 Testo 30/G1_03.tif "/>
    <s v=" 27664.6352 "/>
    <s v=" 68.3659 "/>
    <x v="0"/>
    <n v="1891318"/>
    <m/>
    <m/>
    <m/>
  </r>
  <r>
    <x v="13"/>
    <x v="7"/>
    <s v="F:\images\20210408\plaque 2/@01 Testo 30/H1_01.tif "/>
    <s v=" 52387.6048 "/>
    <s v=" 77.7461 "/>
    <x v="0"/>
    <n v="4072931"/>
    <m/>
    <m/>
    <m/>
  </r>
  <r>
    <x v="13"/>
    <x v="7"/>
    <s v="F:\images\20210408\plaque 2/@01 Testo 30/H1_02.tif "/>
    <s v=" 47910.2166 "/>
    <s v=" 74.8284 "/>
    <x v="0"/>
    <n v="3585047"/>
    <m/>
    <m/>
    <m/>
  </r>
  <r>
    <x v="13"/>
    <x v="7"/>
    <s v="F:\images\20210408\plaque 2/@01 Testo 30/H1_03.tif "/>
    <s v=" 42827.1914 "/>
    <s v=" 75.8247 "/>
    <x v="0"/>
    <n v="3247361"/>
    <m/>
    <m/>
    <m/>
  </r>
  <r>
    <x v="1"/>
    <x v="8"/>
    <s v=" "/>
    <m/>
    <m/>
    <x v="1"/>
    <m/>
    <m/>
    <m/>
    <m/>
  </r>
  <r>
    <x v="1"/>
    <x v="8"/>
    <s v="group "/>
    <s v=" "/>
    <s v=" mean of mean fluo "/>
    <x v="2"/>
    <s v=" mean of total fluo "/>
    <s v=" SD total fluo "/>
    <s v=" n fluorescent "/>
    <s v=" n total"/>
  </r>
  <r>
    <x v="13"/>
    <x v="9"/>
    <s v="F:\images\20210408\plaque 2/@01 Testo 30/ "/>
    <s v=" "/>
    <s v=" 71.0992 "/>
    <x v="15"/>
    <s v=" 2383350.29 "/>
    <s v=" 165277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408\plaque 2/@02 Testo 30/A2_01.tif "/>
    <s v=" 52539.0141 "/>
    <s v=" 72.7048 "/>
    <x v="0"/>
    <n v="3819839"/>
    <m/>
    <m/>
    <m/>
  </r>
  <r>
    <x v="14"/>
    <x v="0"/>
    <s v="F:\images\20210408\plaque 2/@02 Testo 30/A2_02.tif "/>
    <s v=" 44124.985 "/>
    <s v=" 70.0471 "/>
    <x v="0"/>
    <n v="3090825"/>
    <m/>
    <m/>
    <m/>
  </r>
  <r>
    <x v="14"/>
    <x v="0"/>
    <s v="F:\images\20210408\plaque 2/@02 Testo 30/A2_03.tif "/>
    <s v=" 42286.444 "/>
    <s v=" 69.6107 "/>
    <x v="0"/>
    <n v="2943591"/>
    <m/>
    <m/>
    <m/>
  </r>
  <r>
    <x v="14"/>
    <x v="1"/>
    <s v="F:\images\20210408\plaque 2/@02 Testo 30/B2_01.tif "/>
    <s v=" 19575.0546 "/>
    <s v=" 73.4751 "/>
    <x v="0"/>
    <n v="1438280"/>
    <m/>
    <m/>
    <m/>
  </r>
  <r>
    <x v="14"/>
    <x v="1"/>
    <s v="F:\images\20210408\plaque 2/@02 Testo 30/B2_02.tif "/>
    <s v=" 22451.8306 "/>
    <s v=" 72.3863 "/>
    <x v="0"/>
    <n v="1625205"/>
    <m/>
    <m/>
    <m/>
  </r>
  <r>
    <x v="14"/>
    <x v="1"/>
    <s v="F:\images\20210408\plaque 2/@02 Testo 30/B2_03.tif "/>
    <s v=" 21262.1864 "/>
    <s v=" 71.9084 "/>
    <x v="0"/>
    <n v="1528931"/>
    <m/>
    <m/>
    <m/>
  </r>
  <r>
    <x v="14"/>
    <x v="2"/>
    <s v="F:\images\20210408\plaque 2/@02 Testo 30/C2_01.tif "/>
    <s v=" 47455.9888 "/>
    <s v=" 74.3637 "/>
    <x v="0"/>
    <n v="3529004"/>
    <m/>
    <m/>
    <m/>
  </r>
  <r>
    <x v="14"/>
    <x v="2"/>
    <s v="F:\images\20210408\plaque 2/@02 Testo 30/C2_02.tif "/>
    <s v=" 53252.8006 "/>
    <s v=" 73.7055 "/>
    <x v="0"/>
    <n v="3925026"/>
    <m/>
    <m/>
    <m/>
  </r>
  <r>
    <x v="14"/>
    <x v="2"/>
    <s v="F:\images\20210408\plaque 2/@02 Testo 30/C2_03.tif "/>
    <s v=" 50354.3947 "/>
    <s v=" 73.6456 "/>
    <x v="0"/>
    <n v="3708381"/>
    <m/>
    <m/>
    <m/>
  </r>
  <r>
    <x v="14"/>
    <x v="3"/>
    <s v="F:\images\20210408\plaque 2/@02 Testo 30/D2_01.tif "/>
    <s v=" 57449.0001 "/>
    <s v=" 77.6476 "/>
    <x v="0"/>
    <n v="4460776"/>
    <m/>
    <m/>
    <m/>
  </r>
  <r>
    <x v="14"/>
    <x v="3"/>
    <s v="F:\images\20210408\plaque 2/@02 Testo 30/D2_02.tif "/>
    <s v=" 51608.9286 "/>
    <s v=" 76.215 "/>
    <x v="0"/>
    <n v="3933375"/>
    <m/>
    <m/>
    <m/>
  </r>
  <r>
    <x v="14"/>
    <x v="3"/>
    <s v="F:\images\20210408\plaque 2/@02 Testo 30/D2_03- exclu.tif"/>
    <m/>
    <m/>
    <x v="1"/>
    <m/>
    <m/>
    <m/>
    <m/>
  </r>
  <r>
    <x v="14"/>
    <x v="4"/>
    <s v="F:\images\20210408\plaque 2/@02 Testo 30/E2_01.tif "/>
    <s v=" 12307.41 "/>
    <s v=" 67.3708 "/>
    <x v="0"/>
    <n v="829160"/>
    <m/>
    <m/>
    <m/>
  </r>
  <r>
    <x v="14"/>
    <x v="4"/>
    <s v="F:\images\20210408\plaque 2/@02 Testo 30/E2_02.tif "/>
    <s v=" 12653.4884 "/>
    <s v=" 66.4274 "/>
    <x v="0"/>
    <n v="840538"/>
    <m/>
    <m/>
    <m/>
  </r>
  <r>
    <x v="14"/>
    <x v="4"/>
    <s v="F:\images\20210408\plaque 2/@02 Testo 30/E2_03.tif "/>
    <s v=" 12934.677 "/>
    <s v=" 67.7057 "/>
    <x v="0"/>
    <n v="875751"/>
    <m/>
    <m/>
    <m/>
  </r>
  <r>
    <x v="14"/>
    <x v="5"/>
    <s v="F:\images\20210408\plaque 2/@02 Testo 30/F2_01.tif "/>
    <s v=" 41832.2162 "/>
    <s v=" 73.3692 "/>
    <x v="0"/>
    <n v="3069196"/>
    <m/>
    <m/>
    <m/>
  </r>
  <r>
    <x v="14"/>
    <x v="5"/>
    <s v="F:\images\20210408\plaque 2/@02 Testo 30/F2_02.tif "/>
    <s v=" 38652.6217 "/>
    <s v=" 73.0929 "/>
    <x v="0"/>
    <n v="2825232"/>
    <m/>
    <m/>
    <m/>
  </r>
  <r>
    <x v="14"/>
    <x v="5"/>
    <s v="F:\images\20210408\plaque 2/@02 Testo 30/F2_03.tif "/>
    <s v=" 33721.0057 "/>
    <s v=" 74.592 "/>
    <x v="0"/>
    <n v="2515319"/>
    <m/>
    <m/>
    <m/>
  </r>
  <r>
    <x v="14"/>
    <x v="6"/>
    <s v="F:\images\20210408\plaque 2/@02 Testo 30/G2_01- exclu.tif"/>
    <m/>
    <m/>
    <x v="1"/>
    <m/>
    <m/>
    <m/>
    <m/>
  </r>
  <r>
    <x v="14"/>
    <x v="6"/>
    <s v="F:\images\20210408\plaque 2/@02 Testo 30/G2_02- exclu.tif"/>
    <m/>
    <m/>
    <x v="1"/>
    <m/>
    <m/>
    <m/>
    <m/>
  </r>
  <r>
    <x v="14"/>
    <x v="6"/>
    <s v="F:\images\20210408\plaque 2/@02 Testo 30/G2_03- exclu.tif"/>
    <m/>
    <m/>
    <x v="1"/>
    <m/>
    <m/>
    <m/>
    <m/>
  </r>
  <r>
    <x v="14"/>
    <x v="7"/>
    <s v="F:\images\20210408\plaque 2/@02 Testo 30/H2_01.tif "/>
    <s v=" 29546.4361 "/>
    <s v=" 69.6654 "/>
    <x v="0"/>
    <n v="2058366"/>
    <m/>
    <m/>
    <m/>
  </r>
  <r>
    <x v="14"/>
    <x v="7"/>
    <s v="F:\images\20210408\plaque 2/@02 Testo 30/H2_02.tif "/>
    <s v=" 22776.279 "/>
    <s v=" 69.1586 "/>
    <x v="0"/>
    <n v="1575175"/>
    <m/>
    <m/>
    <m/>
  </r>
  <r>
    <x v="14"/>
    <x v="7"/>
    <s v="F:\images\20210408\plaque 2/@02 Testo 30/H2_03.tif "/>
    <s v=" 13021.1966 "/>
    <s v=" 65.3272 "/>
    <x v="0"/>
    <n v="850639"/>
    <m/>
    <m/>
    <m/>
  </r>
  <r>
    <x v="1"/>
    <x v="8"/>
    <s v=" "/>
    <m/>
    <m/>
    <x v="1"/>
    <m/>
    <m/>
    <m/>
    <m/>
  </r>
  <r>
    <x v="1"/>
    <x v="8"/>
    <s v="group "/>
    <s v=" "/>
    <s v=" mean of mean fluo "/>
    <x v="2"/>
    <s v=" mean of total fluo "/>
    <s v=" SD total fluo "/>
    <s v=" n fluorescent "/>
    <s v=" n total"/>
  </r>
  <r>
    <x v="14"/>
    <x v="9"/>
    <s v="F:\images\20210408\plaque 2/@02 Testo 30/ "/>
    <s v=" "/>
    <s v=" 70.7118 "/>
    <x v="16"/>
    <s v=" 2089793.04 "/>
    <s v=" 1410132.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408\plaque 2/@03 Testo+ EE2 64/A3_01.tif "/>
    <s v=" 32142.0234 "/>
    <s v=" 77.0067 "/>
    <x v="0"/>
    <n v="2475152"/>
    <m/>
    <m/>
    <m/>
  </r>
  <r>
    <x v="15"/>
    <x v="0"/>
    <s v="F:\images\20210408\plaque 2/@03 Testo+ EE2 64/A3_02.tif "/>
    <s v=" 25501.6458 "/>
    <s v=" 78.4385 "/>
    <x v="0"/>
    <n v="2000311"/>
    <m/>
    <m/>
    <m/>
  </r>
  <r>
    <x v="15"/>
    <x v="0"/>
    <s v="F:\images\20210408\plaque 2/@03 Testo+ EE2 64/A3_03.tif "/>
    <s v=" 25285.3468 "/>
    <s v=" 78.7613 "/>
    <x v="0"/>
    <n v="1991508"/>
    <m/>
    <m/>
    <m/>
  </r>
  <r>
    <x v="15"/>
    <x v="1"/>
    <s v="F:\images\20210408\plaque 2/@03 Testo+ EE2 64/B3_01.tif "/>
    <s v=" 30303.4824 "/>
    <s v=" 75.2819 "/>
    <x v="0"/>
    <n v="2281305"/>
    <m/>
    <m/>
    <m/>
  </r>
  <r>
    <x v="15"/>
    <x v="1"/>
    <s v="F:\images\20210408\plaque 2/@03 Testo+ EE2 64/B3_02.tif "/>
    <s v=" 30584.671 "/>
    <s v=" 78.7306 "/>
    <x v="0"/>
    <n v="2407948"/>
    <m/>
    <m/>
    <m/>
  </r>
  <r>
    <x v="15"/>
    <x v="1"/>
    <s v="F:\images\20210408\plaque 2/@03 Testo+ EE2 64/B3_03.tif "/>
    <s v=" 32401.5822 "/>
    <s v=" 80.3738 "/>
    <x v="0"/>
    <n v="2604239"/>
    <m/>
    <m/>
    <m/>
  </r>
  <r>
    <x v="15"/>
    <x v="2"/>
    <s v="F:\images\20210408\plaque 2/@03 Testo+ EE2 64/C3_01.tif "/>
    <s v=" 56367.5054 "/>
    <s v=" 78.7625 "/>
    <x v="0"/>
    <n v="4439644"/>
    <m/>
    <m/>
    <m/>
  </r>
  <r>
    <x v="15"/>
    <x v="2"/>
    <s v="F:\images\20210408\plaque 2/@03 Testo+ EE2 64/C3_02.tif "/>
    <s v=" 49467.569 "/>
    <s v=" 76.6458 "/>
    <x v="0"/>
    <n v="3791483"/>
    <m/>
    <m/>
    <m/>
  </r>
  <r>
    <x v="15"/>
    <x v="2"/>
    <s v="F:\images\20210408\plaque 2/@03 Testo+ EE2 64/C3_03.tif "/>
    <s v=" 54766.8932 "/>
    <s v=" 77.6987 "/>
    <x v="0"/>
    <n v="4255314"/>
    <m/>
    <m/>
    <m/>
  </r>
  <r>
    <x v="15"/>
    <x v="3"/>
    <s v="F:\images\20210408\plaque 2/@03 Testo+ EE2 64/D3_01.tif "/>
    <s v=" 21456.8555 "/>
    <s v=" 78.2903 "/>
    <x v="0"/>
    <n v="1679864"/>
    <m/>
    <m/>
    <m/>
  </r>
  <r>
    <x v="15"/>
    <x v="3"/>
    <s v="F:\images\20210408\plaque 2/@03 Testo+ EE2 64/D3_02.tif "/>
    <s v=" 17130.8765 "/>
    <s v=" 81.8573 "/>
    <x v="0"/>
    <n v="1402288"/>
    <m/>
    <m/>
    <m/>
  </r>
  <r>
    <x v="15"/>
    <x v="3"/>
    <s v="F:\images\20210408\plaque 2/@03 Testo+ EE2 64/D3_03.tif "/>
    <s v=" 17303.9157 "/>
    <s v=" 76.19 "/>
    <x v="0"/>
    <n v="1318385"/>
    <m/>
    <m/>
    <m/>
  </r>
  <r>
    <x v="15"/>
    <x v="4"/>
    <s v="F:\images\20210408\plaque 2/@03 Testo+ EE2 64/E3_01.tif "/>
    <s v=" 59179.3917 "/>
    <s v=" 87.3118 "/>
    <x v="0"/>
    <n v="5167057"/>
    <m/>
    <m/>
    <m/>
  </r>
  <r>
    <x v="15"/>
    <x v="4"/>
    <s v="F:\images\20210408\plaque 2/@03 Testo+ EE2 64/E3_02.tif "/>
    <s v=" 63202.5521 "/>
    <s v=" 80.6903 "/>
    <x v="0"/>
    <n v="5099832"/>
    <m/>
    <m/>
    <m/>
  </r>
  <r>
    <x v="15"/>
    <x v="4"/>
    <s v="F:\images\20210408\plaque 2/@03 Testo+ EE2 64/E3_03.tif "/>
    <s v=" 64392.1963 "/>
    <s v=" 81.0632 "/>
    <x v="0"/>
    <n v="5219834"/>
    <m/>
    <m/>
    <m/>
  </r>
  <r>
    <x v="15"/>
    <x v="5"/>
    <s v="F:\images\20210408\plaque 2/@03 Testo+ EE2 64/F3_01.tif "/>
    <s v=" 50354.3947 "/>
    <s v=" 81.6027 "/>
    <x v="0"/>
    <n v="4109053"/>
    <m/>
    <m/>
    <m/>
  </r>
  <r>
    <x v="15"/>
    <x v="5"/>
    <s v="F:\images\20210408\plaque 2/@03 Testo+ EE2 64/F3_02.tif "/>
    <s v=" 52863.4625 "/>
    <s v=" 76.8621 "/>
    <x v="0"/>
    <n v="4063197"/>
    <m/>
    <m/>
    <m/>
  </r>
  <r>
    <x v="15"/>
    <x v="5"/>
    <s v="F:\images\20210408\plaque 2/@03 Testo+ EE2 64/F3_03.tif "/>
    <s v=" 53274.4305 "/>
    <s v=" 79.7268 "/>
    <x v="0"/>
    <n v="4247398"/>
    <m/>
    <m/>
    <m/>
  </r>
  <r>
    <x v="15"/>
    <x v="6"/>
    <s v="F:\images\20210408\plaque 2/@03 Testo+ EE2 64/G3_01.tif "/>
    <s v=" 11269.1751 "/>
    <s v=" 70.6526 "/>
    <x v="0"/>
    <n v="796196"/>
    <m/>
    <m/>
    <m/>
  </r>
  <r>
    <x v="15"/>
    <x v="6"/>
    <s v="F:\images\20210408\plaque 2/@03 Testo+ EE2 64/G3_02.tif "/>
    <s v=" 12026.2214 "/>
    <s v=" 73.9928 "/>
    <x v="0"/>
    <n v="889854"/>
    <m/>
    <m/>
    <m/>
  </r>
  <r>
    <x v="15"/>
    <x v="6"/>
    <s v="F:\images\20210408\plaque 2/@03 Testo+ EE2 64/G3_03- exclu.tif"/>
    <m/>
    <m/>
    <x v="1"/>
    <m/>
    <m/>
    <m/>
    <m/>
  </r>
  <r>
    <x v="15"/>
    <x v="7"/>
    <s v="F:\images\20210408\plaque 2/@03 Testo+ EE2 64/H3_01.tif "/>
    <s v=" 40058.5649 "/>
    <s v=" 71.8952 "/>
    <x v="0"/>
    <n v="2880020"/>
    <m/>
    <m/>
    <m/>
  </r>
  <r>
    <x v="15"/>
    <x v="7"/>
    <s v="F:\images\20210408\plaque 2/@03 Testo+ EE2 64/H3_02.tif "/>
    <s v=" 40599.3122 "/>
    <s v=" 70.609 "/>
    <x v="0"/>
    <n v="2866675"/>
    <m/>
    <m/>
    <m/>
  </r>
  <r>
    <x v="15"/>
    <x v="7"/>
    <s v="F:\images\20210408\plaque 2/@03 Testo+ EE2 64/H3_03.tif "/>
    <s v=" 35083.6891 "/>
    <s v=" 70.5086 "/>
    <x v="0"/>
    <n v="2473703"/>
    <m/>
    <m/>
    <m/>
  </r>
  <r>
    <x v="1"/>
    <x v="8"/>
    <s v=" "/>
    <m/>
    <m/>
    <x v="1"/>
    <m/>
    <m/>
    <m/>
    <m/>
  </r>
  <r>
    <x v="1"/>
    <x v="8"/>
    <s v="group "/>
    <s v=" "/>
    <s v=" mean of mean fluo "/>
    <x v="2"/>
    <s v=" mean of total fluo "/>
    <s v=" SD total fluo "/>
    <s v=" n fluorescent "/>
    <s v=" n total"/>
  </r>
  <r>
    <x v="15"/>
    <x v="9"/>
    <s v="F:\images\20210408\plaque 2/@03 Testo+ EE2 64/ "/>
    <s v=" "/>
    <s v=" 77.0515 "/>
    <x v="17"/>
    <s v=" 2860515.71 "/>
    <s v=" 1469975.6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408\plaque 2/@04 Testo+ FAD/A4_01.tif "/>
    <s v=" 4001.5305 "/>
    <s v=" 70.7946 "/>
    <x v="0"/>
    <n v="283287"/>
    <m/>
    <m/>
    <m/>
  </r>
  <r>
    <x v="16"/>
    <x v="0"/>
    <s v="F:\images\20210408\plaque 2/@04 Testo+ FAD/A4_02.tif "/>
    <s v=" 173.0392 "/>
    <n v="66"/>
    <x v="0"/>
    <n v="11421"/>
    <m/>
    <m/>
    <m/>
  </r>
  <r>
    <x v="16"/>
    <x v="0"/>
    <s v="F:\images\20210408\plaque 2/@04 Testo+ FAD/A4_03.tif "/>
    <s v=" 194.6691 "/>
    <s v=" 62.6667 "/>
    <x v="0"/>
    <n v="12199"/>
    <m/>
    <m/>
    <m/>
  </r>
  <r>
    <x v="16"/>
    <x v="1"/>
    <s v="F:\images\20210408\plaque 2/@04 Testo+ FAD/B4_01.tif "/>
    <s v=" 5256.0644 "/>
    <s v=" 72.8642 "/>
    <x v="0"/>
    <n v="382979"/>
    <m/>
    <m/>
    <m/>
  </r>
  <r>
    <x v="16"/>
    <x v="1"/>
    <s v="F:\images\20210408\plaque 2/@04 Testo+ FAD/B4_02.tif "/>
    <s v=" 6272.6694 "/>
    <s v=" 75.269 "/>
    <x v="0"/>
    <n v="472137"/>
    <m/>
    <m/>
    <m/>
  </r>
  <r>
    <x v="16"/>
    <x v="1"/>
    <s v="F:\images\20210408\plaque 2/@04 Testo+ FAD/B4_03.tif "/>
    <s v=" 324.4484 "/>
    <s v=" 63.3333 "/>
    <x v="0"/>
    <n v="20548"/>
    <m/>
    <m/>
    <m/>
  </r>
  <r>
    <x v="16"/>
    <x v="2"/>
    <s v="F:\images\20210408\plaque 2/@04 Testo+ FAD/C4_01.tif "/>
    <s v=" 8197.7301 "/>
    <s v=" 80.0765 "/>
    <x v="0"/>
    <n v="656446"/>
    <m/>
    <m/>
    <m/>
  </r>
  <r>
    <x v="16"/>
    <x v="2"/>
    <s v="F:\images\20210408\plaque 2/@04 Testo+ FAD/C4_02.tif "/>
    <s v=" 346.0783 "/>
    <s v=" 63.875 "/>
    <x v="0"/>
    <n v="22106"/>
    <m/>
    <m/>
    <m/>
  </r>
  <r>
    <x v="16"/>
    <x v="2"/>
    <s v="F:\images\20210408\plaque 2/@04 Testo+ FAD/C4_03.tif "/>
    <s v=" 8197.7301 "/>
    <s v=" 81.2296 "/>
    <x v="0"/>
    <n v="665898"/>
    <m/>
    <m/>
    <m/>
  </r>
  <r>
    <x v="16"/>
    <x v="3"/>
    <s v="F:\images\20210408\plaque 2/@04 Testo+ FAD/D4_01.tif "/>
    <s v=" 1968.3204 "/>
    <s v=" 64.0879 "/>
    <x v="0"/>
    <n v="126146"/>
    <m/>
    <m/>
    <m/>
  </r>
  <r>
    <x v="16"/>
    <x v="3"/>
    <s v="F:\images\20210408\plaque 2/@04 Testo+ FAD/D4_02.tif "/>
    <s v=" 1081.4947 "/>
    <s v=" 63.74 "/>
    <x v="0"/>
    <n v="68934"/>
    <m/>
    <m/>
    <m/>
  </r>
  <r>
    <x v="16"/>
    <x v="3"/>
    <s v="F:\images\20210408\plaque 2/@04 Testo+ FAD/D4_03.tif "/>
    <s v=" 1189.6442 "/>
    <s v=" 64.9273 "/>
    <x v="0"/>
    <n v="77240"/>
    <m/>
    <m/>
    <m/>
  </r>
  <r>
    <x v="16"/>
    <x v="4"/>
    <s v="F:\images\20210408\plaque 2/@04 Testo+ FAD/E4_01- exclu.tif"/>
    <m/>
    <m/>
    <x v="1"/>
    <m/>
    <m/>
    <m/>
    <m/>
  </r>
  <r>
    <x v="16"/>
    <x v="4"/>
    <s v="F:\images\20210408\plaque 2/@04 Testo+ FAD/E4_02.tif "/>
    <s v=" 151.4093 "/>
    <s v=" 63.8571 "/>
    <x v="0"/>
    <n v="9669"/>
    <m/>
    <m/>
    <m/>
  </r>
  <r>
    <x v="16"/>
    <x v="4"/>
    <s v="F:\images\20210408\plaque 2/@04 Testo+ FAD/E4_03.tif "/>
    <s v=" 194.6691 "/>
    <s v=" 61.1111 "/>
    <x v="0"/>
    <n v="11896"/>
    <m/>
    <m/>
    <m/>
  </r>
  <r>
    <x v="16"/>
    <x v="5"/>
    <s v="F:\images\20210408\plaque 2/@04 Testo+ FAD/F4_01.tif "/>
    <s v=" 367.7082 "/>
    <s v=" 64.7059 "/>
    <x v="0"/>
    <n v="23793"/>
    <m/>
    <m/>
    <m/>
  </r>
  <r>
    <x v="16"/>
    <x v="5"/>
    <s v="F:\images\20210408\plaque 2/@04 Testo+ FAD/F4_02.tif "/>
    <s v=" 302.8185 "/>
    <s v=" 65.4286 "/>
    <x v="0"/>
    <n v="19813"/>
    <m/>
    <m/>
    <m/>
  </r>
  <r>
    <x v="16"/>
    <x v="5"/>
    <s v="F:\images\20210408\plaque 2/@04 Testo+ FAD/F4_03.tif "/>
    <s v=" 237.9288 "/>
    <s v=" 64.9091 "/>
    <x v="0"/>
    <n v="15444"/>
    <m/>
    <m/>
    <m/>
  </r>
  <r>
    <x v="16"/>
    <x v="6"/>
    <s v="F:\images\20210408\plaque 2/@04 Testo+ FAD/G4_01.tif "/>
    <s v=" 1427.573 "/>
    <s v=" 63.3788 "/>
    <x v="0"/>
    <n v="90478"/>
    <m/>
    <m/>
    <m/>
  </r>
  <r>
    <x v="16"/>
    <x v="6"/>
    <s v="F:\images\20210408\plaque 2/@04 Testo+ FAD/G4_02.tif "/>
    <s v=" 216.2989 "/>
    <s v=" 63.8 "/>
    <x v="0"/>
    <n v="13800"/>
    <m/>
    <m/>
    <m/>
  </r>
  <r>
    <x v="16"/>
    <x v="6"/>
    <s v="F:\images\20210408\plaque 2/@04 Testo+ FAD/G4_03.tif "/>
    <s v=" 2400.9183 "/>
    <s v=" 64.9189 "/>
    <x v="0"/>
    <n v="155865"/>
    <m/>
    <m/>
    <m/>
  </r>
  <r>
    <x v="16"/>
    <x v="7"/>
    <s v="F:\images\20210408\plaque 2/@04 Testo+ FAD/H4_01.tif "/>
    <s v=" 670.5267 "/>
    <n v="65"/>
    <x v="0"/>
    <n v="43584"/>
    <m/>
    <m/>
    <m/>
  </r>
  <r>
    <x v="16"/>
    <x v="7"/>
    <s v="F:\images\20210408\plaque 2/@04 Testo+ FAD/H4_02.tif "/>
    <s v=" 324.4484 "/>
    <s v=" 67.2 "/>
    <x v="0"/>
    <n v="21803"/>
    <m/>
    <m/>
    <m/>
  </r>
  <r>
    <x v="16"/>
    <x v="7"/>
    <s v="F:\images\20210408\plaque 2/@04 Testo+ FAD/H4_03.tif "/>
    <s v=" 951.7154 "/>
    <s v=" 66.6136 "/>
    <x v="0"/>
    <n v="63397"/>
    <m/>
    <m/>
    <m/>
  </r>
  <r>
    <x v="1"/>
    <x v="8"/>
    <s v=" "/>
    <m/>
    <m/>
    <x v="1"/>
    <m/>
    <m/>
    <m/>
    <m/>
  </r>
  <r>
    <x v="1"/>
    <x v="8"/>
    <s v="group "/>
    <s v=" "/>
    <s v=" mean of mean fluo "/>
    <x v="2"/>
    <s v=" mean of total fluo "/>
    <s v=" SD total fluo "/>
    <s v=" n fluorescent "/>
    <s v=" n total"/>
  </r>
  <r>
    <x v="16"/>
    <x v="9"/>
    <s v="F:\images\20210408\plaque 2/@04 Testo+ FAD/ "/>
    <s v=" "/>
    <s v=" 67.0015 "/>
    <x v="18"/>
    <s v=" 136695.542 "/>
    <s v=" 202611.26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408\plaque 2/@05 Fadrozole 5.4 µg_L Dopé/A5_01.tif "/>
    <s v=" 5450.7334 "/>
    <s v=" 74.2579 "/>
    <x v="0"/>
    <n v="404760"/>
    <m/>
    <m/>
    <m/>
  </r>
  <r>
    <x v="17"/>
    <x v="0"/>
    <s v="F:\images\20210408\plaque 2/@05 Fadrozole 5.4 µg_L Dopé/A5_02.tif "/>
    <s v=" 216.2989 "/>
    <s v=" 61.6 "/>
    <x v="0"/>
    <n v="13324"/>
    <m/>
    <m/>
    <m/>
  </r>
  <r>
    <x v="17"/>
    <x v="0"/>
    <s v="F:\images\20210408\plaque 2/@05 Fadrozole 5.4 µg_L Dopé/A5_03.tif "/>
    <s v=" 4888.3562 "/>
    <s v=" 73.2212 "/>
    <x v="0"/>
    <n v="357931"/>
    <m/>
    <m/>
    <m/>
  </r>
  <r>
    <x v="17"/>
    <x v="1"/>
    <s v="F:\images\20210408\plaque 2/@05 Fadrozole 5.4 µg_L Dopé/B5_01.tif "/>
    <s v=" 9993.0113 "/>
    <s v=" 75.8506 "/>
    <x v="0"/>
    <n v="757976"/>
    <m/>
    <m/>
    <m/>
  </r>
  <r>
    <x v="17"/>
    <x v="1"/>
    <s v="F:\images\20210408\plaque 2/@05 Fadrozole 5.4 µg_L Dopé/B5_02.tif "/>
    <s v=" 5472.3633 "/>
    <s v=" 67.6166 "/>
    <x v="0"/>
    <n v="370023"/>
    <m/>
    <m/>
    <m/>
  </r>
  <r>
    <x v="17"/>
    <x v="1"/>
    <s v="F:\images\20210408\plaque 2/@05 Fadrozole 5.4 µg_L Dopé/B5_03.tif "/>
    <s v=" 4931.616 "/>
    <s v=" 63.557 "/>
    <x v="0"/>
    <n v="313439"/>
    <m/>
    <m/>
    <m/>
  </r>
  <r>
    <x v="17"/>
    <x v="2"/>
    <s v="F:\images\20210408\plaque 2/@05 Fadrozole 5.4 µg_L Dopé/C5_01.tif "/>
    <s v=" 2054.84 "/>
    <s v=" 65.6947 "/>
    <x v="0"/>
    <n v="134992"/>
    <m/>
    <m/>
    <m/>
  </r>
  <r>
    <x v="17"/>
    <x v="2"/>
    <s v="F:\images\20210408\plaque 2/@05 Fadrozole 5.4 µg_L Dopé/C5_02- exclu.tif"/>
    <m/>
    <m/>
    <x v="1"/>
    <m/>
    <m/>
    <m/>
    <m/>
  </r>
  <r>
    <x v="17"/>
    <x v="2"/>
    <s v="F:\images\20210408\plaque 2/@05 Fadrozole 5.4 µg_L Dopé/C5_03- exclu.tif"/>
    <m/>
    <m/>
    <x v="1"/>
    <m/>
    <m/>
    <m/>
    <m/>
  </r>
  <r>
    <x v="17"/>
    <x v="3"/>
    <s v="F:\images\20210408\plaque 2/@05 Fadrozole 5.4 µg_L Dopé/D5_01.tif "/>
    <s v=" 216.2989 "/>
    <n v="62"/>
    <x v="0"/>
    <n v="13411"/>
    <m/>
    <m/>
    <m/>
  </r>
  <r>
    <x v="17"/>
    <x v="3"/>
    <s v="F:\images\20210408\plaque 2/@05 Fadrozole 5.4 µg_L Dopé/D5_02.tif "/>
    <s v=" 5645.4025 "/>
    <s v=" 67.8161 "/>
    <x v="0"/>
    <n v="382849"/>
    <m/>
    <m/>
    <m/>
  </r>
  <r>
    <x v="17"/>
    <x v="3"/>
    <s v="F:\images\20210408\plaque 2/@05 Fadrozole 5.4 µg_L Dopé/D5_03.tif "/>
    <s v=" 6813.4168 "/>
    <s v=" 69.4095 "/>
    <x v="0"/>
    <n v="472916"/>
    <m/>
    <m/>
    <m/>
  </r>
  <r>
    <x v="17"/>
    <x v="4"/>
    <s v="F:\images\20210408\plaque 2/@05 Fadrozole 5.4 µg_L Dopé/E5_01.tif "/>
    <s v=" 1211.2741 "/>
    <s v=" 63.7679 "/>
    <x v="0"/>
    <n v="77240"/>
    <m/>
    <m/>
    <m/>
  </r>
  <r>
    <x v="17"/>
    <x v="4"/>
    <s v="F:\images\20210408\plaque 2/@05 Fadrozole 5.4 µg_L Dopé/E5_02.tif "/>
    <s v=" 1168.0143 "/>
    <s v=" 64.7037 "/>
    <x v="0"/>
    <n v="75575"/>
    <m/>
    <m/>
    <m/>
  </r>
  <r>
    <x v="17"/>
    <x v="4"/>
    <s v="F:\images\20210408\plaque 2/@05 Fadrozole 5.4 µg_L Dopé/E5_03.tif "/>
    <s v=" 1665.5019 "/>
    <s v=" 64.5844 "/>
    <x v="0"/>
    <n v="107565"/>
    <m/>
    <m/>
    <m/>
  </r>
  <r>
    <x v="17"/>
    <x v="5"/>
    <s v="F:\images\20210408\plaque 2/@05 Fadrozole 5.4 µg_L Dopé/F5_01.tif "/>
    <s v=" 692.1566 "/>
    <s v=" 64.7812 "/>
    <x v="0"/>
    <n v="44839"/>
    <m/>
    <m/>
    <m/>
  </r>
  <r>
    <x v="17"/>
    <x v="5"/>
    <s v="F:\images\20210408\plaque 2/@05 Fadrozole 5.4 µg_L Dopé/F5_02.tif "/>
    <s v=" 1124.7545 "/>
    <s v=" 64.7115 "/>
    <x v="0"/>
    <n v="72785"/>
    <m/>
    <m/>
    <m/>
  </r>
  <r>
    <x v="17"/>
    <x v="5"/>
    <s v="F:\images\20210408\plaque 2/@05 Fadrozole 5.4 µg_L Dopé/F5_03.tif "/>
    <s v=" 1276.1638 "/>
    <s v=" 65.5085 "/>
    <x v="0"/>
    <n v="83600"/>
    <m/>
    <m/>
    <m/>
  </r>
  <r>
    <x v="17"/>
    <x v="6"/>
    <s v="F:\images\20210408\plaque 2/@05 Fadrozole 5.4 µg_L Dopé/G5_01.tif "/>
    <s v=" 11117.7658 "/>
    <s v=" 85.1926 "/>
    <x v="0"/>
    <n v="947151"/>
    <m/>
    <m/>
    <m/>
  </r>
  <r>
    <x v="17"/>
    <x v="6"/>
    <s v="F:\images\20210408\plaque 2/@05 Fadrozole 5.4 µg_L Dopé/G5_02- exclu.tif"/>
    <m/>
    <m/>
    <x v="1"/>
    <m/>
    <m/>
    <m/>
    <m/>
  </r>
  <r>
    <x v="17"/>
    <x v="6"/>
    <s v="F:\images\20210408\plaque 2/@05 Fadrozole 5.4 µg_L Dopé/G5_03.tif "/>
    <s v=" 10274.1999 "/>
    <s v=" 79.4316 "/>
    <x v="0"/>
    <n v="816096"/>
    <m/>
    <m/>
    <m/>
  </r>
  <r>
    <x v="17"/>
    <x v="7"/>
    <s v="F:\images\20210408\plaque 2/@05 Fadrozole 5.4 µg_L Dopé/H5_01.tif "/>
    <s v=" 216.2989 "/>
    <s v=" 66.6 "/>
    <x v="0"/>
    <n v="14406"/>
    <m/>
    <m/>
    <m/>
  </r>
  <r>
    <x v="17"/>
    <x v="7"/>
    <s v="F:\images\20210408\plaque 2/@05 Fadrozole 5.4 µg_L Dopé/H5_02.tif "/>
    <s v=" 519.1175 "/>
    <s v=" 63.5833 "/>
    <x v="0"/>
    <n v="33007"/>
    <m/>
    <m/>
    <m/>
  </r>
  <r>
    <x v="17"/>
    <x v="7"/>
    <s v="F:\images\20210408\plaque 2/@05 Fadrozole 5.4 µg_L Dopé/H5_03.tif "/>
    <s v=" 324.4484 "/>
    <s v=" 63.5333 "/>
    <x v="0"/>
    <n v="20613"/>
    <m/>
    <m/>
    <m/>
  </r>
  <r>
    <x v="1"/>
    <x v="8"/>
    <s v=" "/>
    <m/>
    <m/>
    <x v="1"/>
    <m/>
    <m/>
    <m/>
    <m/>
  </r>
  <r>
    <x v="1"/>
    <x v="8"/>
    <s v="group "/>
    <s v=" "/>
    <s v=" mean of mean fluo "/>
    <x v="2"/>
    <s v=" mean of total fluo "/>
    <s v=" SD total fluo "/>
    <s v=" n fluorescent "/>
    <s v=" n total"/>
  </r>
  <r>
    <x v="17"/>
    <x v="9"/>
    <s v="F:\images\20210408\plaque 2/@05 Fadrozole 5.4 µg_L Dopé/ "/>
    <s v=" "/>
    <s v=" 67.5335 "/>
    <x v="19"/>
    <s v=" 231026.167 "/>
    <s v=" 280703.40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408\plaque 2/@06 Fadrozole 11 µg_L Dopé/A6_01.tif "/>
    <s v=" 2573.9575 "/>
    <s v=" 66.2353 "/>
    <x v="0"/>
    <n v="170487"/>
    <m/>
    <m/>
    <m/>
  </r>
  <r>
    <x v="18"/>
    <x v="0"/>
    <s v="F:\images\20210408\plaque 2/@06 Fadrozole 11 µg_L Dopé/A6_02.tif "/>
    <s v=" 7116.2353 "/>
    <s v=" 65.921 "/>
    <x v="0"/>
    <n v="469109"/>
    <m/>
    <m/>
    <m/>
  </r>
  <r>
    <x v="18"/>
    <x v="0"/>
    <s v="F:\images\20210408\plaque 2/@06 Fadrozole 11 µg_L Dopé/A6_03.tif "/>
    <s v=" 8478.9187 "/>
    <s v=" 78.1709 "/>
    <x v="0"/>
    <n v="662805"/>
    <m/>
    <m/>
    <m/>
  </r>
  <r>
    <x v="18"/>
    <x v="1"/>
    <s v="F:\images\20210408\plaque 2/@06 Fadrozole 11 µg_L Dopé/B6_01.tif "/>
    <s v=" 7894.9115 "/>
    <s v=" 86.1205 "/>
    <x v="0"/>
    <n v="679914"/>
    <m/>
    <m/>
    <m/>
  </r>
  <r>
    <x v="18"/>
    <x v="1"/>
    <s v="F:\images\20210408\plaque 2/@06 Fadrozole 11 µg_L Dopé/B6_02.tif "/>
    <s v=" 2033.2101 "/>
    <s v=" 64.117 "/>
    <x v="0"/>
    <n v="130363"/>
    <m/>
    <m/>
    <m/>
  </r>
  <r>
    <x v="18"/>
    <x v="1"/>
    <s v="F:\images\20210408\plaque 2/@06 Fadrozole 11 µg_L Dopé/B6_03.tif "/>
    <s v=" 5104.6551 "/>
    <s v=" 71.339 "/>
    <x v="0"/>
    <n v="364161"/>
    <m/>
    <m/>
    <m/>
  </r>
  <r>
    <x v="18"/>
    <x v="2"/>
    <s v="F:\images\20210408\plaque 2/@06 Fadrozole 11 µg_L Dopé/C6_01.tif "/>
    <s v=" 2054.84 "/>
    <s v=" 67.1053 "/>
    <x v="0"/>
    <n v="137891"/>
    <m/>
    <m/>
    <m/>
  </r>
  <r>
    <x v="18"/>
    <x v="2"/>
    <s v="F:\images\20210408\plaque 2/@06 Fadrozole 11 µg_L Dopé/C6_02.tif "/>
    <s v=" 1038.2349 "/>
    <s v=" 68.1875 "/>
    <x v="0"/>
    <n v="70795"/>
    <m/>
    <m/>
    <m/>
  </r>
  <r>
    <x v="18"/>
    <x v="2"/>
    <s v="F:\images\20210408\plaque 2/@06 Fadrozole 11 µg_L Dopé/C6_03.tif "/>
    <s v=" 843.5659 "/>
    <s v=" 66.2821 "/>
    <x v="0"/>
    <n v="55913"/>
    <m/>
    <m/>
    <m/>
  </r>
  <r>
    <x v="18"/>
    <x v="3"/>
    <s v="F:\images\20210408\plaque 2/@06 Fadrozole 11 µg_L Dopé/D6_01.tif "/>
    <s v=" 627.2669 "/>
    <s v=" 64.2414 "/>
    <x v="0"/>
    <n v="40296"/>
    <m/>
    <m/>
    <m/>
  </r>
  <r>
    <x v="18"/>
    <x v="3"/>
    <s v="F:\images\20210408\plaque 2/@06 Fadrozole 11 µg_L Dopé/D6_02.tif "/>
    <s v=" 562.3773 "/>
    <s v=" 65.6154 "/>
    <x v="0"/>
    <n v="36901"/>
    <m/>
    <m/>
    <m/>
  </r>
  <r>
    <x v="18"/>
    <x v="3"/>
    <s v="F:\images\20210408\plaque 2/@06 Fadrozole 11 µg_L Dopé/D6_03.tif "/>
    <s v=" 475.8577 "/>
    <s v=" 67.0455 "/>
    <x v="0"/>
    <n v="31904"/>
    <m/>
    <m/>
    <m/>
  </r>
  <r>
    <x v="18"/>
    <x v="4"/>
    <s v="F:\images\20210408\plaque 2/@06 Fadrozole 11 µg_L Dopé/E6_01.tif "/>
    <s v=" 1038.2349 "/>
    <s v=" 64.3542 "/>
    <x v="0"/>
    <n v="66815"/>
    <m/>
    <m/>
    <m/>
  </r>
  <r>
    <x v="18"/>
    <x v="4"/>
    <s v="F:\images\20210408\plaque 2/@06 Fadrozole 11 µg_L Dopé/E6_02.tif "/>
    <s v=" 627.2669 "/>
    <s v=" 63.8276 "/>
    <x v="0"/>
    <n v="40037"/>
    <m/>
    <m/>
    <m/>
  </r>
  <r>
    <x v="18"/>
    <x v="4"/>
    <s v="F:\images\20210408\plaque 2/@06 Fadrozole 11 µg_L Dopé/E6_03.tif "/>
    <s v=" 497.4876 "/>
    <s v=" 62.1739 "/>
    <x v="0"/>
    <n v="30931"/>
    <m/>
    <m/>
    <m/>
  </r>
  <r>
    <x v="18"/>
    <x v="5"/>
    <s v="F:\images\20210408\plaque 2/@06 Fadrozole 11 µg_L Dopé/F6_01.tif "/>
    <s v=" 540.7474 "/>
    <s v=" 65.12 "/>
    <x v="0"/>
    <n v="35213"/>
    <m/>
    <m/>
    <m/>
  </r>
  <r>
    <x v="18"/>
    <x v="5"/>
    <s v="F:\images\20210408\plaque 2/@06 Fadrozole 11 µg_L Dopé/F6_02.tif "/>
    <s v=" 432.5979 "/>
    <s v=" 65.45 "/>
    <x v="0"/>
    <n v="28314"/>
    <m/>
    <m/>
    <m/>
  </r>
  <r>
    <x v="18"/>
    <x v="5"/>
    <s v="F:\images\20210408\plaque 2/@06 Fadrozole 11 µg_L Dopé/F6_03.tif "/>
    <s v=" 735.4164 "/>
    <s v=" 63.1176 "/>
    <x v="0"/>
    <n v="46418"/>
    <m/>
    <m/>
    <m/>
  </r>
  <r>
    <x v="18"/>
    <x v="6"/>
    <s v="F:\images\20210408\plaque 2/@06 Fadrozole 11 µg_L Dopé/G6_01.tif "/>
    <s v=" 5147.9149 "/>
    <s v=" 68.4202 "/>
    <x v="0"/>
    <n v="352221"/>
    <m/>
    <m/>
    <m/>
  </r>
  <r>
    <x v="18"/>
    <x v="6"/>
    <s v="F:\images\20210408\plaque 2/@06 Fadrozole 11 µg_L Dopé/G6_02.tif "/>
    <s v=" 692.1566 "/>
    <s v=" 63.2188 "/>
    <x v="0"/>
    <n v="43757"/>
    <m/>
    <m/>
    <m/>
  </r>
  <r>
    <x v="18"/>
    <x v="6"/>
    <s v="F:\images\20210408\plaque 2/@06 Fadrozole 11 µg_L Dopé/G6_03.tif "/>
    <s v=" 8781.7372 "/>
    <s v=" 79.399 "/>
    <x v="0"/>
    <n v="697261"/>
    <m/>
    <m/>
    <m/>
  </r>
  <r>
    <x v="18"/>
    <x v="7"/>
    <s v="F:\images\20210408\plaque 2/@06 Fadrozole 11 µg_L Dopé/H6_01.tif "/>
    <s v=" 9625.3031 "/>
    <s v=" 69.7438 "/>
    <x v="0"/>
    <n v="671305"/>
    <m/>
    <m/>
    <m/>
  </r>
  <r>
    <x v="18"/>
    <x v="7"/>
    <s v="F:\images\20210408\plaque 2/@06 Fadrozole 11 µg_L Dopé/H6_02.tif "/>
    <s v=" 11982.9616 "/>
    <s v=" 73.5235 "/>
    <x v="0"/>
    <n v="881029"/>
    <m/>
    <m/>
    <m/>
  </r>
  <r>
    <x v="18"/>
    <x v="7"/>
    <s v="F:\images\20210408\plaque 2/@06 Fadrozole 11 µg_L Dopé/H6_03.tif "/>
    <s v=" 7678.6126 "/>
    <s v=" 70.2873 "/>
    <x v="0"/>
    <n v="539709"/>
    <m/>
    <m/>
    <m/>
  </r>
  <r>
    <x v="1"/>
    <x v="8"/>
    <s v=" "/>
    <m/>
    <m/>
    <x v="1"/>
    <m/>
    <m/>
    <m/>
    <m/>
  </r>
  <r>
    <x v="1"/>
    <x v="8"/>
    <s v="group "/>
    <s v=" "/>
    <s v=" mean of mean fluo "/>
    <x v="2"/>
    <s v=" mean of total fluo "/>
    <s v=" SD total fluo "/>
    <s v=" n fluorescent "/>
    <s v=" n total"/>
  </r>
  <r>
    <x v="18"/>
    <x v="9"/>
    <s v="F:\images\20210408\plaque 2/@06 Fadrozole 11 µg_L Dopé/ "/>
    <s v=" "/>
    <s v=" 68.2924 "/>
    <x v="20"/>
    <s v=" 261814.542 "/>
    <s v=" 281909.40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408\plaque 2/@07  Fadrozole 22 µg_L Dopé/A7_01.tif "/>
    <s v=" 778.6762 "/>
    <s v=" 63.5556 "/>
    <x v="0"/>
    <n v="49489"/>
    <m/>
    <m/>
    <m/>
  </r>
  <r>
    <x v="19"/>
    <x v="0"/>
    <s v="F:\images\20210408\plaque 2/@07  Fadrozole 22 µg_L Dopé/A7_02.tif "/>
    <s v=" 302.8185 "/>
    <s v=" 63.1429 "/>
    <x v="0"/>
    <n v="19121"/>
    <m/>
    <m/>
    <m/>
  </r>
  <r>
    <x v="19"/>
    <x v="0"/>
    <s v="F:\images\20210408\plaque 2/@07  Fadrozole 22 µg_L Dopé/A7_03.tif "/>
    <s v=" 237.9288 "/>
    <s v=" 63.2727 "/>
    <x v="0"/>
    <n v="15054"/>
    <m/>
    <m/>
    <m/>
  </r>
  <r>
    <x v="19"/>
    <x v="1"/>
    <s v="F:\images\20210408\plaque 2/@07  Fadrozole 22 µg_L Dopé/B7_01.tif "/>
    <s v=" 692.1566 "/>
    <s v=" 62.6562 "/>
    <x v="0"/>
    <n v="43368"/>
    <m/>
    <m/>
    <m/>
  </r>
  <r>
    <x v="19"/>
    <x v="1"/>
    <s v="F:\images\20210408\plaque 2/@07  Fadrozole 22 µg_L Dopé/B7_02.tif "/>
    <s v=" 1795.2813 "/>
    <s v=" 65.5301 "/>
    <x v="0"/>
    <n v="117645"/>
    <m/>
    <m/>
    <m/>
  </r>
  <r>
    <x v="19"/>
    <x v="1"/>
    <s v="F:\images\20210408\plaque 2/@07  Fadrozole 22 µg_L Dopé/B7_03.tif "/>
    <s v=" 519.1175 "/>
    <s v=" 64.8333 "/>
    <x v="0"/>
    <n v="33656"/>
    <m/>
    <m/>
    <m/>
  </r>
  <r>
    <x v="19"/>
    <x v="2"/>
    <s v="F:\images\20210408\plaque 2/@07  Fadrozole 22 µg_L Dopé/C7_01.tif "/>
    <s v=" 757.0463 "/>
    <s v=" 67.8286 "/>
    <x v="0"/>
    <n v="51349"/>
    <m/>
    <m/>
    <m/>
  </r>
  <r>
    <x v="19"/>
    <x v="2"/>
    <s v="F:\images\20210408\plaque 2/@07  Fadrozole 22 µg_L Dopé/C7_02.tif "/>
    <s v=" 410.968 "/>
    <s v=" 65.7368 "/>
    <x v="0"/>
    <n v="27016"/>
    <m/>
    <m/>
    <m/>
  </r>
  <r>
    <x v="19"/>
    <x v="2"/>
    <s v="F:\images\20210408\plaque 2/@07  Fadrozole 22 µg_L Dopé/C7_03.tif "/>
    <s v=" 973.3453 "/>
    <s v=" 65.0444 "/>
    <x v="0"/>
    <n v="63311"/>
    <m/>
    <m/>
    <m/>
  </r>
  <r>
    <x v="19"/>
    <x v="3"/>
    <s v="F:\images\20210408\plaque 2/@07  Fadrozole 22 µg_L Dopé/D7_01.tif "/>
    <s v=" 497.4876 "/>
    <s v=" 68.1304 "/>
    <x v="0"/>
    <n v="33894"/>
    <m/>
    <m/>
    <m/>
  </r>
  <r>
    <x v="19"/>
    <x v="3"/>
    <s v="F:\images\20210408\plaque 2/@07  Fadrozole 22 µg_L Dopé/D7_02.tif "/>
    <s v=" 519.1175 "/>
    <s v=" 67.3333 "/>
    <x v="0"/>
    <n v="34954"/>
    <m/>
    <m/>
    <m/>
  </r>
  <r>
    <x v="19"/>
    <x v="3"/>
    <s v="F:\images\20210408\plaque 2/@07  Fadrozole 22 µg_L Dopé/D7_03.tif "/>
    <s v=" 367.7082 "/>
    <s v=" 64.5294 "/>
    <x v="0"/>
    <n v="23728"/>
    <m/>
    <m/>
    <m/>
  </r>
  <r>
    <x v="19"/>
    <x v="4"/>
    <s v="F:\images\20210408\plaque 2/@07  Fadrozole 22 µg_L Dopé/E7_01.tif "/>
    <s v=" 5126.285 "/>
    <s v=" 71.4262 "/>
    <x v="0"/>
    <n v="366151"/>
    <m/>
    <m/>
    <m/>
  </r>
  <r>
    <x v="19"/>
    <x v="4"/>
    <s v="F:\images\20210408\plaque 2/@07  Fadrozole 22 µg_L Dopé/E7_02.tif "/>
    <s v=" 930.0855 "/>
    <s v=" 63.6047 "/>
    <x v="0"/>
    <n v="59158"/>
    <m/>
    <m/>
    <m/>
  </r>
  <r>
    <x v="19"/>
    <x v="4"/>
    <s v="F:\images\20210408\plaque 2/@07  Fadrozole 22 µg_L Dopé/E7_03.tif "/>
    <s v=" 5126.285 "/>
    <s v=" 68.7595 "/>
    <x v="0"/>
    <n v="352481"/>
    <m/>
    <m/>
    <m/>
  </r>
  <r>
    <x v="19"/>
    <x v="5"/>
    <s v="F:\images\20210408\plaque 2/@07  Fadrozole 22 µg_L Dopé/F7_01.tif "/>
    <s v=" 129.7794 "/>
    <s v=" 62.6667 "/>
    <x v="0"/>
    <n v="8133"/>
    <m/>
    <m/>
    <m/>
  </r>
  <r>
    <x v="19"/>
    <x v="5"/>
    <s v="F:\images\20210408\plaque 2/@07  Fadrozole 22 µg_L Dopé/F7_02.tif "/>
    <s v=" 259.5587 "/>
    <s v=" 63.3333 "/>
    <x v="0"/>
    <n v="16439"/>
    <m/>
    <m/>
    <m/>
  </r>
  <r>
    <x v="19"/>
    <x v="5"/>
    <s v="F:\images\20210408\plaque 2/@07  Fadrozole 22 µg_L Dopé/F7_03.tif "/>
    <s v=" 367.7082 "/>
    <n v="66"/>
    <x v="0"/>
    <n v="24269"/>
    <m/>
    <m/>
    <m/>
  </r>
  <r>
    <x v="19"/>
    <x v="6"/>
    <s v="F:\images\20210408\plaque 2/@07  Fadrozole 22 µg_L Dopé/G7_01.tif "/>
    <s v=" 216.2989 "/>
    <s v=" 64.8 "/>
    <x v="0"/>
    <n v="14016"/>
    <m/>
    <m/>
    <m/>
  </r>
  <r>
    <x v="19"/>
    <x v="6"/>
    <s v="F:\images\20210408\plaque 2/@07  Fadrozole 22 µg_L Dopé/G7_02.tif "/>
    <s v=" 259.5587 "/>
    <s v=" 62.9167 "/>
    <x v="0"/>
    <n v="16331"/>
    <m/>
    <m/>
    <m/>
  </r>
  <r>
    <x v="19"/>
    <x v="6"/>
    <s v="F:\images\20210408\plaque 2/@07  Fadrozole 22 µg_L Dopé/G7_03.tif "/>
    <s v=" 432.5979 "/>
    <s v=" 65.35 "/>
    <x v="0"/>
    <n v="28270"/>
    <m/>
    <m/>
    <m/>
  </r>
  <r>
    <x v="19"/>
    <x v="7"/>
    <s v="F:\images\20210408\plaque 2/@07  Fadrozole 22 µg_L Dopé/H7_01.tif "/>
    <s v=" 670.5267 "/>
    <s v=" 65.3226 "/>
    <x v="0"/>
    <n v="43801"/>
    <m/>
    <m/>
    <m/>
  </r>
  <r>
    <x v="19"/>
    <x v="7"/>
    <s v="F:\images\20210408\plaque 2/@07  Fadrozole 22 µg_L Dopé/H7_02.tif "/>
    <s v=" 389.3381 "/>
    <s v=" 65.5 "/>
    <x v="0"/>
    <n v="25502"/>
    <m/>
    <m/>
    <m/>
  </r>
  <r>
    <x v="19"/>
    <x v="7"/>
    <s v="F:\images\20210408\plaque 2/@07  Fadrozole 22 µg_L Dopé/H7_03.tif "/>
    <s v=" 843.5659 "/>
    <s v=" 65.0769 "/>
    <x v="0"/>
    <n v="54897"/>
    <m/>
    <m/>
    <m/>
  </r>
  <r>
    <x v="1"/>
    <x v="8"/>
    <s v=" "/>
    <m/>
    <m/>
    <x v="1"/>
    <m/>
    <m/>
    <m/>
    <m/>
  </r>
  <r>
    <x v="1"/>
    <x v="8"/>
    <s v="group "/>
    <s v=" "/>
    <s v=" mean of mean fluo "/>
    <x v="2"/>
    <s v=" mean of total fluo "/>
    <s v=" SD total fluo "/>
    <s v=" n fluorescent "/>
    <s v=" n total"/>
  </r>
  <r>
    <x v="19"/>
    <x v="9"/>
    <s v="F:\images\20210408\plaque 2/@07  Fadrozole 22 µg_L Dopé/ "/>
    <s v=" "/>
    <s v=" 65.2646 "/>
    <x v="21"/>
    <s v=" 63418.0417 "/>
    <s v=" 94007.10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408\plaque 2/@08 Fadrozole 44 µg_L Dopé/A8_01.tif "/>
    <s v=" 1578.9823 "/>
    <s v=" 71.3836 "/>
    <x v="0"/>
    <n v="112713"/>
    <m/>
    <m/>
    <m/>
  </r>
  <r>
    <x v="20"/>
    <x v="0"/>
    <s v="F:\images\20210408\plaque 2/@08 Fadrozole 44 µg_L Dopé/A8_02.tif "/>
    <s v=" 1514.0926 "/>
    <s v=" 69.4429 "/>
    <x v="0"/>
    <n v="105143"/>
    <m/>
    <m/>
    <m/>
  </r>
  <r>
    <x v="20"/>
    <x v="0"/>
    <s v="F:\images\20210408\plaque 2/@08 Fadrozole 44 µg_L Dopé/A8_03.tif "/>
    <s v=" 778.6762 "/>
    <s v=" 67.2222 "/>
    <x v="0"/>
    <n v="52344"/>
    <m/>
    <m/>
    <m/>
  </r>
  <r>
    <x v="20"/>
    <x v="1"/>
    <s v="F:\images\20210408\plaque 2/@08 Fadrozole 44 µg_L Dopé/B8_01.tif "/>
    <s v=" 648.8968 "/>
    <s v=" 64.7333 "/>
    <x v="0"/>
    <n v="42005"/>
    <m/>
    <m/>
    <m/>
  </r>
  <r>
    <x v="20"/>
    <x v="1"/>
    <s v="F:\images\20210408\plaque 2/@08 Fadrozole 44 µg_L Dopé/B8_02.tif "/>
    <s v=" 2682.1069 "/>
    <s v=" 64.7097 "/>
    <x v="0"/>
    <n v="173558"/>
    <m/>
    <m/>
    <m/>
  </r>
  <r>
    <x v="20"/>
    <x v="1"/>
    <s v="F:\images\20210408\plaque 2/@08 Fadrozole 44 µg_L Dopé/B8_03.tif "/>
    <s v=" 1708.7617 "/>
    <s v=" 64.962 "/>
    <x v="0"/>
    <n v="111005"/>
    <m/>
    <m/>
    <m/>
  </r>
  <r>
    <x v="20"/>
    <x v="2"/>
    <s v="F:\images\20210408\plaque 2/@08 Fadrozole 44 µg_L Dopé/C8_01.tif "/>
    <s v=" 757.0463 "/>
    <s v=" 64.6571 "/>
    <x v="0"/>
    <n v="48948"/>
    <m/>
    <m/>
    <m/>
  </r>
  <r>
    <x v="20"/>
    <x v="2"/>
    <s v="F:\images\20210408\plaque 2/@08 Fadrozole 44 µg_L Dopé/C8_02.tif "/>
    <s v=" 2033.2101 "/>
    <s v=" 67.5957 "/>
    <x v="0"/>
    <n v="137436"/>
    <m/>
    <m/>
    <m/>
  </r>
  <r>
    <x v="20"/>
    <x v="2"/>
    <s v="F:\images\20210408\plaque 2/@08 Fadrozole 44 µg_L Dopé/C8_03.tif "/>
    <s v=" 692.1566 "/>
    <s v=" 62.625 "/>
    <x v="0"/>
    <n v="43346"/>
    <m/>
    <m/>
    <m/>
  </r>
  <r>
    <x v="20"/>
    <x v="3"/>
    <s v="F:\images\20210408\plaque 2/@08 Fadrozole 44 µg_L Dopé/D8_01.tif "/>
    <s v=" 735.4164 "/>
    <s v=" 66.6176 "/>
    <x v="0"/>
    <n v="48992"/>
    <m/>
    <m/>
    <m/>
  </r>
  <r>
    <x v="20"/>
    <x v="3"/>
    <s v="F:\images\20210408\plaque 2/@08 Fadrozole 44 µg_L Dopé/D8_02.tif "/>
    <s v=" 4109.68 "/>
    <s v=" 72.4737 "/>
    <x v="0"/>
    <n v="297844"/>
    <m/>
    <m/>
    <m/>
  </r>
  <r>
    <x v="20"/>
    <x v="3"/>
    <s v="F:\images\20210408\plaque 2/@08 Fadrozole 44 µg_L Dopé/D8_03.tif "/>
    <s v=" 324.4484 "/>
    <s v=" 63.7333 "/>
    <x v="0"/>
    <n v="20678"/>
    <m/>
    <m/>
    <m/>
  </r>
  <r>
    <x v="20"/>
    <x v="4"/>
    <s v="F:\images\20210408\plaque 2/@08 Fadrozole 44 µg_L Dopé/E8_01.tif "/>
    <s v=" 648.8968 "/>
    <s v=" 62.4333 "/>
    <x v="0"/>
    <n v="40513"/>
    <m/>
    <m/>
    <m/>
  </r>
  <r>
    <x v="20"/>
    <x v="4"/>
    <s v="F:\images\20210408\plaque 2/@08 Fadrozole 44 µg_L Dopé/E8_02.tif "/>
    <s v=" 475.8577 "/>
    <s v=" 63.6818 "/>
    <x v="0"/>
    <n v="30303"/>
    <m/>
    <m/>
    <m/>
  </r>
  <r>
    <x v="20"/>
    <x v="4"/>
    <s v="F:\images\20210408\plaque 2/@08 Fadrozole 44 µg_L Dopé/E8_03.tif "/>
    <s v=" 519.1175 "/>
    <s v=" 63.8333 "/>
    <x v="0"/>
    <n v="33137"/>
    <m/>
    <m/>
    <m/>
  </r>
  <r>
    <x v="20"/>
    <x v="5"/>
    <s v="F:\images\20210408\plaque 2/@08 Fadrozole 44 µg_L Dopé/F8_01.tif "/>
    <s v=" 194.6691 "/>
    <s v=" 63.3333 "/>
    <x v="0"/>
    <n v="12329"/>
    <m/>
    <m/>
    <m/>
  </r>
  <r>
    <x v="20"/>
    <x v="5"/>
    <s v="F:\images\20210408\plaque 2/@08 Fadrozole 44 µg_L Dopé/F8_02.tif "/>
    <s v=" 1211.2741 "/>
    <s v=" 64.7857 "/>
    <x v="0"/>
    <n v="78473"/>
    <m/>
    <m/>
    <m/>
  </r>
  <r>
    <x v="20"/>
    <x v="5"/>
    <s v="F:\images\20210408\plaque 2/@08 Fadrozole 44 µg_L Dopé/F8_03.tif "/>
    <s v=" 713.7865 "/>
    <s v=" 63.2424 "/>
    <x v="0"/>
    <n v="45142"/>
    <m/>
    <m/>
    <m/>
  </r>
  <r>
    <x v="20"/>
    <x v="6"/>
    <s v="F:\images\20210408\plaque 2/@08 Fadrozole 44 µg_L Dopé/G8_01.tif "/>
    <s v=" 800.3061 "/>
    <s v=" 64.1892 "/>
    <x v="0"/>
    <n v="51371"/>
    <m/>
    <m/>
    <m/>
  </r>
  <r>
    <x v="20"/>
    <x v="6"/>
    <s v="F:\images\20210408\plaque 2/@08 Fadrozole 44 µg_L Dopé/G8_02.tif "/>
    <s v=" 1795.2813 "/>
    <s v=" 64.5783 "/>
    <x v="0"/>
    <n v="115936"/>
    <m/>
    <m/>
    <m/>
  </r>
  <r>
    <x v="20"/>
    <x v="6"/>
    <s v="F:\images\20210408\plaque 2/@08 Fadrozole 44 µg_L Dopé/G8_03.tif "/>
    <s v=" 2573.9575 "/>
    <s v=" 65.084 "/>
    <x v="0"/>
    <n v="167524"/>
    <m/>
    <m/>
    <m/>
  </r>
  <r>
    <x v="20"/>
    <x v="7"/>
    <s v="F:\images\20210408\plaque 2/@08 Fadrozole 44 µg_L Dopé/H8_01.tif "/>
    <s v=" 1103.1246 "/>
    <s v=" 62.8824 "/>
    <x v="0"/>
    <n v="69367"/>
    <m/>
    <m/>
    <m/>
  </r>
  <r>
    <x v="20"/>
    <x v="7"/>
    <s v="F:\images\20210408\plaque 2/@08 Fadrozole 44 µg_L Dopé/H8_02.tif "/>
    <s v=" 865.1958 "/>
    <s v=" 64.225 "/>
    <x v="0"/>
    <n v="55567"/>
    <m/>
    <m/>
    <m/>
  </r>
  <r>
    <x v="20"/>
    <x v="7"/>
    <s v="F:\images\20210408\plaque 2/@08 Fadrozole 44 µg_L Dopé/H8_03.tif "/>
    <s v=" 1946.6905 "/>
    <s v=" 66.1333 "/>
    <x v="0"/>
    <n v="128741"/>
    <m/>
    <m/>
    <m/>
  </r>
  <r>
    <x v="1"/>
    <x v="8"/>
    <s v=" "/>
    <m/>
    <m/>
    <x v="1"/>
    <m/>
    <m/>
    <m/>
    <m/>
  </r>
  <r>
    <x v="1"/>
    <x v="8"/>
    <s v="group "/>
    <s v=" "/>
    <s v=" mean of mean fluo "/>
    <x v="2"/>
    <s v=" mean of total fluo "/>
    <s v=" SD total fluo "/>
    <s v=" n fluorescent "/>
    <s v=" n total"/>
  </r>
  <r>
    <x v="20"/>
    <x v="9"/>
    <s v="F:\images\20210408\plaque 2/@08 Fadrozole 44 µg_L Dopé/ "/>
    <s v=" "/>
    <s v=" 65.3566 "/>
    <x v="22"/>
    <s v=" 84267.2917 "/>
    <s v=" 64474.63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408\plaque 2/@09  Fadrozole 87 µg_L Dopé/A9_01.tif "/>
    <s v=" 2682.1069 "/>
    <s v=" 66.4194 "/>
    <x v="0"/>
    <n v="178144"/>
    <m/>
    <m/>
    <m/>
  </r>
  <r>
    <x v="21"/>
    <x v="0"/>
    <s v="F:\images\20210408\plaque 2/@09  Fadrozole 87 µg_L Dopé/A9_02- exclu.tif"/>
    <m/>
    <m/>
    <x v="1"/>
    <m/>
    <m/>
    <m/>
    <m/>
  </r>
  <r>
    <x v="21"/>
    <x v="0"/>
    <s v="F:\images\20210408\plaque 2/@09  Fadrozole 87 µg_L Dopé/A9_03.tif "/>
    <s v=" 2357.6585 "/>
    <s v=" 64.2018 "/>
    <x v="0"/>
    <n v="151366"/>
    <m/>
    <m/>
    <m/>
  </r>
  <r>
    <x v="21"/>
    <x v="1"/>
    <s v="F:\images\20210408\plaque 2/@09  Fadrozole 87 µg_L Dopé/B9_01.tif "/>
    <s v=" 865.1958 "/>
    <s v=" 65.7 "/>
    <x v="0"/>
    <n v="56843"/>
    <m/>
    <m/>
    <m/>
  </r>
  <r>
    <x v="21"/>
    <x v="1"/>
    <s v="F:\images\20210408\plaque 2/@09  Fadrozole 87 µg_L Dopé/B9_02.tif "/>
    <s v=" 1016.605 "/>
    <s v=" 63.6596 "/>
    <x v="0"/>
    <n v="64717"/>
    <m/>
    <m/>
    <m/>
  </r>
  <r>
    <x v="21"/>
    <x v="1"/>
    <s v="F:\images\20210408\plaque 2/@09  Fadrozole 87 µg_L Dopé/B9_03.tif "/>
    <s v=" 627.2669 "/>
    <s v=" 63.1724 "/>
    <x v="0"/>
    <n v="39626"/>
    <m/>
    <m/>
    <m/>
  </r>
  <r>
    <x v="21"/>
    <x v="2"/>
    <s v="F:\images\20210408\plaque 2/@09  Fadrozole 87 µg_L Dopé/C9_01.tif "/>
    <s v=" 757.0463 "/>
    <s v=" 62.4857 "/>
    <x v="0"/>
    <n v="47305"/>
    <m/>
    <m/>
    <m/>
  </r>
  <r>
    <x v="21"/>
    <x v="2"/>
    <s v="F:\images\20210408\plaque 2/@09  Fadrozole 87 µg_L Dopé/C9_02.tif "/>
    <s v=" 367.7082 "/>
    <s v=" 63.8235 "/>
    <x v="0"/>
    <n v="23468"/>
    <m/>
    <m/>
    <m/>
  </r>
  <r>
    <x v="21"/>
    <x v="2"/>
    <s v="F:\images\20210408\plaque 2/@09  Fadrozole 87 µg_L Dopé/C9_03.tif "/>
    <s v=" 259.5587 "/>
    <s v=" 63.4167 "/>
    <x v="0"/>
    <n v="16460"/>
    <m/>
    <m/>
    <m/>
  </r>
  <r>
    <x v="21"/>
    <x v="3"/>
    <s v="F:\images\20210408\plaque 2/@09  Fadrozole 87 µg_L Dopé/D9_01.tif "/>
    <s v=" 216.2989 "/>
    <s v=" 62.9 "/>
    <x v="0"/>
    <n v="13605"/>
    <m/>
    <m/>
    <m/>
  </r>
  <r>
    <x v="21"/>
    <x v="3"/>
    <s v="F:\images\20210408\plaque 2/@09  Fadrozole 87 µg_L Dopé/D9_02.tif "/>
    <s v=" 259.5587 "/>
    <s v=" 61.75 "/>
    <x v="0"/>
    <n v="16028"/>
    <m/>
    <m/>
    <m/>
  </r>
  <r>
    <x v="21"/>
    <x v="3"/>
    <s v="F:\images\20210408\plaque 2/@09  Fadrozole 87 µg_L Dopé/D9_03.tif "/>
    <s v=" 194.6691 "/>
    <n v="64"/>
    <x v="0"/>
    <n v="12459"/>
    <m/>
    <m/>
    <m/>
  </r>
  <r>
    <x v="21"/>
    <x v="4"/>
    <s v="F:\images\20210408\plaque 2/@09  Fadrozole 87 µg_L Dopé/E9_01.tif "/>
    <s v=" 886.8257 "/>
    <s v=" 65.561 "/>
    <x v="0"/>
    <n v="58141"/>
    <m/>
    <m/>
    <m/>
  </r>
  <r>
    <x v="21"/>
    <x v="4"/>
    <s v="F:\images\20210408\plaque 2/@09  Fadrozole 87 µg_L Dopé/E9_02.tif "/>
    <s v=" 2379.2884 "/>
    <s v=" 66.4273 "/>
    <x v="0"/>
    <n v="158050"/>
    <m/>
    <m/>
    <m/>
  </r>
  <r>
    <x v="21"/>
    <x v="4"/>
    <s v="F:\images\20210408\plaque 2/@09  Fadrozole 87 µg_L Dopé/E9_03.tif "/>
    <s v=" 8976.4063 "/>
    <s v=" 74.6988 "/>
    <x v="0"/>
    <n v="670527"/>
    <m/>
    <m/>
    <m/>
  </r>
  <r>
    <x v="21"/>
    <x v="5"/>
    <s v="F:\images\20210408\plaque 2/@09  Fadrozole 87 µg_L Dopé/F9_01.tif "/>
    <s v=" 6878.3065 "/>
    <s v=" 72.5377 "/>
    <x v="0"/>
    <n v="498937"/>
    <m/>
    <m/>
    <m/>
  </r>
  <r>
    <x v="21"/>
    <x v="5"/>
    <s v="F:\images\20210408\plaque 2/@09  Fadrozole 87 µg_L Dopé/F9_02.tif "/>
    <s v=" 6337.5591 "/>
    <s v=" 74.273 "/>
    <x v="0"/>
    <n v="470710"/>
    <m/>
    <m/>
    <m/>
  </r>
  <r>
    <x v="21"/>
    <x v="5"/>
    <s v="F:\images\20210408\plaque 2/@09  Fadrozole 87 µg_L Dopé/F9_03.tif "/>
    <s v=" 886.8257 "/>
    <s v=" 64.4146 "/>
    <x v="0"/>
    <n v="57125"/>
    <m/>
    <m/>
    <m/>
  </r>
  <r>
    <x v="21"/>
    <x v="6"/>
    <s v="F:\images\20210408\plaque 2/@09  Fadrozole 87 µg_L Dopé/G9_01.tif "/>
    <s v=" 497.4876 "/>
    <s v=" 62.913 "/>
    <x v="0"/>
    <n v="31298"/>
    <m/>
    <m/>
    <m/>
  </r>
  <r>
    <x v="21"/>
    <x v="6"/>
    <s v="F:\images\20210408\plaque 2/@09  Fadrozole 87 µg_L Dopé/G9_02.tif "/>
    <s v=" 670.5267 "/>
    <s v=" 64.5806 "/>
    <x v="0"/>
    <n v="43303"/>
    <m/>
    <m/>
    <m/>
  </r>
  <r>
    <x v="21"/>
    <x v="6"/>
    <s v="F:\images\20210408\plaque 2/@09  Fadrozole 87 µg_L Dopé/G9_03.tif "/>
    <s v=" 584.0072 "/>
    <s v=" 64.3333 "/>
    <x v="0"/>
    <n v="37571"/>
    <m/>
    <m/>
    <m/>
  </r>
  <r>
    <x v="21"/>
    <x v="7"/>
    <s v="F:\images\20210408\plaque 2/@09  Fadrozole 87 µg_L Dopé/H9_01.tif "/>
    <s v=" 432.5979 "/>
    <s v=" 62.5 "/>
    <x v="0"/>
    <n v="27037"/>
    <m/>
    <m/>
    <m/>
  </r>
  <r>
    <x v="21"/>
    <x v="7"/>
    <s v="F:\images\20210408\plaque 2/@09  Fadrozole 87 µg_L Dopé/H9_02.tif "/>
    <s v=" 605.637 "/>
    <s v=" 65.2143 "/>
    <x v="0"/>
    <n v="39496"/>
    <m/>
    <m/>
    <m/>
  </r>
  <r>
    <x v="21"/>
    <x v="7"/>
    <s v="F:\images\20210408\plaque 2/@09  Fadrozole 87 µg_L Dopé/H9_03.tif "/>
    <s v=" 562.3773 "/>
    <s v=" 64.7692 "/>
    <x v="0"/>
    <n v="36425"/>
    <m/>
    <m/>
    <m/>
  </r>
  <r>
    <x v="1"/>
    <x v="8"/>
    <s v=" "/>
    <m/>
    <m/>
    <x v="1"/>
    <m/>
    <m/>
    <m/>
    <m/>
  </r>
  <r>
    <x v="1"/>
    <x v="8"/>
    <s v="group "/>
    <s v=" "/>
    <s v=" mean of mean fluo "/>
    <x v="2"/>
    <s v=" mean of total fluo "/>
    <s v=" SD total fluo "/>
    <s v=" n fluorescent "/>
    <s v=" n total"/>
  </r>
  <r>
    <x v="21"/>
    <x v="9"/>
    <s v="F:\images\20210408\plaque 2/@09  Fadrozole 87 µg_L Dopé/ "/>
    <s v=" "/>
    <s v=" 65.5399 "/>
    <x v="23"/>
    <s v=" 136606.333 "/>
    <s v=" 193351.212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images\20210407\plaque 1/@01 Evian + 0.2% DMSO/A1_01.tif "/>
    <s v=" 1860.1709 "/>
    <s v=" 63.8721 "/>
    <x v="0"/>
    <n v="118813"/>
    <m/>
    <m/>
    <m/>
  </r>
  <r>
    <x v="0"/>
    <x v="0"/>
    <s v="F:\images\20210407\plaque 1/@01 Evian + 0.2% DMSO/A1_02.tif "/>
    <s v=" 324.4484 "/>
    <s v=" 63.5333 "/>
    <x v="0"/>
    <n v="20613"/>
    <m/>
    <m/>
    <m/>
  </r>
  <r>
    <x v="0"/>
    <x v="0"/>
    <s v="F:\images\20210407\plaque 1/@01 Evian + 0.2% DMSO/A1_03.tif "/>
    <s v=" 410.968 "/>
    <s v=" 62.8947 "/>
    <x v="0"/>
    <n v="25848"/>
    <m/>
    <m/>
    <m/>
  </r>
  <r>
    <x v="0"/>
    <x v="1"/>
    <s v="F:\images\20210407\plaque 1/@01 Evian + 0.2% DMSO/B1_01- exclu.tif"/>
    <m/>
    <m/>
    <x v="1"/>
    <m/>
    <m/>
    <m/>
    <m/>
  </r>
  <r>
    <x v="0"/>
    <x v="1"/>
    <s v="F:\images\20210407\plaque 1/@01 Evian + 0.2% DMSO/B1_02.tif "/>
    <s v=" 8911.5166 "/>
    <s v=" 79.0534 "/>
    <x v="0"/>
    <n v="704486"/>
    <m/>
    <m/>
    <m/>
  </r>
  <r>
    <x v="0"/>
    <x v="1"/>
    <s v="F:\images\20210407\plaque 1/@01 Evian + 0.2% DMSO/B1_03- exclu.tif"/>
    <m/>
    <m/>
    <x v="1"/>
    <m/>
    <m/>
    <m/>
    <m/>
  </r>
  <r>
    <x v="0"/>
    <x v="2"/>
    <s v="F:\images\20210407\plaque 1/@01 Evian + 0.2% DMSO/C1_01.tif "/>
    <s v=" 302.8185 "/>
    <s v=" 62.2857 "/>
    <x v="0"/>
    <n v="18861"/>
    <m/>
    <m/>
    <m/>
  </r>
  <r>
    <x v="0"/>
    <x v="2"/>
    <s v="F:\images\20210407\plaque 1/@01 Evian + 0.2% DMSO/C1_02.tif "/>
    <s v=" 367.7082 "/>
    <s v=" 61.8235 "/>
    <x v="0"/>
    <n v="22733"/>
    <m/>
    <m/>
    <m/>
  </r>
  <r>
    <x v="0"/>
    <x v="2"/>
    <s v="F:\images\20210407\plaque 1/@01 Evian + 0.2% DMSO/C1_03.tif "/>
    <s v=" 86.5196 "/>
    <n v="66"/>
    <x v="0"/>
    <n v="5710"/>
    <m/>
    <m/>
    <m/>
  </r>
  <r>
    <x v="0"/>
    <x v="3"/>
    <s v="F:\images\20210407\plaque 1/@01 Evian + 0.2% DMSO/D1_01.tif "/>
    <s v=" 6856.6766 "/>
    <s v=" 76.5804 "/>
    <x v="0"/>
    <n v="525087"/>
    <m/>
    <m/>
    <m/>
  </r>
  <r>
    <x v="0"/>
    <x v="3"/>
    <s v="F:\images\20210407\plaque 1/@01 Evian + 0.2% DMSO/D1_02.tif "/>
    <s v=" 4650.4273 "/>
    <s v=" 71.5814 "/>
    <x v="0"/>
    <n v="332884"/>
    <m/>
    <m/>
    <m/>
  </r>
  <r>
    <x v="0"/>
    <x v="3"/>
    <s v="F:\images\20210407\plaque 1/@01 Evian + 0.2% DMSO/D1_03.tif "/>
    <s v=" 3309.3739 "/>
    <s v=" 68.3529 "/>
    <x v="0"/>
    <n v="226205"/>
    <m/>
    <m/>
    <m/>
  </r>
  <r>
    <x v="0"/>
    <x v="4"/>
    <s v="F:\images\20210407\plaque 1/@01 Evian + 0.2% DMSO/E1_01.tif "/>
    <s v=" 4023.1604 "/>
    <s v=" 66.3172 "/>
    <x v="0"/>
    <n v="266805"/>
    <m/>
    <m/>
    <m/>
  </r>
  <r>
    <x v="0"/>
    <x v="4"/>
    <s v="F:\images\20210407\plaque 1/@01 Evian + 0.2% DMSO/E1_02.tif "/>
    <s v=" 129.7794 "/>
    <n v="64"/>
    <x v="0"/>
    <n v="8306"/>
    <m/>
    <m/>
    <m/>
  </r>
  <r>
    <x v="0"/>
    <x v="4"/>
    <s v="F:\images\20210407\plaque 1/@01 Evian + 0.2% DMSO/E1_03.tif "/>
    <s v=" 3136.3347 "/>
    <s v=" 64.4897 "/>
    <x v="0"/>
    <n v="202261"/>
    <m/>
    <m/>
    <m/>
  </r>
  <r>
    <x v="0"/>
    <x v="5"/>
    <s v="F:\images\20210407\plaque 1/@01 Evian + 0.2% DMSO/F1_01.tif "/>
    <s v=" 2573.9575 "/>
    <s v=" 68.8571 "/>
    <x v="0"/>
    <n v="177235"/>
    <m/>
    <m/>
    <m/>
  </r>
  <r>
    <x v="0"/>
    <x v="5"/>
    <s v="F:\images\20210407\plaque 1/@01 Evian + 0.2% DMSO/F1_02.tif "/>
    <s v=" 648.8968 "/>
    <s v=" 63.3333 "/>
    <x v="0"/>
    <n v="41097"/>
    <m/>
    <m/>
    <m/>
  </r>
  <r>
    <x v="0"/>
    <x v="5"/>
    <s v="F:\images\20210407\plaque 1/@01 Evian + 0.2% DMSO/F1_03.tif "/>
    <s v=" 497.4876 "/>
    <s v=" 66.0435 "/>
    <x v="0"/>
    <n v="32856"/>
    <m/>
    <m/>
    <m/>
  </r>
  <r>
    <x v="0"/>
    <x v="6"/>
    <s v="F:\images\20210407\plaque 1/@01 Evian + 0.2% DMSO/G1_01.tif "/>
    <s v=" 3266.1141 "/>
    <s v=" 66.0265 "/>
    <x v="0"/>
    <n v="215650"/>
    <m/>
    <m/>
    <m/>
  </r>
  <r>
    <x v="0"/>
    <x v="6"/>
    <s v="F:\images\20210407\plaque 1/@01 Evian + 0.2% DMSO/G1_02.tif "/>
    <s v=" 3482.413 "/>
    <s v=" 65.0994 "/>
    <x v="0"/>
    <n v="226703"/>
    <m/>
    <m/>
    <m/>
  </r>
  <r>
    <x v="0"/>
    <x v="6"/>
    <s v="F:\images\20210407\plaque 1/@01 Evian + 0.2% DMSO/G1_03.tif "/>
    <s v=" 324.4484 "/>
    <s v=" 62.9333 "/>
    <x v="0"/>
    <n v="20419"/>
    <m/>
    <m/>
    <m/>
  </r>
  <r>
    <x v="0"/>
    <x v="7"/>
    <s v="F:\images\20210407\plaque 1/@01 Evian + 0.2% DMSO/H1_01.tif "/>
    <s v=" 605.637 "/>
    <s v=" 67.6786 "/>
    <x v="0"/>
    <n v="40989"/>
    <m/>
    <m/>
    <m/>
  </r>
  <r>
    <x v="0"/>
    <x v="7"/>
    <s v="F:\images\20210407\plaque 1/@01 Evian + 0.2% DMSO/H1_02.tif "/>
    <s v=" 1297.7937 "/>
    <s v=" 69.6667 "/>
    <x v="0"/>
    <n v="90413"/>
    <m/>
    <m/>
    <m/>
  </r>
  <r>
    <x v="0"/>
    <x v="7"/>
    <s v="F:\images\20210407\plaque 1/@01 Evian + 0.2% DMSO/H1_03.tif "/>
    <s v=" 670.5267 "/>
    <s v=" 63.129 "/>
    <x v="0"/>
    <n v="42330"/>
    <m/>
    <m/>
    <m/>
  </r>
  <r>
    <x v="1"/>
    <x v="8"/>
    <s v=" "/>
    <m/>
    <m/>
    <x v="1"/>
    <m/>
    <m/>
    <m/>
    <m/>
  </r>
  <r>
    <x v="1"/>
    <x v="8"/>
    <s v="group "/>
    <s v=" "/>
    <s v=" mean of mean fluo "/>
    <x v="2"/>
    <s v=" mean of total fluo "/>
    <s v=" SD total fluo "/>
    <s v=" n fluorescent "/>
    <s v=" n total"/>
  </r>
  <r>
    <x v="0"/>
    <x v="9"/>
    <s v="F:\images\20210407\plaque 1/@01 Evian + 0.2% DMSO/ "/>
    <s v=" "/>
    <s v=" 66.4029 "/>
    <x v="3"/>
    <s v=" 143257.542 "/>
    <s v=" 176530.6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407\plaque 1/@02 EE2 33.8/A2_01.tif "/>
    <s v=" 1341.0535 "/>
    <s v=" 63.5161 "/>
    <x v="0"/>
    <n v="85179"/>
    <m/>
    <m/>
    <m/>
  </r>
  <r>
    <x v="2"/>
    <x v="0"/>
    <s v="F:\images\20210407\plaque 1/@02 EE2 33.8/A2_02.tif "/>
    <s v=" 2963.2956 "/>
    <s v=" 66.0803 "/>
    <x v="0"/>
    <n v="195815"/>
    <m/>
    <m/>
    <m/>
  </r>
  <r>
    <x v="2"/>
    <x v="0"/>
    <s v="F:\images\20210407\plaque 1/@02 EE2 33.8/A2_03.tif "/>
    <s v=" 1341.0535 "/>
    <s v=" 64.2903 "/>
    <x v="0"/>
    <n v="86217"/>
    <m/>
    <m/>
    <m/>
  </r>
  <r>
    <x v="2"/>
    <x v="1"/>
    <s v="F:\images\20210407\plaque 1/@02 EE2 33.8/B2_01.tif "/>
    <s v=" 2076.4699 "/>
    <s v=" 64.1875 "/>
    <x v="0"/>
    <n v="133283"/>
    <m/>
    <m/>
    <m/>
  </r>
  <r>
    <x v="2"/>
    <x v="1"/>
    <s v="F:\images\20210407\plaque 1/@02 EE2 33.8/B2_02.tif "/>
    <s v=" 4152.9398 "/>
    <s v=" 66.6979 "/>
    <x v="0"/>
    <n v="276992"/>
    <m/>
    <m/>
    <m/>
  </r>
  <r>
    <x v="2"/>
    <x v="1"/>
    <s v="F:\images\20210407\plaque 1/@02 EE2 33.8/B2_03.tif "/>
    <s v=" 1297.7937 "/>
    <s v=" 63.7833 "/>
    <x v="0"/>
    <n v="82778"/>
    <m/>
    <m/>
    <m/>
  </r>
  <r>
    <x v="2"/>
    <x v="2"/>
    <s v="F:\images\20210407\plaque 1/@02 EE2 33.8/C2_01.tif "/>
    <s v=" 129.7794 "/>
    <s v=" 64.8333 "/>
    <x v="0"/>
    <n v="8414"/>
    <m/>
    <m/>
    <m/>
  </r>
  <r>
    <x v="2"/>
    <x v="2"/>
    <s v="F:\images\20210407\plaque 1/@02 EE2 33.8/C2_02.tif "/>
    <s v=" 173.0392 "/>
    <s v=" 64.125 "/>
    <x v="0"/>
    <n v="11096"/>
    <m/>
    <m/>
    <m/>
  </r>
  <r>
    <x v="2"/>
    <x v="2"/>
    <s v="F:\images\20210407\plaque 1/@02 EE2 33.8/C2_03.tif "/>
    <s v=" 237.9288 "/>
    <s v=" 63.1818 "/>
    <x v="0"/>
    <n v="15033"/>
    <m/>
    <m/>
    <m/>
  </r>
  <r>
    <x v="2"/>
    <x v="3"/>
    <s v="F:\images\20210407\plaque 1/@02 EE2 33.8/D2_01.tif "/>
    <s v=" 1319.4236 "/>
    <s v=" 64.4754 "/>
    <x v="0"/>
    <n v="85070"/>
    <m/>
    <m/>
    <m/>
  </r>
  <r>
    <x v="2"/>
    <x v="3"/>
    <s v="F:\images\20210407\plaque 1/@02 EE2 33.8/D2_02- exclu.tif"/>
    <m/>
    <m/>
    <x v="1"/>
    <m/>
    <m/>
    <m/>
    <m/>
  </r>
  <r>
    <x v="2"/>
    <x v="3"/>
    <s v="F:\images\20210407\plaque 1/@02 EE2 33.8/D2_03.tif "/>
    <s v=" 194.6691 "/>
    <s v=" 63.5556 "/>
    <x v="0"/>
    <n v="12372"/>
    <m/>
    <m/>
    <m/>
  </r>
  <r>
    <x v="2"/>
    <x v="4"/>
    <s v="F:\images\20210407\plaque 1/@02 EE2 33.8/E2_01.tif "/>
    <s v=" 7289.2745 "/>
    <s v=" 70.9228 "/>
    <x v="0"/>
    <n v="516976"/>
    <m/>
    <m/>
    <m/>
  </r>
  <r>
    <x v="2"/>
    <x v="4"/>
    <s v="F:\images\20210407\plaque 1/@02 EE2 33.8/E2_02.tif "/>
    <s v=" 6207.7798 "/>
    <s v=" 68.5889 "/>
    <x v="0"/>
    <n v="425784"/>
    <m/>
    <m/>
    <m/>
  </r>
  <r>
    <x v="2"/>
    <x v="4"/>
    <s v="F:\images\20210407\plaque 1/@02 EE2 33.8/E2_03.tif "/>
    <s v=" 6597.1179 "/>
    <s v=" 68.4984 "/>
    <x v="0"/>
    <n v="451892"/>
    <m/>
    <m/>
    <m/>
  </r>
  <r>
    <x v="2"/>
    <x v="5"/>
    <s v="F:\images\20210407\plaque 1/@02 EE2 33.8/F2_01.tif "/>
    <s v=" 908.4556 "/>
    <s v=" 63.6667 "/>
    <x v="0"/>
    <n v="57838"/>
    <m/>
    <m/>
    <m/>
  </r>
  <r>
    <x v="2"/>
    <x v="5"/>
    <s v="F:\images\20210407\plaque 1/@02 EE2 33.8/F2_02.tif "/>
    <s v=" 519.1175 "/>
    <s v=" 64.625 "/>
    <x v="0"/>
    <n v="33548"/>
    <m/>
    <m/>
    <m/>
  </r>
  <r>
    <x v="2"/>
    <x v="5"/>
    <s v="F:\images\20210407\plaque 1/@02 EE2 33.8/F2_03.tif "/>
    <s v=" 259.5587 "/>
    <s v=" 63.1667 "/>
    <x v="0"/>
    <n v="16395"/>
    <m/>
    <m/>
    <m/>
  </r>
  <r>
    <x v="2"/>
    <x v="6"/>
    <s v="F:\images\20210407\plaque 1/@02 EE2 33.8/G2_01.tif "/>
    <s v=" 908.4556 "/>
    <s v=" 64.119 "/>
    <x v="0"/>
    <n v="58249"/>
    <m/>
    <m/>
    <m/>
  </r>
  <r>
    <x v="2"/>
    <x v="6"/>
    <s v="F:\images\20210407\plaque 1/@02 EE2 33.8/G2_02.tif "/>
    <s v=" 930.0855 "/>
    <s v=" 63.3023 "/>
    <x v="0"/>
    <n v="58877"/>
    <m/>
    <m/>
    <m/>
  </r>
  <r>
    <x v="2"/>
    <x v="6"/>
    <s v="F:\images\20210407\plaque 1/@02 EE2 33.8/G2_03.tif "/>
    <s v=" 1514.0926 "/>
    <s v=" 64.2714 "/>
    <x v="0"/>
    <n v="97313"/>
    <m/>
    <m/>
    <m/>
  </r>
  <r>
    <x v="2"/>
    <x v="7"/>
    <s v="F:\images\20210407\plaque 1/@02 EE2 33.8/H2_01.tif "/>
    <s v=" 6402.4488 "/>
    <s v=" 75.5101 "/>
    <x v="0"/>
    <n v="483450"/>
    <m/>
    <m/>
    <m/>
  </r>
  <r>
    <x v="2"/>
    <x v="7"/>
    <s v="F:\images\20210407\plaque 1/@02 EE2 33.8/H2_02.tif "/>
    <s v=" 5407.4737 "/>
    <s v=" 69.66 "/>
    <x v="0"/>
    <n v="376685"/>
    <m/>
    <m/>
    <m/>
  </r>
  <r>
    <x v="2"/>
    <x v="7"/>
    <s v="F:\images\20210407\plaque 1/@02 EE2 33.8/H2_03.tif "/>
    <s v=" 5667.0324 "/>
    <s v=" 71.7863 "/>
    <x v="0"/>
    <n v="406815"/>
    <m/>
    <m/>
    <m/>
  </r>
  <r>
    <x v="1"/>
    <x v="8"/>
    <s v=" "/>
    <m/>
    <m/>
    <x v="1"/>
    <m/>
    <m/>
    <m/>
    <m/>
  </r>
  <r>
    <x v="1"/>
    <x v="8"/>
    <s v="group "/>
    <s v=" "/>
    <s v=" mean of mean fluo "/>
    <x v="2"/>
    <s v=" mean of total fluo "/>
    <s v=" SD total fluo "/>
    <s v=" n fluorescent "/>
    <s v=" n total"/>
  </r>
  <r>
    <x v="2"/>
    <x v="9"/>
    <s v="F:\images\20210407\plaque 1/@02 EE2 33.8/ "/>
    <s v=" "/>
    <s v=" 65.795 "/>
    <x v="4"/>
    <s v=" 166623.125 "/>
    <s v=" 175862.3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407\plaque 1/@03 EE2 50.6/A3_01.tif "/>
    <s v=" 8695.2176 "/>
    <s v=" 86.1294 "/>
    <x v="0"/>
    <n v="748913"/>
    <m/>
    <m/>
    <m/>
  </r>
  <r>
    <x v="3"/>
    <x v="0"/>
    <s v="F:\images\20210407\plaque 1/@03 EE2 50.6/A3_02.tif "/>
    <s v=" 10252.5701 "/>
    <s v=" 81.5865 "/>
    <x v="0"/>
    <n v="836471"/>
    <m/>
    <m/>
    <m/>
  </r>
  <r>
    <x v="3"/>
    <x v="0"/>
    <s v="F:\images\20210407\plaque 1/@03 EE2 50.6/A3_03.tif "/>
    <s v=" 9993.0113 "/>
    <s v=" 81.2597 "/>
    <x v="0"/>
    <n v="812030"/>
    <m/>
    <m/>
    <m/>
  </r>
  <r>
    <x v="3"/>
    <x v="1"/>
    <s v="F:\images\20210407\plaque 1/@03 EE2 50.6/B3_01- exclu.tif"/>
    <m/>
    <m/>
    <x v="1"/>
    <m/>
    <m/>
    <m/>
    <m/>
  </r>
  <r>
    <x v="3"/>
    <x v="1"/>
    <s v="F:\images\20210407\plaque 1/@03 EE2 50.6/B3_02.tif "/>
    <s v=" 670.5267 "/>
    <s v=" 62.6774 "/>
    <x v="0"/>
    <n v="42027"/>
    <m/>
    <m/>
    <m/>
  </r>
  <r>
    <x v="3"/>
    <x v="1"/>
    <s v="F:\images\20210407\plaque 1/@03 EE2 50.6/B3_03.tif "/>
    <s v=" 1016.605 "/>
    <s v=" 65.5957 "/>
    <x v="0"/>
    <n v="66685"/>
    <m/>
    <m/>
    <m/>
  </r>
  <r>
    <x v="3"/>
    <x v="2"/>
    <s v="F:\images\20210407\plaque 1/@03 EE2 50.6/C3_01- exclu.tif"/>
    <m/>
    <m/>
    <x v="1"/>
    <m/>
    <m/>
    <m/>
    <m/>
  </r>
  <r>
    <x v="3"/>
    <x v="2"/>
    <s v="F:\images\20210407\plaque 1/@03 EE2 50.6/C3_02- exclu.tif"/>
    <m/>
    <m/>
    <x v="1"/>
    <m/>
    <m/>
    <m/>
    <m/>
  </r>
  <r>
    <x v="3"/>
    <x v="2"/>
    <s v="F:\images\20210407\plaque 1/@03 EE2 50.6/C3_03- exclu.tif"/>
    <m/>
    <m/>
    <x v="1"/>
    <m/>
    <m/>
    <m/>
    <m/>
  </r>
  <r>
    <x v="3"/>
    <x v="3"/>
    <s v="F:\images\20210407\plaque 1/@03 EE2 50.6/D3_01.tif "/>
    <s v=" 1470.8328 "/>
    <s v=" 63.9118 "/>
    <x v="0"/>
    <n v="94004"/>
    <m/>
    <m/>
    <m/>
  </r>
  <r>
    <x v="3"/>
    <x v="3"/>
    <s v="F:\images\20210407\plaque 1/@03 EE2 50.6/D3_02.tif "/>
    <s v=" 951.7154 "/>
    <s v=" 63.2727 "/>
    <x v="0"/>
    <n v="60218"/>
    <m/>
    <m/>
    <m/>
  </r>
  <r>
    <x v="3"/>
    <x v="3"/>
    <s v="F:\images\20210407\plaque 1/@03 EE2 50.6/D3_03.tif "/>
    <s v=" 3157.9646 "/>
    <s v=" 64.3288 "/>
    <x v="0"/>
    <n v="203148"/>
    <m/>
    <m/>
    <m/>
  </r>
  <r>
    <x v="3"/>
    <x v="4"/>
    <s v="F:\images\20210407\plaque 1/@03 EE2 50.6/E3_01.tif "/>
    <s v=" 1514.0926 "/>
    <s v=" 65.9429 "/>
    <x v="0"/>
    <n v="99844"/>
    <m/>
    <m/>
    <m/>
  </r>
  <r>
    <x v="3"/>
    <x v="4"/>
    <s v="F:\images\20210407\plaque 1/@03 EE2 50.6/E3_02.tif "/>
    <s v=" 800.3061 "/>
    <s v=" 63.027 "/>
    <x v="0"/>
    <n v="50441"/>
    <m/>
    <m/>
    <m/>
  </r>
  <r>
    <x v="3"/>
    <x v="4"/>
    <s v="F:\images\20210407\plaque 1/@03 EE2 50.6/E3_03.tif "/>
    <s v=" 216.2989 "/>
    <n v="63"/>
    <x v="0"/>
    <n v="13627"/>
    <m/>
    <m/>
    <m/>
  </r>
  <r>
    <x v="3"/>
    <x v="5"/>
    <s v="F:\images\20210407\plaque 1/@03 EE2 50.6/F3_01.tif "/>
    <s v=" 4715.317 "/>
    <s v=" 69.8991 "/>
    <x v="0"/>
    <n v="329596"/>
    <m/>
    <m/>
    <m/>
  </r>
  <r>
    <x v="3"/>
    <x v="5"/>
    <s v="F:\images\20210407\plaque 1/@03 EE2 50.6/F3_02.tif "/>
    <s v=" 5775.1819 "/>
    <s v=" 68.3109 "/>
    <x v="0"/>
    <n v="394508"/>
    <m/>
    <m/>
    <m/>
  </r>
  <r>
    <x v="3"/>
    <x v="5"/>
    <s v="F:\images\20210407\plaque 1/@03 EE2 50.6/F3_03.tif "/>
    <s v=" 1211.2741 "/>
    <s v=" 63.4643 "/>
    <x v="0"/>
    <n v="76873"/>
    <m/>
    <m/>
    <m/>
  </r>
  <r>
    <x v="3"/>
    <x v="6"/>
    <s v="F:\images\20210407\plaque 1/@03 EE2 50.6/G3_01.tif "/>
    <s v=" 237.9288 "/>
    <s v=" 63.8182 "/>
    <x v="0"/>
    <n v="15184"/>
    <m/>
    <m/>
    <m/>
  </r>
  <r>
    <x v="3"/>
    <x v="6"/>
    <s v="F:\images\20210407\plaque 1/@03 EE2 50.6/G3_02.tif "/>
    <s v=" 216.2989 "/>
    <s v=" 64.3 "/>
    <x v="0"/>
    <n v="13908"/>
    <m/>
    <m/>
    <m/>
  </r>
  <r>
    <x v="3"/>
    <x v="6"/>
    <s v="F:\images\20210407\plaque 1/@03 EE2 50.6/G3_03.tif "/>
    <s v=" 302.8185 "/>
    <s v=" 63.0714 "/>
    <x v="0"/>
    <n v="19099"/>
    <m/>
    <m/>
    <m/>
  </r>
  <r>
    <x v="3"/>
    <x v="7"/>
    <s v="F:\images\20210407\plaque 1/@03 EE2 50.6/H3_01.tif "/>
    <s v=" 454.2278 "/>
    <s v=" 63.5714 "/>
    <x v="0"/>
    <n v="28876"/>
    <m/>
    <m/>
    <m/>
  </r>
  <r>
    <x v="3"/>
    <x v="7"/>
    <s v="F:\images\20210407\plaque 1/@03 EE2 50.6/H3_02.tif "/>
    <s v=" 1254.5339 "/>
    <s v=" 63.2069 "/>
    <x v="0"/>
    <n v="79295"/>
    <m/>
    <m/>
    <m/>
  </r>
  <r>
    <x v="3"/>
    <x v="7"/>
    <s v="F:\images\20210407\plaque 1/@03 EE2 50.6/H3_03- exclu.tif"/>
    <m/>
    <m/>
    <x v="1"/>
    <m/>
    <m/>
    <m/>
    <m/>
  </r>
  <r>
    <x v="1"/>
    <x v="8"/>
    <s v=" "/>
    <m/>
    <m/>
    <x v="1"/>
    <m/>
    <m/>
    <m/>
    <m/>
  </r>
  <r>
    <x v="1"/>
    <x v="8"/>
    <s v="group "/>
    <s v=" "/>
    <s v=" mean of mean fluo "/>
    <x v="2"/>
    <s v=" mean of total fluo "/>
    <s v=" SD total fluo "/>
    <s v=" n fluorescent "/>
    <s v=" n total"/>
  </r>
  <r>
    <x v="3"/>
    <x v="9"/>
    <s v="F:\images\20210407\plaque 1/@03 EE2 50.6/ "/>
    <s v=" "/>
    <s v=" 66.7653 "/>
    <x v="5"/>
    <s v=" 168961.958 "/>
    <s v=" 262778.3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407\plaque 1/@04 EE2 76/A4_01.tif "/>
    <s v=" 2573.9575 "/>
    <s v=" 67.395 "/>
    <x v="0"/>
    <n v="173472"/>
    <m/>
    <m/>
    <m/>
  </r>
  <r>
    <x v="4"/>
    <x v="0"/>
    <s v="F:\images\20210407\plaque 1/@04 EE2 76/A4_02.tif "/>
    <s v=" 5796.8118 "/>
    <s v=" 68.0784 "/>
    <x v="0"/>
    <n v="394637"/>
    <m/>
    <m/>
    <m/>
  </r>
  <r>
    <x v="4"/>
    <x v="0"/>
    <s v="F:\images\20210407\plaque 1/@04 EE2 76/A4_03.tif "/>
    <s v=" 2011.5802 "/>
    <s v=" 65.7742 "/>
    <x v="0"/>
    <n v="132310"/>
    <m/>
    <m/>
    <m/>
  </r>
  <r>
    <x v="4"/>
    <x v="1"/>
    <s v="F:\images\20210407\plaque 1/@04 EE2 76/B4_01.tif "/>
    <s v=" 2033.2101 "/>
    <s v=" 63.8404 "/>
    <x v="0"/>
    <n v="129801"/>
    <m/>
    <m/>
    <m/>
  </r>
  <r>
    <x v="4"/>
    <x v="1"/>
    <s v="F:\images\20210407\plaque 1/@04 EE2 76/B4_02.tif "/>
    <s v=" 540.7474 "/>
    <s v=" 62.72 "/>
    <x v="0"/>
    <n v="33916"/>
    <m/>
    <m/>
    <m/>
  </r>
  <r>
    <x v="4"/>
    <x v="1"/>
    <s v="F:\images\20210407\plaque 1/@04 EE2 76/B4_03.tif "/>
    <s v=" 4369.2387 "/>
    <s v=" 68.3861 "/>
    <x v="0"/>
    <n v="298795"/>
    <m/>
    <m/>
    <m/>
  </r>
  <r>
    <x v="4"/>
    <x v="2"/>
    <s v="F:\images\20210407\plaque 1/@04 EE2 76/C4_01.tif "/>
    <s v=" 5710.2922 "/>
    <s v=" 76.9356 "/>
    <x v="0"/>
    <n v="439325"/>
    <m/>
    <m/>
    <m/>
  </r>
  <r>
    <x v="4"/>
    <x v="2"/>
    <s v="F:\images\20210407\plaque 1/@04 EE2 76/C4_02.tif "/>
    <s v=" 1319.4236 "/>
    <s v=" 65.918 "/>
    <x v="0"/>
    <n v="86974"/>
    <m/>
    <m/>
    <m/>
  </r>
  <r>
    <x v="4"/>
    <x v="2"/>
    <s v="F:\images\20210407\plaque 1/@04 EE2 76/C4_03.tif "/>
    <s v=" 2184.6194 "/>
    <s v=" 66.6337 "/>
    <x v="0"/>
    <n v="145569"/>
    <m/>
    <m/>
    <m/>
  </r>
  <r>
    <x v="4"/>
    <x v="3"/>
    <s v="F:\images\20210407\plaque 1/@04 EE2 76/D4_01.tif "/>
    <s v=" 5104.6551 "/>
    <s v=" 64.2161 "/>
    <x v="0"/>
    <n v="327801"/>
    <m/>
    <m/>
    <m/>
  </r>
  <r>
    <x v="4"/>
    <x v="3"/>
    <s v="F:\images\20210407\plaque 1/@04 EE2 76/D4_02.tif "/>
    <s v=" 8132.8404 "/>
    <s v=" 64.125 "/>
    <x v="0"/>
    <n v="521518"/>
    <m/>
    <m/>
    <m/>
  </r>
  <r>
    <x v="4"/>
    <x v="3"/>
    <s v="F:\images\20210407\plaque 1/@04 EE2 76/D4_03.tif "/>
    <s v=" 6510.5983 "/>
    <s v=" 63.1462 "/>
    <x v="0"/>
    <n v="411119"/>
    <m/>
    <m/>
    <m/>
  </r>
  <r>
    <x v="4"/>
    <x v="4"/>
    <s v="F:\images\20210407\plaque 1/@04 EE2 76/E4_01.tif "/>
    <s v=" 50765.3627 "/>
    <s v=" 73.1172 "/>
    <x v="0"/>
    <n v="3711820"/>
    <m/>
    <m/>
    <m/>
  </r>
  <r>
    <x v="4"/>
    <x v="4"/>
    <s v="F:\images\20210407\plaque 1/@04 EE2 76/E4_02.tif "/>
    <s v=" 47304.5796 "/>
    <s v=" 72.1902 "/>
    <x v="0"/>
    <n v="3414928"/>
    <m/>
    <m/>
    <m/>
  </r>
  <r>
    <x v="4"/>
    <x v="4"/>
    <s v="F:\images\20210407\plaque 1/@04 EE2 76/E4_03.tif "/>
    <s v=" 46071.6756 "/>
    <s v=" 73.4446 "/>
    <x v="0"/>
    <n v="3383716"/>
    <m/>
    <m/>
    <m/>
  </r>
  <r>
    <x v="4"/>
    <x v="5"/>
    <s v="F:\images\20210407\plaque 1/@04 EE2 76/F4_01.tif "/>
    <s v=" 1708.7617 "/>
    <s v=" 63.8987 "/>
    <x v="0"/>
    <n v="109188"/>
    <m/>
    <m/>
    <m/>
  </r>
  <r>
    <x v="4"/>
    <x v="5"/>
    <s v="F:\images\20210407\plaque 1/@04 EE2 76/F4_02.tif "/>
    <s v=" 1600.6122 "/>
    <s v=" 64.3919 "/>
    <x v="0"/>
    <n v="103066"/>
    <m/>
    <m/>
    <m/>
  </r>
  <r>
    <x v="4"/>
    <x v="5"/>
    <s v="F:\images\20210407\plaque 1/@04 EE2 76/F4_03.tif "/>
    <s v=" 1989.9503 "/>
    <s v=" 64.0435 "/>
    <x v="0"/>
    <n v="127443"/>
    <m/>
    <m/>
    <m/>
  </r>
  <r>
    <x v="4"/>
    <x v="6"/>
    <s v="F:\images\20210407\plaque 1/@04 EE2 76/G4_01- exclu.tif"/>
    <m/>
    <m/>
    <x v="1"/>
    <m/>
    <m/>
    <m/>
    <m/>
  </r>
  <r>
    <x v="4"/>
    <x v="6"/>
    <s v="F:\images\20210407\plaque 1/@04 EE2 76/G4_02- exclu.tif"/>
    <m/>
    <m/>
    <x v="1"/>
    <m/>
    <m/>
    <m/>
    <m/>
  </r>
  <r>
    <x v="4"/>
    <x v="6"/>
    <s v="F:\images\20210407\plaque 1/@04 EE2 76/G4_03.tif "/>
    <s v=" 10317.4597 "/>
    <s v=" 66.9161 "/>
    <x v="0"/>
    <n v="690405"/>
    <m/>
    <m/>
    <m/>
  </r>
  <r>
    <x v="4"/>
    <x v="7"/>
    <s v="F:\images\20210407\plaque 1/@04 EE2 76/H4_01- exclu.tif"/>
    <m/>
    <m/>
    <x v="1"/>
    <m/>
    <m/>
    <m/>
    <m/>
  </r>
  <r>
    <x v="4"/>
    <x v="7"/>
    <s v="F:\images\20210407\plaque 1/@04 EE2 76/H4_02- exclu.tif"/>
    <m/>
    <m/>
    <x v="1"/>
    <m/>
    <m/>
    <m/>
    <m/>
  </r>
  <r>
    <x v="4"/>
    <x v="7"/>
    <s v="F:\images\20210407\plaque 1/@04 EE2 76/H4_03- exclu.tif"/>
    <m/>
    <m/>
    <x v="1"/>
    <m/>
    <m/>
    <m/>
    <m/>
  </r>
  <r>
    <x v="1"/>
    <x v="8"/>
    <s v=" "/>
    <m/>
    <m/>
    <x v="1"/>
    <m/>
    <m/>
    <m/>
    <m/>
  </r>
  <r>
    <x v="1"/>
    <x v="8"/>
    <s v="group "/>
    <s v=" "/>
    <s v=" mean of mean fluo "/>
    <x v="2"/>
    <s v=" mean of total fluo "/>
    <s v=" SD total fluo "/>
    <s v=" n fluorescent "/>
    <s v=" n total"/>
  </r>
  <r>
    <x v="4"/>
    <x v="9"/>
    <s v="F:\images\20210407\plaque 1/@04 EE2 76/ "/>
    <s v=" "/>
    <s v=" 66.4503 "/>
    <x v="6"/>
    <s v=" 616298.792 "/>
    <s v=" 1130278.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407\plaque 1/@05 EE2 114/A5_01.tif "/>
    <s v=" 22495.0904 "/>
    <s v=" 69.3452 "/>
    <x v="0"/>
    <n v="1559926"/>
    <m/>
    <m/>
    <m/>
  </r>
  <r>
    <x v="5"/>
    <x v="0"/>
    <s v="F:\images\20210407\plaque 1/@05 EE2 114/A5_02.tif "/>
    <s v=" 20786.3287 "/>
    <s v=" 66.7014 "/>
    <x v="0"/>
    <n v="1386476"/>
    <m/>
    <m/>
    <m/>
  </r>
  <r>
    <x v="5"/>
    <x v="0"/>
    <s v="F:\images\20210407\plaque 1/@05 EE2 114/A5_03.tif "/>
    <s v=" 21370.3359 "/>
    <s v=" 67.1953 "/>
    <x v="0"/>
    <n v="1435987"/>
    <m/>
    <m/>
    <m/>
  </r>
  <r>
    <x v="5"/>
    <x v="1"/>
    <s v="F:\images\20210407\plaque 1/@05 EE2 114/B5_01.tif "/>
    <s v=" 15076.0366 "/>
    <s v=" 66.7288 "/>
    <x v="0"/>
    <n v="1006006"/>
    <m/>
    <m/>
    <m/>
  </r>
  <r>
    <x v="5"/>
    <x v="1"/>
    <s v="F:\images\20210407\plaque 1/@05 EE2 114/B5_02.tif "/>
    <s v=" 13799.8728 "/>
    <s v=" 67.9922 "/>
    <x v="0"/>
    <n v="938283"/>
    <m/>
    <m/>
    <m/>
  </r>
  <r>
    <x v="5"/>
    <x v="1"/>
    <s v="F:\images\20210407\plaque 1/@05 EE2 114/B5_03.tif "/>
    <s v=" 14902.9974 "/>
    <s v=" 66.3077 "/>
    <x v="0"/>
    <n v="988183"/>
    <m/>
    <m/>
    <m/>
  </r>
  <r>
    <x v="5"/>
    <x v="2"/>
    <s v="F:\images\20210407\plaque 1/@05 EE2 114/C5_01.tif "/>
    <s v=" 11225.9153 "/>
    <s v=" 67.711 "/>
    <x v="0"/>
    <n v="760118"/>
    <m/>
    <m/>
    <m/>
  </r>
  <r>
    <x v="5"/>
    <x v="2"/>
    <s v="F:\images\20210407\plaque 1/@05 EE2 114/C5_02.tif "/>
    <s v=" 10252.5701 "/>
    <s v=" 66.4768 "/>
    <x v="0"/>
    <n v="681558"/>
    <m/>
    <m/>
    <m/>
  </r>
  <r>
    <x v="5"/>
    <x v="2"/>
    <s v="F:\images\20210407\plaque 1/@05 EE2 114/C5_03- exclu.tif"/>
    <m/>
    <m/>
    <x v="1"/>
    <m/>
    <m/>
    <m/>
    <m/>
  </r>
  <r>
    <x v="5"/>
    <x v="3"/>
    <s v="F:\images\20210407\plaque 1/@05 EE2 114/D5_01.tif "/>
    <s v=" 23079.0976 "/>
    <s v=" 71.7826 "/>
    <x v="0"/>
    <n v="1656677"/>
    <m/>
    <m/>
    <m/>
  </r>
  <r>
    <x v="5"/>
    <x v="3"/>
    <s v="F:\images\20210407\plaque 1/@05 EE2 114/D5_02.tif "/>
    <s v=" 20050.9123 "/>
    <s v=" 70.6419 "/>
    <x v="0"/>
    <n v="1416434"/>
    <m/>
    <m/>
    <m/>
  </r>
  <r>
    <x v="5"/>
    <x v="3"/>
    <s v="F:\images\20210407\plaque 1/@05 EE2 114/D5_03.tif "/>
    <s v=" 21629.8946 "/>
    <s v=" 70.608 "/>
    <x v="0"/>
    <n v="1527244"/>
    <m/>
    <m/>
    <m/>
  </r>
  <r>
    <x v="5"/>
    <x v="4"/>
    <s v="F:\images\20210407\plaque 1/@05 EE2 114/E5_01.tif "/>
    <s v=" 32617.8811 "/>
    <s v=" 69.1247 "/>
    <x v="0"/>
    <n v="2254700"/>
    <m/>
    <m/>
    <m/>
  </r>
  <r>
    <x v="5"/>
    <x v="4"/>
    <s v="F:\images\20210407\plaque 1/@05 EE2 114/E5_02.tif "/>
    <s v=" 31817.575 "/>
    <s v=" 69.2434 "/>
    <x v="0"/>
    <n v="2203156"/>
    <m/>
    <m/>
    <m/>
  </r>
  <r>
    <x v="5"/>
    <x v="4"/>
    <s v="F:\images\20210407\plaque 1/@05 EE2 114/E5_03.tif "/>
    <s v=" 20526.77 "/>
    <s v=" 67.0411 "/>
    <x v="0"/>
    <n v="1376137"/>
    <m/>
    <m/>
    <m/>
  </r>
  <r>
    <x v="5"/>
    <x v="5"/>
    <s v="F:\images\20210407\plaque 1/@05 EE2 114/F5_01.tif "/>
    <s v=" 14427.1397 "/>
    <s v=" 66.063 "/>
    <x v="0"/>
    <n v="953100"/>
    <m/>
    <m/>
    <m/>
  </r>
  <r>
    <x v="5"/>
    <x v="5"/>
    <s v="F:\images\20210407\plaque 1/@05 EE2 114/F5_02.tif "/>
    <s v=" 16481.9797 "/>
    <s v=" 66.1496 "/>
    <x v="0"/>
    <n v="1090276"/>
    <m/>
    <m/>
    <m/>
  </r>
  <r>
    <x v="5"/>
    <x v="5"/>
    <s v="F:\images\20210407\plaque 1/@05 EE2 114/F5_03.tif "/>
    <s v=" 14556.9191 "/>
    <s v=" 65.7088 "/>
    <x v="0"/>
    <n v="956517"/>
    <m/>
    <m/>
    <m/>
  </r>
  <r>
    <x v="5"/>
    <x v="6"/>
    <s v="F:\images\20210407\plaque 1/@05 EE2 114/G5_01.tif "/>
    <s v=" 10209.3103 "/>
    <s v=" 68.3708 "/>
    <x v="0"/>
    <n v="698018"/>
    <m/>
    <m/>
    <m/>
  </r>
  <r>
    <x v="5"/>
    <x v="6"/>
    <s v="F:\images\20210407\plaque 1/@05 EE2 114/G5_02.tif "/>
    <s v=" 4088.0501 "/>
    <s v=" 64.328 "/>
    <x v="0"/>
    <n v="262976"/>
    <m/>
    <m/>
    <m/>
  </r>
  <r>
    <x v="5"/>
    <x v="6"/>
    <s v="F:\images\20210407\plaque 1/@05 EE2 114/G5_03.tif "/>
    <s v=" 1103.1246 "/>
    <s v=" 62.6275 "/>
    <x v="0"/>
    <n v="69086"/>
    <m/>
    <m/>
    <m/>
  </r>
  <r>
    <x v="5"/>
    <x v="7"/>
    <s v="F:\images\20210407\plaque 1/@05 EE2 114/H5_01.tif "/>
    <s v=" 12999.5667 "/>
    <s v=" 67.0865 "/>
    <x v="0"/>
    <n v="872096"/>
    <m/>
    <m/>
    <m/>
  </r>
  <r>
    <x v="5"/>
    <x v="7"/>
    <s v="F:\images\20210407\plaque 1/@05 EE2 114/H5_02.tif "/>
    <s v=" 14535.2892 "/>
    <s v=" 69.5833 "/>
    <x v="0"/>
    <n v="1011414"/>
    <m/>
    <m/>
    <m/>
  </r>
  <r>
    <x v="5"/>
    <x v="7"/>
    <s v="F:\images\20210407\plaque 1/@05 EE2 114/H5_03.tif "/>
    <s v=" 13345.645 "/>
    <s v=" 65.799 "/>
    <x v="0"/>
    <n v="878130"/>
    <m/>
    <m/>
    <m/>
  </r>
  <r>
    <x v="1"/>
    <x v="8"/>
    <s v=" "/>
    <m/>
    <m/>
    <x v="1"/>
    <m/>
    <m/>
    <m/>
    <m/>
  </r>
  <r>
    <x v="1"/>
    <x v="8"/>
    <s v="group "/>
    <s v=" "/>
    <s v=" mean of mean fluo "/>
    <x v="2"/>
    <s v=" mean of total fluo "/>
    <s v=" SD total fluo "/>
    <s v=" n fluorescent "/>
    <s v=" n total"/>
  </r>
  <r>
    <x v="5"/>
    <x v="9"/>
    <s v="F:\images\20210407\plaque 1/@05 EE2 114/ "/>
    <s v=" "/>
    <s v=" 67.4484 "/>
    <x v="7"/>
    <s v=" 1090413.38 "/>
    <s v=" 546551.82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407\plaque 1/@06 EE2 170.9/A6_01.tif "/>
    <s v=" 34218.4933 "/>
    <s v=" 73.3894 "/>
    <x v="0"/>
    <n v="2511274"/>
    <m/>
    <m/>
    <m/>
  </r>
  <r>
    <x v="6"/>
    <x v="0"/>
    <s v="F:\images\20210407\plaque 1/@06 EE2 170.9/A6_02.tif "/>
    <s v=" 32639.511 "/>
    <s v=" 72.9165 "/>
    <x v="0"/>
    <n v="2379959"/>
    <m/>
    <m/>
    <m/>
  </r>
  <r>
    <x v="6"/>
    <x v="0"/>
    <s v="F:\images\20210407\plaque 1/@06 EE2 170.9/A6_03.tif "/>
    <s v=" 30714.4504 "/>
    <s v=" 73.1451 "/>
    <x v="0"/>
    <n v="2246611"/>
    <m/>
    <m/>
    <m/>
  </r>
  <r>
    <x v="6"/>
    <x v="1"/>
    <s v="F:\images\20210407\plaque 1/@06 EE2 170.9/B6_01.tif "/>
    <s v=" 36965.4899 "/>
    <s v=" 87.9093 "/>
    <x v="0"/>
    <n v="3249610"/>
    <m/>
    <m/>
    <m/>
  </r>
  <r>
    <x v="6"/>
    <x v="1"/>
    <s v="F:\images\20210407\plaque 1/@06 EE2 170.9/B6_02.tif "/>
    <s v=" 39799.0061 "/>
    <s v=" 90.7772 "/>
    <x v="0"/>
    <n v="3612841"/>
    <m/>
    <m/>
    <m/>
  </r>
  <r>
    <x v="6"/>
    <x v="1"/>
    <s v="F:\images\20210407\plaque 1/@06 EE2 170.9/B6_03- exclu.tif"/>
    <m/>
    <m/>
    <x v="1"/>
    <m/>
    <m/>
    <m/>
    <m/>
  </r>
  <r>
    <x v="6"/>
    <x v="2"/>
    <s v="F:\images\20210407\plaque 1/@06 EE2 170.9/C6_01.tif "/>
    <s v=" 16222.421 "/>
    <s v=" 67.1587 "/>
    <x v="0"/>
    <n v="1089476"/>
    <m/>
    <m/>
    <m/>
  </r>
  <r>
    <x v="6"/>
    <x v="2"/>
    <s v="F:\images\20210407\plaque 1/@06 EE2 170.9/C6_02.tif "/>
    <s v=" 16828.058 "/>
    <s v=" 67.8059 "/>
    <x v="0"/>
    <n v="1141042"/>
    <m/>
    <m/>
    <m/>
  </r>
  <r>
    <x v="6"/>
    <x v="2"/>
    <s v="F:\images\20210407\plaque 1/@06 EE2 170.9/C6_03.tif "/>
    <s v=" 19726.4639 "/>
    <s v=" 70.1129 "/>
    <x v="0"/>
    <n v="1383080"/>
    <m/>
    <m/>
    <m/>
  </r>
  <r>
    <x v="6"/>
    <x v="3"/>
    <s v="F:\images\20210407\plaque 1/@06 EE2 170.9/D6_01.tif "/>
    <s v=" 51370.9997 "/>
    <s v=" 77.1053 "/>
    <x v="0"/>
    <n v="3960974"/>
    <m/>
    <m/>
    <m/>
  </r>
  <r>
    <x v="6"/>
    <x v="3"/>
    <s v="F:\images\20210407\plaque 1/@06 EE2 170.9/D6_02.tif "/>
    <s v=" 42978.6006 "/>
    <s v=" 80.7131 "/>
    <x v="0"/>
    <n v="3468938"/>
    <m/>
    <m/>
    <m/>
  </r>
  <r>
    <x v="6"/>
    <x v="3"/>
    <s v="F:\images\20210407\plaque 1/@06 EE2 170.9/D6_03.tif "/>
    <s v=" 40967.0204 "/>
    <s v=" 82.3194 "/>
    <x v="0"/>
    <n v="3372382"/>
    <m/>
    <m/>
    <m/>
  </r>
  <r>
    <x v="6"/>
    <x v="4"/>
    <s v="F:\images\20210407\plaque 1/@06 EE2 170.9/E6_01.tif "/>
    <s v=" 38522.8423 "/>
    <s v=" 70.68 "/>
    <x v="0"/>
    <n v="2722793"/>
    <m/>
    <m/>
    <m/>
  </r>
  <r>
    <x v="6"/>
    <x v="4"/>
    <s v="F:\images\20210407\plaque 1/@06 EE2 170.9/E6_02.tif "/>
    <s v=" 30584.671 "/>
    <s v=" 68.0941 "/>
    <x v="0"/>
    <n v="2082634"/>
    <m/>
    <m/>
    <m/>
  </r>
  <r>
    <x v="6"/>
    <x v="4"/>
    <s v="F:\images\20210407\plaque 1/@06 EE2 170.9/E6_03.tif "/>
    <s v=" 38068.6145 "/>
    <s v=" 71.508 "/>
    <x v="0"/>
    <n v="2722209"/>
    <m/>
    <m/>
    <m/>
  </r>
  <r>
    <x v="6"/>
    <x v="5"/>
    <s v="F:\images\20210407\plaque 1/@06 EE2 170.9/F6_01.tif "/>
    <s v=" 18450.3001 "/>
    <s v=" 70.197 "/>
    <x v="0"/>
    <n v="1295155"/>
    <m/>
    <m/>
    <m/>
  </r>
  <r>
    <x v="6"/>
    <x v="5"/>
    <s v="F:\images\20210407\plaque 1/@06 EE2 170.9/F6_02.tif "/>
    <s v=" 15876.3427 "/>
    <s v=" 70.5763 "/>
    <x v="0"/>
    <n v="1120493"/>
    <m/>
    <m/>
    <m/>
  </r>
  <r>
    <x v="6"/>
    <x v="5"/>
    <s v="F:\images\20210407\plaque 1/@06 EE2 170.9/F6_03.tif "/>
    <s v=" 15573.5241 "/>
    <s v=" 72.4542 "/>
    <x v="0"/>
    <n v="1128367"/>
    <m/>
    <m/>
    <m/>
  </r>
  <r>
    <x v="6"/>
    <x v="6"/>
    <s v="F:\images\20210407\plaque 1/@06 EE2 170.9/G6_01.tif "/>
    <s v=" 12913.0471 "/>
    <s v=" 72.4824 "/>
    <x v="0"/>
    <n v="935969"/>
    <m/>
    <m/>
    <m/>
  </r>
  <r>
    <x v="6"/>
    <x v="6"/>
    <s v="F:\images\20210407\plaque 1/@06 EE2 170.9/G6_02.tif "/>
    <s v=" 13670.0934 "/>
    <s v=" 71.7627 "/>
    <x v="0"/>
    <n v="981002"/>
    <m/>
    <m/>
    <m/>
  </r>
  <r>
    <x v="6"/>
    <x v="6"/>
    <s v="F:\images\20210407\plaque 1/@06 EE2 170.9/G6_03.tif "/>
    <s v=" 11204.2854 "/>
    <s v=" 71.2432 "/>
    <x v="0"/>
    <n v="798230"/>
    <m/>
    <m/>
    <m/>
  </r>
  <r>
    <x v="6"/>
    <x v="7"/>
    <s v="F:\images\20210407\plaque 1/@06 EE2 170.9/H6_01.tif "/>
    <s v=" 3222.8543 "/>
    <s v=" 65.8456 "/>
    <x v="0"/>
    <n v="212211"/>
    <m/>
    <m/>
    <m/>
  </r>
  <r>
    <x v="6"/>
    <x v="7"/>
    <s v="F:\images\20210407\plaque 1/@06 EE2 170.9/H6_02.tif "/>
    <s v=" 1687.1318 "/>
    <s v=" 65.3846 "/>
    <x v="0"/>
    <n v="110312"/>
    <m/>
    <m/>
    <m/>
  </r>
  <r>
    <x v="6"/>
    <x v="7"/>
    <s v="F:\images\20210407\plaque 1/@06 EE2 170.9/H6_03.tif "/>
    <s v=" 2184.6194 "/>
    <s v=" 65.9604 "/>
    <x v="0"/>
    <n v="144098"/>
    <m/>
    <m/>
    <m/>
  </r>
  <r>
    <x v="1"/>
    <x v="8"/>
    <s v=" "/>
    <m/>
    <m/>
    <x v="1"/>
    <m/>
    <m/>
    <m/>
    <m/>
  </r>
  <r>
    <x v="1"/>
    <x v="8"/>
    <s v="group "/>
    <s v=" "/>
    <s v=" mean of mean fluo "/>
    <x v="2"/>
    <s v=" mean of total fluo "/>
    <s v=" SD total fluo "/>
    <s v=" n fluorescent "/>
    <s v=" n total"/>
  </r>
  <r>
    <x v="6"/>
    <x v="9"/>
    <s v="F:\images\20210407\plaque 1/@06 EE2 170.9/ "/>
    <s v=" "/>
    <s v=" 73.7512 "/>
    <x v="8"/>
    <s v=" 1889708.33 "/>
    <s v=" 1171131.7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407\plaque 1/@07 EE2 488/A7_01.tif "/>
    <s v=" 27102.258 "/>
    <s v=" 74.5626 "/>
    <x v="0"/>
    <n v="2020816"/>
    <m/>
    <m/>
    <m/>
  </r>
  <r>
    <x v="7"/>
    <x v="0"/>
    <s v="F:\images\20210407\plaque 1/@07 EE2 488/A7_02.tif "/>
    <s v=" 17152.5064 "/>
    <s v=" 68.8852 "/>
    <x v="0"/>
    <n v="1181555"/>
    <m/>
    <m/>
    <m/>
  </r>
  <r>
    <x v="7"/>
    <x v="0"/>
    <s v="F:\images\20210407\plaque 1/@07 EE2 488/A7_03.tif "/>
    <s v=" 20159.0618 "/>
    <s v=" 81.5472 "/>
    <x v="0"/>
    <n v="1643915"/>
    <m/>
    <m/>
    <m/>
  </r>
  <r>
    <x v="7"/>
    <x v="1"/>
    <s v="F:\images\20210407\plaque 1/@07 EE2 488/B7_01.tif "/>
    <s v=" 37008.7497 "/>
    <s v=" 77.6201 "/>
    <x v="0"/>
    <n v="2872623"/>
    <m/>
    <m/>
    <m/>
  </r>
  <r>
    <x v="7"/>
    <x v="1"/>
    <s v="F:\images\20210407\plaque 1/@07 EE2 488/B7_02.tif "/>
    <s v=" 30692.8205 "/>
    <s v=" 88.2297 "/>
    <x v="0"/>
    <n v="2708020"/>
    <m/>
    <m/>
    <m/>
  </r>
  <r>
    <x v="7"/>
    <x v="1"/>
    <s v="F:\images\20210407\plaque 1/@07 EE2 488/B7_03.tif "/>
    <s v=" 29221.9876 "/>
    <s v=" 81.7506 "/>
    <x v="0"/>
    <n v="2388914"/>
    <m/>
    <m/>
    <m/>
  </r>
  <r>
    <x v="7"/>
    <x v="2"/>
    <s v="F:\images\20210407\plaque 1/@07 EE2 488/C7_01.tif "/>
    <s v=" 36705.9312 "/>
    <s v=" 93.1349 "/>
    <x v="0"/>
    <n v="3418605"/>
    <m/>
    <m/>
    <m/>
  </r>
  <r>
    <x v="7"/>
    <x v="2"/>
    <s v="F:\images\20210407\plaque 1/@07 EE2 488/C7_02.tif "/>
    <s v=" 36727.5611 "/>
    <s v=" 90.0995 "/>
    <x v="0"/>
    <n v="3309136"/>
    <m/>
    <m/>
    <m/>
  </r>
  <r>
    <x v="7"/>
    <x v="2"/>
    <s v="F:\images\20210407\plaque 1/@07 EE2 488/C7_03.tif "/>
    <s v=" 33547.9666 "/>
    <s v=" 93.5751 "/>
    <x v="0"/>
    <n v="3139255"/>
    <m/>
    <m/>
    <m/>
  </r>
  <r>
    <x v="7"/>
    <x v="3"/>
    <s v="F:\images\20210407\plaque 1/@07 EE2 488/D7_01.tif "/>
    <s v=" 54355.9252 "/>
    <s v=" 89.1257 "/>
    <x v="0"/>
    <n v="4844512"/>
    <m/>
    <m/>
    <m/>
  </r>
  <r>
    <x v="7"/>
    <x v="3"/>
    <s v="F:\images\20210407\plaque 1/@07 EE2 488/D7_02.tif "/>
    <s v=" 66879.6342 "/>
    <s v=" 94.5068 "/>
    <x v="0"/>
    <n v="6320580"/>
    <m/>
    <m/>
    <m/>
  </r>
  <r>
    <x v="7"/>
    <x v="3"/>
    <s v="F:\images\20210407\plaque 1/@07 EE2 488/D7_03.tif "/>
    <s v=" 58530.4949 "/>
    <s v=" 94.8999 "/>
    <x v="0"/>
    <n v="5554535"/>
    <m/>
    <m/>
    <m/>
  </r>
  <r>
    <x v="7"/>
    <x v="4"/>
    <s v="F:\images\20210407\plaque 1/@07 EE2 488/E7_01.tif "/>
    <s v=" 30000.6639 "/>
    <s v=" 86.9142 "/>
    <x v="0"/>
    <n v="2607484"/>
    <m/>
    <m/>
    <m/>
  </r>
  <r>
    <x v="7"/>
    <x v="4"/>
    <s v="F:\images\20210407\plaque 1/@07 EE2 488/E7_02.tif "/>
    <s v=" 28702.8702 "/>
    <s v=" 86.0731 "/>
    <x v="0"/>
    <n v="2470545"/>
    <m/>
    <m/>
    <m/>
  </r>
  <r>
    <x v="7"/>
    <x v="4"/>
    <s v="F:\images\20210407\plaque 1/@07 EE2 488/E7_03- exclu.tif"/>
    <m/>
    <m/>
    <x v="1"/>
    <m/>
    <m/>
    <m/>
    <m/>
  </r>
  <r>
    <x v="7"/>
    <x v="5"/>
    <s v="F:\images\20210407\plaque 1/@07 EE2 488/F7_01.tif "/>
    <s v=" 54269.4056 "/>
    <s v=" 95.7804 "/>
    <x v="0"/>
    <n v="5197945"/>
    <m/>
    <m/>
    <m/>
  </r>
  <r>
    <x v="7"/>
    <x v="5"/>
    <s v="F:\images\20210407\plaque 1/@07 EE2 488/F7_02.tif "/>
    <s v=" 48732.1526 "/>
    <s v=" 98.1593 "/>
    <x v="0"/>
    <n v="4783516"/>
    <m/>
    <m/>
    <m/>
  </r>
  <r>
    <x v="7"/>
    <x v="5"/>
    <s v="F:\images\20210407\plaque 1/@07 EE2 488/F7_03.tif "/>
    <s v=" 49164.7505 "/>
    <s v=" 99.1553 "/>
    <x v="0"/>
    <n v="4874946"/>
    <m/>
    <m/>
    <m/>
  </r>
  <r>
    <x v="7"/>
    <x v="6"/>
    <s v="F:\images\20210407\plaque 1/@07 EE2 488/G7_01.tif "/>
    <s v=" 37008.7497 "/>
    <s v=" 98.474 "/>
    <x v="0"/>
    <n v="3644399"/>
    <m/>
    <m/>
    <m/>
  </r>
  <r>
    <x v="7"/>
    <x v="6"/>
    <s v="F:\images\20210407\plaque 1/@07 EE2 488/G7_02.tif "/>
    <s v=" 40880.5008 "/>
    <s v=" 96.1688 "/>
    <x v="0"/>
    <n v="3931428"/>
    <m/>
    <m/>
    <m/>
  </r>
  <r>
    <x v="7"/>
    <x v="6"/>
    <s v="F:\images\20210407\plaque 1/@07 EE2 488/G7_03.tif "/>
    <s v=" 42416.2234 "/>
    <s v=" 90.6344 "/>
    <x v="0"/>
    <n v="3844368"/>
    <m/>
    <m/>
    <m/>
  </r>
  <r>
    <x v="7"/>
    <x v="7"/>
    <s v="F:\images\20210407\plaque 1/@07 EE2 488/H7_01.tif "/>
    <s v=" 38652.6217 "/>
    <s v=" 89.3106 "/>
    <x v="0"/>
    <n v="3452088"/>
    <m/>
    <m/>
    <m/>
  </r>
  <r>
    <x v="7"/>
    <x v="7"/>
    <s v="F:\images\20210407\plaque 1/@07 EE2 488/H7_02.tif "/>
    <s v=" 44773.8819 "/>
    <s v=" 88.0647 "/>
    <x v="0"/>
    <n v="3943000"/>
    <m/>
    <m/>
    <m/>
  </r>
  <r>
    <x v="7"/>
    <x v="7"/>
    <s v="F:\images\20210407\plaque 1/@07 EE2 488/H7_03.tif "/>
    <s v=" 47153.1703 "/>
    <s v=" 86.0743 "/>
    <x v="0"/>
    <n v="4058677"/>
    <m/>
    <m/>
    <m/>
  </r>
  <r>
    <x v="1"/>
    <x v="8"/>
    <s v=" "/>
    <m/>
    <m/>
    <x v="1"/>
    <m/>
    <m/>
    <m/>
    <m/>
  </r>
  <r>
    <x v="1"/>
    <x v="8"/>
    <s v="group "/>
    <s v=" "/>
    <s v=" mean of mean fluo "/>
    <x v="2"/>
    <s v=" mean of total fluo "/>
    <s v=" SD total fluo "/>
    <s v=" n fluorescent "/>
    <s v=" n total"/>
  </r>
  <r>
    <x v="7"/>
    <x v="9"/>
    <s v="F:\images\20210407\plaque 1/@07 EE2 488/ "/>
    <s v=" "/>
    <s v=" 88.5486 "/>
    <x v="9"/>
    <s v=" 3448405.5 "/>
    <s v=" 1401369.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407\plaque 1/@08 Fadrozole 5.4 µg_L/A8_01.tif "/>
    <s v=" 5537.253 "/>
    <s v=" 67.3281 "/>
    <x v="0"/>
    <n v="372813"/>
    <m/>
    <m/>
    <m/>
  </r>
  <r>
    <x v="8"/>
    <x v="0"/>
    <s v="F:\images\20210407\plaque 1/@08 Fadrozole 5.4 µg_L/A8_02.tif "/>
    <s v=" 5602.1427 "/>
    <s v=" 73.3475 "/>
    <x v="0"/>
    <n v="410903"/>
    <m/>
    <m/>
    <m/>
  </r>
  <r>
    <x v="8"/>
    <x v="0"/>
    <s v="F:\images\20210407\plaque 1/@08 Fadrozole 5.4 µg_L/A8_03.tif "/>
    <s v=" 7592.093 "/>
    <s v=" 71.0741 "/>
    <x v="0"/>
    <n v="539601"/>
    <m/>
    <m/>
    <m/>
  </r>
  <r>
    <x v="8"/>
    <x v="1"/>
    <s v="F:\images\20210407\plaque 1/@08 Fadrozole 5.4 µg_L/B8_01.tif "/>
    <s v=" 9430.6341 "/>
    <s v=" 85.2087 "/>
    <x v="0"/>
    <n v="803572"/>
    <m/>
    <m/>
    <m/>
  </r>
  <r>
    <x v="8"/>
    <x v="1"/>
    <s v="F:\images\20210407\plaque 1/@08 Fadrozole 5.4 µg_L/B8_02.tif "/>
    <s v=" 12977.9368 "/>
    <s v=" 93.5833 "/>
    <x v="0"/>
    <n v="1214519"/>
    <m/>
    <m/>
    <m/>
  </r>
  <r>
    <x v="8"/>
    <x v="1"/>
    <s v="F:\images\20210407\plaque 1/@08 Fadrozole 5.4 µg_L/B8_03.tif "/>
    <s v=" 8716.8475 "/>
    <s v=" 75.5955 "/>
    <x v="0"/>
    <n v="658955"/>
    <m/>
    <m/>
    <m/>
  </r>
  <r>
    <x v="8"/>
    <x v="2"/>
    <s v="F:\images\20210407\plaque 1/@08 Fadrozole 5.4 µg_L/C8_01.tif "/>
    <s v=" 4088.0501 "/>
    <s v=" 68.4656 "/>
    <x v="0"/>
    <n v="279891"/>
    <m/>
    <m/>
    <m/>
  </r>
  <r>
    <x v="8"/>
    <x v="2"/>
    <s v="F:\images\20210407\plaque 1/@08 Fadrozole 5.4 µg_L/C8_02.tif "/>
    <s v=" 1449.2029 "/>
    <s v=" 65.0149 "/>
    <x v="0"/>
    <n v="94220"/>
    <m/>
    <m/>
    <m/>
  </r>
  <r>
    <x v="8"/>
    <x v="2"/>
    <s v="F:\images\20210407\plaque 1/@08 Fadrozole 5.4 µg_L/C8_03.tif "/>
    <s v=" 4715.317 "/>
    <s v=" 68.8899 "/>
    <x v="0"/>
    <n v="324838"/>
    <m/>
    <m/>
    <m/>
  </r>
  <r>
    <x v="8"/>
    <x v="3"/>
    <s v="F:\images\20210407\plaque 1/@08 Fadrozole 5.4 µg_L/D8_01.tif "/>
    <s v=" 6467.3385 "/>
    <s v=" 70.7291 "/>
    <x v="0"/>
    <n v="457429"/>
    <m/>
    <m/>
    <m/>
  </r>
  <r>
    <x v="8"/>
    <x v="3"/>
    <s v="F:\images\20210407\plaque 1/@08 Fadrozole 5.4 µg_L/D8_02.tif "/>
    <s v=" 7072.9755 "/>
    <s v=" 68.9419 "/>
    <x v="0"/>
    <n v="487624"/>
    <m/>
    <m/>
    <m/>
  </r>
  <r>
    <x v="8"/>
    <x v="3"/>
    <s v="F:\images\20210407\plaque 1/@08 Fadrozole 5.4 µg_L/D8_03.tif "/>
    <s v=" 6402.4488 "/>
    <s v=" 67.7601 "/>
    <x v="0"/>
    <n v="433831"/>
    <m/>
    <m/>
    <m/>
  </r>
  <r>
    <x v="8"/>
    <x v="4"/>
    <s v="F:\images\20210407\plaque 1/@08 Fadrozole 5.4 µg_L/E8_01.tif "/>
    <s v=" 2206.2493 "/>
    <s v=" 64.8725 "/>
    <x v="0"/>
    <n v="143125"/>
    <m/>
    <m/>
    <m/>
  </r>
  <r>
    <x v="8"/>
    <x v="4"/>
    <s v="F:\images\20210407\plaque 1/@08 Fadrozole 5.4 µg_L/E8_02.tif "/>
    <s v=" 713.7865 "/>
    <s v=" 63.4242 "/>
    <x v="0"/>
    <n v="45271"/>
    <m/>
    <m/>
    <m/>
  </r>
  <r>
    <x v="8"/>
    <x v="4"/>
    <s v="F:\images\20210407\plaque 1/@08 Fadrozole 5.4 µg_L/E8_03.tif "/>
    <s v=" 302.8185 "/>
    <s v=" 62.5 "/>
    <x v="0"/>
    <n v="18926"/>
    <m/>
    <m/>
    <m/>
  </r>
  <r>
    <x v="8"/>
    <x v="5"/>
    <s v="F:\images\20210407\plaque 1/@08 Fadrozole 5.4 µg_L/F8_01.tif "/>
    <s v=" 2573.9575 "/>
    <s v=" 64.8739 "/>
    <x v="0"/>
    <n v="166983"/>
    <m/>
    <m/>
    <m/>
  </r>
  <r>
    <x v="8"/>
    <x v="5"/>
    <s v="F:\images\20210407\plaque 1/@08 Fadrozole 5.4 µg_L/F8_02.tif "/>
    <s v=" 2271.1389 "/>
    <s v=" 64.3143 "/>
    <x v="0"/>
    <n v="146067"/>
    <m/>
    <m/>
    <m/>
  </r>
  <r>
    <x v="8"/>
    <x v="5"/>
    <s v="F:\images\20210407\plaque 1/@08 Fadrozole 5.4 µg_L/F8_03.tif "/>
    <s v=" 886.8257 "/>
    <s v=" 64.5854 "/>
    <x v="0"/>
    <n v="57276"/>
    <m/>
    <m/>
    <m/>
  </r>
  <r>
    <x v="8"/>
    <x v="6"/>
    <s v="F:\images\20210407\plaque 1/@08 Fadrozole 5.4 µg_L/G8_01.tif "/>
    <s v=" 13626.8336 "/>
    <s v=" 84.8317 "/>
    <x v="0"/>
    <n v="1155988"/>
    <m/>
    <m/>
    <m/>
  </r>
  <r>
    <x v="8"/>
    <x v="6"/>
    <s v="F:\images\20210407\plaque 1/@08 Fadrozole 5.4 µg_L/G8_02.tif "/>
    <s v=" 11896.442 "/>
    <s v=" 88.1727 "/>
    <x v="0"/>
    <n v="1048942"/>
    <m/>
    <m/>
    <m/>
  </r>
  <r>
    <x v="8"/>
    <x v="6"/>
    <s v="F:\images\20210407\plaque 1/@08 Fadrozole 5.4 µg_L/G8_03.tif "/>
    <s v=" 10144.4206 "/>
    <s v=" 88.7697 "/>
    <x v="0"/>
    <n v="900517"/>
    <m/>
    <m/>
    <m/>
  </r>
  <r>
    <x v="8"/>
    <x v="7"/>
    <s v="F:\images\20210407\plaque 1/@08 Fadrozole 5.4 µg_L/H8_01.tif "/>
    <s v=" 11636.8833 "/>
    <s v=" 87.0706 "/>
    <x v="0"/>
    <n v="1013231"/>
    <m/>
    <m/>
    <m/>
  </r>
  <r>
    <x v="8"/>
    <x v="7"/>
    <s v="F:\images\20210407\plaque 1/@08 Fadrozole 5.4 µg_L/H8_02.tif "/>
    <s v=" 648.8968 "/>
    <s v=" 62.5 "/>
    <x v="0"/>
    <n v="40556"/>
    <m/>
    <m/>
    <m/>
  </r>
  <r>
    <x v="8"/>
    <x v="7"/>
    <s v="F:\images\20210407\plaque 1/@08 Fadrozole 5.4 µg_L/H8_03.tif "/>
    <s v=" 12458.8193 "/>
    <s v=" 87.4809 "/>
    <x v="0"/>
    <n v="1089909"/>
    <m/>
    <m/>
    <m/>
  </r>
  <r>
    <x v="1"/>
    <x v="8"/>
    <s v=" "/>
    <m/>
    <m/>
    <x v="1"/>
    <m/>
    <m/>
    <m/>
    <m/>
  </r>
  <r>
    <x v="1"/>
    <x v="8"/>
    <s v="group "/>
    <s v=" "/>
    <s v=" mean of mean fluo "/>
    <x v="2"/>
    <s v=" mean of total fluo "/>
    <s v=" SD total fluo "/>
    <s v=" n fluorescent "/>
    <s v=" n total"/>
  </r>
  <r>
    <x v="8"/>
    <x v="9"/>
    <s v="F:\images\20210407\plaque 1/@08 Fadrozole 5.4 µg_L/ "/>
    <s v=" "/>
    <s v=" 73.3056 "/>
    <x v="10"/>
    <s v=" 496041.125 "/>
    <s v=" 396490.0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407\plaque 1/@09 Fadrozole 11 µg_L/A9_01.tif "/>
    <s v=" 475.8577 "/>
    <s v=" 64.3182 "/>
    <x v="0"/>
    <n v="30606"/>
    <m/>
    <m/>
    <m/>
  </r>
  <r>
    <x v="9"/>
    <x v="0"/>
    <s v="F:\images\20210407\plaque 1/@09 Fadrozole 11 µg_L/A9_02.tif "/>
    <s v=" 454.2278 "/>
    <s v=" 63.4286 "/>
    <x v="0"/>
    <n v="28811"/>
    <m/>
    <m/>
    <m/>
  </r>
  <r>
    <x v="9"/>
    <x v="0"/>
    <s v="F:\images\20210407\plaque 1/@09 Fadrozole 11 µg_L/A9_03.tif "/>
    <s v=" 302.8185 "/>
    <s v=" 61.8571 "/>
    <x v="0"/>
    <n v="18731"/>
    <m/>
    <m/>
    <m/>
  </r>
  <r>
    <x v="9"/>
    <x v="1"/>
    <s v="F:\images\20210407\plaque 1/@09 Fadrozole 11 µg_L/B9_01.tif "/>
    <s v=" 627.2669 "/>
    <s v=" 63.2414 "/>
    <x v="0"/>
    <n v="39669"/>
    <m/>
    <m/>
    <m/>
  </r>
  <r>
    <x v="9"/>
    <x v="1"/>
    <s v="F:\images\20210407\plaque 1/@09 Fadrozole 11 µg_L/B9_02.tif "/>
    <s v=" 4758.5768 "/>
    <s v=" 71.9227 "/>
    <x v="0"/>
    <n v="342250"/>
    <m/>
    <m/>
    <m/>
  </r>
  <r>
    <x v="9"/>
    <x v="1"/>
    <s v="F:\images\20210407\plaque 1/@09 Fadrozole 11 µg_L/B9_03.tif "/>
    <s v=" 670.5267 "/>
    <s v=" 64.2903 "/>
    <x v="0"/>
    <n v="43108"/>
    <m/>
    <m/>
    <m/>
  </r>
  <r>
    <x v="9"/>
    <x v="2"/>
    <s v="F:\images\20210407\plaque 1/@09 Fadrozole 11 µg_L/C9_01.tif "/>
    <s v=" 410.968 "/>
    <s v=" 63.4211 "/>
    <x v="0"/>
    <n v="26064"/>
    <m/>
    <m/>
    <m/>
  </r>
  <r>
    <x v="9"/>
    <x v="2"/>
    <s v="F:\images\20210407\plaque 1/@09 Fadrozole 11 µg_L/C9_02.tif "/>
    <s v=" 3179.5945 "/>
    <s v=" 67.4558 "/>
    <x v="0"/>
    <n v="214482"/>
    <m/>
    <m/>
    <m/>
  </r>
  <r>
    <x v="9"/>
    <x v="2"/>
    <s v="F:\images\20210407\plaque 1/@09 Fadrozole 11 µg_L/C9_03.tif "/>
    <s v=" 886.8257 "/>
    <s v=" 65.7805 "/>
    <x v="0"/>
    <n v="58336"/>
    <m/>
    <m/>
    <m/>
  </r>
  <r>
    <x v="9"/>
    <x v="3"/>
    <s v="F:\images\20210407\plaque 1/@09 Fadrozole 11 µg_L/D9_01.tif "/>
    <s v=" 5645.4025 "/>
    <s v=" 69.7433 "/>
    <x v="0"/>
    <n v="393729"/>
    <m/>
    <m/>
    <m/>
  </r>
  <r>
    <x v="9"/>
    <x v="3"/>
    <s v="F:\images\20210407\plaque 1/@09 Fadrozole 11 µg_L/D9_02.tif "/>
    <s v=" 2552.3276 "/>
    <n v="66"/>
    <x v="0"/>
    <n v="168454"/>
    <m/>
    <m/>
    <m/>
  </r>
  <r>
    <x v="9"/>
    <x v="3"/>
    <s v="F:\images\20210407\plaque 1/@09 Fadrozole 11 µg_L/D9_03.tif "/>
    <s v=" 2119.7297 "/>
    <s v=" 66.5714 "/>
    <x v="0"/>
    <n v="141113"/>
    <m/>
    <m/>
    <m/>
  </r>
  <r>
    <x v="9"/>
    <x v="4"/>
    <s v="F:\images\20210407\plaque 1/@09 Fadrozole 11 µg_L/E9_01.tif "/>
    <s v=" 497.4876 "/>
    <s v=" 63.9565 "/>
    <x v="0"/>
    <n v="31818"/>
    <m/>
    <m/>
    <m/>
  </r>
  <r>
    <x v="9"/>
    <x v="4"/>
    <s v="F:\images\20210407\plaque 1/@09 Fadrozole 11 µg_L/E9_02.tif "/>
    <s v=" 692.1566 "/>
    <s v=" 66.0625 "/>
    <x v="0"/>
    <n v="45726"/>
    <m/>
    <m/>
    <m/>
  </r>
  <r>
    <x v="9"/>
    <x v="4"/>
    <s v="F:\images\20210407\plaque 1/@09 Fadrozole 11 µg_L/E9_03.tif "/>
    <s v=" 281.1886 "/>
    <s v=" 64.3077 "/>
    <x v="0"/>
    <n v="18083"/>
    <m/>
    <m/>
    <m/>
  </r>
  <r>
    <x v="9"/>
    <x v="5"/>
    <s v="F:\images\20210407\plaque 1/@09 Fadrozole 11 µg_L/F9_01.tif "/>
    <s v=" 3720.3419 "/>
    <s v=" 66.3547 "/>
    <x v="0"/>
    <n v="246862"/>
    <m/>
    <m/>
    <m/>
  </r>
  <r>
    <x v="9"/>
    <x v="5"/>
    <s v="F:\images\20210407\plaque 1/@09 Fadrozole 11 µg_L/F9_02.tif "/>
    <s v=" 3633.8223 "/>
    <s v=" 65.5476 "/>
    <x v="0"/>
    <n v="238188"/>
    <m/>
    <m/>
    <m/>
  </r>
  <r>
    <x v="9"/>
    <x v="5"/>
    <s v="F:\images\20210407\plaque 1/@09 Fadrozole 11 µg_L/F9_03.tif "/>
    <s v=" 3655.4522 "/>
    <s v=" 64.1775 "/>
    <x v="0"/>
    <n v="234598"/>
    <m/>
    <m/>
    <m/>
  </r>
  <r>
    <x v="9"/>
    <x v="6"/>
    <s v="F:\images\20210407\plaque 1/@09 Fadrozole 11 µg_L/G9_01.tif "/>
    <s v=" 389.3381 "/>
    <s v=" 62.5556 "/>
    <x v="0"/>
    <n v="24355"/>
    <m/>
    <m/>
    <m/>
  </r>
  <r>
    <x v="9"/>
    <x v="6"/>
    <s v="F:\images\20210407\plaque 1/@09 Fadrozole 11 µg_L/G9_02.tif "/>
    <s v=" 800.3061 "/>
    <s v=" 64.6757 "/>
    <x v="0"/>
    <n v="51760"/>
    <m/>
    <m/>
    <m/>
  </r>
  <r>
    <x v="9"/>
    <x v="6"/>
    <s v="F:\images\20210407\plaque 1/@09 Fadrozole 11 µg_L/G9_03.tif "/>
    <s v=" 519.1175 "/>
    <s v=" 64.875 "/>
    <x v="0"/>
    <n v="33678"/>
    <m/>
    <m/>
    <m/>
  </r>
  <r>
    <x v="9"/>
    <x v="7"/>
    <s v="F:\images\20210407\plaque 1/@09 Fadrozole 11 µg_L/H9_01.tif "/>
    <s v=" 5385.8438 "/>
    <s v=" 69.6104 "/>
    <x v="0"/>
    <n v="374911"/>
    <m/>
    <m/>
    <m/>
  </r>
  <r>
    <x v="9"/>
    <x v="7"/>
    <s v="F:\images\20210407\plaque 1/@09 Fadrozole 11 µg_L/H9_02.tif "/>
    <s v=" 3352.6337 "/>
    <s v=" 66.671 "/>
    <x v="0"/>
    <n v="223523"/>
    <m/>
    <m/>
    <m/>
  </r>
  <r>
    <x v="9"/>
    <x v="7"/>
    <s v="F:\images\20210407\plaque 1/@09 Fadrozole 11 µg_L/H9_03- exclu.tif"/>
    <m/>
    <m/>
    <x v="1"/>
    <m/>
    <m/>
    <m/>
    <m/>
  </r>
  <r>
    <x v="1"/>
    <x v="8"/>
    <s v=" "/>
    <m/>
    <m/>
    <x v="1"/>
    <m/>
    <m/>
    <m/>
    <m/>
  </r>
  <r>
    <x v="1"/>
    <x v="8"/>
    <s v="group "/>
    <s v=" "/>
    <s v=" mean of mean fluo "/>
    <x v="2"/>
    <s v=" mean of total fluo "/>
    <s v=" SD total fluo "/>
    <s v=" n fluorescent "/>
    <s v=" n total"/>
  </r>
  <r>
    <x v="9"/>
    <x v="9"/>
    <s v="F:\images\20210407\plaque 1/@09 Fadrozole 11 µg_L/ "/>
    <s v=" "/>
    <s v=" 65.5798 "/>
    <x v="11"/>
    <s v=" 134123.333 "/>
    <s v=" 123632.01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407\plaque 1/@10 Fadrozole 22 µg_L/A10_01.tif "/>
    <s v=" 908.4556 "/>
    <s v=" 63.5476 "/>
    <x v="0"/>
    <n v="57730"/>
    <m/>
    <m/>
    <m/>
  </r>
  <r>
    <x v="10"/>
    <x v="0"/>
    <s v="F:\images\20210407\plaque 1/@10 Fadrozole 22 µg_L/A10_02.tif "/>
    <s v=" 1211.2741 "/>
    <s v=" 64.1964 "/>
    <x v="0"/>
    <n v="77759"/>
    <m/>
    <m/>
    <m/>
  </r>
  <r>
    <x v="10"/>
    <x v="0"/>
    <s v="F:\images\20210407\plaque 1/@10 Fadrozole 22 µg_L/A10_03.tif "/>
    <s v=" 1816.9111 "/>
    <s v=" 63.7619 "/>
    <x v="0"/>
    <n v="115850"/>
    <m/>
    <m/>
    <m/>
  </r>
  <r>
    <x v="10"/>
    <x v="1"/>
    <s v="F:\images\20210407\plaque 1/@10 Fadrozole 22 µg_L/B10_01.tif "/>
    <s v=" 1557.3524 "/>
    <s v=" 64.9583 "/>
    <x v="0"/>
    <n v="101163"/>
    <m/>
    <m/>
    <m/>
  </r>
  <r>
    <x v="10"/>
    <x v="1"/>
    <s v="F:\images\20210407\plaque 1/@10 Fadrozole 22 µg_L/B10_02.tif "/>
    <s v=" 2141.3596 "/>
    <s v=" 66.8283 "/>
    <x v="0"/>
    <n v="143103"/>
    <m/>
    <m/>
    <m/>
  </r>
  <r>
    <x v="10"/>
    <x v="1"/>
    <s v="F:\images\20210407\plaque 1/@10 Fadrozole 22 µg_L/B10_03.tif "/>
    <s v=" 1427.573 "/>
    <s v=" 66.3333 "/>
    <x v="0"/>
    <n v="94696"/>
    <m/>
    <m/>
    <m/>
  </r>
  <r>
    <x v="10"/>
    <x v="2"/>
    <s v="F:\images\20210407\plaque 1/@10 Fadrozole 22 µg_L/C10_01.tif "/>
    <s v=" 1081.4947 "/>
    <s v=" 64.92 "/>
    <x v="0"/>
    <n v="70211"/>
    <m/>
    <m/>
    <m/>
  </r>
  <r>
    <x v="10"/>
    <x v="2"/>
    <s v="F:\images\20210407\plaque 1/@10 Fadrozole 22 µg_L/C10_02.tif "/>
    <s v=" 2119.7297 "/>
    <s v=" 65.0408 "/>
    <x v="0"/>
    <n v="137869"/>
    <m/>
    <m/>
    <m/>
  </r>
  <r>
    <x v="10"/>
    <x v="2"/>
    <s v="F:\images\20210407\plaque 1/@10 Fadrozole 22 µg_L/C10_03.tif "/>
    <s v=" 1189.6442 "/>
    <s v=" 64.7636 "/>
    <x v="0"/>
    <n v="77046"/>
    <m/>
    <m/>
    <m/>
  </r>
  <r>
    <x v="10"/>
    <x v="3"/>
    <s v="F:\images\20210407\plaque 1/@10 Fadrozole 22 µg_L/D10_01.tif "/>
    <s v=" 1211.2741 "/>
    <s v=" 64.2321 "/>
    <x v="0"/>
    <n v="77803"/>
    <m/>
    <m/>
    <m/>
  </r>
  <r>
    <x v="10"/>
    <x v="3"/>
    <s v="F:\images\20210407\plaque 1/@10 Fadrozole 22 µg_L/D10_02.tif "/>
    <s v=" 194.6691 "/>
    <s v=" 64.5556 "/>
    <x v="0"/>
    <n v="12567"/>
    <m/>
    <m/>
    <m/>
  </r>
  <r>
    <x v="10"/>
    <x v="3"/>
    <s v="F:\images\20210407\plaque 1/@10 Fadrozole 22 µg_L/D10_03.tif "/>
    <s v=" 1816.9111 "/>
    <s v=" 64.1905 "/>
    <x v="0"/>
    <n v="116628"/>
    <m/>
    <m/>
    <m/>
  </r>
  <r>
    <x v="10"/>
    <x v="4"/>
    <s v="F:\images\20210407\plaque 1/@10 Fadrozole 22 µg_L/E10_01.tif "/>
    <s v=" 1903.4307 "/>
    <s v=" 66.0909 "/>
    <x v="0"/>
    <n v="125799"/>
    <m/>
    <m/>
    <m/>
  </r>
  <r>
    <x v="10"/>
    <x v="4"/>
    <s v="F:\images\20210407\plaque 1/@10 Fadrozole 22 µg_L/E10_02.tif "/>
    <s v=" 4801.8366 "/>
    <s v=" 68.2027 "/>
    <x v="0"/>
    <n v="327498"/>
    <m/>
    <m/>
    <m/>
  </r>
  <r>
    <x v="10"/>
    <x v="4"/>
    <s v="F:\images\20210407\plaque 1/@10 Fadrozole 22 µg_L/E10_03- exclu.tif"/>
    <m/>
    <m/>
    <x v="1"/>
    <m/>
    <m/>
    <m/>
    <m/>
  </r>
  <r>
    <x v="10"/>
    <x v="5"/>
    <s v="F:\images\20210407\plaque 1/@10 Fadrozole 22 µg_L/F10_01.tif "/>
    <s v=" 4304.349 "/>
    <s v=" 70.4523 "/>
    <x v="0"/>
    <n v="303251"/>
    <m/>
    <m/>
    <m/>
  </r>
  <r>
    <x v="10"/>
    <x v="5"/>
    <s v="F:\images\20210407\plaque 1/@10 Fadrozole 22 µg_L/F10_02.tif "/>
    <s v=" 3352.6337 "/>
    <s v=" 68.0774 "/>
    <x v="0"/>
    <n v="228239"/>
    <m/>
    <m/>
    <m/>
  </r>
  <r>
    <x v="10"/>
    <x v="5"/>
    <s v="F:\images\20210407\plaque 1/@10 Fadrozole 22 µg_L/F10_03.tif "/>
    <s v=" 3741.9718 "/>
    <s v=" 68.0983 "/>
    <x v="0"/>
    <n v="254822"/>
    <m/>
    <m/>
    <m/>
  </r>
  <r>
    <x v="10"/>
    <x v="6"/>
    <s v="F:\images\20210407\plaque 1/@10 Fadrozole 22 µg_L/G10_01.tif "/>
    <s v=" 432.5979 "/>
    <s v=" 63.1 "/>
    <x v="0"/>
    <n v="27297"/>
    <m/>
    <m/>
    <m/>
  </r>
  <r>
    <x v="10"/>
    <x v="6"/>
    <s v="F:\images\20210407\plaque 1/@10 Fadrozole 22 µg_L/G10_02.tif "/>
    <s v=" 237.9288 "/>
    <s v=" 62.7273 "/>
    <x v="0"/>
    <n v="14925"/>
    <m/>
    <m/>
    <m/>
  </r>
  <r>
    <x v="10"/>
    <x v="6"/>
    <s v="F:\images\20210407\plaque 1/@10 Fadrozole 22 µg_L/G10_03.tif "/>
    <s v=" 151.4093 "/>
    <s v=" 62.1429 "/>
    <x v="0"/>
    <n v="9409"/>
    <m/>
    <m/>
    <m/>
  </r>
  <r>
    <x v="10"/>
    <x v="7"/>
    <s v="F:\images\20210407\plaque 1/@10 Fadrozole 22 µg_L/H10_01.tif "/>
    <s v=" 6013.1107 "/>
    <s v=" 73.5 "/>
    <x v="0"/>
    <n v="441964"/>
    <m/>
    <m/>
    <m/>
  </r>
  <r>
    <x v="10"/>
    <x v="7"/>
    <s v="F:\images\20210407\plaque 1/@10 Fadrozole 22 µg_L/H10_02.tif "/>
    <s v=" 2833.5162 "/>
    <s v=" 70.5802 "/>
    <x v="0"/>
    <n v="199990"/>
    <m/>
    <m/>
    <m/>
  </r>
  <r>
    <x v="10"/>
    <x v="7"/>
    <s v="F:\images\20210407\plaque 1/@10 Fadrozole 22 µg_L/H10_03.tif "/>
    <s v=" 259.5587 "/>
    <s v=" 64.5 "/>
    <x v="0"/>
    <n v="16742"/>
    <m/>
    <m/>
    <m/>
  </r>
  <r>
    <x v="1"/>
    <x v="8"/>
    <s v=" "/>
    <m/>
    <m/>
    <x v="1"/>
    <m/>
    <m/>
    <m/>
    <m/>
  </r>
  <r>
    <x v="1"/>
    <x v="8"/>
    <s v="group "/>
    <s v=" "/>
    <s v=" mean of mean fluo "/>
    <x v="2"/>
    <s v=" mean of total fluo "/>
    <s v=" SD total fluo "/>
    <s v=" n fluorescent "/>
    <s v=" n total"/>
  </r>
  <r>
    <x v="10"/>
    <x v="9"/>
    <s v="F:\images\20210407\plaque 1/@10 Fadrozole 22 µg_L/ "/>
    <s v=" "/>
    <s v=" 65.9414 "/>
    <x v="12"/>
    <s v=" 146999.5 "/>
    <s v=" 133177.6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407\plaque 1/@11 Fadrozole 44 µg_L/A11_01.tif "/>
    <s v=" 5861.7014 "/>
    <s v=" 72.9299 "/>
    <x v="0"/>
    <n v="427493"/>
    <m/>
    <m/>
    <m/>
  </r>
  <r>
    <x v="11"/>
    <x v="0"/>
    <s v="F:\images\20210407\plaque 1/@11 Fadrozole 44 µg_L/A11_02.tif "/>
    <s v=" 3590.5625 "/>
    <s v=" 64.7892 "/>
    <x v="0"/>
    <n v="232630"/>
    <m/>
    <m/>
    <m/>
  </r>
  <r>
    <x v="11"/>
    <x v="0"/>
    <s v="F:\images\20210407\plaque 1/@11 Fadrozole 44 µg_L/A11_03.tif "/>
    <s v=" 2725.3667 "/>
    <s v=" 68.3016 "/>
    <x v="0"/>
    <n v="186147"/>
    <m/>
    <m/>
    <m/>
  </r>
  <r>
    <x v="11"/>
    <x v="1"/>
    <s v="F:\images\20210407\plaque 1/@11 Fadrozole 44 µg_L/B11_01.tif "/>
    <s v=" 1643.872 "/>
    <s v=" 64.2237 "/>
    <x v="0"/>
    <n v="105576"/>
    <m/>
    <m/>
    <m/>
  </r>
  <r>
    <x v="11"/>
    <x v="1"/>
    <s v="F:\images\20210407\plaque 1/@11 Fadrozole 44 µg_L/B11_02.tif "/>
    <s v=" 648.8968 "/>
    <s v=" 63.0333 "/>
    <x v="0"/>
    <n v="40902"/>
    <m/>
    <m/>
    <m/>
  </r>
  <r>
    <x v="11"/>
    <x v="1"/>
    <s v="F:\images\20210407\plaque 1/@11 Fadrozole 44 µg_L/B11_03.tif "/>
    <s v=" 367.7082 "/>
    <s v=" 65.8235 "/>
    <x v="0"/>
    <n v="24204"/>
    <m/>
    <m/>
    <m/>
  </r>
  <r>
    <x v="11"/>
    <x v="2"/>
    <s v="F:\images\20210407\plaque 1/@11 Fadrozole 44 µg_L/C11_01.tif "/>
    <s v=" 5342.584 "/>
    <s v=" 69.2024 "/>
    <x v="0"/>
    <n v="369720"/>
    <m/>
    <m/>
    <m/>
  </r>
  <r>
    <x v="11"/>
    <x v="2"/>
    <s v="F:\images\20210407\plaque 1/@11 Fadrozole 44 µg_L/C11_02.tif "/>
    <s v=" 3763.6017 "/>
    <s v=" 67.8103 "/>
    <x v="0"/>
    <n v="255211"/>
    <m/>
    <m/>
    <m/>
  </r>
  <r>
    <x v="11"/>
    <x v="2"/>
    <s v="F:\images\20210407\plaque 1/@11 Fadrozole 44 µg_L/C11_03.tif "/>
    <s v=" 7181.125 "/>
    <s v=" 75.9458 "/>
    <x v="0"/>
    <n v="545376"/>
    <m/>
    <m/>
    <m/>
  </r>
  <r>
    <x v="11"/>
    <x v="3"/>
    <s v="F:\images\20210407\plaque 1/@11 Fadrozole 44 µg_L/D11_01.tif "/>
    <s v=" 4477.3882 "/>
    <s v=" 67.2802 "/>
    <x v="0"/>
    <n v="301240"/>
    <m/>
    <m/>
    <m/>
  </r>
  <r>
    <x v="11"/>
    <x v="3"/>
    <s v="F:\images\20210407\plaque 1/@11 Fadrozole 44 µg_L/D11_02.tif "/>
    <s v=" 1816.9111 "/>
    <s v=" 64.5238 "/>
    <x v="0"/>
    <n v="117234"/>
    <m/>
    <m/>
    <m/>
  </r>
  <r>
    <x v="11"/>
    <x v="3"/>
    <s v="F:\images\20210407\plaque 1/@11 Fadrozole 44 µg_L/D11_03.tif "/>
    <s v=" 3136.3347 "/>
    <s v=" 66.331 "/>
    <x v="0"/>
    <n v="208036"/>
    <m/>
    <m/>
    <m/>
  </r>
  <r>
    <x v="11"/>
    <x v="4"/>
    <s v="F:\images\20210407\plaque 1/@11 Fadrozole 44 µg_L/E11_01.tif "/>
    <s v=" 3504.0429 "/>
    <s v=" 65.6173 "/>
    <x v="0"/>
    <n v="229926"/>
    <m/>
    <m/>
    <m/>
  </r>
  <r>
    <x v="11"/>
    <x v="4"/>
    <s v="F:\images\20210407\plaque 1/@11 Fadrozole 44 µg_L/E11_02.tif "/>
    <s v=" 1059.8648 "/>
    <s v=" 65.4898 "/>
    <x v="0"/>
    <n v="69410"/>
    <m/>
    <m/>
    <m/>
  </r>
  <r>
    <x v="11"/>
    <x v="4"/>
    <s v="F:\images\20210407\plaque 1/@11 Fadrozole 44 µg_L/E11_03.tif "/>
    <s v=" 2530.6977 "/>
    <s v=" 64.7521 "/>
    <x v="0"/>
    <n v="163868"/>
    <m/>
    <m/>
    <m/>
  </r>
  <r>
    <x v="11"/>
    <x v="5"/>
    <s v="F:\images\20210407\plaque 1/@11 Fadrozole 44 µg_L/F11_01.tif "/>
    <s v=" 5796.8118 "/>
    <s v=" 67.0224 "/>
    <x v="0"/>
    <n v="388516"/>
    <m/>
    <m/>
    <m/>
  </r>
  <r>
    <x v="11"/>
    <x v="5"/>
    <s v="F:\images\20210407\plaque 1/@11 Fadrozole 44 µg_L/F11_02.tif "/>
    <s v=" 6943.1962 "/>
    <s v=" 70.7383 "/>
    <x v="0"/>
    <n v="491150"/>
    <m/>
    <m/>
    <m/>
  </r>
  <r>
    <x v="11"/>
    <x v="5"/>
    <s v="F:\images\20210407\plaque 1/@11 Fadrozole 44 µg_L/F11_03.tif "/>
    <s v=" 6532.2282 "/>
    <s v=" 72.2086 "/>
    <x v="0"/>
    <n v="471683"/>
    <m/>
    <m/>
    <m/>
  </r>
  <r>
    <x v="11"/>
    <x v="6"/>
    <s v="F:\images\20210407\plaque 1/@11 Fadrozole 44 µg_L/G11_01.tif "/>
    <s v=" 432.5979 "/>
    <s v=" 65.05 "/>
    <x v="0"/>
    <n v="28140"/>
    <m/>
    <m/>
    <m/>
  </r>
  <r>
    <x v="11"/>
    <x v="6"/>
    <s v="F:\images\20210407\plaque 1/@11 Fadrozole 44 µg_L/G11_02.tif "/>
    <s v=" 540.7474 "/>
    <s v=" 66.56 "/>
    <x v="0"/>
    <n v="35992"/>
    <m/>
    <m/>
    <m/>
  </r>
  <r>
    <x v="11"/>
    <x v="6"/>
    <s v="F:\images\20210407\plaque 1/@11 Fadrozole 44 µg_L/G11_03.tif "/>
    <s v=" 994.9752 "/>
    <s v=" 65.087 "/>
    <x v="0"/>
    <n v="64760"/>
    <m/>
    <m/>
    <m/>
  </r>
  <r>
    <x v="11"/>
    <x v="7"/>
    <s v="F:\images\20210407\plaque 1/@11 Fadrozole 44 µg_L/H11_01- exclu.tif"/>
    <m/>
    <m/>
    <x v="1"/>
    <m/>
    <m/>
    <m/>
    <m/>
  </r>
  <r>
    <x v="11"/>
    <x v="7"/>
    <s v="F:\images\20210407\plaque 1/@11 Fadrozole 44 µg_L/H11_02- exclu.tif"/>
    <m/>
    <m/>
    <x v="1"/>
    <m/>
    <m/>
    <m/>
    <m/>
  </r>
  <r>
    <x v="11"/>
    <x v="7"/>
    <s v="F:\images\20210407\plaque 1/@11 Fadrozole 44 µg_L/H11_03- exclu.tif"/>
    <m/>
    <m/>
    <x v="1"/>
    <m/>
    <m/>
    <m/>
    <m/>
  </r>
  <r>
    <x v="1"/>
    <x v="8"/>
    <s v=" "/>
    <m/>
    <m/>
    <x v="1"/>
    <m/>
    <m/>
    <m/>
    <m/>
  </r>
  <r>
    <x v="1"/>
    <x v="8"/>
    <s v="group "/>
    <s v=" "/>
    <s v=" mean of mean fluo "/>
    <x v="2"/>
    <s v=" mean of total fluo "/>
    <s v=" SD total fluo "/>
    <s v=" n fluorescent "/>
    <s v=" n total"/>
  </r>
  <r>
    <x v="11"/>
    <x v="9"/>
    <s v="F:\images\20210407\plaque 1/@11 Fadrozole 44 µg_L/ "/>
    <s v=" "/>
    <s v=" 67.0382 "/>
    <x v="13"/>
    <s v=" 203230.875 "/>
    <s v=" 168241.0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407\plaque 1/@12Fadrozole 87 µg_L/A12_01.tif "/>
    <s v=" 497.4876 "/>
    <s v=" 63.6087 "/>
    <x v="0"/>
    <n v="31645"/>
    <m/>
    <m/>
    <m/>
  </r>
  <r>
    <x v="12"/>
    <x v="0"/>
    <s v="F:\images\20210407\plaque 1/@12Fadrozole 87 µg_L/A12_02.tif "/>
    <s v=" 259.5587 "/>
    <s v=" 63.5833 "/>
    <x v="0"/>
    <n v="16504"/>
    <m/>
    <m/>
    <m/>
  </r>
  <r>
    <x v="12"/>
    <x v="0"/>
    <s v="F:\images\20210407\plaque 1/@12Fadrozole 87 µg_L/A12_03.tif "/>
    <s v=" 129.7794 "/>
    <s v=" 66.6667 "/>
    <x v="0"/>
    <n v="8652"/>
    <m/>
    <m/>
    <m/>
  </r>
  <r>
    <x v="12"/>
    <x v="1"/>
    <s v="F:\images\20210407\plaque 1/@12Fadrozole 87 µg_L/B12_01.tif "/>
    <s v=" 7332.5343 "/>
    <s v=" 74.8024 "/>
    <x v="0"/>
    <n v="548491"/>
    <m/>
    <m/>
    <m/>
  </r>
  <r>
    <x v="12"/>
    <x v="1"/>
    <s v="F:\images\20210407\plaque 1/@12Fadrozole 87 µg_L/B12_02.tif "/>
    <s v=" 8868.2568 "/>
    <s v=" 80.3024 "/>
    <x v="0"/>
    <n v="712143"/>
    <m/>
    <m/>
    <m/>
  </r>
  <r>
    <x v="12"/>
    <x v="1"/>
    <s v="F:\images\20210407\plaque 1/@12Fadrozole 87 µg_L/B12_03.tif "/>
    <s v=" 8500.5486 "/>
    <s v=" 78.5674 "/>
    <x v="0"/>
    <n v="667866"/>
    <m/>
    <m/>
    <m/>
  </r>
  <r>
    <x v="12"/>
    <x v="2"/>
    <s v="F:\images\20210407\plaque 1/@12Fadrozole 87 µg_L/C12_01.tif "/>
    <s v=" 454.2278 "/>
    <s v=" 62.9048 "/>
    <x v="0"/>
    <n v="28573"/>
    <m/>
    <m/>
    <m/>
  </r>
  <r>
    <x v="12"/>
    <x v="2"/>
    <s v="F:\images\20210407\plaque 1/@12Fadrozole 87 µg_L/C12_02.tif "/>
    <s v=" 367.7082 "/>
    <s v=" 64.1765 "/>
    <x v="0"/>
    <n v="23598"/>
    <m/>
    <m/>
    <m/>
  </r>
  <r>
    <x v="12"/>
    <x v="2"/>
    <s v="F:\images\20210407\plaque 1/@12Fadrozole 87 µg_L/C12_03.tif "/>
    <s v=" 389.3381 "/>
    <s v=" 62.0556 "/>
    <x v="0"/>
    <n v="24161"/>
    <m/>
    <m/>
    <m/>
  </r>
  <r>
    <x v="12"/>
    <x v="3"/>
    <s v="F:\images\20210407\plaque 1/@12Fadrozole 87 µg_L/D12_01.tif "/>
    <s v=" 151.4093 "/>
    <n v="63"/>
    <x v="0"/>
    <n v="9539"/>
    <m/>
    <m/>
    <m/>
  </r>
  <r>
    <x v="12"/>
    <x v="3"/>
    <s v="F:\images\20210407\plaque 1/@12Fadrozole 87 µg_L/D12_02- exclu.tif"/>
    <m/>
    <m/>
    <x v="1"/>
    <m/>
    <m/>
    <m/>
    <m/>
  </r>
  <r>
    <x v="12"/>
    <x v="3"/>
    <s v="F:\images\20210407\plaque 1/@12Fadrozole 87 µg_L/D12_03.tif "/>
    <s v=" 108.1495 "/>
    <n v="63"/>
    <x v="0"/>
    <n v="6813"/>
    <m/>
    <m/>
    <m/>
  </r>
  <r>
    <x v="12"/>
    <x v="4"/>
    <s v="F:\images\20210407\plaque 1/@12Fadrozole 87 µg_L/E12_01.tif "/>
    <s v=" 8219.36 "/>
    <s v=" 69.1289 "/>
    <x v="0"/>
    <n v="568196"/>
    <m/>
    <m/>
    <m/>
  </r>
  <r>
    <x v="12"/>
    <x v="4"/>
    <s v="F:\images\20210407\plaque 1/@12Fadrozole 87 µg_L/E12_02.tif "/>
    <s v=" 12350.6698 "/>
    <s v=" 88.0543 "/>
    <x v="0"/>
    <n v="1087529"/>
    <m/>
    <m/>
    <m/>
  </r>
  <r>
    <x v="12"/>
    <x v="4"/>
    <s v="F:\images\20210407\plaque 1/@12Fadrozole 87 µg_L/E12_03.tif "/>
    <s v=" 7981.4311 "/>
    <s v=" 74.1653 "/>
    <x v="0"/>
    <n v="591945"/>
    <m/>
    <m/>
    <m/>
  </r>
  <r>
    <x v="12"/>
    <x v="5"/>
    <s v="F:\images\20210407\plaque 1/@12Fadrozole 87 µg_L/F12_01.tif "/>
    <s v=" 2660.477 "/>
    <s v=" 65.4065 "/>
    <x v="0"/>
    <n v="174013"/>
    <m/>
    <m/>
    <m/>
  </r>
  <r>
    <x v="12"/>
    <x v="5"/>
    <s v="F:\images\20210407\plaque 1/@12Fadrozole 87 µg_L/F12_02.tif "/>
    <s v=" 1578.9823 "/>
    <s v=" 64.4384 "/>
    <x v="0"/>
    <n v="101747"/>
    <m/>
    <m/>
    <m/>
  </r>
  <r>
    <x v="12"/>
    <x v="5"/>
    <s v="F:\images\20210407\plaque 1/@12Fadrozole 87 µg_L/F12_03.tif "/>
    <s v=" 908.4556 "/>
    <s v=" 65.3571 "/>
    <x v="0"/>
    <n v="59374"/>
    <m/>
    <m/>
    <m/>
  </r>
  <r>
    <x v="12"/>
    <x v="6"/>
    <s v="F:\images\20210407\plaque 1/@12Fadrozole 87 µg_L/G12_01.tif "/>
    <s v=" 1405.9432 "/>
    <s v=" 64.3846 "/>
    <x v="0"/>
    <n v="90521"/>
    <m/>
    <m/>
    <m/>
  </r>
  <r>
    <x v="12"/>
    <x v="6"/>
    <s v="F:\images\20210407\plaque 1/@12Fadrozole 87 µg_L/G12_02.tif "/>
    <s v=" 1232.904 "/>
    <s v=" 64.8772 "/>
    <x v="0"/>
    <n v="79987"/>
    <m/>
    <m/>
    <m/>
  </r>
  <r>
    <x v="12"/>
    <x v="6"/>
    <s v="F:\images\20210407\plaque 1/@12Fadrozole 87 µg_L/G12_03.tif "/>
    <s v=" 129.7794 "/>
    <s v=" 62.8333 "/>
    <x v="0"/>
    <n v="8154"/>
    <m/>
    <m/>
    <m/>
  </r>
  <r>
    <x v="12"/>
    <x v="7"/>
    <s v="F:\images\20210407\plaque 1/@12Fadrozole 87 µg_L/H12_01.tif "/>
    <s v=" 2444.1781 "/>
    <s v=" 64.7522 "/>
    <x v="0"/>
    <n v="158266"/>
    <m/>
    <m/>
    <m/>
  </r>
  <r>
    <x v="12"/>
    <x v="7"/>
    <s v="F:\images\20210407\plaque 1/@12Fadrozole 87 µg_L/H12_02.tif "/>
    <s v=" 1600.6122 "/>
    <s v=" 65.0946 "/>
    <x v="0"/>
    <n v="104191"/>
    <m/>
    <m/>
    <m/>
  </r>
  <r>
    <x v="12"/>
    <x v="7"/>
    <s v="F:\images\20210407\plaque 1/@12Fadrozole 87 µg_L/H12_03.tif "/>
    <s v=" 3893.381 "/>
    <s v=" 67.3389 "/>
    <x v="0"/>
    <n v="262176"/>
    <m/>
    <m/>
    <m/>
  </r>
  <r>
    <x v="1"/>
    <x v="8"/>
    <s v=" "/>
    <m/>
    <m/>
    <x v="1"/>
    <m/>
    <m/>
    <m/>
    <m/>
  </r>
  <r>
    <x v="1"/>
    <x v="8"/>
    <s v="group "/>
    <s v=" "/>
    <s v=" mean of mean fluo "/>
    <x v="2"/>
    <s v=" mean of total fluo "/>
    <s v=" SD total fluo "/>
    <s v=" n fluorescent "/>
    <s v=" n total"/>
  </r>
  <r>
    <x v="12"/>
    <x v="9"/>
    <s v="F:\images\20210407\plaque 1/@12Fadrozole 87 µg_L/ "/>
    <s v=" "/>
    <s v=" 67.5565 "/>
    <x v="14"/>
    <s v=" 223900.042 "/>
    <s v=" 300278.20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407\plaque 2/@01 Testo 30/A1_01.tif "/>
    <s v=" 28443.3114 "/>
    <s v=" 68.4586 "/>
    <x v="0"/>
    <n v="1947188"/>
    <m/>
    <m/>
    <m/>
  </r>
  <r>
    <x v="13"/>
    <x v="0"/>
    <s v="F:\images\20210407\plaque 2/@01 Testo 30/A1_02.tif "/>
    <s v=" 29784.3649 "/>
    <s v=" 68.3951 "/>
    <x v="0"/>
    <n v="2037103"/>
    <m/>
    <m/>
    <m/>
  </r>
  <r>
    <x v="13"/>
    <x v="0"/>
    <s v="F:\images\20210407\plaque 2/@01 Testo 30/A1_03.tif "/>
    <s v=" 29870.8845 "/>
    <s v=" 68.0898 "/>
    <x v="0"/>
    <n v="2033902"/>
    <m/>
    <m/>
    <m/>
  </r>
  <r>
    <x v="13"/>
    <x v="1"/>
    <s v="F:\images\20210407\plaque 2/@01 Testo 30/B1_01.tif "/>
    <s v=" 41204.9493 "/>
    <s v=" 70.6278 "/>
    <x v="0"/>
    <n v="2910216"/>
    <m/>
    <m/>
    <m/>
  </r>
  <r>
    <x v="13"/>
    <x v="1"/>
    <s v="F:\images\20210407\plaque 2/@01 Testo 30/B1_02.tif "/>
    <s v=" 39474.5577 "/>
    <s v=" 69.9096 "/>
    <x v="0"/>
    <n v="2759650"/>
    <m/>
    <m/>
    <m/>
  </r>
  <r>
    <x v="13"/>
    <x v="1"/>
    <s v="F:\images\20210407\plaque 2/@01 Testo 30/B1_03.tif "/>
    <s v=" 33461.447 "/>
    <s v=" 69.3523 "/>
    <x v="0"/>
    <n v="2320628"/>
    <m/>
    <m/>
    <m/>
  </r>
  <r>
    <x v="13"/>
    <x v="2"/>
    <s v="F:\images\20210407\plaque 2/@01 Testo 30/C1_01.tif "/>
    <s v=" 43476.0882 "/>
    <s v=" 71.3378 "/>
    <x v="0"/>
    <n v="3101489"/>
    <m/>
    <m/>
    <m/>
  </r>
  <r>
    <x v="13"/>
    <x v="2"/>
    <s v="F:\images\20210407\plaque 2/@01 Testo 30/C1_02.tif "/>
    <s v=" 17866.293 "/>
    <s v=" 64.4734 "/>
    <x v="0"/>
    <n v="1151900"/>
    <m/>
    <m/>
    <m/>
  </r>
  <r>
    <x v="13"/>
    <x v="2"/>
    <s v="F:\images\20210407\plaque 2/@01 Testo 30/C1_03.tif "/>
    <s v=" 39150.1093 "/>
    <s v=" 70.5785 "/>
    <x v="0"/>
    <n v="2763154"/>
    <m/>
    <m/>
    <m/>
  </r>
  <r>
    <x v="13"/>
    <x v="3"/>
    <s v="F:\images\20210407\plaque 2/@01 Testo 30/D1_01.tif "/>
    <s v=" 45552.5581 "/>
    <s v=" 74.0304 "/>
    <x v="0"/>
    <n v="3372274"/>
    <m/>
    <m/>
    <m/>
  </r>
  <r>
    <x v="13"/>
    <x v="3"/>
    <s v="F:\images\20210407\plaque 2/@01 Testo 30/D1_02.tif "/>
    <s v=" 36078.6642 "/>
    <s v=" 83.5558 "/>
    <x v="0"/>
    <n v="3014580"/>
    <m/>
    <m/>
    <m/>
  </r>
  <r>
    <x v="13"/>
    <x v="3"/>
    <s v="F:\images\20210407\plaque 2/@01 Testo 30/D1_03.tif "/>
    <s v=" 34002.1944 "/>
    <s v=" 85.1469 "/>
    <x v="0"/>
    <n v="2895183"/>
    <m/>
    <m/>
    <m/>
  </r>
  <r>
    <x v="13"/>
    <x v="4"/>
    <s v="F:\images\20210407\plaque 2/@01 Testo 30/E1_01.tif "/>
    <s v=" 10641.9082 "/>
    <s v=" 68.2459 "/>
    <x v="0"/>
    <n v="726267"/>
    <m/>
    <m/>
    <m/>
  </r>
  <r>
    <x v="13"/>
    <x v="4"/>
    <s v="F:\images\20210407\plaque 2/@01 Testo 30/E1_02.tif "/>
    <s v=" 7181.125 "/>
    <s v=" 70.3886 "/>
    <x v="0"/>
    <n v="505469"/>
    <m/>
    <m/>
    <m/>
  </r>
  <r>
    <x v="13"/>
    <x v="4"/>
    <s v="F:\images\20210407\plaque 2/@01 Testo 30/E1_03.tif "/>
    <s v=" 8240.9899 "/>
    <s v=" 68.2808 "/>
    <x v="0"/>
    <n v="562702"/>
    <m/>
    <m/>
    <m/>
  </r>
  <r>
    <x v="13"/>
    <x v="5"/>
    <s v="F:\images\20210407\plaque 2/@01 Testo 30/F1_01.tif "/>
    <s v=" 29654.5855 "/>
    <s v=" 72.4719 "/>
    <x v="0"/>
    <n v="2149125"/>
    <m/>
    <m/>
    <m/>
  </r>
  <r>
    <x v="13"/>
    <x v="5"/>
    <s v="F:\images\20210407\plaque 2/@01 Testo 30/F1_02.tif "/>
    <s v=" 30087.1834 "/>
    <s v=" 70.3638 "/>
    <x v="0"/>
    <n v="2117048"/>
    <m/>
    <m/>
    <m/>
  </r>
  <r>
    <x v="13"/>
    <x v="5"/>
    <s v="F:\images\20210407\plaque 2/@01 Testo 30/F1_03.tif "/>
    <s v=" 29524.8062 "/>
    <s v=" 72.0733 "/>
    <x v="0"/>
    <n v="2127949"/>
    <m/>
    <m/>
    <m/>
  </r>
  <r>
    <x v="13"/>
    <x v="6"/>
    <s v="F:\images\20210407\plaque 2/@01 Testo 30/G1_01.tif "/>
    <s v=" 43238.1594 "/>
    <s v=" 76.7879 "/>
    <x v="0"/>
    <n v="3320167"/>
    <m/>
    <m/>
    <m/>
  </r>
  <r>
    <x v="13"/>
    <x v="6"/>
    <s v="F:\images\20210407\plaque 2/@01 Testo 30/G1_02.tif "/>
    <s v=" 44060.0954 "/>
    <s v=" 76.8621 "/>
    <x v="0"/>
    <n v="3386549"/>
    <m/>
    <m/>
    <m/>
  </r>
  <r>
    <x v="13"/>
    <x v="6"/>
    <s v="F:\images\20210407\plaque 2/@01 Testo 30/G1_03.tif "/>
    <s v=" 39842.2659 "/>
    <s v=" 75.2698 "/>
    <x v="0"/>
    <n v="2998920"/>
    <m/>
    <m/>
    <m/>
  </r>
  <r>
    <x v="13"/>
    <x v="7"/>
    <s v="F:\images\20210407\plaque 2/@01 Testo 30/H1_01- exclu.tif"/>
    <m/>
    <m/>
    <x v="1"/>
    <m/>
    <m/>
    <m/>
    <m/>
  </r>
  <r>
    <x v="13"/>
    <x v="7"/>
    <s v="F:\images\20210407\plaque 2/@01 Testo 30/H1_02.tif "/>
    <s v=" 27426.7064 "/>
    <s v=" 68.2571 "/>
    <x v="0"/>
    <n v="1872067"/>
    <m/>
    <m/>
    <m/>
  </r>
  <r>
    <x v="13"/>
    <x v="7"/>
    <s v="F:\images\20210407\plaque 2/@01 Testo 30/H1_03.tif "/>
    <s v=" 24333.6315 "/>
    <s v=" 69.1502 "/>
    <x v="0"/>
    <n v="1682676"/>
    <m/>
    <m/>
    <m/>
  </r>
  <r>
    <x v="1"/>
    <x v="8"/>
    <s v=" "/>
    <m/>
    <m/>
    <x v="1"/>
    <m/>
    <m/>
    <m/>
    <m/>
  </r>
  <r>
    <x v="1"/>
    <x v="8"/>
    <s v="group "/>
    <s v=" "/>
    <s v=" mean of mean fluo "/>
    <x v="2"/>
    <s v=" mean of total fluo "/>
    <s v=" SD total fluo "/>
    <s v=" n fluorescent "/>
    <s v=" n total"/>
  </r>
  <r>
    <x v="13"/>
    <x v="9"/>
    <s v="F:\images\20210407\plaque 2/@01 Testo 30/ "/>
    <s v=" "/>
    <s v=" 71.8723 "/>
    <x v="15"/>
    <s v=" 2177052.46 "/>
    <s v=" 932865.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407\plaque 2/@02 Testo 30/A2_01.tif "/>
    <s v=" 45379.5189 "/>
    <s v=" 72.2922 "/>
    <x v="0"/>
    <n v="3280584"/>
    <m/>
    <m/>
    <m/>
  </r>
  <r>
    <x v="14"/>
    <x v="0"/>
    <s v="F:\images\20210407\plaque 2/@02 Testo 30/A2_02.tif "/>
    <s v=" 42697.412 "/>
    <s v=" 71.0932 "/>
    <x v="0"/>
    <n v="3035496"/>
    <m/>
    <m/>
    <m/>
  </r>
  <r>
    <x v="14"/>
    <x v="0"/>
    <s v="F:\images\20210407\plaque 2/@02 Testo 30/A2_03.tif "/>
    <s v=" 39106.8495 "/>
    <s v=" 68.6438 "/>
    <x v="0"/>
    <n v="2684443"/>
    <m/>
    <m/>
    <m/>
  </r>
  <r>
    <x v="14"/>
    <x v="1"/>
    <s v="F:\images\20210407\plaque 2/@02 Testo 30/B2_01.tif "/>
    <s v=" 30087.1834 "/>
    <s v=" 72.1661 "/>
    <x v="0"/>
    <n v="2171274"/>
    <m/>
    <m/>
    <m/>
  </r>
  <r>
    <x v="14"/>
    <x v="1"/>
    <s v="F:\images\20210407\plaque 2/@02 Testo 30/B2_02.tif "/>
    <s v=" 30519.7813 "/>
    <s v=" 69.4763 "/>
    <x v="0"/>
    <n v="2120400"/>
    <m/>
    <m/>
    <m/>
  </r>
  <r>
    <x v="14"/>
    <x v="1"/>
    <s v="F:\images\20210407\plaque 2/@02 Testo 30/B2_03.tif "/>
    <s v=" 30130.4432 "/>
    <s v=" 69.336 "/>
    <x v="0"/>
    <n v="2089123"/>
    <m/>
    <m/>
    <m/>
  </r>
  <r>
    <x v="14"/>
    <x v="2"/>
    <s v="F:\images\20210407\plaque 2/@02 Testo 30/C2_01- exclu.tif"/>
    <m/>
    <m/>
    <x v="1"/>
    <m/>
    <m/>
    <m/>
    <m/>
  </r>
  <r>
    <x v="14"/>
    <x v="2"/>
    <s v="F:\images\20210407\plaque 2/@02 Testo 30/C2_02- exclu.tif"/>
    <m/>
    <m/>
    <x v="1"/>
    <m/>
    <m/>
    <m/>
    <m/>
  </r>
  <r>
    <x v="14"/>
    <x v="2"/>
    <s v="F:\images\20210407\plaque 2/@02 Testo 30/C2_03.tif "/>
    <s v=" 18839.6382 "/>
    <s v=" 67.4845 "/>
    <x v="0"/>
    <n v="1271384"/>
    <m/>
    <m/>
    <m/>
  </r>
  <r>
    <x v="14"/>
    <x v="3"/>
    <s v="F:\images\20210407\plaque 2/@02 Testo 30/D2_01.tif "/>
    <s v=" 40274.8638 "/>
    <s v=" 72.4603 "/>
    <x v="0"/>
    <n v="2918327"/>
    <m/>
    <m/>
    <m/>
  </r>
  <r>
    <x v="14"/>
    <x v="3"/>
    <s v="F:\images\20210407\plaque 2/@02 Testo 30/D2_02.tif "/>
    <s v=" 39020.3299 "/>
    <s v=" 71.5 "/>
    <x v="0"/>
    <n v="2789954"/>
    <m/>
    <m/>
    <m/>
  </r>
  <r>
    <x v="14"/>
    <x v="3"/>
    <s v="F:\images\20210407\plaque 2/@02 Testo 30/D2_03.tif "/>
    <s v=" 36922.2301 "/>
    <s v=" 71.2994 "/>
    <x v="0"/>
    <n v="2632531"/>
    <m/>
    <m/>
    <m/>
  </r>
  <r>
    <x v="14"/>
    <x v="4"/>
    <s v="F:\images\20210407\plaque 2/@02 Testo 30/E2_01.tif "/>
    <s v=" 17152.5064 "/>
    <s v=" 68.8487 "/>
    <x v="0"/>
    <n v="1180927"/>
    <m/>
    <m/>
    <m/>
  </r>
  <r>
    <x v="14"/>
    <x v="4"/>
    <s v="F:\images\20210407\plaque 2/@02 Testo 30/E2_02.tif "/>
    <s v=" 12631.8585 "/>
    <s v=" 67.4692 "/>
    <x v="0"/>
    <n v="852261"/>
    <m/>
    <m/>
    <m/>
  </r>
  <r>
    <x v="14"/>
    <x v="4"/>
    <s v="F:\images\20210407\plaque 2/@02 Testo 30/E2_03.tif "/>
    <s v=" 12566.9688 "/>
    <s v=" 68.9415 "/>
    <x v="0"/>
    <n v="866385"/>
    <m/>
    <m/>
    <m/>
  </r>
  <r>
    <x v="14"/>
    <x v="5"/>
    <s v="F:\images\20210407\plaque 2/@02 Testo 30/F2_01.tif "/>
    <s v=" 800.3061 "/>
    <s v=" 66.5946 "/>
    <x v="0"/>
    <n v="53296"/>
    <m/>
    <m/>
    <m/>
  </r>
  <r>
    <x v="14"/>
    <x v="5"/>
    <s v="F:\images\20210407\plaque 2/@02 Testo 30/F2_02.tif "/>
    <s v=" 1708.7617 "/>
    <s v=" 64.5063 "/>
    <x v="0"/>
    <n v="110226"/>
    <m/>
    <m/>
    <m/>
  </r>
  <r>
    <x v="14"/>
    <x v="5"/>
    <s v="F:\images\20210407\plaque 2/@02 Testo 30/F2_03.tif "/>
    <s v=" 1319.4236 "/>
    <s v=" 64.6721 "/>
    <x v="0"/>
    <n v="85330"/>
    <m/>
    <m/>
    <m/>
  </r>
  <r>
    <x v="14"/>
    <x v="6"/>
    <s v="F:\images\20210407\plaque 2/@02 Testo 30/G2_01.tif "/>
    <s v=" 18969.4176 "/>
    <s v=" 67.2976 "/>
    <x v="0"/>
    <n v="1276596"/>
    <m/>
    <m/>
    <m/>
  </r>
  <r>
    <x v="14"/>
    <x v="6"/>
    <s v="F:\images\20210407\plaque 2/@02 Testo 30/G2_02.tif "/>
    <s v=" 17585.1043 "/>
    <s v=" 68.8339 "/>
    <x v="0"/>
    <n v="1210452"/>
    <m/>
    <m/>
    <m/>
  </r>
  <r>
    <x v="14"/>
    <x v="6"/>
    <s v="F:\images\20210407\plaque 2/@02 Testo 30/G2_03.tif "/>
    <s v=" 16633.389 "/>
    <s v=" 66.9012 "/>
    <x v="0"/>
    <n v="1112793"/>
    <m/>
    <m/>
    <m/>
  </r>
  <r>
    <x v="14"/>
    <x v="7"/>
    <s v="F:\images\20210407\plaque 2/@02 Testo 30/H2_01- exclu.tif"/>
    <m/>
    <m/>
    <x v="1"/>
    <m/>
    <m/>
    <m/>
    <m/>
  </r>
  <r>
    <x v="14"/>
    <x v="7"/>
    <s v="F:\images\20210407\plaque 2/@02 Testo 30/H2_02.tif "/>
    <s v=" 2963.2956 "/>
    <s v=" 64.8613 "/>
    <x v="0"/>
    <n v="192203"/>
    <m/>
    <m/>
    <m/>
  </r>
  <r>
    <x v="14"/>
    <x v="7"/>
    <s v="F:\images\20210407\plaque 2/@02 Testo 30/H2_03.tif "/>
    <s v=" 3071.445 "/>
    <s v=" 64.3732 "/>
    <x v="0"/>
    <n v="197719"/>
    <m/>
    <m/>
    <m/>
  </r>
  <r>
    <x v="1"/>
    <x v="8"/>
    <s v=" "/>
    <m/>
    <m/>
    <x v="1"/>
    <m/>
    <m/>
    <m/>
    <m/>
  </r>
  <r>
    <x v="1"/>
    <x v="8"/>
    <s v="group "/>
    <s v=" "/>
    <s v=" mean of mean fluo "/>
    <x v="2"/>
    <s v=" mean of total fluo "/>
    <s v=" SD total fluo "/>
    <s v=" n fluorescent "/>
    <s v=" n total"/>
  </r>
  <r>
    <x v="14"/>
    <x v="9"/>
    <s v="F:\images\20210407\plaque 2/@02 Testo 30/ "/>
    <s v=" "/>
    <s v=" 67.9114 "/>
    <x v="16"/>
    <s v=" 1344043.75 "/>
    <s v=" 1133646.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407\plaque 2/@03 Testo+ EE2 64/A3_01.tif "/>
    <s v=" 44298.0242 "/>
    <s v=" 76.2383 "/>
    <x v="0"/>
    <n v="3377205"/>
    <m/>
    <m/>
    <m/>
  </r>
  <r>
    <x v="15"/>
    <x v="0"/>
    <s v="F:\images\20210407\plaque 2/@03 Testo+ EE2 64/A3_02.tif "/>
    <s v=" 40685.8318 "/>
    <s v=" 77.2041 "/>
    <x v="0"/>
    <n v="3141115"/>
    <m/>
    <m/>
    <m/>
  </r>
  <r>
    <x v="15"/>
    <x v="0"/>
    <s v="F:\images\20210407\plaque 2/@03 Testo+ EE2 64/A3_03.tif "/>
    <s v=" 42091.7749 "/>
    <s v=" 78.4363 "/>
    <x v="0"/>
    <n v="3301522"/>
    <m/>
    <m/>
    <m/>
  </r>
  <r>
    <x v="15"/>
    <x v="1"/>
    <s v="F:\images\20210407\plaque 2/@03 Testo+ EE2 64/B3_01.tif "/>
    <s v=" 35754.2158 "/>
    <s v=" 78.3612 "/>
    <x v="0"/>
    <n v="2801742"/>
    <m/>
    <m/>
    <m/>
  </r>
  <r>
    <x v="15"/>
    <x v="1"/>
    <s v="F:\images\20210407\plaque 2/@03 Testo+ EE2 64/B3_02.tif "/>
    <s v=" 36338.223 "/>
    <s v=" 77.5643 "/>
    <x v="0"/>
    <n v="2818548"/>
    <m/>
    <m/>
    <m/>
  </r>
  <r>
    <x v="15"/>
    <x v="1"/>
    <s v="F:\images\20210407\plaque 2/@03 Testo+ EE2 64/B3_03.tif "/>
    <s v=" 36727.5611 "/>
    <s v=" 77.2032 "/>
    <x v="0"/>
    <n v="2835485"/>
    <m/>
    <m/>
    <m/>
  </r>
  <r>
    <x v="15"/>
    <x v="2"/>
    <s v="F:\images\20210407\plaque 2/@03 Testo+ EE2 64/C3_01.tif "/>
    <s v=" 36143.5539 "/>
    <s v=" 76.1915 "/>
    <x v="0"/>
    <n v="2753832"/>
    <m/>
    <m/>
    <m/>
  </r>
  <r>
    <x v="15"/>
    <x v="2"/>
    <s v="F:\images\20210407\plaque 2/@03 Testo+ EE2 64/C3_02.tif "/>
    <s v=" 34737.6108 "/>
    <s v=" 74.4545 "/>
    <x v="0"/>
    <n v="2586373"/>
    <m/>
    <m/>
    <m/>
  </r>
  <r>
    <x v="15"/>
    <x v="2"/>
    <s v="F:\images\20210407\plaque 2/@03 Testo+ EE2 64/C3_03.tif "/>
    <s v=" 30087.1834 "/>
    <s v=" 76.8109 "/>
    <x v="0"/>
    <n v="2311024"/>
    <m/>
    <m/>
    <m/>
  </r>
  <r>
    <x v="15"/>
    <x v="3"/>
    <s v="F:\images\20210407\plaque 2/@03 Testo+ EE2 64/D3_01.tif "/>
    <s v=" 22516.7203 "/>
    <s v=" 71.7887 "/>
    <x v="0"/>
    <n v="1616445"/>
    <m/>
    <m/>
    <m/>
  </r>
  <r>
    <x v="15"/>
    <x v="3"/>
    <s v="F:\images\20210407\plaque 2/@03 Testo+ EE2 64/D3_02.tif "/>
    <s v=" 21500.1153 "/>
    <s v=" 72.3823 "/>
    <x v="0"/>
    <n v="1556228"/>
    <m/>
    <m/>
    <m/>
  </r>
  <r>
    <x v="15"/>
    <x v="3"/>
    <s v="F:\images\20210407\plaque 2/@03 Testo+ EE2 64/D3_03.tif "/>
    <s v=" 16784.7982 "/>
    <s v=" 72.424 "/>
    <x v="0"/>
    <n v="1215622"/>
    <m/>
    <m/>
    <m/>
  </r>
  <r>
    <x v="15"/>
    <x v="4"/>
    <s v="F:\images\20210407\plaque 2/@03 Testo+ EE2 64/E3_01.tif "/>
    <s v=" 34910.6499 "/>
    <s v=" 74.3141 "/>
    <x v="0"/>
    <n v="2594354"/>
    <m/>
    <m/>
    <m/>
  </r>
  <r>
    <x v="15"/>
    <x v="4"/>
    <s v="F:\images\20210407\plaque 2/@03 Testo+ EE2 64/E3_02.tif "/>
    <s v=" 40296.4937 "/>
    <s v=" 76.5593 "/>
    <x v="0"/>
    <n v="3085072"/>
    <m/>
    <m/>
    <m/>
  </r>
  <r>
    <x v="15"/>
    <x v="4"/>
    <s v="F:\images\20210407\plaque 2/@03 Testo+ EE2 64/E3_03.tif "/>
    <s v=" 36532.892 "/>
    <s v=" 75.7123 "/>
    <x v="0"/>
    <n v="2765988"/>
    <m/>
    <m/>
    <m/>
  </r>
  <r>
    <x v="15"/>
    <x v="5"/>
    <s v="F:\images\20210407\plaque 2/@03 Testo+ EE2 64/F3_01.tif "/>
    <s v=" 15335.5953 "/>
    <s v=" 70.2243 "/>
    <x v="0"/>
    <n v="1076931"/>
    <m/>
    <m/>
    <m/>
  </r>
  <r>
    <x v="15"/>
    <x v="5"/>
    <s v="F:\images\20210407\plaque 2/@03 Testo+ EE2 64/F3_02.tif "/>
    <s v=" 10641.9082 "/>
    <s v=" 68.9634 "/>
    <x v="0"/>
    <n v="733902"/>
    <m/>
    <m/>
    <m/>
  </r>
  <r>
    <x v="15"/>
    <x v="5"/>
    <s v="F:\images\20210407\plaque 2/@03 Testo+ EE2 64/F3_03.tif "/>
    <s v=" 11788.2926 "/>
    <s v=" 70.4257 "/>
    <x v="0"/>
    <n v="830199"/>
    <m/>
    <m/>
    <m/>
  </r>
  <r>
    <x v="15"/>
    <x v="6"/>
    <s v="F:\images\20210407\plaque 2/@03 Testo+ EE2 64/G3_01- exclu.tif"/>
    <m/>
    <m/>
    <x v="1"/>
    <m/>
    <m/>
    <m/>
    <m/>
  </r>
  <r>
    <x v="15"/>
    <x v="6"/>
    <s v="F:\images\20210407\plaque 2/@03 Testo+ EE2 64/G3_02- exclu.tif"/>
    <m/>
    <m/>
    <x v="1"/>
    <m/>
    <m/>
    <m/>
    <m/>
  </r>
  <r>
    <x v="15"/>
    <x v="6"/>
    <s v="F:\images\20210407\plaque 2/@03 Testo+ EE2 64/G3_03- exclu.tif"/>
    <m/>
    <m/>
    <x v="1"/>
    <m/>
    <m/>
    <m/>
    <m/>
  </r>
  <r>
    <x v="15"/>
    <x v="7"/>
    <s v="F:\images\20210407\plaque 2/@03 Testo+ EE2 64/H3_01- exclu.tif"/>
    <m/>
    <m/>
    <x v="1"/>
    <m/>
    <m/>
    <m/>
    <m/>
  </r>
  <r>
    <x v="15"/>
    <x v="7"/>
    <s v="F:\images\20210407\plaque 2/@03 Testo+ EE2 64/H3_02- exclu.tif"/>
    <m/>
    <m/>
    <x v="1"/>
    <m/>
    <m/>
    <m/>
    <m/>
  </r>
  <r>
    <x v="15"/>
    <x v="7"/>
    <s v="F:\images\20210407\plaque 2/@03 Testo+ EE2 64/H3_03- exclu.tif"/>
    <m/>
    <m/>
    <x v="1"/>
    <m/>
    <m/>
    <m/>
    <m/>
  </r>
  <r>
    <x v="1"/>
    <x v="8"/>
    <s v=" "/>
    <m/>
    <m/>
    <x v="1"/>
    <m/>
    <m/>
    <m/>
    <m/>
  </r>
  <r>
    <x v="1"/>
    <x v="8"/>
    <s v="group "/>
    <s v=" "/>
    <s v=" mean of mean fluo "/>
    <x v="2"/>
    <s v=" mean of total fluo "/>
    <s v=" SD total fluo "/>
    <s v=" n fluorescent "/>
    <s v=" n total"/>
  </r>
  <r>
    <x v="15"/>
    <x v="9"/>
    <s v="F:\images\20210407\plaque 2/@03 Testo+ EE2 64/ "/>
    <s v=" "/>
    <s v=" 71.8447 "/>
    <x v="17"/>
    <n v="1727449"/>
    <s v=" 1264939.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407\plaque 2/@04 Testo+ FAD/A4_01.tif "/>
    <s v=" 2098.0998 "/>
    <s v=" 66.2371 "/>
    <x v="0"/>
    <n v="138972"/>
    <m/>
    <m/>
    <m/>
  </r>
  <r>
    <x v="16"/>
    <x v="0"/>
    <s v="F:\images\20210407\plaque 2/@04 Testo+ FAD/A4_02.tif "/>
    <s v=" 2054.84 "/>
    <s v=" 65.7789 "/>
    <x v="0"/>
    <n v="135165"/>
    <m/>
    <m/>
    <m/>
  </r>
  <r>
    <x v="16"/>
    <x v="0"/>
    <s v="F:\images\20210407\plaque 2/@04 Testo+ FAD/A4_03.tif "/>
    <s v=" 1211.2741 "/>
    <s v=" 65.3571 "/>
    <x v="0"/>
    <n v="79165"/>
    <m/>
    <m/>
    <m/>
  </r>
  <r>
    <x v="16"/>
    <x v="1"/>
    <s v="F:\images\20210407\plaque 2/@04 Testo+ FAD/B4_01.tif "/>
    <s v=" 302.8185 "/>
    <n v="63"/>
    <x v="0"/>
    <n v="19078"/>
    <m/>
    <m/>
    <m/>
  </r>
  <r>
    <x v="16"/>
    <x v="1"/>
    <s v="F:\images\20210407\plaque 2/@04 Testo+ FAD/B4_02.tif "/>
    <s v=" 7873.2816 "/>
    <s v=" 79.6044 "/>
    <x v="0"/>
    <n v="626748"/>
    <m/>
    <m/>
    <m/>
  </r>
  <r>
    <x v="16"/>
    <x v="1"/>
    <s v="F:\images\20210407\plaque 2/@04 Testo+ FAD/B4_03.tif "/>
    <s v=" 6943.1962 "/>
    <s v=" 71.4237 "/>
    <x v="0"/>
    <n v="495909"/>
    <m/>
    <m/>
    <m/>
  </r>
  <r>
    <x v="16"/>
    <x v="2"/>
    <s v="F:\images\20210407\plaque 2/@04 Testo+ FAD/C4_01.tif "/>
    <s v=" 3482.413 "/>
    <s v=" 69.6957 "/>
    <x v="0"/>
    <n v="242709"/>
    <m/>
    <m/>
    <m/>
  </r>
  <r>
    <x v="16"/>
    <x v="2"/>
    <s v="F:\images\20210407\plaque 2/@04 Testo+ FAD/C4_02.tif "/>
    <s v=" 648.8968 "/>
    <s v=" 63.6333 "/>
    <x v="0"/>
    <n v="41291"/>
    <m/>
    <m/>
    <m/>
  </r>
  <r>
    <x v="16"/>
    <x v="2"/>
    <s v="F:\images\20210407\plaque 2/@04 Testo+ FAD/C4_03.tif "/>
    <s v=" 670.5267 "/>
    <s v=" 66.1935 "/>
    <x v="0"/>
    <n v="44385"/>
    <m/>
    <m/>
    <m/>
  </r>
  <r>
    <x v="16"/>
    <x v="3"/>
    <s v="F:\images\20210407\plaque 2/@04 Testo+ FAD/D4_01.tif "/>
    <s v=" 1146.3844 "/>
    <s v=" 64.7736 "/>
    <x v="0"/>
    <n v="74255"/>
    <m/>
    <m/>
    <m/>
  </r>
  <r>
    <x v="16"/>
    <x v="3"/>
    <s v="F:\images\20210407\plaque 2/@04 Testo+ FAD/D4_02.tif "/>
    <s v=" 562.3773 "/>
    <s v=" 63.9615 "/>
    <x v="0"/>
    <n v="35971"/>
    <m/>
    <m/>
    <m/>
  </r>
  <r>
    <x v="16"/>
    <x v="3"/>
    <s v="F:\images\20210407\plaque 2/@04 Testo+ FAD/D4_03.tif "/>
    <s v=" 1384.3133 "/>
    <s v=" 65.5781 "/>
    <x v="0"/>
    <n v="90781"/>
    <m/>
    <m/>
    <m/>
  </r>
  <r>
    <x v="16"/>
    <x v="4"/>
    <s v="F:\images\20210407\plaque 2/@04 Testo+ FAD/E4_01.tif "/>
    <s v=" 1881.8008 "/>
    <s v=" 63.908 "/>
    <x v="0"/>
    <n v="120262"/>
    <m/>
    <m/>
    <m/>
  </r>
  <r>
    <x v="16"/>
    <x v="4"/>
    <s v="F:\images\20210407\plaque 2/@04 Testo+ FAD/E4_02.tif "/>
    <s v=" 865.1958 "/>
    <s v=" 64.25 "/>
    <x v="0"/>
    <n v="55589"/>
    <m/>
    <m/>
    <m/>
  </r>
  <r>
    <x v="16"/>
    <x v="4"/>
    <s v="F:\images\20210407\plaque 2/@04 Testo+ FAD/E4_03.tif "/>
    <s v=" 908.4556 "/>
    <s v=" 63.5476 "/>
    <x v="0"/>
    <n v="57730"/>
    <m/>
    <m/>
    <m/>
  </r>
  <r>
    <x v="16"/>
    <x v="5"/>
    <s v="F:\images\20210407\plaque 2/@04 Testo+ FAD/F4_01.tif "/>
    <s v=" 1881.8008 "/>
    <s v=" 64.2759 "/>
    <x v="0"/>
    <n v="120954"/>
    <m/>
    <m/>
    <m/>
  </r>
  <r>
    <x v="16"/>
    <x v="5"/>
    <s v="F:\images\20210407\plaque 2/@04 Testo+ FAD/F4_02.tif "/>
    <s v=" 4888.3562 "/>
    <s v=" 68.4956 "/>
    <x v="0"/>
    <n v="334831"/>
    <m/>
    <m/>
    <m/>
  </r>
  <r>
    <x v="16"/>
    <x v="5"/>
    <s v="F:\images\20210407\plaque 2/@04 Testo+ FAD/F4_03.tif "/>
    <s v=" 3850.1212 "/>
    <s v=" 66.7528 "/>
    <x v="0"/>
    <n v="257006"/>
    <m/>
    <m/>
    <m/>
  </r>
  <r>
    <x v="16"/>
    <x v="6"/>
    <s v="F:\images\20210407\plaque 2/@04 Testo+ FAD/G4_01.tif "/>
    <s v=" 605.637 "/>
    <s v=" 65.4286 "/>
    <x v="0"/>
    <n v="39626"/>
    <m/>
    <m/>
    <m/>
  </r>
  <r>
    <x v="16"/>
    <x v="6"/>
    <s v="F:\images\20210407\plaque 2/@04 Testo+ FAD/G4_02.tif "/>
    <s v=" 454.2278 "/>
    <s v=" 64.4286 "/>
    <x v="0"/>
    <n v="29265"/>
    <m/>
    <m/>
    <m/>
  </r>
  <r>
    <x v="16"/>
    <x v="6"/>
    <s v="F:\images\20210407\plaque 2/@04 Testo+ FAD/G4_03.tif "/>
    <s v=" 475.8577 "/>
    <s v=" 63.8636 "/>
    <x v="0"/>
    <n v="30390"/>
    <m/>
    <m/>
    <m/>
  </r>
  <r>
    <x v="16"/>
    <x v="7"/>
    <s v="F:\images\20210407\plaque 2/@04 Testo+ FAD/H4_01.tif "/>
    <s v=" 6791.7869 "/>
    <s v=" 76.0669 "/>
    <x v="0"/>
    <n v="516630"/>
    <m/>
    <m/>
    <m/>
  </r>
  <r>
    <x v="16"/>
    <x v="7"/>
    <s v="F:\images\20210407\plaque 2/@04 Testo+ FAD/H4_02.tif "/>
    <s v=" 7137.8652 "/>
    <s v=" 72.0667 "/>
    <x v="0"/>
    <n v="514402"/>
    <m/>
    <m/>
    <m/>
  </r>
  <r>
    <x v="16"/>
    <x v="7"/>
    <s v="F:\images\20210407\plaque 2/@04 Testo+ FAD/H4_03.tif "/>
    <s v=" 648.8968 "/>
    <s v=" 67.4 "/>
    <x v="0"/>
    <n v="43736"/>
    <m/>
    <m/>
    <m/>
  </r>
  <r>
    <x v="1"/>
    <x v="8"/>
    <s v=" "/>
    <m/>
    <m/>
    <x v="1"/>
    <m/>
    <m/>
    <m/>
    <m/>
  </r>
  <r>
    <x v="1"/>
    <x v="8"/>
    <s v="group "/>
    <s v=" "/>
    <s v=" mean of mean fluo "/>
    <x v="2"/>
    <s v=" mean of total fluo "/>
    <s v=" SD total fluo "/>
    <s v=" n fluorescent "/>
    <s v=" n total"/>
  </r>
  <r>
    <x v="16"/>
    <x v="9"/>
    <s v="F:\images\20210407\plaque 2/@04 Testo+ FAD/ "/>
    <s v=" "/>
    <s v=" 66.9051 "/>
    <x v="18"/>
    <s v=" 172702.083 "/>
    <s v=" 185942.7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407\plaque 2/@05 Fadrozole 5.4 µg_L Dopé/A5_01.tif "/>
    <s v=" 151.4093 "/>
    <s v=" 62.5714 "/>
    <x v="0"/>
    <n v="9474"/>
    <m/>
    <m/>
    <m/>
  </r>
  <r>
    <x v="17"/>
    <x v="0"/>
    <s v="F:\images\20210407\plaque 2/@05 Fadrozole 5.4 µg_L Dopé/A5_02.tif "/>
    <s v=" 2703.7368 "/>
    <s v=" 67.136 "/>
    <x v="0"/>
    <n v="181518"/>
    <m/>
    <m/>
    <m/>
  </r>
  <r>
    <x v="17"/>
    <x v="0"/>
    <s v="F:\images\20210407\plaque 2/@05 Fadrozole 5.4 µg_L Dopé/A5_03- exclu.tif"/>
    <m/>
    <m/>
    <x v="1"/>
    <m/>
    <m/>
    <m/>
    <m/>
  </r>
  <r>
    <x v="17"/>
    <x v="1"/>
    <s v="F:\images\20210407\plaque 2/@05 Fadrozole 5.4 µg_L Dopé/B5_01.tif "/>
    <s v=" 2487.4379 "/>
    <s v=" 67.1043 "/>
    <x v="0"/>
    <n v="166918"/>
    <m/>
    <m/>
    <m/>
  </r>
  <r>
    <x v="17"/>
    <x v="1"/>
    <s v="F:\images\20210407\plaque 2/@05 Fadrozole 5.4 µg_L Dopé/B5_02.tif "/>
    <s v=" 108.1495 "/>
    <s v=" 63.4 "/>
    <x v="0"/>
    <n v="6857"/>
    <m/>
    <m/>
    <m/>
  </r>
  <r>
    <x v="17"/>
    <x v="1"/>
    <s v="F:\images\20210407\plaque 2/@05 Fadrozole 5.4 µg_L Dopé/B5_03.tif "/>
    <s v=" 346.0783 "/>
    <s v=" 64.5625 "/>
    <x v="0"/>
    <n v="22344"/>
    <m/>
    <m/>
    <m/>
  </r>
  <r>
    <x v="17"/>
    <x v="2"/>
    <s v="F:\images\20210407\plaque 2/@05 Fadrozole 5.4 µg_L Dopé/C5_01.tif "/>
    <s v=" 1189.6442 "/>
    <s v=" 64.1455 "/>
    <x v="0"/>
    <n v="76310"/>
    <m/>
    <m/>
    <m/>
  </r>
  <r>
    <x v="17"/>
    <x v="2"/>
    <s v="F:\images\20210407\plaque 2/@05 Fadrozole 5.4 µg_L Dopé/C5_02.tif "/>
    <s v=" 1168.0143 "/>
    <s v=" 65.2037 "/>
    <x v="0"/>
    <n v="76159"/>
    <m/>
    <m/>
    <m/>
  </r>
  <r>
    <x v="17"/>
    <x v="2"/>
    <s v="F:\images\20210407\plaque 2/@05 Fadrozole 5.4 µg_L Dopé/C5_03.tif "/>
    <s v=" 497.4876 "/>
    <s v=" 63.5217 "/>
    <x v="0"/>
    <n v="31601"/>
    <m/>
    <m/>
    <m/>
  </r>
  <r>
    <x v="17"/>
    <x v="3"/>
    <s v="F:\images\20210407\plaque 2/@05 Fadrozole 5.4 µg_L Dopé/D5_01.tif "/>
    <s v=" 2703.7368 "/>
    <s v=" 68.104 "/>
    <x v="0"/>
    <n v="184135"/>
    <m/>
    <m/>
    <m/>
  </r>
  <r>
    <x v="17"/>
    <x v="3"/>
    <s v="F:\images\20210407\plaque 2/@05 Fadrozole 5.4 µg_L Dopé/D5_02.tif "/>
    <s v=" 3179.5945 "/>
    <s v=" 68.2449 "/>
    <x v="0"/>
    <n v="216991"/>
    <m/>
    <m/>
    <m/>
  </r>
  <r>
    <x v="17"/>
    <x v="3"/>
    <s v="F:\images\20210407\plaque 2/@05 Fadrozole 5.4 µg_L Dopé/D5_03.tif "/>
    <s v=" 2098.0998 "/>
    <s v=" 67.7526 "/>
    <x v="0"/>
    <n v="142152"/>
    <m/>
    <m/>
    <m/>
  </r>
  <r>
    <x v="17"/>
    <x v="4"/>
    <s v="F:\images\20210407\plaque 2/@05 Fadrozole 5.4 µg_L Dopé/E5_01.tif "/>
    <s v=" 216.2989 "/>
    <n v="63"/>
    <x v="0"/>
    <n v="13627"/>
    <m/>
    <m/>
    <m/>
  </r>
  <r>
    <x v="17"/>
    <x v="4"/>
    <s v="F:\images\20210407\plaque 2/@05 Fadrozole 5.4 µg_L Dopé/E5_02.tif "/>
    <s v=" 302.8185 "/>
    <s v=" 65.7143 "/>
    <x v="0"/>
    <n v="19900"/>
    <m/>
    <m/>
    <m/>
  </r>
  <r>
    <x v="17"/>
    <x v="4"/>
    <s v="F:\images\20210407\plaque 2/@05 Fadrozole 5.4 µg_L Dopé/E5_03.tif "/>
    <s v=" 237.9288 "/>
    <s v=" 63.5455 "/>
    <x v="0"/>
    <n v="15119"/>
    <m/>
    <m/>
    <m/>
  </r>
  <r>
    <x v="17"/>
    <x v="5"/>
    <s v="F:\images\20210407\plaque 2/@05 Fadrozole 5.4 µg_L Dopé/F5_01.tif "/>
    <s v=" 2487.4379 "/>
    <s v=" 64.8174 "/>
    <x v="0"/>
    <n v="161229"/>
    <m/>
    <m/>
    <m/>
  </r>
  <r>
    <x v="17"/>
    <x v="5"/>
    <s v="F:\images\20210407\plaque 2/@05 Fadrozole 5.4 µg_L Dopé/F5_02.tif "/>
    <s v=" 1211.2741 "/>
    <s v=" 63.5357 "/>
    <x v="0"/>
    <n v="76959"/>
    <m/>
    <m/>
    <m/>
  </r>
  <r>
    <x v="17"/>
    <x v="5"/>
    <s v="F:\images\20210407\plaque 2/@05 Fadrozole 5.4 µg_L Dopé/F5_03.tif "/>
    <s v=" 410.968 "/>
    <s v=" 62.7895 "/>
    <x v="0"/>
    <n v="25804"/>
    <m/>
    <m/>
    <m/>
  </r>
  <r>
    <x v="17"/>
    <x v="6"/>
    <s v="F:\images\20210407\plaque 2/@05 Fadrozole 5.4 µg_L Dopé/G5_01.tif "/>
    <s v=" 2206.2493 "/>
    <s v=" 66.7353 "/>
    <x v="0"/>
    <n v="147235"/>
    <m/>
    <m/>
    <m/>
  </r>
  <r>
    <x v="17"/>
    <x v="6"/>
    <s v="F:\images\20210407\plaque 2/@05 Fadrozole 5.4 µg_L Dopé/G5_02- exclu.tif"/>
    <m/>
    <m/>
    <x v="1"/>
    <m/>
    <m/>
    <m/>
    <m/>
  </r>
  <r>
    <x v="17"/>
    <x v="6"/>
    <s v="F:\images\20210407\plaque 2/@05 Fadrozole 5.4 µg_L Dopé/G5_03.tif "/>
    <s v=" 2033.2101 "/>
    <s v=" 64.1809 "/>
    <x v="0"/>
    <n v="130493"/>
    <m/>
    <m/>
    <m/>
  </r>
  <r>
    <x v="17"/>
    <x v="7"/>
    <s v="F:\images\20210407\plaque 2/@05 Fadrozole 5.4 µg_L Dopé/H5_01.tif "/>
    <s v=" 410.968 "/>
    <n v="63"/>
    <x v="0"/>
    <n v="25891"/>
    <m/>
    <m/>
    <m/>
  </r>
  <r>
    <x v="17"/>
    <x v="7"/>
    <s v="F:\images\20210407\plaque 2/@05 Fadrozole 5.4 µg_L Dopé/H5_02.tif "/>
    <s v=" 670.5267 "/>
    <s v=" 64.5161 "/>
    <x v="0"/>
    <n v="43260"/>
    <m/>
    <m/>
    <m/>
  </r>
  <r>
    <x v="17"/>
    <x v="7"/>
    <s v="F:\images\20210407\plaque 2/@05 Fadrozole 5.4 µg_L Dopé/H5_03.tif "/>
    <s v=" 324.4484 "/>
    <s v=" 62.4667 "/>
    <x v="0"/>
    <n v="20267"/>
    <m/>
    <m/>
    <m/>
  </r>
  <r>
    <x v="1"/>
    <x v="8"/>
    <s v=" "/>
    <m/>
    <m/>
    <x v="1"/>
    <m/>
    <m/>
    <m/>
    <m/>
  </r>
  <r>
    <x v="1"/>
    <x v="8"/>
    <s v="group "/>
    <s v=" "/>
    <s v=" mean of mean fluo "/>
    <x v="2"/>
    <s v=" mean of total fluo "/>
    <s v=" SD total fluo "/>
    <s v=" n fluorescent "/>
    <s v=" n total"/>
  </r>
  <r>
    <x v="17"/>
    <x v="9"/>
    <s v="F:\images\20210407\plaque 2/@05 Fadrozole 5.4 µg_L Dopé/ "/>
    <s v=" "/>
    <s v=" 64.7761 "/>
    <x v="19"/>
    <s v=" 88804.25 "/>
    <s v=" 81902.11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407\plaque 2/@06 Fadrozole 11 µg_L Dopé/A6_01.tif "/>
    <s v=" 11528.7338 "/>
    <s v=" 84.8762 "/>
    <x v="0"/>
    <n v="978515"/>
    <m/>
    <m/>
    <m/>
  </r>
  <r>
    <x v="18"/>
    <x v="0"/>
    <s v="F:\images\20210407\plaque 2/@06 Fadrozole 11 µg_L Dopé/A6_02.tif "/>
    <s v=" 12826.5275 "/>
    <s v=" 83.2411 "/>
    <x v="0"/>
    <n v="1067695"/>
    <m/>
    <m/>
    <m/>
  </r>
  <r>
    <x v="18"/>
    <x v="0"/>
    <s v="F:\images\20210407\plaque 2/@06 Fadrozole 11 µg_L Dopé/A6_03- exclu.tif"/>
    <m/>
    <m/>
    <x v="1"/>
    <m/>
    <m/>
    <m/>
    <m/>
  </r>
  <r>
    <x v="18"/>
    <x v="1"/>
    <s v="F:\images\20210407\plaque 2/@06 Fadrozole 11 µg_L Dopé/B6_01.tif "/>
    <s v=" 5450.7334 "/>
    <s v=" 70.131 "/>
    <x v="0"/>
    <n v="382265"/>
    <m/>
    <m/>
    <m/>
  </r>
  <r>
    <x v="18"/>
    <x v="1"/>
    <s v="F:\images\20210407\plaque 2/@06 Fadrozole 11 µg_L Dopé/B6_02.tif "/>
    <s v=" 6532.2282 "/>
    <s v=" 70.3212 "/>
    <x v="0"/>
    <n v="459354"/>
    <m/>
    <m/>
    <m/>
  </r>
  <r>
    <x v="18"/>
    <x v="1"/>
    <s v="F:\images\20210407\plaque 2/@06 Fadrozole 11 µg_L Dopé/B6_03.tif "/>
    <s v=" 4715.317 "/>
    <s v=" 66.0183 "/>
    <x v="0"/>
    <n v="311297"/>
    <m/>
    <m/>
    <m/>
  </r>
  <r>
    <x v="18"/>
    <x v="2"/>
    <s v="F:\images\20210407\plaque 2/@06 Fadrozole 11 µg_L Dopé/C6_01.tif "/>
    <s v=" 584.0072 "/>
    <s v=" 63.037 "/>
    <x v="0"/>
    <n v="36814"/>
    <m/>
    <m/>
    <m/>
  </r>
  <r>
    <x v="18"/>
    <x v="2"/>
    <s v="F:\images\20210407\plaque 2/@06 Fadrozole 11 µg_L Dopé/C6_02.tif "/>
    <s v=" 951.7154 "/>
    <s v=" 65.5 "/>
    <x v="0"/>
    <n v="62337"/>
    <m/>
    <m/>
    <m/>
  </r>
  <r>
    <x v="18"/>
    <x v="2"/>
    <s v="F:\images\20210407\plaque 2/@06 Fadrozole 11 µg_L Dopé/C6_03.tif "/>
    <s v=" 994.9752 "/>
    <s v=" 65.3478 "/>
    <x v="0"/>
    <n v="65019"/>
    <m/>
    <m/>
    <m/>
  </r>
  <r>
    <x v="18"/>
    <x v="3"/>
    <s v="F:\images\20210407\plaque 2/@06 Fadrozole 11 µg_L Dopé/D6_01.tif "/>
    <s v=" 8089.5806 "/>
    <s v=" 80.0107 "/>
    <x v="0"/>
    <n v="647253"/>
    <m/>
    <m/>
    <m/>
  </r>
  <r>
    <x v="18"/>
    <x v="3"/>
    <s v="F:\images\20210407\plaque 2/@06 Fadrozole 11 µg_L Dopé/D6_02.tif "/>
    <s v=" 7397.424 "/>
    <s v=" 76.6023 "/>
    <x v="0"/>
    <n v="566660"/>
    <m/>
    <m/>
    <m/>
  </r>
  <r>
    <x v="18"/>
    <x v="3"/>
    <s v="F:\images\20210407\plaque 2/@06 Fadrozole 11 µg_L Dopé/D6_03.tif "/>
    <s v=" 9668.5629 "/>
    <s v=" 75.7696 "/>
    <x v="0"/>
    <n v="732583"/>
    <m/>
    <m/>
    <m/>
  </r>
  <r>
    <x v="18"/>
    <x v="4"/>
    <s v="F:\images\20210407\plaque 2/@06 Fadrozole 11 µg_L Dopé/E6_01.tif "/>
    <s v=" 6618.7478 "/>
    <s v=" 68.2843 "/>
    <x v="0"/>
    <n v="451957"/>
    <m/>
    <m/>
    <m/>
  </r>
  <r>
    <x v="18"/>
    <x v="4"/>
    <s v="F:\images\20210407\plaque 2/@06 Fadrozole 11 µg_L Dopé/E6_02.tif "/>
    <s v=" 5926.5911 "/>
    <s v=" 67.7153 "/>
    <x v="0"/>
    <n v="401321"/>
    <m/>
    <m/>
    <m/>
  </r>
  <r>
    <x v="18"/>
    <x v="4"/>
    <s v="F:\images\20210407\plaque 2/@06 Fadrozole 11 µg_L Dopé/E6_03.tif "/>
    <s v=" 4239.4593 "/>
    <s v=" 68.5153 "/>
    <x v="0"/>
    <n v="290468"/>
    <m/>
    <m/>
    <m/>
  </r>
  <r>
    <x v="18"/>
    <x v="5"/>
    <s v="F:\images\20210407\plaque 2/@06 Fadrozole 11 µg_L Dopé/F6_01.tif "/>
    <s v=" 281.1886 "/>
    <s v=" 63.3846 "/>
    <x v="0"/>
    <n v="17823"/>
    <m/>
    <m/>
    <m/>
  </r>
  <r>
    <x v="18"/>
    <x v="5"/>
    <s v="F:\images\20210407\plaque 2/@06 Fadrozole 11 µg_L Dopé/F6_02.tif "/>
    <s v=" 108.1495 "/>
    <n v="64"/>
    <x v="0"/>
    <n v="6922"/>
    <m/>
    <m/>
    <m/>
  </r>
  <r>
    <x v="18"/>
    <x v="5"/>
    <s v="F:\images\20210407\plaque 2/@06 Fadrozole 11 µg_L Dopé/F6_03.tif "/>
    <s v=" 432.5979 "/>
    <s v=" 64.55 "/>
    <x v="0"/>
    <n v="27924"/>
    <m/>
    <m/>
    <m/>
  </r>
  <r>
    <x v="18"/>
    <x v="6"/>
    <s v="F:\images\20210407\plaque 2/@06 Fadrozole 11 µg_L Dopé/G6_01.tif "/>
    <s v=" 4520.648 "/>
    <s v=" 65.9139 "/>
    <x v="0"/>
    <n v="297973"/>
    <m/>
    <m/>
    <m/>
  </r>
  <r>
    <x v="18"/>
    <x v="6"/>
    <s v="F:\images\20210407\plaque 2/@06 Fadrozole 11 µg_L Dopé/G6_02.tif "/>
    <s v=" 4607.1676 "/>
    <s v=" 65.4554 "/>
    <x v="0"/>
    <n v="301564"/>
    <m/>
    <m/>
    <m/>
  </r>
  <r>
    <x v="18"/>
    <x v="6"/>
    <s v="F:\images\20210407\plaque 2/@06 Fadrozole 11 µg_L Dopé/G6_03.tif "/>
    <s v=" 5840.0715 "/>
    <s v=" 74.9333 "/>
    <x v="0"/>
    <n v="437616"/>
    <m/>
    <m/>
    <m/>
  </r>
  <r>
    <x v="18"/>
    <x v="7"/>
    <s v="F:\images\20210407\plaque 2/@06 Fadrozole 11 µg_L Dopé/H6_01.tif "/>
    <s v=" 346.0783 "/>
    <n v="62"/>
    <x v="0"/>
    <n v="21457"/>
    <m/>
    <m/>
    <m/>
  </r>
  <r>
    <x v="18"/>
    <x v="7"/>
    <s v="F:\images\20210407\plaque 2/@06 Fadrozole 11 µg_L Dopé/H6_02.tif "/>
    <s v=" 389.3381 "/>
    <s v=" 66.2222 "/>
    <x v="0"/>
    <n v="25783"/>
    <m/>
    <m/>
    <m/>
  </r>
  <r>
    <x v="18"/>
    <x v="7"/>
    <s v="F:\images\20210407\plaque 2/@06 Fadrozole 11 µg_L Dopé/H6_03.tif "/>
    <s v=" 886.8257 "/>
    <s v=" 63.4634 "/>
    <x v="0"/>
    <n v="56281"/>
    <m/>
    <m/>
    <m/>
  </r>
  <r>
    <x v="1"/>
    <x v="8"/>
    <s v=" "/>
    <m/>
    <m/>
    <x v="1"/>
    <m/>
    <m/>
    <m/>
    <m/>
  </r>
  <r>
    <x v="1"/>
    <x v="8"/>
    <s v="group "/>
    <s v=" "/>
    <s v=" mean of mean fluo "/>
    <x v="2"/>
    <s v=" mean of total fluo "/>
    <s v=" SD total fluo "/>
    <s v=" n fluorescent "/>
    <s v=" n total"/>
  </r>
  <r>
    <x v="18"/>
    <x v="9"/>
    <s v="F:\images\20210407\plaque 2/@06 Fadrozole 11 µg_L Dopé/ "/>
    <s v=" "/>
    <s v=" 69.8632 "/>
    <x v="20"/>
    <s v=" 356045.167 "/>
    <s v=" 324934.22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407\plaque 2/@07  Fadrozole 22 µg_L Dopé/A7_01.tif "/>
    <s v=" 346.0783 "/>
    <s v=" 64.875 "/>
    <x v="0"/>
    <n v="22452"/>
    <m/>
    <m/>
    <m/>
  </r>
  <r>
    <x v="19"/>
    <x v="0"/>
    <s v="F:\images\20210407\plaque 2/@07  Fadrozole 22 µg_L Dopé/A7_02.tif "/>
    <s v=" 410.968 "/>
    <s v=" 63.5263 "/>
    <x v="0"/>
    <n v="26107"/>
    <m/>
    <m/>
    <m/>
  </r>
  <r>
    <x v="19"/>
    <x v="0"/>
    <s v="F:\images\20210407\plaque 2/@07  Fadrozole 22 µg_L Dopé/A7_03.tif "/>
    <s v=" 216.2989 "/>
    <s v=" 62.7 "/>
    <x v="0"/>
    <n v="13562"/>
    <m/>
    <m/>
    <m/>
  </r>
  <r>
    <x v="19"/>
    <x v="1"/>
    <s v="F:\images\20210407\plaque 2/@07  Fadrozole 22 µg_L Dopé/B7_01.tif "/>
    <s v=" 5429.1036 "/>
    <s v=" 70.8207 "/>
    <x v="0"/>
    <n v="384493"/>
    <m/>
    <m/>
    <m/>
  </r>
  <r>
    <x v="19"/>
    <x v="1"/>
    <s v="F:\images\20210407\plaque 2/@07  Fadrozole 22 µg_L Dopé/B7_02.tif "/>
    <s v=" 4607.1676 "/>
    <s v=" 65.5822 "/>
    <x v="0"/>
    <n v="302148"/>
    <m/>
    <m/>
    <m/>
  </r>
  <r>
    <x v="19"/>
    <x v="1"/>
    <s v="F:\images\20210407\plaque 2/@07  Fadrozole 22 µg_L Dopé/B7_03.tif "/>
    <s v=" 3482.413 "/>
    <s v=" 65.795 "/>
    <x v="0"/>
    <n v="229125"/>
    <m/>
    <m/>
    <m/>
  </r>
  <r>
    <x v="19"/>
    <x v="2"/>
    <s v="F:\images\20210407\plaque 2/@07  Fadrozole 22 µg_L Dopé/C7_01.tif "/>
    <s v=" 389.3381 "/>
    <s v=" 63.1111 "/>
    <x v="0"/>
    <n v="24572"/>
    <m/>
    <m/>
    <m/>
  </r>
  <r>
    <x v="19"/>
    <x v="2"/>
    <s v="F:\images\20210407\plaque 2/@07  Fadrozole 22 µg_L Dopé/C7_02.tif "/>
    <s v=" 432.5979 "/>
    <s v=" 66.5 "/>
    <x v="0"/>
    <n v="28768"/>
    <m/>
    <m/>
    <m/>
  </r>
  <r>
    <x v="19"/>
    <x v="2"/>
    <s v="F:\images\20210407\plaque 2/@07  Fadrozole 22 µg_L Dopé/C7_03.tif "/>
    <s v=" 475.8577 "/>
    <s v=" 64.4091 "/>
    <x v="0"/>
    <n v="30650"/>
    <m/>
    <m/>
    <m/>
  </r>
  <r>
    <x v="19"/>
    <x v="3"/>
    <s v="F:\images\20210407\plaque 2/@07  Fadrozole 22 µg_L Dopé/D7_01.tif "/>
    <s v=" 562.3773 "/>
    <s v=" 65.2692 "/>
    <x v="0"/>
    <n v="36706"/>
    <m/>
    <m/>
    <m/>
  </r>
  <r>
    <x v="19"/>
    <x v="3"/>
    <s v="F:\images\20210407\plaque 2/@07  Fadrozole 22 µg_L Dopé/D7_02.tif "/>
    <s v=" 692.1566 "/>
    <s v=" 64.4062 "/>
    <x v="0"/>
    <n v="44579"/>
    <m/>
    <m/>
    <m/>
  </r>
  <r>
    <x v="19"/>
    <x v="3"/>
    <s v="F:\images\20210407\plaque 2/@07  Fadrozole 22 µg_L Dopé/D7_03.tif "/>
    <s v=" 605.637 "/>
    <s v=" 65.3214 "/>
    <x v="0"/>
    <n v="39561"/>
    <m/>
    <m/>
    <m/>
  </r>
  <r>
    <x v="19"/>
    <x v="4"/>
    <s v="F:\images\20210407\plaque 2/@07  Fadrozole 22 µg_L Dopé/E7_01.tif "/>
    <s v=" 346.0783 "/>
    <s v=" 64.625 "/>
    <x v="0"/>
    <n v="22365"/>
    <m/>
    <m/>
    <m/>
  </r>
  <r>
    <x v="19"/>
    <x v="4"/>
    <s v="F:\images\20210407\plaque 2/@07  Fadrozole 22 µg_L Dopé/E7_02.tif "/>
    <s v=" 324.4484 "/>
    <n v="64"/>
    <x v="0"/>
    <n v="20765"/>
    <m/>
    <m/>
    <m/>
  </r>
  <r>
    <x v="19"/>
    <x v="4"/>
    <s v="F:\images\20210407\plaque 2/@07  Fadrozole 22 µg_L Dopé/E7_03.tif "/>
    <s v=" 324.4484 "/>
    <s v=" 64.6667 "/>
    <x v="0"/>
    <n v="20981"/>
    <m/>
    <m/>
    <m/>
  </r>
  <r>
    <x v="19"/>
    <x v="5"/>
    <s v="F:\images\20210407\plaque 2/@07  Fadrozole 22 µg_L Dopé/F7_01.tif "/>
    <s v=" 930.0855 "/>
    <s v=" 65.3721 "/>
    <x v="0"/>
    <n v="60802"/>
    <m/>
    <m/>
    <m/>
  </r>
  <r>
    <x v="19"/>
    <x v="5"/>
    <s v="F:\images\20210407\plaque 2/@07  Fadrozole 22 µg_L Dopé/F7_02.tif "/>
    <s v=" 3720.3419 "/>
    <s v=" 67.7791 "/>
    <x v="0"/>
    <n v="252161"/>
    <m/>
    <m/>
    <m/>
  </r>
  <r>
    <x v="19"/>
    <x v="5"/>
    <s v="F:\images\20210407\plaque 2/@07  Fadrozole 22 µg_L Dopé/F7_03.tif "/>
    <s v=" 281.1886 "/>
    <s v=" 63.5385 "/>
    <x v="0"/>
    <n v="17866"/>
    <m/>
    <m/>
    <m/>
  </r>
  <r>
    <x v="19"/>
    <x v="6"/>
    <s v="F:\images\20210407\plaque 2/@07  Fadrozole 22 µg_L Dopé/G7_01.tif "/>
    <s v=" 692.1566 "/>
    <s v=" 64.375 "/>
    <x v="0"/>
    <n v="44558"/>
    <m/>
    <m/>
    <m/>
  </r>
  <r>
    <x v="19"/>
    <x v="6"/>
    <s v="F:\images\20210407\plaque 2/@07  Fadrozole 22 µg_L Dopé/G7_02.tif "/>
    <s v=" 237.9288 "/>
    <s v=" 62.4545 "/>
    <x v="0"/>
    <n v="14860"/>
    <m/>
    <m/>
    <m/>
  </r>
  <r>
    <x v="19"/>
    <x v="6"/>
    <s v="F:\images\20210407\plaque 2/@07  Fadrozole 22 µg_L Dopé/G7_03.tif "/>
    <s v=" 324.4484 "/>
    <s v=" 64.9333 "/>
    <x v="0"/>
    <n v="21068"/>
    <m/>
    <m/>
    <m/>
  </r>
  <r>
    <x v="19"/>
    <x v="7"/>
    <s v="F:\images\20210407\plaque 2/@07  Fadrozole 22 µg_L Dopé/H7_01.tif "/>
    <s v=" 302.8185 "/>
    <s v=" 63.5 "/>
    <x v="0"/>
    <n v="19229"/>
    <m/>
    <m/>
    <m/>
  </r>
  <r>
    <x v="19"/>
    <x v="7"/>
    <s v="F:\images\20210407\plaque 2/@07  Fadrozole 22 µg_L Dopé/H7_02.tif "/>
    <s v=" 173.0392 "/>
    <s v=" 63.125 "/>
    <x v="0"/>
    <n v="10923"/>
    <m/>
    <m/>
    <m/>
  </r>
  <r>
    <x v="19"/>
    <x v="7"/>
    <s v="F:\images\20210407\plaque 2/@07  Fadrozole 22 µg_L Dopé/H7_03.tif "/>
    <s v=" 173.0392 "/>
    <s v=" 64.75 "/>
    <x v="0"/>
    <n v="11204"/>
    <m/>
    <m/>
    <m/>
  </r>
  <r>
    <x v="1"/>
    <x v="8"/>
    <s v=" "/>
    <m/>
    <m/>
    <x v="1"/>
    <m/>
    <m/>
    <m/>
    <m/>
  </r>
  <r>
    <x v="1"/>
    <x v="8"/>
    <s v="group "/>
    <s v=" "/>
    <s v=" mean of mean fluo "/>
    <x v="2"/>
    <s v=" mean of total fluo "/>
    <s v=" SD total fluo "/>
    <s v=" n fluorescent "/>
    <s v=" n total"/>
  </r>
  <r>
    <x v="19"/>
    <x v="9"/>
    <s v="F:\images\20210407\plaque 2/@07  Fadrozole 22 µg_L Dopé/ "/>
    <s v=" "/>
    <s v=" 64.8098 "/>
    <x v="21"/>
    <s v=" 70812.7083 "/>
    <s v=" 104706.1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407\plaque 2/@08 Fadrozole 44 µg_L Dopé/A8_01.tif "/>
    <s v=" 3460.7831 "/>
    <s v=" 72.1688 "/>
    <x v="0"/>
    <n v="249760"/>
    <m/>
    <m/>
    <m/>
  </r>
  <r>
    <x v="20"/>
    <x v="0"/>
    <s v="F:\images\20210407\plaque 2/@08 Fadrozole 44 µg_L Dopé/A8_02.tif "/>
    <s v=" 7613.7229 "/>
    <s v=" 78.9489 "/>
    <x v="0"/>
    <n v="601095"/>
    <m/>
    <m/>
    <m/>
  </r>
  <r>
    <x v="20"/>
    <x v="0"/>
    <s v="F:\images\20210407\plaque 2/@08 Fadrozole 44 µg_L Dopé/A8_03.tif "/>
    <s v=" 778.6762 "/>
    <s v=" 66.5556 "/>
    <x v="0"/>
    <n v="51825"/>
    <m/>
    <m/>
    <m/>
  </r>
  <r>
    <x v="20"/>
    <x v="1"/>
    <s v="F:\images\20210407\plaque 2/@08 Fadrozole 44 µg_L Dopé/B8_01.tif "/>
    <s v=" 1687.1318 "/>
    <s v=" 64.9359 "/>
    <x v="0"/>
    <n v="109555"/>
    <m/>
    <m/>
    <m/>
  </r>
  <r>
    <x v="20"/>
    <x v="1"/>
    <s v="F:\images\20210407\plaque 2/@08 Fadrozole 44 µg_L Dopé/B8_02.tif "/>
    <s v=" 3395.8935 "/>
    <s v=" 65.9873 "/>
    <x v="0"/>
    <n v="224086"/>
    <m/>
    <m/>
    <m/>
  </r>
  <r>
    <x v="20"/>
    <x v="1"/>
    <s v="F:\images\20210407\plaque 2/@08 Fadrozole 44 µg_L Dopé/B8_03.tif "/>
    <s v=" 692.1566 "/>
    <s v=" 71.2812 "/>
    <x v="0"/>
    <n v="49338"/>
    <m/>
    <m/>
    <m/>
  </r>
  <r>
    <x v="20"/>
    <x v="2"/>
    <s v="F:\images\20210407\plaque 2/@08 Fadrozole 44 µg_L Dopé/C8_01.tif "/>
    <s v=" 562.3773 "/>
    <s v=" 64.1538 "/>
    <x v="0"/>
    <n v="36079"/>
    <m/>
    <m/>
    <m/>
  </r>
  <r>
    <x v="20"/>
    <x v="2"/>
    <s v="F:\images\20210407\plaque 2/@08 Fadrozole 44 µg_L Dopé/C8_02.tif "/>
    <s v=" 540.7474 "/>
    <s v=" 63.36 "/>
    <x v="0"/>
    <n v="34262"/>
    <m/>
    <m/>
    <m/>
  </r>
  <r>
    <x v="20"/>
    <x v="2"/>
    <s v="F:\images\20210407\plaque 2/@08 Fadrozole 44 µg_L Dopé/C8_03.tif "/>
    <s v=" 259.5587 "/>
    <s v=" 62.1667 "/>
    <x v="0"/>
    <n v="16136"/>
    <m/>
    <m/>
    <m/>
  </r>
  <r>
    <x v="20"/>
    <x v="3"/>
    <s v="F:\images\20210407\plaque 2/@08 Fadrozole 44 µg_L Dopé/D8_01.tif "/>
    <s v=" 86.5196 "/>
    <s v=" 65.5 "/>
    <x v="0"/>
    <n v="5667"/>
    <m/>
    <m/>
    <m/>
  </r>
  <r>
    <x v="20"/>
    <x v="3"/>
    <s v="F:\images\20210407\plaque 2/@08 Fadrozole 44 µg_L Dopé/D8_02- exclu.tif"/>
    <m/>
    <m/>
    <x v="1"/>
    <m/>
    <m/>
    <m/>
    <m/>
  </r>
  <r>
    <x v="20"/>
    <x v="3"/>
    <s v="F:\images\20210407\plaque 2/@08 Fadrozole 44 µg_L Dopé/D8_03.tif "/>
    <s v=" 281.1886 "/>
    <s v=" 64.3846 "/>
    <x v="0"/>
    <n v="18104"/>
    <m/>
    <m/>
    <m/>
  </r>
  <r>
    <x v="20"/>
    <x v="4"/>
    <s v="F:\images\20210407\plaque 2/@08 Fadrozole 44 µg_L Dopé/E8_01.tif "/>
    <s v=" 497.4876 "/>
    <s v=" 62.4783 "/>
    <x v="0"/>
    <n v="31082"/>
    <m/>
    <m/>
    <m/>
  </r>
  <r>
    <x v="20"/>
    <x v="4"/>
    <s v="F:\images\20210407\plaque 2/@08 Fadrozole 44 µg_L Dopé/E8_02.tif "/>
    <s v=" 627.2669 "/>
    <s v=" 63.7586 "/>
    <x v="0"/>
    <n v="39994"/>
    <m/>
    <m/>
    <m/>
  </r>
  <r>
    <x v="20"/>
    <x v="4"/>
    <s v="F:\images\20210407\plaque 2/@08 Fadrozole 44 µg_L Dopé/E8_03.tif "/>
    <s v=" 540.7474 "/>
    <s v=" 62.84 "/>
    <x v="0"/>
    <n v="33981"/>
    <m/>
    <m/>
    <m/>
  </r>
  <r>
    <x v="20"/>
    <x v="5"/>
    <s v="F:\images\20210407\plaque 2/@08 Fadrozole 44 µg_L Dopé/F8_01.tif "/>
    <s v=" 1297.7937 "/>
    <s v=" 64.8333 "/>
    <x v="0"/>
    <n v="84140"/>
    <m/>
    <m/>
    <m/>
  </r>
  <r>
    <x v="20"/>
    <x v="5"/>
    <s v="F:\images\20210407\plaque 2/@08 Fadrozole 44 µg_L Dopé/F8_02.tif "/>
    <s v=" 1362.6834 "/>
    <s v=" 68.1587 "/>
    <x v="0"/>
    <n v="92879"/>
    <m/>
    <m/>
    <m/>
  </r>
  <r>
    <x v="20"/>
    <x v="5"/>
    <s v="F:\images\20210407\plaque 2/@08 Fadrozole 44 µg_L Dopé/F8_03.tif "/>
    <s v=" 562.3773 "/>
    <s v=" 63.3077 "/>
    <x v="0"/>
    <n v="35603"/>
    <m/>
    <m/>
    <m/>
  </r>
  <r>
    <x v="20"/>
    <x v="6"/>
    <s v="F:\images\20210407\plaque 2/@08 Fadrozole 44 µg_L Dopé/G8_01.tif "/>
    <s v=" 151.4093 "/>
    <s v=" 61.2857 "/>
    <x v="0"/>
    <n v="9279"/>
    <m/>
    <m/>
    <m/>
  </r>
  <r>
    <x v="20"/>
    <x v="6"/>
    <s v="F:\images\20210407\plaque 2/@08 Fadrozole 44 µg_L Dopé/G8_02- exclu.tif"/>
    <m/>
    <m/>
    <x v="1"/>
    <m/>
    <m/>
    <m/>
    <m/>
  </r>
  <r>
    <x v="20"/>
    <x v="6"/>
    <s v="F:\images\20210407\plaque 2/@08 Fadrozole 44 µg_L Dopé/G8_03.tif "/>
    <s v=" 605.637 "/>
    <s v=" 64.1071 "/>
    <x v="0"/>
    <n v="38826"/>
    <m/>
    <m/>
    <m/>
  </r>
  <r>
    <x v="20"/>
    <x v="7"/>
    <s v="F:\images\20210407\plaque 2/@08 Fadrozole 44 µg_L Dopé/H8_01.tif "/>
    <s v=" 1081.4947 "/>
    <s v=" 69.92 "/>
    <x v="0"/>
    <n v="75618"/>
    <m/>
    <m/>
    <m/>
  </r>
  <r>
    <x v="20"/>
    <x v="7"/>
    <s v="F:\images\20210407\plaque 2/@08 Fadrozole 44 µg_L Dopé/H8_02.tif "/>
    <s v=" 1535.7225 "/>
    <s v=" 72.6056 "/>
    <x v="0"/>
    <n v="111502"/>
    <m/>
    <m/>
    <m/>
  </r>
  <r>
    <x v="20"/>
    <x v="7"/>
    <s v="F:\images\20210407\plaque 2/@08 Fadrozole 44 µg_L Dopé/H8_03.tif "/>
    <s v=" 1254.5339 "/>
    <s v=" 67.9138 "/>
    <x v="0"/>
    <n v="85200"/>
    <m/>
    <m/>
    <m/>
  </r>
  <r>
    <x v="1"/>
    <x v="8"/>
    <s v=" "/>
    <m/>
    <m/>
    <x v="1"/>
    <m/>
    <m/>
    <m/>
    <m/>
  </r>
  <r>
    <x v="1"/>
    <x v="8"/>
    <s v="group "/>
    <s v=" "/>
    <s v=" mean of mean fluo "/>
    <x v="2"/>
    <s v=" mean of total fluo "/>
    <s v=" SD total fluo "/>
    <s v=" n fluorescent "/>
    <s v=" n total"/>
  </r>
  <r>
    <x v="20"/>
    <x v="9"/>
    <s v="F:\images\20210407\plaque 2/@08 Fadrozole 44 µg_L Dopé/ "/>
    <s v=" "/>
    <s v=" 66.1946 "/>
    <x v="22"/>
    <s v=" 85960.8333 "/>
    <s v=" 125962.0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407\plaque 2/@09  Fadrozole 87 µg_L Dopé/A9_01.tif "/>
    <s v=" 497.4876 "/>
    <s v=" 62.9565 "/>
    <x v="0"/>
    <n v="31320"/>
    <m/>
    <m/>
    <m/>
  </r>
  <r>
    <x v="21"/>
    <x v="0"/>
    <s v="F:\images\20210407\plaque 2/@09  Fadrozole 87 µg_L Dopé/A9_02.tif "/>
    <s v=" 237.9288 "/>
    <s v=" 62.8182 "/>
    <x v="0"/>
    <n v="14946"/>
    <m/>
    <m/>
    <m/>
  </r>
  <r>
    <x v="21"/>
    <x v="0"/>
    <s v="F:\images\20210407\plaque 2/@09  Fadrozole 87 µg_L Dopé/A9_03.tif "/>
    <s v=" 605.637 "/>
    <s v=" 65.6786 "/>
    <x v="0"/>
    <n v="39777"/>
    <m/>
    <m/>
    <m/>
  </r>
  <r>
    <x v="21"/>
    <x v="1"/>
    <s v="F:\images\20210407\plaque 2/@09  Fadrozole 87 µg_L Dopé/B9_01.tif "/>
    <s v=" 973.3453 "/>
    <s v=" 64.8667 "/>
    <x v="0"/>
    <n v="63138"/>
    <m/>
    <m/>
    <m/>
  </r>
  <r>
    <x v="21"/>
    <x v="1"/>
    <s v="F:\images\20210407\plaque 2/@09  Fadrozole 87 µg_L Dopé/B9_02.tif "/>
    <s v=" 1492.4627 "/>
    <s v=" 67.7536 "/>
    <x v="0"/>
    <n v="101120"/>
    <m/>
    <m/>
    <m/>
  </r>
  <r>
    <x v="21"/>
    <x v="1"/>
    <s v="F:\images\20210407\plaque 2/@09  Fadrozole 87 µg_L Dopé/B9_03.tif "/>
    <s v=" 3720.3419 "/>
    <s v=" 66.343 "/>
    <x v="0"/>
    <n v="246819"/>
    <m/>
    <m/>
    <m/>
  </r>
  <r>
    <x v="21"/>
    <x v="2"/>
    <s v="F:\images\20210407\plaque 2/@09  Fadrozole 87 µg_L Dopé/C9_01.tif "/>
    <s v=" 4217.8295 "/>
    <s v=" 67.1641 "/>
    <x v="0"/>
    <n v="283287"/>
    <m/>
    <m/>
    <m/>
  </r>
  <r>
    <x v="21"/>
    <x v="2"/>
    <s v="F:\images\20210407\plaque 2/@09  Fadrozole 87 µg_L Dopé/C9_02.tif "/>
    <s v=" 1081.4947 "/>
    <s v=" 66.1 "/>
    <x v="0"/>
    <n v="71487"/>
    <m/>
    <m/>
    <m/>
  </r>
  <r>
    <x v="21"/>
    <x v="2"/>
    <s v="F:\images\20210407\plaque 2/@09  Fadrozole 87 µg_L Dopé/C9_03.tif "/>
    <s v=" 627.2669 "/>
    <s v=" 64.1379 "/>
    <x v="0"/>
    <n v="40232"/>
    <m/>
    <m/>
    <m/>
  </r>
  <r>
    <x v="21"/>
    <x v="3"/>
    <s v="F:\images\20210407\plaque 2/@09  Fadrozole 87 µg_L Dopé/D9_01.tif "/>
    <s v=" 216.2989 "/>
    <s v=" 63.6 "/>
    <x v="0"/>
    <n v="13757"/>
    <m/>
    <m/>
    <m/>
  </r>
  <r>
    <x v="21"/>
    <x v="3"/>
    <s v="F:\images\20210407\plaque 2/@09  Fadrozole 87 µg_L Dopé/D9_02.tif "/>
    <s v=" 194.6691 "/>
    <s v=" 62.7778 "/>
    <x v="0"/>
    <n v="12221"/>
    <m/>
    <m/>
    <m/>
  </r>
  <r>
    <x v="21"/>
    <x v="3"/>
    <s v="F:\images\20210407\plaque 2/@09  Fadrozole 87 µg_L Dopé/D9_03.tif "/>
    <s v=" 281.1886 "/>
    <s v=" 63.3077 "/>
    <x v="0"/>
    <n v="17801"/>
    <m/>
    <m/>
    <m/>
  </r>
  <r>
    <x v="21"/>
    <x v="4"/>
    <s v="F:\images\20210407\plaque 2/@09  Fadrozole 87 µg_L Dopé/E9_01.tif "/>
    <s v=" 627.2669 "/>
    <s v=" 65.5862 "/>
    <x v="0"/>
    <n v="41140"/>
    <m/>
    <m/>
    <m/>
  </r>
  <r>
    <x v="21"/>
    <x v="4"/>
    <s v="F:\images\20210407\plaque 2/@09  Fadrozole 87 µg_L Dopé/E9_02.tif "/>
    <s v=" 519.1175 "/>
    <s v=" 64.6667 "/>
    <x v="0"/>
    <n v="33570"/>
    <m/>
    <m/>
    <m/>
  </r>
  <r>
    <x v="21"/>
    <x v="4"/>
    <s v="F:\images\20210407\plaque 2/@09  Fadrozole 87 µg_L Dopé/E9_03.tif "/>
    <s v=" 778.6762 "/>
    <s v=" 64.3333 "/>
    <x v="0"/>
    <n v="50095"/>
    <m/>
    <m/>
    <m/>
  </r>
  <r>
    <x v="21"/>
    <x v="5"/>
    <s v="F:\images\20210407\plaque 2/@09  Fadrozole 87 µg_L Dopé/F9_01.tif "/>
    <s v=" 1535.7225 "/>
    <s v=" 66.5775 "/>
    <x v="0"/>
    <n v="102245"/>
    <m/>
    <m/>
    <m/>
  </r>
  <r>
    <x v="21"/>
    <x v="5"/>
    <s v="F:\images\20210407\plaque 2/@09  Fadrozole 87 µg_L Dopé/F9_02.tif "/>
    <s v=" 2314.3987 "/>
    <s v=" 67.4299 "/>
    <x v="0"/>
    <n v="156060"/>
    <m/>
    <m/>
    <m/>
  </r>
  <r>
    <x v="21"/>
    <x v="5"/>
    <s v="F:\images\20210407\plaque 2/@09  Fadrozole 87 µg_L Dopé/F9_03.tif "/>
    <s v=" 821.936 "/>
    <s v=" 65.7632 "/>
    <x v="0"/>
    <n v="54053"/>
    <m/>
    <m/>
    <m/>
  </r>
  <r>
    <x v="21"/>
    <x v="6"/>
    <s v="F:\images\20210407\plaque 2/@09  Fadrozole 87 µg_L Dopé/G9_01.tif "/>
    <s v=" 562.3773 "/>
    <s v=" 64.3846 "/>
    <x v="0"/>
    <n v="36208"/>
    <m/>
    <m/>
    <m/>
  </r>
  <r>
    <x v="21"/>
    <x v="6"/>
    <s v="F:\images\20210407\plaque 2/@09  Fadrozole 87 µg_L Dopé/G9_02.tif "/>
    <s v=" 540.7474 "/>
    <s v=" 64.28 "/>
    <x v="0"/>
    <n v="34759"/>
    <m/>
    <m/>
    <m/>
  </r>
  <r>
    <x v="21"/>
    <x v="6"/>
    <s v="F:\images\20210407\plaque 2/@09  Fadrozole 87 µg_L Dopé/G9_03.tif "/>
    <s v=" 454.2278 "/>
    <s v=" 66.6667 "/>
    <x v="0"/>
    <n v="30282"/>
    <m/>
    <m/>
    <m/>
  </r>
  <r>
    <x v="21"/>
    <x v="7"/>
    <s v="F:\images\20210407\plaque 2/@09  Fadrozole 87 µg_L Dopé/H9_01.tif "/>
    <s v=" 281.1886 "/>
    <s v=" 63.0769 "/>
    <x v="0"/>
    <n v="17737"/>
    <m/>
    <m/>
    <m/>
  </r>
  <r>
    <x v="21"/>
    <x v="7"/>
    <s v="F:\images\20210407\plaque 2/@09  Fadrozole 87 µg_L Dopé/H9_02.tif "/>
    <s v=" 237.9288 "/>
    <s v=" 64.8182 "/>
    <x v="0"/>
    <n v="15422"/>
    <m/>
    <m/>
    <m/>
  </r>
  <r>
    <x v="21"/>
    <x v="7"/>
    <s v="F:\images\20210407\plaque 2/@09  Fadrozole 87 µg_L Dopé/H9_03.tif "/>
    <s v=" 173.0392 "/>
    <s v=" 62.5 "/>
    <x v="0"/>
    <n v="10815"/>
    <m/>
    <m/>
    <m/>
  </r>
  <r>
    <x v="1"/>
    <x v="8"/>
    <s v=" "/>
    <m/>
    <m/>
    <x v="1"/>
    <m/>
    <m/>
    <m/>
    <m/>
  </r>
  <r>
    <x v="1"/>
    <x v="8"/>
    <s v="group "/>
    <s v=" "/>
    <s v=" mean of mean fluo "/>
    <x v="2"/>
    <s v=" mean of total fluo "/>
    <s v=" SD total fluo "/>
    <s v=" n fluorescent "/>
    <s v=" n total"/>
  </r>
  <r>
    <x v="21"/>
    <x v="9"/>
    <s v="F:\images\20210407\plaque 2/@09  Fadrozole 87 µg_L Dopé/ "/>
    <s v=" "/>
    <s v=" 64.8995 "/>
    <x v="23"/>
    <s v=" 63262.125 "/>
    <s v=" 71221.8113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1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9"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8"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41">
        <item x="1"/>
        <item m="1" x="36"/>
        <item m="1" x="25"/>
        <item m="1" x="39"/>
        <item x="4"/>
        <item x="5"/>
        <item m="1" x="38"/>
        <item x="7"/>
        <item m="1" x="34"/>
        <item m="1" x="37"/>
        <item m="1" x="23"/>
        <item m="1" x="29"/>
        <item m="1" x="31"/>
        <item m="1" x="30"/>
        <item m="1" x="35"/>
        <item m="1" x="33"/>
        <item m="1" x="32"/>
        <item m="1" x="26"/>
        <item m="1" x="27"/>
        <item m="1" x="22"/>
        <item m="1" x="28"/>
        <item m="1" x="24"/>
        <item x="0"/>
        <item x="2"/>
        <item x="3"/>
        <item x="6"/>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46">
        <item x="1"/>
        <item x="0"/>
        <item x="2"/>
        <item m="1" x="36"/>
        <item m="1" x="34"/>
        <item m="1" x="43"/>
        <item m="1" x="38"/>
        <item m="1" x="42"/>
        <item m="1" x="39"/>
        <item m="1" x="32"/>
        <item m="1" x="40"/>
        <item m="1" x="27"/>
        <item m="1" x="31"/>
        <item m="1" x="25"/>
        <item m="1" x="24"/>
        <item m="1" x="41"/>
        <item m="1" x="30"/>
        <item m="1" x="44"/>
        <item m="1" x="28"/>
        <item m="1" x="35"/>
        <item m="1" x="29"/>
        <item m="1" x="37"/>
        <item m="1" x="26"/>
        <item m="1" x="33"/>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4"/>
    </i>
    <i>
      <x v="5"/>
    </i>
    <i>
      <x v="7"/>
    </i>
    <i>
      <x v="22"/>
    </i>
    <i>
      <x v="23"/>
    </i>
    <i>
      <x v="24"/>
    </i>
    <i>
      <x v="25"/>
    </i>
    <i>
      <x v="26"/>
    </i>
    <i>
      <x v="27"/>
    </i>
    <i>
      <x v="28"/>
    </i>
    <i>
      <x v="29"/>
    </i>
    <i>
      <x v="30"/>
    </i>
    <i>
      <x v="31"/>
    </i>
    <i>
      <x v="32"/>
    </i>
    <i>
      <x v="33"/>
    </i>
    <i>
      <x v="34"/>
    </i>
    <i>
      <x v="35"/>
    </i>
    <i>
      <x v="36"/>
    </i>
    <i>
      <x v="37"/>
    </i>
    <i>
      <x v="38"/>
    </i>
    <i>
      <x v="39"/>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9"/>
    </i>
    <i>
      <x v="20"/>
    </i>
    <i>
      <x v="21"/>
    </i>
    <i>
      <x v="22"/>
    </i>
    <i>
      <x v="23"/>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977B4C89-1521-40D0-A8E7-EFA1BDBD44A4}"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291F0DD4-79FB-4E54-8ABF-EC005E4D82C3}"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9346CA3C-0D7A-47DD-B4DB-8A4A9BEABCA8}"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0" zoomScale="85" zoomScaleNormal="85" workbookViewId="0">
      <selection activeCell="F38" sqref="F38"/>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59"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9" t="s">
        <v>36</v>
      </c>
      <c r="B1" s="200"/>
      <c r="C1" s="200"/>
      <c r="D1" s="200"/>
      <c r="E1" s="200"/>
      <c r="F1" s="200"/>
      <c r="G1" s="200"/>
      <c r="H1" s="200"/>
      <c r="I1" s="201"/>
    </row>
    <row r="2" spans="1:9" ht="21" x14ac:dyDescent="0.35">
      <c r="A2" s="188" t="s">
        <v>17</v>
      </c>
      <c r="B2" s="42" t="s">
        <v>115</v>
      </c>
      <c r="C2" s="202"/>
      <c r="D2" s="203"/>
      <c r="E2" s="42" t="s">
        <v>21</v>
      </c>
      <c r="F2" s="214"/>
      <c r="G2" s="215"/>
      <c r="H2" s="215"/>
      <c r="I2" s="216"/>
    </row>
    <row r="3" spans="1:9" ht="21" x14ac:dyDescent="0.35">
      <c r="A3" s="189" t="s">
        <v>18</v>
      </c>
      <c r="B3" s="43" t="s">
        <v>115</v>
      </c>
      <c r="C3" s="204"/>
      <c r="D3" s="205"/>
      <c r="E3" s="43" t="s">
        <v>21</v>
      </c>
      <c r="F3" s="211"/>
      <c r="G3" s="212"/>
      <c r="H3" s="212"/>
      <c r="I3" s="213"/>
    </row>
    <row r="4" spans="1:9" ht="21.75" thickBot="1" x14ac:dyDescent="0.4">
      <c r="A4" s="190" t="s">
        <v>22</v>
      </c>
      <c r="B4" s="178" t="s">
        <v>115</v>
      </c>
      <c r="C4" s="206"/>
      <c r="D4" s="207"/>
      <c r="E4" s="178" t="s">
        <v>21</v>
      </c>
      <c r="F4" s="208"/>
      <c r="G4" s="209"/>
      <c r="H4" s="209"/>
      <c r="I4" s="210"/>
    </row>
    <row r="5" spans="1:9" s="1" customFormat="1" ht="65.25" customHeight="1" thickBot="1" x14ac:dyDescent="0.3">
      <c r="A5" s="199" t="s">
        <v>37</v>
      </c>
      <c r="B5" s="200"/>
      <c r="C5" s="200"/>
      <c r="D5" s="200"/>
      <c r="E5" s="200"/>
      <c r="F5" s="200"/>
      <c r="G5" s="200"/>
      <c r="H5" s="200"/>
      <c r="I5" s="201"/>
    </row>
    <row r="6" spans="1:9" s="109" customFormat="1" ht="39" customHeight="1" x14ac:dyDescent="0.35">
      <c r="A6" s="75" t="s">
        <v>35</v>
      </c>
      <c r="B6" s="100" t="s">
        <v>7</v>
      </c>
      <c r="C6" s="64" t="s">
        <v>19</v>
      </c>
      <c r="D6" s="64" t="s">
        <v>75</v>
      </c>
      <c r="E6" s="156" t="s">
        <v>51</v>
      </c>
      <c r="F6" s="108" t="s">
        <v>78</v>
      </c>
    </row>
    <row r="7" spans="1:9" s="165" customFormat="1" ht="39" customHeight="1" x14ac:dyDescent="0.3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3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3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3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3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3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3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3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35">
      <c r="A15" s="160" t="s">
        <v>165</v>
      </c>
      <c r="B15" s="161"/>
      <c r="C15" s="162">
        <v>5.4</v>
      </c>
      <c r="D15" s="163" t="s">
        <v>127</v>
      </c>
      <c r="E15" s="164" t="s">
        <v>170</v>
      </c>
      <c r="F15" s="110"/>
    </row>
    <row r="16" spans="1:9" s="111" customFormat="1" ht="39" customHeight="1" x14ac:dyDescent="0.25">
      <c r="A16" s="160" t="s">
        <v>166</v>
      </c>
      <c r="B16" s="40"/>
      <c r="C16" s="105">
        <v>11</v>
      </c>
      <c r="D16" s="163" t="s">
        <v>127</v>
      </c>
      <c r="E16" s="164" t="s">
        <v>170</v>
      </c>
      <c r="F16" s="110"/>
    </row>
    <row r="17" spans="1:6" s="111" customFormat="1" ht="39" customHeight="1" x14ac:dyDescent="0.25">
      <c r="A17" s="160" t="s">
        <v>167</v>
      </c>
      <c r="B17" s="101"/>
      <c r="C17" s="105">
        <v>22</v>
      </c>
      <c r="D17" s="163" t="s">
        <v>127</v>
      </c>
      <c r="E17" s="164" t="s">
        <v>170</v>
      </c>
      <c r="F17" s="110"/>
    </row>
    <row r="18" spans="1:6" s="111" customFormat="1" ht="39" customHeight="1" x14ac:dyDescent="0.25">
      <c r="A18" s="160" t="s">
        <v>168</v>
      </c>
      <c r="B18" s="40"/>
      <c r="C18" s="105">
        <v>44</v>
      </c>
      <c r="D18" s="163" t="s">
        <v>127</v>
      </c>
      <c r="E18" s="164" t="s">
        <v>170</v>
      </c>
      <c r="F18" s="110"/>
    </row>
    <row r="19" spans="1:6" s="111" customFormat="1" ht="39" customHeight="1" x14ac:dyDescent="0.25">
      <c r="A19" s="160" t="s">
        <v>169</v>
      </c>
      <c r="B19" s="101"/>
      <c r="C19" s="105">
        <v>87</v>
      </c>
      <c r="D19" s="163" t="s">
        <v>127</v>
      </c>
      <c r="E19" s="164" t="s">
        <v>170</v>
      </c>
      <c r="F19" s="110"/>
    </row>
    <row r="20" spans="1:6" s="111"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25">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67"/>
      <c r="D35" s="115"/>
      <c r="E35" s="166"/>
      <c r="F35" s="110"/>
    </row>
    <row r="36" spans="1:6" s="111" customFormat="1" ht="39" customHeight="1" x14ac:dyDescent="0.25">
      <c r="A36"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9"/>
    </row>
    <row r="37" spans="1:6" s="111" customFormat="1" ht="39" customHeight="1" x14ac:dyDescent="0.25">
      <c r="A37"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1"/>
    </row>
    <row r="38" spans="1:6" s="111" customFormat="1" ht="39" customHeight="1" thickBot="1" x14ac:dyDescent="0.3">
      <c r="A38"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3" t="s">
        <v>123</v>
      </c>
      <c r="C38" s="174">
        <v>10</v>
      </c>
      <c r="D38" s="175" t="s">
        <v>127</v>
      </c>
      <c r="E38" s="176" t="s">
        <v>129</v>
      </c>
      <c r="F38" s="177"/>
    </row>
    <row r="39" spans="1:6" s="111" customFormat="1" ht="39" customHeight="1" x14ac:dyDescent="0.25">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Fadrozole-5,4µg/L + Testostérone</v>
      </c>
      <c r="B39" s="191">
        <f>B15</f>
        <v>0</v>
      </c>
      <c r="C39" s="195">
        <f t="shared" ref="C39:E39" si="0">C15</f>
        <v>5.4</v>
      </c>
      <c r="D39" s="195" t="str">
        <f t="shared" si="0"/>
        <v>µg/L</v>
      </c>
      <c r="E39" s="195" t="str">
        <f t="shared" si="0"/>
        <v>Fadrozole</v>
      </c>
      <c r="F39" s="112" t="s">
        <v>50</v>
      </c>
    </row>
    <row r="40" spans="1:6" s="111" customFormat="1" ht="39" customHeight="1" x14ac:dyDescent="0.2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Fadrozole-11µg/L + Testostérone</v>
      </c>
      <c r="B40" s="193">
        <f t="shared" ref="B40:E40" si="1">B16</f>
        <v>0</v>
      </c>
      <c r="C40" s="107">
        <f t="shared" si="1"/>
        <v>11</v>
      </c>
      <c r="D40" s="107" t="str">
        <f t="shared" si="1"/>
        <v>µg/L</v>
      </c>
      <c r="E40" s="107" t="str">
        <f t="shared" si="1"/>
        <v>Fadrozole</v>
      </c>
      <c r="F40" s="113" t="s">
        <v>50</v>
      </c>
    </row>
    <row r="41" spans="1:6" s="111" customFormat="1" ht="39" customHeight="1" x14ac:dyDescent="0.2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Fadrozole-22µg/L + Testostérone</v>
      </c>
      <c r="B41" s="193">
        <f t="shared" ref="B41:E41" si="2">B17</f>
        <v>0</v>
      </c>
      <c r="C41" s="107">
        <f t="shared" si="2"/>
        <v>22</v>
      </c>
      <c r="D41" s="107" t="str">
        <f t="shared" si="2"/>
        <v>µg/L</v>
      </c>
      <c r="E41" s="107" t="str">
        <f t="shared" si="2"/>
        <v>Fadrozole</v>
      </c>
      <c r="F41" s="113" t="s">
        <v>50</v>
      </c>
    </row>
    <row r="42" spans="1:6" s="111" customFormat="1" ht="39" customHeight="1" x14ac:dyDescent="0.2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Fadrozole-44µg/L + Testostérone</v>
      </c>
      <c r="B42" s="193">
        <f t="shared" ref="B42:E42" si="3">B18</f>
        <v>0</v>
      </c>
      <c r="C42" s="107">
        <f t="shared" si="3"/>
        <v>44</v>
      </c>
      <c r="D42" s="107" t="str">
        <f t="shared" si="3"/>
        <v>µg/L</v>
      </c>
      <c r="E42" s="107" t="str">
        <f t="shared" si="3"/>
        <v>Fadrozole</v>
      </c>
      <c r="F42" s="113" t="s">
        <v>50</v>
      </c>
    </row>
    <row r="43" spans="1:6" s="111" customFormat="1" ht="39" customHeight="1" x14ac:dyDescent="0.2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Fadrozole-87µg/L + Testostérone</v>
      </c>
      <c r="B43" s="193">
        <f t="shared" ref="B43:E43" si="4">B19</f>
        <v>0</v>
      </c>
      <c r="C43" s="107">
        <f t="shared" si="4"/>
        <v>87</v>
      </c>
      <c r="D43" s="107" t="str">
        <f t="shared" si="4"/>
        <v>µg/L</v>
      </c>
      <c r="E43" s="107" t="str">
        <f t="shared" si="4"/>
        <v>Fadrozole</v>
      </c>
      <c r="F43" s="113" t="s">
        <v>50</v>
      </c>
    </row>
    <row r="44" spans="1:6" s="111" customFormat="1" ht="39" customHeight="1" x14ac:dyDescent="0.2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2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2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2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2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2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2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2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2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2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2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2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2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2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2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152</v>
      </c>
      <c r="B2" t="s">
        <v>163</v>
      </c>
      <c r="C2" t="s">
        <v>143</v>
      </c>
      <c r="D2" t="s">
        <v>146</v>
      </c>
      <c r="E2" t="s">
        <v>147</v>
      </c>
      <c r="F2" t="s">
        <v>112</v>
      </c>
      <c r="G2">
        <v>360268</v>
      </c>
    </row>
    <row r="3" spans="1:9" x14ac:dyDescent="0.25">
      <c r="A3" t="s">
        <v>152</v>
      </c>
      <c r="B3" t="s">
        <v>163</v>
      </c>
      <c r="C3" t="s">
        <v>144</v>
      </c>
      <c r="D3" t="s">
        <v>148</v>
      </c>
      <c r="E3" t="s">
        <v>149</v>
      </c>
      <c r="F3" t="s">
        <v>112</v>
      </c>
      <c r="G3">
        <v>372315</v>
      </c>
    </row>
    <row r="4" spans="1:9" x14ac:dyDescent="0.25">
      <c r="A4" t="s">
        <v>152</v>
      </c>
      <c r="B4" t="s">
        <v>163</v>
      </c>
      <c r="C4" t="s">
        <v>145</v>
      </c>
      <c r="D4" t="s">
        <v>150</v>
      </c>
      <c r="E4" t="s">
        <v>151</v>
      </c>
      <c r="F4" t="s">
        <v>112</v>
      </c>
      <c r="G4">
        <v>237626</v>
      </c>
    </row>
    <row r="5" spans="1:9" x14ac:dyDescent="0.25">
      <c r="A5" t="s">
        <v>152</v>
      </c>
      <c r="B5" t="s">
        <v>163</v>
      </c>
      <c r="C5" t="s">
        <v>160</v>
      </c>
      <c r="D5" t="s">
        <v>161</v>
      </c>
      <c r="E5" t="s">
        <v>162</v>
      </c>
      <c r="F5" t="s">
        <v>112</v>
      </c>
      <c r="G5">
        <v>1439015</v>
      </c>
    </row>
    <row r="6" spans="1:9" x14ac:dyDescent="0.25">
      <c r="A6" t="s">
        <v>152</v>
      </c>
      <c r="B6" t="s">
        <v>163</v>
      </c>
      <c r="C6" t="s">
        <v>157</v>
      </c>
      <c r="D6" t="s">
        <v>158</v>
      </c>
      <c r="E6" t="s">
        <v>159</v>
      </c>
      <c r="F6" t="s">
        <v>112</v>
      </c>
      <c r="G6">
        <v>1433586</v>
      </c>
    </row>
    <row r="7" spans="1:9" x14ac:dyDescent="0.25">
      <c r="A7" t="s">
        <v>152</v>
      </c>
      <c r="B7" t="s">
        <v>163</v>
      </c>
      <c r="C7" t="s">
        <v>154</v>
      </c>
      <c r="D7" t="s">
        <v>155</v>
      </c>
      <c r="E7" t="s">
        <v>156</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G1" zoomScale="70" zoomScaleNormal="70" workbookViewId="0">
      <selection activeCell="Z5" sqref="Z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1530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171</v>
      </c>
      <c r="D2" s="1" t="s">
        <v>172</v>
      </c>
      <c r="E2" s="1" t="s">
        <v>173</v>
      </c>
      <c r="F2" s="1" t="s">
        <v>112</v>
      </c>
      <c r="G2" s="1">
        <v>118813</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174</v>
      </c>
      <c r="D3" s="1" t="s">
        <v>175</v>
      </c>
      <c r="E3" s="1" t="s">
        <v>176</v>
      </c>
      <c r="F3" s="1" t="s">
        <v>112</v>
      </c>
      <c r="G3" s="1">
        <v>20613</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177</v>
      </c>
      <c r="D4" s="1" t="s">
        <v>178</v>
      </c>
      <c r="E4" s="1" t="s">
        <v>179</v>
      </c>
      <c r="F4" s="1" t="s">
        <v>112</v>
      </c>
      <c r="G4" s="1">
        <v>25848</v>
      </c>
      <c r="K4" s="118" t="s">
        <v>100</v>
      </c>
      <c r="L4" s="1" t="s">
        <v>1531</v>
      </c>
      <c r="M4" s="1" t="s">
        <v>1532</v>
      </c>
      <c r="N4" s="1" t="s">
        <v>1533</v>
      </c>
      <c r="O4" s="1" t="s">
        <v>1534</v>
      </c>
      <c r="P4" s="1" t="s">
        <v>1535</v>
      </c>
      <c r="Q4" s="1" t="s">
        <v>1536</v>
      </c>
      <c r="R4" s="1" t="s">
        <v>1537</v>
      </c>
      <c r="S4" s="1" t="s">
        <v>1538</v>
      </c>
      <c r="T4" s="1" t="s">
        <v>1539</v>
      </c>
      <c r="U4" s="1" t="s">
        <v>1540</v>
      </c>
      <c r="V4" s="1" t="s">
        <v>1541</v>
      </c>
      <c r="W4" s="1" t="s">
        <v>1542</v>
      </c>
      <c r="X4" s="1" t="s">
        <v>1543</v>
      </c>
      <c r="Y4" s="1" t="s">
        <v>1544</v>
      </c>
      <c r="Z4" s="1" t="s">
        <v>1545</v>
      </c>
      <c r="AA4" s="1" t="s">
        <v>1546</v>
      </c>
      <c r="AB4" s="1" t="s">
        <v>1547</v>
      </c>
      <c r="AC4" s="1" t="s">
        <v>1548</v>
      </c>
      <c r="AD4" s="1" t="s">
        <v>1549</v>
      </c>
      <c r="AE4" s="1" t="s">
        <v>1550</v>
      </c>
      <c r="AF4" s="1" t="s">
        <v>1551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180</v>
      </c>
      <c r="K5" s="145" t="s">
        <v>163</v>
      </c>
      <c r="L5" s="44">
        <v>55091.333333333336</v>
      </c>
      <c r="M5" s="44">
        <v>122403.66666666667</v>
      </c>
      <c r="N5" s="44">
        <v>799138</v>
      </c>
      <c r="O5" s="44">
        <v>233473</v>
      </c>
      <c r="P5" s="44">
        <v>1460796.3333333333</v>
      </c>
      <c r="Q5" s="44">
        <v>2379281.3333333335</v>
      </c>
      <c r="R5" s="44">
        <v>1615428.6666666667</v>
      </c>
      <c r="S5" s="44">
        <v>441105.66666666669</v>
      </c>
      <c r="T5" s="44">
        <v>26049.333333333332</v>
      </c>
      <c r="U5" s="44">
        <v>83779.666666666672</v>
      </c>
      <c r="V5" s="44">
        <v>282090</v>
      </c>
      <c r="W5" s="44">
        <v>18933.666666666668</v>
      </c>
      <c r="X5" s="44">
        <v>2006064.3333333333</v>
      </c>
      <c r="Y5" s="44">
        <v>3000174.3333333335</v>
      </c>
      <c r="Z5" s="44">
        <v>3273280.6666666665</v>
      </c>
      <c r="AA5" s="44">
        <v>117767.33333333333</v>
      </c>
      <c r="AB5" s="44">
        <v>95496</v>
      </c>
      <c r="AC5" s="44">
        <v>1023105</v>
      </c>
      <c r="AD5" s="44">
        <v>20707</v>
      </c>
      <c r="AE5" s="44">
        <v>300893.33333333331</v>
      </c>
      <c r="AF5" s="44">
        <v>28681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181</v>
      </c>
      <c r="D6" s="1" t="s">
        <v>182</v>
      </c>
      <c r="E6" s="1" t="s">
        <v>183</v>
      </c>
      <c r="F6" s="1" t="s">
        <v>112</v>
      </c>
      <c r="G6" s="1">
        <v>704486</v>
      </c>
      <c r="K6" s="145" t="s">
        <v>1552</v>
      </c>
      <c r="L6" s="44">
        <v>704486</v>
      </c>
      <c r="M6" s="44">
        <v>164351</v>
      </c>
      <c r="N6" s="44">
        <v>54356</v>
      </c>
      <c r="O6" s="44">
        <v>154170.66666666666</v>
      </c>
      <c r="P6" s="44">
        <v>977490.66666666663</v>
      </c>
      <c r="Q6" s="44">
        <v>3431225.5</v>
      </c>
      <c r="R6" s="44">
        <v>2656519</v>
      </c>
      <c r="S6" s="44">
        <v>892348.66666666663</v>
      </c>
      <c r="T6" s="44">
        <v>141675.66666666666</v>
      </c>
      <c r="U6" s="44">
        <v>112987.33333333333</v>
      </c>
      <c r="V6" s="44">
        <v>56894</v>
      </c>
      <c r="W6" s="44">
        <v>642833.33333333337</v>
      </c>
      <c r="X6" s="44">
        <v>2663498</v>
      </c>
      <c r="Y6" s="44">
        <v>2126932.3333333335</v>
      </c>
      <c r="Z6" s="44">
        <v>2818591.6666666665</v>
      </c>
      <c r="AA6" s="44">
        <v>380578.33333333331</v>
      </c>
      <c r="AB6" s="44">
        <v>65373</v>
      </c>
      <c r="AC6" s="44">
        <v>384305.33333333331</v>
      </c>
      <c r="AD6" s="44">
        <v>305255.33333333331</v>
      </c>
      <c r="AE6" s="44">
        <v>127659.66666666667</v>
      </c>
      <c r="AF6" s="44">
        <v>137025.66666666666</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184</v>
      </c>
      <c r="K7" s="145" t="s">
        <v>1553</v>
      </c>
      <c r="L7" s="44">
        <v>15768</v>
      </c>
      <c r="M7" s="44">
        <v>11514.333333333334</v>
      </c>
      <c r="N7" s="44"/>
      <c r="O7" s="44">
        <v>223956</v>
      </c>
      <c r="P7" s="44">
        <v>720838</v>
      </c>
      <c r="Q7" s="44">
        <v>1204532.6666666667</v>
      </c>
      <c r="R7" s="44">
        <v>3288998.6666666665</v>
      </c>
      <c r="S7" s="44">
        <v>232983</v>
      </c>
      <c r="T7" s="44">
        <v>99627.333333333328</v>
      </c>
      <c r="U7" s="44">
        <v>95042</v>
      </c>
      <c r="V7" s="44">
        <v>390102.33333333331</v>
      </c>
      <c r="W7" s="44">
        <v>25444</v>
      </c>
      <c r="X7" s="44">
        <v>2338847.6666666665</v>
      </c>
      <c r="Y7" s="44">
        <v>1271384</v>
      </c>
      <c r="Z7" s="44">
        <v>2550409.6666666665</v>
      </c>
      <c r="AA7" s="44">
        <v>109461.66666666667</v>
      </c>
      <c r="AB7" s="44">
        <v>61356.666666666664</v>
      </c>
      <c r="AC7" s="44">
        <v>54723.333333333336</v>
      </c>
      <c r="AD7" s="44">
        <v>27996.666666666668</v>
      </c>
      <c r="AE7" s="44">
        <v>28825.666666666668</v>
      </c>
      <c r="AF7" s="44">
        <v>131668.66666666666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185</v>
      </c>
      <c r="D8" s="1" t="s">
        <v>186</v>
      </c>
      <c r="E8" s="1" t="s">
        <v>187</v>
      </c>
      <c r="F8" s="1" t="s">
        <v>112</v>
      </c>
      <c r="G8" s="1">
        <v>18861</v>
      </c>
      <c r="K8" s="145" t="s">
        <v>1554</v>
      </c>
      <c r="L8" s="44">
        <v>361392</v>
      </c>
      <c r="M8" s="44">
        <v>48721</v>
      </c>
      <c r="N8" s="44">
        <v>119123.33333333333</v>
      </c>
      <c r="O8" s="44">
        <v>420146</v>
      </c>
      <c r="P8" s="44">
        <v>1533451.6666666667</v>
      </c>
      <c r="Q8" s="44">
        <v>3600764.6666666665</v>
      </c>
      <c r="R8" s="44">
        <v>5573209</v>
      </c>
      <c r="S8" s="44">
        <v>459628</v>
      </c>
      <c r="T8" s="44">
        <v>234432</v>
      </c>
      <c r="U8" s="44">
        <v>68999.333333333328</v>
      </c>
      <c r="V8" s="44">
        <v>208836.66666666666</v>
      </c>
      <c r="W8" s="44">
        <v>8176</v>
      </c>
      <c r="X8" s="44">
        <v>3094012.3333333335</v>
      </c>
      <c r="Y8" s="44">
        <v>2780270.6666666665</v>
      </c>
      <c r="Z8" s="44">
        <v>1462765</v>
      </c>
      <c r="AA8" s="44">
        <v>67002.333333333328</v>
      </c>
      <c r="AB8" s="44">
        <v>181092.66666666666</v>
      </c>
      <c r="AC8" s="44">
        <v>648832</v>
      </c>
      <c r="AD8" s="44">
        <v>40282</v>
      </c>
      <c r="AE8" s="44">
        <v>11885.5</v>
      </c>
      <c r="AF8" s="44">
        <v>14593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188</v>
      </c>
      <c r="D9" s="1" t="s">
        <v>189</v>
      </c>
      <c r="E9" s="1" t="s">
        <v>190</v>
      </c>
      <c r="F9" s="1" t="s">
        <v>112</v>
      </c>
      <c r="G9" s="1">
        <v>22733</v>
      </c>
      <c r="K9" s="145" t="s">
        <v>1555</v>
      </c>
      <c r="L9" s="44">
        <v>159124</v>
      </c>
      <c r="M9" s="44">
        <v>464884</v>
      </c>
      <c r="N9" s="44">
        <v>54637.333333333336</v>
      </c>
      <c r="O9" s="44">
        <v>3503488</v>
      </c>
      <c r="P9" s="44">
        <v>1944664.3333333333</v>
      </c>
      <c r="Q9" s="44">
        <v>2509212</v>
      </c>
      <c r="R9" s="44">
        <v>2539014.5</v>
      </c>
      <c r="S9" s="44">
        <v>69107.333333333328</v>
      </c>
      <c r="T9" s="44">
        <v>31875.666666666668</v>
      </c>
      <c r="U9" s="44">
        <v>226648.5</v>
      </c>
      <c r="V9" s="44">
        <v>154401.33333333334</v>
      </c>
      <c r="W9" s="44">
        <v>749223.33333333337</v>
      </c>
      <c r="X9" s="44">
        <v>598146</v>
      </c>
      <c r="Y9" s="44">
        <v>966524.33333333337</v>
      </c>
      <c r="Z9" s="44">
        <v>2815138</v>
      </c>
      <c r="AA9" s="44">
        <v>77860.333333333328</v>
      </c>
      <c r="AB9" s="44">
        <v>16215.333333333334</v>
      </c>
      <c r="AC9" s="44">
        <v>381248.66666666669</v>
      </c>
      <c r="AD9" s="44">
        <v>21370.333333333332</v>
      </c>
      <c r="AE9" s="44">
        <v>35019</v>
      </c>
      <c r="AF9" s="44">
        <v>41601.666666666664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191</v>
      </c>
      <c r="D10" s="1" t="s">
        <v>192</v>
      </c>
      <c r="E10" s="1">
        <v>66</v>
      </c>
      <c r="F10" s="1" t="s">
        <v>112</v>
      </c>
      <c r="G10" s="1">
        <v>5710</v>
      </c>
      <c r="K10" s="145" t="s">
        <v>1556</v>
      </c>
      <c r="L10" s="44">
        <v>83729.333333333328</v>
      </c>
      <c r="M10" s="44">
        <v>35927</v>
      </c>
      <c r="N10" s="44">
        <v>266992.33333333331</v>
      </c>
      <c r="O10" s="44">
        <v>113232.33333333333</v>
      </c>
      <c r="P10" s="44">
        <v>999964.33333333337</v>
      </c>
      <c r="Q10" s="44">
        <v>1181338.3333333333</v>
      </c>
      <c r="R10" s="44">
        <v>4952135.666666667</v>
      </c>
      <c r="S10" s="44">
        <v>123442</v>
      </c>
      <c r="T10" s="44">
        <v>239882.66666666666</v>
      </c>
      <c r="U10" s="44">
        <v>262104</v>
      </c>
      <c r="V10" s="44">
        <v>450449.66666666669</v>
      </c>
      <c r="W10" s="44">
        <v>111711.33333333333</v>
      </c>
      <c r="X10" s="44">
        <v>2131374</v>
      </c>
      <c r="Y10" s="44">
        <v>82950.666666666672</v>
      </c>
      <c r="Z10" s="44">
        <v>880344</v>
      </c>
      <c r="AA10" s="44">
        <v>237597</v>
      </c>
      <c r="AB10" s="44">
        <v>87997.333333333328</v>
      </c>
      <c r="AC10" s="44">
        <v>17556.333333333332</v>
      </c>
      <c r="AD10" s="44">
        <v>110276.33333333333</v>
      </c>
      <c r="AE10" s="44">
        <v>70874</v>
      </c>
      <c r="AF10" s="44">
        <v>104119.33333333333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193</v>
      </c>
      <c r="D11" s="1" t="s">
        <v>194</v>
      </c>
      <c r="E11" s="1" t="s">
        <v>195</v>
      </c>
      <c r="F11" s="1" t="s">
        <v>112</v>
      </c>
      <c r="G11" s="1">
        <v>525087</v>
      </c>
      <c r="K11" s="145" t="s">
        <v>1557</v>
      </c>
      <c r="L11" s="44">
        <v>154257.33333333334</v>
      </c>
      <c r="M11" s="44">
        <v>71479.666666666672</v>
      </c>
      <c r="N11" s="44">
        <v>16063.666666666666</v>
      </c>
      <c r="O11" s="44">
        <v>690405</v>
      </c>
      <c r="P11" s="44">
        <v>343360</v>
      </c>
      <c r="Q11" s="44">
        <v>905067</v>
      </c>
      <c r="R11" s="44">
        <v>3806731.6666666665</v>
      </c>
      <c r="S11" s="44">
        <v>1035149</v>
      </c>
      <c r="T11" s="44">
        <v>36597.666666666664</v>
      </c>
      <c r="U11" s="44">
        <v>17210.333333333332</v>
      </c>
      <c r="V11" s="44">
        <v>42964</v>
      </c>
      <c r="W11" s="44">
        <v>59554</v>
      </c>
      <c r="X11" s="44">
        <v>3235212</v>
      </c>
      <c r="Y11" s="44">
        <v>1199947</v>
      </c>
      <c r="Z11" s="44"/>
      <c r="AA11" s="44">
        <v>33093.666666666664</v>
      </c>
      <c r="AB11" s="44">
        <v>138864</v>
      </c>
      <c r="AC11" s="44">
        <v>345717.66666666669</v>
      </c>
      <c r="AD11" s="44">
        <v>26828.666666666668</v>
      </c>
      <c r="AE11" s="44">
        <v>24052.5</v>
      </c>
      <c r="AF11" s="44">
        <v>33749.666666666664</v>
      </c>
      <c r="AG11"/>
    </row>
    <row r="12" spans="1:144" x14ac:dyDescent="0.25">
      <c r="A12" s="1" t="str">
        <f t="shared" si="0"/>
        <v>01 Evian + 0.2% DMSO</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196</v>
      </c>
      <c r="D12" s="1" t="s">
        <v>197</v>
      </c>
      <c r="E12" s="1" t="s">
        <v>198</v>
      </c>
      <c r="F12" s="1" t="s">
        <v>112</v>
      </c>
      <c r="G12" s="1">
        <v>332884</v>
      </c>
      <c r="K12" s="145" t="s">
        <v>1558</v>
      </c>
      <c r="L12" s="44">
        <v>57910.666666666664</v>
      </c>
      <c r="M12" s="44">
        <v>422316.66666666669</v>
      </c>
      <c r="N12" s="44">
        <v>54085.5</v>
      </c>
      <c r="O12" s="44"/>
      <c r="P12" s="44">
        <v>920546.66666666663</v>
      </c>
      <c r="Q12" s="44">
        <v>155540.33333333334</v>
      </c>
      <c r="R12" s="44">
        <v>3817921.6666666665</v>
      </c>
      <c r="S12" s="44">
        <v>714565.33333333337</v>
      </c>
      <c r="T12" s="44">
        <v>299217</v>
      </c>
      <c r="U12" s="44">
        <v>219565.33333333334</v>
      </c>
      <c r="V12" s="44"/>
      <c r="W12" s="44">
        <v>174877.66666666666</v>
      </c>
      <c r="X12" s="44">
        <v>1777371.5</v>
      </c>
      <c r="Y12" s="44">
        <v>194961</v>
      </c>
      <c r="Z12" s="44"/>
      <c r="AA12" s="44">
        <v>358256</v>
      </c>
      <c r="AB12" s="44">
        <v>29806</v>
      </c>
      <c r="AC12" s="44">
        <v>34507</v>
      </c>
      <c r="AD12" s="44">
        <v>13785.333333333334</v>
      </c>
      <c r="AE12" s="44">
        <v>90773.333333333328</v>
      </c>
      <c r="AF12" s="44">
        <v>14658</v>
      </c>
      <c r="AG12"/>
    </row>
    <row r="13" spans="1:144" x14ac:dyDescent="0.25">
      <c r="A13" s="1" t="str">
        <f t="shared" si="0"/>
        <v>01 Evian + 0.2% DMSO</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199</v>
      </c>
      <c r="D13" s="1" t="s">
        <v>200</v>
      </c>
      <c r="E13" s="1" t="s">
        <v>201</v>
      </c>
      <c r="F13" s="1" t="s">
        <v>112</v>
      </c>
      <c r="G13" s="1">
        <v>226205</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202</v>
      </c>
      <c r="D14" s="1" t="s">
        <v>203</v>
      </c>
      <c r="E14" s="1" t="s">
        <v>204</v>
      </c>
      <c r="F14" s="1" t="s">
        <v>112</v>
      </c>
      <c r="G14" s="1">
        <v>266805</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205</v>
      </c>
      <c r="D15" s="1" t="s">
        <v>206</v>
      </c>
      <c r="E15" s="1">
        <v>64</v>
      </c>
      <c r="F15" s="1" t="s">
        <v>112</v>
      </c>
      <c r="G15" s="1">
        <v>8306</v>
      </c>
    </row>
    <row r="16" spans="1:144" x14ac:dyDescent="0.25">
      <c r="A16" s="1" t="str">
        <f t="shared" si="0"/>
        <v>01 Evian + 0.2% DMSO</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207</v>
      </c>
      <c r="D16" s="1" t="s">
        <v>208</v>
      </c>
      <c r="E16" s="1" t="s">
        <v>209</v>
      </c>
      <c r="F16" s="1" t="s">
        <v>112</v>
      </c>
      <c r="G16" s="1">
        <v>202261</v>
      </c>
      <c r="M16"/>
      <c r="N16"/>
      <c r="O16"/>
      <c r="P16"/>
      <c r="Q16"/>
      <c r="R16"/>
      <c r="S16"/>
      <c r="T16"/>
      <c r="U16"/>
      <c r="V16"/>
      <c r="W16"/>
      <c r="X16"/>
      <c r="Y16"/>
      <c r="Z16"/>
      <c r="AA16"/>
      <c r="AB16"/>
      <c r="AC16"/>
      <c r="AD16"/>
      <c r="AE16"/>
      <c r="AF16"/>
      <c r="AG16"/>
      <c r="AH16"/>
    </row>
    <row r="17" spans="1:34" x14ac:dyDescent="0.25">
      <c r="A17" s="1" t="str">
        <f t="shared" si="0"/>
        <v>01 Evian + 0.2% DMSO</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210</v>
      </c>
      <c r="D17" s="1" t="s">
        <v>211</v>
      </c>
      <c r="E17" s="1" t="s">
        <v>212</v>
      </c>
      <c r="F17" s="1" t="s">
        <v>112</v>
      </c>
      <c r="G17" s="1">
        <v>177235</v>
      </c>
      <c r="M17"/>
      <c r="N17"/>
      <c r="O17"/>
      <c r="P17"/>
      <c r="Q17"/>
      <c r="R17"/>
      <c r="S17"/>
      <c r="T17"/>
      <c r="U17"/>
      <c r="V17"/>
      <c r="W17"/>
      <c r="X17"/>
      <c r="Y17"/>
      <c r="Z17"/>
      <c r="AA17"/>
      <c r="AB17"/>
      <c r="AC17"/>
      <c r="AD17"/>
      <c r="AE17"/>
      <c r="AF17"/>
      <c r="AG17"/>
      <c r="AH17"/>
    </row>
    <row r="18" spans="1:34" x14ac:dyDescent="0.25">
      <c r="A18" s="1" t="str">
        <f t="shared" si="0"/>
        <v>01 Evian + 0.2% DMSO</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213</v>
      </c>
      <c r="D18" s="1" t="s">
        <v>214</v>
      </c>
      <c r="E18" s="1" t="s">
        <v>215</v>
      </c>
      <c r="F18" s="1" t="s">
        <v>112</v>
      </c>
      <c r="G18" s="1">
        <v>41097</v>
      </c>
      <c r="M18"/>
      <c r="N18"/>
      <c r="O18"/>
      <c r="P18"/>
      <c r="Q18"/>
      <c r="R18"/>
      <c r="S18"/>
      <c r="T18"/>
      <c r="U18"/>
      <c r="V18"/>
      <c r="W18"/>
      <c r="X18"/>
      <c r="Y18"/>
      <c r="Z18"/>
      <c r="AA18"/>
      <c r="AB18"/>
      <c r="AC18"/>
      <c r="AD18"/>
      <c r="AE18"/>
      <c r="AF18"/>
      <c r="AG18"/>
      <c r="AH18"/>
    </row>
    <row r="19" spans="1:34" x14ac:dyDescent="0.25">
      <c r="A19" s="1" t="str">
        <f t="shared" si="0"/>
        <v>01 Evian + 0.2% DMSO</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216</v>
      </c>
      <c r="D19" s="1" t="s">
        <v>217</v>
      </c>
      <c r="E19" s="1" t="s">
        <v>218</v>
      </c>
      <c r="F19" s="1" t="s">
        <v>112</v>
      </c>
      <c r="G19" s="1">
        <v>32856</v>
      </c>
      <c r="K19"/>
      <c r="L19"/>
      <c r="M19"/>
      <c r="N19"/>
      <c r="O19"/>
      <c r="P19"/>
      <c r="Q19"/>
      <c r="R19"/>
      <c r="S19"/>
      <c r="T19"/>
      <c r="U19"/>
      <c r="V19"/>
      <c r="W19"/>
      <c r="X19"/>
      <c r="Y19"/>
      <c r="Z19"/>
      <c r="AA19"/>
      <c r="AB19"/>
      <c r="AC19"/>
      <c r="AD19"/>
      <c r="AE19"/>
      <c r="AF19"/>
      <c r="AG19"/>
      <c r="AH19"/>
    </row>
    <row r="20" spans="1:34" x14ac:dyDescent="0.25">
      <c r="A20" s="1" t="str">
        <f t="shared" si="0"/>
        <v>01 Evian + 0.2% DMSO</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219</v>
      </c>
      <c r="D20" s="1" t="s">
        <v>220</v>
      </c>
      <c r="E20" s="1" t="s">
        <v>221</v>
      </c>
      <c r="F20" s="1" t="s">
        <v>112</v>
      </c>
      <c r="G20" s="1">
        <v>215650</v>
      </c>
      <c r="K20"/>
      <c r="L20"/>
      <c r="M20"/>
      <c r="N20"/>
      <c r="O20"/>
      <c r="P20"/>
      <c r="Q20"/>
      <c r="R20"/>
      <c r="S20"/>
      <c r="T20"/>
      <c r="U20"/>
      <c r="V20"/>
      <c r="W20"/>
      <c r="X20"/>
      <c r="Y20"/>
      <c r="Z20"/>
      <c r="AA20"/>
      <c r="AB20"/>
      <c r="AC20"/>
      <c r="AD20"/>
      <c r="AE20"/>
      <c r="AF20"/>
      <c r="AG20"/>
      <c r="AH20"/>
    </row>
    <row r="21" spans="1:34" x14ac:dyDescent="0.25">
      <c r="A21" s="1" t="str">
        <f t="shared" si="0"/>
        <v>01 Evian + 0.2% DMSO</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222</v>
      </c>
      <c r="D21" s="1" t="s">
        <v>223</v>
      </c>
      <c r="E21" s="1" t="s">
        <v>224</v>
      </c>
      <c r="F21" s="1" t="s">
        <v>112</v>
      </c>
      <c r="G21" s="1">
        <v>226703</v>
      </c>
      <c r="K21"/>
      <c r="L21"/>
      <c r="M21"/>
      <c r="N21"/>
      <c r="O21"/>
      <c r="P21"/>
      <c r="Q21"/>
      <c r="R21"/>
      <c r="S21"/>
      <c r="T21"/>
      <c r="U21"/>
      <c r="V21"/>
      <c r="W21"/>
      <c r="X21"/>
      <c r="Y21"/>
      <c r="Z21"/>
      <c r="AA21"/>
      <c r="AB21"/>
      <c r="AC21"/>
      <c r="AD21"/>
      <c r="AE21"/>
      <c r="AF21"/>
      <c r="AG21"/>
      <c r="AH21"/>
    </row>
    <row r="22" spans="1:34" x14ac:dyDescent="0.25">
      <c r="A22" s="1" t="str">
        <f t="shared" si="0"/>
        <v>01 Evian + 0.2% DMSO</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225</v>
      </c>
      <c r="D22" s="1" t="s">
        <v>175</v>
      </c>
      <c r="E22" s="1" t="s">
        <v>226</v>
      </c>
      <c r="F22" s="1" t="s">
        <v>112</v>
      </c>
      <c r="G22" s="1">
        <v>20419</v>
      </c>
      <c r="K22"/>
      <c r="L22"/>
      <c r="M22"/>
      <c r="N22"/>
      <c r="O22"/>
      <c r="P22"/>
      <c r="Q22"/>
      <c r="R22"/>
      <c r="S22"/>
      <c r="T22"/>
      <c r="U22"/>
      <c r="V22"/>
      <c r="W22"/>
      <c r="X22"/>
      <c r="Y22"/>
      <c r="Z22"/>
      <c r="AA22"/>
      <c r="AB22"/>
      <c r="AC22"/>
      <c r="AD22"/>
      <c r="AE22"/>
      <c r="AF22"/>
      <c r="AG22"/>
      <c r="AH22"/>
    </row>
    <row r="23" spans="1:34" x14ac:dyDescent="0.25">
      <c r="A23" s="1" t="str">
        <f t="shared" si="0"/>
        <v>01 Evian + 0.2% DMSO</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227</v>
      </c>
      <c r="D23" s="1" t="s">
        <v>228</v>
      </c>
      <c r="E23" s="1" t="s">
        <v>229</v>
      </c>
      <c r="F23" s="1" t="s">
        <v>112</v>
      </c>
      <c r="G23" s="1">
        <v>40989</v>
      </c>
      <c r="K23"/>
      <c r="L23"/>
      <c r="M23"/>
      <c r="N23"/>
      <c r="O23"/>
      <c r="P23"/>
      <c r="Q23"/>
      <c r="R23"/>
      <c r="S23"/>
      <c r="T23"/>
      <c r="U23"/>
      <c r="V23"/>
      <c r="W23"/>
      <c r="X23"/>
      <c r="Y23"/>
      <c r="Z23"/>
      <c r="AA23"/>
      <c r="AB23"/>
      <c r="AC23"/>
      <c r="AD23"/>
      <c r="AE23"/>
      <c r="AF23"/>
      <c r="AG23"/>
      <c r="AH23"/>
    </row>
    <row r="24" spans="1:34" x14ac:dyDescent="0.25">
      <c r="A24" s="1" t="str">
        <f t="shared" si="0"/>
        <v>01 Evian + 0.2% DMSO</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230</v>
      </c>
      <c r="D24" s="1" t="s">
        <v>231</v>
      </c>
      <c r="E24" s="1" t="s">
        <v>232</v>
      </c>
      <c r="F24" s="1" t="s">
        <v>112</v>
      </c>
      <c r="G24" s="1">
        <v>90413</v>
      </c>
      <c r="K24"/>
      <c r="L24"/>
      <c r="M24"/>
      <c r="N24"/>
      <c r="O24"/>
      <c r="P24"/>
      <c r="Q24"/>
      <c r="R24"/>
      <c r="S24"/>
      <c r="T24"/>
      <c r="U24"/>
      <c r="V24"/>
      <c r="W24"/>
      <c r="X24"/>
      <c r="Y24"/>
      <c r="Z24"/>
      <c r="AA24"/>
      <c r="AB24"/>
      <c r="AC24"/>
      <c r="AD24"/>
      <c r="AE24"/>
      <c r="AF24"/>
      <c r="AG24"/>
      <c r="AH24"/>
    </row>
    <row r="25" spans="1:34" x14ac:dyDescent="0.25">
      <c r="A25" s="1" t="str">
        <f t="shared" si="0"/>
        <v>01 Evian + 0.2% DMSO</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233</v>
      </c>
      <c r="D25" s="1" t="s">
        <v>234</v>
      </c>
      <c r="E25" s="1" t="s">
        <v>235</v>
      </c>
      <c r="F25" s="1" t="s">
        <v>112</v>
      </c>
      <c r="G25" s="1">
        <v>42330</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236</v>
      </c>
      <c r="D27" s="1" t="s">
        <v>112</v>
      </c>
      <c r="E27" s="1" t="s">
        <v>237</v>
      </c>
      <c r="F27" s="1" t="s">
        <v>238</v>
      </c>
      <c r="G27" s="1" t="s">
        <v>239</v>
      </c>
      <c r="H27" s="1" t="s">
        <v>240</v>
      </c>
      <c r="I27" s="1" t="s">
        <v>241</v>
      </c>
      <c r="J27" s="1" t="s">
        <v>242</v>
      </c>
      <c r="K27"/>
      <c r="L27"/>
      <c r="M27"/>
      <c r="N27"/>
      <c r="O27"/>
      <c r="P27"/>
      <c r="Q27"/>
      <c r="R27"/>
      <c r="S27"/>
      <c r="T27"/>
      <c r="U27"/>
      <c r="V27"/>
      <c r="W27"/>
      <c r="X27"/>
      <c r="Y27"/>
      <c r="Z27"/>
      <c r="AA27"/>
      <c r="AB27"/>
      <c r="AC27"/>
      <c r="AD27"/>
      <c r="AE27"/>
      <c r="AF27"/>
      <c r="AG27"/>
      <c r="AH27"/>
    </row>
    <row r="28" spans="1:34" x14ac:dyDescent="0.25">
      <c r="A28" s="1" t="str">
        <f t="shared" si="0"/>
        <v>01 Evian + 0.2% DMSO</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243</v>
      </c>
      <c r="D28" s="1" t="s">
        <v>112</v>
      </c>
      <c r="E28" s="1" t="s">
        <v>244</v>
      </c>
      <c r="F28" s="1" t="s">
        <v>245</v>
      </c>
      <c r="G28" s="1" t="s">
        <v>246</v>
      </c>
      <c r="H28" s="1" t="s">
        <v>247</v>
      </c>
      <c r="I28" s="1">
        <v>24</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248</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249</v>
      </c>
      <c r="D35" s="1" t="s">
        <v>250</v>
      </c>
      <c r="E35" s="1" t="s">
        <v>251</v>
      </c>
      <c r="F35" s="1" t="s">
        <v>112</v>
      </c>
      <c r="G35" s="1">
        <v>85179</v>
      </c>
      <c r="K35"/>
      <c r="L35"/>
      <c r="M35"/>
      <c r="N35"/>
      <c r="O35"/>
      <c r="P35"/>
      <c r="Q35"/>
      <c r="R35"/>
      <c r="S35"/>
      <c r="T35"/>
      <c r="U35"/>
      <c r="V35"/>
      <c r="W35"/>
      <c r="X35"/>
      <c r="Y35"/>
      <c r="Z35"/>
      <c r="AA35"/>
      <c r="AB35"/>
      <c r="AC35"/>
      <c r="AD35"/>
      <c r="AE35"/>
      <c r="AF35"/>
      <c r="AG35"/>
      <c r="AH35"/>
    </row>
    <row r="36" spans="1:34" x14ac:dyDescent="0.25">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252</v>
      </c>
      <c r="D36" s="1" t="s">
        <v>253</v>
      </c>
      <c r="E36" s="1" t="s">
        <v>254</v>
      </c>
      <c r="F36" s="1" t="s">
        <v>112</v>
      </c>
      <c r="G36" s="1">
        <v>195815</v>
      </c>
      <c r="K36"/>
      <c r="L36"/>
      <c r="M36"/>
      <c r="N36"/>
      <c r="O36"/>
      <c r="P36"/>
      <c r="Q36"/>
      <c r="R36"/>
      <c r="S36"/>
      <c r="T36"/>
      <c r="U36"/>
      <c r="V36"/>
      <c r="W36"/>
      <c r="X36"/>
      <c r="Y36"/>
      <c r="Z36"/>
      <c r="AA36"/>
      <c r="AB36"/>
      <c r="AC36"/>
      <c r="AD36"/>
      <c r="AE36"/>
      <c r="AF36"/>
      <c r="AG36"/>
      <c r="AH36"/>
    </row>
    <row r="37" spans="1:34" x14ac:dyDescent="0.25">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255</v>
      </c>
      <c r="D37" s="1" t="s">
        <v>250</v>
      </c>
      <c r="E37" s="1" t="s">
        <v>256</v>
      </c>
      <c r="F37" s="1" t="s">
        <v>112</v>
      </c>
      <c r="G37" s="1">
        <v>86217</v>
      </c>
      <c r="K37"/>
      <c r="L37"/>
      <c r="M37"/>
      <c r="N37"/>
      <c r="O37"/>
      <c r="P37"/>
      <c r="Q37"/>
      <c r="R37"/>
      <c r="S37"/>
      <c r="T37"/>
      <c r="U37"/>
      <c r="V37"/>
      <c r="W37"/>
      <c r="X37"/>
      <c r="Y37"/>
      <c r="Z37"/>
      <c r="AA37"/>
      <c r="AB37"/>
      <c r="AC37"/>
      <c r="AD37"/>
      <c r="AE37"/>
      <c r="AF37"/>
      <c r="AG37"/>
      <c r="AH37"/>
    </row>
    <row r="38" spans="1:34" x14ac:dyDescent="0.25">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257</v>
      </c>
      <c r="D38" s="1" t="s">
        <v>258</v>
      </c>
      <c r="E38" s="1" t="s">
        <v>259</v>
      </c>
      <c r="F38" s="1" t="s">
        <v>112</v>
      </c>
      <c r="G38" s="1">
        <v>133283</v>
      </c>
      <c r="K38"/>
      <c r="L38"/>
      <c r="M38"/>
      <c r="N38"/>
      <c r="O38"/>
      <c r="P38"/>
      <c r="Q38"/>
      <c r="R38"/>
      <c r="S38"/>
      <c r="T38"/>
      <c r="U38"/>
      <c r="V38"/>
      <c r="W38"/>
      <c r="X38"/>
      <c r="Y38"/>
      <c r="Z38"/>
      <c r="AA38"/>
      <c r="AB38"/>
      <c r="AC38"/>
      <c r="AD38"/>
      <c r="AE38"/>
      <c r="AF38"/>
      <c r="AG38"/>
      <c r="AH38"/>
    </row>
    <row r="39" spans="1:34" x14ac:dyDescent="0.25">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260</v>
      </c>
      <c r="D39" s="1" t="s">
        <v>261</v>
      </c>
      <c r="E39" s="1" t="s">
        <v>262</v>
      </c>
      <c r="F39" s="1" t="s">
        <v>112</v>
      </c>
      <c r="G39" s="1">
        <v>276992</v>
      </c>
    </row>
    <row r="40" spans="1:34" x14ac:dyDescent="0.25">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263</v>
      </c>
      <c r="D40" s="1" t="s">
        <v>231</v>
      </c>
      <c r="E40" s="1" t="s">
        <v>264</v>
      </c>
      <c r="F40" s="1" t="s">
        <v>112</v>
      </c>
      <c r="G40" s="1">
        <v>82778</v>
      </c>
    </row>
    <row r="41" spans="1:34" x14ac:dyDescent="0.25">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265</v>
      </c>
      <c r="D41" s="1" t="s">
        <v>206</v>
      </c>
      <c r="E41" s="1" t="s">
        <v>266</v>
      </c>
      <c r="F41" s="1" t="s">
        <v>112</v>
      </c>
      <c r="G41" s="1">
        <v>8414</v>
      </c>
    </row>
    <row r="42" spans="1:34" x14ac:dyDescent="0.25">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267</v>
      </c>
      <c r="D42" s="1" t="s">
        <v>268</v>
      </c>
      <c r="E42" s="1" t="s">
        <v>269</v>
      </c>
      <c r="F42" s="1" t="s">
        <v>112</v>
      </c>
      <c r="G42" s="1">
        <v>11096</v>
      </c>
    </row>
    <row r="43" spans="1:34" x14ac:dyDescent="0.25">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270</v>
      </c>
      <c r="D43" s="1" t="s">
        <v>271</v>
      </c>
      <c r="E43" s="1" t="s">
        <v>272</v>
      </c>
      <c r="F43" s="1" t="s">
        <v>112</v>
      </c>
      <c r="G43" s="1">
        <v>15033</v>
      </c>
    </row>
    <row r="44" spans="1:34" x14ac:dyDescent="0.25">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273</v>
      </c>
      <c r="D44" s="1" t="s">
        <v>274</v>
      </c>
      <c r="E44" s="1" t="s">
        <v>275</v>
      </c>
      <c r="F44" s="1" t="s">
        <v>112</v>
      </c>
      <c r="G44" s="1">
        <v>85070</v>
      </c>
    </row>
    <row r="45" spans="1:34" x14ac:dyDescent="0.25">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276</v>
      </c>
    </row>
    <row r="46" spans="1:34" x14ac:dyDescent="0.25">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277</v>
      </c>
      <c r="D46" s="1" t="s">
        <v>278</v>
      </c>
      <c r="E46" s="1" t="s">
        <v>279</v>
      </c>
      <c r="F46" s="1" t="s">
        <v>112</v>
      </c>
      <c r="G46" s="1">
        <v>12372</v>
      </c>
    </row>
    <row r="47" spans="1:34" x14ac:dyDescent="0.25">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280</v>
      </c>
      <c r="D47" s="1" t="s">
        <v>281</v>
      </c>
      <c r="E47" s="1" t="s">
        <v>282</v>
      </c>
      <c r="F47" s="1" t="s">
        <v>112</v>
      </c>
      <c r="G47" s="1">
        <v>516976</v>
      </c>
    </row>
    <row r="48" spans="1:34" x14ac:dyDescent="0.25">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283</v>
      </c>
      <c r="D48" s="1" t="s">
        <v>284</v>
      </c>
      <c r="E48" s="1" t="s">
        <v>285</v>
      </c>
      <c r="F48" s="1" t="s">
        <v>112</v>
      </c>
      <c r="G48" s="1">
        <v>425784</v>
      </c>
    </row>
    <row r="49" spans="1:10" x14ac:dyDescent="0.25">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286</v>
      </c>
      <c r="D49" s="1" t="s">
        <v>287</v>
      </c>
      <c r="E49" s="1" t="s">
        <v>288</v>
      </c>
      <c r="F49" s="1" t="s">
        <v>112</v>
      </c>
      <c r="G49" s="1">
        <v>451892</v>
      </c>
    </row>
    <row r="50" spans="1:10" x14ac:dyDescent="0.25">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289</v>
      </c>
      <c r="D50" s="1" t="s">
        <v>290</v>
      </c>
      <c r="E50" s="1" t="s">
        <v>291</v>
      </c>
      <c r="F50" s="1" t="s">
        <v>112</v>
      </c>
      <c r="G50" s="1">
        <v>57838</v>
      </c>
    </row>
    <row r="51" spans="1:10" x14ac:dyDescent="0.25">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292</v>
      </c>
      <c r="D51" s="1" t="s">
        <v>293</v>
      </c>
      <c r="E51" s="1" t="s">
        <v>294</v>
      </c>
      <c r="F51" s="1" t="s">
        <v>112</v>
      </c>
      <c r="G51" s="1">
        <v>33548</v>
      </c>
    </row>
    <row r="52" spans="1:10" x14ac:dyDescent="0.25">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295</v>
      </c>
      <c r="D52" s="1" t="s">
        <v>296</v>
      </c>
      <c r="E52" s="1" t="s">
        <v>297</v>
      </c>
      <c r="F52" s="1" t="s">
        <v>112</v>
      </c>
      <c r="G52" s="1">
        <v>16395</v>
      </c>
    </row>
    <row r="53" spans="1:10" x14ac:dyDescent="0.25">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298</v>
      </c>
      <c r="D53" s="1" t="s">
        <v>290</v>
      </c>
      <c r="E53" s="1" t="s">
        <v>299</v>
      </c>
      <c r="F53" s="1" t="s">
        <v>112</v>
      </c>
      <c r="G53" s="1">
        <v>58249</v>
      </c>
    </row>
    <row r="54" spans="1:10" x14ac:dyDescent="0.25">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300</v>
      </c>
      <c r="D54" s="1" t="s">
        <v>301</v>
      </c>
      <c r="E54" s="1" t="s">
        <v>302</v>
      </c>
      <c r="F54" s="1" t="s">
        <v>112</v>
      </c>
      <c r="G54" s="1">
        <v>58877</v>
      </c>
    </row>
    <row r="55" spans="1:10" x14ac:dyDescent="0.25">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303</v>
      </c>
      <c r="D55" s="1" t="s">
        <v>304</v>
      </c>
      <c r="E55" s="1" t="s">
        <v>305</v>
      </c>
      <c r="F55" s="1" t="s">
        <v>112</v>
      </c>
      <c r="G55" s="1">
        <v>97313</v>
      </c>
    </row>
    <row r="56" spans="1:10" x14ac:dyDescent="0.25">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306</v>
      </c>
      <c r="D56" s="1" t="s">
        <v>307</v>
      </c>
      <c r="E56" s="1" t="s">
        <v>308</v>
      </c>
      <c r="F56" s="1" t="s">
        <v>112</v>
      </c>
      <c r="G56" s="1">
        <v>483450</v>
      </c>
    </row>
    <row r="57" spans="1:10" x14ac:dyDescent="0.25">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309</v>
      </c>
      <c r="D57" s="1" t="s">
        <v>310</v>
      </c>
      <c r="E57" s="1" t="s">
        <v>311</v>
      </c>
      <c r="F57" s="1" t="s">
        <v>112</v>
      </c>
      <c r="G57" s="1">
        <v>376685</v>
      </c>
    </row>
    <row r="58" spans="1:10" x14ac:dyDescent="0.25">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312</v>
      </c>
      <c r="D58" s="1" t="s">
        <v>313</v>
      </c>
      <c r="E58" s="1" t="s">
        <v>314</v>
      </c>
      <c r="F58" s="1" t="s">
        <v>112</v>
      </c>
      <c r="G58" s="1">
        <v>406815</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236</v>
      </c>
      <c r="D60" s="1" t="s">
        <v>112</v>
      </c>
      <c r="E60" s="1" t="s">
        <v>237</v>
      </c>
      <c r="F60" s="1" t="s">
        <v>238</v>
      </c>
      <c r="G60" s="1" t="s">
        <v>239</v>
      </c>
      <c r="H60" s="1" t="s">
        <v>240</v>
      </c>
      <c r="I60" s="1" t="s">
        <v>241</v>
      </c>
      <c r="J60" s="1" t="s">
        <v>242</v>
      </c>
    </row>
    <row r="61" spans="1:10" x14ac:dyDescent="0.25">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315</v>
      </c>
      <c r="D61" s="1" t="s">
        <v>112</v>
      </c>
      <c r="E61" s="1" t="s">
        <v>316</v>
      </c>
      <c r="F61" s="1" t="s">
        <v>317</v>
      </c>
      <c r="G61" s="1" t="s">
        <v>318</v>
      </c>
      <c r="H61" s="1" t="s">
        <v>319</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248</v>
      </c>
      <c r="D67" s="1" t="s">
        <v>110</v>
      </c>
      <c r="E67" s="1" t="s">
        <v>111</v>
      </c>
      <c r="F67" s="1" t="s">
        <v>112</v>
      </c>
      <c r="G67" s="1" t="s">
        <v>113</v>
      </c>
    </row>
    <row r="68" spans="1:7" x14ac:dyDescent="0.25">
      <c r="A68" s="1" t="str">
        <f t="shared" si="1"/>
        <v>03 EE2 50.6</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320</v>
      </c>
      <c r="D68" s="1" t="s">
        <v>321</v>
      </c>
      <c r="E68" s="1" t="s">
        <v>322</v>
      </c>
      <c r="F68" s="1" t="s">
        <v>112</v>
      </c>
      <c r="G68" s="1">
        <v>748913</v>
      </c>
    </row>
    <row r="69" spans="1:7" x14ac:dyDescent="0.25">
      <c r="A69" s="1" t="str">
        <f t="shared" si="1"/>
        <v>03 EE2 50.6</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323</v>
      </c>
      <c r="D69" s="1" t="s">
        <v>324</v>
      </c>
      <c r="E69" s="1" t="s">
        <v>325</v>
      </c>
      <c r="F69" s="1" t="s">
        <v>112</v>
      </c>
      <c r="G69" s="1">
        <v>836471</v>
      </c>
    </row>
    <row r="70" spans="1:7" x14ac:dyDescent="0.25">
      <c r="A70" s="1" t="str">
        <f t="shared" si="1"/>
        <v>03 EE2 50.6</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326</v>
      </c>
      <c r="D70" s="1" t="s">
        <v>327</v>
      </c>
      <c r="E70" s="1" t="s">
        <v>328</v>
      </c>
      <c r="F70" s="1" t="s">
        <v>112</v>
      </c>
      <c r="G70" s="1">
        <v>812030</v>
      </c>
    </row>
    <row r="71" spans="1:7" x14ac:dyDescent="0.25">
      <c r="A71" s="1" t="str">
        <f t="shared" si="1"/>
        <v>03 EE2 50.6</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329</v>
      </c>
    </row>
    <row r="72" spans="1:7" x14ac:dyDescent="0.25">
      <c r="A72" s="1" t="str">
        <f t="shared" si="1"/>
        <v>03 EE2 50.6</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330</v>
      </c>
      <c r="D72" s="1" t="s">
        <v>234</v>
      </c>
      <c r="E72" s="1" t="s">
        <v>331</v>
      </c>
      <c r="F72" s="1" t="s">
        <v>112</v>
      </c>
      <c r="G72" s="1">
        <v>42027</v>
      </c>
    </row>
    <row r="73" spans="1:7" x14ac:dyDescent="0.25">
      <c r="A73" s="1" t="str">
        <f t="shared" si="1"/>
        <v>03 EE2 50.6</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332</v>
      </c>
      <c r="D73" s="1" t="s">
        <v>333</v>
      </c>
      <c r="E73" s="1" t="s">
        <v>334</v>
      </c>
      <c r="F73" s="1" t="s">
        <v>112</v>
      </c>
      <c r="G73" s="1">
        <v>66685</v>
      </c>
    </row>
    <row r="74" spans="1:7" x14ac:dyDescent="0.25">
      <c r="A74" s="1" t="str">
        <f t="shared" si="1"/>
        <v>03 EE2 50.6</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335</v>
      </c>
    </row>
    <row r="75" spans="1:7" x14ac:dyDescent="0.25">
      <c r="A75" s="1" t="str">
        <f t="shared" si="1"/>
        <v>03 EE2 50.6</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336</v>
      </c>
    </row>
    <row r="76" spans="1:7" x14ac:dyDescent="0.25">
      <c r="A76" s="1" t="str">
        <f t="shared" si="1"/>
        <v>03 EE2 50.6</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337</v>
      </c>
    </row>
    <row r="77" spans="1:7" x14ac:dyDescent="0.25">
      <c r="A77" s="1" t="str">
        <f t="shared" si="1"/>
        <v>03 EE2 50.6</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338</v>
      </c>
      <c r="D77" s="1" t="s">
        <v>339</v>
      </c>
      <c r="E77" s="1" t="s">
        <v>340</v>
      </c>
      <c r="F77" s="1" t="s">
        <v>112</v>
      </c>
      <c r="G77" s="1">
        <v>94004</v>
      </c>
    </row>
    <row r="78" spans="1:7" x14ac:dyDescent="0.25">
      <c r="A78" s="1" t="str">
        <f t="shared" si="1"/>
        <v>03 EE2 50.6</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341</v>
      </c>
      <c r="D78" s="1" t="s">
        <v>342</v>
      </c>
      <c r="E78" s="1" t="s">
        <v>343</v>
      </c>
      <c r="F78" s="1" t="s">
        <v>112</v>
      </c>
      <c r="G78" s="1">
        <v>60218</v>
      </c>
    </row>
    <row r="79" spans="1:7" x14ac:dyDescent="0.25">
      <c r="A79" s="1" t="str">
        <f t="shared" si="1"/>
        <v>03 EE2 50.6</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344</v>
      </c>
      <c r="D79" s="1" t="s">
        <v>345</v>
      </c>
      <c r="E79" s="1" t="s">
        <v>346</v>
      </c>
      <c r="F79" s="1" t="s">
        <v>112</v>
      </c>
      <c r="G79" s="1">
        <v>203148</v>
      </c>
    </row>
    <row r="80" spans="1:7" x14ac:dyDescent="0.25">
      <c r="A80" s="1" t="str">
        <f t="shared" si="1"/>
        <v>03 EE2 50.6</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347</v>
      </c>
      <c r="D80" s="1" t="s">
        <v>304</v>
      </c>
      <c r="E80" s="1" t="s">
        <v>348</v>
      </c>
      <c r="F80" s="1" t="s">
        <v>112</v>
      </c>
      <c r="G80" s="1">
        <v>99844</v>
      </c>
    </row>
    <row r="81" spans="1:10" x14ac:dyDescent="0.25">
      <c r="A81" s="1" t="str">
        <f t="shared" si="1"/>
        <v>03 EE2 50.6</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349</v>
      </c>
      <c r="D81" s="1" t="s">
        <v>350</v>
      </c>
      <c r="E81" s="1" t="s">
        <v>351</v>
      </c>
      <c r="F81" s="1" t="s">
        <v>112</v>
      </c>
      <c r="G81" s="1">
        <v>50441</v>
      </c>
    </row>
    <row r="82" spans="1:10" x14ac:dyDescent="0.25">
      <c r="A82" s="1" t="str">
        <f t="shared" si="1"/>
        <v>03 EE2 50.6</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352</v>
      </c>
      <c r="D82" s="1" t="s">
        <v>353</v>
      </c>
      <c r="E82" s="1">
        <v>63</v>
      </c>
      <c r="F82" s="1" t="s">
        <v>112</v>
      </c>
      <c r="G82" s="1">
        <v>13627</v>
      </c>
    </row>
    <row r="83" spans="1:10" x14ac:dyDescent="0.25">
      <c r="A83" s="1" t="str">
        <f t="shared" si="1"/>
        <v>03 EE2 50.6</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354</v>
      </c>
      <c r="D83" s="1" t="s">
        <v>355</v>
      </c>
      <c r="E83" s="1" t="s">
        <v>356</v>
      </c>
      <c r="F83" s="1" t="s">
        <v>112</v>
      </c>
      <c r="G83" s="1">
        <v>329596</v>
      </c>
    </row>
    <row r="84" spans="1:10" x14ac:dyDescent="0.25">
      <c r="A84" s="1" t="str">
        <f t="shared" si="1"/>
        <v>03 EE2 50.6</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357</v>
      </c>
      <c r="D84" s="1" t="s">
        <v>358</v>
      </c>
      <c r="E84" s="1" t="s">
        <v>359</v>
      </c>
      <c r="F84" s="1" t="s">
        <v>112</v>
      </c>
      <c r="G84" s="1">
        <v>394508</v>
      </c>
    </row>
    <row r="85" spans="1:10" x14ac:dyDescent="0.25">
      <c r="A85" s="1" t="str">
        <f t="shared" si="1"/>
        <v>03 EE2 50.6</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360</v>
      </c>
      <c r="D85" s="1" t="s">
        <v>361</v>
      </c>
      <c r="E85" s="1" t="s">
        <v>362</v>
      </c>
      <c r="F85" s="1" t="s">
        <v>112</v>
      </c>
      <c r="G85" s="1">
        <v>76873</v>
      </c>
    </row>
    <row r="86" spans="1:10" x14ac:dyDescent="0.25">
      <c r="A86" s="1" t="str">
        <f t="shared" si="1"/>
        <v>03 EE2 50.6</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363</v>
      </c>
      <c r="D86" s="1" t="s">
        <v>271</v>
      </c>
      <c r="E86" s="1" t="s">
        <v>364</v>
      </c>
      <c r="F86" s="1" t="s">
        <v>112</v>
      </c>
      <c r="G86" s="1">
        <v>15184</v>
      </c>
    </row>
    <row r="87" spans="1:10" x14ac:dyDescent="0.25">
      <c r="A87" s="1" t="str">
        <f t="shared" si="1"/>
        <v>03 EE2 50.6</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365</v>
      </c>
      <c r="D87" s="1" t="s">
        <v>353</v>
      </c>
      <c r="E87" s="1" t="s">
        <v>366</v>
      </c>
      <c r="F87" s="1" t="s">
        <v>112</v>
      </c>
      <c r="G87" s="1">
        <v>13908</v>
      </c>
    </row>
    <row r="88" spans="1:10" x14ac:dyDescent="0.25">
      <c r="A88" s="1" t="str">
        <f t="shared" si="1"/>
        <v>03 EE2 50.6</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367</v>
      </c>
      <c r="D88" s="1" t="s">
        <v>186</v>
      </c>
      <c r="E88" s="1" t="s">
        <v>368</v>
      </c>
      <c r="F88" s="1" t="s">
        <v>112</v>
      </c>
      <c r="G88" s="1">
        <v>19099</v>
      </c>
    </row>
    <row r="89" spans="1:10" x14ac:dyDescent="0.25">
      <c r="A89" s="1" t="str">
        <f t="shared" si="1"/>
        <v>03 EE2 50.6</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369</v>
      </c>
      <c r="D89" s="1" t="s">
        <v>370</v>
      </c>
      <c r="E89" s="1" t="s">
        <v>371</v>
      </c>
      <c r="F89" s="1" t="s">
        <v>112</v>
      </c>
      <c r="G89" s="1">
        <v>28876</v>
      </c>
    </row>
    <row r="90" spans="1:10" x14ac:dyDescent="0.25">
      <c r="A90" s="1" t="str">
        <f t="shared" si="1"/>
        <v>03 EE2 50.6</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372</v>
      </c>
      <c r="D90" s="1" t="s">
        <v>373</v>
      </c>
      <c r="E90" s="1" t="s">
        <v>374</v>
      </c>
      <c r="F90" s="1" t="s">
        <v>112</v>
      </c>
      <c r="G90" s="1">
        <v>79295</v>
      </c>
    </row>
    <row r="91" spans="1:10" x14ac:dyDescent="0.25">
      <c r="A91" s="1" t="str">
        <f t="shared" si="1"/>
        <v>03 EE2 50.6</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375</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236</v>
      </c>
      <c r="D93" s="1" t="s">
        <v>112</v>
      </c>
      <c r="E93" s="1" t="s">
        <v>237</v>
      </c>
      <c r="F93" s="1" t="s">
        <v>238</v>
      </c>
      <c r="G93" s="1" t="s">
        <v>239</v>
      </c>
      <c r="H93" s="1" t="s">
        <v>240</v>
      </c>
      <c r="I93" s="1" t="s">
        <v>241</v>
      </c>
      <c r="J93" s="1" t="s">
        <v>242</v>
      </c>
    </row>
    <row r="94" spans="1:10" x14ac:dyDescent="0.25">
      <c r="A94" s="1" t="str">
        <f t="shared" si="1"/>
        <v>03 EE2 50.6</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376</v>
      </c>
      <c r="D94" s="1" t="s">
        <v>112</v>
      </c>
      <c r="E94" s="1" t="s">
        <v>377</v>
      </c>
      <c r="F94" s="1" t="s">
        <v>378</v>
      </c>
      <c r="G94" s="1" t="s">
        <v>379</v>
      </c>
      <c r="H94" s="1" t="s">
        <v>380</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248</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381</v>
      </c>
      <c r="D101" s="1" t="s">
        <v>211</v>
      </c>
      <c r="E101" s="1" t="s">
        <v>382</v>
      </c>
      <c r="F101" s="1" t="s">
        <v>112</v>
      </c>
      <c r="G101" s="1">
        <v>173472</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383</v>
      </c>
      <c r="D102" s="1" t="s">
        <v>384</v>
      </c>
      <c r="E102" s="1" t="s">
        <v>385</v>
      </c>
      <c r="F102" s="1" t="s">
        <v>112</v>
      </c>
      <c r="G102" s="1">
        <v>394637</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386</v>
      </c>
      <c r="D103" s="1" t="s">
        <v>387</v>
      </c>
      <c r="E103" s="1" t="s">
        <v>388</v>
      </c>
      <c r="F103" s="1" t="s">
        <v>112</v>
      </c>
      <c r="G103" s="1">
        <v>132310</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389</v>
      </c>
      <c r="D104" s="1" t="s">
        <v>390</v>
      </c>
      <c r="E104" s="1" t="s">
        <v>391</v>
      </c>
      <c r="F104" s="1" t="s">
        <v>112</v>
      </c>
      <c r="G104" s="1">
        <v>129801</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392</v>
      </c>
      <c r="D105" s="1" t="s">
        <v>393</v>
      </c>
      <c r="E105" s="1" t="s">
        <v>394</v>
      </c>
      <c r="F105" s="1" t="s">
        <v>112</v>
      </c>
      <c r="G105" s="1">
        <v>33916</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395</v>
      </c>
      <c r="D106" s="1" t="s">
        <v>396</v>
      </c>
      <c r="E106" s="1" t="s">
        <v>397</v>
      </c>
      <c r="F106" s="1" t="s">
        <v>112</v>
      </c>
      <c r="G106" s="1">
        <v>298795</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398</v>
      </c>
      <c r="D107" s="1" t="s">
        <v>399</v>
      </c>
      <c r="E107" s="1" t="s">
        <v>400</v>
      </c>
      <c r="F107" s="1" t="s">
        <v>112</v>
      </c>
      <c r="G107" s="1">
        <v>439325</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401</v>
      </c>
      <c r="D108" s="1" t="s">
        <v>274</v>
      </c>
      <c r="E108" s="1" t="s">
        <v>402</v>
      </c>
      <c r="F108" s="1" t="s">
        <v>112</v>
      </c>
      <c r="G108" s="1">
        <v>86974</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403</v>
      </c>
      <c r="D109" s="1" t="s">
        <v>404</v>
      </c>
      <c r="E109" s="1" t="s">
        <v>405</v>
      </c>
      <c r="F109" s="1" t="s">
        <v>112</v>
      </c>
      <c r="G109" s="1">
        <v>145569</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406</v>
      </c>
      <c r="D110" s="1" t="s">
        <v>407</v>
      </c>
      <c r="E110" s="1" t="s">
        <v>408</v>
      </c>
      <c r="F110" s="1" t="s">
        <v>112</v>
      </c>
      <c r="G110" s="1">
        <v>327801</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409</v>
      </c>
      <c r="D111" s="1" t="s">
        <v>410</v>
      </c>
      <c r="E111" s="1" t="s">
        <v>269</v>
      </c>
      <c r="F111" s="1" t="s">
        <v>112</v>
      </c>
      <c r="G111" s="1">
        <v>521518</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411</v>
      </c>
      <c r="D112" s="1" t="s">
        <v>412</v>
      </c>
      <c r="E112" s="1" t="s">
        <v>413</v>
      </c>
      <c r="F112" s="1" t="s">
        <v>112</v>
      </c>
      <c r="G112" s="1">
        <v>411119</v>
      </c>
    </row>
    <row r="113" spans="1:10"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414</v>
      </c>
      <c r="D113" s="1" t="s">
        <v>415</v>
      </c>
      <c r="E113" s="1" t="s">
        <v>416</v>
      </c>
      <c r="F113" s="1" t="s">
        <v>112</v>
      </c>
      <c r="G113" s="1">
        <v>3711820</v>
      </c>
    </row>
    <row r="114" spans="1:10"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417</v>
      </c>
      <c r="D114" s="1" t="s">
        <v>418</v>
      </c>
      <c r="E114" s="1" t="s">
        <v>419</v>
      </c>
      <c r="F114" s="1" t="s">
        <v>112</v>
      </c>
      <c r="G114" s="1">
        <v>3414928</v>
      </c>
    </row>
    <row r="115" spans="1:10"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420</v>
      </c>
      <c r="D115" s="1" t="s">
        <v>421</v>
      </c>
      <c r="E115" s="1" t="s">
        <v>422</v>
      </c>
      <c r="F115" s="1" t="s">
        <v>112</v>
      </c>
      <c r="G115" s="1">
        <v>3383716</v>
      </c>
    </row>
    <row r="116" spans="1:10"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423</v>
      </c>
      <c r="D116" s="1" t="s">
        <v>424</v>
      </c>
      <c r="E116" s="1" t="s">
        <v>425</v>
      </c>
      <c r="F116" s="1" t="s">
        <v>112</v>
      </c>
      <c r="G116" s="1">
        <v>109188</v>
      </c>
    </row>
    <row r="117" spans="1:10"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426</v>
      </c>
      <c r="D117" s="1" t="s">
        <v>427</v>
      </c>
      <c r="E117" s="1" t="s">
        <v>428</v>
      </c>
      <c r="F117" s="1" t="s">
        <v>112</v>
      </c>
      <c r="G117" s="1">
        <v>103066</v>
      </c>
    </row>
    <row r="118" spans="1:10"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429</v>
      </c>
      <c r="D118" s="1" t="s">
        <v>430</v>
      </c>
      <c r="E118" s="1" t="s">
        <v>431</v>
      </c>
      <c r="F118" s="1" t="s">
        <v>112</v>
      </c>
      <c r="G118" s="1">
        <v>127443</v>
      </c>
    </row>
    <row r="119" spans="1:10"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432</v>
      </c>
    </row>
    <row r="120" spans="1:10"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433</v>
      </c>
    </row>
    <row r="121" spans="1:10"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434</v>
      </c>
      <c r="D121" s="1" t="s">
        <v>435</v>
      </c>
      <c r="E121" s="1" t="s">
        <v>436</v>
      </c>
      <c r="F121" s="1" t="s">
        <v>112</v>
      </c>
      <c r="G121" s="1">
        <v>690405</v>
      </c>
    </row>
    <row r="122" spans="1:10"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437</v>
      </c>
    </row>
    <row r="123" spans="1:10"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438</v>
      </c>
    </row>
    <row r="124" spans="1:10"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439</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236</v>
      </c>
      <c r="D126" s="1" t="s">
        <v>112</v>
      </c>
      <c r="E126" s="1" t="s">
        <v>237</v>
      </c>
      <c r="F126" s="1" t="s">
        <v>238</v>
      </c>
      <c r="G126" s="1" t="s">
        <v>239</v>
      </c>
      <c r="H126" s="1" t="s">
        <v>240</v>
      </c>
      <c r="I126" s="1" t="s">
        <v>241</v>
      </c>
      <c r="J126" s="1" t="s">
        <v>242</v>
      </c>
    </row>
    <row r="127" spans="1:10"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440</v>
      </c>
      <c r="D127" s="1" t="s">
        <v>112</v>
      </c>
      <c r="E127" s="1" t="s">
        <v>441</v>
      </c>
      <c r="F127" s="1" t="s">
        <v>442</v>
      </c>
      <c r="G127" s="1" t="s">
        <v>443</v>
      </c>
      <c r="H127" s="1" t="s">
        <v>444</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248</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445</v>
      </c>
      <c r="D134" s="1" t="s">
        <v>446</v>
      </c>
      <c r="E134" s="1" t="s">
        <v>447</v>
      </c>
      <c r="F134" s="1" t="s">
        <v>112</v>
      </c>
      <c r="G134" s="1">
        <v>1559926</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448</v>
      </c>
      <c r="D135" s="1" t="s">
        <v>449</v>
      </c>
      <c r="E135" s="1" t="s">
        <v>450</v>
      </c>
      <c r="F135" s="1" t="s">
        <v>112</v>
      </c>
      <c r="G135" s="1">
        <v>1386476</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451</v>
      </c>
      <c r="D136" s="1" t="s">
        <v>452</v>
      </c>
      <c r="E136" s="1" t="s">
        <v>453</v>
      </c>
      <c r="F136" s="1" t="s">
        <v>112</v>
      </c>
      <c r="G136" s="1">
        <v>1435987</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454</v>
      </c>
      <c r="D137" s="1" t="s">
        <v>455</v>
      </c>
      <c r="E137" s="1" t="s">
        <v>456</v>
      </c>
      <c r="F137" s="1" t="s">
        <v>112</v>
      </c>
      <c r="G137" s="1">
        <v>1006006</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457</v>
      </c>
      <c r="D138" s="1" t="s">
        <v>458</v>
      </c>
      <c r="E138" s="1" t="s">
        <v>459</v>
      </c>
      <c r="F138" s="1" t="s">
        <v>112</v>
      </c>
      <c r="G138" s="1">
        <v>938283</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460</v>
      </c>
      <c r="D139" s="1" t="s">
        <v>461</v>
      </c>
      <c r="E139" s="1" t="s">
        <v>462</v>
      </c>
      <c r="F139" s="1" t="s">
        <v>112</v>
      </c>
      <c r="G139" s="1">
        <v>988183</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463</v>
      </c>
      <c r="D140" s="1" t="s">
        <v>464</v>
      </c>
      <c r="E140" s="1" t="s">
        <v>465</v>
      </c>
      <c r="F140" s="1" t="s">
        <v>112</v>
      </c>
      <c r="G140" s="1">
        <v>760118</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466</v>
      </c>
      <c r="D141" s="1" t="s">
        <v>324</v>
      </c>
      <c r="E141" s="1" t="s">
        <v>467</v>
      </c>
      <c r="F141" s="1" t="s">
        <v>112</v>
      </c>
      <c r="G141" s="1">
        <v>681558</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468</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469</v>
      </c>
      <c r="D143" s="1" t="s">
        <v>470</v>
      </c>
      <c r="E143" s="1" t="s">
        <v>471</v>
      </c>
      <c r="F143" s="1" t="s">
        <v>112</v>
      </c>
      <c r="G143" s="1">
        <v>1656677</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472</v>
      </c>
      <c r="D144" s="1" t="s">
        <v>473</v>
      </c>
      <c r="E144" s="1" t="s">
        <v>474</v>
      </c>
      <c r="F144" s="1" t="s">
        <v>112</v>
      </c>
      <c r="G144" s="1">
        <v>1416434</v>
      </c>
    </row>
    <row r="145" spans="1:10"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475</v>
      </c>
      <c r="D145" s="1" t="s">
        <v>476</v>
      </c>
      <c r="E145" s="1" t="s">
        <v>477</v>
      </c>
      <c r="F145" s="1" t="s">
        <v>112</v>
      </c>
      <c r="G145" s="1">
        <v>1527244</v>
      </c>
    </row>
    <row r="146" spans="1:10"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478</v>
      </c>
      <c r="D146" s="1" t="s">
        <v>479</v>
      </c>
      <c r="E146" s="1" t="s">
        <v>480</v>
      </c>
      <c r="F146" s="1" t="s">
        <v>112</v>
      </c>
      <c r="G146" s="1">
        <v>2254700</v>
      </c>
    </row>
    <row r="147" spans="1:10"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481</v>
      </c>
      <c r="D147" s="1" t="s">
        <v>482</v>
      </c>
      <c r="E147" s="1" t="s">
        <v>483</v>
      </c>
      <c r="F147" s="1" t="s">
        <v>112</v>
      </c>
      <c r="G147" s="1">
        <v>2203156</v>
      </c>
    </row>
    <row r="148" spans="1:10"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484</v>
      </c>
      <c r="D148" s="1" t="s">
        <v>485</v>
      </c>
      <c r="E148" s="1" t="s">
        <v>486</v>
      </c>
      <c r="F148" s="1" t="s">
        <v>112</v>
      </c>
      <c r="G148" s="1">
        <v>1376137</v>
      </c>
    </row>
    <row r="149" spans="1:10"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487</v>
      </c>
      <c r="D149" s="1" t="s">
        <v>488</v>
      </c>
      <c r="E149" s="1" t="s">
        <v>489</v>
      </c>
      <c r="F149" s="1" t="s">
        <v>112</v>
      </c>
      <c r="G149" s="1">
        <v>953100</v>
      </c>
    </row>
    <row r="150" spans="1:10"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490</v>
      </c>
      <c r="D150" s="1" t="s">
        <v>491</v>
      </c>
      <c r="E150" s="1" t="s">
        <v>492</v>
      </c>
      <c r="F150" s="1" t="s">
        <v>112</v>
      </c>
      <c r="G150" s="1">
        <v>1090276</v>
      </c>
    </row>
    <row r="151" spans="1:10"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493</v>
      </c>
      <c r="D151" s="1" t="s">
        <v>494</v>
      </c>
      <c r="E151" s="1" t="s">
        <v>495</v>
      </c>
      <c r="F151" s="1" t="s">
        <v>112</v>
      </c>
      <c r="G151" s="1">
        <v>956517</v>
      </c>
    </row>
    <row r="152" spans="1:10"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496</v>
      </c>
      <c r="D152" s="1" t="s">
        <v>497</v>
      </c>
      <c r="E152" s="1" t="s">
        <v>498</v>
      </c>
      <c r="F152" s="1" t="s">
        <v>112</v>
      </c>
      <c r="G152" s="1">
        <v>698018</v>
      </c>
    </row>
    <row r="153" spans="1:10"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499</v>
      </c>
      <c r="D153" s="1" t="s">
        <v>500</v>
      </c>
      <c r="E153" s="1" t="s">
        <v>501</v>
      </c>
      <c r="F153" s="1" t="s">
        <v>112</v>
      </c>
      <c r="G153" s="1">
        <v>262976</v>
      </c>
    </row>
    <row r="154" spans="1:10"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502</v>
      </c>
      <c r="D154" s="1" t="s">
        <v>503</v>
      </c>
      <c r="E154" s="1" t="s">
        <v>504</v>
      </c>
      <c r="F154" s="1" t="s">
        <v>112</v>
      </c>
      <c r="G154" s="1">
        <v>69086</v>
      </c>
    </row>
    <row r="155" spans="1:10"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505</v>
      </c>
      <c r="D155" s="1" t="s">
        <v>506</v>
      </c>
      <c r="E155" s="1" t="s">
        <v>507</v>
      </c>
      <c r="F155" s="1" t="s">
        <v>112</v>
      </c>
      <c r="G155" s="1">
        <v>872096</v>
      </c>
    </row>
    <row r="156" spans="1:10"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508</v>
      </c>
      <c r="D156" s="1" t="s">
        <v>509</v>
      </c>
      <c r="E156" s="1" t="s">
        <v>510</v>
      </c>
      <c r="F156" s="1" t="s">
        <v>112</v>
      </c>
      <c r="G156" s="1">
        <v>1011414</v>
      </c>
    </row>
    <row r="157" spans="1:10"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511</v>
      </c>
      <c r="D157" s="1" t="s">
        <v>512</v>
      </c>
      <c r="E157" s="1" t="s">
        <v>513</v>
      </c>
      <c r="F157" s="1" t="s">
        <v>112</v>
      </c>
      <c r="G157" s="1">
        <v>878130</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236</v>
      </c>
      <c r="D159" s="1" t="s">
        <v>112</v>
      </c>
      <c r="E159" s="1" t="s">
        <v>237</v>
      </c>
      <c r="F159" s="1" t="s">
        <v>238</v>
      </c>
      <c r="G159" s="1" t="s">
        <v>239</v>
      </c>
      <c r="H159" s="1" t="s">
        <v>240</v>
      </c>
      <c r="I159" s="1" t="s">
        <v>241</v>
      </c>
      <c r="J159" s="1" t="s">
        <v>242</v>
      </c>
    </row>
    <row r="160" spans="1:10"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514</v>
      </c>
      <c r="D160" s="1" t="s">
        <v>112</v>
      </c>
      <c r="E160" s="1" t="s">
        <v>515</v>
      </c>
      <c r="F160" s="1" t="s">
        <v>516</v>
      </c>
      <c r="G160" s="1" t="s">
        <v>517</v>
      </c>
      <c r="H160" s="1" t="s">
        <v>518</v>
      </c>
      <c r="I160" s="1">
        <v>24</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248</v>
      </c>
      <c r="D166" s="1" t="s">
        <v>110</v>
      </c>
      <c r="E166" s="1" t="s">
        <v>111</v>
      </c>
      <c r="F166" s="1" t="s">
        <v>112</v>
      </c>
      <c r="G166" s="1" t="s">
        <v>113</v>
      </c>
    </row>
    <row r="167" spans="1:7" x14ac:dyDescent="0.25">
      <c r="A167" s="1" t="str">
        <f t="shared" si="2"/>
        <v>06 EE2 170.9</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519</v>
      </c>
      <c r="D167" s="1" t="s">
        <v>520</v>
      </c>
      <c r="E167" s="1" t="s">
        <v>521</v>
      </c>
      <c r="F167" s="1" t="s">
        <v>112</v>
      </c>
      <c r="G167" s="1">
        <v>2511274</v>
      </c>
    </row>
    <row r="168" spans="1:7" x14ac:dyDescent="0.25">
      <c r="A168" s="1" t="str">
        <f t="shared" si="2"/>
        <v>06 EE2 170.9</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522</v>
      </c>
      <c r="D168" s="1" t="s">
        <v>523</v>
      </c>
      <c r="E168" s="1" t="s">
        <v>524</v>
      </c>
      <c r="F168" s="1" t="s">
        <v>112</v>
      </c>
      <c r="G168" s="1">
        <v>2379959</v>
      </c>
    </row>
    <row r="169" spans="1:7" x14ac:dyDescent="0.25">
      <c r="A169" s="1" t="str">
        <f t="shared" si="2"/>
        <v>06 EE2 170.9</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525</v>
      </c>
      <c r="D169" s="1" t="s">
        <v>526</v>
      </c>
      <c r="E169" s="1" t="s">
        <v>527</v>
      </c>
      <c r="F169" s="1" t="s">
        <v>112</v>
      </c>
      <c r="G169" s="1">
        <v>2246611</v>
      </c>
    </row>
    <row r="170" spans="1:7" x14ac:dyDescent="0.25">
      <c r="A170" s="1" t="str">
        <f t="shared" si="2"/>
        <v>06 EE2 170.9</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528</v>
      </c>
      <c r="D170" s="1" t="s">
        <v>529</v>
      </c>
      <c r="E170" s="1" t="s">
        <v>530</v>
      </c>
      <c r="F170" s="1" t="s">
        <v>112</v>
      </c>
      <c r="G170" s="1">
        <v>3249610</v>
      </c>
    </row>
    <row r="171" spans="1:7" x14ac:dyDescent="0.25">
      <c r="A171" s="1" t="str">
        <f t="shared" si="2"/>
        <v>06 EE2 170.9</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531</v>
      </c>
      <c r="D171" s="1" t="s">
        <v>532</v>
      </c>
      <c r="E171" s="1" t="s">
        <v>533</v>
      </c>
      <c r="F171" s="1" t="s">
        <v>112</v>
      </c>
      <c r="G171" s="1">
        <v>3612841</v>
      </c>
    </row>
    <row r="172" spans="1:7" x14ac:dyDescent="0.25">
      <c r="A172" s="1" t="str">
        <f t="shared" si="2"/>
        <v>06 EE2 170.9</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534</v>
      </c>
    </row>
    <row r="173" spans="1:7" x14ac:dyDescent="0.25">
      <c r="A173" s="1" t="str">
        <f t="shared" si="2"/>
        <v>06 EE2 170.9</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535</v>
      </c>
      <c r="D173" s="1" t="s">
        <v>536</v>
      </c>
      <c r="E173" s="1" t="s">
        <v>537</v>
      </c>
      <c r="F173" s="1" t="s">
        <v>112</v>
      </c>
      <c r="G173" s="1">
        <v>1089476</v>
      </c>
    </row>
    <row r="174" spans="1:7" x14ac:dyDescent="0.25">
      <c r="A174" s="1" t="str">
        <f t="shared" si="2"/>
        <v>06 EE2 170.9</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538</v>
      </c>
      <c r="D174" s="1" t="s">
        <v>539</v>
      </c>
      <c r="E174" s="1" t="s">
        <v>540</v>
      </c>
      <c r="F174" s="1" t="s">
        <v>112</v>
      </c>
      <c r="G174" s="1">
        <v>1141042</v>
      </c>
    </row>
    <row r="175" spans="1:7" x14ac:dyDescent="0.25">
      <c r="A175" s="1" t="str">
        <f t="shared" si="2"/>
        <v>06 EE2 170.9</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541</v>
      </c>
      <c r="D175" s="1" t="s">
        <v>542</v>
      </c>
      <c r="E175" s="1" t="s">
        <v>543</v>
      </c>
      <c r="F175" s="1" t="s">
        <v>112</v>
      </c>
      <c r="G175" s="1">
        <v>1383080</v>
      </c>
    </row>
    <row r="176" spans="1:7" x14ac:dyDescent="0.25">
      <c r="A176" s="1" t="str">
        <f t="shared" si="2"/>
        <v>06 EE2 170.9</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544</v>
      </c>
      <c r="D176" s="1" t="s">
        <v>545</v>
      </c>
      <c r="E176" s="1" t="s">
        <v>546</v>
      </c>
      <c r="F176" s="1" t="s">
        <v>112</v>
      </c>
      <c r="G176" s="1">
        <v>3960974</v>
      </c>
    </row>
    <row r="177" spans="1:10" x14ac:dyDescent="0.25">
      <c r="A177" s="1" t="str">
        <f t="shared" si="2"/>
        <v>06 EE2 170.9</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547</v>
      </c>
      <c r="D177" s="1" t="s">
        <v>548</v>
      </c>
      <c r="E177" s="1" t="s">
        <v>549</v>
      </c>
      <c r="F177" s="1" t="s">
        <v>112</v>
      </c>
      <c r="G177" s="1">
        <v>3468938</v>
      </c>
    </row>
    <row r="178" spans="1:10" x14ac:dyDescent="0.25">
      <c r="A178" s="1" t="str">
        <f t="shared" si="2"/>
        <v>06 EE2 170.9</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550</v>
      </c>
      <c r="D178" s="1" t="s">
        <v>551</v>
      </c>
      <c r="E178" s="1" t="s">
        <v>552</v>
      </c>
      <c r="F178" s="1" t="s">
        <v>112</v>
      </c>
      <c r="G178" s="1">
        <v>3372382</v>
      </c>
    </row>
    <row r="179" spans="1:10" x14ac:dyDescent="0.25">
      <c r="A179" s="1" t="str">
        <f t="shared" si="2"/>
        <v>06 EE2 170.9</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553</v>
      </c>
      <c r="D179" s="1" t="s">
        <v>554</v>
      </c>
      <c r="E179" s="1" t="s">
        <v>555</v>
      </c>
      <c r="F179" s="1" t="s">
        <v>112</v>
      </c>
      <c r="G179" s="1">
        <v>2722793</v>
      </c>
    </row>
    <row r="180" spans="1:10" x14ac:dyDescent="0.25">
      <c r="A180" s="1" t="str">
        <f t="shared" si="2"/>
        <v>06 EE2 170.9</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556</v>
      </c>
      <c r="D180" s="1" t="s">
        <v>557</v>
      </c>
      <c r="E180" s="1" t="s">
        <v>558</v>
      </c>
      <c r="F180" s="1" t="s">
        <v>112</v>
      </c>
      <c r="G180" s="1">
        <v>2082634</v>
      </c>
    </row>
    <row r="181" spans="1:10" x14ac:dyDescent="0.25">
      <c r="A181" s="1" t="str">
        <f t="shared" si="2"/>
        <v>06 EE2 170.9</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559</v>
      </c>
      <c r="D181" s="1" t="s">
        <v>560</v>
      </c>
      <c r="E181" s="1" t="s">
        <v>561</v>
      </c>
      <c r="F181" s="1" t="s">
        <v>112</v>
      </c>
      <c r="G181" s="1">
        <v>2722209</v>
      </c>
    </row>
    <row r="182" spans="1:10" x14ac:dyDescent="0.25">
      <c r="A182" s="1" t="str">
        <f t="shared" si="2"/>
        <v>06 EE2 170.9</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562</v>
      </c>
      <c r="D182" s="1" t="s">
        <v>563</v>
      </c>
      <c r="E182" s="1" t="s">
        <v>564</v>
      </c>
      <c r="F182" s="1" t="s">
        <v>112</v>
      </c>
      <c r="G182" s="1">
        <v>1295155</v>
      </c>
    </row>
    <row r="183" spans="1:10" x14ac:dyDescent="0.25">
      <c r="A183" s="1" t="str">
        <f t="shared" si="2"/>
        <v>06 EE2 170.9</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565</v>
      </c>
      <c r="D183" s="1" t="s">
        <v>566</v>
      </c>
      <c r="E183" s="1" t="s">
        <v>567</v>
      </c>
      <c r="F183" s="1" t="s">
        <v>112</v>
      </c>
      <c r="G183" s="1">
        <v>1120493</v>
      </c>
    </row>
    <row r="184" spans="1:10" x14ac:dyDescent="0.25">
      <c r="A184" s="1" t="str">
        <f t="shared" si="2"/>
        <v>06 EE2 170.9</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568</v>
      </c>
      <c r="D184" s="1" t="s">
        <v>569</v>
      </c>
      <c r="E184" s="1" t="s">
        <v>570</v>
      </c>
      <c r="F184" s="1" t="s">
        <v>112</v>
      </c>
      <c r="G184" s="1">
        <v>1128367</v>
      </c>
    </row>
    <row r="185" spans="1:10" x14ac:dyDescent="0.25">
      <c r="A185" s="1" t="str">
        <f t="shared" si="2"/>
        <v>06 EE2 170.9</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571</v>
      </c>
      <c r="D185" s="1" t="s">
        <v>572</v>
      </c>
      <c r="E185" s="1" t="s">
        <v>573</v>
      </c>
      <c r="F185" s="1" t="s">
        <v>112</v>
      </c>
      <c r="G185" s="1">
        <v>935969</v>
      </c>
    </row>
    <row r="186" spans="1:10" x14ac:dyDescent="0.25">
      <c r="A186" s="1" t="str">
        <f t="shared" si="2"/>
        <v>06 EE2 170.9</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574</v>
      </c>
      <c r="D186" s="1" t="s">
        <v>575</v>
      </c>
      <c r="E186" s="1" t="s">
        <v>576</v>
      </c>
      <c r="F186" s="1" t="s">
        <v>112</v>
      </c>
      <c r="G186" s="1">
        <v>981002</v>
      </c>
    </row>
    <row r="187" spans="1:10" x14ac:dyDescent="0.25">
      <c r="A187" s="1" t="str">
        <f t="shared" si="2"/>
        <v>06 EE2 170.9</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577</v>
      </c>
      <c r="D187" s="1" t="s">
        <v>578</v>
      </c>
      <c r="E187" s="1" t="s">
        <v>579</v>
      </c>
      <c r="F187" s="1" t="s">
        <v>112</v>
      </c>
      <c r="G187" s="1">
        <v>798230</v>
      </c>
    </row>
    <row r="188" spans="1:10" x14ac:dyDescent="0.25">
      <c r="A188" s="1" t="str">
        <f t="shared" si="2"/>
        <v>06 EE2 170.9</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580</v>
      </c>
      <c r="D188" s="1" t="s">
        <v>581</v>
      </c>
      <c r="E188" s="1" t="s">
        <v>582</v>
      </c>
      <c r="F188" s="1" t="s">
        <v>112</v>
      </c>
      <c r="G188" s="1">
        <v>212211</v>
      </c>
    </row>
    <row r="189" spans="1:10" x14ac:dyDescent="0.25">
      <c r="A189" s="1" t="str">
        <f t="shared" si="2"/>
        <v>06 EE2 170.9</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583</v>
      </c>
      <c r="D189" s="1" t="s">
        <v>584</v>
      </c>
      <c r="E189" s="1" t="s">
        <v>585</v>
      </c>
      <c r="F189" s="1" t="s">
        <v>112</v>
      </c>
      <c r="G189" s="1">
        <v>110312</v>
      </c>
    </row>
    <row r="190" spans="1:10" x14ac:dyDescent="0.25">
      <c r="A190" s="1" t="str">
        <f t="shared" si="2"/>
        <v>06 EE2 170.9</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586</v>
      </c>
      <c r="D190" s="1" t="s">
        <v>404</v>
      </c>
      <c r="E190" s="1" t="s">
        <v>587</v>
      </c>
      <c r="F190" s="1" t="s">
        <v>112</v>
      </c>
      <c r="G190" s="1">
        <v>144098</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236</v>
      </c>
      <c r="D192" s="1" t="s">
        <v>112</v>
      </c>
      <c r="E192" s="1" t="s">
        <v>237</v>
      </c>
      <c r="F192" s="1" t="s">
        <v>238</v>
      </c>
      <c r="G192" s="1" t="s">
        <v>239</v>
      </c>
      <c r="H192" s="1" t="s">
        <v>240</v>
      </c>
      <c r="I192" s="1" t="s">
        <v>241</v>
      </c>
      <c r="J192" s="1" t="s">
        <v>242</v>
      </c>
    </row>
    <row r="193" spans="1:10" x14ac:dyDescent="0.25">
      <c r="A193" s="1" t="str">
        <f t="shared" si="2"/>
        <v>06 EE2 170.9</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588</v>
      </c>
      <c r="D193" s="1" t="s">
        <v>112</v>
      </c>
      <c r="E193" s="1" t="s">
        <v>589</v>
      </c>
      <c r="F193" s="1" t="s">
        <v>590</v>
      </c>
      <c r="G193" s="1" t="s">
        <v>591</v>
      </c>
      <c r="H193" s="1" t="s">
        <v>592</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248</v>
      </c>
      <c r="D199" s="1" t="s">
        <v>110</v>
      </c>
      <c r="E199" s="1" t="s">
        <v>111</v>
      </c>
      <c r="F199" s="1" t="s">
        <v>112</v>
      </c>
      <c r="G199" s="1" t="s">
        <v>113</v>
      </c>
    </row>
    <row r="200" spans="1:10"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593</v>
      </c>
      <c r="D200" s="1" t="s">
        <v>594</v>
      </c>
      <c r="E200" s="1" t="s">
        <v>595</v>
      </c>
      <c r="F200" s="1" t="s">
        <v>112</v>
      </c>
      <c r="G200" s="1">
        <v>2020816</v>
      </c>
    </row>
    <row r="201" spans="1:10"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596</v>
      </c>
      <c r="D201" s="1" t="s">
        <v>597</v>
      </c>
      <c r="E201" s="1" t="s">
        <v>598</v>
      </c>
      <c r="F201" s="1" t="s">
        <v>112</v>
      </c>
      <c r="G201" s="1">
        <v>1181555</v>
      </c>
    </row>
    <row r="202" spans="1:10"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599</v>
      </c>
      <c r="D202" s="1" t="s">
        <v>600</v>
      </c>
      <c r="E202" s="1" t="s">
        <v>601</v>
      </c>
      <c r="F202" s="1" t="s">
        <v>112</v>
      </c>
      <c r="G202" s="1">
        <v>1643915</v>
      </c>
    </row>
    <row r="203" spans="1:10"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602</v>
      </c>
      <c r="D203" s="1" t="s">
        <v>603</v>
      </c>
      <c r="E203" s="1" t="s">
        <v>604</v>
      </c>
      <c r="F203" s="1" t="s">
        <v>112</v>
      </c>
      <c r="G203" s="1">
        <v>2872623</v>
      </c>
    </row>
    <row r="204" spans="1:10"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605</v>
      </c>
      <c r="D204" s="1" t="s">
        <v>606</v>
      </c>
      <c r="E204" s="1" t="s">
        <v>607</v>
      </c>
      <c r="F204" s="1" t="s">
        <v>112</v>
      </c>
      <c r="G204" s="1">
        <v>2708020</v>
      </c>
    </row>
    <row r="205" spans="1:10"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608</v>
      </c>
      <c r="D205" s="1" t="s">
        <v>609</v>
      </c>
      <c r="E205" s="1" t="s">
        <v>610</v>
      </c>
      <c r="F205" s="1" t="s">
        <v>112</v>
      </c>
      <c r="G205" s="1">
        <v>2388914</v>
      </c>
    </row>
    <row r="206" spans="1:10"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611</v>
      </c>
      <c r="D206" s="1" t="s">
        <v>612</v>
      </c>
      <c r="E206" s="1" t="s">
        <v>613</v>
      </c>
      <c r="F206" s="1" t="s">
        <v>112</v>
      </c>
      <c r="G206" s="1">
        <v>3418605</v>
      </c>
    </row>
    <row r="207" spans="1:10"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614</v>
      </c>
      <c r="D207" s="1" t="s">
        <v>615</v>
      </c>
      <c r="E207" s="1" t="s">
        <v>616</v>
      </c>
      <c r="F207" s="1" t="s">
        <v>112</v>
      </c>
      <c r="G207" s="1">
        <v>3309136</v>
      </c>
    </row>
    <row r="208" spans="1:10"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617</v>
      </c>
      <c r="D208" s="1" t="s">
        <v>618</v>
      </c>
      <c r="E208" s="1" t="s">
        <v>619</v>
      </c>
      <c r="F208" s="1" t="s">
        <v>112</v>
      </c>
      <c r="G208" s="1">
        <v>3139255</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620</v>
      </c>
      <c r="D209" s="1" t="s">
        <v>621</v>
      </c>
      <c r="E209" s="1" t="s">
        <v>622</v>
      </c>
      <c r="F209" s="1" t="s">
        <v>112</v>
      </c>
      <c r="G209" s="1">
        <v>4844512</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623</v>
      </c>
      <c r="D210" s="1" t="s">
        <v>624</v>
      </c>
      <c r="E210" s="1" t="s">
        <v>625</v>
      </c>
      <c r="F210" s="1" t="s">
        <v>112</v>
      </c>
      <c r="G210" s="1">
        <v>6320580</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626</v>
      </c>
      <c r="D211" s="1" t="s">
        <v>627</v>
      </c>
      <c r="E211" s="1" t="s">
        <v>628</v>
      </c>
      <c r="F211" s="1" t="s">
        <v>112</v>
      </c>
      <c r="G211" s="1">
        <v>5554535</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629</v>
      </c>
      <c r="D212" s="1" t="s">
        <v>630</v>
      </c>
      <c r="E212" s="1" t="s">
        <v>631</v>
      </c>
      <c r="F212" s="1" t="s">
        <v>112</v>
      </c>
      <c r="G212" s="1">
        <v>2607484</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632</v>
      </c>
      <c r="D213" s="1" t="s">
        <v>633</v>
      </c>
      <c r="E213" s="1" t="s">
        <v>634</v>
      </c>
      <c r="F213" s="1" t="s">
        <v>112</v>
      </c>
      <c r="G213" s="1">
        <v>2470545</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635</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636</v>
      </c>
      <c r="D215" s="1" t="s">
        <v>637</v>
      </c>
      <c r="E215" s="1" t="s">
        <v>638</v>
      </c>
      <c r="F215" s="1" t="s">
        <v>112</v>
      </c>
      <c r="G215" s="1">
        <v>5197945</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639</v>
      </c>
      <c r="D216" s="1" t="s">
        <v>640</v>
      </c>
      <c r="E216" s="1" t="s">
        <v>641</v>
      </c>
      <c r="F216" s="1" t="s">
        <v>112</v>
      </c>
      <c r="G216" s="1">
        <v>4783516</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642</v>
      </c>
      <c r="D217" s="1" t="s">
        <v>643</v>
      </c>
      <c r="E217" s="1" t="s">
        <v>644</v>
      </c>
      <c r="F217" s="1" t="s">
        <v>112</v>
      </c>
      <c r="G217" s="1">
        <v>4874946</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645</v>
      </c>
      <c r="D218" s="1" t="s">
        <v>603</v>
      </c>
      <c r="E218" s="1" t="s">
        <v>646</v>
      </c>
      <c r="F218" s="1" t="s">
        <v>112</v>
      </c>
      <c r="G218" s="1">
        <v>3644399</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647</v>
      </c>
      <c r="D219" s="1" t="s">
        <v>648</v>
      </c>
      <c r="E219" s="1" t="s">
        <v>649</v>
      </c>
      <c r="F219" s="1" t="s">
        <v>112</v>
      </c>
      <c r="G219" s="1">
        <v>3931428</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650</v>
      </c>
      <c r="D220" s="1" t="s">
        <v>651</v>
      </c>
      <c r="E220" s="1" t="s">
        <v>652</v>
      </c>
      <c r="F220" s="1" t="s">
        <v>112</v>
      </c>
      <c r="G220" s="1">
        <v>3844368</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653</v>
      </c>
      <c r="D221" s="1" t="s">
        <v>654</v>
      </c>
      <c r="E221" s="1" t="s">
        <v>655</v>
      </c>
      <c r="F221" s="1" t="s">
        <v>112</v>
      </c>
      <c r="G221" s="1">
        <v>3452088</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656</v>
      </c>
      <c r="D222" s="1" t="s">
        <v>657</v>
      </c>
      <c r="E222" s="1" t="s">
        <v>658</v>
      </c>
      <c r="F222" s="1" t="s">
        <v>112</v>
      </c>
      <c r="G222" s="1">
        <v>3943000</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659</v>
      </c>
      <c r="D223" s="1" t="s">
        <v>660</v>
      </c>
      <c r="E223" s="1" t="s">
        <v>661</v>
      </c>
      <c r="F223" s="1" t="s">
        <v>112</v>
      </c>
      <c r="G223" s="1">
        <v>4058677</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236</v>
      </c>
      <c r="D225" s="1" t="s">
        <v>112</v>
      </c>
      <c r="E225" s="1" t="s">
        <v>237</v>
      </c>
      <c r="F225" s="1" t="s">
        <v>238</v>
      </c>
      <c r="G225" s="1" t="s">
        <v>239</v>
      </c>
      <c r="H225" s="1" t="s">
        <v>240</v>
      </c>
      <c r="I225" s="1" t="s">
        <v>241</v>
      </c>
      <c r="J225" s="1" t="s">
        <v>242</v>
      </c>
    </row>
    <row r="226" spans="1:10"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662</v>
      </c>
      <c r="D226" s="1" t="s">
        <v>112</v>
      </c>
      <c r="E226" s="1" t="s">
        <v>663</v>
      </c>
      <c r="F226" s="1" t="s">
        <v>664</v>
      </c>
      <c r="G226" s="1" t="s">
        <v>665</v>
      </c>
      <c r="H226" s="1" t="s">
        <v>666</v>
      </c>
      <c r="I226" s="1">
        <v>24</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248</v>
      </c>
      <c r="D232" s="1" t="s">
        <v>110</v>
      </c>
      <c r="E232" s="1" t="s">
        <v>111</v>
      </c>
      <c r="F232" s="1" t="s">
        <v>112</v>
      </c>
      <c r="G232" s="1" t="s">
        <v>113</v>
      </c>
    </row>
    <row r="233" spans="1:10" x14ac:dyDescent="0.25">
      <c r="A233" s="1" t="str">
        <f t="shared" si="3"/>
        <v>08 Fadrozole 5.4 µg_L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667</v>
      </c>
      <c r="D233" s="1" t="s">
        <v>668</v>
      </c>
      <c r="E233" s="1" t="s">
        <v>669</v>
      </c>
      <c r="F233" s="1" t="s">
        <v>112</v>
      </c>
      <c r="G233" s="1">
        <v>372813</v>
      </c>
    </row>
    <row r="234" spans="1:10" x14ac:dyDescent="0.25">
      <c r="A234" s="1" t="str">
        <f t="shared" si="3"/>
        <v>08 Fadrozole 5.4 µg_L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670</v>
      </c>
      <c r="D234" s="1" t="s">
        <v>671</v>
      </c>
      <c r="E234" s="1" t="s">
        <v>672</v>
      </c>
      <c r="F234" s="1" t="s">
        <v>112</v>
      </c>
      <c r="G234" s="1">
        <v>410903</v>
      </c>
    </row>
    <row r="235" spans="1:10" x14ac:dyDescent="0.25">
      <c r="A235" s="1" t="str">
        <f t="shared" si="3"/>
        <v>08 Fadrozole 5.4 µg_L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673</v>
      </c>
      <c r="D235" s="1" t="s">
        <v>674</v>
      </c>
      <c r="E235" s="1" t="s">
        <v>675</v>
      </c>
      <c r="F235" s="1" t="s">
        <v>112</v>
      </c>
      <c r="G235" s="1">
        <v>539601</v>
      </c>
    </row>
    <row r="236" spans="1:10" x14ac:dyDescent="0.25">
      <c r="A236" s="1" t="str">
        <f t="shared" si="3"/>
        <v>08 Fadrozole 5.4 µg_L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676</v>
      </c>
      <c r="D236" s="1" t="s">
        <v>677</v>
      </c>
      <c r="E236" s="1" t="s">
        <v>678</v>
      </c>
      <c r="F236" s="1" t="s">
        <v>112</v>
      </c>
      <c r="G236" s="1">
        <v>803572</v>
      </c>
    </row>
    <row r="237" spans="1:10" x14ac:dyDescent="0.25">
      <c r="A237" s="1" t="str">
        <f t="shared" si="3"/>
        <v>08 Fadrozole 5.4 µg_L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679</v>
      </c>
      <c r="D237" s="1" t="s">
        <v>680</v>
      </c>
      <c r="E237" s="1" t="s">
        <v>681</v>
      </c>
      <c r="F237" s="1" t="s">
        <v>112</v>
      </c>
      <c r="G237" s="1">
        <v>1214519</v>
      </c>
    </row>
    <row r="238" spans="1:10" x14ac:dyDescent="0.25">
      <c r="A238" s="1" t="str">
        <f t="shared" si="3"/>
        <v>08 Fadrozole 5.4 µg_L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682</v>
      </c>
      <c r="D238" s="1" t="s">
        <v>683</v>
      </c>
      <c r="E238" s="1" t="s">
        <v>684</v>
      </c>
      <c r="F238" s="1" t="s">
        <v>112</v>
      </c>
      <c r="G238" s="1">
        <v>658955</v>
      </c>
    </row>
    <row r="239" spans="1:10" x14ac:dyDescent="0.25">
      <c r="A239" s="1" t="str">
        <f t="shared" si="3"/>
        <v>08 Fadrozole 5.4 µg_L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685</v>
      </c>
      <c r="D239" s="1" t="s">
        <v>500</v>
      </c>
      <c r="E239" s="1" t="s">
        <v>686</v>
      </c>
      <c r="F239" s="1" t="s">
        <v>112</v>
      </c>
      <c r="G239" s="1">
        <v>279891</v>
      </c>
    </row>
    <row r="240" spans="1:10" x14ac:dyDescent="0.25">
      <c r="A240" s="1" t="str">
        <f t="shared" si="3"/>
        <v>08 Fadrozole 5.4 µg_L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687</v>
      </c>
      <c r="D240" s="1" t="s">
        <v>688</v>
      </c>
      <c r="E240" s="1" t="s">
        <v>689</v>
      </c>
      <c r="F240" s="1" t="s">
        <v>112</v>
      </c>
      <c r="G240" s="1">
        <v>94220</v>
      </c>
    </row>
    <row r="241" spans="1:7" x14ac:dyDescent="0.25">
      <c r="A241" s="1" t="str">
        <f t="shared" si="3"/>
        <v>08 Fadrozole 5.4 µg_L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690</v>
      </c>
      <c r="D241" s="1" t="s">
        <v>355</v>
      </c>
      <c r="E241" s="1" t="s">
        <v>691</v>
      </c>
      <c r="F241" s="1" t="s">
        <v>112</v>
      </c>
      <c r="G241" s="1">
        <v>324838</v>
      </c>
    </row>
    <row r="242" spans="1:7" x14ac:dyDescent="0.25">
      <c r="A242" s="1" t="str">
        <f t="shared" si="3"/>
        <v>08 Fadrozole 5.4 µg_L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692</v>
      </c>
      <c r="D242" s="1" t="s">
        <v>693</v>
      </c>
      <c r="E242" s="1" t="s">
        <v>694</v>
      </c>
      <c r="F242" s="1" t="s">
        <v>112</v>
      </c>
      <c r="G242" s="1">
        <v>457429</v>
      </c>
    </row>
    <row r="243" spans="1:7" x14ac:dyDescent="0.25">
      <c r="A243" s="1" t="str">
        <f t="shared" si="3"/>
        <v>08 Fadrozole 5.4 µg_L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695</v>
      </c>
      <c r="D243" s="1" t="s">
        <v>696</v>
      </c>
      <c r="E243" s="1" t="s">
        <v>697</v>
      </c>
      <c r="F243" s="1" t="s">
        <v>112</v>
      </c>
      <c r="G243" s="1">
        <v>487624</v>
      </c>
    </row>
    <row r="244" spans="1:7" x14ac:dyDescent="0.25">
      <c r="A244" s="1" t="str">
        <f t="shared" si="3"/>
        <v>08 Fadrozole 5.4 µg_L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698</v>
      </c>
      <c r="D244" s="1" t="s">
        <v>307</v>
      </c>
      <c r="E244" s="1" t="s">
        <v>699</v>
      </c>
      <c r="F244" s="1" t="s">
        <v>112</v>
      </c>
      <c r="G244" s="1">
        <v>433831</v>
      </c>
    </row>
    <row r="245" spans="1:7" x14ac:dyDescent="0.25">
      <c r="A245" s="1" t="str">
        <f t="shared" si="3"/>
        <v>08 Fadrozole 5.4 µg_L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700</v>
      </c>
      <c r="D245" s="1" t="s">
        <v>701</v>
      </c>
      <c r="E245" s="1" t="s">
        <v>702</v>
      </c>
      <c r="F245" s="1" t="s">
        <v>112</v>
      </c>
      <c r="G245" s="1">
        <v>143125</v>
      </c>
    </row>
    <row r="246" spans="1:7" x14ac:dyDescent="0.25">
      <c r="A246" s="1" t="str">
        <f t="shared" si="3"/>
        <v>08 Fadrozole 5.4 µg_L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703</v>
      </c>
      <c r="D246" s="1" t="s">
        <v>704</v>
      </c>
      <c r="E246" s="1" t="s">
        <v>705</v>
      </c>
      <c r="F246" s="1" t="s">
        <v>112</v>
      </c>
      <c r="G246" s="1">
        <v>45271</v>
      </c>
    </row>
    <row r="247" spans="1:7" x14ac:dyDescent="0.25">
      <c r="A247" s="1" t="str">
        <f t="shared" si="3"/>
        <v>08 Fadrozole 5.4 µg_L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706</v>
      </c>
      <c r="D247" s="1" t="s">
        <v>186</v>
      </c>
      <c r="E247" s="1" t="s">
        <v>707</v>
      </c>
      <c r="F247" s="1" t="s">
        <v>112</v>
      </c>
      <c r="G247" s="1">
        <v>18926</v>
      </c>
    </row>
    <row r="248" spans="1:7" x14ac:dyDescent="0.25">
      <c r="A248" s="1" t="str">
        <f t="shared" si="3"/>
        <v>08 Fadrozole 5.4 µg_L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708</v>
      </c>
      <c r="D248" s="1" t="s">
        <v>211</v>
      </c>
      <c r="E248" s="1" t="s">
        <v>709</v>
      </c>
      <c r="F248" s="1" t="s">
        <v>112</v>
      </c>
      <c r="G248" s="1">
        <v>166983</v>
      </c>
    </row>
    <row r="249" spans="1:7" x14ac:dyDescent="0.25">
      <c r="A249" s="1" t="str">
        <f t="shared" si="3"/>
        <v>08 Fadrozole 5.4 µg_L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710</v>
      </c>
      <c r="D249" s="1" t="s">
        <v>711</v>
      </c>
      <c r="E249" s="1" t="s">
        <v>712</v>
      </c>
      <c r="F249" s="1" t="s">
        <v>112</v>
      </c>
      <c r="G249" s="1">
        <v>146067</v>
      </c>
    </row>
    <row r="250" spans="1:7" x14ac:dyDescent="0.25">
      <c r="A250" s="1" t="str">
        <f t="shared" si="3"/>
        <v>08 Fadrozole 5.4 µg_L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713</v>
      </c>
      <c r="D250" s="1" t="s">
        <v>714</v>
      </c>
      <c r="E250" s="1" t="s">
        <v>715</v>
      </c>
      <c r="F250" s="1" t="s">
        <v>112</v>
      </c>
      <c r="G250" s="1">
        <v>57276</v>
      </c>
    </row>
    <row r="251" spans="1:7" x14ac:dyDescent="0.25">
      <c r="A251" s="1" t="str">
        <f t="shared" si="3"/>
        <v>08 Fadrozole 5.4 µg_L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716</v>
      </c>
      <c r="D251" s="1" t="s">
        <v>717</v>
      </c>
      <c r="E251" s="1" t="s">
        <v>718</v>
      </c>
      <c r="F251" s="1" t="s">
        <v>112</v>
      </c>
      <c r="G251" s="1">
        <v>1155988</v>
      </c>
    </row>
    <row r="252" spans="1:7" x14ac:dyDescent="0.25">
      <c r="A252" s="1" t="str">
        <f t="shared" si="3"/>
        <v>08 Fadrozole 5.4 µg_L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719</v>
      </c>
      <c r="D252" s="1" t="s">
        <v>720</v>
      </c>
      <c r="E252" s="1" t="s">
        <v>721</v>
      </c>
      <c r="F252" s="1" t="s">
        <v>112</v>
      </c>
      <c r="G252" s="1">
        <v>1048942</v>
      </c>
    </row>
    <row r="253" spans="1:7" x14ac:dyDescent="0.25">
      <c r="A253" s="1" t="str">
        <f t="shared" si="3"/>
        <v>08 Fadrozole 5.4 µg_L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722</v>
      </c>
      <c r="D253" s="1" t="s">
        <v>723</v>
      </c>
      <c r="E253" s="1" t="s">
        <v>724</v>
      </c>
      <c r="F253" s="1" t="s">
        <v>112</v>
      </c>
      <c r="G253" s="1">
        <v>900517</v>
      </c>
    </row>
    <row r="254" spans="1:7" x14ac:dyDescent="0.25">
      <c r="A254" s="1" t="str">
        <f t="shared" si="3"/>
        <v>08 Fadrozole 5.4 µg_L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725</v>
      </c>
      <c r="D254" s="1" t="s">
        <v>726</v>
      </c>
      <c r="E254" s="1" t="s">
        <v>727</v>
      </c>
      <c r="F254" s="1" t="s">
        <v>112</v>
      </c>
      <c r="G254" s="1">
        <v>1013231</v>
      </c>
    </row>
    <row r="255" spans="1:7" x14ac:dyDescent="0.25">
      <c r="A255" s="1" t="str">
        <f t="shared" si="3"/>
        <v>08 Fadrozole 5.4 µg_L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728</v>
      </c>
      <c r="D255" s="1" t="s">
        <v>214</v>
      </c>
      <c r="E255" s="1" t="s">
        <v>707</v>
      </c>
      <c r="F255" s="1" t="s">
        <v>112</v>
      </c>
      <c r="G255" s="1">
        <v>40556</v>
      </c>
    </row>
    <row r="256" spans="1:7" x14ac:dyDescent="0.25">
      <c r="A256" s="1" t="str">
        <f t="shared" si="3"/>
        <v>08 Fadrozole 5.4 µg_L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729</v>
      </c>
      <c r="D256" s="1" t="s">
        <v>730</v>
      </c>
      <c r="E256" s="1" t="s">
        <v>731</v>
      </c>
      <c r="F256" s="1" t="s">
        <v>112</v>
      </c>
      <c r="G256" s="1">
        <v>1089909</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236</v>
      </c>
      <c r="D258" s="1" t="s">
        <v>112</v>
      </c>
      <c r="E258" s="1" t="s">
        <v>237</v>
      </c>
      <c r="F258" s="1" t="s">
        <v>238</v>
      </c>
      <c r="G258" s="1" t="s">
        <v>239</v>
      </c>
      <c r="H258" s="1" t="s">
        <v>240</v>
      </c>
      <c r="I258" s="1" t="s">
        <v>241</v>
      </c>
      <c r="J258" s="1" t="s">
        <v>242</v>
      </c>
    </row>
    <row r="259" spans="1:10" x14ac:dyDescent="0.25">
      <c r="A259" s="1" t="str">
        <f t="shared" si="4"/>
        <v>08 Fadrozole 5.4 µg_L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732</v>
      </c>
      <c r="D259" s="1" t="s">
        <v>112</v>
      </c>
      <c r="E259" s="1" t="s">
        <v>733</v>
      </c>
      <c r="F259" s="1" t="s">
        <v>734</v>
      </c>
      <c r="G259" s="1" t="s">
        <v>735</v>
      </c>
      <c r="H259" s="1" t="s">
        <v>736</v>
      </c>
      <c r="I259" s="1">
        <v>24</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248</v>
      </c>
      <c r="D265" s="1" t="s">
        <v>110</v>
      </c>
      <c r="E265" s="1" t="s">
        <v>111</v>
      </c>
      <c r="F265" s="1" t="s">
        <v>112</v>
      </c>
      <c r="G265" s="1" t="s">
        <v>113</v>
      </c>
    </row>
    <row r="266" spans="1:10" x14ac:dyDescent="0.25">
      <c r="A266" s="1" t="str">
        <f t="shared" si="4"/>
        <v>09 Fadrozole 11 µg_L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737</v>
      </c>
      <c r="D266" s="1" t="s">
        <v>738</v>
      </c>
      <c r="E266" s="1" t="s">
        <v>739</v>
      </c>
      <c r="F266" s="1" t="s">
        <v>112</v>
      </c>
      <c r="G266" s="1">
        <v>30606</v>
      </c>
    </row>
    <row r="267" spans="1:10" x14ac:dyDescent="0.25">
      <c r="A267" s="1" t="str">
        <f t="shared" si="4"/>
        <v>09 Fadrozole 11 µg_L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740</v>
      </c>
      <c r="D267" s="1" t="s">
        <v>370</v>
      </c>
      <c r="E267" s="1" t="s">
        <v>741</v>
      </c>
      <c r="F267" s="1" t="s">
        <v>112</v>
      </c>
      <c r="G267" s="1">
        <v>28811</v>
      </c>
    </row>
    <row r="268" spans="1:10" x14ac:dyDescent="0.25">
      <c r="A268" s="1" t="str">
        <f t="shared" si="4"/>
        <v>09 Fadrozole 11 µg_L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742</v>
      </c>
      <c r="D268" s="1" t="s">
        <v>186</v>
      </c>
      <c r="E268" s="1" t="s">
        <v>743</v>
      </c>
      <c r="F268" s="1" t="s">
        <v>112</v>
      </c>
      <c r="G268" s="1">
        <v>18731</v>
      </c>
    </row>
    <row r="269" spans="1:10" x14ac:dyDescent="0.25">
      <c r="A269" s="1" t="str">
        <f t="shared" si="4"/>
        <v>09 Fadrozole 11 µg_L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744</v>
      </c>
      <c r="D269" s="1" t="s">
        <v>745</v>
      </c>
      <c r="E269" s="1" t="s">
        <v>746</v>
      </c>
      <c r="F269" s="1" t="s">
        <v>112</v>
      </c>
      <c r="G269" s="1">
        <v>39669</v>
      </c>
    </row>
    <row r="270" spans="1:10" x14ac:dyDescent="0.25">
      <c r="A270" s="1" t="str">
        <f t="shared" si="4"/>
        <v>09 Fadrozole 11 µg_L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747</v>
      </c>
      <c r="D270" s="1" t="s">
        <v>748</v>
      </c>
      <c r="E270" s="1" t="s">
        <v>749</v>
      </c>
      <c r="F270" s="1" t="s">
        <v>112</v>
      </c>
      <c r="G270" s="1">
        <v>342250</v>
      </c>
    </row>
    <row r="271" spans="1:10" x14ac:dyDescent="0.25">
      <c r="A271" s="1" t="str">
        <f t="shared" si="4"/>
        <v>09 Fadrozole 11 µg_L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750</v>
      </c>
      <c r="D271" s="1" t="s">
        <v>234</v>
      </c>
      <c r="E271" s="1" t="s">
        <v>256</v>
      </c>
      <c r="F271" s="1" t="s">
        <v>112</v>
      </c>
      <c r="G271" s="1">
        <v>43108</v>
      </c>
    </row>
    <row r="272" spans="1:10" x14ac:dyDescent="0.25">
      <c r="A272" s="1" t="str">
        <f t="shared" si="4"/>
        <v>09 Fadrozole 11 µg_L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751</v>
      </c>
      <c r="D272" s="1" t="s">
        <v>178</v>
      </c>
      <c r="E272" s="1" t="s">
        <v>752</v>
      </c>
      <c r="F272" s="1" t="s">
        <v>112</v>
      </c>
      <c r="G272" s="1">
        <v>26064</v>
      </c>
    </row>
    <row r="273" spans="1:7" x14ac:dyDescent="0.25">
      <c r="A273" s="1" t="str">
        <f t="shared" si="4"/>
        <v>09 Fadrozole 11 µg_L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753</v>
      </c>
      <c r="D273" s="1" t="s">
        <v>754</v>
      </c>
      <c r="E273" s="1" t="s">
        <v>755</v>
      </c>
      <c r="F273" s="1" t="s">
        <v>112</v>
      </c>
      <c r="G273" s="1">
        <v>214482</v>
      </c>
    </row>
    <row r="274" spans="1:7" x14ac:dyDescent="0.25">
      <c r="A274" s="1" t="str">
        <f t="shared" si="4"/>
        <v>09 Fadrozole 11 µg_L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756</v>
      </c>
      <c r="D274" s="1" t="s">
        <v>714</v>
      </c>
      <c r="E274" s="1" t="s">
        <v>757</v>
      </c>
      <c r="F274" s="1" t="s">
        <v>112</v>
      </c>
      <c r="G274" s="1">
        <v>58336</v>
      </c>
    </row>
    <row r="275" spans="1:7" x14ac:dyDescent="0.25">
      <c r="A275" s="1" t="str">
        <f t="shared" si="4"/>
        <v>09 Fadrozole 11 µg_L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758</v>
      </c>
      <c r="D275" s="1" t="s">
        <v>759</v>
      </c>
      <c r="E275" s="1" t="s">
        <v>760</v>
      </c>
      <c r="F275" s="1" t="s">
        <v>112</v>
      </c>
      <c r="G275" s="1">
        <v>393729</v>
      </c>
    </row>
    <row r="276" spans="1:7" x14ac:dyDescent="0.25">
      <c r="A276" s="1" t="str">
        <f t="shared" si="4"/>
        <v>09 Fadrozole 11 µg_L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761</v>
      </c>
      <c r="D276" s="1" t="s">
        <v>762</v>
      </c>
      <c r="E276" s="1">
        <v>66</v>
      </c>
      <c r="F276" s="1" t="s">
        <v>112</v>
      </c>
      <c r="G276" s="1">
        <v>168454</v>
      </c>
    </row>
    <row r="277" spans="1:7" x14ac:dyDescent="0.25">
      <c r="A277" s="1" t="str">
        <f t="shared" si="4"/>
        <v>09 Fadrozole 11 µg_L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763</v>
      </c>
      <c r="D277" s="1" t="s">
        <v>764</v>
      </c>
      <c r="E277" s="1" t="s">
        <v>765</v>
      </c>
      <c r="F277" s="1" t="s">
        <v>112</v>
      </c>
      <c r="G277" s="1">
        <v>141113</v>
      </c>
    </row>
    <row r="278" spans="1:7" x14ac:dyDescent="0.25">
      <c r="A278" s="1" t="str">
        <f t="shared" si="4"/>
        <v>09 Fadrozole 11 µg_L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766</v>
      </c>
      <c r="D278" s="1" t="s">
        <v>217</v>
      </c>
      <c r="E278" s="1" t="s">
        <v>767</v>
      </c>
      <c r="F278" s="1" t="s">
        <v>112</v>
      </c>
      <c r="G278" s="1">
        <v>31818</v>
      </c>
    </row>
    <row r="279" spans="1:7" x14ac:dyDescent="0.25">
      <c r="A279" s="1" t="str">
        <f t="shared" si="4"/>
        <v>09 Fadrozole 11 µg_L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768</v>
      </c>
      <c r="D279" s="1" t="s">
        <v>769</v>
      </c>
      <c r="E279" s="1" t="s">
        <v>770</v>
      </c>
      <c r="F279" s="1" t="s">
        <v>112</v>
      </c>
      <c r="G279" s="1">
        <v>45726</v>
      </c>
    </row>
    <row r="280" spans="1:7" x14ac:dyDescent="0.25">
      <c r="A280" s="1" t="str">
        <f t="shared" si="4"/>
        <v>09 Fadrozole 11 µg_L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771</v>
      </c>
      <c r="D280" s="1" t="s">
        <v>772</v>
      </c>
      <c r="E280" s="1" t="s">
        <v>773</v>
      </c>
      <c r="F280" s="1" t="s">
        <v>112</v>
      </c>
      <c r="G280" s="1">
        <v>18083</v>
      </c>
    </row>
    <row r="281" spans="1:7" x14ac:dyDescent="0.25">
      <c r="A281" s="1" t="str">
        <f t="shared" si="4"/>
        <v>09 Fadrozole 11 µg_L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774</v>
      </c>
      <c r="D281" s="1" t="s">
        <v>775</v>
      </c>
      <c r="E281" s="1" t="s">
        <v>776</v>
      </c>
      <c r="F281" s="1" t="s">
        <v>112</v>
      </c>
      <c r="G281" s="1">
        <v>246862</v>
      </c>
    </row>
    <row r="282" spans="1:7" x14ac:dyDescent="0.25">
      <c r="A282" s="1" t="str">
        <f t="shared" si="4"/>
        <v>09 Fadrozole 11 µg_L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777</v>
      </c>
      <c r="D282" s="1" t="s">
        <v>778</v>
      </c>
      <c r="E282" s="1" t="s">
        <v>779</v>
      </c>
      <c r="F282" s="1" t="s">
        <v>112</v>
      </c>
      <c r="G282" s="1">
        <v>238188</v>
      </c>
    </row>
    <row r="283" spans="1:7" x14ac:dyDescent="0.25">
      <c r="A283" s="1" t="str">
        <f t="shared" si="4"/>
        <v>09 Fadrozole 11 µg_L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780</v>
      </c>
      <c r="D283" s="1" t="s">
        <v>781</v>
      </c>
      <c r="E283" s="1" t="s">
        <v>782</v>
      </c>
      <c r="F283" s="1" t="s">
        <v>112</v>
      </c>
      <c r="G283" s="1">
        <v>234598</v>
      </c>
    </row>
    <row r="284" spans="1:7" x14ac:dyDescent="0.25">
      <c r="A284" s="1" t="str">
        <f t="shared" si="4"/>
        <v>09 Fadrozole 11 µg_L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783</v>
      </c>
      <c r="D284" s="1" t="s">
        <v>784</v>
      </c>
      <c r="E284" s="1" t="s">
        <v>785</v>
      </c>
      <c r="F284" s="1" t="s">
        <v>112</v>
      </c>
      <c r="G284" s="1">
        <v>24355</v>
      </c>
    </row>
    <row r="285" spans="1:7" x14ac:dyDescent="0.25">
      <c r="A285" s="1" t="str">
        <f t="shared" si="4"/>
        <v>09 Fadrozole 11 µg_L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786</v>
      </c>
      <c r="D285" s="1" t="s">
        <v>350</v>
      </c>
      <c r="E285" s="1" t="s">
        <v>787</v>
      </c>
      <c r="F285" s="1" t="s">
        <v>112</v>
      </c>
      <c r="G285" s="1">
        <v>51760</v>
      </c>
    </row>
    <row r="286" spans="1:7" x14ac:dyDescent="0.25">
      <c r="A286" s="1" t="str">
        <f t="shared" si="4"/>
        <v>09 Fadrozole 11 µg_L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788</v>
      </c>
      <c r="D286" s="1" t="s">
        <v>293</v>
      </c>
      <c r="E286" s="1" t="s">
        <v>789</v>
      </c>
      <c r="F286" s="1" t="s">
        <v>112</v>
      </c>
      <c r="G286" s="1">
        <v>33678</v>
      </c>
    </row>
    <row r="287" spans="1:7" x14ac:dyDescent="0.25">
      <c r="A287" s="1" t="str">
        <f t="shared" si="4"/>
        <v>09 Fadrozole 11 µg_L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790</v>
      </c>
      <c r="D287" s="1" t="s">
        <v>791</v>
      </c>
      <c r="E287" s="1" t="s">
        <v>792</v>
      </c>
      <c r="F287" s="1" t="s">
        <v>112</v>
      </c>
      <c r="G287" s="1">
        <v>374911</v>
      </c>
    </row>
    <row r="288" spans="1:7" x14ac:dyDescent="0.25">
      <c r="A288" s="1" t="str">
        <f t="shared" si="4"/>
        <v>09 Fadrozole 11 µg_L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793</v>
      </c>
      <c r="D288" s="1" t="s">
        <v>794</v>
      </c>
      <c r="E288" s="1" t="s">
        <v>795</v>
      </c>
      <c r="F288" s="1" t="s">
        <v>112</v>
      </c>
      <c r="G288" s="1">
        <v>223523</v>
      </c>
    </row>
    <row r="289" spans="1:10" x14ac:dyDescent="0.25">
      <c r="A289" s="1" t="str">
        <f t="shared" si="4"/>
        <v>09 Fadrozole 11 µg_L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796</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236</v>
      </c>
      <c r="D291" s="1" t="s">
        <v>112</v>
      </c>
      <c r="E291" s="1" t="s">
        <v>237</v>
      </c>
      <c r="F291" s="1" t="s">
        <v>238</v>
      </c>
      <c r="G291" s="1" t="s">
        <v>239</v>
      </c>
      <c r="H291" s="1" t="s">
        <v>240</v>
      </c>
      <c r="I291" s="1" t="s">
        <v>241</v>
      </c>
      <c r="J291" s="1" t="s">
        <v>242</v>
      </c>
    </row>
    <row r="292" spans="1:10" x14ac:dyDescent="0.25">
      <c r="A292" s="1" t="str">
        <f t="shared" si="4"/>
        <v>09 Fadrozole 11 µg_L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797</v>
      </c>
      <c r="D292" s="1" t="s">
        <v>112</v>
      </c>
      <c r="E292" s="1" t="s">
        <v>798</v>
      </c>
      <c r="F292" s="1" t="s">
        <v>799</v>
      </c>
      <c r="G292" s="1" t="s">
        <v>800</v>
      </c>
      <c r="H292" s="1" t="s">
        <v>801</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248</v>
      </c>
      <c r="D298" s="1" t="s">
        <v>110</v>
      </c>
      <c r="E298" s="1" t="s">
        <v>111</v>
      </c>
      <c r="F298" s="1" t="s">
        <v>112</v>
      </c>
      <c r="G298" s="1" t="s">
        <v>113</v>
      </c>
    </row>
    <row r="299" spans="1:10" x14ac:dyDescent="0.25">
      <c r="A299" s="1" t="str">
        <f t="shared" si="4"/>
        <v>10 Fadrozole 22 µg_L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802</v>
      </c>
      <c r="D299" s="1" t="s">
        <v>290</v>
      </c>
      <c r="E299" s="1" t="s">
        <v>803</v>
      </c>
      <c r="F299" s="1" t="s">
        <v>112</v>
      </c>
      <c r="G299" s="1">
        <v>57730</v>
      </c>
    </row>
    <row r="300" spans="1:10" x14ac:dyDescent="0.25">
      <c r="A300" s="1" t="str">
        <f t="shared" si="4"/>
        <v>10 Fadrozole 22 µg_L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804</v>
      </c>
      <c r="D300" s="1" t="s">
        <v>361</v>
      </c>
      <c r="E300" s="1" t="s">
        <v>805</v>
      </c>
      <c r="F300" s="1" t="s">
        <v>112</v>
      </c>
      <c r="G300" s="1">
        <v>77759</v>
      </c>
    </row>
    <row r="301" spans="1:10" x14ac:dyDescent="0.25">
      <c r="A301" s="1" t="str">
        <f t="shared" si="4"/>
        <v>10 Fadrozole 22 µg_L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806</v>
      </c>
      <c r="D301" s="1" t="s">
        <v>807</v>
      </c>
      <c r="E301" s="1" t="s">
        <v>808</v>
      </c>
      <c r="F301" s="1" t="s">
        <v>112</v>
      </c>
      <c r="G301" s="1">
        <v>115850</v>
      </c>
    </row>
    <row r="302" spans="1:10" x14ac:dyDescent="0.25">
      <c r="A302" s="1" t="str">
        <f t="shared" si="4"/>
        <v>10 Fadrozole 22 µg_L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809</v>
      </c>
      <c r="D302" s="1" t="s">
        <v>810</v>
      </c>
      <c r="E302" s="1" t="s">
        <v>811</v>
      </c>
      <c r="F302" s="1" t="s">
        <v>112</v>
      </c>
      <c r="G302" s="1">
        <v>101163</v>
      </c>
    </row>
    <row r="303" spans="1:10" x14ac:dyDescent="0.25">
      <c r="A303" s="1" t="str">
        <f t="shared" si="4"/>
        <v>10 Fadrozole 22 µg_L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812</v>
      </c>
      <c r="D303" s="1" t="s">
        <v>813</v>
      </c>
      <c r="E303" s="1" t="s">
        <v>814</v>
      </c>
      <c r="F303" s="1" t="s">
        <v>112</v>
      </c>
      <c r="G303" s="1">
        <v>143103</v>
      </c>
    </row>
    <row r="304" spans="1:10" x14ac:dyDescent="0.25">
      <c r="A304" s="1" t="str">
        <f t="shared" si="4"/>
        <v>10 Fadrozole 22 µg_L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815</v>
      </c>
      <c r="D304" s="1" t="s">
        <v>816</v>
      </c>
      <c r="E304" s="1" t="s">
        <v>817</v>
      </c>
      <c r="F304" s="1" t="s">
        <v>112</v>
      </c>
      <c r="G304" s="1">
        <v>94696</v>
      </c>
    </row>
    <row r="305" spans="1:7" x14ac:dyDescent="0.25">
      <c r="A305" s="1" t="str">
        <f t="shared" si="4"/>
        <v>10 Fadrozole 22 µg_L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818</v>
      </c>
      <c r="D305" s="1" t="s">
        <v>819</v>
      </c>
      <c r="E305" s="1" t="s">
        <v>820</v>
      </c>
      <c r="F305" s="1" t="s">
        <v>112</v>
      </c>
      <c r="G305" s="1">
        <v>70211</v>
      </c>
    </row>
    <row r="306" spans="1:7" x14ac:dyDescent="0.25">
      <c r="A306" s="1" t="str">
        <f t="shared" si="4"/>
        <v>10 Fadrozole 22 µg_L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821</v>
      </c>
      <c r="D306" s="1" t="s">
        <v>764</v>
      </c>
      <c r="E306" s="1" t="s">
        <v>822</v>
      </c>
      <c r="F306" s="1" t="s">
        <v>112</v>
      </c>
      <c r="G306" s="1">
        <v>137869</v>
      </c>
    </row>
    <row r="307" spans="1:7" x14ac:dyDescent="0.25">
      <c r="A307" s="1" t="str">
        <f t="shared" si="4"/>
        <v>10 Fadrozole 22 µg_L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823</v>
      </c>
      <c r="D307" s="1" t="s">
        <v>824</v>
      </c>
      <c r="E307" s="1" t="s">
        <v>825</v>
      </c>
      <c r="F307" s="1" t="s">
        <v>112</v>
      </c>
      <c r="G307" s="1">
        <v>77046</v>
      </c>
    </row>
    <row r="308" spans="1:7" x14ac:dyDescent="0.25">
      <c r="A308" s="1" t="str">
        <f t="shared" si="4"/>
        <v>10 Fadrozole 22 µg_L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826</v>
      </c>
      <c r="D308" s="1" t="s">
        <v>361</v>
      </c>
      <c r="E308" s="1" t="s">
        <v>827</v>
      </c>
      <c r="F308" s="1" t="s">
        <v>112</v>
      </c>
      <c r="G308" s="1">
        <v>77803</v>
      </c>
    </row>
    <row r="309" spans="1:7" x14ac:dyDescent="0.25">
      <c r="A309" s="1" t="str">
        <f t="shared" si="4"/>
        <v>10 Fadrozole 22 µg_L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828</v>
      </c>
      <c r="D309" s="1" t="s">
        <v>278</v>
      </c>
      <c r="E309" s="1" t="s">
        <v>829</v>
      </c>
      <c r="F309" s="1" t="s">
        <v>112</v>
      </c>
      <c r="G309" s="1">
        <v>12567</v>
      </c>
    </row>
    <row r="310" spans="1:7" x14ac:dyDescent="0.25">
      <c r="A310" s="1" t="str">
        <f t="shared" si="4"/>
        <v>10 Fadrozole 22 µg_L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830</v>
      </c>
      <c r="D310" s="1" t="s">
        <v>807</v>
      </c>
      <c r="E310" s="1" t="s">
        <v>831</v>
      </c>
      <c r="F310" s="1" t="s">
        <v>112</v>
      </c>
      <c r="G310" s="1">
        <v>116628</v>
      </c>
    </row>
    <row r="311" spans="1:7" x14ac:dyDescent="0.25">
      <c r="A311" s="1" t="str">
        <f t="shared" si="4"/>
        <v>10 Fadrozole 22 µg_L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832</v>
      </c>
      <c r="D311" s="1" t="s">
        <v>833</v>
      </c>
      <c r="E311" s="1" t="s">
        <v>834</v>
      </c>
      <c r="F311" s="1" t="s">
        <v>112</v>
      </c>
      <c r="G311" s="1">
        <v>125799</v>
      </c>
    </row>
    <row r="312" spans="1:7" x14ac:dyDescent="0.25">
      <c r="A312" s="1" t="str">
        <f t="shared" si="4"/>
        <v>10 Fadrozole 22 µg_L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835</v>
      </c>
      <c r="D312" s="1" t="s">
        <v>836</v>
      </c>
      <c r="E312" s="1" t="s">
        <v>837</v>
      </c>
      <c r="F312" s="1" t="s">
        <v>112</v>
      </c>
      <c r="G312" s="1">
        <v>327498</v>
      </c>
    </row>
    <row r="313" spans="1:7" x14ac:dyDescent="0.25">
      <c r="A313" s="1" t="str">
        <f t="shared" si="4"/>
        <v>10 Fadrozole 22 µg_L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838</v>
      </c>
    </row>
    <row r="314" spans="1:7" x14ac:dyDescent="0.25">
      <c r="A314" s="1" t="str">
        <f t="shared" si="4"/>
        <v>10 Fadrozole 22 µg_L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839</v>
      </c>
      <c r="D314" s="1" t="s">
        <v>840</v>
      </c>
      <c r="E314" s="1" t="s">
        <v>841</v>
      </c>
      <c r="F314" s="1" t="s">
        <v>112</v>
      </c>
      <c r="G314" s="1">
        <v>303251</v>
      </c>
    </row>
    <row r="315" spans="1:7" x14ac:dyDescent="0.25">
      <c r="A315" s="1" t="str">
        <f t="shared" si="4"/>
        <v>10 Fadrozole 22 µg_L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842</v>
      </c>
      <c r="D315" s="1" t="s">
        <v>794</v>
      </c>
      <c r="E315" s="1" t="s">
        <v>843</v>
      </c>
      <c r="F315" s="1" t="s">
        <v>112</v>
      </c>
      <c r="G315" s="1">
        <v>228239</v>
      </c>
    </row>
    <row r="316" spans="1:7" x14ac:dyDescent="0.25">
      <c r="A316" s="1" t="str">
        <f t="shared" si="4"/>
        <v>10 Fadrozole 22 µg_L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844</v>
      </c>
      <c r="D316" s="1" t="s">
        <v>845</v>
      </c>
      <c r="E316" s="1" t="s">
        <v>846</v>
      </c>
      <c r="F316" s="1" t="s">
        <v>112</v>
      </c>
      <c r="G316" s="1">
        <v>254822</v>
      </c>
    </row>
    <row r="317" spans="1:7" x14ac:dyDescent="0.25">
      <c r="A317" s="1" t="str">
        <f t="shared" si="4"/>
        <v>10 Fadrozole 22 µg_L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847</v>
      </c>
      <c r="D317" s="1" t="s">
        <v>848</v>
      </c>
      <c r="E317" s="1" t="s">
        <v>849</v>
      </c>
      <c r="F317" s="1" t="s">
        <v>112</v>
      </c>
      <c r="G317" s="1">
        <v>27297</v>
      </c>
    </row>
    <row r="318" spans="1:7" x14ac:dyDescent="0.25">
      <c r="A318" s="1" t="str">
        <f t="shared" si="4"/>
        <v>10 Fadrozole 22 µg_L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850</v>
      </c>
      <c r="D318" s="1" t="s">
        <v>271</v>
      </c>
      <c r="E318" s="1" t="s">
        <v>851</v>
      </c>
      <c r="F318" s="1" t="s">
        <v>112</v>
      </c>
      <c r="G318" s="1">
        <v>14925</v>
      </c>
    </row>
    <row r="319" spans="1:7" x14ac:dyDescent="0.25">
      <c r="A319" s="1" t="str">
        <f t="shared" si="4"/>
        <v>10 Fadrozole 22 µg_L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852</v>
      </c>
      <c r="D319" s="1" t="s">
        <v>853</v>
      </c>
      <c r="E319" s="1" t="s">
        <v>854</v>
      </c>
      <c r="F319" s="1" t="s">
        <v>112</v>
      </c>
      <c r="G319" s="1">
        <v>9409</v>
      </c>
    </row>
    <row r="320" spans="1:7" x14ac:dyDescent="0.25">
      <c r="A320" s="1" t="str">
        <f t="shared" si="4"/>
        <v>10 Fadrozole 22 µg_L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855</v>
      </c>
      <c r="D320" s="1" t="s">
        <v>856</v>
      </c>
      <c r="E320" s="1" t="s">
        <v>857</v>
      </c>
      <c r="F320" s="1" t="s">
        <v>112</v>
      </c>
      <c r="G320" s="1">
        <v>441964</v>
      </c>
    </row>
    <row r="321" spans="1:10" x14ac:dyDescent="0.25">
      <c r="A321" s="1" t="str">
        <f t="shared" si="4"/>
        <v>10 Fadrozole 22 µg_L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858</v>
      </c>
      <c r="D321" s="1" t="s">
        <v>859</v>
      </c>
      <c r="E321" s="1" t="s">
        <v>860</v>
      </c>
      <c r="F321" s="1" t="s">
        <v>112</v>
      </c>
      <c r="G321" s="1">
        <v>199990</v>
      </c>
    </row>
    <row r="322" spans="1:10" x14ac:dyDescent="0.25">
      <c r="A322" s="1" t="str">
        <f t="shared" ref="A322:A385" si="5">IFERROR(LEFT(RIGHT(C322,LEN(C322)-SEARCH("@",C322)),SEARCH("/",RIGHT(C322,LEN(C322)-SEARCH("@",C322)-1))),"")</f>
        <v>10 Fadrozole 22 µg_L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861</v>
      </c>
      <c r="D322" s="1" t="s">
        <v>296</v>
      </c>
      <c r="E322" s="1" t="s">
        <v>862</v>
      </c>
      <c r="F322" s="1" t="s">
        <v>112</v>
      </c>
      <c r="G322" s="1">
        <v>16742</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236</v>
      </c>
      <c r="D324" s="1" t="s">
        <v>112</v>
      </c>
      <c r="E324" s="1" t="s">
        <v>237</v>
      </c>
      <c r="F324" s="1" t="s">
        <v>238</v>
      </c>
      <c r="G324" s="1" t="s">
        <v>239</v>
      </c>
      <c r="H324" s="1" t="s">
        <v>240</v>
      </c>
      <c r="I324" s="1" t="s">
        <v>241</v>
      </c>
      <c r="J324" s="1" t="s">
        <v>242</v>
      </c>
    </row>
    <row r="325" spans="1:10" x14ac:dyDescent="0.25">
      <c r="A325" s="1" t="str">
        <f t="shared" si="5"/>
        <v>10 Fadrozole 22 µg_L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863</v>
      </c>
      <c r="D325" s="1" t="s">
        <v>112</v>
      </c>
      <c r="E325" s="1" t="s">
        <v>864</v>
      </c>
      <c r="F325" s="1" t="s">
        <v>865</v>
      </c>
      <c r="G325" s="1" t="s">
        <v>866</v>
      </c>
      <c r="H325" s="1" t="s">
        <v>867</v>
      </c>
      <c r="I325" s="1">
        <v>24</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248</v>
      </c>
      <c r="D331" s="1" t="s">
        <v>110</v>
      </c>
      <c r="E331" s="1" t="s">
        <v>111</v>
      </c>
      <c r="F331" s="1" t="s">
        <v>112</v>
      </c>
      <c r="G331" s="1" t="s">
        <v>113</v>
      </c>
    </row>
    <row r="332" spans="1:10" x14ac:dyDescent="0.25">
      <c r="A332" s="1" t="str">
        <f t="shared" si="5"/>
        <v>11 Fadrozole 44 µg_L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868</v>
      </c>
      <c r="D332" s="1" t="s">
        <v>869</v>
      </c>
      <c r="E332" s="1" t="s">
        <v>870</v>
      </c>
      <c r="F332" s="1" t="s">
        <v>112</v>
      </c>
      <c r="G332" s="1">
        <v>427493</v>
      </c>
    </row>
    <row r="333" spans="1:10" x14ac:dyDescent="0.25">
      <c r="A333" s="1" t="str">
        <f t="shared" si="5"/>
        <v>11 Fadrozole 44 µg_L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871</v>
      </c>
      <c r="D333" s="1" t="s">
        <v>872</v>
      </c>
      <c r="E333" s="1" t="s">
        <v>873</v>
      </c>
      <c r="F333" s="1" t="s">
        <v>112</v>
      </c>
      <c r="G333" s="1">
        <v>232630</v>
      </c>
    </row>
    <row r="334" spans="1:10" x14ac:dyDescent="0.25">
      <c r="A334" s="1" t="str">
        <f t="shared" si="5"/>
        <v>11 Fadrozole 44 µg_L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874</v>
      </c>
      <c r="D334" s="1" t="s">
        <v>875</v>
      </c>
      <c r="E334" s="1" t="s">
        <v>876</v>
      </c>
      <c r="F334" s="1" t="s">
        <v>112</v>
      </c>
      <c r="G334" s="1">
        <v>186147</v>
      </c>
    </row>
    <row r="335" spans="1:10" x14ac:dyDescent="0.25">
      <c r="A335" s="1" t="str">
        <f t="shared" si="5"/>
        <v>11 Fadrozole 44 µg_L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877</v>
      </c>
      <c r="D335" s="1" t="s">
        <v>878</v>
      </c>
      <c r="E335" s="1" t="s">
        <v>879</v>
      </c>
      <c r="F335" s="1" t="s">
        <v>112</v>
      </c>
      <c r="G335" s="1">
        <v>105576</v>
      </c>
    </row>
    <row r="336" spans="1:10" x14ac:dyDescent="0.25">
      <c r="A336" s="1" t="str">
        <f t="shared" si="5"/>
        <v>11 Fadrozole 44 µg_L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880</v>
      </c>
      <c r="D336" s="1" t="s">
        <v>214</v>
      </c>
      <c r="E336" s="1" t="s">
        <v>881</v>
      </c>
      <c r="F336" s="1" t="s">
        <v>112</v>
      </c>
      <c r="G336" s="1">
        <v>40902</v>
      </c>
    </row>
    <row r="337" spans="1:7" x14ac:dyDescent="0.25">
      <c r="A337" s="1" t="str">
        <f t="shared" si="5"/>
        <v>11 Fadrozole 44 µg_L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882</v>
      </c>
      <c r="D337" s="1" t="s">
        <v>189</v>
      </c>
      <c r="E337" s="1" t="s">
        <v>883</v>
      </c>
      <c r="F337" s="1" t="s">
        <v>112</v>
      </c>
      <c r="G337" s="1">
        <v>24204</v>
      </c>
    </row>
    <row r="338" spans="1:7" x14ac:dyDescent="0.25">
      <c r="A338" s="1" t="str">
        <f t="shared" si="5"/>
        <v>11 Fadrozole 44 µg_L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884</v>
      </c>
      <c r="D338" s="1" t="s">
        <v>885</v>
      </c>
      <c r="E338" s="1" t="s">
        <v>886</v>
      </c>
      <c r="F338" s="1" t="s">
        <v>112</v>
      </c>
      <c r="G338" s="1">
        <v>369720</v>
      </c>
    </row>
    <row r="339" spans="1:7" x14ac:dyDescent="0.25">
      <c r="A339" s="1" t="str">
        <f t="shared" si="5"/>
        <v>11 Fadrozole 44 µg_L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887</v>
      </c>
      <c r="D339" s="1" t="s">
        <v>888</v>
      </c>
      <c r="E339" s="1" t="s">
        <v>889</v>
      </c>
      <c r="F339" s="1" t="s">
        <v>112</v>
      </c>
      <c r="G339" s="1">
        <v>255211</v>
      </c>
    </row>
    <row r="340" spans="1:7" x14ac:dyDescent="0.25">
      <c r="A340" s="1" t="str">
        <f t="shared" si="5"/>
        <v>11 Fadrozole 44 µg_L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890</v>
      </c>
      <c r="D340" s="1" t="s">
        <v>891</v>
      </c>
      <c r="E340" s="1" t="s">
        <v>892</v>
      </c>
      <c r="F340" s="1" t="s">
        <v>112</v>
      </c>
      <c r="G340" s="1">
        <v>545376</v>
      </c>
    </row>
    <row r="341" spans="1:7" x14ac:dyDescent="0.25">
      <c r="A341" s="1" t="str">
        <f t="shared" si="5"/>
        <v>11 Fadrozole 44 µg_L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893</v>
      </c>
      <c r="D341" s="1" t="s">
        <v>894</v>
      </c>
      <c r="E341" s="1" t="s">
        <v>895</v>
      </c>
      <c r="F341" s="1" t="s">
        <v>112</v>
      </c>
      <c r="G341" s="1">
        <v>301240</v>
      </c>
    </row>
    <row r="342" spans="1:7" x14ac:dyDescent="0.25">
      <c r="A342" s="1" t="str">
        <f t="shared" si="5"/>
        <v>11 Fadrozole 44 µg_L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896</v>
      </c>
      <c r="D342" s="1" t="s">
        <v>807</v>
      </c>
      <c r="E342" s="1" t="s">
        <v>897</v>
      </c>
      <c r="F342" s="1" t="s">
        <v>112</v>
      </c>
      <c r="G342" s="1">
        <v>117234</v>
      </c>
    </row>
    <row r="343" spans="1:7" x14ac:dyDescent="0.25">
      <c r="A343" s="1" t="str">
        <f t="shared" si="5"/>
        <v>11 Fadrozole 44 µg_L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898</v>
      </c>
      <c r="D343" s="1" t="s">
        <v>208</v>
      </c>
      <c r="E343" s="1" t="s">
        <v>899</v>
      </c>
      <c r="F343" s="1" t="s">
        <v>112</v>
      </c>
      <c r="G343" s="1">
        <v>208036</v>
      </c>
    </row>
    <row r="344" spans="1:7" x14ac:dyDescent="0.25">
      <c r="A344" s="1" t="str">
        <f t="shared" si="5"/>
        <v>11 Fadrozole 44 µg_L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900</v>
      </c>
      <c r="D344" s="1" t="s">
        <v>901</v>
      </c>
      <c r="E344" s="1" t="s">
        <v>902</v>
      </c>
      <c r="F344" s="1" t="s">
        <v>112</v>
      </c>
      <c r="G344" s="1">
        <v>229926</v>
      </c>
    </row>
    <row r="345" spans="1:7" x14ac:dyDescent="0.25">
      <c r="A345" s="1" t="str">
        <f t="shared" si="5"/>
        <v>11 Fadrozole 44 µg_L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903</v>
      </c>
      <c r="D345" s="1" t="s">
        <v>904</v>
      </c>
      <c r="E345" s="1" t="s">
        <v>905</v>
      </c>
      <c r="F345" s="1" t="s">
        <v>112</v>
      </c>
      <c r="G345" s="1">
        <v>69410</v>
      </c>
    </row>
    <row r="346" spans="1:7" x14ac:dyDescent="0.25">
      <c r="A346" s="1" t="str">
        <f t="shared" si="5"/>
        <v>11 Fadrozole 44 µg_L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906</v>
      </c>
      <c r="D346" s="1" t="s">
        <v>907</v>
      </c>
      <c r="E346" s="1" t="s">
        <v>908</v>
      </c>
      <c r="F346" s="1" t="s">
        <v>112</v>
      </c>
      <c r="G346" s="1">
        <v>163868</v>
      </c>
    </row>
    <row r="347" spans="1:7" x14ac:dyDescent="0.25">
      <c r="A347" s="1" t="str">
        <f t="shared" si="5"/>
        <v>11 Fadrozole 44 µg_L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909</v>
      </c>
      <c r="D347" s="1" t="s">
        <v>384</v>
      </c>
      <c r="E347" s="1" t="s">
        <v>910</v>
      </c>
      <c r="F347" s="1" t="s">
        <v>112</v>
      </c>
      <c r="G347" s="1">
        <v>388516</v>
      </c>
    </row>
    <row r="348" spans="1:7" x14ac:dyDescent="0.25">
      <c r="A348" s="1" t="str">
        <f t="shared" si="5"/>
        <v>11 Fadrozole 44 µg_L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911</v>
      </c>
      <c r="D348" s="1" t="s">
        <v>912</v>
      </c>
      <c r="E348" s="1" t="s">
        <v>913</v>
      </c>
      <c r="F348" s="1" t="s">
        <v>112</v>
      </c>
      <c r="G348" s="1">
        <v>491150</v>
      </c>
    </row>
    <row r="349" spans="1:7" x14ac:dyDescent="0.25">
      <c r="A349" s="1" t="str">
        <f t="shared" si="5"/>
        <v>11 Fadrozole 44 µg_L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914</v>
      </c>
      <c r="D349" s="1" t="s">
        <v>915</v>
      </c>
      <c r="E349" s="1" t="s">
        <v>916</v>
      </c>
      <c r="F349" s="1" t="s">
        <v>112</v>
      </c>
      <c r="G349" s="1">
        <v>471683</v>
      </c>
    </row>
    <row r="350" spans="1:7" x14ac:dyDescent="0.25">
      <c r="A350" s="1" t="str">
        <f t="shared" si="5"/>
        <v>11 Fadrozole 44 µg_L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917</v>
      </c>
      <c r="D350" s="1" t="s">
        <v>848</v>
      </c>
      <c r="E350" s="1" t="s">
        <v>918</v>
      </c>
      <c r="F350" s="1" t="s">
        <v>112</v>
      </c>
      <c r="G350" s="1">
        <v>28140</v>
      </c>
    </row>
    <row r="351" spans="1:7" x14ac:dyDescent="0.25">
      <c r="A351" s="1" t="str">
        <f t="shared" si="5"/>
        <v>11 Fadrozole 44 µg_L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919</v>
      </c>
      <c r="D351" s="1" t="s">
        <v>393</v>
      </c>
      <c r="E351" s="1" t="s">
        <v>920</v>
      </c>
      <c r="F351" s="1" t="s">
        <v>112</v>
      </c>
      <c r="G351" s="1">
        <v>35992</v>
      </c>
    </row>
    <row r="352" spans="1:7" x14ac:dyDescent="0.25">
      <c r="A352" s="1" t="str">
        <f t="shared" si="5"/>
        <v>11 Fadrozole 44 µg_L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921</v>
      </c>
      <c r="D352" s="1" t="s">
        <v>922</v>
      </c>
      <c r="E352" s="1" t="s">
        <v>923</v>
      </c>
      <c r="F352" s="1" t="s">
        <v>112</v>
      </c>
      <c r="G352" s="1">
        <v>64760</v>
      </c>
    </row>
    <row r="353" spans="1:10" x14ac:dyDescent="0.25">
      <c r="A353" s="1" t="str">
        <f t="shared" si="5"/>
        <v>11 Fadrozole 44 µg_L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924</v>
      </c>
    </row>
    <row r="354" spans="1:10" x14ac:dyDescent="0.25">
      <c r="A354" s="1" t="str">
        <f t="shared" si="5"/>
        <v>11 Fadrozole 44 µg_L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925</v>
      </c>
    </row>
    <row r="355" spans="1:10" x14ac:dyDescent="0.25">
      <c r="A355" s="1" t="str">
        <f t="shared" si="5"/>
        <v>11 Fadrozole 44 µg_L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926</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236</v>
      </c>
      <c r="D357" s="1" t="s">
        <v>112</v>
      </c>
      <c r="E357" s="1" t="s">
        <v>237</v>
      </c>
      <c r="F357" s="1" t="s">
        <v>238</v>
      </c>
      <c r="G357" s="1" t="s">
        <v>239</v>
      </c>
      <c r="H357" s="1" t="s">
        <v>240</v>
      </c>
      <c r="I357" s="1" t="s">
        <v>241</v>
      </c>
      <c r="J357" s="1" t="s">
        <v>242</v>
      </c>
    </row>
    <row r="358" spans="1:10" x14ac:dyDescent="0.25">
      <c r="A358" s="1" t="str">
        <f t="shared" si="5"/>
        <v>11 Fadrozole 44 µg_L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927</v>
      </c>
      <c r="D358" s="1" t="s">
        <v>112</v>
      </c>
      <c r="E358" s="1" t="s">
        <v>928</v>
      </c>
      <c r="F358" s="1" t="s">
        <v>929</v>
      </c>
      <c r="G358" s="1" t="s">
        <v>930</v>
      </c>
      <c r="H358" s="1" t="s">
        <v>931</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248</v>
      </c>
      <c r="D364" s="1" t="s">
        <v>110</v>
      </c>
      <c r="E364" s="1" t="s">
        <v>111</v>
      </c>
      <c r="F364" s="1" t="s">
        <v>112</v>
      </c>
      <c r="G364" s="1" t="s">
        <v>113</v>
      </c>
    </row>
    <row r="365" spans="1:10" x14ac:dyDescent="0.25">
      <c r="A365" s="1" t="str">
        <f t="shared" si="5"/>
        <v>12Fadrozole 87 µg_L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932</v>
      </c>
      <c r="D365" s="1" t="s">
        <v>217</v>
      </c>
      <c r="E365" s="1" t="s">
        <v>933</v>
      </c>
      <c r="F365" s="1" t="s">
        <v>112</v>
      </c>
      <c r="G365" s="1">
        <v>31645</v>
      </c>
    </row>
    <row r="366" spans="1:10" x14ac:dyDescent="0.25">
      <c r="A366" s="1" t="str">
        <f t="shared" si="5"/>
        <v>12Fadrozole 87 µg_L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934</v>
      </c>
      <c r="D366" s="1" t="s">
        <v>296</v>
      </c>
      <c r="E366" s="1" t="s">
        <v>935</v>
      </c>
      <c r="F366" s="1" t="s">
        <v>112</v>
      </c>
      <c r="G366" s="1">
        <v>16504</v>
      </c>
    </row>
    <row r="367" spans="1:10" x14ac:dyDescent="0.25">
      <c r="A367" s="1" t="str">
        <f t="shared" si="5"/>
        <v>12Fadrozole 87 µg_L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936</v>
      </c>
      <c r="D367" s="1" t="s">
        <v>206</v>
      </c>
      <c r="E367" s="1" t="s">
        <v>937</v>
      </c>
      <c r="F367" s="1" t="s">
        <v>112</v>
      </c>
      <c r="G367" s="1">
        <v>8652</v>
      </c>
    </row>
    <row r="368" spans="1:10" x14ac:dyDescent="0.25">
      <c r="A368" s="1" t="str">
        <f t="shared" si="5"/>
        <v>12Fadrozole 87 µg_L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938</v>
      </c>
      <c r="D368" s="1" t="s">
        <v>939</v>
      </c>
      <c r="E368" s="1" t="s">
        <v>940</v>
      </c>
      <c r="F368" s="1" t="s">
        <v>112</v>
      </c>
      <c r="G368" s="1">
        <v>548491</v>
      </c>
    </row>
    <row r="369" spans="1:7" x14ac:dyDescent="0.25">
      <c r="A369" s="1" t="str">
        <f t="shared" si="5"/>
        <v>12Fadrozole 87 µg_L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941</v>
      </c>
      <c r="D369" s="1" t="s">
        <v>942</v>
      </c>
      <c r="E369" s="1" t="s">
        <v>943</v>
      </c>
      <c r="F369" s="1" t="s">
        <v>112</v>
      </c>
      <c r="G369" s="1">
        <v>712143</v>
      </c>
    </row>
    <row r="370" spans="1:7" x14ac:dyDescent="0.25">
      <c r="A370" s="1" t="str">
        <f t="shared" si="5"/>
        <v>12Fadrozole 87 µg_L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944</v>
      </c>
      <c r="D370" s="1" t="s">
        <v>945</v>
      </c>
      <c r="E370" s="1" t="s">
        <v>946</v>
      </c>
      <c r="F370" s="1" t="s">
        <v>112</v>
      </c>
      <c r="G370" s="1">
        <v>667866</v>
      </c>
    </row>
    <row r="371" spans="1:7" x14ac:dyDescent="0.25">
      <c r="A371" s="1" t="str">
        <f t="shared" si="5"/>
        <v>12Fadrozole 87 µg_L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947</v>
      </c>
      <c r="D371" s="1" t="s">
        <v>370</v>
      </c>
      <c r="E371" s="1" t="s">
        <v>948</v>
      </c>
      <c r="F371" s="1" t="s">
        <v>112</v>
      </c>
      <c r="G371" s="1">
        <v>28573</v>
      </c>
    </row>
    <row r="372" spans="1:7" x14ac:dyDescent="0.25">
      <c r="A372" s="1" t="str">
        <f t="shared" si="5"/>
        <v>12Fadrozole 87 µg_L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949</v>
      </c>
      <c r="D372" s="1" t="s">
        <v>189</v>
      </c>
      <c r="E372" s="1" t="s">
        <v>950</v>
      </c>
      <c r="F372" s="1" t="s">
        <v>112</v>
      </c>
      <c r="G372" s="1">
        <v>23598</v>
      </c>
    </row>
    <row r="373" spans="1:7" x14ac:dyDescent="0.25">
      <c r="A373" s="1" t="str">
        <f t="shared" si="5"/>
        <v>12Fadrozole 87 µg_L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951</v>
      </c>
      <c r="D373" s="1" t="s">
        <v>784</v>
      </c>
      <c r="E373" s="1" t="s">
        <v>952</v>
      </c>
      <c r="F373" s="1" t="s">
        <v>112</v>
      </c>
      <c r="G373" s="1">
        <v>24161</v>
      </c>
    </row>
    <row r="374" spans="1:7" x14ac:dyDescent="0.25">
      <c r="A374" s="1" t="str">
        <f t="shared" si="5"/>
        <v>12Fadrozole 87 µg_L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953</v>
      </c>
      <c r="D374" s="1" t="s">
        <v>853</v>
      </c>
      <c r="E374" s="1">
        <v>63</v>
      </c>
      <c r="F374" s="1" t="s">
        <v>112</v>
      </c>
      <c r="G374" s="1">
        <v>9539</v>
      </c>
    </row>
    <row r="375" spans="1:7" x14ac:dyDescent="0.25">
      <c r="A375" s="1" t="str">
        <f t="shared" si="5"/>
        <v>12Fadrozole 87 µg_L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954</v>
      </c>
    </row>
    <row r="376" spans="1:7" x14ac:dyDescent="0.25">
      <c r="A376" s="1" t="str">
        <f t="shared" si="5"/>
        <v>12Fadrozole 87 µg_L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955</v>
      </c>
      <c r="D376" s="1" t="s">
        <v>956</v>
      </c>
      <c r="E376" s="1">
        <v>63</v>
      </c>
      <c r="F376" s="1" t="s">
        <v>112</v>
      </c>
      <c r="G376" s="1">
        <v>6813</v>
      </c>
    </row>
    <row r="377" spans="1:7" x14ac:dyDescent="0.25">
      <c r="A377" s="1" t="str">
        <f t="shared" si="5"/>
        <v>12Fadrozole 87 µg_L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957</v>
      </c>
      <c r="D377" s="1" t="s">
        <v>958</v>
      </c>
      <c r="E377" s="1" t="s">
        <v>959</v>
      </c>
      <c r="F377" s="1" t="s">
        <v>112</v>
      </c>
      <c r="G377" s="1">
        <v>568196</v>
      </c>
    </row>
    <row r="378" spans="1:7" x14ac:dyDescent="0.25">
      <c r="A378" s="1" t="str">
        <f t="shared" si="5"/>
        <v>12Fadrozole 87 µg_L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960</v>
      </c>
      <c r="D378" s="1" t="s">
        <v>961</v>
      </c>
      <c r="E378" s="1" t="s">
        <v>962</v>
      </c>
      <c r="F378" s="1" t="s">
        <v>112</v>
      </c>
      <c r="G378" s="1">
        <v>1087529</v>
      </c>
    </row>
    <row r="379" spans="1:7" x14ac:dyDescent="0.25">
      <c r="A379" s="1" t="str">
        <f t="shared" si="5"/>
        <v>12Fadrozole 87 µg_L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963</v>
      </c>
      <c r="D379" s="1" t="s">
        <v>964</v>
      </c>
      <c r="E379" s="1" t="s">
        <v>965</v>
      </c>
      <c r="F379" s="1" t="s">
        <v>112</v>
      </c>
      <c r="G379" s="1">
        <v>591945</v>
      </c>
    </row>
    <row r="380" spans="1:7" x14ac:dyDescent="0.25">
      <c r="A380" s="1" t="str">
        <f t="shared" si="5"/>
        <v>12Fadrozole 87 µg_L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966</v>
      </c>
      <c r="D380" s="1" t="s">
        <v>967</v>
      </c>
      <c r="E380" s="1" t="s">
        <v>968</v>
      </c>
      <c r="F380" s="1" t="s">
        <v>112</v>
      </c>
      <c r="G380" s="1">
        <v>174013</v>
      </c>
    </row>
    <row r="381" spans="1:7" x14ac:dyDescent="0.25">
      <c r="A381" s="1" t="str">
        <f t="shared" si="5"/>
        <v>12Fadrozole 87 µg_L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969</v>
      </c>
      <c r="D381" s="1" t="s">
        <v>970</v>
      </c>
      <c r="E381" s="1" t="s">
        <v>971</v>
      </c>
      <c r="F381" s="1" t="s">
        <v>112</v>
      </c>
      <c r="G381" s="1">
        <v>101747</v>
      </c>
    </row>
    <row r="382" spans="1:7" x14ac:dyDescent="0.25">
      <c r="A382" s="1" t="str">
        <f t="shared" si="5"/>
        <v>12Fadrozole 87 µg_L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972</v>
      </c>
      <c r="D382" s="1" t="s">
        <v>290</v>
      </c>
      <c r="E382" s="1" t="s">
        <v>973</v>
      </c>
      <c r="F382" s="1" t="s">
        <v>112</v>
      </c>
      <c r="G382" s="1">
        <v>59374</v>
      </c>
    </row>
    <row r="383" spans="1:7" x14ac:dyDescent="0.25">
      <c r="A383" s="1" t="str">
        <f t="shared" si="5"/>
        <v>12Fadrozole 87 µg_L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974</v>
      </c>
      <c r="D383" s="1" t="s">
        <v>975</v>
      </c>
      <c r="E383" s="1" t="s">
        <v>976</v>
      </c>
      <c r="F383" s="1" t="s">
        <v>112</v>
      </c>
      <c r="G383" s="1">
        <v>90521</v>
      </c>
    </row>
    <row r="384" spans="1:7" x14ac:dyDescent="0.25">
      <c r="A384" s="1" t="str">
        <f t="shared" si="5"/>
        <v>12Fadrozole 87 µg_L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977</v>
      </c>
      <c r="D384" s="1" t="s">
        <v>978</v>
      </c>
      <c r="E384" s="1" t="s">
        <v>979</v>
      </c>
      <c r="F384" s="1" t="s">
        <v>112</v>
      </c>
      <c r="G384" s="1">
        <v>79987</v>
      </c>
    </row>
    <row r="385" spans="1:10" x14ac:dyDescent="0.25">
      <c r="A385" s="1" t="str">
        <f t="shared" si="5"/>
        <v>12Fadrozole 87 µg_L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980</v>
      </c>
      <c r="D385" s="1" t="s">
        <v>206</v>
      </c>
      <c r="E385" s="1" t="s">
        <v>981</v>
      </c>
      <c r="F385" s="1" t="s">
        <v>112</v>
      </c>
      <c r="G385" s="1">
        <v>8154</v>
      </c>
    </row>
    <row r="386" spans="1:10" x14ac:dyDescent="0.25">
      <c r="A386" s="1" t="str">
        <f t="shared" ref="A386:A449" si="6">IFERROR(LEFT(RIGHT(C386,LEN(C386)-SEARCH("@",C386)),SEARCH("/",RIGHT(C386,LEN(C386)-SEARCH("@",C386)-1))),"")</f>
        <v>12Fadrozole 87 µg_L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982</v>
      </c>
      <c r="D386" s="1" t="s">
        <v>983</v>
      </c>
      <c r="E386" s="1" t="s">
        <v>984</v>
      </c>
      <c r="F386" s="1" t="s">
        <v>112</v>
      </c>
      <c r="G386" s="1">
        <v>158266</v>
      </c>
    </row>
    <row r="387" spans="1:10" x14ac:dyDescent="0.25">
      <c r="A387" s="1" t="str">
        <f t="shared" si="6"/>
        <v>12Fadrozole 87 µg_L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985</v>
      </c>
      <c r="D387" s="1" t="s">
        <v>427</v>
      </c>
      <c r="E387" s="1" t="s">
        <v>986</v>
      </c>
      <c r="F387" s="1" t="s">
        <v>112</v>
      </c>
      <c r="G387" s="1">
        <v>104191</v>
      </c>
    </row>
    <row r="388" spans="1:10" x14ac:dyDescent="0.25">
      <c r="A388" s="1" t="str">
        <f t="shared" si="6"/>
        <v>12Fadrozole 87 µg_L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987</v>
      </c>
      <c r="D388" s="1" t="s">
        <v>988</v>
      </c>
      <c r="E388" s="1" t="s">
        <v>989</v>
      </c>
      <c r="F388" s="1" t="s">
        <v>112</v>
      </c>
      <c r="G388" s="1">
        <v>262176</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236</v>
      </c>
      <c r="D390" s="1" t="s">
        <v>112</v>
      </c>
      <c r="E390" s="1" t="s">
        <v>237</v>
      </c>
      <c r="F390" s="1" t="s">
        <v>238</v>
      </c>
      <c r="G390" s="1" t="s">
        <v>239</v>
      </c>
      <c r="H390" s="1" t="s">
        <v>240</v>
      </c>
      <c r="I390" s="1" t="s">
        <v>241</v>
      </c>
      <c r="J390" s="1" t="s">
        <v>242</v>
      </c>
    </row>
    <row r="391" spans="1:10" x14ac:dyDescent="0.25">
      <c r="A391" s="1" t="str">
        <f t="shared" si="6"/>
        <v>12Fadrozole 87 µg_L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990</v>
      </c>
      <c r="D391" s="1" t="s">
        <v>112</v>
      </c>
      <c r="E391" s="1" t="s">
        <v>991</v>
      </c>
      <c r="F391" s="1" t="s">
        <v>992</v>
      </c>
      <c r="G391" s="1" t="s">
        <v>993</v>
      </c>
      <c r="H391" s="1" t="s">
        <v>994</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248</v>
      </c>
      <c r="D397" s="1" t="s">
        <v>110</v>
      </c>
      <c r="E397" s="1" t="s">
        <v>111</v>
      </c>
      <c r="F397" s="1" t="s">
        <v>112</v>
      </c>
      <c r="G397" s="1" t="s">
        <v>113</v>
      </c>
    </row>
    <row r="398" spans="1:10" x14ac:dyDescent="0.25">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995</v>
      </c>
      <c r="D398" s="1" t="s">
        <v>996</v>
      </c>
      <c r="E398" s="1" t="s">
        <v>997</v>
      </c>
      <c r="F398" s="1" t="s">
        <v>112</v>
      </c>
      <c r="G398" s="1">
        <v>1947188</v>
      </c>
    </row>
    <row r="399" spans="1:10" x14ac:dyDescent="0.25">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998</v>
      </c>
      <c r="D399" s="1" t="s">
        <v>999</v>
      </c>
      <c r="E399" s="1" t="s">
        <v>1000</v>
      </c>
      <c r="F399" s="1" t="s">
        <v>112</v>
      </c>
      <c r="G399" s="1">
        <v>2037103</v>
      </c>
    </row>
    <row r="400" spans="1:10" x14ac:dyDescent="0.25">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1001</v>
      </c>
      <c r="D400" s="1" t="s">
        <v>1002</v>
      </c>
      <c r="E400" s="1" t="s">
        <v>1003</v>
      </c>
      <c r="F400" s="1" t="s">
        <v>112</v>
      </c>
      <c r="G400" s="1">
        <v>2033902</v>
      </c>
    </row>
    <row r="401" spans="1:7" x14ac:dyDescent="0.25">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1004</v>
      </c>
      <c r="D401" s="1" t="s">
        <v>1005</v>
      </c>
      <c r="E401" s="1" t="s">
        <v>1006</v>
      </c>
      <c r="F401" s="1" t="s">
        <v>112</v>
      </c>
      <c r="G401" s="1">
        <v>2910216</v>
      </c>
    </row>
    <row r="402" spans="1:7" x14ac:dyDescent="0.25">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1007</v>
      </c>
      <c r="D402" s="1" t="s">
        <v>1008</v>
      </c>
      <c r="E402" s="1" t="s">
        <v>1009</v>
      </c>
      <c r="F402" s="1" t="s">
        <v>112</v>
      </c>
      <c r="G402" s="1">
        <v>2759650</v>
      </c>
    </row>
    <row r="403" spans="1:7" x14ac:dyDescent="0.25">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1010</v>
      </c>
      <c r="D403" s="1" t="s">
        <v>1011</v>
      </c>
      <c r="E403" s="1" t="s">
        <v>1012</v>
      </c>
      <c r="F403" s="1" t="s">
        <v>112</v>
      </c>
      <c r="G403" s="1">
        <v>2320628</v>
      </c>
    </row>
    <row r="404" spans="1:7" x14ac:dyDescent="0.25">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1013</v>
      </c>
      <c r="D404" s="1" t="s">
        <v>1014</v>
      </c>
      <c r="E404" s="1" t="s">
        <v>1015</v>
      </c>
      <c r="F404" s="1" t="s">
        <v>112</v>
      </c>
      <c r="G404" s="1">
        <v>3101489</v>
      </c>
    </row>
    <row r="405" spans="1:7" x14ac:dyDescent="0.25">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1016</v>
      </c>
      <c r="D405" s="1" t="s">
        <v>1017</v>
      </c>
      <c r="E405" s="1" t="s">
        <v>1018</v>
      </c>
      <c r="F405" s="1" t="s">
        <v>112</v>
      </c>
      <c r="G405" s="1">
        <v>1151900</v>
      </c>
    </row>
    <row r="406" spans="1:7" x14ac:dyDescent="0.25">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1019</v>
      </c>
      <c r="D406" s="1" t="s">
        <v>1020</v>
      </c>
      <c r="E406" s="1" t="s">
        <v>1021</v>
      </c>
      <c r="F406" s="1" t="s">
        <v>112</v>
      </c>
      <c r="G406" s="1">
        <v>2763154</v>
      </c>
    </row>
    <row r="407" spans="1:7" x14ac:dyDescent="0.25">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1022</v>
      </c>
      <c r="D407" s="1" t="s">
        <v>1023</v>
      </c>
      <c r="E407" s="1" t="s">
        <v>1024</v>
      </c>
      <c r="F407" s="1" t="s">
        <v>112</v>
      </c>
      <c r="G407" s="1">
        <v>3372274</v>
      </c>
    </row>
    <row r="408" spans="1:7" x14ac:dyDescent="0.25">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1025</v>
      </c>
      <c r="D408" s="1" t="s">
        <v>1026</v>
      </c>
      <c r="E408" s="1" t="s">
        <v>1027</v>
      </c>
      <c r="F408" s="1" t="s">
        <v>112</v>
      </c>
      <c r="G408" s="1">
        <v>3014580</v>
      </c>
    </row>
    <row r="409" spans="1:7" x14ac:dyDescent="0.25">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1028</v>
      </c>
      <c r="D409" s="1" t="s">
        <v>1029</v>
      </c>
      <c r="E409" s="1" t="s">
        <v>1030</v>
      </c>
      <c r="F409" s="1" t="s">
        <v>112</v>
      </c>
      <c r="G409" s="1">
        <v>2895183</v>
      </c>
    </row>
    <row r="410" spans="1:7" x14ac:dyDescent="0.25">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1031</v>
      </c>
      <c r="D410" s="1" t="s">
        <v>1032</v>
      </c>
      <c r="E410" s="1" t="s">
        <v>1033</v>
      </c>
      <c r="F410" s="1" t="s">
        <v>112</v>
      </c>
      <c r="G410" s="1">
        <v>726267</v>
      </c>
    </row>
    <row r="411" spans="1:7" x14ac:dyDescent="0.25">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1034</v>
      </c>
      <c r="D411" s="1" t="s">
        <v>891</v>
      </c>
      <c r="E411" s="1" t="s">
        <v>1035</v>
      </c>
      <c r="F411" s="1" t="s">
        <v>112</v>
      </c>
      <c r="G411" s="1">
        <v>505469</v>
      </c>
    </row>
    <row r="412" spans="1:7" x14ac:dyDescent="0.25">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1036</v>
      </c>
      <c r="D412" s="1" t="s">
        <v>1037</v>
      </c>
      <c r="E412" s="1" t="s">
        <v>1038</v>
      </c>
      <c r="F412" s="1" t="s">
        <v>112</v>
      </c>
      <c r="G412" s="1">
        <v>562702</v>
      </c>
    </row>
    <row r="413" spans="1:7" x14ac:dyDescent="0.25">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1039</v>
      </c>
      <c r="D413" s="1" t="s">
        <v>1040</v>
      </c>
      <c r="E413" s="1" t="s">
        <v>1041</v>
      </c>
      <c r="F413" s="1" t="s">
        <v>112</v>
      </c>
      <c r="G413" s="1">
        <v>2149125</v>
      </c>
    </row>
    <row r="414" spans="1:7" x14ac:dyDescent="0.25">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1042</v>
      </c>
      <c r="D414" s="1" t="s">
        <v>1043</v>
      </c>
      <c r="E414" s="1" t="s">
        <v>1044</v>
      </c>
      <c r="F414" s="1" t="s">
        <v>112</v>
      </c>
      <c r="G414" s="1">
        <v>2117048</v>
      </c>
    </row>
    <row r="415" spans="1:7" x14ac:dyDescent="0.25">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1045</v>
      </c>
      <c r="D415" s="1" t="s">
        <v>1046</v>
      </c>
      <c r="E415" s="1" t="s">
        <v>1047</v>
      </c>
      <c r="F415" s="1" t="s">
        <v>112</v>
      </c>
      <c r="G415" s="1">
        <v>2127949</v>
      </c>
    </row>
    <row r="416" spans="1:7" x14ac:dyDescent="0.25">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1048</v>
      </c>
      <c r="D416" s="1" t="s">
        <v>1049</v>
      </c>
      <c r="E416" s="1" t="s">
        <v>1050</v>
      </c>
      <c r="F416" s="1" t="s">
        <v>112</v>
      </c>
      <c r="G416" s="1">
        <v>3320167</v>
      </c>
    </row>
    <row r="417" spans="1:10" x14ac:dyDescent="0.25">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1051</v>
      </c>
      <c r="D417" s="1" t="s">
        <v>1052</v>
      </c>
      <c r="E417" s="1" t="s">
        <v>1053</v>
      </c>
      <c r="F417" s="1" t="s">
        <v>112</v>
      </c>
      <c r="G417" s="1">
        <v>3386549</v>
      </c>
    </row>
    <row r="418" spans="1:10" x14ac:dyDescent="0.25">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1054</v>
      </c>
      <c r="D418" s="1" t="s">
        <v>1055</v>
      </c>
      <c r="E418" s="1" t="s">
        <v>1056</v>
      </c>
      <c r="F418" s="1" t="s">
        <v>112</v>
      </c>
      <c r="G418" s="1">
        <v>2998920</v>
      </c>
    </row>
    <row r="419" spans="1:10" x14ac:dyDescent="0.25">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1057</v>
      </c>
    </row>
    <row r="420" spans="1:10" x14ac:dyDescent="0.25">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1058</v>
      </c>
      <c r="D420" s="1" t="s">
        <v>1059</v>
      </c>
      <c r="E420" s="1" t="s">
        <v>1060</v>
      </c>
      <c r="F420" s="1" t="s">
        <v>112</v>
      </c>
      <c r="G420" s="1">
        <v>1872067</v>
      </c>
    </row>
    <row r="421" spans="1:10" x14ac:dyDescent="0.25">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1061</v>
      </c>
      <c r="D421" s="1" t="s">
        <v>1062</v>
      </c>
      <c r="E421" s="1" t="s">
        <v>1063</v>
      </c>
      <c r="F421" s="1" t="s">
        <v>112</v>
      </c>
      <c r="G421" s="1">
        <v>1682676</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236</v>
      </c>
      <c r="D423" s="1" t="s">
        <v>112</v>
      </c>
      <c r="E423" s="1" t="s">
        <v>237</v>
      </c>
      <c r="F423" s="1" t="s">
        <v>238</v>
      </c>
      <c r="G423" s="1" t="s">
        <v>239</v>
      </c>
      <c r="H423" s="1" t="s">
        <v>240</v>
      </c>
      <c r="I423" s="1" t="s">
        <v>241</v>
      </c>
      <c r="J423" s="1" t="s">
        <v>242</v>
      </c>
    </row>
    <row r="424" spans="1:10" x14ac:dyDescent="0.25">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1064</v>
      </c>
      <c r="D424" s="1" t="s">
        <v>112</v>
      </c>
      <c r="E424" s="1" t="s">
        <v>1065</v>
      </c>
      <c r="F424" s="1" t="s">
        <v>1066</v>
      </c>
      <c r="G424" s="1" t="s">
        <v>1067</v>
      </c>
      <c r="H424" s="1" t="s">
        <v>1068</v>
      </c>
      <c r="I424" s="1">
        <v>24</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248</v>
      </c>
      <c r="D430" s="1" t="s">
        <v>110</v>
      </c>
      <c r="E430" s="1" t="s">
        <v>111</v>
      </c>
      <c r="F430" s="1" t="s">
        <v>112</v>
      </c>
      <c r="G430" s="1" t="s">
        <v>113</v>
      </c>
    </row>
    <row r="431" spans="1:10" x14ac:dyDescent="0.25">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1069</v>
      </c>
      <c r="D431" s="1" t="s">
        <v>1070</v>
      </c>
      <c r="E431" s="1" t="s">
        <v>1071</v>
      </c>
      <c r="F431" s="1" t="s">
        <v>112</v>
      </c>
      <c r="G431" s="1">
        <v>3280584</v>
      </c>
    </row>
    <row r="432" spans="1:10" x14ac:dyDescent="0.25">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1072</v>
      </c>
      <c r="D432" s="1" t="s">
        <v>1073</v>
      </c>
      <c r="E432" s="1" t="s">
        <v>1074</v>
      </c>
      <c r="F432" s="1" t="s">
        <v>112</v>
      </c>
      <c r="G432" s="1">
        <v>3035496</v>
      </c>
    </row>
    <row r="433" spans="1:7" x14ac:dyDescent="0.25">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1075</v>
      </c>
      <c r="D433" s="1" t="s">
        <v>1076</v>
      </c>
      <c r="E433" s="1" t="s">
        <v>1077</v>
      </c>
      <c r="F433" s="1" t="s">
        <v>112</v>
      </c>
      <c r="G433" s="1">
        <v>2684443</v>
      </c>
    </row>
    <row r="434" spans="1:7" x14ac:dyDescent="0.25">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1078</v>
      </c>
      <c r="D434" s="1" t="s">
        <v>1043</v>
      </c>
      <c r="E434" s="1" t="s">
        <v>1079</v>
      </c>
      <c r="F434" s="1" t="s">
        <v>112</v>
      </c>
      <c r="G434" s="1">
        <v>2171274</v>
      </c>
    </row>
    <row r="435" spans="1:7" x14ac:dyDescent="0.25">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1080</v>
      </c>
      <c r="D435" s="1" t="s">
        <v>1081</v>
      </c>
      <c r="E435" s="1" t="s">
        <v>1082</v>
      </c>
      <c r="F435" s="1" t="s">
        <v>112</v>
      </c>
      <c r="G435" s="1">
        <v>2120400</v>
      </c>
    </row>
    <row r="436" spans="1:7" x14ac:dyDescent="0.25">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1083</v>
      </c>
      <c r="D436" s="1" t="s">
        <v>1084</v>
      </c>
      <c r="E436" s="1" t="s">
        <v>1085</v>
      </c>
      <c r="F436" s="1" t="s">
        <v>112</v>
      </c>
      <c r="G436" s="1">
        <v>2089123</v>
      </c>
    </row>
    <row r="437" spans="1:7" x14ac:dyDescent="0.25">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1086</v>
      </c>
    </row>
    <row r="438" spans="1:7" x14ac:dyDescent="0.25">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1087</v>
      </c>
    </row>
    <row r="439" spans="1:7" x14ac:dyDescent="0.25">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1088</v>
      </c>
      <c r="D439" s="1" t="s">
        <v>1089</v>
      </c>
      <c r="E439" s="1" t="s">
        <v>1090</v>
      </c>
      <c r="F439" s="1" t="s">
        <v>112</v>
      </c>
      <c r="G439" s="1">
        <v>1271384</v>
      </c>
    </row>
    <row r="440" spans="1:7" x14ac:dyDescent="0.25">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1091</v>
      </c>
      <c r="D440" s="1" t="s">
        <v>1092</v>
      </c>
      <c r="E440" s="1" t="s">
        <v>1093</v>
      </c>
      <c r="F440" s="1" t="s">
        <v>112</v>
      </c>
      <c r="G440" s="1">
        <v>2918327</v>
      </c>
    </row>
    <row r="441" spans="1:7" x14ac:dyDescent="0.25">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1094</v>
      </c>
      <c r="D441" s="1" t="s">
        <v>1095</v>
      </c>
      <c r="E441" s="1" t="s">
        <v>1096</v>
      </c>
      <c r="F441" s="1" t="s">
        <v>112</v>
      </c>
      <c r="G441" s="1">
        <v>2789954</v>
      </c>
    </row>
    <row r="442" spans="1:7" x14ac:dyDescent="0.25">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1097</v>
      </c>
      <c r="D442" s="1" t="s">
        <v>1098</v>
      </c>
      <c r="E442" s="1" t="s">
        <v>1099</v>
      </c>
      <c r="F442" s="1" t="s">
        <v>112</v>
      </c>
      <c r="G442" s="1">
        <v>2632531</v>
      </c>
    </row>
    <row r="443" spans="1:7" x14ac:dyDescent="0.25">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1100</v>
      </c>
      <c r="D443" s="1" t="s">
        <v>597</v>
      </c>
      <c r="E443" s="1" t="s">
        <v>1101</v>
      </c>
      <c r="F443" s="1" t="s">
        <v>112</v>
      </c>
      <c r="G443" s="1">
        <v>1180927</v>
      </c>
    </row>
    <row r="444" spans="1:7" x14ac:dyDescent="0.25">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1102</v>
      </c>
      <c r="D444" s="1" t="s">
        <v>1103</v>
      </c>
      <c r="E444" s="1" t="s">
        <v>1104</v>
      </c>
      <c r="F444" s="1" t="s">
        <v>112</v>
      </c>
      <c r="G444" s="1">
        <v>852261</v>
      </c>
    </row>
    <row r="445" spans="1:7" x14ac:dyDescent="0.25">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1105</v>
      </c>
      <c r="D445" s="1" t="s">
        <v>1106</v>
      </c>
      <c r="E445" s="1" t="s">
        <v>1107</v>
      </c>
      <c r="F445" s="1" t="s">
        <v>112</v>
      </c>
      <c r="G445" s="1">
        <v>866385</v>
      </c>
    </row>
    <row r="446" spans="1:7" x14ac:dyDescent="0.25">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1108</v>
      </c>
      <c r="D446" s="1" t="s">
        <v>350</v>
      </c>
      <c r="E446" s="1" t="s">
        <v>1109</v>
      </c>
      <c r="F446" s="1" t="s">
        <v>112</v>
      </c>
      <c r="G446" s="1">
        <v>53296</v>
      </c>
    </row>
    <row r="447" spans="1:7" x14ac:dyDescent="0.25">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1110</v>
      </c>
      <c r="D447" s="1" t="s">
        <v>424</v>
      </c>
      <c r="E447" s="1" t="s">
        <v>1111</v>
      </c>
      <c r="F447" s="1" t="s">
        <v>112</v>
      </c>
      <c r="G447" s="1">
        <v>110226</v>
      </c>
    </row>
    <row r="448" spans="1:7" x14ac:dyDescent="0.25">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1112</v>
      </c>
      <c r="D448" s="1" t="s">
        <v>274</v>
      </c>
      <c r="E448" s="1" t="s">
        <v>1113</v>
      </c>
      <c r="F448" s="1" t="s">
        <v>112</v>
      </c>
      <c r="G448" s="1">
        <v>85330</v>
      </c>
    </row>
    <row r="449" spans="1:10" x14ac:dyDescent="0.25">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1114</v>
      </c>
      <c r="D449" s="1" t="s">
        <v>1115</v>
      </c>
      <c r="E449" s="1" t="s">
        <v>1116</v>
      </c>
      <c r="F449" s="1" t="s">
        <v>112</v>
      </c>
      <c r="G449" s="1">
        <v>1276596</v>
      </c>
    </row>
    <row r="450" spans="1:10" x14ac:dyDescent="0.25">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1117</v>
      </c>
      <c r="D450" s="1" t="s">
        <v>1118</v>
      </c>
      <c r="E450" s="1" t="s">
        <v>1119</v>
      </c>
      <c r="F450" s="1" t="s">
        <v>112</v>
      </c>
      <c r="G450" s="1">
        <v>1210452</v>
      </c>
    </row>
    <row r="451" spans="1:10" x14ac:dyDescent="0.25">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1120</v>
      </c>
      <c r="D451" s="1" t="s">
        <v>1121</v>
      </c>
      <c r="E451" s="1" t="s">
        <v>1122</v>
      </c>
      <c r="F451" s="1" t="s">
        <v>112</v>
      </c>
      <c r="G451" s="1">
        <v>1112793</v>
      </c>
    </row>
    <row r="452" spans="1:10" x14ac:dyDescent="0.25">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1123</v>
      </c>
    </row>
    <row r="453" spans="1:10" x14ac:dyDescent="0.25">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1124</v>
      </c>
      <c r="D453" s="1" t="s">
        <v>253</v>
      </c>
      <c r="E453" s="1" t="s">
        <v>1125</v>
      </c>
      <c r="F453" s="1" t="s">
        <v>112</v>
      </c>
      <c r="G453" s="1">
        <v>192203</v>
      </c>
    </row>
    <row r="454" spans="1:10" x14ac:dyDescent="0.25">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1126</v>
      </c>
      <c r="D454" s="1" t="s">
        <v>1127</v>
      </c>
      <c r="E454" s="1" t="s">
        <v>1128</v>
      </c>
      <c r="F454" s="1" t="s">
        <v>112</v>
      </c>
      <c r="G454" s="1">
        <v>197719</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236</v>
      </c>
      <c r="D456" s="1" t="s">
        <v>112</v>
      </c>
      <c r="E456" s="1" t="s">
        <v>237</v>
      </c>
      <c r="F456" s="1" t="s">
        <v>238</v>
      </c>
      <c r="G456" s="1" t="s">
        <v>239</v>
      </c>
      <c r="H456" s="1" t="s">
        <v>240</v>
      </c>
      <c r="I456" s="1" t="s">
        <v>241</v>
      </c>
      <c r="J456" s="1" t="s">
        <v>242</v>
      </c>
    </row>
    <row r="457" spans="1:10" x14ac:dyDescent="0.25">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1129</v>
      </c>
      <c r="D457" s="1" t="s">
        <v>112</v>
      </c>
      <c r="E457" s="1" t="s">
        <v>1130</v>
      </c>
      <c r="F457" s="1" t="s">
        <v>1131</v>
      </c>
      <c r="G457" s="1" t="s">
        <v>1132</v>
      </c>
      <c r="H457" s="1" t="s">
        <v>1133</v>
      </c>
      <c r="I457" s="1">
        <v>24</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248</v>
      </c>
      <c r="D463" s="1" t="s">
        <v>110</v>
      </c>
      <c r="E463" s="1" t="s">
        <v>111</v>
      </c>
      <c r="F463" s="1" t="s">
        <v>112</v>
      </c>
      <c r="G463" s="1" t="s">
        <v>113</v>
      </c>
    </row>
    <row r="464" spans="1:10" x14ac:dyDescent="0.25">
      <c r="A464" s="1" t="str">
        <f t="shared" si="7"/>
        <v>03 Testo+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1134</v>
      </c>
      <c r="D464" s="1" t="s">
        <v>1135</v>
      </c>
      <c r="E464" s="1" t="s">
        <v>1136</v>
      </c>
      <c r="F464" s="1" t="s">
        <v>112</v>
      </c>
      <c r="G464" s="1">
        <v>3377205</v>
      </c>
    </row>
    <row r="465" spans="1:7" x14ac:dyDescent="0.25">
      <c r="A465" s="1" t="str">
        <f t="shared" si="7"/>
        <v>03 Testo+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1137</v>
      </c>
      <c r="D465" s="1" t="s">
        <v>1138</v>
      </c>
      <c r="E465" s="1" t="s">
        <v>1139</v>
      </c>
      <c r="F465" s="1" t="s">
        <v>112</v>
      </c>
      <c r="G465" s="1">
        <v>3141115</v>
      </c>
    </row>
    <row r="466" spans="1:7" x14ac:dyDescent="0.25">
      <c r="A466" s="1" t="str">
        <f t="shared" si="7"/>
        <v>03 Testo+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1140</v>
      </c>
      <c r="D466" s="1" t="s">
        <v>1141</v>
      </c>
      <c r="E466" s="1" t="s">
        <v>1142</v>
      </c>
      <c r="F466" s="1" t="s">
        <v>112</v>
      </c>
      <c r="G466" s="1">
        <v>3301522</v>
      </c>
    </row>
    <row r="467" spans="1:7" x14ac:dyDescent="0.25">
      <c r="A467" s="1" t="str">
        <f t="shared" si="7"/>
        <v>03 Testo+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1143</v>
      </c>
      <c r="D467" s="1" t="s">
        <v>1144</v>
      </c>
      <c r="E467" s="1" t="s">
        <v>1145</v>
      </c>
      <c r="F467" s="1" t="s">
        <v>112</v>
      </c>
      <c r="G467" s="1">
        <v>2801742</v>
      </c>
    </row>
    <row r="468" spans="1:7" x14ac:dyDescent="0.25">
      <c r="A468" s="1" t="str">
        <f t="shared" si="7"/>
        <v>03 Testo+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1146</v>
      </c>
      <c r="D468" s="1" t="s">
        <v>1147</v>
      </c>
      <c r="E468" s="1" t="s">
        <v>1148</v>
      </c>
      <c r="F468" s="1" t="s">
        <v>112</v>
      </c>
      <c r="G468" s="1">
        <v>2818548</v>
      </c>
    </row>
    <row r="469" spans="1:7" x14ac:dyDescent="0.25">
      <c r="A469" s="1" t="str">
        <f t="shared" si="7"/>
        <v>03 Testo+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1149</v>
      </c>
      <c r="D469" s="1" t="s">
        <v>615</v>
      </c>
      <c r="E469" s="1" t="s">
        <v>1150</v>
      </c>
      <c r="F469" s="1" t="s">
        <v>112</v>
      </c>
      <c r="G469" s="1">
        <v>2835485</v>
      </c>
    </row>
    <row r="470" spans="1:7" x14ac:dyDescent="0.25">
      <c r="A470" s="1" t="str">
        <f t="shared" si="7"/>
        <v>03 Testo+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1151</v>
      </c>
      <c r="D470" s="1" t="s">
        <v>1152</v>
      </c>
      <c r="E470" s="1" t="s">
        <v>1153</v>
      </c>
      <c r="F470" s="1" t="s">
        <v>112</v>
      </c>
      <c r="G470" s="1">
        <v>2753832</v>
      </c>
    </row>
    <row r="471" spans="1:7" x14ac:dyDescent="0.25">
      <c r="A471" s="1" t="str">
        <f t="shared" si="7"/>
        <v>03 Testo+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1154</v>
      </c>
      <c r="D471" s="1" t="s">
        <v>1155</v>
      </c>
      <c r="E471" s="1" t="s">
        <v>1156</v>
      </c>
      <c r="F471" s="1" t="s">
        <v>112</v>
      </c>
      <c r="G471" s="1">
        <v>2586373</v>
      </c>
    </row>
    <row r="472" spans="1:7" x14ac:dyDescent="0.25">
      <c r="A472" s="1" t="str">
        <f t="shared" si="7"/>
        <v>03 Testo+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1157</v>
      </c>
      <c r="D472" s="1" t="s">
        <v>1043</v>
      </c>
      <c r="E472" s="1" t="s">
        <v>1158</v>
      </c>
      <c r="F472" s="1" t="s">
        <v>112</v>
      </c>
      <c r="G472" s="1">
        <v>2311024</v>
      </c>
    </row>
    <row r="473" spans="1:7" x14ac:dyDescent="0.25">
      <c r="A473" s="1" t="str">
        <f t="shared" si="7"/>
        <v>03 Testo+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1159</v>
      </c>
      <c r="D473" s="1" t="s">
        <v>1160</v>
      </c>
      <c r="E473" s="1" t="s">
        <v>1161</v>
      </c>
      <c r="F473" s="1" t="s">
        <v>112</v>
      </c>
      <c r="G473" s="1">
        <v>1616445</v>
      </c>
    </row>
    <row r="474" spans="1:7" x14ac:dyDescent="0.25">
      <c r="A474" s="1" t="str">
        <f t="shared" si="7"/>
        <v>03 Testo+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1162</v>
      </c>
      <c r="D474" s="1" t="s">
        <v>1163</v>
      </c>
      <c r="E474" s="1" t="s">
        <v>1164</v>
      </c>
      <c r="F474" s="1" t="s">
        <v>112</v>
      </c>
      <c r="G474" s="1">
        <v>1556228</v>
      </c>
    </row>
    <row r="475" spans="1:7" x14ac:dyDescent="0.25">
      <c r="A475" s="1" t="str">
        <f t="shared" si="7"/>
        <v>03 Testo+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1165</v>
      </c>
      <c r="D475" s="1" t="s">
        <v>1166</v>
      </c>
      <c r="E475" s="1" t="s">
        <v>1167</v>
      </c>
      <c r="F475" s="1" t="s">
        <v>112</v>
      </c>
      <c r="G475" s="1">
        <v>1215622</v>
      </c>
    </row>
    <row r="476" spans="1:7" x14ac:dyDescent="0.25">
      <c r="A476" s="1" t="str">
        <f t="shared" si="7"/>
        <v>03 Testo+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1168</v>
      </c>
      <c r="D476" s="1" t="s">
        <v>1169</v>
      </c>
      <c r="E476" s="1" t="s">
        <v>1170</v>
      </c>
      <c r="F476" s="1" t="s">
        <v>112</v>
      </c>
      <c r="G476" s="1">
        <v>2594354</v>
      </c>
    </row>
    <row r="477" spans="1:7" x14ac:dyDescent="0.25">
      <c r="A477" s="1" t="str">
        <f t="shared" si="7"/>
        <v>03 Testo+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1171</v>
      </c>
      <c r="D477" s="1" t="s">
        <v>1172</v>
      </c>
      <c r="E477" s="1" t="s">
        <v>1173</v>
      </c>
      <c r="F477" s="1" t="s">
        <v>112</v>
      </c>
      <c r="G477" s="1">
        <v>3085072</v>
      </c>
    </row>
    <row r="478" spans="1:7" x14ac:dyDescent="0.25">
      <c r="A478" s="1" t="str">
        <f t="shared" si="7"/>
        <v>03 Testo+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1174</v>
      </c>
      <c r="D478" s="1" t="s">
        <v>1175</v>
      </c>
      <c r="E478" s="1" t="s">
        <v>1176</v>
      </c>
      <c r="F478" s="1" t="s">
        <v>112</v>
      </c>
      <c r="G478" s="1">
        <v>2765988</v>
      </c>
    </row>
    <row r="479" spans="1:7" x14ac:dyDescent="0.25">
      <c r="A479" s="1" t="str">
        <f t="shared" si="7"/>
        <v>03 Testo+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1177</v>
      </c>
      <c r="D479" s="1" t="s">
        <v>1178</v>
      </c>
      <c r="E479" s="1" t="s">
        <v>1179</v>
      </c>
      <c r="F479" s="1" t="s">
        <v>112</v>
      </c>
      <c r="G479" s="1">
        <v>1076931</v>
      </c>
    </row>
    <row r="480" spans="1:7" x14ac:dyDescent="0.25">
      <c r="A480" s="1" t="str">
        <f t="shared" si="7"/>
        <v>03 Testo+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1180</v>
      </c>
      <c r="D480" s="1" t="s">
        <v>1032</v>
      </c>
      <c r="E480" s="1" t="s">
        <v>1181</v>
      </c>
      <c r="F480" s="1" t="s">
        <v>112</v>
      </c>
      <c r="G480" s="1">
        <v>733902</v>
      </c>
    </row>
    <row r="481" spans="1:10" x14ac:dyDescent="0.25">
      <c r="A481" s="1" t="str">
        <f t="shared" si="7"/>
        <v>03 Testo+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1182</v>
      </c>
      <c r="D481" s="1" t="s">
        <v>1183</v>
      </c>
      <c r="E481" s="1" t="s">
        <v>1184</v>
      </c>
      <c r="F481" s="1" t="s">
        <v>112</v>
      </c>
      <c r="G481" s="1">
        <v>830199</v>
      </c>
    </row>
    <row r="482" spans="1:10" x14ac:dyDescent="0.25">
      <c r="A482" s="1" t="str">
        <f t="shared" si="7"/>
        <v>03 Testo+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1185</v>
      </c>
    </row>
    <row r="483" spans="1:10" x14ac:dyDescent="0.25">
      <c r="A483" s="1" t="str">
        <f t="shared" si="7"/>
        <v>03 Testo+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1186</v>
      </c>
    </row>
    <row r="484" spans="1:10" x14ac:dyDescent="0.25">
      <c r="A484" s="1" t="str">
        <f t="shared" si="7"/>
        <v>03 Testo+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1187</v>
      </c>
    </row>
    <row r="485" spans="1:10" x14ac:dyDescent="0.25">
      <c r="A485" s="1" t="str">
        <f t="shared" si="7"/>
        <v>03 Testo+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1188</v>
      </c>
    </row>
    <row r="486" spans="1:10" x14ac:dyDescent="0.25">
      <c r="A486" s="1" t="str">
        <f t="shared" si="7"/>
        <v>03 Testo+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1189</v>
      </c>
    </row>
    <row r="487" spans="1:10" x14ac:dyDescent="0.25">
      <c r="A487" s="1" t="str">
        <f t="shared" si="7"/>
        <v>03 Testo+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1190</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236</v>
      </c>
      <c r="D489" s="1" t="s">
        <v>112</v>
      </c>
      <c r="E489" s="1" t="s">
        <v>237</v>
      </c>
      <c r="F489" s="1" t="s">
        <v>238</v>
      </c>
      <c r="G489" s="1" t="s">
        <v>239</v>
      </c>
      <c r="H489" s="1" t="s">
        <v>240</v>
      </c>
      <c r="I489" s="1" t="s">
        <v>241</v>
      </c>
      <c r="J489" s="1" t="s">
        <v>242</v>
      </c>
    </row>
    <row r="490" spans="1:10" x14ac:dyDescent="0.25">
      <c r="A490" s="1" t="str">
        <f t="shared" si="7"/>
        <v>03 Testo+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1191</v>
      </c>
      <c r="D490" s="1" t="s">
        <v>112</v>
      </c>
      <c r="E490" s="1" t="s">
        <v>1192</v>
      </c>
      <c r="F490" s="1" t="s">
        <v>1193</v>
      </c>
      <c r="G490" s="1">
        <v>1727449</v>
      </c>
      <c r="H490" s="1" t="s">
        <v>1194</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248</v>
      </c>
      <c r="D496" s="1" t="s">
        <v>110</v>
      </c>
      <c r="E496" s="1" t="s">
        <v>111</v>
      </c>
      <c r="F496" s="1" t="s">
        <v>112</v>
      </c>
      <c r="G496" s="1" t="s">
        <v>113</v>
      </c>
    </row>
    <row r="497" spans="1:7" x14ac:dyDescent="0.25">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1195</v>
      </c>
      <c r="D497" s="1" t="s">
        <v>1196</v>
      </c>
      <c r="E497" s="1" t="s">
        <v>1197</v>
      </c>
      <c r="F497" s="1" t="s">
        <v>112</v>
      </c>
      <c r="G497" s="1">
        <v>138972</v>
      </c>
    </row>
    <row r="498" spans="1:7" x14ac:dyDescent="0.25">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1198</v>
      </c>
      <c r="D498" s="1" t="s">
        <v>1199</v>
      </c>
      <c r="E498" s="1" t="s">
        <v>1200</v>
      </c>
      <c r="F498" s="1" t="s">
        <v>112</v>
      </c>
      <c r="G498" s="1">
        <v>135165</v>
      </c>
    </row>
    <row r="499" spans="1:7" x14ac:dyDescent="0.25">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1201</v>
      </c>
      <c r="D499" s="1" t="s">
        <v>361</v>
      </c>
      <c r="E499" s="1" t="s">
        <v>973</v>
      </c>
      <c r="F499" s="1" t="s">
        <v>112</v>
      </c>
      <c r="G499" s="1">
        <v>79165</v>
      </c>
    </row>
    <row r="500" spans="1:7" x14ac:dyDescent="0.25">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1202</v>
      </c>
      <c r="D500" s="1" t="s">
        <v>186</v>
      </c>
      <c r="E500" s="1">
        <v>63</v>
      </c>
      <c r="F500" s="1" t="s">
        <v>112</v>
      </c>
      <c r="G500" s="1">
        <v>19078</v>
      </c>
    </row>
    <row r="501" spans="1:7" x14ac:dyDescent="0.25">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1203</v>
      </c>
      <c r="D501" s="1" t="s">
        <v>1204</v>
      </c>
      <c r="E501" s="1" t="s">
        <v>1205</v>
      </c>
      <c r="F501" s="1" t="s">
        <v>112</v>
      </c>
      <c r="G501" s="1">
        <v>626748</v>
      </c>
    </row>
    <row r="502" spans="1:7" x14ac:dyDescent="0.25">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1206</v>
      </c>
      <c r="D502" s="1" t="s">
        <v>912</v>
      </c>
      <c r="E502" s="1" t="s">
        <v>1207</v>
      </c>
      <c r="F502" s="1" t="s">
        <v>112</v>
      </c>
      <c r="G502" s="1">
        <v>495909</v>
      </c>
    </row>
    <row r="503" spans="1:7" x14ac:dyDescent="0.25">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1208</v>
      </c>
      <c r="D503" s="1" t="s">
        <v>223</v>
      </c>
      <c r="E503" s="1" t="s">
        <v>1209</v>
      </c>
      <c r="F503" s="1" t="s">
        <v>112</v>
      </c>
      <c r="G503" s="1">
        <v>242709</v>
      </c>
    </row>
    <row r="504" spans="1:7" x14ac:dyDescent="0.25">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1210</v>
      </c>
      <c r="D504" s="1" t="s">
        <v>214</v>
      </c>
      <c r="E504" s="1" t="s">
        <v>1211</v>
      </c>
      <c r="F504" s="1" t="s">
        <v>112</v>
      </c>
      <c r="G504" s="1">
        <v>41291</v>
      </c>
    </row>
    <row r="505" spans="1:7" x14ac:dyDescent="0.25">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1212</v>
      </c>
      <c r="D505" s="1" t="s">
        <v>234</v>
      </c>
      <c r="E505" s="1" t="s">
        <v>1213</v>
      </c>
      <c r="F505" s="1" t="s">
        <v>112</v>
      </c>
      <c r="G505" s="1">
        <v>44385</v>
      </c>
    </row>
    <row r="506" spans="1:7" x14ac:dyDescent="0.25">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1214</v>
      </c>
      <c r="D506" s="1" t="s">
        <v>1215</v>
      </c>
      <c r="E506" s="1" t="s">
        <v>1216</v>
      </c>
      <c r="F506" s="1" t="s">
        <v>112</v>
      </c>
      <c r="G506" s="1">
        <v>74255</v>
      </c>
    </row>
    <row r="507" spans="1:7" x14ac:dyDescent="0.25">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1217</v>
      </c>
      <c r="D507" s="1" t="s">
        <v>1218</v>
      </c>
      <c r="E507" s="1" t="s">
        <v>1219</v>
      </c>
      <c r="F507" s="1" t="s">
        <v>112</v>
      </c>
      <c r="G507" s="1">
        <v>35971</v>
      </c>
    </row>
    <row r="508" spans="1:7" x14ac:dyDescent="0.25">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1220</v>
      </c>
      <c r="D508" s="1" t="s">
        <v>1221</v>
      </c>
      <c r="E508" s="1" t="s">
        <v>1222</v>
      </c>
      <c r="F508" s="1" t="s">
        <v>112</v>
      </c>
      <c r="G508" s="1">
        <v>90781</v>
      </c>
    </row>
    <row r="509" spans="1:7" x14ac:dyDescent="0.25">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1223</v>
      </c>
      <c r="D509" s="1" t="s">
        <v>1224</v>
      </c>
      <c r="E509" s="1" t="s">
        <v>1225</v>
      </c>
      <c r="F509" s="1" t="s">
        <v>112</v>
      </c>
      <c r="G509" s="1">
        <v>120262</v>
      </c>
    </row>
    <row r="510" spans="1:7" x14ac:dyDescent="0.25">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1226</v>
      </c>
      <c r="D510" s="1" t="s">
        <v>1227</v>
      </c>
      <c r="E510" s="1" t="s">
        <v>1228</v>
      </c>
      <c r="F510" s="1" t="s">
        <v>112</v>
      </c>
      <c r="G510" s="1">
        <v>55589</v>
      </c>
    </row>
    <row r="511" spans="1:7" x14ac:dyDescent="0.25">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1229</v>
      </c>
      <c r="D511" s="1" t="s">
        <v>290</v>
      </c>
      <c r="E511" s="1" t="s">
        <v>803</v>
      </c>
      <c r="F511" s="1" t="s">
        <v>112</v>
      </c>
      <c r="G511" s="1">
        <v>57730</v>
      </c>
    </row>
    <row r="512" spans="1:7" x14ac:dyDescent="0.25">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1230</v>
      </c>
      <c r="D512" s="1" t="s">
        <v>1224</v>
      </c>
      <c r="E512" s="1" t="s">
        <v>1231</v>
      </c>
      <c r="F512" s="1" t="s">
        <v>112</v>
      </c>
      <c r="G512" s="1">
        <v>120954</v>
      </c>
    </row>
    <row r="513" spans="1:10" x14ac:dyDescent="0.25">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1232</v>
      </c>
      <c r="D513" s="1" t="s">
        <v>1233</v>
      </c>
      <c r="E513" s="1" t="s">
        <v>1234</v>
      </c>
      <c r="F513" s="1" t="s">
        <v>112</v>
      </c>
      <c r="G513" s="1">
        <v>334831</v>
      </c>
    </row>
    <row r="514" spans="1:10" x14ac:dyDescent="0.25">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1235</v>
      </c>
      <c r="D514" s="1" t="s">
        <v>1236</v>
      </c>
      <c r="E514" s="1" t="s">
        <v>1237</v>
      </c>
      <c r="F514" s="1" t="s">
        <v>112</v>
      </c>
      <c r="G514" s="1">
        <v>257006</v>
      </c>
    </row>
    <row r="515" spans="1:10" x14ac:dyDescent="0.25">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1238</v>
      </c>
      <c r="D515" s="1" t="s">
        <v>228</v>
      </c>
      <c r="E515" s="1" t="s">
        <v>1239</v>
      </c>
      <c r="F515" s="1" t="s">
        <v>112</v>
      </c>
      <c r="G515" s="1">
        <v>39626</v>
      </c>
    </row>
    <row r="516" spans="1:10" x14ac:dyDescent="0.25">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1240</v>
      </c>
      <c r="D516" s="1" t="s">
        <v>370</v>
      </c>
      <c r="E516" s="1" t="s">
        <v>1241</v>
      </c>
      <c r="F516" s="1" t="s">
        <v>112</v>
      </c>
      <c r="G516" s="1">
        <v>29265</v>
      </c>
    </row>
    <row r="517" spans="1:10" x14ac:dyDescent="0.25">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1242</v>
      </c>
      <c r="D517" s="1" t="s">
        <v>738</v>
      </c>
      <c r="E517" s="1" t="s">
        <v>1243</v>
      </c>
      <c r="F517" s="1" t="s">
        <v>112</v>
      </c>
      <c r="G517" s="1">
        <v>30390</v>
      </c>
    </row>
    <row r="518" spans="1:10" x14ac:dyDescent="0.25">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1244</v>
      </c>
      <c r="D518" s="1" t="s">
        <v>1245</v>
      </c>
      <c r="E518" s="1" t="s">
        <v>1246</v>
      </c>
      <c r="F518" s="1" t="s">
        <v>112</v>
      </c>
      <c r="G518" s="1">
        <v>516630</v>
      </c>
    </row>
    <row r="519" spans="1:10" x14ac:dyDescent="0.25">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1247</v>
      </c>
      <c r="D519" s="1" t="s">
        <v>1248</v>
      </c>
      <c r="E519" s="1" t="s">
        <v>1249</v>
      </c>
      <c r="F519" s="1" t="s">
        <v>112</v>
      </c>
      <c r="G519" s="1">
        <v>514402</v>
      </c>
    </row>
    <row r="520" spans="1:10" x14ac:dyDescent="0.25">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1250</v>
      </c>
      <c r="D520" s="1" t="s">
        <v>214</v>
      </c>
      <c r="E520" s="1" t="s">
        <v>1251</v>
      </c>
      <c r="F520" s="1" t="s">
        <v>112</v>
      </c>
      <c r="G520" s="1">
        <v>43736</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236</v>
      </c>
      <c r="D522" s="1" t="s">
        <v>112</v>
      </c>
      <c r="E522" s="1" t="s">
        <v>237</v>
      </c>
      <c r="F522" s="1" t="s">
        <v>238</v>
      </c>
      <c r="G522" s="1" t="s">
        <v>239</v>
      </c>
      <c r="H522" s="1" t="s">
        <v>240</v>
      </c>
      <c r="I522" s="1" t="s">
        <v>241</v>
      </c>
      <c r="J522" s="1" t="s">
        <v>242</v>
      </c>
    </row>
    <row r="523" spans="1:10" x14ac:dyDescent="0.25">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1252</v>
      </c>
      <c r="D523" s="1" t="s">
        <v>112</v>
      </c>
      <c r="E523" s="1" t="s">
        <v>1253</v>
      </c>
      <c r="F523" s="1" t="s">
        <v>1254</v>
      </c>
      <c r="G523" s="1" t="s">
        <v>1255</v>
      </c>
      <c r="H523" s="1" t="s">
        <v>1256</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248</v>
      </c>
      <c r="D529" s="1" t="s">
        <v>110</v>
      </c>
      <c r="E529" s="1" t="s">
        <v>111</v>
      </c>
      <c r="F529" s="1" t="s">
        <v>112</v>
      </c>
      <c r="G529" s="1" t="s">
        <v>113</v>
      </c>
    </row>
    <row r="530" spans="1:7" x14ac:dyDescent="0.25">
      <c r="A530" s="1" t="str">
        <f t="shared" si="8"/>
        <v>05 Fadrozole 5.4 µg_L Dopé</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1257</v>
      </c>
      <c r="D530" s="1" t="s">
        <v>853</v>
      </c>
      <c r="E530" s="1" t="s">
        <v>1258</v>
      </c>
      <c r="F530" s="1" t="s">
        <v>112</v>
      </c>
      <c r="G530" s="1">
        <v>9474</v>
      </c>
    </row>
    <row r="531" spans="1:7" x14ac:dyDescent="0.25">
      <c r="A531" s="1" t="str">
        <f t="shared" si="8"/>
        <v>05 Fadrozole 5.4 µg_L Dopé</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1259</v>
      </c>
      <c r="D531" s="1" t="s">
        <v>1260</v>
      </c>
      <c r="E531" s="1" t="s">
        <v>1261</v>
      </c>
      <c r="F531" s="1" t="s">
        <v>112</v>
      </c>
      <c r="G531" s="1">
        <v>181518</v>
      </c>
    </row>
    <row r="532" spans="1:7" x14ac:dyDescent="0.25">
      <c r="A532" s="1" t="str">
        <f t="shared" si="8"/>
        <v>05 Fadrozole 5.4 µg_L Dopé</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1262</v>
      </c>
    </row>
    <row r="533" spans="1:7" x14ac:dyDescent="0.25">
      <c r="A533" s="1" t="str">
        <f t="shared" si="8"/>
        <v>05 Fadrozole 5.4 µg_L Dopé</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1263</v>
      </c>
      <c r="D533" s="1" t="s">
        <v>1264</v>
      </c>
      <c r="E533" s="1" t="s">
        <v>1265</v>
      </c>
      <c r="F533" s="1" t="s">
        <v>112</v>
      </c>
      <c r="G533" s="1">
        <v>166918</v>
      </c>
    </row>
    <row r="534" spans="1:7" x14ac:dyDescent="0.25">
      <c r="A534" s="1" t="str">
        <f t="shared" si="8"/>
        <v>05 Fadrozole 5.4 µg_L Dopé</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1266</v>
      </c>
      <c r="D534" s="1" t="s">
        <v>956</v>
      </c>
      <c r="E534" s="1" t="s">
        <v>1267</v>
      </c>
      <c r="F534" s="1" t="s">
        <v>112</v>
      </c>
      <c r="G534" s="1">
        <v>6857</v>
      </c>
    </row>
    <row r="535" spans="1:7" x14ac:dyDescent="0.25">
      <c r="A535" s="1" t="str">
        <f t="shared" si="8"/>
        <v>05 Fadrozole 5.4 µg_L Dopé</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1268</v>
      </c>
      <c r="D535" s="1" t="s">
        <v>1269</v>
      </c>
      <c r="E535" s="1" t="s">
        <v>1270</v>
      </c>
      <c r="F535" s="1" t="s">
        <v>112</v>
      </c>
      <c r="G535" s="1">
        <v>22344</v>
      </c>
    </row>
    <row r="536" spans="1:7" x14ac:dyDescent="0.25">
      <c r="A536" s="1" t="str">
        <f t="shared" si="8"/>
        <v>05 Fadrozole 5.4 µg_L Dopé</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1271</v>
      </c>
      <c r="D536" s="1" t="s">
        <v>824</v>
      </c>
      <c r="E536" s="1" t="s">
        <v>1272</v>
      </c>
      <c r="F536" s="1" t="s">
        <v>112</v>
      </c>
      <c r="G536" s="1">
        <v>76310</v>
      </c>
    </row>
    <row r="537" spans="1:7" x14ac:dyDescent="0.25">
      <c r="A537" s="1" t="str">
        <f t="shared" si="8"/>
        <v>05 Fadrozole 5.4 µg_L Dopé</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1273</v>
      </c>
      <c r="D537" s="1" t="s">
        <v>1274</v>
      </c>
      <c r="E537" s="1" t="s">
        <v>1275</v>
      </c>
      <c r="F537" s="1" t="s">
        <v>112</v>
      </c>
      <c r="G537" s="1">
        <v>76159</v>
      </c>
    </row>
    <row r="538" spans="1:7" x14ac:dyDescent="0.25">
      <c r="A538" s="1" t="str">
        <f t="shared" si="8"/>
        <v>05 Fadrozole 5.4 µg_L Dopé</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1276</v>
      </c>
      <c r="D538" s="1" t="s">
        <v>217</v>
      </c>
      <c r="E538" s="1" t="s">
        <v>1277</v>
      </c>
      <c r="F538" s="1" t="s">
        <v>112</v>
      </c>
      <c r="G538" s="1">
        <v>31601</v>
      </c>
    </row>
    <row r="539" spans="1:7" x14ac:dyDescent="0.25">
      <c r="A539" s="1" t="str">
        <f t="shared" si="8"/>
        <v>05 Fadrozole 5.4 µg_L Dopé</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1278</v>
      </c>
      <c r="D539" s="1" t="s">
        <v>1260</v>
      </c>
      <c r="E539" s="1" t="s">
        <v>1279</v>
      </c>
      <c r="F539" s="1" t="s">
        <v>112</v>
      </c>
      <c r="G539" s="1">
        <v>184135</v>
      </c>
    </row>
    <row r="540" spans="1:7" x14ac:dyDescent="0.25">
      <c r="A540" s="1" t="str">
        <f t="shared" si="8"/>
        <v>05 Fadrozole 5.4 µg_L Dopé</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1280</v>
      </c>
      <c r="D540" s="1" t="s">
        <v>754</v>
      </c>
      <c r="E540" s="1" t="s">
        <v>1281</v>
      </c>
      <c r="F540" s="1" t="s">
        <v>112</v>
      </c>
      <c r="G540" s="1">
        <v>216991</v>
      </c>
    </row>
    <row r="541" spans="1:7" x14ac:dyDescent="0.25">
      <c r="A541" s="1" t="str">
        <f t="shared" si="8"/>
        <v>05 Fadrozole 5.4 µg_L Dopé</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1282</v>
      </c>
      <c r="D541" s="1" t="s">
        <v>1196</v>
      </c>
      <c r="E541" s="1" t="s">
        <v>1283</v>
      </c>
      <c r="F541" s="1" t="s">
        <v>112</v>
      </c>
      <c r="G541" s="1">
        <v>142152</v>
      </c>
    </row>
    <row r="542" spans="1:7" x14ac:dyDescent="0.25">
      <c r="A542" s="1" t="str">
        <f t="shared" si="8"/>
        <v>05 Fadrozole 5.4 µg_L Dopé</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1284</v>
      </c>
      <c r="D542" s="1" t="s">
        <v>353</v>
      </c>
      <c r="E542" s="1">
        <v>63</v>
      </c>
      <c r="F542" s="1" t="s">
        <v>112</v>
      </c>
      <c r="G542" s="1">
        <v>13627</v>
      </c>
    </row>
    <row r="543" spans="1:7" x14ac:dyDescent="0.25">
      <c r="A543" s="1" t="str">
        <f t="shared" si="8"/>
        <v>05 Fadrozole 5.4 µg_L Dopé</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1285</v>
      </c>
      <c r="D543" s="1" t="s">
        <v>186</v>
      </c>
      <c r="E543" s="1" t="s">
        <v>1286</v>
      </c>
      <c r="F543" s="1" t="s">
        <v>112</v>
      </c>
      <c r="G543" s="1">
        <v>19900</v>
      </c>
    </row>
    <row r="544" spans="1:7" x14ac:dyDescent="0.25">
      <c r="A544" s="1" t="str">
        <f t="shared" si="8"/>
        <v>05 Fadrozole 5.4 µg_L Dopé</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1287</v>
      </c>
      <c r="D544" s="1" t="s">
        <v>271</v>
      </c>
      <c r="E544" s="1" t="s">
        <v>1288</v>
      </c>
      <c r="F544" s="1" t="s">
        <v>112</v>
      </c>
      <c r="G544" s="1">
        <v>15119</v>
      </c>
    </row>
    <row r="545" spans="1:10" x14ac:dyDescent="0.25">
      <c r="A545" s="1" t="str">
        <f t="shared" si="8"/>
        <v>05 Fadrozole 5.4 µg_L Dopé</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1289</v>
      </c>
      <c r="D545" s="1" t="s">
        <v>1264</v>
      </c>
      <c r="E545" s="1" t="s">
        <v>1290</v>
      </c>
      <c r="F545" s="1" t="s">
        <v>112</v>
      </c>
      <c r="G545" s="1">
        <v>161229</v>
      </c>
    </row>
    <row r="546" spans="1:10" x14ac:dyDescent="0.25">
      <c r="A546" s="1" t="str">
        <f t="shared" si="8"/>
        <v>05 Fadrozole 5.4 µg_L Dopé</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1291</v>
      </c>
      <c r="D546" s="1" t="s">
        <v>361</v>
      </c>
      <c r="E546" s="1" t="s">
        <v>1292</v>
      </c>
      <c r="F546" s="1" t="s">
        <v>112</v>
      </c>
      <c r="G546" s="1">
        <v>76959</v>
      </c>
    </row>
    <row r="547" spans="1:10" x14ac:dyDescent="0.25">
      <c r="A547" s="1" t="str">
        <f t="shared" si="8"/>
        <v>05 Fadrozole 5.4 µg_L Dopé</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1293</v>
      </c>
      <c r="D547" s="1" t="s">
        <v>178</v>
      </c>
      <c r="E547" s="1" t="s">
        <v>1294</v>
      </c>
      <c r="F547" s="1" t="s">
        <v>112</v>
      </c>
      <c r="G547" s="1">
        <v>25804</v>
      </c>
    </row>
    <row r="548" spans="1:10" x14ac:dyDescent="0.25">
      <c r="A548" s="1" t="str">
        <f t="shared" si="8"/>
        <v>05 Fadrozole 5.4 µg_L Dopé</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1295</v>
      </c>
      <c r="D548" s="1" t="s">
        <v>701</v>
      </c>
      <c r="E548" s="1" t="s">
        <v>1296</v>
      </c>
      <c r="F548" s="1" t="s">
        <v>112</v>
      </c>
      <c r="G548" s="1">
        <v>147235</v>
      </c>
    </row>
    <row r="549" spans="1:10" x14ac:dyDescent="0.25">
      <c r="A549" s="1" t="str">
        <f t="shared" si="8"/>
        <v>05 Fadrozole 5.4 µg_L Dopé</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1297</v>
      </c>
    </row>
    <row r="550" spans="1:10" x14ac:dyDescent="0.25">
      <c r="A550" s="1" t="str">
        <f t="shared" si="8"/>
        <v>05 Fadrozole 5.4 µg_L Dopé</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1298</v>
      </c>
      <c r="D550" s="1" t="s">
        <v>390</v>
      </c>
      <c r="E550" s="1" t="s">
        <v>1299</v>
      </c>
      <c r="F550" s="1" t="s">
        <v>112</v>
      </c>
      <c r="G550" s="1">
        <v>130493</v>
      </c>
    </row>
    <row r="551" spans="1:10" x14ac:dyDescent="0.25">
      <c r="A551" s="1" t="str">
        <f t="shared" si="8"/>
        <v>05 Fadrozole 5.4 µg_L Dopé</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1300</v>
      </c>
      <c r="D551" s="1" t="s">
        <v>178</v>
      </c>
      <c r="E551" s="1">
        <v>63</v>
      </c>
      <c r="F551" s="1" t="s">
        <v>112</v>
      </c>
      <c r="G551" s="1">
        <v>25891</v>
      </c>
    </row>
    <row r="552" spans="1:10" x14ac:dyDescent="0.25">
      <c r="A552" s="1" t="str">
        <f t="shared" si="8"/>
        <v>05 Fadrozole 5.4 µg_L Dopé</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1301</v>
      </c>
      <c r="D552" s="1" t="s">
        <v>234</v>
      </c>
      <c r="E552" s="1" t="s">
        <v>1302</v>
      </c>
      <c r="F552" s="1" t="s">
        <v>112</v>
      </c>
      <c r="G552" s="1">
        <v>43260</v>
      </c>
    </row>
    <row r="553" spans="1:10" x14ac:dyDescent="0.25">
      <c r="A553" s="1" t="str">
        <f t="shared" si="8"/>
        <v>05 Fadrozole 5.4 µg_L Dopé</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1303</v>
      </c>
      <c r="D553" s="1" t="s">
        <v>175</v>
      </c>
      <c r="E553" s="1" t="s">
        <v>1304</v>
      </c>
      <c r="F553" s="1" t="s">
        <v>112</v>
      </c>
      <c r="G553" s="1">
        <v>20267</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236</v>
      </c>
      <c r="D555" s="1" t="s">
        <v>112</v>
      </c>
      <c r="E555" s="1" t="s">
        <v>237</v>
      </c>
      <c r="F555" s="1" t="s">
        <v>238</v>
      </c>
      <c r="G555" s="1" t="s">
        <v>239</v>
      </c>
      <c r="H555" s="1" t="s">
        <v>240</v>
      </c>
      <c r="I555" s="1" t="s">
        <v>241</v>
      </c>
      <c r="J555" s="1" t="s">
        <v>242</v>
      </c>
    </row>
    <row r="556" spans="1:10" x14ac:dyDescent="0.25">
      <c r="A556" s="1" t="str">
        <f t="shared" si="8"/>
        <v>05 Fadrozole 5.4 µg_L Dopé</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1305</v>
      </c>
      <c r="D556" s="1" t="s">
        <v>112</v>
      </c>
      <c r="E556" s="1" t="s">
        <v>1306</v>
      </c>
      <c r="F556" s="1" t="s">
        <v>1307</v>
      </c>
      <c r="G556" s="1" t="s">
        <v>1308</v>
      </c>
      <c r="H556" s="1" t="s">
        <v>1309</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248</v>
      </c>
      <c r="D562" s="1" t="s">
        <v>110</v>
      </c>
      <c r="E562" s="1" t="s">
        <v>111</v>
      </c>
      <c r="F562" s="1" t="s">
        <v>112</v>
      </c>
      <c r="G562" s="1" t="s">
        <v>113</v>
      </c>
    </row>
    <row r="563" spans="1:7" x14ac:dyDescent="0.25">
      <c r="A563" s="1" t="str">
        <f t="shared" si="8"/>
        <v>06 Fadrozole 11 µg_L Dopé</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1310</v>
      </c>
      <c r="D563" s="1" t="s">
        <v>1311</v>
      </c>
      <c r="E563" s="1" t="s">
        <v>1312</v>
      </c>
      <c r="F563" s="1" t="s">
        <v>112</v>
      </c>
      <c r="G563" s="1">
        <v>978515</v>
      </c>
    </row>
    <row r="564" spans="1:7" x14ac:dyDescent="0.25">
      <c r="A564" s="1" t="str">
        <f t="shared" si="8"/>
        <v>06 Fadrozole 11 µg_L Dopé</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1313</v>
      </c>
      <c r="D564" s="1" t="s">
        <v>1314</v>
      </c>
      <c r="E564" s="1" t="s">
        <v>1315</v>
      </c>
      <c r="F564" s="1" t="s">
        <v>112</v>
      </c>
      <c r="G564" s="1">
        <v>1067695</v>
      </c>
    </row>
    <row r="565" spans="1:7" x14ac:dyDescent="0.25">
      <c r="A565" s="1" t="str">
        <f t="shared" si="8"/>
        <v>06 Fadrozole 11 µg_L Dopé</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1316</v>
      </c>
    </row>
    <row r="566" spans="1:7" x14ac:dyDescent="0.25">
      <c r="A566" s="1" t="str">
        <f t="shared" si="8"/>
        <v>06 Fadrozole 11 µg_L Dopé</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1317</v>
      </c>
      <c r="D566" s="1" t="s">
        <v>1318</v>
      </c>
      <c r="E566" s="1" t="s">
        <v>1319</v>
      </c>
      <c r="F566" s="1" t="s">
        <v>112</v>
      </c>
      <c r="G566" s="1">
        <v>382265</v>
      </c>
    </row>
    <row r="567" spans="1:7" x14ac:dyDescent="0.25">
      <c r="A567" s="1" t="str">
        <f t="shared" si="8"/>
        <v>06 Fadrozole 11 µg_L Dopé</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1320</v>
      </c>
      <c r="D567" s="1" t="s">
        <v>915</v>
      </c>
      <c r="E567" s="1" t="s">
        <v>1321</v>
      </c>
      <c r="F567" s="1" t="s">
        <v>112</v>
      </c>
      <c r="G567" s="1">
        <v>459354</v>
      </c>
    </row>
    <row r="568" spans="1:7" x14ac:dyDescent="0.25">
      <c r="A568" s="1" t="str">
        <f t="shared" si="8"/>
        <v>06 Fadrozole 11 µg_L Dopé</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1322</v>
      </c>
      <c r="D568" s="1" t="s">
        <v>355</v>
      </c>
      <c r="E568" s="1" t="s">
        <v>1323</v>
      </c>
      <c r="F568" s="1" t="s">
        <v>112</v>
      </c>
      <c r="G568" s="1">
        <v>311297</v>
      </c>
    </row>
    <row r="569" spans="1:7" x14ac:dyDescent="0.25">
      <c r="A569" s="1" t="str">
        <f t="shared" si="8"/>
        <v>06 Fadrozole 11 µg_L Dopé</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1324</v>
      </c>
      <c r="D569" s="1" t="s">
        <v>1325</v>
      </c>
      <c r="E569" s="1" t="s">
        <v>1326</v>
      </c>
      <c r="F569" s="1" t="s">
        <v>112</v>
      </c>
      <c r="G569" s="1">
        <v>36814</v>
      </c>
    </row>
    <row r="570" spans="1:7" x14ac:dyDescent="0.25">
      <c r="A570" s="1" t="str">
        <f t="shared" si="8"/>
        <v>06 Fadrozole 11 µg_L Dopé</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1327</v>
      </c>
      <c r="D570" s="1" t="s">
        <v>342</v>
      </c>
      <c r="E570" s="1" t="s">
        <v>1328</v>
      </c>
      <c r="F570" s="1" t="s">
        <v>112</v>
      </c>
      <c r="G570" s="1">
        <v>62337</v>
      </c>
    </row>
    <row r="571" spans="1:7" x14ac:dyDescent="0.25">
      <c r="A571" s="1" t="str">
        <f t="shared" si="8"/>
        <v>06 Fadrozole 11 µg_L Dopé</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1329</v>
      </c>
      <c r="D571" s="1" t="s">
        <v>922</v>
      </c>
      <c r="E571" s="1" t="s">
        <v>1330</v>
      </c>
      <c r="F571" s="1" t="s">
        <v>112</v>
      </c>
      <c r="G571" s="1">
        <v>65019</v>
      </c>
    </row>
    <row r="572" spans="1:7" x14ac:dyDescent="0.25">
      <c r="A572" s="1" t="str">
        <f t="shared" si="8"/>
        <v>06 Fadrozole 11 µg_L Dopé</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1331</v>
      </c>
      <c r="D572" s="1" t="s">
        <v>1332</v>
      </c>
      <c r="E572" s="1" t="s">
        <v>1333</v>
      </c>
      <c r="F572" s="1" t="s">
        <v>112</v>
      </c>
      <c r="G572" s="1">
        <v>647253</v>
      </c>
    </row>
    <row r="573" spans="1:7" x14ac:dyDescent="0.25">
      <c r="A573" s="1" t="str">
        <f t="shared" si="8"/>
        <v>06 Fadrozole 11 µg_L Dopé</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1334</v>
      </c>
      <c r="D573" s="1" t="s">
        <v>1335</v>
      </c>
      <c r="E573" s="1" t="s">
        <v>1336</v>
      </c>
      <c r="F573" s="1" t="s">
        <v>112</v>
      </c>
      <c r="G573" s="1">
        <v>566660</v>
      </c>
    </row>
    <row r="574" spans="1:7" x14ac:dyDescent="0.25">
      <c r="A574" s="1" t="str">
        <f t="shared" si="8"/>
        <v>06 Fadrozole 11 µg_L Dopé</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1337</v>
      </c>
      <c r="D574" s="1" t="s">
        <v>1338</v>
      </c>
      <c r="E574" s="1" t="s">
        <v>1339</v>
      </c>
      <c r="F574" s="1" t="s">
        <v>112</v>
      </c>
      <c r="G574" s="1">
        <v>732583</v>
      </c>
    </row>
    <row r="575" spans="1:7" x14ac:dyDescent="0.25">
      <c r="A575" s="1" t="str">
        <f t="shared" si="8"/>
        <v>06 Fadrozole 11 µg_L Dopé</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1340</v>
      </c>
      <c r="D575" s="1" t="s">
        <v>1341</v>
      </c>
      <c r="E575" s="1" t="s">
        <v>1342</v>
      </c>
      <c r="F575" s="1" t="s">
        <v>112</v>
      </c>
      <c r="G575" s="1">
        <v>451957</v>
      </c>
    </row>
    <row r="576" spans="1:7" x14ac:dyDescent="0.25">
      <c r="A576" s="1" t="str">
        <f t="shared" si="8"/>
        <v>06 Fadrozole 11 µg_L Dopé</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1343</v>
      </c>
      <c r="D576" s="1" t="s">
        <v>1344</v>
      </c>
      <c r="E576" s="1" t="s">
        <v>1345</v>
      </c>
      <c r="F576" s="1" t="s">
        <v>112</v>
      </c>
      <c r="G576" s="1">
        <v>401321</v>
      </c>
    </row>
    <row r="577" spans="1:10" x14ac:dyDescent="0.25">
      <c r="A577" s="1" t="str">
        <f t="shared" si="8"/>
        <v>06 Fadrozole 11 µg_L Dopé</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1346</v>
      </c>
      <c r="D577" s="1" t="s">
        <v>1347</v>
      </c>
      <c r="E577" s="1" t="s">
        <v>1348</v>
      </c>
      <c r="F577" s="1" t="s">
        <v>112</v>
      </c>
      <c r="G577" s="1">
        <v>290468</v>
      </c>
    </row>
    <row r="578" spans="1:10" x14ac:dyDescent="0.25">
      <c r="A578" s="1" t="str">
        <f t="shared" ref="A578:A641" si="9">IFERROR(LEFT(RIGHT(C578,LEN(C578)-SEARCH("@",C578)),SEARCH("/",RIGHT(C578,LEN(C578)-SEARCH("@",C578)-1))),"")</f>
        <v>06 Fadrozole 11 µg_L Dopé</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1349</v>
      </c>
      <c r="D578" s="1" t="s">
        <v>772</v>
      </c>
      <c r="E578" s="1" t="s">
        <v>1350</v>
      </c>
      <c r="F578" s="1" t="s">
        <v>112</v>
      </c>
      <c r="G578" s="1">
        <v>17823</v>
      </c>
    </row>
    <row r="579" spans="1:10" x14ac:dyDescent="0.25">
      <c r="A579" s="1" t="str">
        <f t="shared" si="9"/>
        <v>06 Fadrozole 11 µg_L Dopé</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1351</v>
      </c>
      <c r="D579" s="1" t="s">
        <v>956</v>
      </c>
      <c r="E579" s="1">
        <v>64</v>
      </c>
      <c r="F579" s="1" t="s">
        <v>112</v>
      </c>
      <c r="G579" s="1">
        <v>6922</v>
      </c>
    </row>
    <row r="580" spans="1:10" x14ac:dyDescent="0.25">
      <c r="A580" s="1" t="str">
        <f t="shared" si="9"/>
        <v>06 Fadrozole 11 µg_L Dopé</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1352</v>
      </c>
      <c r="D580" s="1" t="s">
        <v>848</v>
      </c>
      <c r="E580" s="1" t="s">
        <v>1353</v>
      </c>
      <c r="F580" s="1" t="s">
        <v>112</v>
      </c>
      <c r="G580" s="1">
        <v>27924</v>
      </c>
    </row>
    <row r="581" spans="1:10" x14ac:dyDescent="0.25">
      <c r="A581" s="1" t="str">
        <f t="shared" si="9"/>
        <v>06 Fadrozole 11 µg_L Dopé</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1354</v>
      </c>
      <c r="D581" s="1" t="s">
        <v>1355</v>
      </c>
      <c r="E581" s="1" t="s">
        <v>1356</v>
      </c>
      <c r="F581" s="1" t="s">
        <v>112</v>
      </c>
      <c r="G581" s="1">
        <v>297973</v>
      </c>
    </row>
    <row r="582" spans="1:10" x14ac:dyDescent="0.25">
      <c r="A582" s="1" t="str">
        <f t="shared" si="9"/>
        <v>06 Fadrozole 11 µg_L Dopé</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1357</v>
      </c>
      <c r="D582" s="1" t="s">
        <v>1358</v>
      </c>
      <c r="E582" s="1" t="s">
        <v>1359</v>
      </c>
      <c r="F582" s="1" t="s">
        <v>112</v>
      </c>
      <c r="G582" s="1">
        <v>301564</v>
      </c>
    </row>
    <row r="583" spans="1:10" x14ac:dyDescent="0.25">
      <c r="A583" s="1" t="str">
        <f t="shared" si="9"/>
        <v>06 Fadrozole 11 µg_L Dopé</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1360</v>
      </c>
      <c r="D583" s="1" t="s">
        <v>1361</v>
      </c>
      <c r="E583" s="1" t="s">
        <v>1362</v>
      </c>
      <c r="F583" s="1" t="s">
        <v>112</v>
      </c>
      <c r="G583" s="1">
        <v>437616</v>
      </c>
    </row>
    <row r="584" spans="1:10" x14ac:dyDescent="0.25">
      <c r="A584" s="1" t="str">
        <f t="shared" si="9"/>
        <v>06 Fadrozole 11 µg_L Dopé</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1363</v>
      </c>
      <c r="D584" s="1" t="s">
        <v>1269</v>
      </c>
      <c r="E584" s="1">
        <v>62</v>
      </c>
      <c r="F584" s="1" t="s">
        <v>112</v>
      </c>
      <c r="G584" s="1">
        <v>21457</v>
      </c>
    </row>
    <row r="585" spans="1:10" x14ac:dyDescent="0.25">
      <c r="A585" s="1" t="str">
        <f t="shared" si="9"/>
        <v>06 Fadrozole 11 µg_L Dopé</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1364</v>
      </c>
      <c r="D585" s="1" t="s">
        <v>784</v>
      </c>
      <c r="E585" s="1" t="s">
        <v>1365</v>
      </c>
      <c r="F585" s="1" t="s">
        <v>112</v>
      </c>
      <c r="G585" s="1">
        <v>25783</v>
      </c>
    </row>
    <row r="586" spans="1:10" x14ac:dyDescent="0.25">
      <c r="A586" s="1" t="str">
        <f t="shared" si="9"/>
        <v>06 Fadrozole 11 µg_L Dopé</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1366</v>
      </c>
      <c r="D586" s="1" t="s">
        <v>714</v>
      </c>
      <c r="E586" s="1" t="s">
        <v>1367</v>
      </c>
      <c r="F586" s="1" t="s">
        <v>112</v>
      </c>
      <c r="G586" s="1">
        <v>56281</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236</v>
      </c>
      <c r="D588" s="1" t="s">
        <v>112</v>
      </c>
      <c r="E588" s="1" t="s">
        <v>237</v>
      </c>
      <c r="F588" s="1" t="s">
        <v>238</v>
      </c>
      <c r="G588" s="1" t="s">
        <v>239</v>
      </c>
      <c r="H588" s="1" t="s">
        <v>240</v>
      </c>
      <c r="I588" s="1" t="s">
        <v>241</v>
      </c>
      <c r="J588" s="1" t="s">
        <v>242</v>
      </c>
    </row>
    <row r="589" spans="1:10" x14ac:dyDescent="0.25">
      <c r="A589" s="1" t="str">
        <f t="shared" si="9"/>
        <v>06 Fadrozole 11 µg_L Dopé</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1368</v>
      </c>
      <c r="D589" s="1" t="s">
        <v>112</v>
      </c>
      <c r="E589" s="1" t="s">
        <v>1369</v>
      </c>
      <c r="F589" s="1" t="s">
        <v>1370</v>
      </c>
      <c r="G589" s="1" t="s">
        <v>1371</v>
      </c>
      <c r="H589" s="1" t="s">
        <v>1372</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248</v>
      </c>
      <c r="D595" s="1" t="s">
        <v>110</v>
      </c>
      <c r="E595" s="1" t="s">
        <v>111</v>
      </c>
      <c r="F595" s="1" t="s">
        <v>112</v>
      </c>
      <c r="G595" s="1" t="s">
        <v>113</v>
      </c>
    </row>
    <row r="596" spans="1:7" x14ac:dyDescent="0.25">
      <c r="A596" s="1" t="str">
        <f t="shared" si="9"/>
        <v>07  Fadrozole 22 µg_L Dopé</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1373</v>
      </c>
      <c r="D596" s="1" t="s">
        <v>1269</v>
      </c>
      <c r="E596" s="1" t="s">
        <v>789</v>
      </c>
      <c r="F596" s="1" t="s">
        <v>112</v>
      </c>
      <c r="G596" s="1">
        <v>22452</v>
      </c>
    </row>
    <row r="597" spans="1:7" x14ac:dyDescent="0.25">
      <c r="A597" s="1" t="str">
        <f t="shared" si="9"/>
        <v>07  Fadrozole 22 µg_L Dopé</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1374</v>
      </c>
      <c r="D597" s="1" t="s">
        <v>178</v>
      </c>
      <c r="E597" s="1" t="s">
        <v>1375</v>
      </c>
      <c r="F597" s="1" t="s">
        <v>112</v>
      </c>
      <c r="G597" s="1">
        <v>26107</v>
      </c>
    </row>
    <row r="598" spans="1:7" x14ac:dyDescent="0.25">
      <c r="A598" s="1" t="str">
        <f t="shared" si="9"/>
        <v>07  Fadrozole 22 µg_L Dopé</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1376</v>
      </c>
      <c r="D598" s="1" t="s">
        <v>353</v>
      </c>
      <c r="E598" s="1" t="s">
        <v>1377</v>
      </c>
      <c r="F598" s="1" t="s">
        <v>112</v>
      </c>
      <c r="G598" s="1">
        <v>13562</v>
      </c>
    </row>
    <row r="599" spans="1:7" x14ac:dyDescent="0.25">
      <c r="A599" s="1" t="str">
        <f t="shared" si="9"/>
        <v>07  Fadrozole 22 µg_L Dopé</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1378</v>
      </c>
      <c r="D599" s="1" t="s">
        <v>1379</v>
      </c>
      <c r="E599" s="1" t="s">
        <v>1380</v>
      </c>
      <c r="F599" s="1" t="s">
        <v>112</v>
      </c>
      <c r="G599" s="1">
        <v>384493</v>
      </c>
    </row>
    <row r="600" spans="1:7" x14ac:dyDescent="0.25">
      <c r="A600" s="1" t="str">
        <f t="shared" si="9"/>
        <v>07  Fadrozole 22 µg_L Dopé</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1381</v>
      </c>
      <c r="D600" s="1" t="s">
        <v>1358</v>
      </c>
      <c r="E600" s="1" t="s">
        <v>1382</v>
      </c>
      <c r="F600" s="1" t="s">
        <v>112</v>
      </c>
      <c r="G600" s="1">
        <v>302148</v>
      </c>
    </row>
    <row r="601" spans="1:7" x14ac:dyDescent="0.25">
      <c r="A601" s="1" t="str">
        <f t="shared" si="9"/>
        <v>07  Fadrozole 22 µg_L Dopé</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1383</v>
      </c>
      <c r="D601" s="1" t="s">
        <v>223</v>
      </c>
      <c r="E601" s="1" t="s">
        <v>316</v>
      </c>
      <c r="F601" s="1" t="s">
        <v>112</v>
      </c>
      <c r="G601" s="1">
        <v>229125</v>
      </c>
    </row>
    <row r="602" spans="1:7" x14ac:dyDescent="0.25">
      <c r="A602" s="1" t="str">
        <f t="shared" si="9"/>
        <v>07  Fadrozole 22 µg_L Dopé</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1384</v>
      </c>
      <c r="D602" s="1" t="s">
        <v>784</v>
      </c>
      <c r="E602" s="1" t="s">
        <v>1385</v>
      </c>
      <c r="F602" s="1" t="s">
        <v>112</v>
      </c>
      <c r="G602" s="1">
        <v>24572</v>
      </c>
    </row>
    <row r="603" spans="1:7" x14ac:dyDescent="0.25">
      <c r="A603" s="1" t="str">
        <f t="shared" si="9"/>
        <v>07  Fadrozole 22 µg_L Dopé</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1386</v>
      </c>
      <c r="D603" s="1" t="s">
        <v>848</v>
      </c>
      <c r="E603" s="1" t="s">
        <v>1387</v>
      </c>
      <c r="F603" s="1" t="s">
        <v>112</v>
      </c>
      <c r="G603" s="1">
        <v>28768</v>
      </c>
    </row>
    <row r="604" spans="1:7" x14ac:dyDescent="0.25">
      <c r="A604" s="1" t="str">
        <f t="shared" si="9"/>
        <v>07  Fadrozole 22 µg_L Dopé</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1388</v>
      </c>
      <c r="D604" s="1" t="s">
        <v>738</v>
      </c>
      <c r="E604" s="1" t="s">
        <v>1389</v>
      </c>
      <c r="F604" s="1" t="s">
        <v>112</v>
      </c>
      <c r="G604" s="1">
        <v>30650</v>
      </c>
    </row>
    <row r="605" spans="1:7" x14ac:dyDescent="0.25">
      <c r="A605" s="1" t="str">
        <f t="shared" si="9"/>
        <v>07  Fadrozole 22 µg_L Dopé</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1390</v>
      </c>
      <c r="D605" s="1" t="s">
        <v>1218</v>
      </c>
      <c r="E605" s="1" t="s">
        <v>1391</v>
      </c>
      <c r="F605" s="1" t="s">
        <v>112</v>
      </c>
      <c r="G605" s="1">
        <v>36706</v>
      </c>
    </row>
    <row r="606" spans="1:7" x14ac:dyDescent="0.25">
      <c r="A606" s="1" t="str">
        <f t="shared" si="9"/>
        <v>07  Fadrozole 22 µg_L Dopé</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1392</v>
      </c>
      <c r="D606" s="1" t="s">
        <v>769</v>
      </c>
      <c r="E606" s="1" t="s">
        <v>1393</v>
      </c>
      <c r="F606" s="1" t="s">
        <v>112</v>
      </c>
      <c r="G606" s="1">
        <v>44579</v>
      </c>
    </row>
    <row r="607" spans="1:7" x14ac:dyDescent="0.25">
      <c r="A607" s="1" t="str">
        <f t="shared" si="9"/>
        <v>07  Fadrozole 22 µg_L Dopé</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1394</v>
      </c>
      <c r="D607" s="1" t="s">
        <v>228</v>
      </c>
      <c r="E607" s="1" t="s">
        <v>1395</v>
      </c>
      <c r="F607" s="1" t="s">
        <v>112</v>
      </c>
      <c r="G607" s="1">
        <v>39561</v>
      </c>
    </row>
    <row r="608" spans="1:7" x14ac:dyDescent="0.25">
      <c r="A608" s="1" t="str">
        <f t="shared" si="9"/>
        <v>07  Fadrozole 22 µg_L Dopé</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1396</v>
      </c>
      <c r="D608" s="1" t="s">
        <v>1269</v>
      </c>
      <c r="E608" s="1" t="s">
        <v>294</v>
      </c>
      <c r="F608" s="1" t="s">
        <v>112</v>
      </c>
      <c r="G608" s="1">
        <v>22365</v>
      </c>
    </row>
    <row r="609" spans="1:10" x14ac:dyDescent="0.25">
      <c r="A609" s="1" t="str">
        <f t="shared" si="9"/>
        <v>07  Fadrozole 22 µg_L Dopé</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1397</v>
      </c>
      <c r="D609" s="1" t="s">
        <v>175</v>
      </c>
      <c r="E609" s="1">
        <v>64</v>
      </c>
      <c r="F609" s="1" t="s">
        <v>112</v>
      </c>
      <c r="G609" s="1">
        <v>20765</v>
      </c>
    </row>
    <row r="610" spans="1:10" x14ac:dyDescent="0.25">
      <c r="A610" s="1" t="str">
        <f t="shared" si="9"/>
        <v>07  Fadrozole 22 µg_L Dopé</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1398</v>
      </c>
      <c r="D610" s="1" t="s">
        <v>175</v>
      </c>
      <c r="E610" s="1" t="s">
        <v>1399</v>
      </c>
      <c r="F610" s="1" t="s">
        <v>112</v>
      </c>
      <c r="G610" s="1">
        <v>20981</v>
      </c>
    </row>
    <row r="611" spans="1:10" x14ac:dyDescent="0.25">
      <c r="A611" s="1" t="str">
        <f t="shared" si="9"/>
        <v>07  Fadrozole 22 µg_L Dopé</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1400</v>
      </c>
      <c r="D611" s="1" t="s">
        <v>301</v>
      </c>
      <c r="E611" s="1" t="s">
        <v>1401</v>
      </c>
      <c r="F611" s="1" t="s">
        <v>112</v>
      </c>
      <c r="G611" s="1">
        <v>60802</v>
      </c>
    </row>
    <row r="612" spans="1:10" x14ac:dyDescent="0.25">
      <c r="A612" s="1" t="str">
        <f t="shared" si="9"/>
        <v>07  Fadrozole 22 µg_L Dopé</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1402</v>
      </c>
      <c r="D612" s="1" t="s">
        <v>775</v>
      </c>
      <c r="E612" s="1" t="s">
        <v>1403</v>
      </c>
      <c r="F612" s="1" t="s">
        <v>112</v>
      </c>
      <c r="G612" s="1">
        <v>252161</v>
      </c>
    </row>
    <row r="613" spans="1:10" x14ac:dyDescent="0.25">
      <c r="A613" s="1" t="str">
        <f t="shared" si="9"/>
        <v>07  Fadrozole 22 µg_L Dopé</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1404</v>
      </c>
      <c r="D613" s="1" t="s">
        <v>772</v>
      </c>
      <c r="E613" s="1" t="s">
        <v>1405</v>
      </c>
      <c r="F613" s="1" t="s">
        <v>112</v>
      </c>
      <c r="G613" s="1">
        <v>17866</v>
      </c>
    </row>
    <row r="614" spans="1:10" x14ac:dyDescent="0.25">
      <c r="A614" s="1" t="str">
        <f t="shared" si="9"/>
        <v>07  Fadrozole 22 µg_L Dopé</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1406</v>
      </c>
      <c r="D614" s="1" t="s">
        <v>769</v>
      </c>
      <c r="E614" s="1" t="s">
        <v>1407</v>
      </c>
      <c r="F614" s="1" t="s">
        <v>112</v>
      </c>
      <c r="G614" s="1">
        <v>44558</v>
      </c>
    </row>
    <row r="615" spans="1:10" x14ac:dyDescent="0.25">
      <c r="A615" s="1" t="str">
        <f t="shared" si="9"/>
        <v>07  Fadrozole 22 µg_L Dopé</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1408</v>
      </c>
      <c r="D615" s="1" t="s">
        <v>271</v>
      </c>
      <c r="E615" s="1" t="s">
        <v>1409</v>
      </c>
      <c r="F615" s="1" t="s">
        <v>112</v>
      </c>
      <c r="G615" s="1">
        <v>14860</v>
      </c>
    </row>
    <row r="616" spans="1:10" x14ac:dyDescent="0.25">
      <c r="A616" s="1" t="str">
        <f t="shared" si="9"/>
        <v>07  Fadrozole 22 µg_L Dopé</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1410</v>
      </c>
      <c r="D616" s="1" t="s">
        <v>175</v>
      </c>
      <c r="E616" s="1" t="s">
        <v>1411</v>
      </c>
      <c r="F616" s="1" t="s">
        <v>112</v>
      </c>
      <c r="G616" s="1">
        <v>21068</v>
      </c>
    </row>
    <row r="617" spans="1:10" x14ac:dyDescent="0.25">
      <c r="A617" s="1" t="str">
        <f t="shared" si="9"/>
        <v>07  Fadrozole 22 µg_L Dopé</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1412</v>
      </c>
      <c r="D617" s="1" t="s">
        <v>186</v>
      </c>
      <c r="E617" s="1" t="s">
        <v>1413</v>
      </c>
      <c r="F617" s="1" t="s">
        <v>112</v>
      </c>
      <c r="G617" s="1">
        <v>19229</v>
      </c>
    </row>
    <row r="618" spans="1:10" x14ac:dyDescent="0.25">
      <c r="A618" s="1" t="str">
        <f t="shared" si="9"/>
        <v>07  Fadrozole 22 µg_L Dopé</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1414</v>
      </c>
      <c r="D618" s="1" t="s">
        <v>268</v>
      </c>
      <c r="E618" s="1" t="s">
        <v>1415</v>
      </c>
      <c r="F618" s="1" t="s">
        <v>112</v>
      </c>
      <c r="G618" s="1">
        <v>10923</v>
      </c>
    </row>
    <row r="619" spans="1:10" x14ac:dyDescent="0.25">
      <c r="A619" s="1" t="str">
        <f t="shared" si="9"/>
        <v>07  Fadrozole 22 µg_L Dopé</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1416</v>
      </c>
      <c r="D619" s="1" t="s">
        <v>268</v>
      </c>
      <c r="E619" s="1" t="s">
        <v>1417</v>
      </c>
      <c r="F619" s="1" t="s">
        <v>112</v>
      </c>
      <c r="G619" s="1">
        <v>11204</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236</v>
      </c>
      <c r="D621" s="1" t="s">
        <v>112</v>
      </c>
      <c r="E621" s="1" t="s">
        <v>237</v>
      </c>
      <c r="F621" s="1" t="s">
        <v>238</v>
      </c>
      <c r="G621" s="1" t="s">
        <v>239</v>
      </c>
      <c r="H621" s="1" t="s">
        <v>240</v>
      </c>
      <c r="I621" s="1" t="s">
        <v>241</v>
      </c>
      <c r="J621" s="1" t="s">
        <v>242</v>
      </c>
    </row>
    <row r="622" spans="1:10" x14ac:dyDescent="0.25">
      <c r="A622" s="1" t="str">
        <f t="shared" si="9"/>
        <v>07  Fadrozole 22 µg_L Dopé</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1418</v>
      </c>
      <c r="D622" s="1" t="s">
        <v>112</v>
      </c>
      <c r="E622" s="1" t="s">
        <v>1419</v>
      </c>
      <c r="F622" s="1" t="s">
        <v>1420</v>
      </c>
      <c r="G622" s="1" t="s">
        <v>1421</v>
      </c>
      <c r="H622" s="1" t="s">
        <v>1422</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248</v>
      </c>
      <c r="D628" s="1" t="s">
        <v>110</v>
      </c>
      <c r="E628" s="1" t="s">
        <v>111</v>
      </c>
      <c r="F628" s="1" t="s">
        <v>112</v>
      </c>
      <c r="G628" s="1" t="s">
        <v>113</v>
      </c>
    </row>
    <row r="629" spans="1:7" x14ac:dyDescent="0.25">
      <c r="A629" s="1" t="str">
        <f t="shared" si="9"/>
        <v>08 Fadrozole 44 µg_L Dopé</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1423</v>
      </c>
      <c r="D629" s="1" t="s">
        <v>1424</v>
      </c>
      <c r="E629" s="1" t="s">
        <v>1425</v>
      </c>
      <c r="F629" s="1" t="s">
        <v>112</v>
      </c>
      <c r="G629" s="1">
        <v>249760</v>
      </c>
    </row>
    <row r="630" spans="1:7" x14ac:dyDescent="0.25">
      <c r="A630" s="1" t="str">
        <f t="shared" si="9"/>
        <v>08 Fadrozole 44 µg_L Dopé</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1426</v>
      </c>
      <c r="D630" s="1" t="s">
        <v>1427</v>
      </c>
      <c r="E630" s="1" t="s">
        <v>1428</v>
      </c>
      <c r="F630" s="1" t="s">
        <v>112</v>
      </c>
      <c r="G630" s="1">
        <v>601095</v>
      </c>
    </row>
    <row r="631" spans="1:7" x14ac:dyDescent="0.25">
      <c r="A631" s="1" t="str">
        <f t="shared" si="9"/>
        <v>08 Fadrozole 44 µg_L Dopé</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1429</v>
      </c>
      <c r="D631" s="1" t="s">
        <v>1430</v>
      </c>
      <c r="E631" s="1" t="s">
        <v>1431</v>
      </c>
      <c r="F631" s="1" t="s">
        <v>112</v>
      </c>
      <c r="G631" s="1">
        <v>51825</v>
      </c>
    </row>
    <row r="632" spans="1:7" x14ac:dyDescent="0.25">
      <c r="A632" s="1" t="str">
        <f t="shared" si="9"/>
        <v>08 Fadrozole 44 µg_L Dopé</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1432</v>
      </c>
      <c r="D632" s="1" t="s">
        <v>584</v>
      </c>
      <c r="E632" s="1" t="s">
        <v>1433</v>
      </c>
      <c r="F632" s="1" t="s">
        <v>112</v>
      </c>
      <c r="G632" s="1">
        <v>109555</v>
      </c>
    </row>
    <row r="633" spans="1:7" x14ac:dyDescent="0.25">
      <c r="A633" s="1" t="str">
        <f t="shared" si="9"/>
        <v>08 Fadrozole 44 µg_L Dopé</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1434</v>
      </c>
      <c r="D633" s="1" t="s">
        <v>1435</v>
      </c>
      <c r="E633" s="1" t="s">
        <v>1436</v>
      </c>
      <c r="F633" s="1" t="s">
        <v>112</v>
      </c>
      <c r="G633" s="1">
        <v>224086</v>
      </c>
    </row>
    <row r="634" spans="1:7" x14ac:dyDescent="0.25">
      <c r="A634" s="1" t="str">
        <f t="shared" si="9"/>
        <v>08 Fadrozole 44 µg_L Dopé</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1437</v>
      </c>
      <c r="D634" s="1" t="s">
        <v>769</v>
      </c>
      <c r="E634" s="1" t="s">
        <v>1438</v>
      </c>
      <c r="F634" s="1" t="s">
        <v>112</v>
      </c>
      <c r="G634" s="1">
        <v>49338</v>
      </c>
    </row>
    <row r="635" spans="1:7" x14ac:dyDescent="0.25">
      <c r="A635" s="1" t="str">
        <f t="shared" si="9"/>
        <v>08 Fadrozole 44 µg_L Dopé</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1439</v>
      </c>
      <c r="D635" s="1" t="s">
        <v>1218</v>
      </c>
      <c r="E635" s="1" t="s">
        <v>1440</v>
      </c>
      <c r="F635" s="1" t="s">
        <v>112</v>
      </c>
      <c r="G635" s="1">
        <v>36079</v>
      </c>
    </row>
    <row r="636" spans="1:7" x14ac:dyDescent="0.25">
      <c r="A636" s="1" t="str">
        <f t="shared" si="9"/>
        <v>08 Fadrozole 44 µg_L Dopé</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1441</v>
      </c>
      <c r="D636" s="1" t="s">
        <v>393</v>
      </c>
      <c r="E636" s="1" t="s">
        <v>1442</v>
      </c>
      <c r="F636" s="1" t="s">
        <v>112</v>
      </c>
      <c r="G636" s="1">
        <v>34262</v>
      </c>
    </row>
    <row r="637" spans="1:7" x14ac:dyDescent="0.25">
      <c r="A637" s="1" t="str">
        <f t="shared" si="9"/>
        <v>08 Fadrozole 44 µg_L Dopé</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1443</v>
      </c>
      <c r="D637" s="1" t="s">
        <v>296</v>
      </c>
      <c r="E637" s="1" t="s">
        <v>1444</v>
      </c>
      <c r="F637" s="1" t="s">
        <v>112</v>
      </c>
      <c r="G637" s="1">
        <v>16136</v>
      </c>
    </row>
    <row r="638" spans="1:7" x14ac:dyDescent="0.25">
      <c r="A638" s="1" t="str">
        <f t="shared" si="9"/>
        <v>08 Fadrozole 44 µg_L Dopé</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1445</v>
      </c>
      <c r="D638" s="1" t="s">
        <v>192</v>
      </c>
      <c r="E638" s="1" t="s">
        <v>1328</v>
      </c>
      <c r="F638" s="1" t="s">
        <v>112</v>
      </c>
      <c r="G638" s="1">
        <v>5667</v>
      </c>
    </row>
    <row r="639" spans="1:7" x14ac:dyDescent="0.25">
      <c r="A639" s="1" t="str">
        <f t="shared" si="9"/>
        <v>08 Fadrozole 44 µg_L Dopé</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1446</v>
      </c>
    </row>
    <row r="640" spans="1:7" x14ac:dyDescent="0.25">
      <c r="A640" s="1" t="str">
        <f t="shared" si="9"/>
        <v>08 Fadrozole 44 µg_L Dopé</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1447</v>
      </c>
      <c r="D640" s="1" t="s">
        <v>772</v>
      </c>
      <c r="E640" s="1" t="s">
        <v>976</v>
      </c>
      <c r="F640" s="1" t="s">
        <v>112</v>
      </c>
      <c r="G640" s="1">
        <v>18104</v>
      </c>
    </row>
    <row r="641" spans="1:10" x14ac:dyDescent="0.25">
      <c r="A641" s="1" t="str">
        <f t="shared" si="9"/>
        <v>08 Fadrozole 44 µg_L Dopé</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1448</v>
      </c>
      <c r="D641" s="1" t="s">
        <v>217</v>
      </c>
      <c r="E641" s="1" t="s">
        <v>1449</v>
      </c>
      <c r="F641" s="1" t="s">
        <v>112</v>
      </c>
      <c r="G641" s="1">
        <v>31082</v>
      </c>
    </row>
    <row r="642" spans="1:10" x14ac:dyDescent="0.25">
      <c r="A642" s="1" t="str">
        <f t="shared" ref="A642:A705" si="10">IFERROR(LEFT(RIGHT(C642,LEN(C642)-SEARCH("@",C642)),SEARCH("/",RIGHT(C642,LEN(C642)-SEARCH("@",C642)-1))),"")</f>
        <v>08 Fadrozole 44 µg_L Dopé</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1450</v>
      </c>
      <c r="D642" s="1" t="s">
        <v>745</v>
      </c>
      <c r="E642" s="1" t="s">
        <v>1451</v>
      </c>
      <c r="F642" s="1" t="s">
        <v>112</v>
      </c>
      <c r="G642" s="1">
        <v>39994</v>
      </c>
    </row>
    <row r="643" spans="1:10" x14ac:dyDescent="0.25">
      <c r="A643" s="1" t="str">
        <f t="shared" si="10"/>
        <v>08 Fadrozole 44 µg_L Dopé</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1452</v>
      </c>
      <c r="D643" s="1" t="s">
        <v>393</v>
      </c>
      <c r="E643" s="1" t="s">
        <v>1453</v>
      </c>
      <c r="F643" s="1" t="s">
        <v>112</v>
      </c>
      <c r="G643" s="1">
        <v>33981</v>
      </c>
    </row>
    <row r="644" spans="1:10" x14ac:dyDescent="0.25">
      <c r="A644" s="1" t="str">
        <f t="shared" si="10"/>
        <v>08 Fadrozole 44 µg_L Dopé</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1454</v>
      </c>
      <c r="D644" s="1" t="s">
        <v>231</v>
      </c>
      <c r="E644" s="1" t="s">
        <v>266</v>
      </c>
      <c r="F644" s="1" t="s">
        <v>112</v>
      </c>
      <c r="G644" s="1">
        <v>84140</v>
      </c>
    </row>
    <row r="645" spans="1:10" x14ac:dyDescent="0.25">
      <c r="A645" s="1" t="str">
        <f t="shared" si="10"/>
        <v>08 Fadrozole 44 µg_L Dopé</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1455</v>
      </c>
      <c r="D645" s="1" t="s">
        <v>1456</v>
      </c>
      <c r="E645" s="1" t="s">
        <v>1457</v>
      </c>
      <c r="F645" s="1" t="s">
        <v>112</v>
      </c>
      <c r="G645" s="1">
        <v>92879</v>
      </c>
    </row>
    <row r="646" spans="1:10" x14ac:dyDescent="0.25">
      <c r="A646" s="1" t="str">
        <f t="shared" si="10"/>
        <v>08 Fadrozole 44 µg_L Dopé</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1458</v>
      </c>
      <c r="D646" s="1" t="s">
        <v>1218</v>
      </c>
      <c r="E646" s="1" t="s">
        <v>1459</v>
      </c>
      <c r="F646" s="1" t="s">
        <v>112</v>
      </c>
      <c r="G646" s="1">
        <v>35603</v>
      </c>
    </row>
    <row r="647" spans="1:10" x14ac:dyDescent="0.25">
      <c r="A647" s="1" t="str">
        <f t="shared" si="10"/>
        <v>08 Fadrozole 44 µg_L Dopé</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1460</v>
      </c>
      <c r="D647" s="1" t="s">
        <v>853</v>
      </c>
      <c r="E647" s="1" t="s">
        <v>1461</v>
      </c>
      <c r="F647" s="1" t="s">
        <v>112</v>
      </c>
      <c r="G647" s="1">
        <v>9279</v>
      </c>
    </row>
    <row r="648" spans="1:10" x14ac:dyDescent="0.25">
      <c r="A648" s="1" t="str">
        <f t="shared" si="10"/>
        <v>08 Fadrozole 44 µg_L Dopé</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1462</v>
      </c>
    </row>
    <row r="649" spans="1:10" x14ac:dyDescent="0.25">
      <c r="A649" s="1" t="str">
        <f t="shared" si="10"/>
        <v>08 Fadrozole 44 µg_L Dopé</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1463</v>
      </c>
      <c r="D649" s="1" t="s">
        <v>228</v>
      </c>
      <c r="E649" s="1" t="s">
        <v>1464</v>
      </c>
      <c r="F649" s="1" t="s">
        <v>112</v>
      </c>
      <c r="G649" s="1">
        <v>38826</v>
      </c>
    </row>
    <row r="650" spans="1:10" x14ac:dyDescent="0.25">
      <c r="A650" s="1" t="str">
        <f t="shared" si="10"/>
        <v>08 Fadrozole 44 µg_L Dopé</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1465</v>
      </c>
      <c r="D650" s="1" t="s">
        <v>819</v>
      </c>
      <c r="E650" s="1" t="s">
        <v>1466</v>
      </c>
      <c r="F650" s="1" t="s">
        <v>112</v>
      </c>
      <c r="G650" s="1">
        <v>75618</v>
      </c>
    </row>
    <row r="651" spans="1:10" x14ac:dyDescent="0.25">
      <c r="A651" s="1" t="str">
        <f t="shared" si="10"/>
        <v>08 Fadrozole 44 µg_L Dopé</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1467</v>
      </c>
      <c r="D651" s="1" t="s">
        <v>1468</v>
      </c>
      <c r="E651" s="1" t="s">
        <v>1469</v>
      </c>
      <c r="F651" s="1" t="s">
        <v>112</v>
      </c>
      <c r="G651" s="1">
        <v>111502</v>
      </c>
    </row>
    <row r="652" spans="1:10" x14ac:dyDescent="0.25">
      <c r="A652" s="1" t="str">
        <f t="shared" si="10"/>
        <v>08 Fadrozole 44 µg_L Dopé</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1470</v>
      </c>
      <c r="D652" s="1" t="s">
        <v>373</v>
      </c>
      <c r="E652" s="1" t="s">
        <v>1471</v>
      </c>
      <c r="F652" s="1" t="s">
        <v>112</v>
      </c>
      <c r="G652" s="1">
        <v>85200</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236</v>
      </c>
      <c r="D654" s="1" t="s">
        <v>112</v>
      </c>
      <c r="E654" s="1" t="s">
        <v>237</v>
      </c>
      <c r="F654" s="1" t="s">
        <v>238</v>
      </c>
      <c r="G654" s="1" t="s">
        <v>239</v>
      </c>
      <c r="H654" s="1" t="s">
        <v>240</v>
      </c>
      <c r="I654" s="1" t="s">
        <v>241</v>
      </c>
      <c r="J654" s="1" t="s">
        <v>242</v>
      </c>
    </row>
    <row r="655" spans="1:10" x14ac:dyDescent="0.25">
      <c r="A655" s="1" t="str">
        <f t="shared" si="10"/>
        <v>08 Fadrozole 44 µg_L Dopé</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1472</v>
      </c>
      <c r="D655" s="1" t="s">
        <v>112</v>
      </c>
      <c r="E655" s="1" t="s">
        <v>1473</v>
      </c>
      <c r="F655" s="1" t="s">
        <v>1474</v>
      </c>
      <c r="G655" s="1" t="s">
        <v>1475</v>
      </c>
      <c r="H655" s="1" t="s">
        <v>1476</v>
      </c>
      <c r="I655" s="1">
        <v>24</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248</v>
      </c>
      <c r="D661" s="1" t="s">
        <v>110</v>
      </c>
      <c r="E661" s="1" t="s">
        <v>111</v>
      </c>
      <c r="F661" s="1" t="s">
        <v>112</v>
      </c>
      <c r="G661" s="1" t="s">
        <v>113</v>
      </c>
    </row>
    <row r="662" spans="1:7" x14ac:dyDescent="0.25">
      <c r="A662" s="1" t="str">
        <f t="shared" si="10"/>
        <v>09  Fadrozole 87 µg_L Dopé</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1477</v>
      </c>
      <c r="D662" s="1" t="s">
        <v>217</v>
      </c>
      <c r="E662" s="1" t="s">
        <v>1478</v>
      </c>
      <c r="F662" s="1" t="s">
        <v>112</v>
      </c>
      <c r="G662" s="1">
        <v>31320</v>
      </c>
    </row>
    <row r="663" spans="1:7" x14ac:dyDescent="0.25">
      <c r="A663" s="1" t="str">
        <f t="shared" si="10"/>
        <v>09  Fadrozole 87 µg_L Dopé</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1479</v>
      </c>
      <c r="D663" s="1" t="s">
        <v>271</v>
      </c>
      <c r="E663" s="1" t="s">
        <v>1480</v>
      </c>
      <c r="F663" s="1" t="s">
        <v>112</v>
      </c>
      <c r="G663" s="1">
        <v>14946</v>
      </c>
    </row>
    <row r="664" spans="1:7" x14ac:dyDescent="0.25">
      <c r="A664" s="1" t="str">
        <f t="shared" si="10"/>
        <v>09  Fadrozole 87 µg_L Dopé</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1481</v>
      </c>
      <c r="D664" s="1" t="s">
        <v>228</v>
      </c>
      <c r="E664" s="1" t="s">
        <v>1482</v>
      </c>
      <c r="F664" s="1" t="s">
        <v>112</v>
      </c>
      <c r="G664" s="1">
        <v>39777</v>
      </c>
    </row>
    <row r="665" spans="1:7" x14ac:dyDescent="0.25">
      <c r="A665" s="1" t="str">
        <f t="shared" si="10"/>
        <v>09  Fadrozole 87 µg_L Dopé</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1483</v>
      </c>
      <c r="D665" s="1" t="s">
        <v>1484</v>
      </c>
      <c r="E665" s="1" t="s">
        <v>1485</v>
      </c>
      <c r="F665" s="1" t="s">
        <v>112</v>
      </c>
      <c r="G665" s="1">
        <v>63138</v>
      </c>
    </row>
    <row r="666" spans="1:7" x14ac:dyDescent="0.25">
      <c r="A666" s="1" t="str">
        <f t="shared" si="10"/>
        <v>09  Fadrozole 87 µg_L Dopé</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1486</v>
      </c>
      <c r="D666" s="1" t="s">
        <v>1487</v>
      </c>
      <c r="E666" s="1" t="s">
        <v>1488</v>
      </c>
      <c r="F666" s="1" t="s">
        <v>112</v>
      </c>
      <c r="G666" s="1">
        <v>101120</v>
      </c>
    </row>
    <row r="667" spans="1:7" x14ac:dyDescent="0.25">
      <c r="A667" s="1" t="str">
        <f t="shared" si="10"/>
        <v>09  Fadrozole 87 µg_L Dopé</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1489</v>
      </c>
      <c r="D667" s="1" t="s">
        <v>775</v>
      </c>
      <c r="E667" s="1" t="s">
        <v>1490</v>
      </c>
      <c r="F667" s="1" t="s">
        <v>112</v>
      </c>
      <c r="G667" s="1">
        <v>246819</v>
      </c>
    </row>
    <row r="668" spans="1:7" x14ac:dyDescent="0.25">
      <c r="A668" s="1" t="str">
        <f t="shared" si="10"/>
        <v>09  Fadrozole 87 µg_L Dopé</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1491</v>
      </c>
      <c r="D668" s="1" t="s">
        <v>1492</v>
      </c>
      <c r="E668" s="1" t="s">
        <v>1493</v>
      </c>
      <c r="F668" s="1" t="s">
        <v>112</v>
      </c>
      <c r="G668" s="1">
        <v>283287</v>
      </c>
    </row>
    <row r="669" spans="1:7" x14ac:dyDescent="0.25">
      <c r="A669" s="1" t="str">
        <f t="shared" si="10"/>
        <v>09  Fadrozole 87 µg_L Dopé</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1494</v>
      </c>
      <c r="D669" s="1" t="s">
        <v>819</v>
      </c>
      <c r="E669" s="1" t="s">
        <v>1495</v>
      </c>
      <c r="F669" s="1" t="s">
        <v>112</v>
      </c>
      <c r="G669" s="1">
        <v>71487</v>
      </c>
    </row>
    <row r="670" spans="1:7" x14ac:dyDescent="0.25">
      <c r="A670" s="1" t="str">
        <f t="shared" si="10"/>
        <v>09  Fadrozole 87 µg_L Dopé</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1496</v>
      </c>
      <c r="D670" s="1" t="s">
        <v>745</v>
      </c>
      <c r="E670" s="1" t="s">
        <v>1497</v>
      </c>
      <c r="F670" s="1" t="s">
        <v>112</v>
      </c>
      <c r="G670" s="1">
        <v>40232</v>
      </c>
    </row>
    <row r="671" spans="1:7" x14ac:dyDescent="0.25">
      <c r="A671" s="1" t="str">
        <f t="shared" si="10"/>
        <v>09  Fadrozole 87 µg_L Dopé</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1498</v>
      </c>
      <c r="D671" s="1" t="s">
        <v>353</v>
      </c>
      <c r="E671" s="1" t="s">
        <v>1499</v>
      </c>
      <c r="F671" s="1" t="s">
        <v>112</v>
      </c>
      <c r="G671" s="1">
        <v>13757</v>
      </c>
    </row>
    <row r="672" spans="1:7" x14ac:dyDescent="0.25">
      <c r="A672" s="1" t="str">
        <f t="shared" si="10"/>
        <v>09  Fadrozole 87 µg_L Dopé</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1500</v>
      </c>
      <c r="D672" s="1" t="s">
        <v>278</v>
      </c>
      <c r="E672" s="1" t="s">
        <v>1501</v>
      </c>
      <c r="F672" s="1" t="s">
        <v>112</v>
      </c>
      <c r="G672" s="1">
        <v>12221</v>
      </c>
    </row>
    <row r="673" spans="1:10" x14ac:dyDescent="0.25">
      <c r="A673" s="1" t="str">
        <f t="shared" si="10"/>
        <v>09  Fadrozole 87 µg_L Dopé</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1502</v>
      </c>
      <c r="D673" s="1" t="s">
        <v>772</v>
      </c>
      <c r="E673" s="1" t="s">
        <v>1459</v>
      </c>
      <c r="F673" s="1" t="s">
        <v>112</v>
      </c>
      <c r="G673" s="1">
        <v>17801</v>
      </c>
    </row>
    <row r="674" spans="1:10" x14ac:dyDescent="0.25">
      <c r="A674" s="1" t="str">
        <f t="shared" si="10"/>
        <v>09  Fadrozole 87 µg_L Dopé</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1503</v>
      </c>
      <c r="D674" s="1" t="s">
        <v>745</v>
      </c>
      <c r="E674" s="1" t="s">
        <v>1504</v>
      </c>
      <c r="F674" s="1" t="s">
        <v>112</v>
      </c>
      <c r="G674" s="1">
        <v>41140</v>
      </c>
    </row>
    <row r="675" spans="1:10" x14ac:dyDescent="0.25">
      <c r="A675" s="1" t="str">
        <f t="shared" si="10"/>
        <v>09  Fadrozole 87 µg_L Dopé</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1505</v>
      </c>
      <c r="D675" s="1" t="s">
        <v>293</v>
      </c>
      <c r="E675" s="1" t="s">
        <v>1399</v>
      </c>
      <c r="F675" s="1" t="s">
        <v>112</v>
      </c>
      <c r="G675" s="1">
        <v>33570</v>
      </c>
    </row>
    <row r="676" spans="1:10" x14ac:dyDescent="0.25">
      <c r="A676" s="1" t="str">
        <f t="shared" si="10"/>
        <v>09  Fadrozole 87 µg_L Dopé</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1506</v>
      </c>
      <c r="D676" s="1" t="s">
        <v>1430</v>
      </c>
      <c r="E676" s="1" t="s">
        <v>1507</v>
      </c>
      <c r="F676" s="1" t="s">
        <v>112</v>
      </c>
      <c r="G676" s="1">
        <v>50095</v>
      </c>
    </row>
    <row r="677" spans="1:10" x14ac:dyDescent="0.25">
      <c r="A677" s="1" t="str">
        <f t="shared" si="10"/>
        <v>09  Fadrozole 87 µg_L Dopé</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1508</v>
      </c>
      <c r="D677" s="1" t="s">
        <v>1468</v>
      </c>
      <c r="E677" s="1" t="s">
        <v>1509</v>
      </c>
      <c r="F677" s="1" t="s">
        <v>112</v>
      </c>
      <c r="G677" s="1">
        <v>102245</v>
      </c>
    </row>
    <row r="678" spans="1:10" x14ac:dyDescent="0.25">
      <c r="A678" s="1" t="str">
        <f t="shared" si="10"/>
        <v>09  Fadrozole 87 µg_L Dopé</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1510</v>
      </c>
      <c r="D678" s="1" t="s">
        <v>1511</v>
      </c>
      <c r="E678" s="1" t="s">
        <v>1512</v>
      </c>
      <c r="F678" s="1" t="s">
        <v>112</v>
      </c>
      <c r="G678" s="1">
        <v>156060</v>
      </c>
    </row>
    <row r="679" spans="1:10" x14ac:dyDescent="0.25">
      <c r="A679" s="1" t="str">
        <f t="shared" si="10"/>
        <v>09  Fadrozole 87 µg_L Dopé</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1513</v>
      </c>
      <c r="D679" s="1" t="s">
        <v>1514</v>
      </c>
      <c r="E679" s="1" t="s">
        <v>1515</v>
      </c>
      <c r="F679" s="1" t="s">
        <v>112</v>
      </c>
      <c r="G679" s="1">
        <v>54053</v>
      </c>
    </row>
    <row r="680" spans="1:10" x14ac:dyDescent="0.25">
      <c r="A680" s="1" t="str">
        <f t="shared" si="10"/>
        <v>09  Fadrozole 87 µg_L Dopé</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1516</v>
      </c>
      <c r="D680" s="1" t="s">
        <v>1218</v>
      </c>
      <c r="E680" s="1" t="s">
        <v>976</v>
      </c>
      <c r="F680" s="1" t="s">
        <v>112</v>
      </c>
      <c r="G680" s="1">
        <v>36208</v>
      </c>
    </row>
    <row r="681" spans="1:10" x14ac:dyDescent="0.25">
      <c r="A681" s="1" t="str">
        <f t="shared" si="10"/>
        <v>09  Fadrozole 87 µg_L Dopé</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1517</v>
      </c>
      <c r="D681" s="1" t="s">
        <v>393</v>
      </c>
      <c r="E681" s="1" t="s">
        <v>1518</v>
      </c>
      <c r="F681" s="1" t="s">
        <v>112</v>
      </c>
      <c r="G681" s="1">
        <v>34759</v>
      </c>
    </row>
    <row r="682" spans="1:10" x14ac:dyDescent="0.25">
      <c r="A682" s="1" t="str">
        <f t="shared" si="10"/>
        <v>09  Fadrozole 87 µg_L Dopé</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1519</v>
      </c>
      <c r="D682" s="1" t="s">
        <v>370</v>
      </c>
      <c r="E682" s="1" t="s">
        <v>937</v>
      </c>
      <c r="F682" s="1" t="s">
        <v>112</v>
      </c>
      <c r="G682" s="1">
        <v>30282</v>
      </c>
    </row>
    <row r="683" spans="1:10" x14ac:dyDescent="0.25">
      <c r="A683" s="1" t="str">
        <f t="shared" si="10"/>
        <v>09  Fadrozole 87 µg_L Dopé</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1520</v>
      </c>
      <c r="D683" s="1" t="s">
        <v>772</v>
      </c>
      <c r="E683" s="1" t="s">
        <v>1521</v>
      </c>
      <c r="F683" s="1" t="s">
        <v>112</v>
      </c>
      <c r="G683" s="1">
        <v>17737</v>
      </c>
    </row>
    <row r="684" spans="1:10" x14ac:dyDescent="0.25">
      <c r="A684" s="1" t="str">
        <f t="shared" si="10"/>
        <v>09  Fadrozole 87 µg_L Dopé</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1522</v>
      </c>
      <c r="D684" s="1" t="s">
        <v>271</v>
      </c>
      <c r="E684" s="1" t="s">
        <v>1523</v>
      </c>
      <c r="F684" s="1" t="s">
        <v>112</v>
      </c>
      <c r="G684" s="1">
        <v>15422</v>
      </c>
    </row>
    <row r="685" spans="1:10" x14ac:dyDescent="0.25">
      <c r="A685" s="1" t="str">
        <f t="shared" si="10"/>
        <v>09  Fadrozole 87 µg_L Dopé</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1524</v>
      </c>
      <c r="D685" s="1" t="s">
        <v>268</v>
      </c>
      <c r="E685" s="1" t="s">
        <v>707</v>
      </c>
      <c r="F685" s="1" t="s">
        <v>112</v>
      </c>
      <c r="G685" s="1">
        <v>10815</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236</v>
      </c>
      <c r="D687" s="1" t="s">
        <v>112</v>
      </c>
      <c r="E687" s="1" t="s">
        <v>237</v>
      </c>
      <c r="F687" s="1" t="s">
        <v>238</v>
      </c>
      <c r="G687" s="1" t="s">
        <v>239</v>
      </c>
      <c r="H687" s="1" t="s">
        <v>240</v>
      </c>
      <c r="I687" s="1" t="s">
        <v>241</v>
      </c>
      <c r="J687" s="1" t="s">
        <v>242</v>
      </c>
    </row>
    <row r="688" spans="1:10" x14ac:dyDescent="0.25">
      <c r="A688" s="1" t="str">
        <f t="shared" si="10"/>
        <v>09  Fadrozole 87 µg_L Dopé</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1525</v>
      </c>
      <c r="D688" s="1" t="s">
        <v>112</v>
      </c>
      <c r="E688" s="1" t="s">
        <v>1526</v>
      </c>
      <c r="F688" s="1" t="s">
        <v>1527</v>
      </c>
      <c r="G688" s="1" t="s">
        <v>1528</v>
      </c>
      <c r="H688" s="1" t="s">
        <v>1529</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6"/>
  <sheetViews>
    <sheetView showGridLines="0" topLeftCell="A48" zoomScale="115" zoomScaleNormal="115" zoomScaleSheetLayoutView="40" zoomScalePageLayoutView="30" workbookViewId="0">
      <pane xSplit="1" topLeftCell="Q1" activePane="topRight" state="frozen"/>
      <selection pane="topRight" activeCell="V64" sqref="V64"/>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7" t="s">
        <v>40</v>
      </c>
      <c r="B1" s="218"/>
      <c r="C1" s="218"/>
      <c r="D1" s="218"/>
      <c r="E1" s="218"/>
      <c r="F1" s="218"/>
      <c r="G1" s="218"/>
      <c r="H1" s="218"/>
      <c r="I1" s="218"/>
      <c r="J1" s="218"/>
      <c r="K1" s="218"/>
      <c r="L1" s="218"/>
      <c r="M1" s="218"/>
      <c r="N1" s="218"/>
      <c r="O1" s="218"/>
      <c r="P1" s="218"/>
      <c r="Q1" s="218"/>
      <c r="R1" s="218"/>
      <c r="S1" s="218"/>
      <c r="T1" s="218"/>
      <c r="U1" s="218"/>
      <c r="V1" s="218"/>
    </row>
    <row r="2" spans="1:22" ht="15.75" thickBot="1" x14ac:dyDescent="0.3">
      <c r="A2"/>
      <c r="B2"/>
      <c r="C2"/>
      <c r="D2"/>
      <c r="E2"/>
      <c r="F2"/>
      <c r="G2"/>
      <c r="H2"/>
      <c r="I2"/>
      <c r="J2"/>
      <c r="K2"/>
      <c r="L2"/>
      <c r="M2"/>
      <c r="S2"/>
      <c r="T2"/>
      <c r="U2"/>
      <c r="V2"/>
    </row>
    <row r="3" spans="1:22" ht="15.75" thickBot="1" x14ac:dyDescent="0.3">
      <c r="A3" s="51" t="s">
        <v>17</v>
      </c>
      <c r="B3" s="225" t="s">
        <v>6</v>
      </c>
      <c r="C3" s="226"/>
      <c r="D3" s="226"/>
      <c r="E3" s="226"/>
      <c r="F3" s="226"/>
      <c r="G3" s="226"/>
      <c r="H3" s="226"/>
      <c r="I3" s="226"/>
      <c r="J3" s="226"/>
      <c r="K3" s="226"/>
      <c r="L3" s="226"/>
      <c r="M3" s="226"/>
      <c r="O3" s="225" t="s">
        <v>3</v>
      </c>
      <c r="P3" s="226"/>
      <c r="Q3" s="226"/>
      <c r="R3" s="226"/>
      <c r="S3" s="226"/>
      <c r="T3" s="226"/>
      <c r="U3" s="226"/>
      <c r="V3" s="226"/>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Fadrozole-5,4µg/L</v>
      </c>
      <c r="J4" s="35" t="str">
        <f>'Page de garde'!A16</f>
        <v>Fadrozole-11µg/L</v>
      </c>
      <c r="K4" s="35" t="str">
        <f>'Page de garde'!A17</f>
        <v>Fadrozole-22µg/L</v>
      </c>
      <c r="L4" s="35" t="str">
        <f>'Page de garde'!A18</f>
        <v>Fadrozole-44µg/L</v>
      </c>
      <c r="M4" s="35" t="str">
        <f>'Page de garde'!A19</f>
        <v>Fadrozole-87µg/L</v>
      </c>
      <c r="N4" s="3"/>
      <c r="O4" s="36" t="str">
        <f>'Page de garde'!A36</f>
        <v>Testo -30µg/L</v>
      </c>
      <c r="P4" s="36" t="str">
        <f>'Page de garde'!A37</f>
        <v>Testo 30µg/L + EE2 -64ng/L</v>
      </c>
      <c r="Q4" s="36" t="str">
        <f>'Page de garde'!A38</f>
        <v>Testo 30µg/L + FAD-10µg/L</v>
      </c>
      <c r="R4" s="36" t="str">
        <f>'Page de garde'!A39</f>
        <v>Fadrozole-5,4µg/L + Testostérone</v>
      </c>
      <c r="S4" s="36" t="str">
        <f>'Page de garde'!A40</f>
        <v>Fadrozole-11µg/L + Testostérone</v>
      </c>
      <c r="T4" s="36" t="str">
        <f>'Page de garde'!A41</f>
        <v>Fadrozole-22µg/L + Testostérone</v>
      </c>
      <c r="U4" s="36" t="str">
        <f>'Page de garde'!A42</f>
        <v>Fadrozole-44µg/L + Testostérone</v>
      </c>
      <c r="V4" s="36" t="str">
        <f>'Page de garde'!A43</f>
        <v>Fadrozole-87µg/L + Testostérone</v>
      </c>
    </row>
    <row r="5" spans="1:22" x14ac:dyDescent="0.25">
      <c r="A5" s="221" t="s">
        <v>33</v>
      </c>
      <c r="B5" s="196">
        <v>55091.333333333336</v>
      </c>
      <c r="C5" s="196">
        <v>122403.66666666667</v>
      </c>
      <c r="D5" s="196">
        <v>799138</v>
      </c>
      <c r="E5" s="196">
        <v>233473</v>
      </c>
      <c r="F5" s="196">
        <v>1460796.3333333333</v>
      </c>
      <c r="G5" s="196">
        <v>2379281.3333333335</v>
      </c>
      <c r="H5" s="196">
        <v>1615428.6666666667</v>
      </c>
      <c r="I5" s="196">
        <v>441105.66666666669</v>
      </c>
      <c r="J5" s="196">
        <v>26049.333333333332</v>
      </c>
      <c r="K5" s="196">
        <v>83779.666666666672</v>
      </c>
      <c r="L5" s="196">
        <v>282090</v>
      </c>
      <c r="M5" s="196">
        <v>18933.666666666668</v>
      </c>
      <c r="N5" s="3"/>
      <c r="O5" s="196">
        <v>2006064.3333333333</v>
      </c>
      <c r="P5" s="196">
        <v>3273280.6666666665</v>
      </c>
      <c r="Q5" s="196">
        <v>117767.33333333333</v>
      </c>
      <c r="R5" s="196">
        <v>95496</v>
      </c>
      <c r="S5" s="196">
        <v>1023105</v>
      </c>
      <c r="T5" s="196">
        <v>20707</v>
      </c>
      <c r="U5" s="196">
        <v>300893.33333333331</v>
      </c>
      <c r="V5" s="196">
        <v>28681</v>
      </c>
    </row>
    <row r="6" spans="1:22" x14ac:dyDescent="0.25">
      <c r="A6" s="222"/>
      <c r="B6" s="196">
        <v>704486</v>
      </c>
      <c r="C6" s="196">
        <v>164351</v>
      </c>
      <c r="D6" s="196">
        <v>54356</v>
      </c>
      <c r="E6" s="196">
        <v>154170.66666666666</v>
      </c>
      <c r="F6" s="196">
        <v>977490.66666666663</v>
      </c>
      <c r="G6" s="196">
        <v>3431225.5</v>
      </c>
      <c r="H6" s="196">
        <v>2656519</v>
      </c>
      <c r="I6" s="196">
        <v>892348.66666666663</v>
      </c>
      <c r="J6" s="196">
        <v>141675.66666666666</v>
      </c>
      <c r="K6" s="196">
        <v>112987.33333333333</v>
      </c>
      <c r="L6" s="196">
        <v>56894</v>
      </c>
      <c r="M6" s="196">
        <v>642833.33333333337</v>
      </c>
      <c r="N6" s="3"/>
      <c r="O6" s="196">
        <v>2663498</v>
      </c>
      <c r="P6" s="196">
        <v>2818591.6666666665</v>
      </c>
      <c r="Q6" s="196">
        <v>380578.33333333331</v>
      </c>
      <c r="R6" s="196">
        <v>65373</v>
      </c>
      <c r="S6" s="196">
        <v>384305.33333333331</v>
      </c>
      <c r="T6" s="196">
        <v>305255.33333333331</v>
      </c>
      <c r="U6" s="196">
        <v>127659.66666666667</v>
      </c>
      <c r="V6" s="196">
        <v>137025.66666666666</v>
      </c>
    </row>
    <row r="7" spans="1:22" x14ac:dyDescent="0.25">
      <c r="A7" s="222"/>
      <c r="B7" s="196">
        <v>15768</v>
      </c>
      <c r="C7" s="196">
        <v>11514.333333333334</v>
      </c>
      <c r="D7" s="196"/>
      <c r="E7" s="196">
        <v>223956</v>
      </c>
      <c r="F7" s="196">
        <v>720838</v>
      </c>
      <c r="G7" s="196">
        <v>1204532.6666666667</v>
      </c>
      <c r="H7" s="196">
        <v>3288998.6666666665</v>
      </c>
      <c r="I7" s="196">
        <v>232983</v>
      </c>
      <c r="J7" s="196">
        <v>99627.333333333328</v>
      </c>
      <c r="K7" s="196">
        <v>95042</v>
      </c>
      <c r="L7" s="196">
        <v>390102.33333333331</v>
      </c>
      <c r="M7" s="196">
        <v>25444</v>
      </c>
      <c r="N7" s="3"/>
      <c r="O7" s="196">
        <v>2338847.6666666665</v>
      </c>
      <c r="P7" s="196">
        <v>2550409.6666666665</v>
      </c>
      <c r="Q7" s="196">
        <v>109461.66666666667</v>
      </c>
      <c r="R7" s="196">
        <v>61356.666666666664</v>
      </c>
      <c r="S7" s="196">
        <v>54723.333333333336</v>
      </c>
      <c r="T7" s="196">
        <v>27996.666666666668</v>
      </c>
      <c r="U7" s="196">
        <v>28825.666666666668</v>
      </c>
      <c r="V7" s="196">
        <v>131668.66666666666</v>
      </c>
    </row>
    <row r="8" spans="1:22" x14ac:dyDescent="0.25">
      <c r="A8" s="222"/>
      <c r="B8" s="196">
        <v>361392</v>
      </c>
      <c r="C8" s="196">
        <v>48721</v>
      </c>
      <c r="D8" s="196">
        <v>119123.33333333333</v>
      </c>
      <c r="E8" s="196">
        <v>420146</v>
      </c>
      <c r="F8" s="196">
        <v>1533451.6666666667</v>
      </c>
      <c r="G8" s="196">
        <v>3600764.6666666665</v>
      </c>
      <c r="H8" s="196">
        <v>5573209</v>
      </c>
      <c r="I8" s="196">
        <v>459628</v>
      </c>
      <c r="J8" s="196">
        <v>234432</v>
      </c>
      <c r="K8" s="196">
        <v>68999.333333333328</v>
      </c>
      <c r="L8" s="196">
        <v>208836.66666666666</v>
      </c>
      <c r="M8" s="196">
        <v>8176</v>
      </c>
      <c r="N8" s="3"/>
      <c r="O8" s="196">
        <v>3094012.3333333335</v>
      </c>
      <c r="P8" s="196">
        <v>1462765</v>
      </c>
      <c r="Q8" s="196">
        <v>67002.333333333328</v>
      </c>
      <c r="R8" s="196">
        <v>181092.66666666666</v>
      </c>
      <c r="S8" s="196">
        <v>648832</v>
      </c>
      <c r="T8" s="196">
        <v>40282</v>
      </c>
      <c r="U8" s="196">
        <v>11885.5</v>
      </c>
      <c r="V8" s="196">
        <v>14593</v>
      </c>
    </row>
    <row r="9" spans="1:22" x14ac:dyDescent="0.25">
      <c r="A9" s="222"/>
      <c r="B9" s="196">
        <v>159124</v>
      </c>
      <c r="C9" s="196">
        <v>464884</v>
      </c>
      <c r="D9" s="196">
        <v>54637.333333333336</v>
      </c>
      <c r="E9" s="196">
        <v>3503488</v>
      </c>
      <c r="F9" s="196">
        <v>1944664.3333333333</v>
      </c>
      <c r="G9" s="196">
        <v>2509212</v>
      </c>
      <c r="H9" s="196">
        <v>2539014.5</v>
      </c>
      <c r="I9" s="196">
        <v>69107.333333333328</v>
      </c>
      <c r="J9" s="196">
        <v>31875.666666666668</v>
      </c>
      <c r="K9" s="196">
        <v>226648.5</v>
      </c>
      <c r="L9" s="196">
        <v>154401.33333333334</v>
      </c>
      <c r="M9" s="196">
        <v>749223.33333333337</v>
      </c>
      <c r="N9" s="3"/>
      <c r="O9" s="196">
        <v>598146</v>
      </c>
      <c r="P9" s="196">
        <v>2815138</v>
      </c>
      <c r="Q9" s="196">
        <v>77860.333333333328</v>
      </c>
      <c r="R9" s="196">
        <v>16215.333333333334</v>
      </c>
      <c r="S9" s="196">
        <v>381248.66666666669</v>
      </c>
      <c r="T9" s="196">
        <v>21370.333333333332</v>
      </c>
      <c r="U9" s="196">
        <v>35019</v>
      </c>
      <c r="V9" s="196">
        <v>41601.666666666664</v>
      </c>
    </row>
    <row r="10" spans="1:22" x14ac:dyDescent="0.25">
      <c r="A10" s="222"/>
      <c r="B10" s="196">
        <v>83729.333333333328</v>
      </c>
      <c r="C10" s="196">
        <v>35927</v>
      </c>
      <c r="D10" s="196">
        <v>266992.33333333331</v>
      </c>
      <c r="E10" s="196">
        <v>113232.33333333333</v>
      </c>
      <c r="F10" s="196">
        <v>999964.33333333337</v>
      </c>
      <c r="G10" s="196">
        <v>1181338.3333333333</v>
      </c>
      <c r="H10" s="196">
        <v>4952135.666666667</v>
      </c>
      <c r="I10" s="196">
        <v>123442</v>
      </c>
      <c r="J10" s="196">
        <v>239882.66666666666</v>
      </c>
      <c r="K10" s="196">
        <v>262104</v>
      </c>
      <c r="L10" s="196">
        <v>450449.66666666669</v>
      </c>
      <c r="M10" s="196">
        <v>111711.33333333333</v>
      </c>
      <c r="N10" s="3"/>
      <c r="O10" s="196">
        <v>2131374</v>
      </c>
      <c r="P10" s="196">
        <v>880344</v>
      </c>
      <c r="Q10" s="196">
        <v>237597</v>
      </c>
      <c r="R10" s="196">
        <v>87997.333333333328</v>
      </c>
      <c r="S10" s="196">
        <v>17556.333333333332</v>
      </c>
      <c r="T10" s="196">
        <v>110276.33333333333</v>
      </c>
      <c r="U10" s="196">
        <v>70874</v>
      </c>
      <c r="V10" s="196">
        <v>104119.33333333333</v>
      </c>
    </row>
    <row r="11" spans="1:22" x14ac:dyDescent="0.25">
      <c r="A11" s="222"/>
      <c r="B11" s="196">
        <v>154257.33333333334</v>
      </c>
      <c r="C11" s="196">
        <v>71479.666666666672</v>
      </c>
      <c r="D11" s="196">
        <v>16063.666666666666</v>
      </c>
      <c r="E11" s="196">
        <v>690405</v>
      </c>
      <c r="F11" s="196">
        <v>343360</v>
      </c>
      <c r="G11" s="196">
        <v>905067</v>
      </c>
      <c r="H11" s="196">
        <v>3806731.6666666665</v>
      </c>
      <c r="I11" s="196">
        <v>1035149</v>
      </c>
      <c r="J11" s="196">
        <v>36597.666666666664</v>
      </c>
      <c r="K11" s="196">
        <v>17210.333333333332</v>
      </c>
      <c r="L11" s="196">
        <v>42964</v>
      </c>
      <c r="M11" s="196">
        <v>59554</v>
      </c>
      <c r="N11" s="3"/>
      <c r="O11" s="196">
        <v>3235212</v>
      </c>
      <c r="P11" s="196"/>
      <c r="Q11" s="196">
        <v>33093.666666666664</v>
      </c>
      <c r="R11" s="196">
        <v>138864</v>
      </c>
      <c r="S11" s="196">
        <v>345717.66666666669</v>
      </c>
      <c r="T11" s="196">
        <v>26828.666666666668</v>
      </c>
      <c r="U11" s="196">
        <v>24052.5</v>
      </c>
      <c r="V11" s="196">
        <v>33749.666666666664</v>
      </c>
    </row>
    <row r="12" spans="1:22" x14ac:dyDescent="0.25">
      <c r="A12" s="222"/>
      <c r="B12" s="196">
        <v>57910.666666666664</v>
      </c>
      <c r="C12" s="196">
        <v>422316.66666666669</v>
      </c>
      <c r="D12" s="196">
        <v>54085.5</v>
      </c>
      <c r="E12" s="196"/>
      <c r="F12" s="196">
        <v>920546.66666666663</v>
      </c>
      <c r="G12" s="196">
        <v>155540.33333333334</v>
      </c>
      <c r="H12" s="196">
        <v>3817921.6666666665</v>
      </c>
      <c r="I12" s="196">
        <v>714565.33333333337</v>
      </c>
      <c r="J12" s="196">
        <v>299217</v>
      </c>
      <c r="K12" s="196">
        <v>219565.33333333334</v>
      </c>
      <c r="L12" s="196"/>
      <c r="M12" s="196">
        <v>174877.66666666666</v>
      </c>
      <c r="N12" s="3"/>
      <c r="O12" s="196">
        <v>1777371.5</v>
      </c>
      <c r="P12" s="196"/>
      <c r="Q12" s="196">
        <v>358256</v>
      </c>
      <c r="R12" s="196">
        <v>29806</v>
      </c>
      <c r="S12" s="196">
        <v>34507</v>
      </c>
      <c r="T12" s="196">
        <v>13785.333333333334</v>
      </c>
      <c r="U12" s="196">
        <v>90773.333333333328</v>
      </c>
      <c r="V12" s="196">
        <v>14658</v>
      </c>
    </row>
    <row r="13" spans="1:22" ht="16.5" x14ac:dyDescent="0.25">
      <c r="A13" s="222"/>
      <c r="B13" s="14"/>
      <c r="C13" s="13"/>
      <c r="D13" s="16"/>
      <c r="E13" s="16"/>
      <c r="F13" s="16"/>
      <c r="G13" s="16"/>
      <c r="H13" s="16"/>
      <c r="I13" s="32"/>
      <c r="J13" s="16"/>
      <c r="K13" s="13"/>
      <c r="L13" s="13"/>
      <c r="M13" s="13"/>
      <c r="N13" s="3"/>
      <c r="O13" s="196">
        <v>3000174.3333333335</v>
      </c>
      <c r="P13" s="13"/>
      <c r="Q13" s="13"/>
      <c r="R13" s="4"/>
      <c r="S13" s="32"/>
      <c r="T13" s="32"/>
      <c r="U13" s="32"/>
      <c r="V13" s="32"/>
    </row>
    <row r="14" spans="1:22" ht="16.5" x14ac:dyDescent="0.25">
      <c r="A14" s="222"/>
      <c r="B14" s="14"/>
      <c r="C14" s="16"/>
      <c r="D14" s="16"/>
      <c r="E14" s="16"/>
      <c r="F14" s="16"/>
      <c r="G14" s="16"/>
      <c r="H14" s="16"/>
      <c r="I14" s="32"/>
      <c r="J14" s="16"/>
      <c r="K14" s="13"/>
      <c r="L14" s="13"/>
      <c r="M14" s="13"/>
      <c r="N14" s="3"/>
      <c r="O14" s="196">
        <v>2126932.3333333335</v>
      </c>
      <c r="P14" s="13"/>
      <c r="Q14" s="13"/>
      <c r="R14" s="4"/>
      <c r="S14" s="32"/>
      <c r="T14" s="32"/>
      <c r="U14" s="32"/>
      <c r="V14" s="32"/>
    </row>
    <row r="15" spans="1:22" ht="16.5" x14ac:dyDescent="0.25">
      <c r="A15" s="222"/>
      <c r="B15" s="14"/>
      <c r="C15" s="16"/>
      <c r="D15" s="16"/>
      <c r="E15" s="16"/>
      <c r="F15" s="16"/>
      <c r="G15" s="16"/>
      <c r="H15" s="16"/>
      <c r="I15" s="32"/>
      <c r="J15" s="16"/>
      <c r="K15" s="13"/>
      <c r="L15" s="13"/>
      <c r="M15" s="13"/>
      <c r="N15" s="3"/>
      <c r="O15" s="196">
        <v>1271384</v>
      </c>
      <c r="P15" s="13"/>
      <c r="Q15" s="13"/>
      <c r="R15" s="4"/>
      <c r="S15" s="32"/>
      <c r="T15" s="32"/>
      <c r="U15" s="32"/>
      <c r="V15" s="32"/>
    </row>
    <row r="16" spans="1:22" ht="16.5" x14ac:dyDescent="0.25">
      <c r="A16" s="222"/>
      <c r="B16" s="14"/>
      <c r="C16" s="16"/>
      <c r="D16" s="16"/>
      <c r="E16" s="16"/>
      <c r="F16" s="16"/>
      <c r="G16" s="16"/>
      <c r="H16" s="16"/>
      <c r="I16" s="32"/>
      <c r="J16" s="16"/>
      <c r="K16" s="13"/>
      <c r="L16" s="13"/>
      <c r="M16" s="13"/>
      <c r="N16" s="3"/>
      <c r="O16" s="196">
        <v>2780270.6666666665</v>
      </c>
      <c r="P16" s="13"/>
      <c r="Q16" s="13"/>
      <c r="R16" s="4"/>
      <c r="S16" s="32"/>
      <c r="T16" s="32"/>
      <c r="U16" s="32"/>
      <c r="V16" s="32"/>
    </row>
    <row r="17" spans="1:22" s="1" customFormat="1" ht="16.5" x14ac:dyDescent="0.25">
      <c r="A17" s="222"/>
      <c r="B17" s="14"/>
      <c r="C17" s="32"/>
      <c r="D17" s="32"/>
      <c r="E17" s="32"/>
      <c r="F17" s="32"/>
      <c r="G17" s="32"/>
      <c r="H17" s="32"/>
      <c r="I17" s="32"/>
      <c r="J17" s="32"/>
      <c r="K17" s="13"/>
      <c r="L17" s="13"/>
      <c r="M17" s="13"/>
      <c r="N17" s="3"/>
      <c r="O17" s="196">
        <v>966524.33333333337</v>
      </c>
      <c r="P17" s="13"/>
      <c r="Q17" s="13"/>
      <c r="R17" s="32"/>
      <c r="S17" s="32"/>
      <c r="T17" s="32"/>
      <c r="U17" s="32"/>
      <c r="V17" s="32"/>
    </row>
    <row r="18" spans="1:22" s="1" customFormat="1" ht="16.5" x14ac:dyDescent="0.25">
      <c r="A18" s="222"/>
      <c r="B18" s="14"/>
      <c r="C18" s="32"/>
      <c r="D18" s="32"/>
      <c r="E18" s="32"/>
      <c r="F18" s="32"/>
      <c r="G18" s="32"/>
      <c r="H18" s="32"/>
      <c r="I18" s="32"/>
      <c r="J18" s="32"/>
      <c r="K18" s="13"/>
      <c r="L18" s="13"/>
      <c r="M18" s="13"/>
      <c r="N18" s="3"/>
      <c r="O18" s="196">
        <v>82950.666666666672</v>
      </c>
      <c r="P18" s="13"/>
      <c r="Q18" s="13"/>
      <c r="R18" s="32"/>
      <c r="S18" s="32"/>
      <c r="T18" s="32"/>
      <c r="U18" s="32"/>
      <c r="V18" s="32"/>
    </row>
    <row r="19" spans="1:22" s="1" customFormat="1" ht="16.5" x14ac:dyDescent="0.25">
      <c r="A19" s="222"/>
      <c r="B19" s="14"/>
      <c r="C19" s="32"/>
      <c r="D19" s="32"/>
      <c r="E19" s="32"/>
      <c r="F19" s="32"/>
      <c r="G19" s="32"/>
      <c r="H19" s="32"/>
      <c r="I19" s="32"/>
      <c r="J19" s="32"/>
      <c r="K19" s="13"/>
      <c r="L19" s="13"/>
      <c r="M19" s="13"/>
      <c r="N19" s="3"/>
      <c r="O19" s="196">
        <v>1199947</v>
      </c>
      <c r="P19" s="13"/>
      <c r="Q19" s="13"/>
      <c r="R19" s="32"/>
      <c r="S19" s="32"/>
      <c r="T19" s="32"/>
      <c r="U19" s="32"/>
      <c r="V19" s="32"/>
    </row>
    <row r="20" spans="1:22" ht="16.5" x14ac:dyDescent="0.25">
      <c r="A20" s="222"/>
      <c r="B20" s="14"/>
      <c r="C20" s="16"/>
      <c r="D20" s="16"/>
      <c r="E20" s="16"/>
      <c r="F20" s="16"/>
      <c r="G20" s="16"/>
      <c r="H20" s="16"/>
      <c r="I20" s="32"/>
      <c r="J20" s="16"/>
      <c r="K20" s="13"/>
      <c r="L20" s="13"/>
      <c r="M20" s="13"/>
      <c r="N20" s="3"/>
      <c r="O20" s="196">
        <v>194961</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Fadrozole-5,4µg/L</v>
      </c>
      <c r="J22" s="68" t="str">
        <f t="shared" si="0"/>
        <v>Fadrozole-11µg/L</v>
      </c>
      <c r="K22" s="68" t="str">
        <f t="shared" si="0"/>
        <v>Fadrozole-22µg/L</v>
      </c>
      <c r="L22" s="68" t="str">
        <f t="shared" si="0"/>
        <v>Fadrozole-44µg/L</v>
      </c>
      <c r="M22" s="68" t="str">
        <f t="shared" si="0"/>
        <v>Fadrozole-87µg/L</v>
      </c>
      <c r="N22" s="68" t="s">
        <v>47</v>
      </c>
      <c r="O22" s="68" t="str">
        <f t="shared" ref="O22:V22" si="1">O4</f>
        <v>Testo -30µg/L</v>
      </c>
      <c r="P22" s="68" t="str">
        <f t="shared" si="1"/>
        <v>Testo 30µg/L + EE2 -64ng/L</v>
      </c>
      <c r="Q22" s="68" t="str">
        <f t="shared" si="1"/>
        <v>Testo 30µg/L + FAD-10µg/L</v>
      </c>
      <c r="R22" s="68" t="str">
        <f t="shared" si="1"/>
        <v>Fadrozole-5,4µg/L + Testostérone</v>
      </c>
      <c r="S22" s="68" t="str">
        <f t="shared" si="1"/>
        <v>Fadrozole-11µg/L + Testostérone</v>
      </c>
      <c r="T22" s="68" t="str">
        <f t="shared" si="1"/>
        <v>Fadrozole-22µg/L + Testostérone</v>
      </c>
      <c r="U22" s="68" t="str">
        <f t="shared" si="1"/>
        <v>Fadrozole-44µg/L + Testostérone</v>
      </c>
      <c r="V22" s="68" t="str">
        <f t="shared" si="1"/>
        <v>Fadrozole-87µg/L + Testostérone</v>
      </c>
    </row>
    <row r="23" spans="1:22" x14ac:dyDescent="0.25">
      <c r="A23" s="5" t="s">
        <v>0</v>
      </c>
      <c r="B23" s="5">
        <f t="shared" ref="B23:M23" si="2">AVERAGE(B5:B20)</f>
        <v>198969.83333333334</v>
      </c>
      <c r="C23" s="5">
        <f t="shared" si="2"/>
        <v>167699.66666666666</v>
      </c>
      <c r="D23" s="5">
        <f t="shared" si="2"/>
        <v>194913.73809523811</v>
      </c>
      <c r="E23" s="5">
        <f t="shared" si="2"/>
        <v>762695.85714285716</v>
      </c>
      <c r="F23" s="5">
        <f t="shared" si="2"/>
        <v>1112639</v>
      </c>
      <c r="G23" s="5">
        <f t="shared" si="2"/>
        <v>1920870.229166667</v>
      </c>
      <c r="H23" s="5">
        <f t="shared" si="2"/>
        <v>3531244.854166667</v>
      </c>
      <c r="I23" s="5">
        <f t="shared" si="2"/>
        <v>496041.125</v>
      </c>
      <c r="J23" s="5">
        <f t="shared" si="2"/>
        <v>138669.66666666666</v>
      </c>
      <c r="K23" s="5">
        <f t="shared" si="2"/>
        <v>135792.0625</v>
      </c>
      <c r="L23" s="5">
        <f t="shared" si="2"/>
        <v>226534</v>
      </c>
      <c r="M23" s="5">
        <f t="shared" si="2"/>
        <v>223844.16666666669</v>
      </c>
      <c r="N23" s="5" t="s">
        <v>0</v>
      </c>
      <c r="O23" s="5">
        <f t="shared" ref="O23:V23" si="3">AVERAGE(O5:O20)</f>
        <v>1841729.3854166667</v>
      </c>
      <c r="P23" s="5">
        <f t="shared" si="3"/>
        <v>2300088.1666666665</v>
      </c>
      <c r="Q23" s="5">
        <f t="shared" si="3"/>
        <v>172702.08333333331</v>
      </c>
      <c r="R23" s="5">
        <f t="shared" si="3"/>
        <v>84525.125</v>
      </c>
      <c r="S23" s="5">
        <f t="shared" si="3"/>
        <v>361249.41666666663</v>
      </c>
      <c r="T23" s="5">
        <f t="shared" si="3"/>
        <v>70812.708333333328</v>
      </c>
      <c r="U23" s="5">
        <f t="shared" si="3"/>
        <v>86247.875000000015</v>
      </c>
      <c r="V23" s="5">
        <f t="shared" si="3"/>
        <v>63262.125</v>
      </c>
    </row>
    <row r="24" spans="1:22" x14ac:dyDescent="0.25">
      <c r="A24" s="3" t="s">
        <v>1</v>
      </c>
      <c r="B24" s="3">
        <f t="shared" ref="B24:M24" si="4">STDEV(B5:B20)</f>
        <v>230823.50985616146</v>
      </c>
      <c r="C24" s="3">
        <f t="shared" si="4"/>
        <v>177435.45764300926</v>
      </c>
      <c r="D24" s="3">
        <f t="shared" si="4"/>
        <v>279069.99008200265</v>
      </c>
      <c r="E24" s="3">
        <f t="shared" si="4"/>
        <v>1224536.0472033489</v>
      </c>
      <c r="F24" s="3">
        <f t="shared" si="4"/>
        <v>507616.4616502162</v>
      </c>
      <c r="G24" s="3">
        <f t="shared" si="4"/>
        <v>1246010.6577691238</v>
      </c>
      <c r="H24" s="3">
        <f t="shared" si="4"/>
        <v>1299743.1684718644</v>
      </c>
      <c r="I24" s="3">
        <f t="shared" si="4"/>
        <v>356590.1540779433</v>
      </c>
      <c r="J24" s="3">
        <f t="shared" si="4"/>
        <v>107723.37126913221</v>
      </c>
      <c r="K24" s="3">
        <f t="shared" si="4"/>
        <v>88347.015831598474</v>
      </c>
      <c r="L24" s="3">
        <f t="shared" si="4"/>
        <v>157041.01708989794</v>
      </c>
      <c r="M24" s="3">
        <f t="shared" si="4"/>
        <v>297945.73741474986</v>
      </c>
      <c r="N24" s="3" t="s">
        <v>1</v>
      </c>
      <c r="O24" s="3">
        <f t="shared" ref="O24:V24" si="5">STDEV(O5:O20)</f>
        <v>1023278.5347860765</v>
      </c>
      <c r="P24" s="3">
        <f t="shared" si="5"/>
        <v>923111.07565321308</v>
      </c>
      <c r="Q24" s="3">
        <f t="shared" si="5"/>
        <v>135503.93946229605</v>
      </c>
      <c r="R24" s="3">
        <f t="shared" si="5"/>
        <v>54738.875452529515</v>
      </c>
      <c r="S24" s="3">
        <f t="shared" si="5"/>
        <v>346569.53912025195</v>
      </c>
      <c r="T24" s="3">
        <f t="shared" si="5"/>
        <v>99590.524193762976</v>
      </c>
      <c r="U24" s="3">
        <f t="shared" si="5"/>
        <v>95142.134430910461</v>
      </c>
      <c r="V24" s="3">
        <f t="shared" si="5"/>
        <v>52176.74091616815</v>
      </c>
    </row>
    <row r="25" spans="1:22" ht="15.75" thickBot="1" x14ac:dyDescent="0.3"/>
    <row r="26" spans="1:22" ht="15.75" thickBot="1" x14ac:dyDescent="0.3">
      <c r="B26" s="225" t="s">
        <v>6</v>
      </c>
      <c r="C26" s="226"/>
      <c r="D26" s="226"/>
      <c r="E26" s="226"/>
      <c r="F26" s="226"/>
      <c r="G26" s="226"/>
      <c r="H26" s="226"/>
      <c r="I26" s="226"/>
      <c r="J26" s="226"/>
      <c r="K26" s="226"/>
      <c r="L26" s="226"/>
      <c r="M26" s="226"/>
      <c r="N26" s="1"/>
      <c r="O26" s="225" t="s">
        <v>3</v>
      </c>
      <c r="P26" s="226"/>
      <c r="Q26" s="226"/>
      <c r="R26" s="226"/>
      <c r="S26" s="226"/>
      <c r="T26" s="226"/>
      <c r="U26" s="226"/>
      <c r="V26" s="226"/>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Fadrozole-5,4µg/L</v>
      </c>
      <c r="J27" s="35" t="str">
        <f t="shared" si="6"/>
        <v>Fadrozole-11µg/L</v>
      </c>
      <c r="K27" s="35" t="str">
        <f t="shared" si="6"/>
        <v>Fadrozole-22µg/L</v>
      </c>
      <c r="L27" s="35" t="str">
        <f t="shared" si="6"/>
        <v>Fadrozole-44µg/L</v>
      </c>
      <c r="M27" s="35" t="str">
        <f t="shared" si="6"/>
        <v>Fadrozole-87µg/L</v>
      </c>
      <c r="N27" s="3"/>
      <c r="O27" s="36" t="str">
        <f t="shared" ref="O27:V27" si="7">O4</f>
        <v>Testo -30µg/L</v>
      </c>
      <c r="P27" s="36" t="str">
        <f t="shared" si="7"/>
        <v>Testo 30µg/L + EE2 -64ng/L</v>
      </c>
      <c r="Q27" s="36" t="str">
        <f t="shared" si="7"/>
        <v>Testo 30µg/L + FAD-10µg/L</v>
      </c>
      <c r="R27" s="36" t="str">
        <f t="shared" si="7"/>
        <v>Fadrozole-5,4µg/L + Testostérone</v>
      </c>
      <c r="S27" s="36" t="str">
        <f t="shared" si="7"/>
        <v>Fadrozole-11µg/L + Testostérone</v>
      </c>
      <c r="T27" s="36" t="str">
        <f t="shared" si="7"/>
        <v>Fadrozole-22µg/L + Testostérone</v>
      </c>
      <c r="U27" s="36" t="str">
        <f t="shared" si="7"/>
        <v>Fadrozole-44µg/L + Testostérone</v>
      </c>
      <c r="V27" s="36" t="str">
        <f t="shared" si="7"/>
        <v>Fadrozole-87µg/L + Testostérone</v>
      </c>
    </row>
    <row r="28" spans="1:22" x14ac:dyDescent="0.25">
      <c r="A28" s="223" t="s">
        <v>34</v>
      </c>
      <c r="B28" s="11">
        <f t="shared" ref="B28:M28" si="8">IF(B5="","",(B5/$O$23))</f>
        <v>2.9912827459648562E-2</v>
      </c>
      <c r="C28" s="11">
        <f t="shared" si="8"/>
        <v>6.6461266044780226E-2</v>
      </c>
      <c r="D28" s="11">
        <f t="shared" si="8"/>
        <v>0.4339063091069732</v>
      </c>
      <c r="E28" s="11">
        <f t="shared" si="8"/>
        <v>0.12676835253251922</v>
      </c>
      <c r="F28" s="11">
        <f t="shared" si="8"/>
        <v>0.79316556759116241</v>
      </c>
      <c r="G28" s="11">
        <f t="shared" si="8"/>
        <v>1.2918734707569717</v>
      </c>
      <c r="H28" s="11">
        <f t="shared" si="8"/>
        <v>0.87712596620224825</v>
      </c>
      <c r="I28" s="11">
        <f t="shared" si="8"/>
        <v>0.23950623265256335</v>
      </c>
      <c r="J28" s="11">
        <f t="shared" si="8"/>
        <v>1.4143952710750725E-2</v>
      </c>
      <c r="K28" s="11">
        <f t="shared" si="8"/>
        <v>4.5489672549103972E-2</v>
      </c>
      <c r="L28" s="11">
        <f t="shared" si="8"/>
        <v>0.15316582459598477</v>
      </c>
      <c r="M28" s="11">
        <f t="shared" si="8"/>
        <v>1.0280373879348827E-2</v>
      </c>
      <c r="N28" s="6"/>
      <c r="O28" s="11">
        <f t="shared" ref="O28:V28" si="9">IF(O5="","",(O5/$O$23))</f>
        <v>1.0892286072090269</v>
      </c>
      <c r="P28" s="11">
        <f t="shared" si="9"/>
        <v>1.7772864420720149</v>
      </c>
      <c r="Q28" s="11">
        <f t="shared" si="9"/>
        <v>6.3943885711901169E-2</v>
      </c>
      <c r="R28" s="11">
        <f t="shared" si="9"/>
        <v>5.1851265857060375E-2</v>
      </c>
      <c r="S28" s="11">
        <f t="shared" si="9"/>
        <v>0.55551320845572327</v>
      </c>
      <c r="T28" s="11">
        <f t="shared" si="9"/>
        <v>1.1243237016232609E-2</v>
      </c>
      <c r="U28" s="11">
        <f t="shared" si="9"/>
        <v>0.16337543165455884</v>
      </c>
      <c r="V28" s="11">
        <f t="shared" si="9"/>
        <v>1.5572863324603633E-2</v>
      </c>
    </row>
    <row r="29" spans="1:22" x14ac:dyDescent="0.25">
      <c r="A29" s="224"/>
      <c r="B29" s="11">
        <f t="shared" ref="B29:M29" si="10">IF(B6="","",(B6/$O$23))</f>
        <v>0.38251330818648988</v>
      </c>
      <c r="C29" s="11">
        <f t="shared" si="10"/>
        <v>8.9237322975556352E-2</v>
      </c>
      <c r="D29" s="11">
        <f t="shared" si="10"/>
        <v>2.9513565038602387E-2</v>
      </c>
      <c r="E29" s="11">
        <f t="shared" si="10"/>
        <v>8.3709728414735368E-2</v>
      </c>
      <c r="F29" s="11">
        <f t="shared" si="10"/>
        <v>0.53074608810974822</v>
      </c>
      <c r="G29" s="11">
        <f t="shared" si="10"/>
        <v>1.8630454219655788</v>
      </c>
      <c r="H29" s="11">
        <f t="shared" si="10"/>
        <v>1.4424046339462613</v>
      </c>
      <c r="I29" s="11">
        <f t="shared" si="10"/>
        <v>0.48451671224477133</v>
      </c>
      <c r="J29" s="11">
        <f t="shared" si="10"/>
        <v>7.6925344075245025E-2</v>
      </c>
      <c r="K29" s="11">
        <f t="shared" si="10"/>
        <v>6.1348498985789625E-2</v>
      </c>
      <c r="L29" s="11">
        <f t="shared" si="10"/>
        <v>3.0891617655939441E-2</v>
      </c>
      <c r="M29" s="11">
        <f t="shared" si="10"/>
        <v>0.34903788712037132</v>
      </c>
      <c r="N29" s="6"/>
      <c r="O29" s="11">
        <f t="shared" ref="O29:V29" si="11">IF(O6="","",(O6/$O$23))</f>
        <v>1.446194007159971</v>
      </c>
      <c r="P29" s="11">
        <f t="shared" si="11"/>
        <v>1.5304048949780957</v>
      </c>
      <c r="Q29" s="11">
        <f t="shared" si="11"/>
        <v>0.20664183150188078</v>
      </c>
      <c r="R29" s="11">
        <f t="shared" si="11"/>
        <v>3.5495442771148612E-2</v>
      </c>
      <c r="S29" s="11">
        <f t="shared" si="11"/>
        <v>0.20866547299313973</v>
      </c>
      <c r="T29" s="11">
        <f t="shared" si="11"/>
        <v>0.16574385778411924</v>
      </c>
      <c r="U29" s="11">
        <f t="shared" si="11"/>
        <v>6.931510550763427E-2</v>
      </c>
      <c r="V29" s="11">
        <f t="shared" si="11"/>
        <v>7.4400543180596759E-2</v>
      </c>
    </row>
    <row r="30" spans="1:22" x14ac:dyDescent="0.25">
      <c r="A30" s="224"/>
      <c r="B30" s="11">
        <f t="shared" ref="B30:M30" si="12">IF(B7="","",(B7/$O$23))</f>
        <v>8.5615183885621171E-3</v>
      </c>
      <c r="C30" s="11">
        <f t="shared" si="12"/>
        <v>6.251913785221149E-3</v>
      </c>
      <c r="D30" s="11" t="str">
        <f t="shared" si="12"/>
        <v/>
      </c>
      <c r="E30" s="11">
        <f t="shared" si="12"/>
        <v>0.12160092670147245</v>
      </c>
      <c r="F30" s="11">
        <f t="shared" si="12"/>
        <v>0.39139191984870242</v>
      </c>
      <c r="G30" s="11">
        <f t="shared" si="12"/>
        <v>0.65402261385657223</v>
      </c>
      <c r="H30" s="11">
        <f t="shared" si="12"/>
        <v>1.7858208120638606</v>
      </c>
      <c r="I30" s="11">
        <f t="shared" si="12"/>
        <v>0.12650229824469608</v>
      </c>
      <c r="J30" s="11">
        <f t="shared" si="12"/>
        <v>5.4094447383101277E-2</v>
      </c>
      <c r="K30" s="11">
        <f t="shared" si="12"/>
        <v>5.1604758414873213E-2</v>
      </c>
      <c r="L30" s="11">
        <f t="shared" si="12"/>
        <v>0.2118130581084679</v>
      </c>
      <c r="M30" s="11">
        <f t="shared" si="12"/>
        <v>1.3815276121167841E-2</v>
      </c>
      <c r="N30" s="6"/>
      <c r="O30" s="11">
        <f t="shared" ref="O30:V30" si="13">IF(O7="","",(O7/$O$23))</f>
        <v>1.2699192862894639</v>
      </c>
      <c r="P30" s="11">
        <f t="shared" si="13"/>
        <v>1.3847906684128137</v>
      </c>
      <c r="Q30" s="11">
        <f t="shared" si="13"/>
        <v>5.9434175038643053E-2</v>
      </c>
      <c r="R30" s="11">
        <f t="shared" si="13"/>
        <v>3.3314702557555996E-2</v>
      </c>
      <c r="S30" s="11">
        <f t="shared" si="13"/>
        <v>2.971301525981403E-2</v>
      </c>
      <c r="T30" s="11">
        <f t="shared" si="13"/>
        <v>1.5201292268208445E-2</v>
      </c>
      <c r="U30" s="11">
        <f t="shared" si="13"/>
        <v>1.5651412685770468E-2</v>
      </c>
      <c r="V30" s="11">
        <f t="shared" si="13"/>
        <v>7.1491863956375093E-2</v>
      </c>
    </row>
    <row r="31" spans="1:22" x14ac:dyDescent="0.25">
      <c r="A31" s="224"/>
      <c r="B31" s="11">
        <f t="shared" ref="B31:M31" si="14">IF(B8="","",(B8/$O$23))</f>
        <v>0.19622426772445717</v>
      </c>
      <c r="C31" s="11">
        <f t="shared" si="14"/>
        <v>2.6453940728636157E-2</v>
      </c>
      <c r="D31" s="11">
        <f t="shared" si="14"/>
        <v>6.4680150230856673E-2</v>
      </c>
      <c r="E31" s="11">
        <f t="shared" si="14"/>
        <v>0.22812580573825592</v>
      </c>
      <c r="F31" s="11">
        <f t="shared" si="14"/>
        <v>0.83261508384943517</v>
      </c>
      <c r="G31" s="11">
        <f t="shared" si="14"/>
        <v>1.9550997530791101</v>
      </c>
      <c r="H31" s="11">
        <f t="shared" si="14"/>
        <v>3.0260737783358631</v>
      </c>
      <c r="I31" s="11">
        <f t="shared" si="14"/>
        <v>0.24956326572158988</v>
      </c>
      <c r="J31" s="11">
        <f t="shared" si="14"/>
        <v>0.12728905878154453</v>
      </c>
      <c r="K31" s="11">
        <f t="shared" si="14"/>
        <v>3.7464425490351366E-2</v>
      </c>
      <c r="L31" s="11">
        <f t="shared" si="14"/>
        <v>0.11339161351298098</v>
      </c>
      <c r="M31" s="11">
        <f t="shared" si="14"/>
        <v>4.4393058311062829E-3</v>
      </c>
      <c r="N31" s="6"/>
      <c r="O31" s="11">
        <f t="shared" ref="O31:V31" si="15">IF(O8="","",(O8/$O$23))</f>
        <v>1.6799494854307027</v>
      </c>
      <c r="P31" s="11">
        <f t="shared" si="15"/>
        <v>0.79423449046455263</v>
      </c>
      <c r="Q31" s="11">
        <f t="shared" si="15"/>
        <v>3.6380118525488447E-2</v>
      </c>
      <c r="R31" s="11">
        <f t="shared" si="15"/>
        <v>9.8327511142847324E-2</v>
      </c>
      <c r="S31" s="11">
        <f t="shared" si="15"/>
        <v>0.35229497076912331</v>
      </c>
      <c r="T31" s="11">
        <f t="shared" si="15"/>
        <v>2.1871834330800307E-2</v>
      </c>
      <c r="U31" s="11">
        <f t="shared" si="15"/>
        <v>6.4534453835143994E-3</v>
      </c>
      <c r="V31" s="11">
        <f t="shared" si="15"/>
        <v>7.9235310657208898E-3</v>
      </c>
    </row>
    <row r="32" spans="1:22" x14ac:dyDescent="0.25">
      <c r="A32" s="224"/>
      <c r="B32" s="11">
        <f t="shared" ref="B32:M32" si="16">IF(B9="","",(B9/$O$23))</f>
        <v>8.6399229582797971E-2</v>
      </c>
      <c r="C32" s="11">
        <f t="shared" si="16"/>
        <v>0.25241710518444388</v>
      </c>
      <c r="D32" s="11">
        <f t="shared" si="16"/>
        <v>2.9666320017461396E-2</v>
      </c>
      <c r="E32" s="11">
        <f t="shared" si="16"/>
        <v>1.9022816423203144</v>
      </c>
      <c r="F32" s="11">
        <f t="shared" si="16"/>
        <v>1.0558903760409832</v>
      </c>
      <c r="G32" s="11">
        <f t="shared" si="16"/>
        <v>1.3624216564434759</v>
      </c>
      <c r="H32" s="11">
        <f t="shared" si="16"/>
        <v>1.3786034583064339</v>
      </c>
      <c r="I32" s="11">
        <f t="shared" si="16"/>
        <v>3.7523066027259327E-2</v>
      </c>
      <c r="J32" s="11">
        <f t="shared" si="16"/>
        <v>1.7307464885485999E-2</v>
      </c>
      <c r="K32" s="11">
        <f t="shared" si="16"/>
        <v>0.12306286786466394</v>
      </c>
      <c r="L32" s="11">
        <f t="shared" si="16"/>
        <v>8.3834973018254849E-2</v>
      </c>
      <c r="M32" s="11">
        <f t="shared" si="16"/>
        <v>0.40680424565405499</v>
      </c>
      <c r="N32" s="6"/>
      <c r="O32" s="11">
        <f t="shared" ref="O32:V32" si="17">IF(O9="","",(O9/$O$23))</f>
        <v>0.32477409804952284</v>
      </c>
      <c r="P32" s="11">
        <f t="shared" si="17"/>
        <v>1.5285296647222211</v>
      </c>
      <c r="Q32" s="11">
        <f t="shared" si="17"/>
        <v>4.2275664356475728E-2</v>
      </c>
      <c r="R32" s="11">
        <f t="shared" si="17"/>
        <v>8.804406044520395E-3</v>
      </c>
      <c r="S32" s="11">
        <f t="shared" si="17"/>
        <v>0.20700580100719534</v>
      </c>
      <c r="T32" s="11">
        <f t="shared" si="17"/>
        <v>1.1603405746006806E-2</v>
      </c>
      <c r="U32" s="11">
        <f t="shared" si="17"/>
        <v>1.9014194092405935E-2</v>
      </c>
      <c r="V32" s="11">
        <f t="shared" si="17"/>
        <v>2.2588371014808369E-2</v>
      </c>
    </row>
    <row r="33" spans="1:22" x14ac:dyDescent="0.25">
      <c r="A33" s="224"/>
      <c r="B33" s="11">
        <f t="shared" ref="B33:M33" si="18">IF(B10="","",(B10/$O$23))</f>
        <v>4.5462343163075875E-2</v>
      </c>
      <c r="C33" s="11">
        <f t="shared" si="18"/>
        <v>1.9507208976780262E-2</v>
      </c>
      <c r="D33" s="11">
        <f t="shared" si="18"/>
        <v>0.14496827571273715</v>
      </c>
      <c r="E33" s="11">
        <f t="shared" si="18"/>
        <v>6.1481526129701203E-2</v>
      </c>
      <c r="F33" s="11">
        <f t="shared" si="18"/>
        <v>0.54294856847663575</v>
      </c>
      <c r="G33" s="11">
        <f t="shared" si="18"/>
        <v>0.64142883459834199</v>
      </c>
      <c r="H33" s="11">
        <f t="shared" si="18"/>
        <v>2.6888508734665773</v>
      </c>
      <c r="I33" s="11">
        <f t="shared" si="18"/>
        <v>6.702504774992929E-2</v>
      </c>
      <c r="J33" s="11">
        <f t="shared" si="18"/>
        <v>0.13024859600228206</v>
      </c>
      <c r="K33" s="11">
        <f t="shared" si="18"/>
        <v>0.14231406746040623</v>
      </c>
      <c r="L33" s="11">
        <f t="shared" si="18"/>
        <v>0.24457972503097053</v>
      </c>
      <c r="M33" s="11">
        <f t="shared" si="18"/>
        <v>6.065567190158077E-2</v>
      </c>
      <c r="N33" s="6"/>
      <c r="O33" s="11">
        <f t="shared" ref="O33:V33" si="19">IF(O10="","",(O10/$O$23))</f>
        <v>1.1572677380709788</v>
      </c>
      <c r="P33" s="11">
        <f t="shared" si="19"/>
        <v>0.47799856318241557</v>
      </c>
      <c r="Q33" s="11">
        <f t="shared" si="19"/>
        <v>0.12900755229370836</v>
      </c>
      <c r="R33" s="11">
        <f t="shared" si="19"/>
        <v>4.7779730306808946E-2</v>
      </c>
      <c r="S33" s="11">
        <f t="shared" si="19"/>
        <v>9.5325260444608945E-3</v>
      </c>
      <c r="T33" s="11">
        <f t="shared" si="19"/>
        <v>5.9876512915812967E-2</v>
      </c>
      <c r="U33" s="11">
        <f t="shared" si="19"/>
        <v>3.8482309377914227E-2</v>
      </c>
      <c r="V33" s="11">
        <f t="shared" si="19"/>
        <v>5.6533459344124931E-2</v>
      </c>
    </row>
    <row r="34" spans="1:22" x14ac:dyDescent="0.25">
      <c r="A34" s="224"/>
      <c r="B34" s="11">
        <f t="shared" ref="B34:M34" si="20">IF(B11="","",(B11/$O$23))</f>
        <v>8.3756785635710901E-2</v>
      </c>
      <c r="C34" s="11">
        <f t="shared" si="20"/>
        <v>3.8811166956808557E-2</v>
      </c>
      <c r="D34" s="11">
        <f t="shared" si="20"/>
        <v>8.7220559078132285E-3</v>
      </c>
      <c r="E34" s="11">
        <f t="shared" si="20"/>
        <v>0.37486777670314742</v>
      </c>
      <c r="F34" s="11">
        <f t="shared" si="20"/>
        <v>0.18643346993256524</v>
      </c>
      <c r="G34" s="11">
        <f t="shared" si="20"/>
        <v>0.49142235942292933</v>
      </c>
      <c r="H34" s="11">
        <f t="shared" si="20"/>
        <v>2.0669332296098668</v>
      </c>
      <c r="I34" s="11">
        <f t="shared" si="20"/>
        <v>0.56205271425682946</v>
      </c>
      <c r="J34" s="11">
        <f t="shared" si="20"/>
        <v>1.9871359471406235E-2</v>
      </c>
      <c r="K34" s="11">
        <f t="shared" si="20"/>
        <v>9.3446591391816904E-3</v>
      </c>
      <c r="L34" s="11">
        <f t="shared" si="20"/>
        <v>2.3328074330681306E-2</v>
      </c>
      <c r="M34" s="11">
        <f t="shared" si="20"/>
        <v>3.2335912361265116E-2</v>
      </c>
      <c r="N34" s="6"/>
      <c r="O34" s="11">
        <f t="shared" ref="O34:V34" si="21">IF(O11="","",(O11/$O$23))</f>
        <v>1.7566163767692051</v>
      </c>
      <c r="P34" s="11" t="str">
        <f t="shared" si="21"/>
        <v/>
      </c>
      <c r="Q34" s="11">
        <f t="shared" si="21"/>
        <v>1.7968799829503543E-2</v>
      </c>
      <c r="R34" s="11">
        <f t="shared" si="21"/>
        <v>7.5398699233212199E-2</v>
      </c>
      <c r="S34" s="11">
        <f t="shared" si="21"/>
        <v>0.18771360733241094</v>
      </c>
      <c r="T34" s="11">
        <f t="shared" si="21"/>
        <v>1.4567105720907548E-2</v>
      </c>
      <c r="U34" s="11">
        <f t="shared" si="21"/>
        <v>1.3059736240543527E-2</v>
      </c>
      <c r="V34" s="11">
        <f t="shared" si="21"/>
        <v>1.8324986794425964E-2</v>
      </c>
    </row>
    <row r="35" spans="1:22" x14ac:dyDescent="0.25">
      <c r="A35" s="224"/>
      <c r="B35" s="11">
        <f t="shared" ref="B35:M35" si="22">IF(B12="","",(B12/$O$23))</f>
        <v>3.1443635055844618E-2</v>
      </c>
      <c r="C35" s="11">
        <f t="shared" si="22"/>
        <v>0.22930440813438135</v>
      </c>
      <c r="D35" s="11">
        <f t="shared" si="22"/>
        <v>2.9366692212365323E-2</v>
      </c>
      <c r="E35" s="11" t="str">
        <f t="shared" si="22"/>
        <v/>
      </c>
      <c r="F35" s="11">
        <f t="shared" si="22"/>
        <v>0.49982732205709213</v>
      </c>
      <c r="G35" s="11">
        <f t="shared" si="22"/>
        <v>8.4453413495460095E-2</v>
      </c>
      <c r="H35" s="11">
        <f t="shared" si="22"/>
        <v>2.073009040795053</v>
      </c>
      <c r="I35" s="11">
        <f t="shared" si="22"/>
        <v>0.38798606298594324</v>
      </c>
      <c r="J35" s="11">
        <f t="shared" si="22"/>
        <v>0.16246523640730537</v>
      </c>
      <c r="K35" s="11">
        <f t="shared" si="22"/>
        <v>0.11921693549112787</v>
      </c>
      <c r="L35" s="11" t="str">
        <f t="shared" si="22"/>
        <v/>
      </c>
      <c r="M35" s="11">
        <f t="shared" si="22"/>
        <v>9.4952965430967984E-2</v>
      </c>
      <c r="N35" s="6"/>
      <c r="O35" s="11">
        <f t="shared" ref="O35:V35" si="23">IF(O12="","",(O12/$O$23))</f>
        <v>0.96505573189727512</v>
      </c>
      <c r="P35" s="11" t="str">
        <f t="shared" si="23"/>
        <v/>
      </c>
      <c r="Q35" s="11">
        <f t="shared" si="23"/>
        <v>0.194521520282389</v>
      </c>
      <c r="R35" s="11">
        <f t="shared" si="23"/>
        <v>1.6183702250728214E-2</v>
      </c>
      <c r="S35" s="11">
        <f t="shared" si="23"/>
        <v>1.8736194510027459E-2</v>
      </c>
      <c r="T35" s="11">
        <f t="shared" si="23"/>
        <v>7.4849939640913021E-3</v>
      </c>
      <c r="U35" s="11">
        <f t="shared" si="23"/>
        <v>4.9287009292517246E-2</v>
      </c>
      <c r="V35" s="11">
        <f t="shared" si="23"/>
        <v>7.9588239814525324E-3</v>
      </c>
    </row>
    <row r="36" spans="1:22" s="1" customFormat="1" x14ac:dyDescent="0.25">
      <c r="A36" s="224"/>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1.6289984604087664</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25">
      <c r="A37" s="224"/>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1.1548560554959835</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25">
      <c r="A38" s="224"/>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0.69032074422397638</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25">
      <c r="A39" s="224"/>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1.5095978207665224</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25">
      <c r="A40" s="224"/>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0.52479172075254155</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25">
      <c r="A41" s="224"/>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4.5039552131541948E-2</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25">
      <c r="A42" s="224"/>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0.65153274389903271</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25">
      <c r="A43" s="224"/>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0.10585757144548827</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Fadrozole-5,4µg/L</v>
      </c>
      <c r="J45" s="70" t="str">
        <f t="shared" si="46"/>
        <v>Fadrozole-11µg/L</v>
      </c>
      <c r="K45" s="70" t="str">
        <f t="shared" si="46"/>
        <v>Fadrozole-22µg/L</v>
      </c>
      <c r="L45" s="70" t="str">
        <f t="shared" si="46"/>
        <v>Fadrozole-44µg/L</v>
      </c>
      <c r="M45" s="70" t="str">
        <f t="shared" si="46"/>
        <v>Fadrozole-87µg/L</v>
      </c>
      <c r="N45" s="70" t="str">
        <f>N22</f>
        <v>Nom des groupes</v>
      </c>
      <c r="O45" s="70" t="str">
        <f t="shared" ref="O45:V45" si="47">O4</f>
        <v>Testo -30µg/L</v>
      </c>
      <c r="P45" s="70" t="str">
        <f t="shared" si="47"/>
        <v>Testo 30µg/L + EE2 -64ng/L</v>
      </c>
      <c r="Q45" s="70" t="str">
        <f t="shared" si="47"/>
        <v>Testo 30µg/L + FAD-10µg/L</v>
      </c>
      <c r="R45" s="70" t="str">
        <f t="shared" si="47"/>
        <v>Fadrozole-5,4µg/L + Testostérone</v>
      </c>
      <c r="S45" s="70" t="str">
        <f t="shared" si="47"/>
        <v>Fadrozole-11µg/L + Testostérone</v>
      </c>
      <c r="T45" s="70" t="str">
        <f t="shared" si="47"/>
        <v>Fadrozole-22µg/L + Testostérone</v>
      </c>
      <c r="U45" s="70" t="str">
        <f t="shared" si="47"/>
        <v>Fadrozole-44µg/L + Testostérone</v>
      </c>
      <c r="V45" s="70" t="str">
        <f t="shared" si="47"/>
        <v>Fadrozole-87µg/L + Testostérone</v>
      </c>
    </row>
    <row r="46" spans="1:22" x14ac:dyDescent="0.25">
      <c r="A46" s="8" t="s">
        <v>0</v>
      </c>
      <c r="B46" s="10">
        <f t="shared" ref="B46:H46" si="48">AVERAGE(B28:B43)</f>
        <v>0.10803423939957338</v>
      </c>
      <c r="C46" s="10">
        <f t="shared" si="48"/>
        <v>9.105554159832599E-2</v>
      </c>
      <c r="D46" s="10">
        <f t="shared" si="48"/>
        <v>0.10583190974668706</v>
      </c>
      <c r="E46" s="10">
        <f t="shared" si="48"/>
        <v>0.41411939407716375</v>
      </c>
      <c r="F46" s="10">
        <f t="shared" si="48"/>
        <v>0.60412729948829047</v>
      </c>
      <c r="G46" s="10">
        <f t="shared" si="48"/>
        <v>1.0429709404523049</v>
      </c>
      <c r="H46" s="10">
        <f t="shared" si="48"/>
        <v>1.9173527240907706</v>
      </c>
      <c r="I46" s="10">
        <f>AVERAGE(I28:I43)</f>
        <v>0.26933442498544774</v>
      </c>
      <c r="J46" s="9">
        <f>AVERAGE(J28:J43)</f>
        <v>7.5293182464640146E-2</v>
      </c>
      <c r="K46" s="9">
        <f>AVERAGE(K28:K43)</f>
        <v>7.3730735674437234E-2</v>
      </c>
      <c r="L46" s="9">
        <f t="shared" ref="L46:M46" si="49">AVERAGE(L28:L43)</f>
        <v>0.12300069803618281</v>
      </c>
      <c r="M46" s="9">
        <f t="shared" si="49"/>
        <v>0.12154020478748288</v>
      </c>
      <c r="N46" s="8" t="s">
        <v>0</v>
      </c>
      <c r="O46" s="10">
        <f>AVERAGE(O28:O43)</f>
        <v>0.99999999999999989</v>
      </c>
      <c r="P46" s="10">
        <f>AVERAGE(P28:P43)</f>
        <v>1.2488741206386857</v>
      </c>
      <c r="Q46" s="10">
        <f>AVERAGE(Q28:Q43)</f>
        <v>9.3771693442498763E-2</v>
      </c>
      <c r="R46" s="10">
        <f>AVERAGE(R28:R43)</f>
        <v>4.5894432520485258E-2</v>
      </c>
      <c r="S46" s="10">
        <f t="shared" ref="S46:V46" si="50">AVERAGE(S28:S43)</f>
        <v>0.1961468495464869</v>
      </c>
      <c r="T46" s="10">
        <f t="shared" si="50"/>
        <v>3.8449029968272395E-2</v>
      </c>
      <c r="U46" s="10">
        <f t="shared" si="50"/>
        <v>4.6829830529357366E-2</v>
      </c>
      <c r="V46" s="10">
        <f t="shared" si="50"/>
        <v>3.4349305332763522E-2</v>
      </c>
    </row>
    <row r="47" spans="1:22" x14ac:dyDescent="0.25">
      <c r="A47" s="8" t="s">
        <v>1</v>
      </c>
      <c r="B47" s="8">
        <f t="shared" ref="B47:K47" si="51">STDEV(B28:B43)</f>
        <v>0.12532976434208368</v>
      </c>
      <c r="C47" s="8">
        <f t="shared" si="51"/>
        <v>9.6341763913848188E-2</v>
      </c>
      <c r="D47" s="8">
        <f t="shared" si="51"/>
        <v>0.15152605604914468</v>
      </c>
      <c r="E47" s="8">
        <f t="shared" si="51"/>
        <v>0.66488380806625069</v>
      </c>
      <c r="F47" s="8">
        <f t="shared" si="51"/>
        <v>0.27561946161562456</v>
      </c>
      <c r="G47" s="8">
        <f t="shared" si="51"/>
        <v>0.67654383300575471</v>
      </c>
      <c r="H47" s="8">
        <f t="shared" si="51"/>
        <v>0.70571886334854506</v>
      </c>
      <c r="I47" s="8">
        <f>STDEV(I28:I43)</f>
        <v>0.19361701936317291</v>
      </c>
      <c r="J47" s="8">
        <f t="shared" si="51"/>
        <v>5.8490336377383295E-2</v>
      </c>
      <c r="K47" s="8">
        <f t="shared" si="51"/>
        <v>4.7969596690564366E-2</v>
      </c>
      <c r="L47" s="8">
        <f t="shared" ref="L47:M47" si="52">STDEV(L28:L43)</f>
        <v>8.5268236654849033E-2</v>
      </c>
      <c r="M47" s="8">
        <f t="shared" si="52"/>
        <v>0.16177498158739734</v>
      </c>
      <c r="N47" s="8" t="s">
        <v>1</v>
      </c>
      <c r="O47" s="8">
        <f>STDEV(O28:O43)</f>
        <v>0.55560743228005449</v>
      </c>
      <c r="P47" s="8">
        <f>STDEV(P28:P43)</f>
        <v>0.50121971390730202</v>
      </c>
      <c r="Q47" s="8">
        <f>STDEV(Q28:Q43)</f>
        <v>7.3574294103821367E-2</v>
      </c>
      <c r="R47" s="8">
        <f>STDEV(R28:R43)</f>
        <v>2.9721454132169148E-2</v>
      </c>
      <c r="S47" s="8">
        <f t="shared" ref="S47:V47" si="53">STDEV(S28:S43)</f>
        <v>0.18817614675884919</v>
      </c>
      <c r="T47" s="8">
        <f t="shared" si="53"/>
        <v>5.4074461200624202E-2</v>
      </c>
      <c r="U47" s="8">
        <f t="shared" si="53"/>
        <v>5.1659128199980281E-2</v>
      </c>
      <c r="V47" s="8">
        <f t="shared" si="53"/>
        <v>2.8330297235477878E-2</v>
      </c>
    </row>
    <row r="48" spans="1:22" x14ac:dyDescent="0.25">
      <c r="A48" s="8" t="s">
        <v>2</v>
      </c>
      <c r="B48" s="8">
        <f t="shared" ref="B48:K48" si="54" xml:space="preserve"> B47/SQRT(COUNT(B28:B43))</f>
        <v>4.4310763125399659E-2</v>
      </c>
      <c r="C48" s="8">
        <f t="shared" si="54"/>
        <v>3.4061957287477733E-2</v>
      </c>
      <c r="D48" s="8">
        <f t="shared" si="54"/>
        <v>5.7271465921781596E-2</v>
      </c>
      <c r="E48" s="8">
        <f t="shared" si="54"/>
        <v>0.25130245812812863</v>
      </c>
      <c r="F48" s="8">
        <f t="shared" si="54"/>
        <v>9.7446195167696731E-2</v>
      </c>
      <c r="G48" s="8">
        <f t="shared" si="54"/>
        <v>0.23919436604415414</v>
      </c>
      <c r="H48" s="8">
        <f t="shared" si="54"/>
        <v>0.24950929694250931</v>
      </c>
      <c r="I48" s="8">
        <f xml:space="preserve"> I47/SQRT(COUNT(I28:I43))</f>
        <v>6.8453953672413317E-2</v>
      </c>
      <c r="J48" s="8">
        <f t="shared" si="54"/>
        <v>2.0679456743164962E-2</v>
      </c>
      <c r="K48" s="8">
        <f t="shared" si="54"/>
        <v>1.6959813555340913E-2</v>
      </c>
      <c r="L48" s="8">
        <f t="shared" ref="L48:M48" si="55" xml:space="preserve"> L47/SQRT(COUNT(L28:L43))</f>
        <v>3.2228364131676089E-2</v>
      </c>
      <c r="M48" s="8">
        <f t="shared" si="55"/>
        <v>5.7196093253388758E-2</v>
      </c>
      <c r="N48" s="8" t="s">
        <v>2</v>
      </c>
      <c r="O48" s="8">
        <f xml:space="preserve"> O47/SQRT(COUNT(O28:O43))</f>
        <v>0.13890185807001362</v>
      </c>
      <c r="P48" s="8">
        <f xml:space="preserve"> P47/SQRT(COUNT(P28:P43))</f>
        <v>0.20462209134944256</v>
      </c>
      <c r="Q48" s="8">
        <f xml:space="preserve"> Q47/SQRT(COUNT(Q28:Q43))</f>
        <v>2.6012441140912751E-2</v>
      </c>
      <c r="R48" s="8">
        <f xml:space="preserve"> R47/SQRT(COUNT(R28:R43))</f>
        <v>1.0508120881790869E-2</v>
      </c>
      <c r="S48" s="8">
        <f t="shared" ref="S48:V48" si="56" xml:space="preserve"> S47/SQRT(COUNT(S28:S43))</f>
        <v>6.6530314715368605E-2</v>
      </c>
      <c r="T48" s="8">
        <f t="shared" si="56"/>
        <v>1.9118209101985115E-2</v>
      </c>
      <c r="U48" s="8">
        <f t="shared" si="56"/>
        <v>1.826425993019563E-2</v>
      </c>
      <c r="V48" s="8">
        <f t="shared" si="56"/>
        <v>1.0016272644118453E-2</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9" t="s">
        <v>38</v>
      </c>
      <c r="B50" s="220"/>
      <c r="C50" s="220"/>
      <c r="D50" s="220"/>
      <c r="E50" s="220"/>
      <c r="F50" s="220"/>
      <c r="G50" s="220"/>
      <c r="H50" s="220"/>
      <c r="I50" s="220"/>
      <c r="J50" s="220"/>
      <c r="K50" s="220"/>
      <c r="L50" s="220"/>
      <c r="M50" s="220"/>
      <c r="N50" s="220"/>
      <c r="O50" s="220"/>
      <c r="P50" s="220"/>
      <c r="Q50" s="220"/>
      <c r="R50" s="220"/>
      <c r="S50" s="220"/>
      <c r="T50" s="220"/>
      <c r="U50" s="220"/>
      <c r="V50" s="220"/>
    </row>
    <row r="51" spans="1:22" ht="15.75" thickBot="1" x14ac:dyDescent="0.3">
      <c r="A51"/>
      <c r="B51"/>
      <c r="C51"/>
      <c r="D51"/>
      <c r="E51"/>
      <c r="F51"/>
      <c r="G51"/>
      <c r="H51"/>
      <c r="I51"/>
      <c r="J51"/>
      <c r="K51"/>
      <c r="L51"/>
      <c r="M51"/>
      <c r="S51"/>
      <c r="T51"/>
      <c r="U51"/>
      <c r="V51"/>
    </row>
    <row r="52" spans="1:22" x14ac:dyDescent="0.2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Fadrozole-5,4µg/L</v>
      </c>
      <c r="J52" s="46" t="str">
        <f>J4</f>
        <v>Fadrozole-11µg/L</v>
      </c>
      <c r="K52" s="46" t="str">
        <f>K27</f>
        <v>Fadrozole-22µg/L</v>
      </c>
      <c r="L52" s="46" t="str">
        <f t="shared" ref="L52:M52" si="58">L27</f>
        <v>Fadrozole-44µg/L</v>
      </c>
      <c r="M52" s="46" t="str">
        <f t="shared" si="58"/>
        <v>Fadrozole-87µg/L</v>
      </c>
      <c r="N52" s="47"/>
      <c r="O52" s="46" t="str">
        <f>O27</f>
        <v>Testo -30µg/L</v>
      </c>
      <c r="P52" s="46" t="str">
        <f>P27</f>
        <v>Testo 30µg/L + EE2 -64ng/L</v>
      </c>
      <c r="Q52" s="46" t="str">
        <f>Q27</f>
        <v>Testo 30µg/L + FAD-10µg/L</v>
      </c>
      <c r="R52" s="46" t="str">
        <f>R27</f>
        <v>Fadrozole-5,4µg/L + Testostérone</v>
      </c>
      <c r="S52" s="46" t="str">
        <f t="shared" ref="S52:V52" si="59">S27</f>
        <v>Fadrozole-11µg/L + Testostérone</v>
      </c>
      <c r="T52" s="46" t="str">
        <f t="shared" si="59"/>
        <v>Fadrozole-22µg/L + Testostérone</v>
      </c>
      <c r="U52" s="46" t="str">
        <f t="shared" si="59"/>
        <v>Fadrozole-44µg/L + Testostérone</v>
      </c>
      <c r="V52" s="46" t="str">
        <f t="shared" si="59"/>
        <v>Fadrozole-87µg/L + Testostérone</v>
      </c>
    </row>
    <row r="53" spans="1:22" s="3" customFormat="1" x14ac:dyDescent="0.25">
      <c r="A53" s="61" t="s">
        <v>32</v>
      </c>
      <c r="B53" s="141">
        <f t="shared" ref="B53:M53" si="60">B46</f>
        <v>0.10803423939957338</v>
      </c>
      <c r="C53" s="141">
        <f t="shared" si="60"/>
        <v>9.105554159832599E-2</v>
      </c>
      <c r="D53" s="141">
        <f t="shared" si="60"/>
        <v>0.10583190974668706</v>
      </c>
      <c r="E53" s="141">
        <f t="shared" si="60"/>
        <v>0.41411939407716375</v>
      </c>
      <c r="F53" s="141">
        <f t="shared" si="60"/>
        <v>0.60412729948829047</v>
      </c>
      <c r="G53" s="141">
        <f t="shared" si="60"/>
        <v>1.0429709404523049</v>
      </c>
      <c r="H53" s="141">
        <f t="shared" si="60"/>
        <v>1.9173527240907706</v>
      </c>
      <c r="I53" s="141">
        <f t="shared" si="60"/>
        <v>0.26933442498544774</v>
      </c>
      <c r="J53" s="141">
        <f t="shared" si="60"/>
        <v>7.5293182464640146E-2</v>
      </c>
      <c r="K53" s="141">
        <f t="shared" si="60"/>
        <v>7.3730735674437234E-2</v>
      </c>
      <c r="L53" s="141">
        <f t="shared" si="60"/>
        <v>0.12300069803618281</v>
      </c>
      <c r="M53" s="141">
        <f t="shared" si="60"/>
        <v>0.12154020478748288</v>
      </c>
      <c r="N53" s="141"/>
      <c r="O53" s="141">
        <f t="shared" ref="O53:V53" si="61">O46</f>
        <v>0.99999999999999989</v>
      </c>
      <c r="P53" s="141">
        <f t="shared" si="61"/>
        <v>1.2488741206386857</v>
      </c>
      <c r="Q53" s="141">
        <f t="shared" si="61"/>
        <v>9.3771693442498763E-2</v>
      </c>
      <c r="R53" s="141">
        <f t="shared" si="61"/>
        <v>4.5894432520485258E-2</v>
      </c>
      <c r="S53" s="141">
        <f t="shared" si="61"/>
        <v>0.1961468495464869</v>
      </c>
      <c r="T53" s="141">
        <f t="shared" si="61"/>
        <v>3.8449029968272395E-2</v>
      </c>
      <c r="U53" s="141">
        <f t="shared" si="61"/>
        <v>4.6829830529357366E-2</v>
      </c>
      <c r="V53" s="141">
        <f t="shared" si="61"/>
        <v>3.4349305332763522E-2</v>
      </c>
    </row>
    <row r="54" spans="1:22" s="3" customFormat="1" x14ac:dyDescent="0.25">
      <c r="A54" s="61" t="s">
        <v>2</v>
      </c>
      <c r="B54" s="141">
        <f t="shared" ref="B54:M54" si="62">B48</f>
        <v>4.4310763125399659E-2</v>
      </c>
      <c r="C54" s="141">
        <f t="shared" si="62"/>
        <v>3.4061957287477733E-2</v>
      </c>
      <c r="D54" s="141">
        <f t="shared" si="62"/>
        <v>5.7271465921781596E-2</v>
      </c>
      <c r="E54" s="141">
        <f t="shared" si="62"/>
        <v>0.25130245812812863</v>
      </c>
      <c r="F54" s="141">
        <f t="shared" si="62"/>
        <v>9.7446195167696731E-2</v>
      </c>
      <c r="G54" s="141">
        <f t="shared" si="62"/>
        <v>0.23919436604415414</v>
      </c>
      <c r="H54" s="141">
        <f t="shared" si="62"/>
        <v>0.24950929694250931</v>
      </c>
      <c r="I54" s="141">
        <f t="shared" si="62"/>
        <v>6.8453953672413317E-2</v>
      </c>
      <c r="J54" s="141">
        <f t="shared" si="62"/>
        <v>2.0679456743164962E-2</v>
      </c>
      <c r="K54" s="141">
        <f t="shared" si="62"/>
        <v>1.6959813555340913E-2</v>
      </c>
      <c r="L54" s="141">
        <f t="shared" si="62"/>
        <v>3.2228364131676089E-2</v>
      </c>
      <c r="M54" s="141">
        <f t="shared" si="62"/>
        <v>5.7196093253388758E-2</v>
      </c>
      <c r="N54" s="141"/>
      <c r="O54" s="141">
        <f t="shared" ref="O54:V54" si="63">O48</f>
        <v>0.13890185807001362</v>
      </c>
      <c r="P54" s="141">
        <f t="shared" si="63"/>
        <v>0.20462209134944256</v>
      </c>
      <c r="Q54" s="141">
        <f t="shared" si="63"/>
        <v>2.6012441140912751E-2</v>
      </c>
      <c r="R54" s="141">
        <f t="shared" si="63"/>
        <v>1.0508120881790869E-2</v>
      </c>
      <c r="S54" s="141">
        <f t="shared" si="63"/>
        <v>6.6530314715368605E-2</v>
      </c>
      <c r="T54" s="141">
        <f t="shared" si="63"/>
        <v>1.9118209101985115E-2</v>
      </c>
      <c r="U54" s="141">
        <f t="shared" si="63"/>
        <v>1.826425993019563E-2</v>
      </c>
      <c r="V54" s="141">
        <f t="shared" si="63"/>
        <v>1.0016272644118453E-2</v>
      </c>
    </row>
    <row r="55" spans="1:22" s="3" customFormat="1" x14ac:dyDescent="0.25">
      <c r="A55" s="61" t="s">
        <v>79</v>
      </c>
      <c r="B55" s="141">
        <f t="shared" ref="B55:M55" si="64">(B53*100/$B$53)-100</f>
        <v>0</v>
      </c>
      <c r="C55" s="141">
        <f t="shared" si="64"/>
        <v>-15.716034005154896</v>
      </c>
      <c r="D55" s="141">
        <f t="shared" si="64"/>
        <v>-2.0385478392094001</v>
      </c>
      <c r="E55" s="141">
        <f t="shared" si="64"/>
        <v>283.32235815120578</v>
      </c>
      <c r="F55" s="141">
        <f t="shared" si="64"/>
        <v>459.19984520266462</v>
      </c>
      <c r="G55" s="141">
        <f t="shared" si="64"/>
        <v>865.40776910067609</v>
      </c>
      <c r="H55" s="141">
        <f t="shared" si="64"/>
        <v>1674.763940346066</v>
      </c>
      <c r="I55" s="141">
        <f t="shared" si="64"/>
        <v>149.30468940434019</v>
      </c>
      <c r="J55" s="141">
        <f t="shared" si="64"/>
        <v>-30.306185443522011</v>
      </c>
      <c r="K55" s="141">
        <f t="shared" si="64"/>
        <v>-31.752436927205878</v>
      </c>
      <c r="L55" s="141">
        <f t="shared" si="64"/>
        <v>13.853440094352663</v>
      </c>
      <c r="M55" s="141">
        <f t="shared" si="64"/>
        <v>12.501560119247557</v>
      </c>
      <c r="N55" s="141"/>
      <c r="O55" s="141">
        <f>(O53*100/$O$53)-100</f>
        <v>0</v>
      </c>
      <c r="P55" s="141">
        <f t="shared" ref="P55:V55" si="65">(P53*100/$O$53)-100</f>
        <v>24.887412063868595</v>
      </c>
      <c r="Q55" s="141">
        <f t="shared" si="65"/>
        <v>-90.622830655750121</v>
      </c>
      <c r="R55" s="141">
        <f t="shared" si="65"/>
        <v>-95.410556747951475</v>
      </c>
      <c r="S55" s="141">
        <f t="shared" si="65"/>
        <v>-80.385315045351305</v>
      </c>
      <c r="T55" s="141">
        <f t="shared" si="65"/>
        <v>-96.155097003172756</v>
      </c>
      <c r="U55" s="141">
        <f t="shared" si="65"/>
        <v>-95.317016947064261</v>
      </c>
      <c r="V55" s="141">
        <f t="shared" si="65"/>
        <v>-96.565069466723642</v>
      </c>
    </row>
    <row r="56" spans="1:22" s="3" customFormat="1" x14ac:dyDescent="0.25">
      <c r="A56" s="61" t="s">
        <v>81</v>
      </c>
      <c r="B56" s="141">
        <f>[1]!SWTEST(B28:B43)</f>
        <v>1.2995727303028448E-2</v>
      </c>
      <c r="C56" s="141">
        <f>[1]!SWTEST(C28:C43)</f>
        <v>2.8007978844052706E-2</v>
      </c>
      <c r="D56" s="141">
        <f>[1]!SWTEST(D28:D43)</f>
        <v>1.9624961472104463E-3</v>
      </c>
      <c r="E56" s="141">
        <f>[1]!SWTEST(E28:E43)</f>
        <v>2.0377969507101579E-4</v>
      </c>
      <c r="F56" s="141">
        <f>[1]!SWTEST(F28:F43)</f>
        <v>0.88701229459990527</v>
      </c>
      <c r="G56" s="141">
        <f>[1]!SWTEST(G28:G43)</f>
        <v>0.53393613034211695</v>
      </c>
      <c r="H56" s="141">
        <f>[1]!SWTEST(H28:H43)</f>
        <v>0.91440005512788136</v>
      </c>
      <c r="I56" s="141">
        <f>[1]!SWTEST(I28:I43)</f>
        <v>0.57886530860443353</v>
      </c>
      <c r="J56" s="141">
        <f>[1]!SWTEST(J28:J43)</f>
        <v>0.20928760094429555</v>
      </c>
      <c r="K56" s="141">
        <f>[1]!SWTEST(K28:K43)</f>
        <v>0.34573264128101833</v>
      </c>
      <c r="L56" s="141">
        <f>[1]!SWTEST(L28:L43)</f>
        <v>0.63621100644933226</v>
      </c>
      <c r="M56" s="141">
        <f>[1]!SWTEST(M28:M43)</f>
        <v>5.2696576370967474E-3</v>
      </c>
      <c r="N56" s="141"/>
      <c r="O56" s="141">
        <f>[1]!SWTEST(O28:O43)</f>
        <v>0.37956322301083278</v>
      </c>
      <c r="P56" s="141">
        <f>[1]!SWTEST(P28:P43)</f>
        <v>0.29606237843231464</v>
      </c>
      <c r="Q56" s="141">
        <f>[1]!SWTEST(Q28:Q43)</f>
        <v>9.8576495632114902E-2</v>
      </c>
      <c r="R56" s="141">
        <f>[1]!SWTEST(R28:R43)</f>
        <v>0.75905638600229342</v>
      </c>
      <c r="S56" s="141">
        <f>[1]!SWTEST(S28:S43)</f>
        <v>0.20867131230055347</v>
      </c>
      <c r="T56" s="141">
        <f>[1]!SWTEST(T28:T43)</f>
        <v>2.9913157702154969E-4</v>
      </c>
      <c r="U56" s="141">
        <f>[1]!SWTEST(U28:U43)</f>
        <v>1.2692582445241851E-2</v>
      </c>
      <c r="V56" s="141">
        <f>[1]!SWTEST(V28:V43)</f>
        <v>4.2921512193424549E-2</v>
      </c>
    </row>
    <row r="57" spans="1:22" s="3" customFormat="1" x14ac:dyDescent="0.25">
      <c r="A57" s="61" t="s">
        <v>85</v>
      </c>
      <c r="B57" s="141" t="str">
        <f t="shared" ref="B57:M57" si="66">IF(B56&gt;0.05,"Oui","Non")</f>
        <v>Non</v>
      </c>
      <c r="C57" s="141" t="str">
        <f t="shared" si="66"/>
        <v>Non</v>
      </c>
      <c r="D57" s="141" t="str">
        <f t="shared" si="66"/>
        <v>Non</v>
      </c>
      <c r="E57" s="141" t="str">
        <f t="shared" si="66"/>
        <v>Non</v>
      </c>
      <c r="F57" s="141" t="str">
        <f t="shared" si="66"/>
        <v>Oui</v>
      </c>
      <c r="G57" s="141" t="str">
        <f t="shared" si="66"/>
        <v>Oui</v>
      </c>
      <c r="H57" s="141" t="str">
        <f t="shared" si="66"/>
        <v>Oui</v>
      </c>
      <c r="I57" s="141" t="str">
        <f t="shared" si="66"/>
        <v>Oui</v>
      </c>
      <c r="J57" s="141" t="str">
        <f t="shared" si="66"/>
        <v>Oui</v>
      </c>
      <c r="K57" s="141" t="str">
        <f t="shared" si="66"/>
        <v>Oui</v>
      </c>
      <c r="L57" s="141" t="str">
        <f t="shared" si="66"/>
        <v>Oui</v>
      </c>
      <c r="M57" s="141" t="str">
        <f t="shared" si="66"/>
        <v>Non</v>
      </c>
      <c r="N57" s="141"/>
      <c r="O57" s="141" t="str">
        <f t="shared" ref="O57:V57" si="67">IF(O56&gt;0.05,"Oui","Non")</f>
        <v>Oui</v>
      </c>
      <c r="P57" s="141" t="str">
        <f t="shared" si="67"/>
        <v>Oui</v>
      </c>
      <c r="Q57" s="141" t="str">
        <f t="shared" si="67"/>
        <v>Oui</v>
      </c>
      <c r="R57" s="141" t="str">
        <f t="shared" si="67"/>
        <v>Oui</v>
      </c>
      <c r="S57" s="141" t="str">
        <f t="shared" si="67"/>
        <v>Oui</v>
      </c>
      <c r="T57" s="141" t="str">
        <f t="shared" si="67"/>
        <v>Non</v>
      </c>
      <c r="U57" s="141" t="str">
        <f t="shared" si="67"/>
        <v>Non</v>
      </c>
      <c r="V57" s="141" t="str">
        <f t="shared" si="67"/>
        <v>Non</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1564</v>
      </c>
      <c r="D59" s="150" t="s">
        <v>1564</v>
      </c>
      <c r="E59" s="150" t="s">
        <v>1564</v>
      </c>
      <c r="F59" s="150" t="s">
        <v>1564</v>
      </c>
      <c r="G59" s="150" t="s">
        <v>1564</v>
      </c>
      <c r="H59" s="150" t="s">
        <v>1564</v>
      </c>
      <c r="I59" s="150" t="s">
        <v>1564</v>
      </c>
      <c r="J59" s="150" t="s">
        <v>1564</v>
      </c>
      <c r="K59" s="150" t="s">
        <v>1564</v>
      </c>
      <c r="L59" s="150" t="s">
        <v>1564</v>
      </c>
      <c r="M59" s="150" t="s">
        <v>1564</v>
      </c>
      <c r="N59" s="150"/>
      <c r="O59" s="150" t="str">
        <f>IF($B57="Non",IF(O$57="Non","Mann Withney",IF(O$57="Oui","Mann Withney","")),IF($B$57="Oui",IF(O$57="Oui","T-Test Welch",IF(O$57="Non","Mann Withney",""))))</f>
        <v>Mann Withney</v>
      </c>
      <c r="P59" s="150" t="str">
        <f>IF($O57="Non",IF(P$57="Non","Mann Withney",IF(P$57="Oui","Mann Withney","")),IF($O$57="Oui",IF(P$57="Oui","T-Test Welch",IF(P$57="Non","Mann Withney",""))))</f>
        <v>T-Test Welch</v>
      </c>
      <c r="Q59" s="150" t="str">
        <f t="shared" ref="Q59" si="68">IF($O57="Non",IF(Q$57="Non","Mann Withney",IF(Q$57="Oui","Mann Withney","")),IF($O$57="Oui",IF(Q$57="Oui","T-Test Welch",IF(Q$57="Non","Mann Withney",""))))</f>
        <v>T-Test Welch</v>
      </c>
      <c r="R59" s="150" t="s">
        <v>1564</v>
      </c>
      <c r="S59" s="150" t="s">
        <v>1564</v>
      </c>
      <c r="T59" s="150" t="s">
        <v>1564</v>
      </c>
      <c r="U59" s="150" t="s">
        <v>1564</v>
      </c>
      <c r="V59" s="150" t="s">
        <v>1564</v>
      </c>
    </row>
    <row r="60" spans="1:22" s="3" customFormat="1" ht="15.75" x14ac:dyDescent="0.25">
      <c r="A60" s="61" t="s">
        <v>83</v>
      </c>
      <c r="B60" s="151"/>
      <c r="C60" s="197">
        <v>0.99990000000000001</v>
      </c>
      <c r="D60" s="197">
        <v>0.99990000000000001</v>
      </c>
      <c r="E60" s="197">
        <v>0.99990000000000001</v>
      </c>
      <c r="F60" s="197">
        <v>7.5600000000000001E-2</v>
      </c>
      <c r="G60" s="197">
        <v>1.78E-2</v>
      </c>
      <c r="H60" s="197">
        <v>2.0000000000000001E-4</v>
      </c>
      <c r="I60" s="197">
        <v>0.19239999999999999</v>
      </c>
      <c r="J60" s="197">
        <v>0.99990000000000001</v>
      </c>
      <c r="K60" s="197">
        <v>0.99990000000000001</v>
      </c>
      <c r="L60" s="197">
        <v>0.99990000000000001</v>
      </c>
      <c r="M60" s="197">
        <v>0.99990000000000001</v>
      </c>
      <c r="N60" s="151"/>
      <c r="O60" s="197">
        <v>2.0000000000000001E-4</v>
      </c>
      <c r="P60" s="197">
        <v>0.33810000000000001</v>
      </c>
      <c r="Q60" s="197">
        <v>1E-4</v>
      </c>
      <c r="R60" s="197">
        <v>3.0999999999999999E-3</v>
      </c>
      <c r="S60" s="197">
        <v>0.1095</v>
      </c>
      <c r="T60" s="197">
        <v>1E-4</v>
      </c>
      <c r="U60" s="197">
        <v>5.0000000000000001E-4</v>
      </c>
      <c r="V60" s="197">
        <v>2.0000000000000001E-4</v>
      </c>
    </row>
    <row r="61" spans="1:22" s="3" customFormat="1" ht="15.75" thickBot="1" x14ac:dyDescent="0.3">
      <c r="A61" s="62" t="s">
        <v>84</v>
      </c>
      <c r="B61" s="142"/>
      <c r="C61" s="142" t="str">
        <f t="shared" ref="C61:M61" si="69">IF(C60&gt;0.05,"NS",IF(C60&gt;0.01,"*",IF(C60&gt;0.001,"**","***")))</f>
        <v>NS</v>
      </c>
      <c r="D61" s="142" t="str">
        <f t="shared" si="69"/>
        <v>NS</v>
      </c>
      <c r="E61" s="142" t="str">
        <f t="shared" si="69"/>
        <v>NS</v>
      </c>
      <c r="F61" s="142" t="str">
        <f t="shared" si="69"/>
        <v>NS</v>
      </c>
      <c r="G61" s="142" t="str">
        <f t="shared" si="69"/>
        <v>*</v>
      </c>
      <c r="H61" s="142" t="str">
        <f t="shared" si="69"/>
        <v>***</v>
      </c>
      <c r="I61" s="142" t="str">
        <f t="shared" si="69"/>
        <v>NS</v>
      </c>
      <c r="J61" s="142" t="str">
        <f t="shared" si="69"/>
        <v>NS</v>
      </c>
      <c r="K61" s="142" t="str">
        <f t="shared" si="69"/>
        <v>NS</v>
      </c>
      <c r="L61" s="142" t="str">
        <f t="shared" si="69"/>
        <v>NS</v>
      </c>
      <c r="M61" s="142" t="str">
        <f t="shared" si="69"/>
        <v>NS</v>
      </c>
      <c r="N61" s="142"/>
      <c r="O61" s="142" t="str">
        <f>IF(O60&gt;0.05,"NS",IF(O60&gt;0.01,"*",IF(O60&gt;0.001,"**","***")))</f>
        <v>***</v>
      </c>
      <c r="P61" s="142" t="str">
        <f>IF(P60&gt;0.05,"NS",IF(P60&gt;0.01,"*",IF(P60&gt;0.001,"**","***")))</f>
        <v>NS</v>
      </c>
      <c r="Q61" s="142" t="str">
        <f t="shared" ref="Q61" si="70">IF(Q60&gt;0.05,"NS",IF(Q60&gt;0.01,"*",IF(Q60&gt;0.001,"**","***")))</f>
        <v>***</v>
      </c>
      <c r="R61" s="142" t="str">
        <f t="shared" ref="R61" si="71">IF(R60&gt;0.05,"NS",IF(R60&gt;0.01,"*",IF(R60&gt;0.001,"**","***")))</f>
        <v>**</v>
      </c>
      <c r="S61" s="142" t="str">
        <f t="shared" ref="S61" si="72">IF(S60&gt;0.05,"NS",IF(S60&gt;0.01,"*",IF(S60&gt;0.001,"**","***")))</f>
        <v>NS</v>
      </c>
      <c r="T61" s="142" t="str">
        <f t="shared" ref="T61" si="73">IF(T60&gt;0.05,"NS",IF(T60&gt;0.01,"*",IF(T60&gt;0.001,"**","***")))</f>
        <v>***</v>
      </c>
      <c r="U61" s="142" t="str">
        <f t="shared" ref="U61" si="74">IF(U60&gt;0.05,"NS",IF(U60&gt;0.01,"*",IF(U60&gt;0.001,"**","***")))</f>
        <v>***</v>
      </c>
      <c r="V61" s="142" t="str">
        <f t="shared" ref="V61" si="75">IF(V60&gt;0.05,"NS",IF(V60&gt;0.01,"*",IF(V60&gt;0.001,"**","***")))</f>
        <v>***</v>
      </c>
    </row>
    <row r="63" spans="1:22" x14ac:dyDescent="0.25">
      <c r="A63" s="2" t="s">
        <v>39</v>
      </c>
    </row>
    <row r="64" spans="1:22" x14ac:dyDescent="0.25">
      <c r="A64" s="1" t="s">
        <v>23</v>
      </c>
      <c r="B64" s="1">
        <f>B46+(3*B47)</f>
        <v>0.48402353242582441</v>
      </c>
    </row>
    <row r="65" spans="1:22" x14ac:dyDescent="0.25">
      <c r="A65" s="1" t="s">
        <v>24</v>
      </c>
      <c r="B65" s="1">
        <f>B46+(10*B47)</f>
        <v>1.3613318828204102</v>
      </c>
    </row>
    <row r="66" spans="1:22" ht="15.75" thickBot="1" x14ac:dyDescent="0.3"/>
    <row r="67" spans="1:22" s="1" customFormat="1" ht="27" thickBot="1" x14ac:dyDescent="0.45">
      <c r="A67" s="219" t="s">
        <v>52</v>
      </c>
      <c r="B67" s="220"/>
      <c r="C67" s="220"/>
      <c r="D67" s="220"/>
      <c r="E67" s="220"/>
      <c r="F67" s="220"/>
      <c r="G67" s="220"/>
      <c r="H67" s="220"/>
      <c r="I67" s="220"/>
      <c r="J67" s="220"/>
      <c r="K67" s="220"/>
      <c r="L67" s="220"/>
      <c r="M67" s="220"/>
      <c r="N67" s="220"/>
      <c r="O67" s="220"/>
      <c r="P67" s="220"/>
      <c r="Q67" s="220"/>
      <c r="R67" s="220"/>
      <c r="S67" s="220"/>
      <c r="T67" s="220"/>
      <c r="U67" s="220"/>
      <c r="V67" s="220"/>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I70" s="197"/>
      <c r="N70" s="12"/>
      <c r="O70" s="12"/>
      <c r="P70" s="12"/>
      <c r="Q70" s="12"/>
      <c r="R70" s="12"/>
      <c r="S70" s="12"/>
      <c r="T70" s="12"/>
      <c r="U70" s="12"/>
      <c r="V70" s="12"/>
    </row>
    <row r="71" spans="1:22" ht="16.5" x14ac:dyDescent="0.25">
      <c r="A71" s="12"/>
      <c r="B71" s="12"/>
      <c r="C71" s="197"/>
      <c r="D71" s="12"/>
      <c r="E71" s="12"/>
      <c r="F71" s="12"/>
      <c r="I71" s="197"/>
      <c r="N71" s="12"/>
      <c r="O71" s="12"/>
      <c r="P71" s="12"/>
      <c r="Q71" s="12"/>
      <c r="R71" s="12"/>
      <c r="S71" s="12"/>
      <c r="T71" s="197">
        <v>3.0999999999999999E-3</v>
      </c>
      <c r="U71" s="12"/>
      <c r="V71" s="12"/>
    </row>
    <row r="72" spans="1:22" ht="16.5" x14ac:dyDescent="0.25">
      <c r="A72" s="12"/>
      <c r="B72" s="12"/>
      <c r="C72" s="197"/>
      <c r="D72" s="12"/>
      <c r="E72" s="12"/>
      <c r="F72" s="12"/>
      <c r="I72" s="197"/>
      <c r="N72" s="12"/>
      <c r="O72" s="12"/>
      <c r="P72" s="12"/>
      <c r="Q72" s="12"/>
      <c r="R72" s="12"/>
      <c r="S72" s="12"/>
      <c r="T72" s="197">
        <v>0.1095</v>
      </c>
      <c r="U72" s="12"/>
      <c r="V72" s="12"/>
    </row>
    <row r="73" spans="1:22" ht="16.5" x14ac:dyDescent="0.25">
      <c r="A73" s="12"/>
      <c r="B73" s="12"/>
      <c r="C73" s="197"/>
      <c r="D73" s="12"/>
      <c r="E73" s="12"/>
      <c r="F73" s="12"/>
      <c r="I73" s="197"/>
      <c r="N73" s="12"/>
      <c r="O73" s="12"/>
      <c r="P73" s="12"/>
      <c r="Q73" s="12"/>
      <c r="R73" s="12"/>
      <c r="S73" s="12"/>
      <c r="T73" s="197" t="s">
        <v>1565</v>
      </c>
      <c r="U73" s="12"/>
      <c r="V73" s="12"/>
    </row>
    <row r="74" spans="1:22" ht="16.5" x14ac:dyDescent="0.25">
      <c r="A74" s="12"/>
      <c r="B74" s="12"/>
      <c r="C74" s="197"/>
      <c r="D74" s="12"/>
      <c r="E74" s="12"/>
      <c r="F74" s="12"/>
      <c r="I74" s="197"/>
      <c r="N74" s="12"/>
      <c r="O74" s="12"/>
      <c r="P74" s="12"/>
      <c r="Q74" s="12"/>
      <c r="R74" s="12"/>
      <c r="S74" s="12"/>
      <c r="T74" s="197">
        <v>5.0000000000000001E-4</v>
      </c>
      <c r="U74" s="12"/>
      <c r="V74" s="12"/>
    </row>
    <row r="75" spans="1:22" ht="15.75" x14ac:dyDescent="0.25">
      <c r="C75" s="197"/>
      <c r="T75" s="197">
        <v>2.0000000000000001E-4</v>
      </c>
    </row>
    <row r="76" spans="1:22" ht="15.75" x14ac:dyDescent="0.25">
      <c r="C76" s="197"/>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U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1530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1566</v>
      </c>
      <c r="D2" s="1" t="s">
        <v>358</v>
      </c>
      <c r="E2" s="1" t="s">
        <v>1567</v>
      </c>
      <c r="F2" s="1" t="s">
        <v>112</v>
      </c>
      <c r="G2" s="1">
        <v>393340</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1568</v>
      </c>
      <c r="D3" s="1" t="s">
        <v>824</v>
      </c>
      <c r="E3" s="1" t="s">
        <v>1569</v>
      </c>
      <c r="F3" s="1" t="s">
        <v>112</v>
      </c>
      <c r="G3" s="1">
        <v>77781</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1570</v>
      </c>
      <c r="D4" s="1" t="s">
        <v>1571</v>
      </c>
      <c r="E4" s="1" t="s">
        <v>1572</v>
      </c>
      <c r="F4" s="1" t="s">
        <v>112</v>
      </c>
      <c r="G4" s="1">
        <v>172023</v>
      </c>
      <c r="K4" s="118" t="s">
        <v>100</v>
      </c>
      <c r="L4" s="1" t="s">
        <v>1531</v>
      </c>
      <c r="M4" s="1" t="s">
        <v>1532</v>
      </c>
      <c r="N4" s="1" t="s">
        <v>1533</v>
      </c>
      <c r="O4" s="1" t="s">
        <v>1534</v>
      </c>
      <c r="P4" s="1" t="s">
        <v>1535</v>
      </c>
      <c r="Q4" s="1" t="s">
        <v>1536</v>
      </c>
      <c r="R4" s="1" t="s">
        <v>1537</v>
      </c>
      <c r="S4" s="1" t="s">
        <v>1538</v>
      </c>
      <c r="T4" s="1" t="s">
        <v>1539</v>
      </c>
      <c r="U4" s="1" t="s">
        <v>1540</v>
      </c>
      <c r="V4" s="1" t="s">
        <v>1541</v>
      </c>
      <c r="W4" s="1" t="s">
        <v>1542</v>
      </c>
      <c r="X4" s="1" t="s">
        <v>1543</v>
      </c>
      <c r="Y4" s="1" t="s">
        <v>1544</v>
      </c>
      <c r="Z4" s="1" t="s">
        <v>1545</v>
      </c>
      <c r="AA4" s="1" t="s">
        <v>1546</v>
      </c>
      <c r="AB4" s="1" t="s">
        <v>1547</v>
      </c>
      <c r="AC4" s="1" t="s">
        <v>1548</v>
      </c>
      <c r="AD4" s="1" t="s">
        <v>1549</v>
      </c>
      <c r="AE4" s="1" t="s">
        <v>1550</v>
      </c>
      <c r="AF4" s="1" t="s">
        <v>1551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1573</v>
      </c>
      <c r="D5" s="1" t="s">
        <v>1574</v>
      </c>
      <c r="E5" s="1" t="s">
        <v>1575</v>
      </c>
      <c r="F5" s="1" t="s">
        <v>112</v>
      </c>
      <c r="G5" s="1">
        <v>480660</v>
      </c>
      <c r="K5" s="145" t="s">
        <v>163</v>
      </c>
      <c r="L5" s="44">
        <v>214381.33333333334</v>
      </c>
      <c r="M5" s="44">
        <v>244821.33333333334</v>
      </c>
      <c r="N5" s="44">
        <v>149196</v>
      </c>
      <c r="O5" s="44">
        <v>503205.33333333331</v>
      </c>
      <c r="P5" s="44">
        <v>1146723.3333333333</v>
      </c>
      <c r="Q5" s="44">
        <v>679885.33333333337</v>
      </c>
      <c r="R5" s="44">
        <v>4818196</v>
      </c>
      <c r="S5" s="44">
        <v>71847.333333333328</v>
      </c>
      <c r="T5" s="44">
        <v>576624.33333333337</v>
      </c>
      <c r="U5" s="44">
        <v>189687.33333333334</v>
      </c>
      <c r="V5" s="44">
        <v>475677.33333333331</v>
      </c>
      <c r="W5" s="44">
        <v>206630.33333333334</v>
      </c>
      <c r="X5" s="44">
        <v>4401070.666666667</v>
      </c>
      <c r="Y5" s="44">
        <v>3284751.6666666665</v>
      </c>
      <c r="Z5" s="44">
        <v>2155657</v>
      </c>
      <c r="AA5" s="44">
        <v>102302.33333333333</v>
      </c>
      <c r="AB5" s="44">
        <v>258671.66666666666</v>
      </c>
      <c r="AC5" s="44">
        <v>434133.66666666669</v>
      </c>
      <c r="AD5" s="44">
        <v>27888</v>
      </c>
      <c r="AE5" s="44">
        <v>90066.666666666672</v>
      </c>
      <c r="AF5" s="44">
        <v>164755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1576</v>
      </c>
      <c r="D6" s="1" t="s">
        <v>1577</v>
      </c>
      <c r="E6" s="1" t="s">
        <v>1578</v>
      </c>
      <c r="F6" s="1" t="s">
        <v>112</v>
      </c>
      <c r="G6" s="1">
        <v>857907</v>
      </c>
      <c r="K6" s="145" t="s">
        <v>1552</v>
      </c>
      <c r="L6" s="44">
        <v>621607.33333333337</v>
      </c>
      <c r="M6" s="44">
        <v>801156.66666666663</v>
      </c>
      <c r="N6" s="44">
        <v>234244.33333333334</v>
      </c>
      <c r="O6" s="44">
        <v>393469.33333333331</v>
      </c>
      <c r="P6" s="44">
        <v>689676.33333333337</v>
      </c>
      <c r="Q6" s="44">
        <v>2364742</v>
      </c>
      <c r="R6" s="44">
        <v>2668876.3333333335</v>
      </c>
      <c r="S6" s="44">
        <v>33771.333333333336</v>
      </c>
      <c r="T6" s="44">
        <v>88343.666666666672</v>
      </c>
      <c r="U6" s="44"/>
      <c r="V6" s="44">
        <v>270417</v>
      </c>
      <c r="W6" s="44">
        <v>87421</v>
      </c>
      <c r="X6" s="44">
        <v>1021868.3333333334</v>
      </c>
      <c r="Y6" s="44">
        <v>1530805.3333333333</v>
      </c>
      <c r="Z6" s="44">
        <v>2431164</v>
      </c>
      <c r="AA6" s="44">
        <v>291888</v>
      </c>
      <c r="AB6" s="44">
        <v>480479.33333333331</v>
      </c>
      <c r="AC6" s="44">
        <v>391479.33333333331</v>
      </c>
      <c r="AD6" s="44">
        <v>64889.666666666664</v>
      </c>
      <c r="AE6" s="44">
        <v>108856</v>
      </c>
      <c r="AF6" s="44">
        <v>53728.666666666664</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1579</v>
      </c>
      <c r="D7" s="1" t="s">
        <v>1580</v>
      </c>
      <c r="E7" s="1" t="s">
        <v>1581</v>
      </c>
      <c r="F7" s="1" t="s">
        <v>112</v>
      </c>
      <c r="G7" s="1">
        <v>526255</v>
      </c>
      <c r="K7" s="145" t="s">
        <v>1553</v>
      </c>
      <c r="L7" s="44">
        <v>401602.33333333331</v>
      </c>
      <c r="M7" s="44">
        <v>153053.33333333334</v>
      </c>
      <c r="N7" s="44">
        <v>24261.333333333332</v>
      </c>
      <c r="O7" s="44">
        <v>507902.5</v>
      </c>
      <c r="P7" s="44">
        <v>107370.66666666667</v>
      </c>
      <c r="Q7" s="44">
        <v>3719029.6666666665</v>
      </c>
      <c r="R7" s="44">
        <v>3593352.6666666665</v>
      </c>
      <c r="S7" s="44">
        <v>26922.333333333332</v>
      </c>
      <c r="T7" s="44">
        <v>240849</v>
      </c>
      <c r="U7" s="44">
        <v>273964.33333333331</v>
      </c>
      <c r="V7" s="44">
        <v>561663.33333333337</v>
      </c>
      <c r="W7" s="44">
        <v>432381.5</v>
      </c>
      <c r="X7" s="44">
        <v>304202.66666666669</v>
      </c>
      <c r="Y7" s="44">
        <v>3720803.6666666665</v>
      </c>
      <c r="Z7" s="44">
        <v>4162147</v>
      </c>
      <c r="AA7" s="44">
        <v>448150</v>
      </c>
      <c r="AB7" s="44">
        <v>134992</v>
      </c>
      <c r="AC7" s="44">
        <v>88199.666666666672</v>
      </c>
      <c r="AD7" s="44">
        <v>47225.333333333336</v>
      </c>
      <c r="AE7" s="44">
        <v>76576.666666666672</v>
      </c>
      <c r="AF7" s="44">
        <v>29077.666666666668</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1582</v>
      </c>
      <c r="D8" s="1" t="s">
        <v>1583</v>
      </c>
      <c r="E8" s="1" t="s">
        <v>1584</v>
      </c>
      <c r="F8" s="1" t="s">
        <v>112</v>
      </c>
      <c r="G8" s="1">
        <v>344954</v>
      </c>
      <c r="K8" s="145" t="s">
        <v>1554</v>
      </c>
      <c r="L8" s="44">
        <v>2816183.3333333335</v>
      </c>
      <c r="M8" s="44">
        <v>419612.66666666669</v>
      </c>
      <c r="N8" s="44">
        <v>393245.66666666669</v>
      </c>
      <c r="O8" s="44">
        <v>190220.33333333334</v>
      </c>
      <c r="P8" s="44">
        <v>178280.66666666666</v>
      </c>
      <c r="Q8" s="44">
        <v>758236</v>
      </c>
      <c r="R8" s="44">
        <v>1856732</v>
      </c>
      <c r="S8" s="44">
        <v>44911</v>
      </c>
      <c r="T8" s="44">
        <v>53750.333333333336</v>
      </c>
      <c r="U8" s="44">
        <v>25948.666666666668</v>
      </c>
      <c r="V8" s="44">
        <v>31796</v>
      </c>
      <c r="W8" s="44">
        <v>293596.66666666669</v>
      </c>
      <c r="X8" s="44">
        <v>3257591.6666666665</v>
      </c>
      <c r="Y8" s="44">
        <v>4197075.5</v>
      </c>
      <c r="Z8" s="44">
        <v>1466845.6666666667</v>
      </c>
      <c r="AA8" s="44">
        <v>90773.333333333328</v>
      </c>
      <c r="AB8" s="44">
        <v>289725.33333333331</v>
      </c>
      <c r="AC8" s="44">
        <v>36367</v>
      </c>
      <c r="AD8" s="44">
        <v>30858.666666666668</v>
      </c>
      <c r="AE8" s="44">
        <v>122504.66666666667</v>
      </c>
      <c r="AF8" s="44">
        <v>14030.666666666666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1585</v>
      </c>
      <c r="D9" s="1" t="s">
        <v>399</v>
      </c>
      <c r="E9" s="1" t="s">
        <v>1586</v>
      </c>
      <c r="F9" s="1" t="s">
        <v>112</v>
      </c>
      <c r="G9" s="1">
        <v>378718</v>
      </c>
      <c r="K9" s="145" t="s">
        <v>1555</v>
      </c>
      <c r="L9" s="44">
        <v>394608.66666666669</v>
      </c>
      <c r="M9" s="44">
        <v>169081</v>
      </c>
      <c r="N9" s="44">
        <v>31154.333333333332</v>
      </c>
      <c r="O9" s="44">
        <v>281347.33333333331</v>
      </c>
      <c r="P9" s="44">
        <v>969682.33333333337</v>
      </c>
      <c r="Q9" s="44">
        <v>2291305</v>
      </c>
      <c r="R9" s="44">
        <v>4479133</v>
      </c>
      <c r="S9" s="44">
        <v>246076</v>
      </c>
      <c r="T9" s="44">
        <v>292285</v>
      </c>
      <c r="U9" s="44">
        <v>106563.33333333333</v>
      </c>
      <c r="V9" s="44">
        <v>77413.333333333328</v>
      </c>
      <c r="W9" s="44">
        <v>312789.66666666669</v>
      </c>
      <c r="X9" s="44">
        <v>112562</v>
      </c>
      <c r="Y9" s="44">
        <v>848483</v>
      </c>
      <c r="Z9" s="44">
        <v>5162241</v>
      </c>
      <c r="AA9" s="44">
        <v>10782.5</v>
      </c>
      <c r="AB9" s="44">
        <v>86793.333333333328</v>
      </c>
      <c r="AC9" s="44">
        <v>45927.666666666664</v>
      </c>
      <c r="AD9" s="44">
        <v>259263.33333333334</v>
      </c>
      <c r="AE9" s="44">
        <v>34651</v>
      </c>
      <c r="AF9" s="44">
        <v>295572.66666666669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1587</v>
      </c>
      <c r="D10" s="1" t="s">
        <v>1588</v>
      </c>
      <c r="E10" s="1" t="s">
        <v>1589</v>
      </c>
      <c r="F10" s="1" t="s">
        <v>112</v>
      </c>
      <c r="G10" s="1">
        <v>481135</v>
      </c>
      <c r="K10" s="145" t="s">
        <v>1556</v>
      </c>
      <c r="L10" s="44">
        <v>57240</v>
      </c>
      <c r="M10" s="44">
        <v>225318.66666666666</v>
      </c>
      <c r="N10" s="44">
        <v>200805</v>
      </c>
      <c r="O10" s="44">
        <v>74940.333333333328</v>
      </c>
      <c r="P10" s="44">
        <v>931369</v>
      </c>
      <c r="Q10" s="44">
        <v>2232104</v>
      </c>
      <c r="R10" s="44">
        <v>5318113.333333333</v>
      </c>
      <c r="S10" s="44">
        <v>442497</v>
      </c>
      <c r="T10" s="44">
        <v>13180</v>
      </c>
      <c r="U10" s="44">
        <v>269825.66666666669</v>
      </c>
      <c r="V10" s="44">
        <v>269595</v>
      </c>
      <c r="W10" s="44">
        <v>46504.333333333336</v>
      </c>
      <c r="X10" s="44">
        <v>4037998.6666666665</v>
      </c>
      <c r="Y10" s="44">
        <v>2803249</v>
      </c>
      <c r="Z10" s="44">
        <v>4139882.6666666665</v>
      </c>
      <c r="AA10" s="44">
        <v>19683.333333333332</v>
      </c>
      <c r="AB10" s="44">
        <v>67074.666666666672</v>
      </c>
      <c r="AC10" s="44">
        <v>36648.333333333336</v>
      </c>
      <c r="AD10" s="44">
        <v>16280.333333333334</v>
      </c>
      <c r="AE10" s="44">
        <v>45314.666666666664</v>
      </c>
      <c r="AF10" s="44">
        <v>342257.33333333331</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1590</v>
      </c>
      <c r="D11" s="1" t="s">
        <v>1591</v>
      </c>
      <c r="E11" s="1" t="s">
        <v>1592</v>
      </c>
      <c r="F11" s="1" t="s">
        <v>112</v>
      </c>
      <c r="G11" s="1">
        <v>3212083</v>
      </c>
      <c r="K11" s="145" t="s">
        <v>1557</v>
      </c>
      <c r="L11" s="44">
        <v>42495.666666666664</v>
      </c>
      <c r="M11" s="44">
        <v>249241.33333333334</v>
      </c>
      <c r="N11" s="44">
        <v>57037.666666666664</v>
      </c>
      <c r="O11" s="44">
        <v>496110.33333333331</v>
      </c>
      <c r="P11" s="44">
        <v>1502340.3333333333</v>
      </c>
      <c r="Q11" s="44">
        <v>1542442</v>
      </c>
      <c r="R11" s="44">
        <v>5159616.666666667</v>
      </c>
      <c r="S11" s="44">
        <v>332602.66666666669</v>
      </c>
      <c r="T11" s="44">
        <v>93765.5</v>
      </c>
      <c r="U11" s="44">
        <v>197474</v>
      </c>
      <c r="V11" s="44">
        <v>614905</v>
      </c>
      <c r="W11" s="44">
        <v>19784.333333333332</v>
      </c>
      <c r="X11" s="44">
        <v>2296395.3333333335</v>
      </c>
      <c r="Y11" s="44"/>
      <c r="Z11" s="44">
        <v>843025</v>
      </c>
      <c r="AA11" s="44">
        <v>86714.333333333328</v>
      </c>
      <c r="AB11" s="44">
        <v>881623.5</v>
      </c>
      <c r="AC11" s="44">
        <v>364413</v>
      </c>
      <c r="AD11" s="44">
        <v>19539</v>
      </c>
      <c r="AE11" s="44">
        <v>111610.33333333333</v>
      </c>
      <c r="AF11" s="44">
        <v>37390.666666666664</v>
      </c>
      <c r="AG11"/>
    </row>
    <row r="12" spans="1:144" x14ac:dyDescent="0.25">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1593</v>
      </c>
      <c r="D12" s="1" t="s">
        <v>1594</v>
      </c>
      <c r="E12" s="1" t="s">
        <v>1595</v>
      </c>
      <c r="F12" s="1" t="s">
        <v>112</v>
      </c>
      <c r="G12" s="1">
        <v>2577764</v>
      </c>
      <c r="K12" s="145" t="s">
        <v>1558</v>
      </c>
      <c r="L12" s="44">
        <v>12451.666666666666</v>
      </c>
      <c r="M12" s="44">
        <v>552651</v>
      </c>
      <c r="N12" s="44">
        <v>196147</v>
      </c>
      <c r="O12" s="44">
        <v>68566.666666666672</v>
      </c>
      <c r="P12" s="44">
        <v>2638703</v>
      </c>
      <c r="Q12" s="44">
        <v>2840524.3333333335</v>
      </c>
      <c r="R12" s="44">
        <v>5119861</v>
      </c>
      <c r="S12" s="44">
        <v>100456.33333333333</v>
      </c>
      <c r="T12" s="44">
        <v>389504</v>
      </c>
      <c r="U12" s="44">
        <v>42034.333333333336</v>
      </c>
      <c r="V12" s="44">
        <v>121927.66666666667</v>
      </c>
      <c r="W12" s="44">
        <v>680044</v>
      </c>
      <c r="X12" s="44">
        <v>3635113</v>
      </c>
      <c r="Y12" s="44">
        <v>1494726.6666666667</v>
      </c>
      <c r="Z12" s="44">
        <v>2740132.6666666665</v>
      </c>
      <c r="AA12" s="44">
        <v>42928</v>
      </c>
      <c r="AB12" s="44">
        <v>22675.333333333332</v>
      </c>
      <c r="AC12" s="44">
        <v>697347.66666666663</v>
      </c>
      <c r="AD12" s="44">
        <v>41400</v>
      </c>
      <c r="AE12" s="44">
        <v>84558.333333333328</v>
      </c>
      <c r="AF12" s="44">
        <v>34319.333333333336</v>
      </c>
      <c r="AG12"/>
    </row>
    <row r="13" spans="1:144" x14ac:dyDescent="0.25">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1596</v>
      </c>
      <c r="D13" s="1" t="s">
        <v>1597</v>
      </c>
      <c r="E13" s="1" t="s">
        <v>1598</v>
      </c>
      <c r="F13" s="1" t="s">
        <v>112</v>
      </c>
      <c r="G13" s="1">
        <v>2658703</v>
      </c>
      <c r="K13"/>
      <c r="L13"/>
      <c r="M13"/>
      <c r="N13"/>
      <c r="O13"/>
      <c r="P13"/>
      <c r="Q13"/>
      <c r="R13"/>
      <c r="S13"/>
      <c r="T13"/>
      <c r="U13"/>
      <c r="V13"/>
      <c r="W13"/>
      <c r="X13"/>
      <c r="Y13"/>
      <c r="Z13"/>
      <c r="AA13"/>
      <c r="AB13"/>
      <c r="AC13"/>
      <c r="AD13"/>
      <c r="AE13"/>
      <c r="AF13"/>
      <c r="AG13"/>
    </row>
    <row r="14" spans="1:144" x14ac:dyDescent="0.25">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1599</v>
      </c>
      <c r="D14" s="1" t="s">
        <v>1379</v>
      </c>
      <c r="E14" s="1" t="s">
        <v>1600</v>
      </c>
      <c r="F14" s="1" t="s">
        <v>112</v>
      </c>
      <c r="G14" s="1">
        <v>392842</v>
      </c>
      <c r="K14"/>
      <c r="L14"/>
      <c r="M14"/>
      <c r="N14"/>
      <c r="O14"/>
      <c r="P14"/>
      <c r="Q14"/>
      <c r="R14"/>
      <c r="S14"/>
      <c r="T14"/>
      <c r="U14"/>
      <c r="V14"/>
      <c r="W14"/>
      <c r="X14"/>
      <c r="Y14"/>
      <c r="Z14"/>
      <c r="AA14"/>
      <c r="AB14"/>
      <c r="AC14"/>
      <c r="AD14"/>
      <c r="AE14"/>
      <c r="AF14"/>
      <c r="AG14"/>
    </row>
    <row r="15" spans="1:144" x14ac:dyDescent="0.25">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1601</v>
      </c>
      <c r="D15" s="1" t="s">
        <v>1602</v>
      </c>
      <c r="E15" s="1" t="s">
        <v>1603</v>
      </c>
      <c r="F15" s="1" t="s">
        <v>112</v>
      </c>
      <c r="G15" s="1">
        <v>412785</v>
      </c>
    </row>
    <row r="16" spans="1:144" x14ac:dyDescent="0.25">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1604</v>
      </c>
      <c r="D16" s="1" t="s">
        <v>885</v>
      </c>
      <c r="E16" s="1" t="s">
        <v>1605</v>
      </c>
      <c r="F16" s="1" t="s">
        <v>112</v>
      </c>
      <c r="G16" s="1">
        <v>378199</v>
      </c>
    </row>
    <row r="17" spans="1:10" x14ac:dyDescent="0.25">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1606</v>
      </c>
      <c r="D17" s="1" t="s">
        <v>1218</v>
      </c>
      <c r="E17" s="1" t="s">
        <v>1413</v>
      </c>
      <c r="F17" s="1" t="s">
        <v>112</v>
      </c>
      <c r="G17" s="1">
        <v>35711</v>
      </c>
    </row>
    <row r="18" spans="1:10" x14ac:dyDescent="0.25">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1607</v>
      </c>
      <c r="D18" s="1" t="s">
        <v>186</v>
      </c>
      <c r="E18" s="1" t="s">
        <v>368</v>
      </c>
      <c r="F18" s="1" t="s">
        <v>112</v>
      </c>
      <c r="G18" s="1">
        <v>19099</v>
      </c>
    </row>
    <row r="19" spans="1:10" x14ac:dyDescent="0.25">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1608</v>
      </c>
      <c r="D19" s="1" t="s">
        <v>1609</v>
      </c>
      <c r="E19" s="1" t="s">
        <v>1610</v>
      </c>
      <c r="F19" s="1" t="s">
        <v>112</v>
      </c>
      <c r="G19" s="1">
        <v>116910</v>
      </c>
    </row>
    <row r="20" spans="1:10" x14ac:dyDescent="0.25">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1611</v>
      </c>
      <c r="D20" s="1" t="s">
        <v>688</v>
      </c>
      <c r="E20" s="1" t="s">
        <v>1612</v>
      </c>
      <c r="F20" s="1" t="s">
        <v>112</v>
      </c>
      <c r="G20" s="1">
        <v>93420</v>
      </c>
    </row>
    <row r="21" spans="1:10" x14ac:dyDescent="0.25">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1613</v>
      </c>
      <c r="D21" s="1" t="s">
        <v>1269</v>
      </c>
      <c r="E21" s="1" t="s">
        <v>1413</v>
      </c>
      <c r="F21" s="1" t="s">
        <v>112</v>
      </c>
      <c r="G21" s="1">
        <v>21976</v>
      </c>
    </row>
    <row r="22" spans="1:10" x14ac:dyDescent="0.25">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1614</v>
      </c>
      <c r="D22" s="1" t="s">
        <v>278</v>
      </c>
      <c r="E22" s="1" t="s">
        <v>1615</v>
      </c>
      <c r="F22" s="1" t="s">
        <v>112</v>
      </c>
      <c r="G22" s="1">
        <v>12091</v>
      </c>
    </row>
    <row r="23" spans="1:10" x14ac:dyDescent="0.25">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1616</v>
      </c>
      <c r="D23" s="1" t="s">
        <v>784</v>
      </c>
      <c r="E23" s="1" t="s">
        <v>1617</v>
      </c>
      <c r="F23" s="1" t="s">
        <v>112</v>
      </c>
      <c r="G23" s="1">
        <v>25004</v>
      </c>
    </row>
    <row r="24" spans="1:10" x14ac:dyDescent="0.25">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1618</v>
      </c>
      <c r="D24" s="1" t="s">
        <v>206</v>
      </c>
      <c r="E24" s="1" t="s">
        <v>291</v>
      </c>
      <c r="F24" s="1" t="s">
        <v>112</v>
      </c>
      <c r="G24" s="1">
        <v>8263</v>
      </c>
    </row>
    <row r="25" spans="1:10" x14ac:dyDescent="0.25">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1619</v>
      </c>
      <c r="D25" s="1" t="s">
        <v>1620</v>
      </c>
      <c r="E25" s="1">
        <v>63</v>
      </c>
      <c r="F25" s="1" t="s">
        <v>112</v>
      </c>
      <c r="G25" s="1">
        <v>4088</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236</v>
      </c>
      <c r="D27" s="1" t="s">
        <v>112</v>
      </c>
      <c r="E27" s="1" t="s">
        <v>237</v>
      </c>
      <c r="F27" s="1" t="s">
        <v>238</v>
      </c>
      <c r="G27" s="1" t="s">
        <v>239</v>
      </c>
      <c r="H27" s="1" t="s">
        <v>240</v>
      </c>
      <c r="I27" s="1" t="s">
        <v>241</v>
      </c>
      <c r="J27" s="1" t="s">
        <v>242</v>
      </c>
    </row>
    <row r="28" spans="1:10" x14ac:dyDescent="0.25">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1621</v>
      </c>
      <c r="D28" s="1" t="s">
        <v>112</v>
      </c>
      <c r="E28" s="1" t="s">
        <v>1622</v>
      </c>
      <c r="F28" s="1" t="s">
        <v>1623</v>
      </c>
      <c r="G28" s="1" t="s">
        <v>1624</v>
      </c>
      <c r="H28" s="1" t="s">
        <v>1625</v>
      </c>
      <c r="I28" s="1">
        <v>24</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248</v>
      </c>
      <c r="D34" s="1" t="s">
        <v>110</v>
      </c>
      <c r="E34" s="1" t="s">
        <v>111</v>
      </c>
      <c r="F34" s="1" t="s">
        <v>112</v>
      </c>
      <c r="G34" s="1" t="s">
        <v>113</v>
      </c>
    </row>
    <row r="35" spans="1:7" x14ac:dyDescent="0.25">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1626</v>
      </c>
      <c r="D35" s="1" t="s">
        <v>1627</v>
      </c>
      <c r="E35" s="1" t="s">
        <v>1628</v>
      </c>
      <c r="F35" s="1" t="s">
        <v>112</v>
      </c>
      <c r="G35" s="1">
        <v>263430</v>
      </c>
    </row>
    <row r="36" spans="1:7" x14ac:dyDescent="0.25">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1629</v>
      </c>
      <c r="D36" s="1" t="s">
        <v>1630</v>
      </c>
      <c r="E36" s="1" t="s">
        <v>1631</v>
      </c>
      <c r="F36" s="1" t="s">
        <v>112</v>
      </c>
      <c r="G36" s="1">
        <v>355401</v>
      </c>
    </row>
    <row r="37" spans="1:7" x14ac:dyDescent="0.25">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1632</v>
      </c>
      <c r="D37" s="1" t="s">
        <v>807</v>
      </c>
      <c r="E37" s="1" t="s">
        <v>1633</v>
      </c>
      <c r="F37" s="1" t="s">
        <v>112</v>
      </c>
      <c r="G37" s="1">
        <v>115633</v>
      </c>
    </row>
    <row r="38" spans="1:7" x14ac:dyDescent="0.25">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1634</v>
      </c>
      <c r="D38" s="1" t="s">
        <v>1635</v>
      </c>
      <c r="E38" s="1" t="s">
        <v>1636</v>
      </c>
      <c r="F38" s="1" t="s">
        <v>112</v>
      </c>
      <c r="G38" s="1">
        <v>982473</v>
      </c>
    </row>
    <row r="39" spans="1:7" x14ac:dyDescent="0.25">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1637</v>
      </c>
      <c r="D39" s="1" t="s">
        <v>1638</v>
      </c>
      <c r="E39" s="1" t="s">
        <v>1639</v>
      </c>
      <c r="F39" s="1" t="s">
        <v>112</v>
      </c>
      <c r="G39" s="1">
        <v>817307</v>
      </c>
    </row>
    <row r="40" spans="1:7" x14ac:dyDescent="0.25">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1640</v>
      </c>
      <c r="D40" s="1" t="s">
        <v>1641</v>
      </c>
      <c r="E40" s="1" t="s">
        <v>1642</v>
      </c>
      <c r="F40" s="1" t="s">
        <v>112</v>
      </c>
      <c r="G40" s="1">
        <v>603690</v>
      </c>
    </row>
    <row r="41" spans="1:7" x14ac:dyDescent="0.25">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1643</v>
      </c>
      <c r="D41" s="1" t="s">
        <v>878</v>
      </c>
      <c r="E41" s="1" t="s">
        <v>1644</v>
      </c>
      <c r="F41" s="1" t="s">
        <v>112</v>
      </c>
      <c r="G41" s="1">
        <v>104862</v>
      </c>
    </row>
    <row r="42" spans="1:7" x14ac:dyDescent="0.25">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1645</v>
      </c>
      <c r="D42" s="1" t="s">
        <v>1646</v>
      </c>
      <c r="E42" s="1" t="s">
        <v>1647</v>
      </c>
      <c r="F42" s="1" t="s">
        <v>112</v>
      </c>
      <c r="G42" s="1">
        <v>242428</v>
      </c>
    </row>
    <row r="43" spans="1:7" x14ac:dyDescent="0.25">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1648</v>
      </c>
      <c r="D43" s="1" t="s">
        <v>424</v>
      </c>
      <c r="E43" s="1" t="s">
        <v>1649</v>
      </c>
      <c r="F43" s="1" t="s">
        <v>112</v>
      </c>
      <c r="G43" s="1">
        <v>111870</v>
      </c>
    </row>
    <row r="44" spans="1:7" x14ac:dyDescent="0.25">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1650</v>
      </c>
      <c r="D44" s="1" t="s">
        <v>759</v>
      </c>
      <c r="E44" s="1" t="s">
        <v>1651</v>
      </c>
      <c r="F44" s="1" t="s">
        <v>112</v>
      </c>
      <c r="G44" s="1">
        <v>396627</v>
      </c>
    </row>
    <row r="45" spans="1:7" x14ac:dyDescent="0.25">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1652</v>
      </c>
      <c r="D45" s="1" t="s">
        <v>1653</v>
      </c>
      <c r="E45" s="1" t="s">
        <v>1654</v>
      </c>
      <c r="F45" s="1" t="s">
        <v>112</v>
      </c>
      <c r="G45" s="1">
        <v>278896</v>
      </c>
    </row>
    <row r="46" spans="1:7" x14ac:dyDescent="0.25">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1655</v>
      </c>
      <c r="D46" s="1" t="s">
        <v>1656</v>
      </c>
      <c r="E46" s="1" t="s">
        <v>1657</v>
      </c>
      <c r="F46" s="1" t="s">
        <v>112</v>
      </c>
      <c r="G46" s="1">
        <v>583315</v>
      </c>
    </row>
    <row r="47" spans="1:7" x14ac:dyDescent="0.25">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1658</v>
      </c>
      <c r="D47" s="1" t="s">
        <v>1659</v>
      </c>
      <c r="E47" s="1" t="s">
        <v>1660</v>
      </c>
      <c r="F47" s="1" t="s">
        <v>112</v>
      </c>
      <c r="G47" s="1">
        <v>435410</v>
      </c>
    </row>
    <row r="48" spans="1:7" x14ac:dyDescent="0.25">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1661</v>
      </c>
      <c r="D48" s="1" t="s">
        <v>301</v>
      </c>
      <c r="E48" s="1" t="s">
        <v>1662</v>
      </c>
      <c r="F48" s="1" t="s">
        <v>112</v>
      </c>
      <c r="G48" s="1">
        <v>58422</v>
      </c>
    </row>
    <row r="49" spans="1:10" x14ac:dyDescent="0.25">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1663</v>
      </c>
      <c r="D49" s="1" t="s">
        <v>353</v>
      </c>
      <c r="E49" s="1">
        <v>62</v>
      </c>
      <c r="F49" s="1" t="s">
        <v>112</v>
      </c>
      <c r="G49" s="1">
        <v>13411</v>
      </c>
    </row>
    <row r="50" spans="1:10" x14ac:dyDescent="0.25">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1664</v>
      </c>
      <c r="D50" s="1" t="s">
        <v>313</v>
      </c>
      <c r="E50" s="1" t="s">
        <v>1665</v>
      </c>
      <c r="F50" s="1" t="s">
        <v>112</v>
      </c>
      <c r="G50" s="1">
        <v>382157</v>
      </c>
    </row>
    <row r="51" spans="1:10" x14ac:dyDescent="0.25">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1666</v>
      </c>
      <c r="D51" s="1" t="s">
        <v>1667</v>
      </c>
      <c r="E51" s="1" t="s">
        <v>1668</v>
      </c>
      <c r="F51" s="1" t="s">
        <v>112</v>
      </c>
      <c r="G51" s="1">
        <v>150133</v>
      </c>
    </row>
    <row r="52" spans="1:10" x14ac:dyDescent="0.25">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1669</v>
      </c>
      <c r="D52" s="1" t="s">
        <v>701</v>
      </c>
      <c r="E52" s="1" t="s">
        <v>1670</v>
      </c>
      <c r="F52" s="1" t="s">
        <v>112</v>
      </c>
      <c r="G52" s="1">
        <v>143666</v>
      </c>
    </row>
    <row r="53" spans="1:10" x14ac:dyDescent="0.25">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1671</v>
      </c>
      <c r="D53" s="1" t="s">
        <v>696</v>
      </c>
      <c r="E53" s="1" t="s">
        <v>1672</v>
      </c>
      <c r="F53" s="1" t="s">
        <v>112</v>
      </c>
      <c r="G53" s="1">
        <v>481590</v>
      </c>
    </row>
    <row r="54" spans="1:10" x14ac:dyDescent="0.25">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1673</v>
      </c>
      <c r="D54" s="1" t="s">
        <v>293</v>
      </c>
      <c r="E54" s="1" t="s">
        <v>1674</v>
      </c>
      <c r="F54" s="1" t="s">
        <v>112</v>
      </c>
      <c r="G54" s="1">
        <v>33202</v>
      </c>
    </row>
    <row r="55" spans="1:10" x14ac:dyDescent="0.25">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1675</v>
      </c>
      <c r="D55" s="1" t="s">
        <v>1676</v>
      </c>
      <c r="E55" s="1" t="s">
        <v>1677</v>
      </c>
      <c r="F55" s="1" t="s">
        <v>112</v>
      </c>
      <c r="G55" s="1">
        <v>232932</v>
      </c>
    </row>
    <row r="56" spans="1:10" x14ac:dyDescent="0.25">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1678</v>
      </c>
      <c r="D56" s="1" t="s">
        <v>1679</v>
      </c>
      <c r="E56" s="1" t="s">
        <v>1680</v>
      </c>
      <c r="F56" s="1" t="s">
        <v>112</v>
      </c>
      <c r="G56" s="1">
        <v>657657</v>
      </c>
    </row>
    <row r="57" spans="1:10" x14ac:dyDescent="0.25">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1681</v>
      </c>
      <c r="D57" s="1" t="s">
        <v>1682</v>
      </c>
      <c r="E57" s="1" t="s">
        <v>1683</v>
      </c>
      <c r="F57" s="1" t="s">
        <v>112</v>
      </c>
      <c r="G57" s="1">
        <v>408437</v>
      </c>
    </row>
    <row r="58" spans="1:10" x14ac:dyDescent="0.25">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1684</v>
      </c>
      <c r="D58" s="1" t="s">
        <v>1685</v>
      </c>
      <c r="E58" s="1" t="s">
        <v>1686</v>
      </c>
      <c r="F58" s="1" t="s">
        <v>112</v>
      </c>
      <c r="G58" s="1">
        <v>591859</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236</v>
      </c>
      <c r="D60" s="1" t="s">
        <v>112</v>
      </c>
      <c r="E60" s="1" t="s">
        <v>237</v>
      </c>
      <c r="F60" s="1" t="s">
        <v>238</v>
      </c>
      <c r="G60" s="1" t="s">
        <v>239</v>
      </c>
      <c r="H60" s="1" t="s">
        <v>240</v>
      </c>
      <c r="I60" s="1" t="s">
        <v>241</v>
      </c>
      <c r="J60" s="1" t="s">
        <v>242</v>
      </c>
    </row>
    <row r="61" spans="1:10" x14ac:dyDescent="0.25">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1687</v>
      </c>
      <c r="D61" s="1" t="s">
        <v>112</v>
      </c>
      <c r="E61" s="1" t="s">
        <v>1688</v>
      </c>
      <c r="F61" s="1" t="s">
        <v>1689</v>
      </c>
      <c r="G61" s="1">
        <v>351867</v>
      </c>
      <c r="H61" s="1" t="s">
        <v>1690</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248</v>
      </c>
      <c r="D67" s="1" t="s">
        <v>110</v>
      </c>
      <c r="E67" s="1" t="s">
        <v>111</v>
      </c>
      <c r="F67" s="1" t="s">
        <v>112</v>
      </c>
      <c r="G67" s="1" t="s">
        <v>113</v>
      </c>
    </row>
    <row r="68" spans="1:7" x14ac:dyDescent="0.25">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1691</v>
      </c>
      <c r="D68" s="1" t="s">
        <v>1511</v>
      </c>
      <c r="E68" s="1" t="s">
        <v>1692</v>
      </c>
      <c r="F68" s="1" t="s">
        <v>112</v>
      </c>
      <c r="G68" s="1">
        <v>148814</v>
      </c>
    </row>
    <row r="69" spans="1:7" x14ac:dyDescent="0.25">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1693</v>
      </c>
      <c r="D69" s="1" t="s">
        <v>339</v>
      </c>
      <c r="E69" s="1" t="s">
        <v>1694</v>
      </c>
      <c r="F69" s="1" t="s">
        <v>112</v>
      </c>
      <c r="G69" s="1">
        <v>93852</v>
      </c>
    </row>
    <row r="70" spans="1:7" x14ac:dyDescent="0.25">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1695</v>
      </c>
      <c r="D70" s="1" t="s">
        <v>1696</v>
      </c>
      <c r="E70" s="1" t="s">
        <v>1697</v>
      </c>
      <c r="F70" s="1" t="s">
        <v>112</v>
      </c>
      <c r="G70" s="1">
        <v>204922</v>
      </c>
    </row>
    <row r="71" spans="1:7" x14ac:dyDescent="0.25">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1698</v>
      </c>
      <c r="D71" s="1" t="s">
        <v>894</v>
      </c>
      <c r="E71" s="1" t="s">
        <v>1699</v>
      </c>
      <c r="F71" s="1" t="s">
        <v>112</v>
      </c>
      <c r="G71" s="1">
        <v>285644</v>
      </c>
    </row>
    <row r="72" spans="1:7" x14ac:dyDescent="0.25">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1700</v>
      </c>
      <c r="D72" s="1" t="s">
        <v>581</v>
      </c>
      <c r="E72" s="1" t="s">
        <v>1701</v>
      </c>
      <c r="F72" s="1" t="s">
        <v>112</v>
      </c>
      <c r="G72" s="1">
        <v>207820</v>
      </c>
    </row>
    <row r="73" spans="1:7" x14ac:dyDescent="0.25">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1702</v>
      </c>
      <c r="D73" s="1" t="s">
        <v>1703</v>
      </c>
      <c r="E73" s="1" t="s">
        <v>862</v>
      </c>
      <c r="F73" s="1" t="s">
        <v>112</v>
      </c>
      <c r="G73" s="1">
        <v>209269</v>
      </c>
    </row>
    <row r="74" spans="1:7" x14ac:dyDescent="0.25">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1704</v>
      </c>
      <c r="D74" s="1" t="s">
        <v>1325</v>
      </c>
      <c r="E74" s="1" t="s">
        <v>1507</v>
      </c>
      <c r="F74" s="1" t="s">
        <v>112</v>
      </c>
      <c r="G74" s="1">
        <v>37571</v>
      </c>
    </row>
    <row r="75" spans="1:7" x14ac:dyDescent="0.25">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1705</v>
      </c>
      <c r="D75" s="1" t="s">
        <v>271</v>
      </c>
      <c r="E75" s="1" t="s">
        <v>1288</v>
      </c>
      <c r="F75" s="1" t="s">
        <v>112</v>
      </c>
      <c r="G75" s="1">
        <v>15119</v>
      </c>
    </row>
    <row r="76" spans="1:7" x14ac:dyDescent="0.25">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1706</v>
      </c>
      <c r="D76" s="1" t="s">
        <v>175</v>
      </c>
      <c r="E76" s="1" t="s">
        <v>1707</v>
      </c>
      <c r="F76" s="1" t="s">
        <v>112</v>
      </c>
      <c r="G76" s="1">
        <v>20094</v>
      </c>
    </row>
    <row r="77" spans="1:7" x14ac:dyDescent="0.25">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1708</v>
      </c>
      <c r="D77" s="1" t="s">
        <v>967</v>
      </c>
      <c r="E77" s="1" t="s">
        <v>1709</v>
      </c>
      <c r="F77" s="1" t="s">
        <v>112</v>
      </c>
      <c r="G77" s="1">
        <v>176175</v>
      </c>
    </row>
    <row r="78" spans="1:7" x14ac:dyDescent="0.25">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1710</v>
      </c>
      <c r="D78" s="1" t="s">
        <v>1248</v>
      </c>
      <c r="E78" s="1" t="s">
        <v>1711</v>
      </c>
      <c r="F78" s="1" t="s">
        <v>112</v>
      </c>
      <c r="G78" s="1">
        <v>500321</v>
      </c>
    </row>
    <row r="79" spans="1:7" x14ac:dyDescent="0.25">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1712</v>
      </c>
      <c r="D79" s="1" t="s">
        <v>1713</v>
      </c>
      <c r="E79" s="1" t="s">
        <v>1714</v>
      </c>
      <c r="F79" s="1" t="s">
        <v>112</v>
      </c>
      <c r="G79" s="1">
        <v>503241</v>
      </c>
    </row>
    <row r="80" spans="1:7" x14ac:dyDescent="0.25">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1715</v>
      </c>
      <c r="D80" s="1" t="s">
        <v>745</v>
      </c>
      <c r="E80" s="1" t="s">
        <v>1716</v>
      </c>
      <c r="F80" s="1" t="s">
        <v>112</v>
      </c>
      <c r="G80" s="1">
        <v>39929</v>
      </c>
    </row>
    <row r="81" spans="1:10" x14ac:dyDescent="0.25">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1717</v>
      </c>
      <c r="D81" s="1" t="s">
        <v>214</v>
      </c>
      <c r="E81" s="1" t="s">
        <v>1718</v>
      </c>
      <c r="F81" s="1" t="s">
        <v>112</v>
      </c>
      <c r="G81" s="1">
        <v>42286</v>
      </c>
    </row>
    <row r="82" spans="1:10" x14ac:dyDescent="0.25">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1719</v>
      </c>
      <c r="D82" s="1" t="s">
        <v>268</v>
      </c>
      <c r="E82" s="1">
        <v>65</v>
      </c>
      <c r="F82" s="1" t="s">
        <v>112</v>
      </c>
      <c r="G82" s="1">
        <v>11248</v>
      </c>
    </row>
    <row r="83" spans="1:10" x14ac:dyDescent="0.25">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1720</v>
      </c>
      <c r="D83" s="1" t="s">
        <v>1571</v>
      </c>
      <c r="E83" s="1" t="s">
        <v>1721</v>
      </c>
      <c r="F83" s="1" t="s">
        <v>112</v>
      </c>
      <c r="G83" s="1">
        <v>172434</v>
      </c>
    </row>
    <row r="84" spans="1:10" x14ac:dyDescent="0.25">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1722</v>
      </c>
      <c r="D84" s="1" t="s">
        <v>1723</v>
      </c>
      <c r="E84" s="1" t="s">
        <v>1724</v>
      </c>
      <c r="F84" s="1" t="s">
        <v>112</v>
      </c>
      <c r="G84" s="1">
        <v>217164</v>
      </c>
    </row>
    <row r="85" spans="1:10" x14ac:dyDescent="0.25">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1725</v>
      </c>
      <c r="D85" s="1" t="s">
        <v>581</v>
      </c>
      <c r="E85" s="1" t="s">
        <v>1726</v>
      </c>
      <c r="F85" s="1" t="s">
        <v>112</v>
      </c>
      <c r="G85" s="1">
        <v>212817</v>
      </c>
    </row>
    <row r="86" spans="1:10" x14ac:dyDescent="0.25">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1727</v>
      </c>
      <c r="D86" s="1" t="s">
        <v>503</v>
      </c>
      <c r="E86" s="1" t="s">
        <v>1728</v>
      </c>
      <c r="F86" s="1" t="s">
        <v>112</v>
      </c>
      <c r="G86" s="1">
        <v>72979</v>
      </c>
    </row>
    <row r="87" spans="1:10" x14ac:dyDescent="0.25">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1729</v>
      </c>
      <c r="D87" s="1" t="s">
        <v>922</v>
      </c>
      <c r="E87" s="1" t="s">
        <v>1730</v>
      </c>
      <c r="F87" s="1" t="s">
        <v>112</v>
      </c>
      <c r="G87" s="1">
        <v>62510</v>
      </c>
    </row>
    <row r="88" spans="1:10" x14ac:dyDescent="0.25">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1731</v>
      </c>
      <c r="D88" s="1" t="s">
        <v>1218</v>
      </c>
      <c r="E88" s="1" t="s">
        <v>1732</v>
      </c>
      <c r="F88" s="1" t="s">
        <v>112</v>
      </c>
      <c r="G88" s="1">
        <v>35624</v>
      </c>
    </row>
    <row r="89" spans="1:10" x14ac:dyDescent="0.25">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1733</v>
      </c>
      <c r="D89" s="1" t="s">
        <v>784</v>
      </c>
      <c r="E89" s="1" t="s">
        <v>1734</v>
      </c>
      <c r="F89" s="1" t="s">
        <v>112</v>
      </c>
      <c r="G89" s="1">
        <v>24290</v>
      </c>
    </row>
    <row r="90" spans="1:10" x14ac:dyDescent="0.25">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1735</v>
      </c>
      <c r="D90" s="1" t="s">
        <v>1736</v>
      </c>
      <c r="E90" s="1" t="s">
        <v>1737</v>
      </c>
      <c r="F90" s="1" t="s">
        <v>112</v>
      </c>
      <c r="G90" s="1">
        <v>340455</v>
      </c>
    </row>
    <row r="91" spans="1:10" x14ac:dyDescent="0.25">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1738</v>
      </c>
      <c r="D91" s="1" t="s">
        <v>1739</v>
      </c>
      <c r="E91" s="1" t="s">
        <v>1740</v>
      </c>
      <c r="F91" s="1" t="s">
        <v>112</v>
      </c>
      <c r="G91" s="1">
        <v>223696</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236</v>
      </c>
      <c r="D93" s="1" t="s">
        <v>112</v>
      </c>
      <c r="E93" s="1" t="s">
        <v>237</v>
      </c>
      <c r="F93" s="1" t="s">
        <v>238</v>
      </c>
      <c r="G93" s="1" t="s">
        <v>239</v>
      </c>
      <c r="H93" s="1" t="s">
        <v>240</v>
      </c>
      <c r="I93" s="1" t="s">
        <v>241</v>
      </c>
      <c r="J93" s="1" t="s">
        <v>242</v>
      </c>
    </row>
    <row r="94" spans="1:10" x14ac:dyDescent="0.25">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1741</v>
      </c>
      <c r="D94" s="1" t="s">
        <v>112</v>
      </c>
      <c r="E94" s="1" t="s">
        <v>1742</v>
      </c>
      <c r="F94" s="1" t="s">
        <v>1743</v>
      </c>
      <c r="G94" s="1" t="s">
        <v>1744</v>
      </c>
      <c r="H94" s="1" t="s">
        <v>1745</v>
      </c>
      <c r="I94" s="1">
        <v>24</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248</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1746</v>
      </c>
      <c r="D101" s="1" t="s">
        <v>1747</v>
      </c>
      <c r="E101" s="1" t="s">
        <v>1748</v>
      </c>
      <c r="F101" s="1" t="s">
        <v>112</v>
      </c>
      <c r="G101" s="1">
        <v>610266</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1749</v>
      </c>
      <c r="D102" s="1" t="s">
        <v>1361</v>
      </c>
      <c r="E102" s="1" t="s">
        <v>1750</v>
      </c>
      <c r="F102" s="1" t="s">
        <v>112</v>
      </c>
      <c r="G102" s="1">
        <v>376144</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1751</v>
      </c>
      <c r="D103" s="1" t="s">
        <v>1752</v>
      </c>
      <c r="E103" s="1" t="s">
        <v>1753</v>
      </c>
      <c r="F103" s="1" t="s">
        <v>112</v>
      </c>
      <c r="G103" s="1">
        <v>523206</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1754</v>
      </c>
      <c r="D104" s="1" t="s">
        <v>497</v>
      </c>
      <c r="E104" s="1" t="s">
        <v>1755</v>
      </c>
      <c r="F104" s="1" t="s">
        <v>112</v>
      </c>
      <c r="G104" s="1">
        <v>693519</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1756</v>
      </c>
      <c r="D105" s="1" t="s">
        <v>1739</v>
      </c>
      <c r="E105" s="1" t="s">
        <v>1757</v>
      </c>
      <c r="F105" s="1" t="s">
        <v>112</v>
      </c>
      <c r="G105" s="1">
        <v>223069</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1758</v>
      </c>
      <c r="D106" s="1" t="s">
        <v>203</v>
      </c>
      <c r="E106" s="1" t="s">
        <v>1759</v>
      </c>
      <c r="F106" s="1" t="s">
        <v>112</v>
      </c>
      <c r="G106" s="1">
        <v>263820</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1760</v>
      </c>
      <c r="D107" s="1" t="s">
        <v>1761</v>
      </c>
      <c r="E107" s="1" t="s">
        <v>1762</v>
      </c>
      <c r="F107" s="1" t="s">
        <v>112</v>
      </c>
      <c r="G107" s="1">
        <v>423081</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1763</v>
      </c>
      <c r="D108" s="1" t="s">
        <v>1764</v>
      </c>
      <c r="E108" s="1" t="s">
        <v>1765</v>
      </c>
      <c r="F108" s="1" t="s">
        <v>112</v>
      </c>
      <c r="G108" s="1">
        <v>592724</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1766</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1767</v>
      </c>
      <c r="D110" s="1" t="s">
        <v>781</v>
      </c>
      <c r="E110" s="1" t="s">
        <v>1768</v>
      </c>
      <c r="F110" s="1" t="s">
        <v>112</v>
      </c>
      <c r="G110" s="1">
        <v>239421</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1769</v>
      </c>
      <c r="D111" s="1" t="s">
        <v>878</v>
      </c>
      <c r="E111" s="1" t="s">
        <v>1770</v>
      </c>
      <c r="F111" s="1" t="s">
        <v>112</v>
      </c>
      <c r="G111" s="1">
        <v>103196</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1771</v>
      </c>
      <c r="D112" s="1" t="s">
        <v>150</v>
      </c>
      <c r="E112" s="1" t="s">
        <v>1772</v>
      </c>
      <c r="F112" s="1" t="s">
        <v>112</v>
      </c>
      <c r="G112" s="1">
        <v>228044</v>
      </c>
    </row>
    <row r="113" spans="1:10"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1773</v>
      </c>
      <c r="D113" s="1" t="s">
        <v>396</v>
      </c>
      <c r="E113" s="1" t="s">
        <v>1774</v>
      </c>
      <c r="F113" s="1" t="s">
        <v>112</v>
      </c>
      <c r="G113" s="1">
        <v>280194</v>
      </c>
    </row>
    <row r="114" spans="1:10"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1775</v>
      </c>
      <c r="D114" s="1" t="s">
        <v>1776</v>
      </c>
      <c r="E114" s="1" t="s">
        <v>1777</v>
      </c>
      <c r="F114" s="1" t="s">
        <v>112</v>
      </c>
      <c r="G114" s="1">
        <v>303251</v>
      </c>
    </row>
    <row r="115" spans="1:10"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1778</v>
      </c>
      <c r="D115" s="1" t="s">
        <v>1653</v>
      </c>
      <c r="E115" s="1" t="s">
        <v>1779</v>
      </c>
      <c r="F115" s="1" t="s">
        <v>112</v>
      </c>
      <c r="G115" s="1">
        <v>260597</v>
      </c>
    </row>
    <row r="116" spans="1:10"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1780</v>
      </c>
      <c r="D116" s="1" t="s">
        <v>424</v>
      </c>
      <c r="E116" s="1" t="s">
        <v>1781</v>
      </c>
      <c r="F116" s="1" t="s">
        <v>112</v>
      </c>
      <c r="G116" s="1">
        <v>107955</v>
      </c>
    </row>
    <row r="117" spans="1:10"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1782</v>
      </c>
      <c r="D117" s="1" t="s">
        <v>819</v>
      </c>
      <c r="E117" s="1" t="s">
        <v>1783</v>
      </c>
      <c r="F117" s="1" t="s">
        <v>112</v>
      </c>
      <c r="G117" s="1">
        <v>67939</v>
      </c>
    </row>
    <row r="118" spans="1:10"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1784</v>
      </c>
      <c r="D118" s="1" t="s">
        <v>1430</v>
      </c>
      <c r="E118" s="1" t="s">
        <v>981</v>
      </c>
      <c r="F118" s="1" t="s">
        <v>112</v>
      </c>
      <c r="G118" s="1">
        <v>48927</v>
      </c>
    </row>
    <row r="119" spans="1:10"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1785</v>
      </c>
      <c r="D119" s="1" t="s">
        <v>1786</v>
      </c>
      <c r="E119" s="1" t="s">
        <v>1787</v>
      </c>
      <c r="F119" s="1" t="s">
        <v>112</v>
      </c>
      <c r="G119" s="1">
        <v>486759</v>
      </c>
    </row>
    <row r="120" spans="1:10"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1788</v>
      </c>
      <c r="D120" s="1" t="s">
        <v>1789</v>
      </c>
      <c r="E120" s="1" t="s">
        <v>1790</v>
      </c>
      <c r="F120" s="1" t="s">
        <v>112</v>
      </c>
      <c r="G120" s="1">
        <v>520523</v>
      </c>
    </row>
    <row r="121" spans="1:10"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1791</v>
      </c>
      <c r="D121" s="1" t="s">
        <v>1713</v>
      </c>
      <c r="E121" s="1" t="s">
        <v>1792</v>
      </c>
      <c r="F121" s="1" t="s">
        <v>112</v>
      </c>
      <c r="G121" s="1">
        <v>481049</v>
      </c>
    </row>
    <row r="122" spans="1:10"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1793</v>
      </c>
      <c r="D122" s="1" t="s">
        <v>333</v>
      </c>
      <c r="E122" s="1" t="s">
        <v>1794</v>
      </c>
      <c r="F122" s="1" t="s">
        <v>112</v>
      </c>
      <c r="G122" s="1">
        <v>64565</v>
      </c>
    </row>
    <row r="123" spans="1:10"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1795</v>
      </c>
      <c r="D123" s="1" t="s">
        <v>333</v>
      </c>
      <c r="E123" s="1" t="s">
        <v>1796</v>
      </c>
      <c r="F123" s="1" t="s">
        <v>112</v>
      </c>
      <c r="G123" s="1">
        <v>63895</v>
      </c>
    </row>
    <row r="124" spans="1:10"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1797</v>
      </c>
      <c r="D124" s="1" t="s">
        <v>361</v>
      </c>
      <c r="E124" s="1" t="s">
        <v>1798</v>
      </c>
      <c r="F124" s="1" t="s">
        <v>112</v>
      </c>
      <c r="G124" s="1">
        <v>77240</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236</v>
      </c>
      <c r="D126" s="1" t="s">
        <v>112</v>
      </c>
      <c r="E126" s="1" t="s">
        <v>237</v>
      </c>
      <c r="F126" s="1" t="s">
        <v>238</v>
      </c>
      <c r="G126" s="1" t="s">
        <v>239</v>
      </c>
      <c r="H126" s="1" t="s">
        <v>240</v>
      </c>
      <c r="I126" s="1" t="s">
        <v>241</v>
      </c>
      <c r="J126" s="1" t="s">
        <v>242</v>
      </c>
    </row>
    <row r="127" spans="1:10"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1799</v>
      </c>
      <c r="D127" s="1" t="s">
        <v>112</v>
      </c>
      <c r="E127" s="1" t="s">
        <v>1800</v>
      </c>
      <c r="F127" s="1" t="s">
        <v>1801</v>
      </c>
      <c r="G127" s="1" t="s">
        <v>1802</v>
      </c>
      <c r="H127" s="1" t="s">
        <v>1803</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248</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1804</v>
      </c>
      <c r="D134" s="1" t="s">
        <v>1805</v>
      </c>
      <c r="E134" s="1" t="s">
        <v>1806</v>
      </c>
      <c r="F134" s="1" t="s">
        <v>112</v>
      </c>
      <c r="G134" s="1">
        <v>965169</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1807</v>
      </c>
      <c r="D135" s="1" t="s">
        <v>1808</v>
      </c>
      <c r="E135" s="1" t="s">
        <v>1809</v>
      </c>
      <c r="F135" s="1" t="s">
        <v>112</v>
      </c>
      <c r="G135" s="1">
        <v>1407436</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1810</v>
      </c>
      <c r="D136" s="1" t="s">
        <v>1811</v>
      </c>
      <c r="E136" s="1" t="s">
        <v>1812</v>
      </c>
      <c r="F136" s="1" t="s">
        <v>112</v>
      </c>
      <c r="G136" s="1">
        <v>1067565</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1813</v>
      </c>
      <c r="D137" s="1" t="s">
        <v>1814</v>
      </c>
      <c r="E137" s="1" t="s">
        <v>1815</v>
      </c>
      <c r="F137" s="1" t="s">
        <v>112</v>
      </c>
      <c r="G137" s="1">
        <v>885917</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1816</v>
      </c>
      <c r="D138" s="1" t="s">
        <v>1817</v>
      </c>
      <c r="E138" s="1" t="s">
        <v>1818</v>
      </c>
      <c r="F138" s="1" t="s">
        <v>112</v>
      </c>
      <c r="G138" s="1">
        <v>483082</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1819</v>
      </c>
      <c r="D139" s="1" t="s">
        <v>324</v>
      </c>
      <c r="E139" s="1" t="s">
        <v>1820</v>
      </c>
      <c r="F139" s="1" t="s">
        <v>112</v>
      </c>
      <c r="G139" s="1">
        <v>700030</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1821</v>
      </c>
      <c r="D140" s="1" t="s">
        <v>404</v>
      </c>
      <c r="E140" s="1" t="s">
        <v>1822</v>
      </c>
      <c r="F140" s="1" t="s">
        <v>112</v>
      </c>
      <c r="G140" s="1">
        <v>142822</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1823</v>
      </c>
      <c r="D141" s="1" t="s">
        <v>819</v>
      </c>
      <c r="E141" s="1" t="s">
        <v>1824</v>
      </c>
      <c r="F141" s="1" t="s">
        <v>112</v>
      </c>
      <c r="G141" s="1">
        <v>69713</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1825</v>
      </c>
      <c r="D142" s="1" t="s">
        <v>424</v>
      </c>
      <c r="E142" s="1" t="s">
        <v>1826</v>
      </c>
      <c r="F142" s="1" t="s">
        <v>112</v>
      </c>
      <c r="G142" s="1">
        <v>109577</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1827</v>
      </c>
      <c r="D143" s="1" t="s">
        <v>1828</v>
      </c>
      <c r="E143" s="1" t="s">
        <v>1829</v>
      </c>
      <c r="F143" s="1" t="s">
        <v>112</v>
      </c>
      <c r="G143" s="1">
        <v>186536</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1830</v>
      </c>
      <c r="D144" s="1" t="s">
        <v>301</v>
      </c>
      <c r="E144" s="1" t="s">
        <v>1831</v>
      </c>
      <c r="F144" s="1" t="s">
        <v>112</v>
      </c>
      <c r="G144" s="1">
        <v>58898</v>
      </c>
    </row>
    <row r="145" spans="1:10"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1832</v>
      </c>
      <c r="D145" s="1" t="s">
        <v>1347</v>
      </c>
      <c r="E145" s="1" t="s">
        <v>1833</v>
      </c>
      <c r="F145" s="1" t="s">
        <v>112</v>
      </c>
      <c r="G145" s="1">
        <v>289408</v>
      </c>
    </row>
    <row r="146" spans="1:10"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1834</v>
      </c>
      <c r="D146" s="1" t="s">
        <v>1835</v>
      </c>
      <c r="E146" s="1" t="s">
        <v>1836</v>
      </c>
      <c r="F146" s="1" t="s">
        <v>112</v>
      </c>
      <c r="G146" s="1">
        <v>786636</v>
      </c>
    </row>
    <row r="147" spans="1:10"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1837</v>
      </c>
      <c r="D147" s="1" t="s">
        <v>1838</v>
      </c>
      <c r="E147" s="1" t="s">
        <v>1839</v>
      </c>
      <c r="F147" s="1" t="s">
        <v>112</v>
      </c>
      <c r="G147" s="1">
        <v>948319</v>
      </c>
    </row>
    <row r="148" spans="1:10"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1840</v>
      </c>
      <c r="D148" s="1" t="s">
        <v>1841</v>
      </c>
      <c r="E148" s="1" t="s">
        <v>1842</v>
      </c>
      <c r="F148" s="1" t="s">
        <v>112</v>
      </c>
      <c r="G148" s="1">
        <v>1174092</v>
      </c>
    </row>
    <row r="149" spans="1:10"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1843</v>
      </c>
      <c r="D149" s="1" t="s">
        <v>1844</v>
      </c>
      <c r="E149" s="1" t="s">
        <v>1845</v>
      </c>
      <c r="F149" s="1" t="s">
        <v>112</v>
      </c>
      <c r="G149" s="1">
        <v>861995</v>
      </c>
    </row>
    <row r="150" spans="1:10"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1846</v>
      </c>
      <c r="D150" s="1" t="s">
        <v>1847</v>
      </c>
      <c r="E150" s="1" t="s">
        <v>1848</v>
      </c>
      <c r="F150" s="1" t="s">
        <v>112</v>
      </c>
      <c r="G150" s="1">
        <v>1047557</v>
      </c>
    </row>
    <row r="151" spans="1:10"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1849</v>
      </c>
      <c r="D151" s="1" t="s">
        <v>1850</v>
      </c>
      <c r="E151" s="1" t="s">
        <v>1851</v>
      </c>
      <c r="F151" s="1" t="s">
        <v>112</v>
      </c>
      <c r="G151" s="1">
        <v>884555</v>
      </c>
    </row>
    <row r="152" spans="1:10"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1852</v>
      </c>
      <c r="D152" s="1" t="s">
        <v>1853</v>
      </c>
      <c r="E152" s="1" t="s">
        <v>1854</v>
      </c>
      <c r="F152" s="1" t="s">
        <v>112</v>
      </c>
      <c r="G152" s="1">
        <v>1806010</v>
      </c>
    </row>
    <row r="153" spans="1:10"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1855</v>
      </c>
      <c r="D153" s="1" t="s">
        <v>1856</v>
      </c>
      <c r="E153" s="1" t="s">
        <v>1857</v>
      </c>
      <c r="F153" s="1" t="s">
        <v>112</v>
      </c>
      <c r="G153" s="1">
        <v>1554259</v>
      </c>
    </row>
    <row r="154" spans="1:10"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1858</v>
      </c>
      <c r="D154" s="1" t="s">
        <v>1859</v>
      </c>
      <c r="E154" s="1" t="s">
        <v>1860</v>
      </c>
      <c r="F154" s="1" t="s">
        <v>112</v>
      </c>
      <c r="G154" s="1">
        <v>1146752</v>
      </c>
    </row>
    <row r="155" spans="1:10"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1861</v>
      </c>
      <c r="D155" s="1" t="s">
        <v>1862</v>
      </c>
      <c r="E155" s="1" t="s">
        <v>1863</v>
      </c>
      <c r="F155" s="1" t="s">
        <v>112</v>
      </c>
      <c r="G155" s="1">
        <v>2353268</v>
      </c>
    </row>
    <row r="156" spans="1:10"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1864</v>
      </c>
      <c r="D156" s="1" t="s">
        <v>1865</v>
      </c>
      <c r="E156" s="1" t="s">
        <v>1866</v>
      </c>
      <c r="F156" s="1" t="s">
        <v>112</v>
      </c>
      <c r="G156" s="1">
        <v>3056282</v>
      </c>
    </row>
    <row r="157" spans="1:10"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1867</v>
      </c>
      <c r="D157" s="1" t="s">
        <v>1868</v>
      </c>
      <c r="E157" s="1" t="s">
        <v>1869</v>
      </c>
      <c r="F157" s="1" t="s">
        <v>112</v>
      </c>
      <c r="G157" s="1">
        <v>2506559</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236</v>
      </c>
      <c r="D159" s="1" t="s">
        <v>112</v>
      </c>
      <c r="E159" s="1" t="s">
        <v>237</v>
      </c>
      <c r="F159" s="1" t="s">
        <v>238</v>
      </c>
      <c r="G159" s="1" t="s">
        <v>239</v>
      </c>
      <c r="H159" s="1" t="s">
        <v>240</v>
      </c>
      <c r="I159" s="1" t="s">
        <v>241</v>
      </c>
      <c r="J159" s="1" t="s">
        <v>242</v>
      </c>
    </row>
    <row r="160" spans="1:10"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1870</v>
      </c>
      <c r="D160" s="1" t="s">
        <v>112</v>
      </c>
      <c r="E160" s="1" t="s">
        <v>1871</v>
      </c>
      <c r="F160" s="1" t="s">
        <v>1872</v>
      </c>
      <c r="G160" s="1" t="s">
        <v>1873</v>
      </c>
      <c r="H160" s="1" t="s">
        <v>1874</v>
      </c>
      <c r="I160" s="1">
        <v>24</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248</v>
      </c>
      <c r="D166" s="1" t="s">
        <v>110</v>
      </c>
      <c r="E166" s="1" t="s">
        <v>111</v>
      </c>
      <c r="F166" s="1" t="s">
        <v>112</v>
      </c>
      <c r="G166" s="1" t="s">
        <v>113</v>
      </c>
    </row>
    <row r="167" spans="1:7" x14ac:dyDescent="0.25">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1875</v>
      </c>
      <c r="D167" s="1" t="s">
        <v>1876</v>
      </c>
      <c r="E167" s="1" t="s">
        <v>1877</v>
      </c>
      <c r="F167" s="1" t="s">
        <v>112</v>
      </c>
      <c r="G167" s="1">
        <v>732367</v>
      </c>
    </row>
    <row r="168" spans="1:7" x14ac:dyDescent="0.25">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1878</v>
      </c>
      <c r="D168" s="1" t="s">
        <v>683</v>
      </c>
      <c r="E168" s="1" t="s">
        <v>1879</v>
      </c>
      <c r="F168" s="1" t="s">
        <v>112</v>
      </c>
      <c r="G168" s="1">
        <v>618269</v>
      </c>
    </row>
    <row r="169" spans="1:7" x14ac:dyDescent="0.25">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1880</v>
      </c>
      <c r="D169" s="1" t="s">
        <v>1881</v>
      </c>
      <c r="E169" s="1" t="s">
        <v>1882</v>
      </c>
      <c r="F169" s="1" t="s">
        <v>112</v>
      </c>
      <c r="G169" s="1">
        <v>689020</v>
      </c>
    </row>
    <row r="170" spans="1:7" x14ac:dyDescent="0.25">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1883</v>
      </c>
      <c r="D170" s="1" t="s">
        <v>1884</v>
      </c>
      <c r="E170" s="1" t="s">
        <v>1885</v>
      </c>
      <c r="F170" s="1" t="s">
        <v>112</v>
      </c>
      <c r="G170" s="1">
        <v>2485491</v>
      </c>
    </row>
    <row r="171" spans="1:7" x14ac:dyDescent="0.25">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1886</v>
      </c>
      <c r="D171" s="1" t="s">
        <v>1887</v>
      </c>
      <c r="E171" s="1" t="s">
        <v>1888</v>
      </c>
      <c r="F171" s="1" t="s">
        <v>112</v>
      </c>
      <c r="G171" s="1">
        <v>2243993</v>
      </c>
    </row>
    <row r="172" spans="1:7" x14ac:dyDescent="0.25">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1889</v>
      </c>
    </row>
    <row r="173" spans="1:7" x14ac:dyDescent="0.25">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1890</v>
      </c>
      <c r="D173" s="1" t="s">
        <v>1891</v>
      </c>
      <c r="E173" s="1" t="s">
        <v>1892</v>
      </c>
      <c r="F173" s="1" t="s">
        <v>112</v>
      </c>
      <c r="G173" s="1">
        <v>4109161</v>
      </c>
    </row>
    <row r="174" spans="1:7" x14ac:dyDescent="0.25">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1893</v>
      </c>
      <c r="D174" s="1" t="s">
        <v>1894</v>
      </c>
      <c r="E174" s="1" t="s">
        <v>1895</v>
      </c>
      <c r="F174" s="1" t="s">
        <v>112</v>
      </c>
      <c r="G174" s="1">
        <v>3487539</v>
      </c>
    </row>
    <row r="175" spans="1:7" x14ac:dyDescent="0.25">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1896</v>
      </c>
      <c r="D175" s="1" t="s">
        <v>1897</v>
      </c>
      <c r="E175" s="1" t="s">
        <v>1898</v>
      </c>
      <c r="F175" s="1" t="s">
        <v>112</v>
      </c>
      <c r="G175" s="1">
        <v>3560389</v>
      </c>
    </row>
    <row r="176" spans="1:7" x14ac:dyDescent="0.25">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1899</v>
      </c>
      <c r="D176" s="1" t="s">
        <v>1900</v>
      </c>
      <c r="E176" s="1" t="s">
        <v>1901</v>
      </c>
      <c r="F176" s="1" t="s">
        <v>112</v>
      </c>
      <c r="G176" s="1">
        <v>994348</v>
      </c>
    </row>
    <row r="177" spans="1:10" x14ac:dyDescent="0.25">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1902</v>
      </c>
      <c r="D177" s="1" t="s">
        <v>1903</v>
      </c>
      <c r="E177" s="1" t="s">
        <v>1904</v>
      </c>
      <c r="F177" s="1" t="s">
        <v>112</v>
      </c>
      <c r="G177" s="1">
        <v>782699</v>
      </c>
    </row>
    <row r="178" spans="1:10" x14ac:dyDescent="0.25">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1905</v>
      </c>
      <c r="D178" s="1" t="s">
        <v>1906</v>
      </c>
      <c r="E178" s="1" t="s">
        <v>1907</v>
      </c>
      <c r="F178" s="1" t="s">
        <v>112</v>
      </c>
      <c r="G178" s="1">
        <v>497661</v>
      </c>
    </row>
    <row r="179" spans="1:10" x14ac:dyDescent="0.25">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1908</v>
      </c>
      <c r="D179" s="1" t="s">
        <v>999</v>
      </c>
      <c r="E179" s="1" t="s">
        <v>1909</v>
      </c>
      <c r="F179" s="1" t="s">
        <v>112</v>
      </c>
      <c r="G179" s="1">
        <v>2160848</v>
      </c>
    </row>
    <row r="180" spans="1:10" x14ac:dyDescent="0.25">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1910</v>
      </c>
      <c r="D180" s="1" t="s">
        <v>1911</v>
      </c>
      <c r="E180" s="1" t="s">
        <v>1912</v>
      </c>
      <c r="F180" s="1" t="s">
        <v>112</v>
      </c>
      <c r="G180" s="1">
        <v>2425230</v>
      </c>
    </row>
    <row r="181" spans="1:10" x14ac:dyDescent="0.25">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1913</v>
      </c>
      <c r="D181" s="1" t="s">
        <v>1914</v>
      </c>
      <c r="E181" s="1" t="s">
        <v>1915</v>
      </c>
      <c r="F181" s="1" t="s">
        <v>112</v>
      </c>
      <c r="G181" s="1">
        <v>2287837</v>
      </c>
    </row>
    <row r="182" spans="1:10" x14ac:dyDescent="0.25">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1916</v>
      </c>
      <c r="D182" s="1" t="s">
        <v>1917</v>
      </c>
      <c r="E182" s="1" t="s">
        <v>1918</v>
      </c>
      <c r="F182" s="1" t="s">
        <v>112</v>
      </c>
      <c r="G182" s="1">
        <v>2438446</v>
      </c>
    </row>
    <row r="183" spans="1:10" x14ac:dyDescent="0.25">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1919</v>
      </c>
      <c r="D183" s="1" t="s">
        <v>618</v>
      </c>
      <c r="E183" s="1" t="s">
        <v>1920</v>
      </c>
      <c r="F183" s="1" t="s">
        <v>112</v>
      </c>
      <c r="G183" s="1">
        <v>2497474</v>
      </c>
    </row>
    <row r="184" spans="1:10" x14ac:dyDescent="0.25">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1921</v>
      </c>
      <c r="D184" s="1" t="s">
        <v>1922</v>
      </c>
      <c r="E184" s="1" t="s">
        <v>1923</v>
      </c>
      <c r="F184" s="1" t="s">
        <v>112</v>
      </c>
      <c r="G184" s="1">
        <v>1760392</v>
      </c>
    </row>
    <row r="185" spans="1:10" x14ac:dyDescent="0.25">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1924</v>
      </c>
      <c r="D185" s="1" t="s">
        <v>1925</v>
      </c>
      <c r="E185" s="1" t="s">
        <v>1926</v>
      </c>
      <c r="F185" s="1" t="s">
        <v>112</v>
      </c>
      <c r="G185" s="1">
        <v>1523480</v>
      </c>
    </row>
    <row r="186" spans="1:10" x14ac:dyDescent="0.25">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1927</v>
      </c>
      <c r="D186" s="1" t="s">
        <v>1928</v>
      </c>
      <c r="E186" s="1" t="s">
        <v>1929</v>
      </c>
      <c r="F186" s="1" t="s">
        <v>112</v>
      </c>
      <c r="G186" s="1">
        <v>1544028</v>
      </c>
    </row>
    <row r="187" spans="1:10" x14ac:dyDescent="0.25">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1930</v>
      </c>
      <c r="D187" s="1" t="s">
        <v>1931</v>
      </c>
      <c r="E187" s="1" t="s">
        <v>1932</v>
      </c>
      <c r="F187" s="1" t="s">
        <v>112</v>
      </c>
      <c r="G187" s="1">
        <v>1559818</v>
      </c>
    </row>
    <row r="188" spans="1:10" x14ac:dyDescent="0.25">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1933</v>
      </c>
      <c r="D188" s="1" t="s">
        <v>1934</v>
      </c>
      <c r="E188" s="1" t="s">
        <v>1935</v>
      </c>
      <c r="F188" s="1" t="s">
        <v>112</v>
      </c>
      <c r="G188" s="1">
        <v>2924492</v>
      </c>
    </row>
    <row r="189" spans="1:10" x14ac:dyDescent="0.25">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1936</v>
      </c>
      <c r="D189" s="1" t="s">
        <v>1937</v>
      </c>
      <c r="E189" s="1" t="s">
        <v>1938</v>
      </c>
      <c r="F189" s="1" t="s">
        <v>112</v>
      </c>
      <c r="G189" s="1">
        <v>2743406</v>
      </c>
    </row>
    <row r="190" spans="1:10" x14ac:dyDescent="0.25">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1939</v>
      </c>
      <c r="D190" s="1" t="s">
        <v>1940</v>
      </c>
      <c r="E190" s="1" t="s">
        <v>1941</v>
      </c>
      <c r="F190" s="1" t="s">
        <v>112</v>
      </c>
      <c r="G190" s="1">
        <v>2853675</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236</v>
      </c>
      <c r="D192" s="1" t="s">
        <v>112</v>
      </c>
      <c r="E192" s="1" t="s">
        <v>237</v>
      </c>
      <c r="F192" s="1" t="s">
        <v>238</v>
      </c>
      <c r="G192" s="1" t="s">
        <v>239</v>
      </c>
      <c r="H192" s="1" t="s">
        <v>240</v>
      </c>
      <c r="I192" s="1" t="s">
        <v>241</v>
      </c>
      <c r="J192" s="1" t="s">
        <v>242</v>
      </c>
    </row>
    <row r="193" spans="1:10" x14ac:dyDescent="0.25">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1942</v>
      </c>
      <c r="D193" s="1" t="s">
        <v>112</v>
      </c>
      <c r="E193" s="1" t="s">
        <v>1943</v>
      </c>
      <c r="F193" s="1" t="s">
        <v>1944</v>
      </c>
      <c r="G193" s="1" t="s">
        <v>1945</v>
      </c>
      <c r="H193" s="1" t="s">
        <v>1946</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248</v>
      </c>
      <c r="D199" s="1" t="s">
        <v>110</v>
      </c>
      <c r="E199" s="1" t="s">
        <v>111</v>
      </c>
      <c r="F199" s="1" t="s">
        <v>112</v>
      </c>
      <c r="G199" s="1" t="s">
        <v>113</v>
      </c>
    </row>
    <row r="200" spans="1:10"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1947</v>
      </c>
      <c r="D200" s="1" t="s">
        <v>1948</v>
      </c>
      <c r="E200" s="1" t="s">
        <v>1949</v>
      </c>
      <c r="F200" s="1" t="s">
        <v>112</v>
      </c>
      <c r="G200" s="1">
        <v>4855133</v>
      </c>
    </row>
    <row r="201" spans="1:10"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1950</v>
      </c>
      <c r="D201" s="1" t="s">
        <v>1951</v>
      </c>
      <c r="E201" s="1" t="s">
        <v>1952</v>
      </c>
      <c r="F201" s="1" t="s">
        <v>112</v>
      </c>
      <c r="G201" s="1">
        <v>4712202</v>
      </c>
    </row>
    <row r="202" spans="1:10"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1953</v>
      </c>
      <c r="D202" s="1" t="s">
        <v>1954</v>
      </c>
      <c r="E202" s="1" t="s">
        <v>1955</v>
      </c>
      <c r="F202" s="1" t="s">
        <v>112</v>
      </c>
      <c r="G202" s="1">
        <v>4887253</v>
      </c>
    </row>
    <row r="203" spans="1:10"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1956</v>
      </c>
      <c r="D203" s="1" t="s">
        <v>1957</v>
      </c>
      <c r="E203" s="1" t="s">
        <v>1958</v>
      </c>
      <c r="F203" s="1" t="s">
        <v>112</v>
      </c>
      <c r="G203" s="1">
        <v>2764495</v>
      </c>
    </row>
    <row r="204" spans="1:10"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1959</v>
      </c>
      <c r="D204" s="1" t="s">
        <v>1960</v>
      </c>
      <c r="E204" s="1" t="s">
        <v>1961</v>
      </c>
      <c r="F204" s="1" t="s">
        <v>112</v>
      </c>
      <c r="G204" s="1">
        <v>2524987</v>
      </c>
    </row>
    <row r="205" spans="1:10"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1962</v>
      </c>
      <c r="D205" s="1" t="s">
        <v>1963</v>
      </c>
      <c r="E205" s="1" t="s">
        <v>1964</v>
      </c>
      <c r="F205" s="1" t="s">
        <v>112</v>
      </c>
      <c r="G205" s="1">
        <v>2717147</v>
      </c>
    </row>
    <row r="206" spans="1:10"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1965</v>
      </c>
      <c r="D206" s="1" t="s">
        <v>529</v>
      </c>
      <c r="E206" s="1" t="s">
        <v>1966</v>
      </c>
      <c r="F206" s="1" t="s">
        <v>112</v>
      </c>
      <c r="G206" s="1">
        <v>3555998</v>
      </c>
    </row>
    <row r="207" spans="1:10"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1967</v>
      </c>
      <c r="D207" s="1" t="s">
        <v>1968</v>
      </c>
      <c r="E207" s="1" t="s">
        <v>1969</v>
      </c>
      <c r="F207" s="1" t="s">
        <v>112</v>
      </c>
      <c r="G207" s="1">
        <v>3662936</v>
      </c>
    </row>
    <row r="208" spans="1:10"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1970</v>
      </c>
      <c r="D208" s="1" t="s">
        <v>1971</v>
      </c>
      <c r="E208" s="1" t="s">
        <v>1972</v>
      </c>
      <c r="F208" s="1" t="s">
        <v>112</v>
      </c>
      <c r="G208" s="1">
        <v>3561124</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1973</v>
      </c>
      <c r="D209" s="1" t="s">
        <v>1974</v>
      </c>
      <c r="E209" s="1" t="s">
        <v>1975</v>
      </c>
      <c r="F209" s="1" t="s">
        <v>112</v>
      </c>
      <c r="G209" s="1">
        <v>1645797</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1976</v>
      </c>
      <c r="D210" s="1" t="s">
        <v>1977</v>
      </c>
      <c r="E210" s="1" t="s">
        <v>1978</v>
      </c>
      <c r="F210" s="1" t="s">
        <v>112</v>
      </c>
      <c r="G210" s="1">
        <v>1938039</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1979</v>
      </c>
      <c r="D211" s="1" t="s">
        <v>1980</v>
      </c>
      <c r="E211" s="1" t="s">
        <v>1981</v>
      </c>
      <c r="F211" s="1" t="s">
        <v>112</v>
      </c>
      <c r="G211" s="1">
        <v>1986360</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1982</v>
      </c>
      <c r="D212" s="1" t="s">
        <v>1983</v>
      </c>
      <c r="E212" s="1" t="s">
        <v>1984</v>
      </c>
      <c r="F212" s="1" t="s">
        <v>112</v>
      </c>
      <c r="G212" s="1">
        <v>4367876</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1985</v>
      </c>
      <c r="D213" s="1" t="s">
        <v>1986</v>
      </c>
      <c r="E213" s="1" t="s">
        <v>1987</v>
      </c>
      <c r="F213" s="1" t="s">
        <v>112</v>
      </c>
      <c r="G213" s="1">
        <v>4510395</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1988</v>
      </c>
      <c r="D214" s="1" t="s">
        <v>1989</v>
      </c>
      <c r="E214" s="1" t="s">
        <v>1990</v>
      </c>
      <c r="F214" s="1" t="s">
        <v>112</v>
      </c>
      <c r="G214" s="1">
        <v>4559128</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1991</v>
      </c>
      <c r="D215" s="1" t="s">
        <v>1992</v>
      </c>
      <c r="E215" s="1" t="s">
        <v>1993</v>
      </c>
      <c r="F215" s="1" t="s">
        <v>112</v>
      </c>
      <c r="G215" s="1">
        <v>5605214</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1994</v>
      </c>
      <c r="D216" s="1" t="s">
        <v>1995</v>
      </c>
      <c r="E216" s="1" t="s">
        <v>1996</v>
      </c>
      <c r="F216" s="1" t="s">
        <v>112</v>
      </c>
      <c r="G216" s="1">
        <v>5194095</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1997</v>
      </c>
      <c r="D217" s="1" t="s">
        <v>1998</v>
      </c>
      <c r="E217" s="1" t="s">
        <v>1999</v>
      </c>
      <c r="F217" s="1" t="s">
        <v>112</v>
      </c>
      <c r="G217" s="1">
        <v>5155031</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2000</v>
      </c>
      <c r="D218" s="1" t="s">
        <v>2001</v>
      </c>
      <c r="E218" s="1" t="s">
        <v>2002</v>
      </c>
      <c r="F218" s="1" t="s">
        <v>112</v>
      </c>
      <c r="G218" s="1">
        <v>5317017</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2003</v>
      </c>
      <c r="D219" s="1" t="s">
        <v>2004</v>
      </c>
      <c r="E219" s="1" t="s">
        <v>2005</v>
      </c>
      <c r="F219" s="1" t="s">
        <v>112</v>
      </c>
      <c r="G219" s="1">
        <v>5119991</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2006</v>
      </c>
      <c r="D220" s="1" t="s">
        <v>2007</v>
      </c>
      <c r="E220" s="1" t="s">
        <v>2008</v>
      </c>
      <c r="F220" s="1" t="s">
        <v>112</v>
      </c>
      <c r="G220" s="1">
        <v>5041842</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2009</v>
      </c>
      <c r="D221" s="1" t="s">
        <v>2010</v>
      </c>
      <c r="E221" s="1" t="s">
        <v>2011</v>
      </c>
      <c r="F221" s="1" t="s">
        <v>112</v>
      </c>
      <c r="G221" s="1">
        <v>4351956</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2012</v>
      </c>
      <c r="D222" s="1" t="s">
        <v>2013</v>
      </c>
      <c r="E222" s="1" t="s">
        <v>2014</v>
      </c>
      <c r="F222" s="1" t="s">
        <v>112</v>
      </c>
      <c r="G222" s="1">
        <v>5505652</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2015</v>
      </c>
      <c r="D223" s="1" t="s">
        <v>2016</v>
      </c>
      <c r="E223" s="1" t="s">
        <v>2017</v>
      </c>
      <c r="F223" s="1" t="s">
        <v>112</v>
      </c>
      <c r="G223" s="1">
        <v>5501975</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236</v>
      </c>
      <c r="D225" s="1" t="s">
        <v>112</v>
      </c>
      <c r="E225" s="1" t="s">
        <v>237</v>
      </c>
      <c r="F225" s="1" t="s">
        <v>238</v>
      </c>
      <c r="G225" s="1" t="s">
        <v>239</v>
      </c>
      <c r="H225" s="1" t="s">
        <v>240</v>
      </c>
      <c r="I225" s="1" t="s">
        <v>241</v>
      </c>
      <c r="J225" s="1" t="s">
        <v>242</v>
      </c>
    </row>
    <row r="226" spans="1:10"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2018</v>
      </c>
      <c r="D226" s="1" t="s">
        <v>112</v>
      </c>
      <c r="E226" s="1" t="s">
        <v>2019</v>
      </c>
      <c r="F226" s="1" t="s">
        <v>2020</v>
      </c>
      <c r="G226" s="1" t="s">
        <v>2021</v>
      </c>
      <c r="H226" s="1" t="s">
        <v>2022</v>
      </c>
      <c r="I226" s="1">
        <v>24</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248</v>
      </c>
      <c r="D232" s="1" t="s">
        <v>110</v>
      </c>
      <c r="E232" s="1" t="s">
        <v>111</v>
      </c>
      <c r="F232" s="1" t="s">
        <v>112</v>
      </c>
      <c r="G232" s="1" t="s">
        <v>113</v>
      </c>
    </row>
    <row r="233" spans="1:10" x14ac:dyDescent="0.25">
      <c r="A233" s="1" t="str">
        <f t="shared" si="3"/>
        <v>08 Fadrozole 5.4 µg_L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2023</v>
      </c>
      <c r="D233" s="1" t="s">
        <v>293</v>
      </c>
      <c r="E233" s="1" t="s">
        <v>2024</v>
      </c>
      <c r="F233" s="1" t="s">
        <v>112</v>
      </c>
      <c r="G233" s="1">
        <v>32661</v>
      </c>
    </row>
    <row r="234" spans="1:10" x14ac:dyDescent="0.25">
      <c r="A234" s="1" t="str">
        <f t="shared" si="3"/>
        <v>08 Fadrozole 5.4 µg_L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2025</v>
      </c>
      <c r="D234" s="1" t="s">
        <v>427</v>
      </c>
      <c r="E234" s="1" t="s">
        <v>2026</v>
      </c>
      <c r="F234" s="1" t="s">
        <v>112</v>
      </c>
      <c r="G234" s="1">
        <v>105273</v>
      </c>
    </row>
    <row r="235" spans="1:10" x14ac:dyDescent="0.25">
      <c r="A235" s="1" t="str">
        <f t="shared" si="3"/>
        <v>08 Fadrozole 5.4 µg_L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2027</v>
      </c>
      <c r="D235" s="1" t="s">
        <v>824</v>
      </c>
      <c r="E235" s="1" t="s">
        <v>2028</v>
      </c>
      <c r="F235" s="1" t="s">
        <v>112</v>
      </c>
      <c r="G235" s="1">
        <v>77608</v>
      </c>
    </row>
    <row r="236" spans="1:10" x14ac:dyDescent="0.25">
      <c r="A236" s="1" t="str">
        <f t="shared" si="3"/>
        <v>08 Fadrozole 5.4 µg_L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2029</v>
      </c>
      <c r="D236" s="1" t="s">
        <v>271</v>
      </c>
      <c r="E236" s="1" t="s">
        <v>1480</v>
      </c>
      <c r="F236" s="1" t="s">
        <v>112</v>
      </c>
      <c r="G236" s="1">
        <v>14946</v>
      </c>
    </row>
    <row r="237" spans="1:10" x14ac:dyDescent="0.25">
      <c r="A237" s="1" t="str">
        <f t="shared" si="3"/>
        <v>08 Fadrozole 5.4 µg_L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2030</v>
      </c>
      <c r="D237" s="1" t="s">
        <v>2031</v>
      </c>
      <c r="E237" s="1" t="s">
        <v>2032</v>
      </c>
      <c r="F237" s="1" t="s">
        <v>112</v>
      </c>
      <c r="G237" s="1">
        <v>73693</v>
      </c>
    </row>
    <row r="238" spans="1:10" x14ac:dyDescent="0.25">
      <c r="A238" s="1" t="str">
        <f t="shared" si="3"/>
        <v>08 Fadrozole 5.4 µg_L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2033</v>
      </c>
      <c r="D238" s="1" t="s">
        <v>278</v>
      </c>
      <c r="E238" s="1" t="s">
        <v>2034</v>
      </c>
      <c r="F238" s="1" t="s">
        <v>112</v>
      </c>
      <c r="G238" s="1">
        <v>12675</v>
      </c>
    </row>
    <row r="239" spans="1:10" x14ac:dyDescent="0.25">
      <c r="A239" s="1" t="str">
        <f t="shared" si="3"/>
        <v>08 Fadrozole 5.4 µg_L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2035</v>
      </c>
      <c r="D239" s="1" t="s">
        <v>784</v>
      </c>
      <c r="E239" s="1" t="s">
        <v>279</v>
      </c>
      <c r="F239" s="1" t="s">
        <v>112</v>
      </c>
      <c r="G239" s="1">
        <v>24745</v>
      </c>
    </row>
    <row r="240" spans="1:10" x14ac:dyDescent="0.25">
      <c r="A240" s="1" t="str">
        <f t="shared" si="3"/>
        <v>08 Fadrozole 5.4 µg_L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2036</v>
      </c>
      <c r="D240" s="1" t="s">
        <v>784</v>
      </c>
      <c r="E240" s="1" t="s">
        <v>952</v>
      </c>
      <c r="F240" s="1" t="s">
        <v>112</v>
      </c>
      <c r="G240" s="1">
        <v>24161</v>
      </c>
    </row>
    <row r="241" spans="1:7" x14ac:dyDescent="0.25">
      <c r="A241" s="1" t="str">
        <f t="shared" si="3"/>
        <v>08 Fadrozole 5.4 µg_L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2037</v>
      </c>
      <c r="D241" s="1" t="s">
        <v>217</v>
      </c>
      <c r="E241" s="1" t="s">
        <v>431</v>
      </c>
      <c r="F241" s="1" t="s">
        <v>112</v>
      </c>
      <c r="G241" s="1">
        <v>31861</v>
      </c>
    </row>
    <row r="242" spans="1:7" x14ac:dyDescent="0.25">
      <c r="A242" s="1" t="str">
        <f t="shared" si="3"/>
        <v>08 Fadrozole 5.4 µg_L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2038</v>
      </c>
      <c r="D242" s="1" t="s">
        <v>784</v>
      </c>
      <c r="E242" s="1" t="s">
        <v>2039</v>
      </c>
      <c r="F242" s="1" t="s">
        <v>112</v>
      </c>
      <c r="G242" s="1">
        <v>24853</v>
      </c>
    </row>
    <row r="243" spans="1:7" x14ac:dyDescent="0.25">
      <c r="A243" s="1" t="str">
        <f t="shared" si="3"/>
        <v>08 Fadrozole 5.4 µg_L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2040</v>
      </c>
      <c r="D243" s="1" t="s">
        <v>1484</v>
      </c>
      <c r="E243" s="1" t="s">
        <v>2041</v>
      </c>
      <c r="F243" s="1" t="s">
        <v>112</v>
      </c>
      <c r="G243" s="1">
        <v>63657</v>
      </c>
    </row>
    <row r="244" spans="1:7" x14ac:dyDescent="0.25">
      <c r="A244" s="1" t="str">
        <f t="shared" si="3"/>
        <v>08 Fadrozole 5.4 µg_L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2042</v>
      </c>
      <c r="D244" s="1" t="s">
        <v>704</v>
      </c>
      <c r="E244" s="1" t="s">
        <v>2043</v>
      </c>
      <c r="F244" s="1" t="s">
        <v>112</v>
      </c>
      <c r="G244" s="1">
        <v>46223</v>
      </c>
    </row>
    <row r="245" spans="1:7" x14ac:dyDescent="0.25">
      <c r="A245" s="1" t="str">
        <f t="shared" si="3"/>
        <v>08 Fadrozole 5.4 µg_L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2044</v>
      </c>
      <c r="D245" s="1" t="s">
        <v>1786</v>
      </c>
      <c r="E245" s="1" t="s">
        <v>2045</v>
      </c>
      <c r="F245" s="1" t="s">
        <v>112</v>
      </c>
      <c r="G245" s="1">
        <v>485786</v>
      </c>
    </row>
    <row r="246" spans="1:7" x14ac:dyDescent="0.25">
      <c r="A246" s="1" t="str">
        <f t="shared" si="3"/>
        <v>08 Fadrozole 5.4 µg_L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2046</v>
      </c>
      <c r="D246" s="1" t="s">
        <v>290</v>
      </c>
      <c r="E246" s="1" t="s">
        <v>2047</v>
      </c>
      <c r="F246" s="1" t="s">
        <v>112</v>
      </c>
      <c r="G246" s="1">
        <v>57903</v>
      </c>
    </row>
    <row r="247" spans="1:7" x14ac:dyDescent="0.25">
      <c r="A247" s="1" t="str">
        <f t="shared" si="3"/>
        <v>08 Fadrozole 5.4 µg_L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2048</v>
      </c>
      <c r="D247" s="1" t="s">
        <v>2049</v>
      </c>
      <c r="E247" s="1" t="s">
        <v>2050</v>
      </c>
      <c r="F247" s="1" t="s">
        <v>112</v>
      </c>
      <c r="G247" s="1">
        <v>194539</v>
      </c>
    </row>
    <row r="248" spans="1:7" x14ac:dyDescent="0.25">
      <c r="A248" s="1" t="str">
        <f t="shared" si="3"/>
        <v>08 Fadrozole 5.4 µg_L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2051</v>
      </c>
      <c r="D248" s="1" t="s">
        <v>287</v>
      </c>
      <c r="E248" s="1" t="s">
        <v>2052</v>
      </c>
      <c r="F248" s="1" t="s">
        <v>112</v>
      </c>
      <c r="G248" s="1">
        <v>489420</v>
      </c>
    </row>
    <row r="249" spans="1:7" x14ac:dyDescent="0.25">
      <c r="A249" s="1" t="str">
        <f t="shared" si="3"/>
        <v>08 Fadrozole 5.4 µg_L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2053</v>
      </c>
      <c r="D249" s="1" t="s">
        <v>2054</v>
      </c>
      <c r="E249" s="1" t="s">
        <v>2055</v>
      </c>
      <c r="F249" s="1" t="s">
        <v>112</v>
      </c>
      <c r="G249" s="1">
        <v>799289</v>
      </c>
    </row>
    <row r="250" spans="1:7" x14ac:dyDescent="0.25">
      <c r="A250" s="1" t="str">
        <f t="shared" si="3"/>
        <v>08 Fadrozole 5.4 µg_L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2056</v>
      </c>
      <c r="D250" s="1" t="s">
        <v>1325</v>
      </c>
      <c r="E250" s="1" t="s">
        <v>2057</v>
      </c>
      <c r="F250" s="1" t="s">
        <v>112</v>
      </c>
      <c r="G250" s="1">
        <v>38782</v>
      </c>
    </row>
    <row r="251" spans="1:7" x14ac:dyDescent="0.25">
      <c r="A251" s="1" t="str">
        <f t="shared" si="3"/>
        <v>08 Fadrozole 5.4 µg_L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2058</v>
      </c>
      <c r="D251" s="1" t="s">
        <v>2059</v>
      </c>
      <c r="E251" s="1" t="s">
        <v>2060</v>
      </c>
      <c r="F251" s="1" t="s">
        <v>112</v>
      </c>
      <c r="G251" s="1">
        <v>428488</v>
      </c>
    </row>
    <row r="252" spans="1:7" x14ac:dyDescent="0.25">
      <c r="A252" s="1" t="str">
        <f t="shared" si="3"/>
        <v>08 Fadrozole 5.4 µg_L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2061</v>
      </c>
      <c r="D252" s="1" t="s">
        <v>2062</v>
      </c>
      <c r="E252" s="1" t="s">
        <v>2063</v>
      </c>
      <c r="F252" s="1" t="s">
        <v>112</v>
      </c>
      <c r="G252" s="1">
        <v>525628</v>
      </c>
    </row>
    <row r="253" spans="1:7" x14ac:dyDescent="0.25">
      <c r="A253" s="1" t="str">
        <f t="shared" si="3"/>
        <v>08 Fadrozole 5.4 µg_L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2064</v>
      </c>
      <c r="D253" s="1" t="s">
        <v>769</v>
      </c>
      <c r="E253" s="1" t="s">
        <v>1415</v>
      </c>
      <c r="F253" s="1" t="s">
        <v>112</v>
      </c>
      <c r="G253" s="1">
        <v>43692</v>
      </c>
    </row>
    <row r="254" spans="1:7" x14ac:dyDescent="0.25">
      <c r="A254" s="1" t="str">
        <f t="shared" si="3"/>
        <v>08 Fadrozole 5.4 µg_L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2065</v>
      </c>
      <c r="D254" s="1" t="s">
        <v>220</v>
      </c>
      <c r="E254" s="1" t="s">
        <v>2066</v>
      </c>
      <c r="F254" s="1" t="s">
        <v>112</v>
      </c>
      <c r="G254" s="1">
        <v>224605</v>
      </c>
    </row>
    <row r="255" spans="1:7" x14ac:dyDescent="0.25">
      <c r="A255" s="1" t="str">
        <f t="shared" si="3"/>
        <v>08 Fadrozole 5.4 µg_L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2067</v>
      </c>
      <c r="D255" s="1" t="s">
        <v>214</v>
      </c>
      <c r="E255" s="1" t="s">
        <v>2068</v>
      </c>
      <c r="F255" s="1" t="s">
        <v>112</v>
      </c>
      <c r="G255" s="1">
        <v>41940</v>
      </c>
    </row>
    <row r="256" spans="1:7" x14ac:dyDescent="0.25">
      <c r="A256" s="1" t="str">
        <f t="shared" si="3"/>
        <v>08 Fadrozole 5.4 µg_L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2069</v>
      </c>
      <c r="D256" s="1" t="s">
        <v>393</v>
      </c>
      <c r="E256" s="1" t="s">
        <v>2070</v>
      </c>
      <c r="F256" s="1" t="s">
        <v>112</v>
      </c>
      <c r="G256" s="1">
        <v>34824</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236</v>
      </c>
      <c r="D258" s="1" t="s">
        <v>112</v>
      </c>
      <c r="E258" s="1" t="s">
        <v>237</v>
      </c>
      <c r="F258" s="1" t="s">
        <v>238</v>
      </c>
      <c r="G258" s="1" t="s">
        <v>239</v>
      </c>
      <c r="H258" s="1" t="s">
        <v>240</v>
      </c>
      <c r="I258" s="1" t="s">
        <v>241</v>
      </c>
      <c r="J258" s="1" t="s">
        <v>242</v>
      </c>
    </row>
    <row r="259" spans="1:10" x14ac:dyDescent="0.25">
      <c r="A259" s="1" t="str">
        <f t="shared" si="4"/>
        <v>08 Fadrozole 5.4 µg_L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2071</v>
      </c>
      <c r="D259" s="1" t="s">
        <v>112</v>
      </c>
      <c r="E259" s="1" t="s">
        <v>2072</v>
      </c>
      <c r="F259" s="1" t="s">
        <v>2073</v>
      </c>
      <c r="G259" s="1" t="s">
        <v>2074</v>
      </c>
      <c r="H259" s="1" t="s">
        <v>2075</v>
      </c>
      <c r="I259" s="1">
        <v>24</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248</v>
      </c>
      <c r="D265" s="1" t="s">
        <v>110</v>
      </c>
      <c r="E265" s="1" t="s">
        <v>111</v>
      </c>
      <c r="F265" s="1" t="s">
        <v>112</v>
      </c>
      <c r="G265" s="1" t="s">
        <v>113</v>
      </c>
    </row>
    <row r="266" spans="1:10" x14ac:dyDescent="0.25">
      <c r="A266" s="1" t="str">
        <f t="shared" si="4"/>
        <v>09 Fadrozole 11 µg_L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2076</v>
      </c>
      <c r="D266" s="1" t="s">
        <v>2077</v>
      </c>
      <c r="E266" s="1" t="s">
        <v>2078</v>
      </c>
      <c r="F266" s="1" t="s">
        <v>112</v>
      </c>
      <c r="G266" s="1">
        <v>628651</v>
      </c>
    </row>
    <row r="267" spans="1:10" x14ac:dyDescent="0.25">
      <c r="A267" s="1" t="str">
        <f t="shared" si="4"/>
        <v>09 Fadrozole 11 µg_L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2079</v>
      </c>
      <c r="D267" s="1" t="s">
        <v>281</v>
      </c>
      <c r="E267" s="1" t="s">
        <v>2080</v>
      </c>
      <c r="F267" s="1" t="s">
        <v>112</v>
      </c>
      <c r="G267" s="1">
        <v>501749</v>
      </c>
    </row>
    <row r="268" spans="1:10" x14ac:dyDescent="0.25">
      <c r="A268" s="1" t="str">
        <f t="shared" si="4"/>
        <v>09 Fadrozole 11 µg_L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2081</v>
      </c>
      <c r="D268" s="1" t="s">
        <v>2082</v>
      </c>
      <c r="E268" s="1" t="s">
        <v>2083</v>
      </c>
      <c r="F268" s="1" t="s">
        <v>112</v>
      </c>
      <c r="G268" s="1">
        <v>599473</v>
      </c>
    </row>
    <row r="269" spans="1:10" x14ac:dyDescent="0.25">
      <c r="A269" s="1" t="str">
        <f t="shared" si="4"/>
        <v>09 Fadrozole 11 µg_L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2084</v>
      </c>
      <c r="D269" s="1" t="s">
        <v>1468</v>
      </c>
      <c r="E269" s="1" t="s">
        <v>2085</v>
      </c>
      <c r="F269" s="1" t="s">
        <v>112</v>
      </c>
      <c r="G269" s="1">
        <v>102158</v>
      </c>
    </row>
    <row r="270" spans="1:10" x14ac:dyDescent="0.25">
      <c r="A270" s="1" t="str">
        <f t="shared" si="4"/>
        <v>09 Fadrozole 11 µg_L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2086</v>
      </c>
      <c r="D270" s="1" t="s">
        <v>339</v>
      </c>
      <c r="E270" s="1" t="s">
        <v>2087</v>
      </c>
      <c r="F270" s="1" t="s">
        <v>112</v>
      </c>
      <c r="G270" s="1">
        <v>97594</v>
      </c>
    </row>
    <row r="271" spans="1:10" x14ac:dyDescent="0.25">
      <c r="A271" s="1" t="str">
        <f t="shared" si="4"/>
        <v>09 Fadrozole 11 µg_L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2088</v>
      </c>
      <c r="D271" s="1" t="s">
        <v>1484</v>
      </c>
      <c r="E271" s="1" t="s">
        <v>2089</v>
      </c>
      <c r="F271" s="1" t="s">
        <v>112</v>
      </c>
      <c r="G271" s="1">
        <v>65279</v>
      </c>
    </row>
    <row r="272" spans="1:10" x14ac:dyDescent="0.25">
      <c r="A272" s="1" t="str">
        <f t="shared" si="4"/>
        <v>09 Fadrozole 11 µg_L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2090</v>
      </c>
      <c r="D272" s="1" t="s">
        <v>387</v>
      </c>
      <c r="E272" s="1" t="s">
        <v>2091</v>
      </c>
      <c r="F272" s="1" t="s">
        <v>112</v>
      </c>
      <c r="G272" s="1">
        <v>127941</v>
      </c>
    </row>
    <row r="273" spans="1:7" x14ac:dyDescent="0.25">
      <c r="A273" s="1" t="str">
        <f t="shared" si="4"/>
        <v>09 Fadrozole 11 µg_L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2092</v>
      </c>
      <c r="D273" s="1" t="s">
        <v>2093</v>
      </c>
      <c r="E273" s="1" t="s">
        <v>2094</v>
      </c>
      <c r="F273" s="1" t="s">
        <v>112</v>
      </c>
      <c r="G273" s="1">
        <v>424141</v>
      </c>
    </row>
    <row r="274" spans="1:7" x14ac:dyDescent="0.25">
      <c r="A274" s="1" t="str">
        <f t="shared" si="4"/>
        <v>09 Fadrozole 11 µg_L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2095</v>
      </c>
      <c r="D274" s="1" t="s">
        <v>2096</v>
      </c>
      <c r="E274" s="1" t="s">
        <v>2097</v>
      </c>
      <c r="F274" s="1" t="s">
        <v>112</v>
      </c>
      <c r="G274" s="1">
        <v>170465</v>
      </c>
    </row>
    <row r="275" spans="1:7" x14ac:dyDescent="0.25">
      <c r="A275" s="1" t="str">
        <f t="shared" si="4"/>
        <v>09 Fadrozole 11 µg_L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2098</v>
      </c>
      <c r="D275" s="1" t="s">
        <v>361</v>
      </c>
      <c r="E275" s="1" t="s">
        <v>368</v>
      </c>
      <c r="F275" s="1" t="s">
        <v>112</v>
      </c>
      <c r="G275" s="1">
        <v>76397</v>
      </c>
    </row>
    <row r="276" spans="1:7" x14ac:dyDescent="0.25">
      <c r="A276" s="1" t="str">
        <f t="shared" si="4"/>
        <v>09 Fadrozole 11 µg_L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2099</v>
      </c>
      <c r="D276" s="1" t="s">
        <v>2100</v>
      </c>
      <c r="E276" s="1" t="s">
        <v>2101</v>
      </c>
      <c r="F276" s="1" t="s">
        <v>112</v>
      </c>
      <c r="G276" s="1">
        <v>49338</v>
      </c>
    </row>
    <row r="277" spans="1:7" x14ac:dyDescent="0.25">
      <c r="A277" s="1" t="str">
        <f t="shared" si="4"/>
        <v>09 Fadrozole 11 µg_L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2102</v>
      </c>
      <c r="D277" s="1" t="s">
        <v>1218</v>
      </c>
      <c r="E277" s="1" t="s">
        <v>2103</v>
      </c>
      <c r="F277" s="1" t="s">
        <v>112</v>
      </c>
      <c r="G277" s="1">
        <v>35516</v>
      </c>
    </row>
    <row r="278" spans="1:7" x14ac:dyDescent="0.25">
      <c r="A278" s="1" t="str">
        <f t="shared" si="4"/>
        <v>09 Fadrozole 11 µg_L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2104</v>
      </c>
      <c r="D278" s="1" t="s">
        <v>2105</v>
      </c>
      <c r="E278" s="1" t="s">
        <v>2106</v>
      </c>
      <c r="F278" s="1" t="s">
        <v>112</v>
      </c>
      <c r="G278" s="1">
        <v>174229</v>
      </c>
    </row>
    <row r="279" spans="1:7" x14ac:dyDescent="0.25">
      <c r="A279" s="1" t="str">
        <f t="shared" si="4"/>
        <v>09 Fadrozole 11 µg_L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2107</v>
      </c>
      <c r="D279" s="1" t="s">
        <v>2108</v>
      </c>
      <c r="E279" s="1" t="s">
        <v>2109</v>
      </c>
      <c r="F279" s="1" t="s">
        <v>112</v>
      </c>
      <c r="G279" s="1">
        <v>347333</v>
      </c>
    </row>
    <row r="280" spans="1:7" x14ac:dyDescent="0.25">
      <c r="A280" s="1" t="str">
        <f t="shared" si="4"/>
        <v>09 Fadrozole 11 µg_L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2110</v>
      </c>
      <c r="D280" s="1" t="s">
        <v>2111</v>
      </c>
      <c r="E280" s="1" t="s">
        <v>2112</v>
      </c>
      <c r="F280" s="1" t="s">
        <v>112</v>
      </c>
      <c r="G280" s="1">
        <v>355293</v>
      </c>
    </row>
    <row r="281" spans="1:7" x14ac:dyDescent="0.25">
      <c r="A281" s="1" t="str">
        <f t="shared" si="4"/>
        <v>09 Fadrozole 11 µg_L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2113</v>
      </c>
      <c r="D281" s="1" t="s">
        <v>206</v>
      </c>
      <c r="E281" s="1" t="s">
        <v>1328</v>
      </c>
      <c r="F281" s="1" t="s">
        <v>112</v>
      </c>
      <c r="G281" s="1">
        <v>8501</v>
      </c>
    </row>
    <row r="282" spans="1:7" x14ac:dyDescent="0.25">
      <c r="A282" s="1" t="str">
        <f t="shared" si="4"/>
        <v>09 Fadrozole 11 µg_L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2114</v>
      </c>
      <c r="D282" s="1" t="s">
        <v>772</v>
      </c>
      <c r="E282" s="1" t="s">
        <v>2115</v>
      </c>
      <c r="F282" s="1" t="s">
        <v>112</v>
      </c>
      <c r="G282" s="1">
        <v>17326</v>
      </c>
    </row>
    <row r="283" spans="1:7" x14ac:dyDescent="0.25">
      <c r="A283" s="1" t="str">
        <f t="shared" si="4"/>
        <v>09 Fadrozole 11 µg_L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2116</v>
      </c>
      <c r="D283" s="1" t="s">
        <v>353</v>
      </c>
      <c r="E283" s="1" t="s">
        <v>1267</v>
      </c>
      <c r="F283" s="1" t="s">
        <v>112</v>
      </c>
      <c r="G283" s="1">
        <v>13713</v>
      </c>
    </row>
    <row r="284" spans="1:7" x14ac:dyDescent="0.25">
      <c r="A284" s="1" t="str">
        <f t="shared" si="4"/>
        <v>09 Fadrozole 11 µg_L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2117</v>
      </c>
    </row>
    <row r="285" spans="1:7" x14ac:dyDescent="0.25">
      <c r="A285" s="1" t="str">
        <f t="shared" si="4"/>
        <v>09 Fadrozole 11 µg_L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2118</v>
      </c>
      <c r="D285" s="1" t="s">
        <v>978</v>
      </c>
      <c r="E285" s="1" t="s">
        <v>2119</v>
      </c>
      <c r="F285" s="1" t="s">
        <v>112</v>
      </c>
      <c r="G285" s="1">
        <v>78971</v>
      </c>
    </row>
    <row r="286" spans="1:7" x14ac:dyDescent="0.25">
      <c r="A286" s="1" t="str">
        <f t="shared" si="4"/>
        <v>09 Fadrozole 11 µg_L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2120</v>
      </c>
      <c r="D286" s="1" t="s">
        <v>2121</v>
      </c>
      <c r="E286" s="1" t="s">
        <v>2122</v>
      </c>
      <c r="F286" s="1" t="s">
        <v>112</v>
      </c>
      <c r="G286" s="1">
        <v>108560</v>
      </c>
    </row>
    <row r="287" spans="1:7" x14ac:dyDescent="0.25">
      <c r="A287" s="1" t="str">
        <f t="shared" si="4"/>
        <v>09 Fadrozole 11 µg_L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2123</v>
      </c>
      <c r="D287" s="1" t="s">
        <v>2124</v>
      </c>
      <c r="E287" s="1" t="s">
        <v>2125</v>
      </c>
      <c r="F287" s="1" t="s">
        <v>112</v>
      </c>
      <c r="G287" s="1">
        <v>344132</v>
      </c>
    </row>
    <row r="288" spans="1:7" x14ac:dyDescent="0.25">
      <c r="A288" s="1" t="str">
        <f t="shared" si="4"/>
        <v>09 Fadrozole 11 µg_L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2126</v>
      </c>
      <c r="D288" s="1" t="s">
        <v>2127</v>
      </c>
      <c r="E288" s="1" t="s">
        <v>2128</v>
      </c>
      <c r="F288" s="1" t="s">
        <v>112</v>
      </c>
      <c r="G288" s="1">
        <v>763665</v>
      </c>
    </row>
    <row r="289" spans="1:10" x14ac:dyDescent="0.25">
      <c r="A289" s="1" t="str">
        <f t="shared" si="4"/>
        <v>09 Fadrozole 11 µg_L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2129</v>
      </c>
      <c r="D289" s="1" t="s">
        <v>1484</v>
      </c>
      <c r="E289" s="1" t="s">
        <v>2130</v>
      </c>
      <c r="F289" s="1" t="s">
        <v>112</v>
      </c>
      <c r="G289" s="1">
        <v>60715</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236</v>
      </c>
      <c r="D291" s="1" t="s">
        <v>112</v>
      </c>
      <c r="E291" s="1" t="s">
        <v>237</v>
      </c>
      <c r="F291" s="1" t="s">
        <v>238</v>
      </c>
      <c r="G291" s="1" t="s">
        <v>239</v>
      </c>
      <c r="H291" s="1" t="s">
        <v>240</v>
      </c>
      <c r="I291" s="1" t="s">
        <v>241</v>
      </c>
      <c r="J291" s="1" t="s">
        <v>242</v>
      </c>
    </row>
    <row r="292" spans="1:10" x14ac:dyDescent="0.25">
      <c r="A292" s="1" t="str">
        <f t="shared" si="4"/>
        <v>09 Fadrozole 11 µg_L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2131</v>
      </c>
      <c r="D292" s="1" t="s">
        <v>112</v>
      </c>
      <c r="E292" s="1" t="s">
        <v>2132</v>
      </c>
      <c r="F292" s="1" t="s">
        <v>2133</v>
      </c>
      <c r="G292" s="1" t="s">
        <v>2134</v>
      </c>
      <c r="H292" s="1" t="s">
        <v>2135</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248</v>
      </c>
      <c r="D298" s="1" t="s">
        <v>110</v>
      </c>
      <c r="E298" s="1" t="s">
        <v>111</v>
      </c>
      <c r="F298" s="1" t="s">
        <v>112</v>
      </c>
      <c r="G298" s="1" t="s">
        <v>113</v>
      </c>
    </row>
    <row r="299" spans="1:10" x14ac:dyDescent="0.25">
      <c r="A299" s="1" t="str">
        <f t="shared" si="4"/>
        <v>10 Fadrozole 22 µg_L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2136</v>
      </c>
      <c r="D299" s="1" t="s">
        <v>2137</v>
      </c>
      <c r="E299" s="1" t="s">
        <v>2138</v>
      </c>
      <c r="F299" s="1" t="s">
        <v>112</v>
      </c>
      <c r="G299" s="1">
        <v>203862</v>
      </c>
    </row>
    <row r="300" spans="1:10" x14ac:dyDescent="0.25">
      <c r="A300" s="1" t="str">
        <f t="shared" si="4"/>
        <v>10 Fadrozole 22 µg_L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2139</v>
      </c>
      <c r="D300" s="1" t="s">
        <v>2140</v>
      </c>
      <c r="E300" s="1" t="s">
        <v>2141</v>
      </c>
      <c r="F300" s="1" t="s">
        <v>112</v>
      </c>
      <c r="G300" s="1">
        <v>256877</v>
      </c>
    </row>
    <row r="301" spans="1:10" x14ac:dyDescent="0.25">
      <c r="A301" s="1" t="str">
        <f t="shared" si="4"/>
        <v>10 Fadrozole 22 µg_L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2142</v>
      </c>
      <c r="D301" s="1" t="s">
        <v>878</v>
      </c>
      <c r="E301" s="1" t="s">
        <v>2143</v>
      </c>
      <c r="F301" s="1" t="s">
        <v>112</v>
      </c>
      <c r="G301" s="1">
        <v>108323</v>
      </c>
    </row>
    <row r="302" spans="1:10" x14ac:dyDescent="0.25">
      <c r="A302" s="1" t="str">
        <f t="shared" si="4"/>
        <v>10 Fadrozole 22 µg_L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2144</v>
      </c>
    </row>
    <row r="303" spans="1:10" x14ac:dyDescent="0.25">
      <c r="A303" s="1" t="str">
        <f t="shared" si="4"/>
        <v>10 Fadrozole 22 µg_L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2145</v>
      </c>
    </row>
    <row r="304" spans="1:10" x14ac:dyDescent="0.25">
      <c r="A304" s="1" t="str">
        <f t="shared" si="4"/>
        <v>10 Fadrozole 22 µg_L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2146</v>
      </c>
    </row>
    <row r="305" spans="1:7" x14ac:dyDescent="0.25">
      <c r="A305" s="1" t="str">
        <f t="shared" si="4"/>
        <v>10 Fadrozole 22 µg_L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2147</v>
      </c>
      <c r="D305" s="1" t="s">
        <v>1659</v>
      </c>
      <c r="E305" s="1" t="s">
        <v>2148</v>
      </c>
      <c r="F305" s="1" t="s">
        <v>112</v>
      </c>
      <c r="G305" s="1">
        <v>442872</v>
      </c>
    </row>
    <row r="306" spans="1:7" x14ac:dyDescent="0.25">
      <c r="A306" s="1" t="str">
        <f t="shared" si="4"/>
        <v>10 Fadrozole 22 µg_L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2149</v>
      </c>
      <c r="D306" s="1" t="s">
        <v>781</v>
      </c>
      <c r="E306" s="1" t="s">
        <v>2150</v>
      </c>
      <c r="F306" s="1" t="s">
        <v>112</v>
      </c>
      <c r="G306" s="1">
        <v>240330</v>
      </c>
    </row>
    <row r="307" spans="1:7" x14ac:dyDescent="0.25">
      <c r="A307" s="1" t="str">
        <f t="shared" si="4"/>
        <v>10 Fadrozole 22 µg_L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2151</v>
      </c>
      <c r="D307" s="1" t="s">
        <v>813</v>
      </c>
      <c r="E307" s="1" t="s">
        <v>2152</v>
      </c>
      <c r="F307" s="1" t="s">
        <v>112</v>
      </c>
      <c r="G307" s="1">
        <v>138691</v>
      </c>
    </row>
    <row r="308" spans="1:7" x14ac:dyDescent="0.25">
      <c r="A308" s="1" t="str">
        <f t="shared" si="4"/>
        <v>10 Fadrozole 22 µg_L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2153</v>
      </c>
      <c r="D308" s="1" t="s">
        <v>848</v>
      </c>
      <c r="E308" s="1" t="s">
        <v>1499</v>
      </c>
      <c r="F308" s="1" t="s">
        <v>112</v>
      </c>
      <c r="G308" s="1">
        <v>27513</v>
      </c>
    </row>
    <row r="309" spans="1:7" x14ac:dyDescent="0.25">
      <c r="A309" s="1" t="str">
        <f t="shared" si="4"/>
        <v>10 Fadrozole 22 µg_L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2154</v>
      </c>
      <c r="D309" s="1" t="s">
        <v>1218</v>
      </c>
      <c r="E309" s="1" t="s">
        <v>2155</v>
      </c>
      <c r="F309" s="1" t="s">
        <v>112</v>
      </c>
      <c r="G309" s="1">
        <v>35343</v>
      </c>
    </row>
    <row r="310" spans="1:7" x14ac:dyDescent="0.25">
      <c r="A310" s="1" t="str">
        <f t="shared" si="4"/>
        <v>10 Fadrozole 22 µg_L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2156</v>
      </c>
      <c r="D310" s="1" t="s">
        <v>271</v>
      </c>
      <c r="E310" s="1">
        <v>63</v>
      </c>
      <c r="F310" s="1" t="s">
        <v>112</v>
      </c>
      <c r="G310" s="1">
        <v>14990</v>
      </c>
    </row>
    <row r="311" spans="1:7" x14ac:dyDescent="0.25">
      <c r="A311" s="1" t="str">
        <f t="shared" si="4"/>
        <v>10 Fadrozole 22 µg_L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2157</v>
      </c>
      <c r="D311" s="1" t="s">
        <v>2158</v>
      </c>
      <c r="E311" s="1" t="s">
        <v>2159</v>
      </c>
      <c r="F311" s="1" t="s">
        <v>112</v>
      </c>
      <c r="G311" s="1">
        <v>120154</v>
      </c>
    </row>
    <row r="312" spans="1:7" x14ac:dyDescent="0.25">
      <c r="A312" s="1" t="str">
        <f t="shared" si="4"/>
        <v>10 Fadrozole 22 µg_L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2160</v>
      </c>
      <c r="D312" s="1" t="s">
        <v>1484</v>
      </c>
      <c r="E312" s="1" t="s">
        <v>2161</v>
      </c>
      <c r="F312" s="1" t="s">
        <v>112</v>
      </c>
      <c r="G312" s="1">
        <v>62467</v>
      </c>
    </row>
    <row r="313" spans="1:7" x14ac:dyDescent="0.25">
      <c r="A313" s="1" t="str">
        <f t="shared" si="4"/>
        <v>10 Fadrozole 22 µg_L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2162</v>
      </c>
      <c r="D313" s="1" t="s">
        <v>1199</v>
      </c>
      <c r="E313" s="1" t="s">
        <v>2163</v>
      </c>
      <c r="F313" s="1" t="s">
        <v>112</v>
      </c>
      <c r="G313" s="1">
        <v>137069</v>
      </c>
    </row>
    <row r="314" spans="1:7" x14ac:dyDescent="0.25">
      <c r="A314" s="1" t="str">
        <f t="shared" si="4"/>
        <v>10 Fadrozole 22 µg_L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2164</v>
      </c>
      <c r="D314" s="1" t="s">
        <v>2059</v>
      </c>
      <c r="E314" s="1" t="s">
        <v>2165</v>
      </c>
      <c r="F314" s="1" t="s">
        <v>112</v>
      </c>
      <c r="G314" s="1">
        <v>395243</v>
      </c>
    </row>
    <row r="315" spans="1:7" x14ac:dyDescent="0.25">
      <c r="A315" s="1" t="str">
        <f t="shared" si="4"/>
        <v>10 Fadrozole 22 µg_L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2166</v>
      </c>
      <c r="D315" s="1" t="s">
        <v>2167</v>
      </c>
      <c r="E315" s="1" t="s">
        <v>2168</v>
      </c>
      <c r="F315" s="1" t="s">
        <v>112</v>
      </c>
      <c r="G315" s="1">
        <v>315450</v>
      </c>
    </row>
    <row r="316" spans="1:7" x14ac:dyDescent="0.25">
      <c r="A316" s="1" t="str">
        <f t="shared" si="4"/>
        <v>10 Fadrozole 22 µg_L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2169</v>
      </c>
      <c r="D316" s="1" t="s">
        <v>1468</v>
      </c>
      <c r="E316" s="1" t="s">
        <v>2170</v>
      </c>
      <c r="F316" s="1" t="s">
        <v>112</v>
      </c>
      <c r="G316" s="1">
        <v>98784</v>
      </c>
    </row>
    <row r="317" spans="1:7" x14ac:dyDescent="0.25">
      <c r="A317" s="1" t="str">
        <f t="shared" si="4"/>
        <v>10 Fadrozole 22 µg_L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2171</v>
      </c>
      <c r="D317" s="1" t="s">
        <v>1580</v>
      </c>
      <c r="E317" s="1" t="s">
        <v>2172</v>
      </c>
      <c r="F317" s="1" t="s">
        <v>112</v>
      </c>
      <c r="G317" s="1">
        <v>458835</v>
      </c>
    </row>
    <row r="318" spans="1:7" x14ac:dyDescent="0.25">
      <c r="A318" s="1" t="str">
        <f t="shared" si="4"/>
        <v>10 Fadrozole 22 µg_L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2173</v>
      </c>
      <c r="D318" s="1" t="s">
        <v>904</v>
      </c>
      <c r="E318" s="1" t="s">
        <v>2174</v>
      </c>
      <c r="F318" s="1" t="s">
        <v>112</v>
      </c>
      <c r="G318" s="1">
        <v>66361</v>
      </c>
    </row>
    <row r="319" spans="1:7" x14ac:dyDescent="0.25">
      <c r="A319" s="1" t="str">
        <f t="shared" si="4"/>
        <v>10 Fadrozole 22 µg_L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2175</v>
      </c>
      <c r="D319" s="1" t="s">
        <v>819</v>
      </c>
      <c r="E319" s="1" t="s">
        <v>2176</v>
      </c>
      <c r="F319" s="1" t="s">
        <v>112</v>
      </c>
      <c r="G319" s="1">
        <v>67226</v>
      </c>
    </row>
    <row r="320" spans="1:7" x14ac:dyDescent="0.25">
      <c r="A320" s="1" t="str">
        <f t="shared" si="4"/>
        <v>10 Fadrozole 22 µg_L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2177</v>
      </c>
      <c r="D320" s="1" t="s">
        <v>1269</v>
      </c>
      <c r="E320" s="1" t="s">
        <v>2178</v>
      </c>
      <c r="F320" s="1" t="s">
        <v>112</v>
      </c>
      <c r="G320" s="1">
        <v>21825</v>
      </c>
    </row>
    <row r="321" spans="1:10" x14ac:dyDescent="0.25">
      <c r="A321" s="1" t="str">
        <f t="shared" si="4"/>
        <v>10 Fadrozole 22 µg_L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2179</v>
      </c>
      <c r="D321" s="1" t="s">
        <v>293</v>
      </c>
      <c r="E321" s="1" t="s">
        <v>2180</v>
      </c>
      <c r="F321" s="1" t="s">
        <v>112</v>
      </c>
      <c r="G321" s="1">
        <v>35257</v>
      </c>
    </row>
    <row r="322" spans="1:10" x14ac:dyDescent="0.25">
      <c r="A322" s="1" t="str">
        <f t="shared" ref="A322:A385" si="5">IFERROR(LEFT(RIGHT(C322,LEN(C322)-SEARCH("@",C322)),SEARCH("/",RIGHT(C322,LEN(C322)-SEARCH("@",C322)-1))),"")</f>
        <v>10 Fadrozole 22 µg_L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2181</v>
      </c>
      <c r="D322" s="1" t="s">
        <v>1484</v>
      </c>
      <c r="E322" s="1" t="s">
        <v>2182</v>
      </c>
      <c r="F322" s="1" t="s">
        <v>112</v>
      </c>
      <c r="G322" s="1">
        <v>69021</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236</v>
      </c>
      <c r="D324" s="1" t="s">
        <v>112</v>
      </c>
      <c r="E324" s="1" t="s">
        <v>237</v>
      </c>
      <c r="F324" s="1" t="s">
        <v>238</v>
      </c>
      <c r="G324" s="1" t="s">
        <v>239</v>
      </c>
      <c r="H324" s="1" t="s">
        <v>240</v>
      </c>
      <c r="I324" s="1" t="s">
        <v>241</v>
      </c>
      <c r="J324" s="1" t="s">
        <v>242</v>
      </c>
    </row>
    <row r="325" spans="1:10" x14ac:dyDescent="0.25">
      <c r="A325" s="1" t="str">
        <f t="shared" si="5"/>
        <v>10 Fadrozole 22 µg_L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2183</v>
      </c>
      <c r="D325" s="1" t="s">
        <v>112</v>
      </c>
      <c r="E325" s="1" t="s">
        <v>2184</v>
      </c>
      <c r="F325" s="1" t="s">
        <v>2185</v>
      </c>
      <c r="G325" s="1" t="s">
        <v>2186</v>
      </c>
      <c r="H325" s="1" t="s">
        <v>2187</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248</v>
      </c>
      <c r="D331" s="1" t="s">
        <v>110</v>
      </c>
      <c r="E331" s="1" t="s">
        <v>111</v>
      </c>
      <c r="F331" s="1" t="s">
        <v>112</v>
      </c>
      <c r="G331" s="1" t="s">
        <v>113</v>
      </c>
    </row>
    <row r="332" spans="1:10" x14ac:dyDescent="0.25">
      <c r="A332" s="1" t="str">
        <f t="shared" si="5"/>
        <v>11 Fadrozole 44 µg_L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2188</v>
      </c>
      <c r="D332" s="1" t="s">
        <v>2189</v>
      </c>
      <c r="E332" s="1" t="s">
        <v>2190</v>
      </c>
      <c r="F332" s="1" t="s">
        <v>112</v>
      </c>
      <c r="G332" s="1">
        <v>668407</v>
      </c>
    </row>
    <row r="333" spans="1:10" x14ac:dyDescent="0.25">
      <c r="A333" s="1" t="str">
        <f t="shared" si="5"/>
        <v>11 Fadrozole 44 µg_L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2191</v>
      </c>
      <c r="D333" s="1" t="s">
        <v>2192</v>
      </c>
      <c r="E333" s="1" t="s">
        <v>2193</v>
      </c>
      <c r="F333" s="1" t="s">
        <v>112</v>
      </c>
      <c r="G333" s="1">
        <v>330094</v>
      </c>
    </row>
    <row r="334" spans="1:10" x14ac:dyDescent="0.25">
      <c r="A334" s="1" t="str">
        <f t="shared" si="5"/>
        <v>11 Fadrozole 44 µg_L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2194</v>
      </c>
      <c r="D334" s="1" t="s">
        <v>2093</v>
      </c>
      <c r="E334" s="1" t="s">
        <v>471</v>
      </c>
      <c r="F334" s="1" t="s">
        <v>112</v>
      </c>
      <c r="G334" s="1">
        <v>428531</v>
      </c>
    </row>
    <row r="335" spans="1:10" x14ac:dyDescent="0.25">
      <c r="A335" s="1" t="str">
        <f t="shared" si="5"/>
        <v>11 Fadrozole 44 µg_L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2195</v>
      </c>
      <c r="D335" s="1" t="s">
        <v>2196</v>
      </c>
      <c r="E335" s="1" t="s">
        <v>2197</v>
      </c>
      <c r="F335" s="1" t="s">
        <v>112</v>
      </c>
      <c r="G335" s="1">
        <v>370542</v>
      </c>
    </row>
    <row r="336" spans="1:10" x14ac:dyDescent="0.25">
      <c r="A336" s="1" t="str">
        <f t="shared" si="5"/>
        <v>11 Fadrozole 44 µg_L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2198</v>
      </c>
    </row>
    <row r="337" spans="1:7" x14ac:dyDescent="0.25">
      <c r="A337" s="1" t="str">
        <f t="shared" si="5"/>
        <v>11 Fadrozole 44 µg_L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2199</v>
      </c>
      <c r="D337" s="1" t="s">
        <v>2200</v>
      </c>
      <c r="E337" s="1" t="s">
        <v>2201</v>
      </c>
      <c r="F337" s="1" t="s">
        <v>112</v>
      </c>
      <c r="G337" s="1">
        <v>170292</v>
      </c>
    </row>
    <row r="338" spans="1:7" x14ac:dyDescent="0.25">
      <c r="A338" s="1" t="str">
        <f t="shared" si="5"/>
        <v>11 Fadrozole 44 µg_L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2202</v>
      </c>
      <c r="D338" s="1" t="s">
        <v>845</v>
      </c>
      <c r="E338" s="1" t="s">
        <v>2203</v>
      </c>
      <c r="F338" s="1" t="s">
        <v>112</v>
      </c>
      <c r="G338" s="1">
        <v>242471</v>
      </c>
    </row>
    <row r="339" spans="1:7" x14ac:dyDescent="0.25">
      <c r="A339" s="1" t="str">
        <f t="shared" si="5"/>
        <v>11 Fadrozole 44 µg_L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2204</v>
      </c>
      <c r="D339" s="1" t="s">
        <v>1311</v>
      </c>
      <c r="E339" s="1" t="s">
        <v>2205</v>
      </c>
      <c r="F339" s="1" t="s">
        <v>112</v>
      </c>
      <c r="G339" s="1">
        <v>929977</v>
      </c>
    </row>
    <row r="340" spans="1:7" x14ac:dyDescent="0.25">
      <c r="A340" s="1" t="str">
        <f t="shared" si="5"/>
        <v>11 Fadrozole 44 µg_L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2206</v>
      </c>
      <c r="D340" s="1" t="s">
        <v>2207</v>
      </c>
      <c r="E340" s="1" t="s">
        <v>2208</v>
      </c>
      <c r="F340" s="1" t="s">
        <v>112</v>
      </c>
      <c r="G340" s="1">
        <v>512542</v>
      </c>
    </row>
    <row r="341" spans="1:7" x14ac:dyDescent="0.25">
      <c r="A341" s="1" t="str">
        <f t="shared" si="5"/>
        <v>11 Fadrozole 44 µg_L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2209</v>
      </c>
      <c r="D341" s="1" t="s">
        <v>370</v>
      </c>
      <c r="E341" s="1" t="s">
        <v>2210</v>
      </c>
      <c r="F341" s="1" t="s">
        <v>112</v>
      </c>
      <c r="G341" s="1">
        <v>28357</v>
      </c>
    </row>
    <row r="342" spans="1:7" x14ac:dyDescent="0.25">
      <c r="A342" s="1" t="str">
        <f t="shared" si="5"/>
        <v>11 Fadrozole 44 µg_L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2211</v>
      </c>
      <c r="D342" s="1" t="s">
        <v>1325</v>
      </c>
      <c r="E342" s="1" t="s">
        <v>2212</v>
      </c>
      <c r="F342" s="1" t="s">
        <v>112</v>
      </c>
      <c r="G342" s="1">
        <v>36965</v>
      </c>
    </row>
    <row r="343" spans="1:7" x14ac:dyDescent="0.25">
      <c r="A343" s="1" t="str">
        <f t="shared" si="5"/>
        <v>11 Fadrozole 44 µg_L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2213</v>
      </c>
      <c r="D343" s="1" t="s">
        <v>738</v>
      </c>
      <c r="E343" s="1" t="s">
        <v>272</v>
      </c>
      <c r="F343" s="1" t="s">
        <v>112</v>
      </c>
      <c r="G343" s="1">
        <v>30066</v>
      </c>
    </row>
    <row r="344" spans="1:7" x14ac:dyDescent="0.25">
      <c r="A344" s="1" t="str">
        <f t="shared" si="5"/>
        <v>11 Fadrozole 44 µg_L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2214</v>
      </c>
      <c r="D344" s="1" t="s">
        <v>1215</v>
      </c>
      <c r="E344" s="1" t="s">
        <v>2215</v>
      </c>
      <c r="F344" s="1" t="s">
        <v>112</v>
      </c>
      <c r="G344" s="1">
        <v>75510</v>
      </c>
    </row>
    <row r="345" spans="1:7" x14ac:dyDescent="0.25">
      <c r="A345" s="1" t="str">
        <f t="shared" si="5"/>
        <v>11 Fadrozole 44 µg_L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2216</v>
      </c>
      <c r="D345" s="1" t="s">
        <v>784</v>
      </c>
      <c r="E345" s="1" t="s">
        <v>2034</v>
      </c>
      <c r="F345" s="1" t="s">
        <v>112</v>
      </c>
      <c r="G345" s="1">
        <v>25350</v>
      </c>
    </row>
    <row r="346" spans="1:7" x14ac:dyDescent="0.25">
      <c r="A346" s="1" t="str">
        <f t="shared" si="5"/>
        <v>11 Fadrozole 44 µg_L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2217</v>
      </c>
      <c r="D346" s="1" t="s">
        <v>1224</v>
      </c>
      <c r="E346" s="1" t="s">
        <v>2218</v>
      </c>
      <c r="F346" s="1" t="s">
        <v>112</v>
      </c>
      <c r="G346" s="1">
        <v>131380</v>
      </c>
    </row>
    <row r="347" spans="1:7" x14ac:dyDescent="0.25">
      <c r="A347" s="1" t="str">
        <f t="shared" si="5"/>
        <v>11 Fadrozole 44 µg_L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2219</v>
      </c>
      <c r="D347" s="1" t="s">
        <v>885</v>
      </c>
      <c r="E347" s="1" t="s">
        <v>2220</v>
      </c>
      <c r="F347" s="1" t="s">
        <v>112</v>
      </c>
      <c r="G347" s="1">
        <v>392431</v>
      </c>
    </row>
    <row r="348" spans="1:7" x14ac:dyDescent="0.25">
      <c r="A348" s="1" t="str">
        <f t="shared" si="5"/>
        <v>11 Fadrozole 44 µg_L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2221</v>
      </c>
      <c r="D348" s="1" t="s">
        <v>769</v>
      </c>
      <c r="E348" s="1" t="s">
        <v>2222</v>
      </c>
      <c r="F348" s="1" t="s">
        <v>112</v>
      </c>
      <c r="G348" s="1">
        <v>43584</v>
      </c>
    </row>
    <row r="349" spans="1:7" x14ac:dyDescent="0.25">
      <c r="A349" s="1" t="str">
        <f t="shared" si="5"/>
        <v>11 Fadrozole 44 µg_L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2223</v>
      </c>
      <c r="D349" s="1" t="s">
        <v>2224</v>
      </c>
      <c r="E349" s="1" t="s">
        <v>2225</v>
      </c>
      <c r="F349" s="1" t="s">
        <v>112</v>
      </c>
      <c r="G349" s="1">
        <v>372770</v>
      </c>
    </row>
    <row r="350" spans="1:7" x14ac:dyDescent="0.25">
      <c r="A350" s="1" t="str">
        <f t="shared" si="5"/>
        <v>11 Fadrozole 44 µg_L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2226</v>
      </c>
    </row>
    <row r="351" spans="1:7" x14ac:dyDescent="0.25">
      <c r="A351" s="1" t="str">
        <f t="shared" si="5"/>
        <v>11 Fadrozole 44 µg_L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2227</v>
      </c>
      <c r="D351" s="1" t="s">
        <v>410</v>
      </c>
      <c r="E351" s="1" t="s">
        <v>2228</v>
      </c>
      <c r="F351" s="1" t="s">
        <v>112</v>
      </c>
      <c r="G351" s="1">
        <v>599537</v>
      </c>
    </row>
    <row r="352" spans="1:7" x14ac:dyDescent="0.25">
      <c r="A352" s="1" t="str">
        <f t="shared" si="5"/>
        <v>11 Fadrozole 44 µg_L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2229</v>
      </c>
      <c r="D352" s="1" t="s">
        <v>2230</v>
      </c>
      <c r="E352" s="1" t="s">
        <v>2231</v>
      </c>
      <c r="F352" s="1" t="s">
        <v>112</v>
      </c>
      <c r="G352" s="1">
        <v>630273</v>
      </c>
    </row>
    <row r="353" spans="1:10" x14ac:dyDescent="0.25">
      <c r="A353" s="1" t="str">
        <f t="shared" si="5"/>
        <v>11 Fadrozole 44 µg_L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2232</v>
      </c>
      <c r="D353" s="1" t="s">
        <v>907</v>
      </c>
      <c r="E353" s="1" t="s">
        <v>2233</v>
      </c>
      <c r="F353" s="1" t="s">
        <v>112</v>
      </c>
      <c r="G353" s="1">
        <v>169946</v>
      </c>
    </row>
    <row r="354" spans="1:10" x14ac:dyDescent="0.25">
      <c r="A354" s="1" t="str">
        <f t="shared" si="5"/>
        <v>11 Fadrozole 44 µg_L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2234</v>
      </c>
      <c r="D354" s="1" t="s">
        <v>2235</v>
      </c>
      <c r="E354" s="1" t="s">
        <v>2236</v>
      </c>
      <c r="F354" s="1" t="s">
        <v>112</v>
      </c>
      <c r="G354" s="1">
        <v>70146</v>
      </c>
    </row>
    <row r="355" spans="1:10" x14ac:dyDescent="0.25">
      <c r="A355" s="1" t="str">
        <f t="shared" si="5"/>
        <v>11 Fadrozole 44 µg_L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2237</v>
      </c>
      <c r="D355" s="1" t="s">
        <v>172</v>
      </c>
      <c r="E355" s="1" t="s">
        <v>2238</v>
      </c>
      <c r="F355" s="1" t="s">
        <v>112</v>
      </c>
      <c r="G355" s="1">
        <v>125691</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236</v>
      </c>
      <c r="D357" s="1" t="s">
        <v>112</v>
      </c>
      <c r="E357" s="1" t="s">
        <v>237</v>
      </c>
      <c r="F357" s="1" t="s">
        <v>238</v>
      </c>
      <c r="G357" s="1" t="s">
        <v>239</v>
      </c>
      <c r="H357" s="1" t="s">
        <v>240</v>
      </c>
      <c r="I357" s="1" t="s">
        <v>241</v>
      </c>
      <c r="J357" s="1" t="s">
        <v>242</v>
      </c>
    </row>
    <row r="358" spans="1:10" x14ac:dyDescent="0.25">
      <c r="A358" s="1" t="str">
        <f t="shared" si="5"/>
        <v>11 Fadrozole 44 µg_L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2239</v>
      </c>
      <c r="D358" s="1" t="s">
        <v>112</v>
      </c>
      <c r="E358" s="1" t="s">
        <v>2240</v>
      </c>
      <c r="F358" s="1" t="s">
        <v>2241</v>
      </c>
      <c r="G358" s="1" t="s">
        <v>2242</v>
      </c>
      <c r="H358" s="1" t="s">
        <v>2243</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248</v>
      </c>
      <c r="D364" s="1" t="s">
        <v>110</v>
      </c>
      <c r="E364" s="1" t="s">
        <v>111</v>
      </c>
      <c r="F364" s="1" t="s">
        <v>112</v>
      </c>
      <c r="G364" s="1" t="s">
        <v>113</v>
      </c>
    </row>
    <row r="365" spans="1:10" x14ac:dyDescent="0.25">
      <c r="A365" s="1" t="str">
        <f t="shared" si="5"/>
        <v>12Fadrozole 87 µg_L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2244</v>
      </c>
      <c r="D365" s="1" t="s">
        <v>1435</v>
      </c>
      <c r="E365" s="1" t="s">
        <v>2245</v>
      </c>
      <c r="F365" s="1" t="s">
        <v>112</v>
      </c>
      <c r="G365" s="1">
        <v>223047</v>
      </c>
    </row>
    <row r="366" spans="1:10" x14ac:dyDescent="0.25">
      <c r="A366" s="1" t="str">
        <f t="shared" si="5"/>
        <v>12Fadrozole 87 µg_L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2246</v>
      </c>
      <c r="D366" s="1" t="s">
        <v>2247</v>
      </c>
      <c r="E366" s="1" t="s">
        <v>2248</v>
      </c>
      <c r="F366" s="1" t="s">
        <v>112</v>
      </c>
      <c r="G366" s="1">
        <v>81783</v>
      </c>
    </row>
    <row r="367" spans="1:10" x14ac:dyDescent="0.25">
      <c r="A367" s="1" t="str">
        <f t="shared" si="5"/>
        <v>12Fadrozole 87 µg_L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2249</v>
      </c>
      <c r="D367" s="1" t="s">
        <v>748</v>
      </c>
      <c r="E367" s="1" t="s">
        <v>2250</v>
      </c>
      <c r="F367" s="1" t="s">
        <v>112</v>
      </c>
      <c r="G367" s="1">
        <v>315061</v>
      </c>
    </row>
    <row r="368" spans="1:10" x14ac:dyDescent="0.25">
      <c r="A368" s="1" t="str">
        <f t="shared" si="5"/>
        <v>12Fadrozole 87 µg_L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2251</v>
      </c>
      <c r="D368" s="1" t="s">
        <v>2121</v>
      </c>
      <c r="E368" s="1" t="s">
        <v>2252</v>
      </c>
      <c r="F368" s="1" t="s">
        <v>112</v>
      </c>
      <c r="G368" s="1">
        <v>108431</v>
      </c>
    </row>
    <row r="369" spans="1:7" x14ac:dyDescent="0.25">
      <c r="A369" s="1" t="str">
        <f t="shared" si="5"/>
        <v>12Fadrozole 87 µg_L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2253</v>
      </c>
      <c r="D369" s="1" t="s">
        <v>1269</v>
      </c>
      <c r="E369" s="1" t="s">
        <v>2254</v>
      </c>
      <c r="F369" s="1" t="s">
        <v>112</v>
      </c>
      <c r="G369" s="1">
        <v>21695</v>
      </c>
    </row>
    <row r="370" spans="1:7" x14ac:dyDescent="0.25">
      <c r="A370" s="1" t="str">
        <f t="shared" si="5"/>
        <v>12Fadrozole 87 µg_L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2255</v>
      </c>
      <c r="D370" s="1" t="s">
        <v>430</v>
      </c>
      <c r="E370" s="1" t="s">
        <v>2256</v>
      </c>
      <c r="F370" s="1" t="s">
        <v>112</v>
      </c>
      <c r="G370" s="1">
        <v>132137</v>
      </c>
    </row>
    <row r="371" spans="1:7" x14ac:dyDescent="0.25">
      <c r="A371" s="1" t="str">
        <f t="shared" si="5"/>
        <v>12Fadrozole 87 µg_L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2257</v>
      </c>
      <c r="D371" s="1" t="s">
        <v>268</v>
      </c>
      <c r="E371" s="1" t="s">
        <v>2258</v>
      </c>
      <c r="F371" s="1" t="s">
        <v>112</v>
      </c>
      <c r="G371" s="1">
        <v>11053</v>
      </c>
    </row>
    <row r="372" spans="1:7" x14ac:dyDescent="0.25">
      <c r="A372" s="1" t="str">
        <f t="shared" si="5"/>
        <v>12Fadrozole 87 µg_L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2259</v>
      </c>
      <c r="D372" s="1" t="s">
        <v>2260</v>
      </c>
      <c r="E372" s="1" t="s">
        <v>2261</v>
      </c>
      <c r="F372" s="1" t="s">
        <v>112</v>
      </c>
      <c r="G372" s="1">
        <v>853710</v>
      </c>
    </row>
    <row r="373" spans="1:7" x14ac:dyDescent="0.25">
      <c r="A373" s="1" t="str">
        <f t="shared" si="5"/>
        <v>12Fadrozole 87 µg_L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2262</v>
      </c>
    </row>
    <row r="374" spans="1:7" x14ac:dyDescent="0.25">
      <c r="A374" s="1" t="str">
        <f t="shared" si="5"/>
        <v>12Fadrozole 87 µg_L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2263</v>
      </c>
      <c r="D374" s="1" t="s">
        <v>361</v>
      </c>
      <c r="E374" s="1" t="s">
        <v>805</v>
      </c>
      <c r="F374" s="1" t="s">
        <v>112</v>
      </c>
      <c r="G374" s="1">
        <v>77759</v>
      </c>
    </row>
    <row r="375" spans="1:7" x14ac:dyDescent="0.25">
      <c r="A375" s="1" t="str">
        <f t="shared" si="5"/>
        <v>12Fadrozole 87 µg_L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2264</v>
      </c>
      <c r="D375" s="1" t="s">
        <v>945</v>
      </c>
      <c r="E375" s="1" t="s">
        <v>2265</v>
      </c>
      <c r="F375" s="1" t="s">
        <v>112</v>
      </c>
      <c r="G375" s="1">
        <v>694168</v>
      </c>
    </row>
    <row r="376" spans="1:7" x14ac:dyDescent="0.25">
      <c r="A376" s="1" t="str">
        <f t="shared" si="5"/>
        <v>12Fadrozole 87 µg_L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2266</v>
      </c>
      <c r="D376" s="1" t="s">
        <v>2121</v>
      </c>
      <c r="E376" s="1" t="s">
        <v>2267</v>
      </c>
      <c r="F376" s="1" t="s">
        <v>112</v>
      </c>
      <c r="G376" s="1">
        <v>108863</v>
      </c>
    </row>
    <row r="377" spans="1:7" x14ac:dyDescent="0.25">
      <c r="A377" s="1" t="str">
        <f t="shared" si="5"/>
        <v>12Fadrozole 87 µg_L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2268</v>
      </c>
      <c r="D377" s="1" t="s">
        <v>2269</v>
      </c>
      <c r="E377" s="1" t="s">
        <v>2270</v>
      </c>
      <c r="F377" s="1" t="s">
        <v>112</v>
      </c>
      <c r="G377" s="1">
        <v>420874</v>
      </c>
    </row>
    <row r="378" spans="1:7" x14ac:dyDescent="0.25">
      <c r="A378" s="1" t="str">
        <f t="shared" si="5"/>
        <v>12Fadrozole 87 µg_L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2271</v>
      </c>
      <c r="D378" s="1" t="s">
        <v>339</v>
      </c>
      <c r="E378" s="1" t="s">
        <v>2272</v>
      </c>
      <c r="F378" s="1" t="s">
        <v>112</v>
      </c>
      <c r="G378" s="1">
        <v>94025</v>
      </c>
    </row>
    <row r="379" spans="1:7" x14ac:dyDescent="0.25">
      <c r="A379" s="1" t="str">
        <f t="shared" si="5"/>
        <v>12Fadrozole 87 µg_L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2273</v>
      </c>
      <c r="D379" s="1" t="s">
        <v>2274</v>
      </c>
      <c r="E379" s="1" t="s">
        <v>2275</v>
      </c>
      <c r="F379" s="1" t="s">
        <v>112</v>
      </c>
      <c r="G379" s="1">
        <v>423470</v>
      </c>
    </row>
    <row r="380" spans="1:7" x14ac:dyDescent="0.25">
      <c r="A380" s="1" t="str">
        <f t="shared" si="5"/>
        <v>12Fadrozole 87 µg_L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2276</v>
      </c>
      <c r="D380" s="1" t="s">
        <v>745</v>
      </c>
      <c r="E380" s="1" t="s">
        <v>2277</v>
      </c>
      <c r="F380" s="1" t="s">
        <v>112</v>
      </c>
      <c r="G380" s="1">
        <v>40340</v>
      </c>
    </row>
    <row r="381" spans="1:7" x14ac:dyDescent="0.25">
      <c r="A381" s="1" t="str">
        <f t="shared" si="5"/>
        <v>12Fadrozole 87 µg_L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2278</v>
      </c>
      <c r="D381" s="1" t="s">
        <v>745</v>
      </c>
      <c r="E381" s="1" t="s">
        <v>2279</v>
      </c>
      <c r="F381" s="1" t="s">
        <v>112</v>
      </c>
      <c r="G381" s="1">
        <v>41183</v>
      </c>
    </row>
    <row r="382" spans="1:7" x14ac:dyDescent="0.25">
      <c r="A382" s="1" t="str">
        <f t="shared" si="5"/>
        <v>12Fadrozole 87 µg_L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2280</v>
      </c>
      <c r="D382" s="1" t="s">
        <v>714</v>
      </c>
      <c r="E382" s="1" t="s">
        <v>2281</v>
      </c>
      <c r="F382" s="1" t="s">
        <v>112</v>
      </c>
      <c r="G382" s="1">
        <v>57990</v>
      </c>
    </row>
    <row r="383" spans="1:7" x14ac:dyDescent="0.25">
      <c r="A383" s="1" t="str">
        <f t="shared" si="5"/>
        <v>12Fadrozole 87 µg_L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2282</v>
      </c>
      <c r="D383" s="1" t="s">
        <v>271</v>
      </c>
      <c r="E383" s="1" t="s">
        <v>851</v>
      </c>
      <c r="F383" s="1" t="s">
        <v>112</v>
      </c>
      <c r="G383" s="1">
        <v>14925</v>
      </c>
    </row>
    <row r="384" spans="1:7" x14ac:dyDescent="0.25">
      <c r="A384" s="1" t="str">
        <f t="shared" si="5"/>
        <v>12Fadrozole 87 µg_L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2283</v>
      </c>
      <c r="D384" s="1" t="s">
        <v>217</v>
      </c>
      <c r="E384" s="1" t="s">
        <v>2284</v>
      </c>
      <c r="F384" s="1" t="s">
        <v>112</v>
      </c>
      <c r="G384" s="1">
        <v>32229</v>
      </c>
    </row>
    <row r="385" spans="1:10" x14ac:dyDescent="0.25">
      <c r="A385" s="1" t="str">
        <f t="shared" si="5"/>
        <v>12Fadrozole 87 µg_L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2285</v>
      </c>
      <c r="D385" s="1" t="s">
        <v>278</v>
      </c>
      <c r="E385" s="1" t="s">
        <v>2286</v>
      </c>
      <c r="F385" s="1" t="s">
        <v>112</v>
      </c>
      <c r="G385" s="1">
        <v>12199</v>
      </c>
    </row>
    <row r="386" spans="1:10" x14ac:dyDescent="0.25">
      <c r="A386" s="1" t="str">
        <f t="shared" ref="A386:A449" si="6">IFERROR(LEFT(RIGHT(C386,LEN(C386)-SEARCH("@",C386)),SEARCH("/",RIGHT(C386,LEN(C386)-SEARCH("@",C386)-1))),"")</f>
        <v>12Fadrozole 87 µg_L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2287</v>
      </c>
      <c r="D386" s="1" t="s">
        <v>2288</v>
      </c>
      <c r="E386" s="1" t="s">
        <v>2289</v>
      </c>
      <c r="F386" s="1" t="s">
        <v>112</v>
      </c>
      <c r="G386" s="1">
        <v>833703</v>
      </c>
    </row>
    <row r="387" spans="1:10" x14ac:dyDescent="0.25">
      <c r="A387" s="1" t="str">
        <f t="shared" si="6"/>
        <v>12Fadrozole 87 µg_L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2290</v>
      </c>
      <c r="D387" s="1" t="s">
        <v>2291</v>
      </c>
      <c r="E387" s="1" t="s">
        <v>2292</v>
      </c>
      <c r="F387" s="1" t="s">
        <v>112</v>
      </c>
      <c r="G387" s="1">
        <v>482455</v>
      </c>
    </row>
    <row r="388" spans="1:10" x14ac:dyDescent="0.25">
      <c r="A388" s="1" t="str">
        <f t="shared" si="6"/>
        <v>12Fadrozole 87 µg_L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2293</v>
      </c>
      <c r="D388" s="1" t="s">
        <v>2294</v>
      </c>
      <c r="E388" s="1" t="s">
        <v>2295</v>
      </c>
      <c r="F388" s="1" t="s">
        <v>112</v>
      </c>
      <c r="G388" s="1">
        <v>723974</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236</v>
      </c>
      <c r="D390" s="1" t="s">
        <v>112</v>
      </c>
      <c r="E390" s="1" t="s">
        <v>237</v>
      </c>
      <c r="F390" s="1" t="s">
        <v>238</v>
      </c>
      <c r="G390" s="1" t="s">
        <v>239</v>
      </c>
      <c r="H390" s="1" t="s">
        <v>240</v>
      </c>
      <c r="I390" s="1" t="s">
        <v>241</v>
      </c>
      <c r="J390" s="1" t="s">
        <v>242</v>
      </c>
    </row>
    <row r="391" spans="1:10" x14ac:dyDescent="0.25">
      <c r="A391" s="1" t="str">
        <f t="shared" si="6"/>
        <v>12Fadrozole 87 µg_L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2296</v>
      </c>
      <c r="D391" s="1" t="s">
        <v>112</v>
      </c>
      <c r="E391" s="1" t="s">
        <v>2297</v>
      </c>
      <c r="F391" s="1" t="s">
        <v>2298</v>
      </c>
      <c r="G391" s="1" t="s">
        <v>2299</v>
      </c>
      <c r="H391" s="1" t="s">
        <v>2300</v>
      </c>
      <c r="I391" s="1">
        <v>24</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248</v>
      </c>
      <c r="D397" s="1" t="s">
        <v>110</v>
      </c>
      <c r="E397" s="1" t="s">
        <v>111</v>
      </c>
      <c r="F397" s="1" t="s">
        <v>112</v>
      </c>
      <c r="G397" s="1" t="s">
        <v>113</v>
      </c>
    </row>
    <row r="398" spans="1:10" x14ac:dyDescent="0.25">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2301</v>
      </c>
      <c r="D398" s="1" t="s">
        <v>2302</v>
      </c>
      <c r="E398" s="1" t="s">
        <v>2303</v>
      </c>
      <c r="F398" s="1" t="s">
        <v>112</v>
      </c>
      <c r="G398" s="1">
        <v>4622287</v>
      </c>
    </row>
    <row r="399" spans="1:10" x14ac:dyDescent="0.25">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2304</v>
      </c>
      <c r="D399" s="1" t="s">
        <v>2305</v>
      </c>
      <c r="E399" s="1" t="s">
        <v>2306</v>
      </c>
      <c r="F399" s="1" t="s">
        <v>112</v>
      </c>
      <c r="G399" s="1">
        <v>3920829</v>
      </c>
    </row>
    <row r="400" spans="1:10" x14ac:dyDescent="0.25">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2307</v>
      </c>
      <c r="D400" s="1" t="s">
        <v>2308</v>
      </c>
      <c r="E400" s="1" t="s">
        <v>2309</v>
      </c>
      <c r="F400" s="1" t="s">
        <v>112</v>
      </c>
      <c r="G400" s="1">
        <v>4660096</v>
      </c>
    </row>
    <row r="401" spans="1:7" x14ac:dyDescent="0.25">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2310</v>
      </c>
      <c r="D401" s="1" t="s">
        <v>2311</v>
      </c>
      <c r="E401" s="1" t="s">
        <v>2312</v>
      </c>
      <c r="F401" s="1" t="s">
        <v>112</v>
      </c>
      <c r="G401" s="1">
        <v>1180170</v>
      </c>
    </row>
    <row r="402" spans="1:7" x14ac:dyDescent="0.25">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2313</v>
      </c>
      <c r="D402" s="1" t="s">
        <v>2314</v>
      </c>
      <c r="E402" s="1" t="s">
        <v>2315</v>
      </c>
      <c r="F402" s="1" t="s">
        <v>112</v>
      </c>
      <c r="G402" s="1">
        <v>961925</v>
      </c>
    </row>
    <row r="403" spans="1:7" x14ac:dyDescent="0.25">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2316</v>
      </c>
      <c r="D403" s="1" t="s">
        <v>2317</v>
      </c>
      <c r="E403" s="1" t="s">
        <v>2318</v>
      </c>
      <c r="F403" s="1" t="s">
        <v>112</v>
      </c>
      <c r="G403" s="1">
        <v>923510</v>
      </c>
    </row>
    <row r="404" spans="1:7" x14ac:dyDescent="0.25">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2319</v>
      </c>
      <c r="D404" s="1" t="s">
        <v>1752</v>
      </c>
      <c r="E404" s="1" t="s">
        <v>2320</v>
      </c>
      <c r="F404" s="1" t="s">
        <v>112</v>
      </c>
      <c r="G404" s="1">
        <v>576869</v>
      </c>
    </row>
    <row r="405" spans="1:7" x14ac:dyDescent="0.25">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2321</v>
      </c>
      <c r="D405" s="1" t="s">
        <v>2322</v>
      </c>
      <c r="E405" s="1" t="s">
        <v>2323</v>
      </c>
      <c r="F405" s="1" t="s">
        <v>112</v>
      </c>
      <c r="G405" s="1">
        <v>179982</v>
      </c>
    </row>
    <row r="406" spans="1:7" x14ac:dyDescent="0.25">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2324</v>
      </c>
      <c r="D406" s="1" t="s">
        <v>2325</v>
      </c>
      <c r="E406" s="1" t="s">
        <v>297</v>
      </c>
      <c r="F406" s="1" t="s">
        <v>112</v>
      </c>
      <c r="G406" s="1">
        <v>155757</v>
      </c>
    </row>
    <row r="407" spans="1:7" x14ac:dyDescent="0.25">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2326</v>
      </c>
      <c r="D407" s="1" t="s">
        <v>2327</v>
      </c>
      <c r="E407" s="1" t="s">
        <v>2328</v>
      </c>
      <c r="F407" s="1" t="s">
        <v>112</v>
      </c>
      <c r="G407" s="1">
        <v>3606936</v>
      </c>
    </row>
    <row r="408" spans="1:7" x14ac:dyDescent="0.25">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2329</v>
      </c>
      <c r="D408" s="1" t="s">
        <v>2330</v>
      </c>
      <c r="E408" s="1" t="s">
        <v>2331</v>
      </c>
      <c r="F408" s="1" t="s">
        <v>112</v>
      </c>
      <c r="G408" s="1">
        <v>2946878</v>
      </c>
    </row>
    <row r="409" spans="1:7" x14ac:dyDescent="0.25">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2332</v>
      </c>
      <c r="D409" s="1" t="s">
        <v>548</v>
      </c>
      <c r="E409" s="1" t="s">
        <v>2333</v>
      </c>
      <c r="F409" s="1" t="s">
        <v>112</v>
      </c>
      <c r="G409" s="1">
        <v>3218961</v>
      </c>
    </row>
    <row r="410" spans="1:7" x14ac:dyDescent="0.25">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2334</v>
      </c>
      <c r="D410" s="1" t="s">
        <v>1196</v>
      </c>
      <c r="E410" s="1" t="s">
        <v>2335</v>
      </c>
      <c r="F410" s="1" t="s">
        <v>112</v>
      </c>
      <c r="G410" s="1">
        <v>132613</v>
      </c>
    </row>
    <row r="411" spans="1:7" x14ac:dyDescent="0.25">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2336</v>
      </c>
      <c r="D411" s="1" t="s">
        <v>430</v>
      </c>
      <c r="E411" s="1" t="s">
        <v>2337</v>
      </c>
      <c r="F411" s="1" t="s">
        <v>112</v>
      </c>
      <c r="G411" s="1">
        <v>128806</v>
      </c>
    </row>
    <row r="412" spans="1:7" x14ac:dyDescent="0.25">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2338</v>
      </c>
      <c r="D412" s="1" t="s">
        <v>824</v>
      </c>
      <c r="E412" s="1" t="s">
        <v>2339</v>
      </c>
      <c r="F412" s="1" t="s">
        <v>112</v>
      </c>
      <c r="G412" s="1">
        <v>76267</v>
      </c>
    </row>
    <row r="413" spans="1:7" x14ac:dyDescent="0.25">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2340</v>
      </c>
      <c r="D413" s="1" t="s">
        <v>2341</v>
      </c>
      <c r="E413" s="1" t="s">
        <v>2342</v>
      </c>
      <c r="F413" s="1" t="s">
        <v>112</v>
      </c>
      <c r="G413" s="1">
        <v>4176019</v>
      </c>
    </row>
    <row r="414" spans="1:7" x14ac:dyDescent="0.25">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2343</v>
      </c>
      <c r="D414" s="1" t="s">
        <v>1897</v>
      </c>
      <c r="E414" s="1" t="s">
        <v>2344</v>
      </c>
      <c r="F414" s="1" t="s">
        <v>112</v>
      </c>
      <c r="G414" s="1">
        <v>3831671</v>
      </c>
    </row>
    <row r="415" spans="1:7" x14ac:dyDescent="0.25">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2345</v>
      </c>
      <c r="D415" s="1" t="s">
        <v>2346</v>
      </c>
      <c r="E415" s="1" t="s">
        <v>2347</v>
      </c>
      <c r="F415" s="1" t="s">
        <v>112</v>
      </c>
      <c r="G415" s="1">
        <v>4106306</v>
      </c>
    </row>
    <row r="416" spans="1:7" x14ac:dyDescent="0.25">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2348</v>
      </c>
      <c r="D416" s="1" t="s">
        <v>2349</v>
      </c>
      <c r="E416" s="1" t="s">
        <v>2350</v>
      </c>
      <c r="F416" s="1" t="s">
        <v>112</v>
      </c>
      <c r="G416" s="1">
        <v>2570886</v>
      </c>
    </row>
    <row r="417" spans="1:10" x14ac:dyDescent="0.25">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2351</v>
      </c>
      <c r="D417" s="1" t="s">
        <v>2352</v>
      </c>
      <c r="E417" s="1" t="s">
        <v>2353</v>
      </c>
      <c r="F417" s="1" t="s">
        <v>112</v>
      </c>
      <c r="G417" s="1">
        <v>2426982</v>
      </c>
    </row>
    <row r="418" spans="1:10" x14ac:dyDescent="0.25">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2354</v>
      </c>
      <c r="D418" s="1" t="s">
        <v>2355</v>
      </c>
      <c r="E418" s="1" t="s">
        <v>2356</v>
      </c>
      <c r="F418" s="1" t="s">
        <v>112</v>
      </c>
      <c r="G418" s="1">
        <v>1891318</v>
      </c>
    </row>
    <row r="419" spans="1:10" x14ac:dyDescent="0.25">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2357</v>
      </c>
      <c r="D419" s="1" t="s">
        <v>2358</v>
      </c>
      <c r="E419" s="1" t="s">
        <v>2359</v>
      </c>
      <c r="F419" s="1" t="s">
        <v>112</v>
      </c>
      <c r="G419" s="1">
        <v>4072931</v>
      </c>
    </row>
    <row r="420" spans="1:10" x14ac:dyDescent="0.25">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2360</v>
      </c>
      <c r="D420" s="1" t="s">
        <v>2361</v>
      </c>
      <c r="E420" s="1" t="s">
        <v>2362</v>
      </c>
      <c r="F420" s="1" t="s">
        <v>112</v>
      </c>
      <c r="G420" s="1">
        <v>3585047</v>
      </c>
    </row>
    <row r="421" spans="1:10" x14ac:dyDescent="0.25">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2363</v>
      </c>
      <c r="D421" s="1" t="s">
        <v>2364</v>
      </c>
      <c r="E421" s="1" t="s">
        <v>2365</v>
      </c>
      <c r="F421" s="1" t="s">
        <v>112</v>
      </c>
      <c r="G421" s="1">
        <v>3247361</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236</v>
      </c>
      <c r="D423" s="1" t="s">
        <v>112</v>
      </c>
      <c r="E423" s="1" t="s">
        <v>237</v>
      </c>
      <c r="F423" s="1" t="s">
        <v>238</v>
      </c>
      <c r="G423" s="1" t="s">
        <v>239</v>
      </c>
      <c r="H423" s="1" t="s">
        <v>240</v>
      </c>
      <c r="I423" s="1" t="s">
        <v>241</v>
      </c>
      <c r="J423" s="1" t="s">
        <v>242</v>
      </c>
    </row>
    <row r="424" spans="1:10" x14ac:dyDescent="0.25">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2366</v>
      </c>
      <c r="D424" s="1" t="s">
        <v>112</v>
      </c>
      <c r="E424" s="1" t="s">
        <v>2367</v>
      </c>
      <c r="F424" s="1" t="s">
        <v>2368</v>
      </c>
      <c r="G424" s="1" t="s">
        <v>2369</v>
      </c>
      <c r="H424" s="1" t="s">
        <v>2370</v>
      </c>
      <c r="I424" s="1">
        <v>24</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248</v>
      </c>
      <c r="D430" s="1" t="s">
        <v>110</v>
      </c>
      <c r="E430" s="1" t="s">
        <v>111</v>
      </c>
      <c r="F430" s="1" t="s">
        <v>112</v>
      </c>
      <c r="G430" s="1" t="s">
        <v>113</v>
      </c>
    </row>
    <row r="431" spans="1:10" x14ac:dyDescent="0.25">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2371</v>
      </c>
      <c r="D431" s="1" t="s">
        <v>2372</v>
      </c>
      <c r="E431" s="1" t="s">
        <v>2373</v>
      </c>
      <c r="F431" s="1" t="s">
        <v>112</v>
      </c>
      <c r="G431" s="1">
        <v>3819839</v>
      </c>
    </row>
    <row r="432" spans="1:10" x14ac:dyDescent="0.25">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2374</v>
      </c>
      <c r="D432" s="1" t="s">
        <v>1865</v>
      </c>
      <c r="E432" s="1" t="s">
        <v>2375</v>
      </c>
      <c r="F432" s="1" t="s">
        <v>112</v>
      </c>
      <c r="G432" s="1">
        <v>3090825</v>
      </c>
    </row>
    <row r="433" spans="1:7" x14ac:dyDescent="0.25">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2376</v>
      </c>
      <c r="D433" s="1" t="s">
        <v>2377</v>
      </c>
      <c r="E433" s="1" t="s">
        <v>2378</v>
      </c>
      <c r="F433" s="1" t="s">
        <v>112</v>
      </c>
      <c r="G433" s="1">
        <v>2943591</v>
      </c>
    </row>
    <row r="434" spans="1:7" x14ac:dyDescent="0.25">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2379</v>
      </c>
      <c r="D434" s="1" t="s">
        <v>2380</v>
      </c>
      <c r="E434" s="1" t="s">
        <v>2381</v>
      </c>
      <c r="F434" s="1" t="s">
        <v>112</v>
      </c>
      <c r="G434" s="1">
        <v>1438280</v>
      </c>
    </row>
    <row r="435" spans="1:7" x14ac:dyDescent="0.25">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2382</v>
      </c>
      <c r="D435" s="1" t="s">
        <v>2383</v>
      </c>
      <c r="E435" s="1" t="s">
        <v>2384</v>
      </c>
      <c r="F435" s="1" t="s">
        <v>112</v>
      </c>
      <c r="G435" s="1">
        <v>1625205</v>
      </c>
    </row>
    <row r="436" spans="1:7" x14ac:dyDescent="0.25">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2385</v>
      </c>
      <c r="D436" s="1" t="s">
        <v>2386</v>
      </c>
      <c r="E436" s="1" t="s">
        <v>2387</v>
      </c>
      <c r="F436" s="1" t="s">
        <v>112</v>
      </c>
      <c r="G436" s="1">
        <v>1528931</v>
      </c>
    </row>
    <row r="437" spans="1:7" x14ac:dyDescent="0.25">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2388</v>
      </c>
      <c r="D437" s="1" t="s">
        <v>2389</v>
      </c>
      <c r="E437" s="1" t="s">
        <v>2390</v>
      </c>
      <c r="F437" s="1" t="s">
        <v>112</v>
      </c>
      <c r="G437" s="1">
        <v>3529004</v>
      </c>
    </row>
    <row r="438" spans="1:7" x14ac:dyDescent="0.25">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2391</v>
      </c>
      <c r="D438" s="1" t="s">
        <v>2392</v>
      </c>
      <c r="E438" s="1" t="s">
        <v>2393</v>
      </c>
      <c r="F438" s="1" t="s">
        <v>112</v>
      </c>
      <c r="G438" s="1">
        <v>3925026</v>
      </c>
    </row>
    <row r="439" spans="1:7" x14ac:dyDescent="0.25">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2394</v>
      </c>
      <c r="D439" s="1" t="s">
        <v>2395</v>
      </c>
      <c r="E439" s="1" t="s">
        <v>2396</v>
      </c>
      <c r="F439" s="1" t="s">
        <v>112</v>
      </c>
      <c r="G439" s="1">
        <v>3708381</v>
      </c>
    </row>
    <row r="440" spans="1:7" x14ac:dyDescent="0.25">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2397</v>
      </c>
      <c r="D440" s="1" t="s">
        <v>2398</v>
      </c>
      <c r="E440" s="1" t="s">
        <v>2399</v>
      </c>
      <c r="F440" s="1" t="s">
        <v>112</v>
      </c>
      <c r="G440" s="1">
        <v>4460776</v>
      </c>
    </row>
    <row r="441" spans="1:7" x14ac:dyDescent="0.25">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2400</v>
      </c>
      <c r="D441" s="1" t="s">
        <v>2401</v>
      </c>
      <c r="E441" s="1" t="s">
        <v>2402</v>
      </c>
      <c r="F441" s="1" t="s">
        <v>112</v>
      </c>
      <c r="G441" s="1">
        <v>3933375</v>
      </c>
    </row>
    <row r="442" spans="1:7" x14ac:dyDescent="0.25">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2403</v>
      </c>
    </row>
    <row r="443" spans="1:7" x14ac:dyDescent="0.25">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2404</v>
      </c>
      <c r="D443" s="1" t="s">
        <v>2405</v>
      </c>
      <c r="E443" s="1" t="s">
        <v>2406</v>
      </c>
      <c r="F443" s="1" t="s">
        <v>112</v>
      </c>
      <c r="G443" s="1">
        <v>829160</v>
      </c>
    </row>
    <row r="444" spans="1:7" x14ac:dyDescent="0.25">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2407</v>
      </c>
      <c r="D444" s="1" t="s">
        <v>2408</v>
      </c>
      <c r="E444" s="1" t="s">
        <v>2409</v>
      </c>
      <c r="F444" s="1" t="s">
        <v>112</v>
      </c>
      <c r="G444" s="1">
        <v>840538</v>
      </c>
    </row>
    <row r="445" spans="1:7" x14ac:dyDescent="0.25">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2410</v>
      </c>
      <c r="D445" s="1" t="s">
        <v>2411</v>
      </c>
      <c r="E445" s="1" t="s">
        <v>2412</v>
      </c>
      <c r="F445" s="1" t="s">
        <v>112</v>
      </c>
      <c r="G445" s="1">
        <v>875751</v>
      </c>
    </row>
    <row r="446" spans="1:7" x14ac:dyDescent="0.25">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2413</v>
      </c>
      <c r="D446" s="1" t="s">
        <v>2414</v>
      </c>
      <c r="E446" s="1" t="s">
        <v>2415</v>
      </c>
      <c r="F446" s="1" t="s">
        <v>112</v>
      </c>
      <c r="G446" s="1">
        <v>3069196</v>
      </c>
    </row>
    <row r="447" spans="1:7" x14ac:dyDescent="0.25">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2416</v>
      </c>
      <c r="D447" s="1" t="s">
        <v>654</v>
      </c>
      <c r="E447" s="1" t="s">
        <v>2417</v>
      </c>
      <c r="F447" s="1" t="s">
        <v>112</v>
      </c>
      <c r="G447" s="1">
        <v>2825232</v>
      </c>
    </row>
    <row r="448" spans="1:7" x14ac:dyDescent="0.25">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2418</v>
      </c>
      <c r="D448" s="1" t="s">
        <v>2419</v>
      </c>
      <c r="E448" s="1" t="s">
        <v>2420</v>
      </c>
      <c r="F448" s="1" t="s">
        <v>112</v>
      </c>
      <c r="G448" s="1">
        <v>2515319</v>
      </c>
    </row>
    <row r="449" spans="1:10" x14ac:dyDescent="0.25">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2421</v>
      </c>
    </row>
    <row r="450" spans="1:10" x14ac:dyDescent="0.25">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2422</v>
      </c>
    </row>
    <row r="451" spans="1:10" x14ac:dyDescent="0.25">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2423</v>
      </c>
    </row>
    <row r="452" spans="1:10" x14ac:dyDescent="0.25">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2424</v>
      </c>
      <c r="D452" s="1" t="s">
        <v>2425</v>
      </c>
      <c r="E452" s="1" t="s">
        <v>2426</v>
      </c>
      <c r="F452" s="1" t="s">
        <v>112</v>
      </c>
      <c r="G452" s="1">
        <v>2058366</v>
      </c>
    </row>
    <row r="453" spans="1:10" x14ac:dyDescent="0.25">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2427</v>
      </c>
      <c r="D453" s="1" t="s">
        <v>2428</v>
      </c>
      <c r="E453" s="1" t="s">
        <v>2429</v>
      </c>
      <c r="F453" s="1" t="s">
        <v>112</v>
      </c>
      <c r="G453" s="1">
        <v>1575175</v>
      </c>
    </row>
    <row r="454" spans="1:10" x14ac:dyDescent="0.25">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2430</v>
      </c>
      <c r="D454" s="1" t="s">
        <v>2431</v>
      </c>
      <c r="E454" s="1" t="s">
        <v>2432</v>
      </c>
      <c r="F454" s="1" t="s">
        <v>112</v>
      </c>
      <c r="G454" s="1">
        <v>850639</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236</v>
      </c>
      <c r="D456" s="1" t="s">
        <v>112</v>
      </c>
      <c r="E456" s="1" t="s">
        <v>237</v>
      </c>
      <c r="F456" s="1" t="s">
        <v>238</v>
      </c>
      <c r="G456" s="1" t="s">
        <v>239</v>
      </c>
      <c r="H456" s="1" t="s">
        <v>240</v>
      </c>
      <c r="I456" s="1" t="s">
        <v>241</v>
      </c>
      <c r="J456" s="1" t="s">
        <v>242</v>
      </c>
    </row>
    <row r="457" spans="1:10" x14ac:dyDescent="0.25">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2433</v>
      </c>
      <c r="D457" s="1" t="s">
        <v>112</v>
      </c>
      <c r="E457" s="1" t="s">
        <v>2434</v>
      </c>
      <c r="F457" s="1" t="s">
        <v>2435</v>
      </c>
      <c r="G457" s="1" t="s">
        <v>2436</v>
      </c>
      <c r="H457" s="1" t="s">
        <v>2437</v>
      </c>
      <c r="I457" s="1">
        <v>24</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248</v>
      </c>
      <c r="D463" s="1" t="s">
        <v>110</v>
      </c>
      <c r="E463" s="1" t="s">
        <v>111</v>
      </c>
      <c r="F463" s="1" t="s">
        <v>112</v>
      </c>
      <c r="G463" s="1" t="s">
        <v>113</v>
      </c>
    </row>
    <row r="464" spans="1:10" x14ac:dyDescent="0.25">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2438</v>
      </c>
      <c r="D464" s="1" t="s">
        <v>1917</v>
      </c>
      <c r="E464" s="1" t="s">
        <v>2439</v>
      </c>
      <c r="F464" s="1" t="s">
        <v>112</v>
      </c>
      <c r="G464" s="1">
        <v>2475152</v>
      </c>
    </row>
    <row r="465" spans="1:7" x14ac:dyDescent="0.25">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2440</v>
      </c>
      <c r="D465" s="1" t="s">
        <v>2441</v>
      </c>
      <c r="E465" s="1" t="s">
        <v>2442</v>
      </c>
      <c r="F465" s="1" t="s">
        <v>112</v>
      </c>
      <c r="G465" s="1">
        <v>2000311</v>
      </c>
    </row>
    <row r="466" spans="1:7" x14ac:dyDescent="0.25">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2443</v>
      </c>
      <c r="D466" s="1" t="s">
        <v>2444</v>
      </c>
      <c r="E466" s="1" t="s">
        <v>2445</v>
      </c>
      <c r="F466" s="1" t="s">
        <v>112</v>
      </c>
      <c r="G466" s="1">
        <v>1991508</v>
      </c>
    </row>
    <row r="467" spans="1:7" x14ac:dyDescent="0.25">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2446</v>
      </c>
      <c r="D467" s="1" t="s">
        <v>2447</v>
      </c>
      <c r="E467" s="1" t="s">
        <v>2448</v>
      </c>
      <c r="F467" s="1" t="s">
        <v>112</v>
      </c>
      <c r="G467" s="1">
        <v>2281305</v>
      </c>
    </row>
    <row r="468" spans="1:7" x14ac:dyDescent="0.25">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2449</v>
      </c>
      <c r="D468" s="1" t="s">
        <v>557</v>
      </c>
      <c r="E468" s="1" t="s">
        <v>2450</v>
      </c>
      <c r="F468" s="1" t="s">
        <v>112</v>
      </c>
      <c r="G468" s="1">
        <v>2407948</v>
      </c>
    </row>
    <row r="469" spans="1:7" x14ac:dyDescent="0.25">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2451</v>
      </c>
      <c r="D469" s="1" t="s">
        <v>2452</v>
      </c>
      <c r="E469" s="1" t="s">
        <v>2453</v>
      </c>
      <c r="F469" s="1" t="s">
        <v>112</v>
      </c>
      <c r="G469" s="1">
        <v>2604239</v>
      </c>
    </row>
    <row r="470" spans="1:7" x14ac:dyDescent="0.25">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2454</v>
      </c>
      <c r="D470" s="1" t="s">
        <v>2455</v>
      </c>
      <c r="E470" s="1" t="s">
        <v>2456</v>
      </c>
      <c r="F470" s="1" t="s">
        <v>112</v>
      </c>
      <c r="G470" s="1">
        <v>4439644</v>
      </c>
    </row>
    <row r="471" spans="1:7" x14ac:dyDescent="0.25">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2457</v>
      </c>
      <c r="D471" s="1" t="s">
        <v>2458</v>
      </c>
      <c r="E471" s="1" t="s">
        <v>2459</v>
      </c>
      <c r="F471" s="1" t="s">
        <v>112</v>
      </c>
      <c r="G471" s="1">
        <v>3791483</v>
      </c>
    </row>
    <row r="472" spans="1:7" x14ac:dyDescent="0.25">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2460</v>
      </c>
      <c r="D472" s="1" t="s">
        <v>2461</v>
      </c>
      <c r="E472" s="1" t="s">
        <v>2462</v>
      </c>
      <c r="F472" s="1" t="s">
        <v>112</v>
      </c>
      <c r="G472" s="1">
        <v>4255314</v>
      </c>
    </row>
    <row r="473" spans="1:7" x14ac:dyDescent="0.25">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2463</v>
      </c>
      <c r="D473" s="1" t="s">
        <v>161</v>
      </c>
      <c r="E473" s="1" t="s">
        <v>2464</v>
      </c>
      <c r="F473" s="1" t="s">
        <v>112</v>
      </c>
      <c r="G473" s="1">
        <v>1679864</v>
      </c>
    </row>
    <row r="474" spans="1:7" x14ac:dyDescent="0.25">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2465</v>
      </c>
      <c r="D474" s="1" t="s">
        <v>2466</v>
      </c>
      <c r="E474" s="1" t="s">
        <v>2467</v>
      </c>
      <c r="F474" s="1" t="s">
        <v>112</v>
      </c>
      <c r="G474" s="1">
        <v>1402288</v>
      </c>
    </row>
    <row r="475" spans="1:7" x14ac:dyDescent="0.25">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2468</v>
      </c>
      <c r="D475" s="1" t="s">
        <v>2469</v>
      </c>
      <c r="E475" s="1" t="s">
        <v>2470</v>
      </c>
      <c r="F475" s="1" t="s">
        <v>112</v>
      </c>
      <c r="G475" s="1">
        <v>1318385</v>
      </c>
    </row>
    <row r="476" spans="1:7" x14ac:dyDescent="0.25">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2471</v>
      </c>
      <c r="D476" s="1" t="s">
        <v>2472</v>
      </c>
      <c r="E476" s="1" t="s">
        <v>2473</v>
      </c>
      <c r="F476" s="1" t="s">
        <v>112</v>
      </c>
      <c r="G476" s="1">
        <v>5167057</v>
      </c>
    </row>
    <row r="477" spans="1:7" x14ac:dyDescent="0.25">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2474</v>
      </c>
      <c r="D477" s="1" t="s">
        <v>2475</v>
      </c>
      <c r="E477" s="1" t="s">
        <v>2476</v>
      </c>
      <c r="F477" s="1" t="s">
        <v>112</v>
      </c>
      <c r="G477" s="1">
        <v>5099832</v>
      </c>
    </row>
    <row r="478" spans="1:7" x14ac:dyDescent="0.25">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2477</v>
      </c>
      <c r="D478" s="1" t="s">
        <v>2478</v>
      </c>
      <c r="E478" s="1" t="s">
        <v>2479</v>
      </c>
      <c r="F478" s="1" t="s">
        <v>112</v>
      </c>
      <c r="G478" s="1">
        <v>5219834</v>
      </c>
    </row>
    <row r="479" spans="1:7" x14ac:dyDescent="0.25">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2480</v>
      </c>
      <c r="D479" s="1" t="s">
        <v>2395</v>
      </c>
      <c r="E479" s="1" t="s">
        <v>2481</v>
      </c>
      <c r="F479" s="1" t="s">
        <v>112</v>
      </c>
      <c r="G479" s="1">
        <v>4109053</v>
      </c>
    </row>
    <row r="480" spans="1:7" x14ac:dyDescent="0.25">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2482</v>
      </c>
      <c r="D480" s="1" t="s">
        <v>2483</v>
      </c>
      <c r="E480" s="1" t="s">
        <v>1053</v>
      </c>
      <c r="F480" s="1" t="s">
        <v>112</v>
      </c>
      <c r="G480" s="1">
        <v>4063197</v>
      </c>
    </row>
    <row r="481" spans="1:10" x14ac:dyDescent="0.25">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2484</v>
      </c>
      <c r="D481" s="1" t="s">
        <v>2485</v>
      </c>
      <c r="E481" s="1" t="s">
        <v>2486</v>
      </c>
      <c r="F481" s="1" t="s">
        <v>112</v>
      </c>
      <c r="G481" s="1">
        <v>4247398</v>
      </c>
    </row>
    <row r="482" spans="1:10" x14ac:dyDescent="0.25">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2487</v>
      </c>
      <c r="D482" s="1" t="s">
        <v>2488</v>
      </c>
      <c r="E482" s="1" t="s">
        <v>2489</v>
      </c>
      <c r="F482" s="1" t="s">
        <v>112</v>
      </c>
      <c r="G482" s="1">
        <v>796196</v>
      </c>
    </row>
    <row r="483" spans="1:10" x14ac:dyDescent="0.25">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2490</v>
      </c>
      <c r="D483" s="1" t="s">
        <v>2491</v>
      </c>
      <c r="E483" s="1" t="s">
        <v>2492</v>
      </c>
      <c r="F483" s="1" t="s">
        <v>112</v>
      </c>
      <c r="G483" s="1">
        <v>889854</v>
      </c>
    </row>
    <row r="484" spans="1:10" x14ac:dyDescent="0.25">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2493</v>
      </c>
    </row>
    <row r="485" spans="1:10" x14ac:dyDescent="0.25">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2494</v>
      </c>
      <c r="D485" s="1" t="s">
        <v>2495</v>
      </c>
      <c r="E485" s="1" t="s">
        <v>2496</v>
      </c>
      <c r="F485" s="1" t="s">
        <v>112</v>
      </c>
      <c r="G485" s="1">
        <v>2880020</v>
      </c>
    </row>
    <row r="486" spans="1:10" x14ac:dyDescent="0.25">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2497</v>
      </c>
      <c r="D486" s="1" t="s">
        <v>2498</v>
      </c>
      <c r="E486" s="1" t="s">
        <v>2499</v>
      </c>
      <c r="F486" s="1" t="s">
        <v>112</v>
      </c>
      <c r="G486" s="1">
        <v>2866675</v>
      </c>
    </row>
    <row r="487" spans="1:10" x14ac:dyDescent="0.25">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2500</v>
      </c>
      <c r="D487" s="1" t="s">
        <v>2501</v>
      </c>
      <c r="E487" s="1" t="s">
        <v>2502</v>
      </c>
      <c r="F487" s="1" t="s">
        <v>112</v>
      </c>
      <c r="G487" s="1">
        <v>2473703</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236</v>
      </c>
      <c r="D489" s="1" t="s">
        <v>112</v>
      </c>
      <c r="E489" s="1" t="s">
        <v>237</v>
      </c>
      <c r="F489" s="1" t="s">
        <v>238</v>
      </c>
      <c r="G489" s="1" t="s">
        <v>239</v>
      </c>
      <c r="H489" s="1" t="s">
        <v>240</v>
      </c>
      <c r="I489" s="1" t="s">
        <v>241</v>
      </c>
      <c r="J489" s="1" t="s">
        <v>242</v>
      </c>
    </row>
    <row r="490" spans="1:10" x14ac:dyDescent="0.25">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2503</v>
      </c>
      <c r="D490" s="1" t="s">
        <v>112</v>
      </c>
      <c r="E490" s="1" t="s">
        <v>2504</v>
      </c>
      <c r="F490" s="1" t="s">
        <v>2505</v>
      </c>
      <c r="G490" s="1" t="s">
        <v>2506</v>
      </c>
      <c r="H490" s="1" t="s">
        <v>2507</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248</v>
      </c>
      <c r="D496" s="1" t="s">
        <v>110</v>
      </c>
      <c r="E496" s="1" t="s">
        <v>111</v>
      </c>
      <c r="F496" s="1" t="s">
        <v>112</v>
      </c>
      <c r="G496" s="1" t="s">
        <v>113</v>
      </c>
    </row>
    <row r="497" spans="1:7" x14ac:dyDescent="0.25">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2508</v>
      </c>
      <c r="D497" s="1" t="s">
        <v>1627</v>
      </c>
      <c r="E497" s="1" t="s">
        <v>2509</v>
      </c>
      <c r="F497" s="1" t="s">
        <v>112</v>
      </c>
      <c r="G497" s="1">
        <v>283287</v>
      </c>
    </row>
    <row r="498" spans="1:7" x14ac:dyDescent="0.25">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2510</v>
      </c>
      <c r="D498" s="1" t="s">
        <v>268</v>
      </c>
      <c r="E498" s="1">
        <v>66</v>
      </c>
      <c r="F498" s="1" t="s">
        <v>112</v>
      </c>
      <c r="G498" s="1">
        <v>11421</v>
      </c>
    </row>
    <row r="499" spans="1:7" x14ac:dyDescent="0.25">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2511</v>
      </c>
      <c r="D499" s="1" t="s">
        <v>278</v>
      </c>
      <c r="E499" s="1" t="s">
        <v>2286</v>
      </c>
      <c r="F499" s="1" t="s">
        <v>112</v>
      </c>
      <c r="G499" s="1">
        <v>12199</v>
      </c>
    </row>
    <row r="500" spans="1:7" x14ac:dyDescent="0.25">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2512</v>
      </c>
      <c r="D500" s="1" t="s">
        <v>2513</v>
      </c>
      <c r="E500" s="1" t="s">
        <v>2514</v>
      </c>
      <c r="F500" s="1" t="s">
        <v>112</v>
      </c>
      <c r="G500" s="1">
        <v>382979</v>
      </c>
    </row>
    <row r="501" spans="1:7" x14ac:dyDescent="0.25">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2515</v>
      </c>
      <c r="D501" s="1" t="s">
        <v>2516</v>
      </c>
      <c r="E501" s="1" t="s">
        <v>2517</v>
      </c>
      <c r="F501" s="1" t="s">
        <v>112</v>
      </c>
      <c r="G501" s="1">
        <v>472137</v>
      </c>
    </row>
    <row r="502" spans="1:7" x14ac:dyDescent="0.25">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2518</v>
      </c>
      <c r="D502" s="1" t="s">
        <v>175</v>
      </c>
      <c r="E502" s="1" t="s">
        <v>215</v>
      </c>
      <c r="F502" s="1" t="s">
        <v>112</v>
      </c>
      <c r="G502" s="1">
        <v>20548</v>
      </c>
    </row>
    <row r="503" spans="1:7" x14ac:dyDescent="0.25">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2519</v>
      </c>
      <c r="D503" s="1" t="s">
        <v>2520</v>
      </c>
      <c r="E503" s="1" t="s">
        <v>2521</v>
      </c>
      <c r="F503" s="1" t="s">
        <v>112</v>
      </c>
      <c r="G503" s="1">
        <v>656446</v>
      </c>
    </row>
    <row r="504" spans="1:7" x14ac:dyDescent="0.25">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2522</v>
      </c>
      <c r="D504" s="1" t="s">
        <v>1269</v>
      </c>
      <c r="E504" s="1" t="s">
        <v>2258</v>
      </c>
      <c r="F504" s="1" t="s">
        <v>112</v>
      </c>
      <c r="G504" s="1">
        <v>22106</v>
      </c>
    </row>
    <row r="505" spans="1:7" x14ac:dyDescent="0.25">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2523</v>
      </c>
      <c r="D505" s="1" t="s">
        <v>2520</v>
      </c>
      <c r="E505" s="1" t="s">
        <v>2524</v>
      </c>
      <c r="F505" s="1" t="s">
        <v>112</v>
      </c>
      <c r="G505" s="1">
        <v>665898</v>
      </c>
    </row>
    <row r="506" spans="1:7" x14ac:dyDescent="0.25">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2525</v>
      </c>
      <c r="D506" s="1" t="s">
        <v>2526</v>
      </c>
      <c r="E506" s="1" t="s">
        <v>2527</v>
      </c>
      <c r="F506" s="1" t="s">
        <v>112</v>
      </c>
      <c r="G506" s="1">
        <v>126146</v>
      </c>
    </row>
    <row r="507" spans="1:7" x14ac:dyDescent="0.25">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2528</v>
      </c>
      <c r="D507" s="1" t="s">
        <v>819</v>
      </c>
      <c r="E507" s="1" t="s">
        <v>2529</v>
      </c>
      <c r="F507" s="1" t="s">
        <v>112</v>
      </c>
      <c r="G507" s="1">
        <v>68934</v>
      </c>
    </row>
    <row r="508" spans="1:7" x14ac:dyDescent="0.25">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2530</v>
      </c>
      <c r="D508" s="1" t="s">
        <v>824</v>
      </c>
      <c r="E508" s="1" t="s">
        <v>2531</v>
      </c>
      <c r="F508" s="1" t="s">
        <v>112</v>
      </c>
      <c r="G508" s="1">
        <v>77240</v>
      </c>
    </row>
    <row r="509" spans="1:7" x14ac:dyDescent="0.25">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2532</v>
      </c>
    </row>
    <row r="510" spans="1:7" x14ac:dyDescent="0.25">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2533</v>
      </c>
      <c r="D510" s="1" t="s">
        <v>853</v>
      </c>
      <c r="E510" s="1" t="s">
        <v>2534</v>
      </c>
      <c r="F510" s="1" t="s">
        <v>112</v>
      </c>
      <c r="G510" s="1">
        <v>9669</v>
      </c>
    </row>
    <row r="511" spans="1:7" x14ac:dyDescent="0.25">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2535</v>
      </c>
      <c r="D511" s="1" t="s">
        <v>278</v>
      </c>
      <c r="E511" s="1" t="s">
        <v>2536</v>
      </c>
      <c r="F511" s="1" t="s">
        <v>112</v>
      </c>
      <c r="G511" s="1">
        <v>11896</v>
      </c>
    </row>
    <row r="512" spans="1:7" x14ac:dyDescent="0.25">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2537</v>
      </c>
      <c r="D512" s="1" t="s">
        <v>189</v>
      </c>
      <c r="E512" s="1" t="s">
        <v>2538</v>
      </c>
      <c r="F512" s="1" t="s">
        <v>112</v>
      </c>
      <c r="G512" s="1">
        <v>23793</v>
      </c>
    </row>
    <row r="513" spans="1:10" x14ac:dyDescent="0.25">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2539</v>
      </c>
      <c r="D513" s="1" t="s">
        <v>186</v>
      </c>
      <c r="E513" s="1" t="s">
        <v>1239</v>
      </c>
      <c r="F513" s="1" t="s">
        <v>112</v>
      </c>
      <c r="G513" s="1">
        <v>19813</v>
      </c>
    </row>
    <row r="514" spans="1:10" x14ac:dyDescent="0.25">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2540</v>
      </c>
      <c r="D514" s="1" t="s">
        <v>271</v>
      </c>
      <c r="E514" s="1" t="s">
        <v>2541</v>
      </c>
      <c r="F514" s="1" t="s">
        <v>112</v>
      </c>
      <c r="G514" s="1">
        <v>15444</v>
      </c>
    </row>
    <row r="515" spans="1:10" x14ac:dyDescent="0.25">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2542</v>
      </c>
      <c r="D515" s="1" t="s">
        <v>816</v>
      </c>
      <c r="E515" s="1" t="s">
        <v>2543</v>
      </c>
      <c r="F515" s="1" t="s">
        <v>112</v>
      </c>
      <c r="G515" s="1">
        <v>90478</v>
      </c>
    </row>
    <row r="516" spans="1:10" x14ac:dyDescent="0.25">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2544</v>
      </c>
      <c r="D516" s="1" t="s">
        <v>353</v>
      </c>
      <c r="E516" s="1" t="s">
        <v>2545</v>
      </c>
      <c r="F516" s="1" t="s">
        <v>112</v>
      </c>
      <c r="G516" s="1">
        <v>13800</v>
      </c>
    </row>
    <row r="517" spans="1:10" x14ac:dyDescent="0.25">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2546</v>
      </c>
      <c r="D517" s="1" t="s">
        <v>2547</v>
      </c>
      <c r="E517" s="1" t="s">
        <v>2548</v>
      </c>
      <c r="F517" s="1" t="s">
        <v>112</v>
      </c>
      <c r="G517" s="1">
        <v>155865</v>
      </c>
    </row>
    <row r="518" spans="1:10" x14ac:dyDescent="0.25">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2549</v>
      </c>
      <c r="D518" s="1" t="s">
        <v>234</v>
      </c>
      <c r="E518" s="1">
        <v>65</v>
      </c>
      <c r="F518" s="1" t="s">
        <v>112</v>
      </c>
      <c r="G518" s="1">
        <v>43584</v>
      </c>
    </row>
    <row r="519" spans="1:10" x14ac:dyDescent="0.25">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2550</v>
      </c>
      <c r="D519" s="1" t="s">
        <v>175</v>
      </c>
      <c r="E519" s="1" t="s">
        <v>2551</v>
      </c>
      <c r="F519" s="1" t="s">
        <v>112</v>
      </c>
      <c r="G519" s="1">
        <v>21803</v>
      </c>
    </row>
    <row r="520" spans="1:10" x14ac:dyDescent="0.25">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2552</v>
      </c>
      <c r="D520" s="1" t="s">
        <v>342</v>
      </c>
      <c r="E520" s="1" t="s">
        <v>2553</v>
      </c>
      <c r="F520" s="1" t="s">
        <v>112</v>
      </c>
      <c r="G520" s="1">
        <v>63397</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236</v>
      </c>
      <c r="D522" s="1" t="s">
        <v>112</v>
      </c>
      <c r="E522" s="1" t="s">
        <v>237</v>
      </c>
      <c r="F522" s="1" t="s">
        <v>238</v>
      </c>
      <c r="G522" s="1" t="s">
        <v>239</v>
      </c>
      <c r="H522" s="1" t="s">
        <v>240</v>
      </c>
      <c r="I522" s="1" t="s">
        <v>241</v>
      </c>
      <c r="J522" s="1" t="s">
        <v>242</v>
      </c>
    </row>
    <row r="523" spans="1:10" x14ac:dyDescent="0.25">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2554</v>
      </c>
      <c r="D523" s="1" t="s">
        <v>112</v>
      </c>
      <c r="E523" s="1" t="s">
        <v>2555</v>
      </c>
      <c r="F523" s="1" t="s">
        <v>2556</v>
      </c>
      <c r="G523" s="1" t="s">
        <v>2557</v>
      </c>
      <c r="H523" s="1" t="s">
        <v>2558</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248</v>
      </c>
      <c r="D529" s="1" t="s">
        <v>110</v>
      </c>
      <c r="E529" s="1" t="s">
        <v>111</v>
      </c>
      <c r="F529" s="1" t="s">
        <v>112</v>
      </c>
      <c r="G529" s="1" t="s">
        <v>113</v>
      </c>
    </row>
    <row r="530" spans="1:7" x14ac:dyDescent="0.25">
      <c r="A530" s="1" t="str">
        <f t="shared" si="8"/>
        <v>05 Fadrozole 5.4 µg_L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2559</v>
      </c>
      <c r="D530" s="1" t="s">
        <v>1318</v>
      </c>
      <c r="E530" s="1" t="s">
        <v>2560</v>
      </c>
      <c r="F530" s="1" t="s">
        <v>112</v>
      </c>
      <c r="G530" s="1">
        <v>404760</v>
      </c>
    </row>
    <row r="531" spans="1:7" x14ac:dyDescent="0.25">
      <c r="A531" s="1" t="str">
        <f t="shared" si="8"/>
        <v>05 Fadrozole 5.4 µg_L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2561</v>
      </c>
      <c r="D531" s="1" t="s">
        <v>353</v>
      </c>
      <c r="E531" s="1" t="s">
        <v>2562</v>
      </c>
      <c r="F531" s="1" t="s">
        <v>112</v>
      </c>
      <c r="G531" s="1">
        <v>13324</v>
      </c>
    </row>
    <row r="532" spans="1:7" x14ac:dyDescent="0.25">
      <c r="A532" s="1" t="str">
        <f t="shared" si="8"/>
        <v>05 Fadrozole 5.4 µg_L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2563</v>
      </c>
      <c r="D532" s="1" t="s">
        <v>1233</v>
      </c>
      <c r="E532" s="1" t="s">
        <v>2564</v>
      </c>
      <c r="F532" s="1" t="s">
        <v>112</v>
      </c>
      <c r="G532" s="1">
        <v>357931</v>
      </c>
    </row>
    <row r="533" spans="1:7" x14ac:dyDescent="0.25">
      <c r="A533" s="1" t="str">
        <f t="shared" si="8"/>
        <v>05 Fadrozole 5.4 µg_L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2565</v>
      </c>
      <c r="D533" s="1" t="s">
        <v>327</v>
      </c>
      <c r="E533" s="1" t="s">
        <v>2566</v>
      </c>
      <c r="F533" s="1" t="s">
        <v>112</v>
      </c>
      <c r="G533" s="1">
        <v>757976</v>
      </c>
    </row>
    <row r="534" spans="1:7" x14ac:dyDescent="0.25">
      <c r="A534" s="1" t="str">
        <f t="shared" si="8"/>
        <v>05 Fadrozole 5.4 µg_L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2567</v>
      </c>
      <c r="D534" s="1" t="s">
        <v>2568</v>
      </c>
      <c r="E534" s="1" t="s">
        <v>2569</v>
      </c>
      <c r="F534" s="1" t="s">
        <v>112</v>
      </c>
      <c r="G534" s="1">
        <v>370023</v>
      </c>
    </row>
    <row r="535" spans="1:7" x14ac:dyDescent="0.25">
      <c r="A535" s="1" t="str">
        <f t="shared" si="8"/>
        <v>05 Fadrozole 5.4 µg_L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2570</v>
      </c>
      <c r="D535" s="1" t="s">
        <v>146</v>
      </c>
      <c r="E535" s="1" t="s">
        <v>2571</v>
      </c>
      <c r="F535" s="1" t="s">
        <v>112</v>
      </c>
      <c r="G535" s="1">
        <v>313439</v>
      </c>
    </row>
    <row r="536" spans="1:7" x14ac:dyDescent="0.25">
      <c r="A536" s="1" t="str">
        <f t="shared" si="8"/>
        <v>05 Fadrozole 5.4 µg_L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2572</v>
      </c>
      <c r="D536" s="1" t="s">
        <v>1199</v>
      </c>
      <c r="E536" s="1" t="s">
        <v>2573</v>
      </c>
      <c r="F536" s="1" t="s">
        <v>112</v>
      </c>
      <c r="G536" s="1">
        <v>134992</v>
      </c>
    </row>
    <row r="537" spans="1:7" x14ac:dyDescent="0.25">
      <c r="A537" s="1" t="str">
        <f t="shared" si="8"/>
        <v>05 Fadrozole 5.4 µg_L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2574</v>
      </c>
    </row>
    <row r="538" spans="1:7" x14ac:dyDescent="0.25">
      <c r="A538" s="1" t="str">
        <f t="shared" si="8"/>
        <v>05 Fadrozole 5.4 µg_L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2575</v>
      </c>
    </row>
    <row r="539" spans="1:7" x14ac:dyDescent="0.25">
      <c r="A539" s="1" t="str">
        <f t="shared" si="8"/>
        <v>05 Fadrozole 5.4 µg_L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2576</v>
      </c>
      <c r="D539" s="1" t="s">
        <v>353</v>
      </c>
      <c r="E539" s="1">
        <v>62</v>
      </c>
      <c r="F539" s="1" t="s">
        <v>112</v>
      </c>
      <c r="G539" s="1">
        <v>13411</v>
      </c>
    </row>
    <row r="540" spans="1:7" x14ac:dyDescent="0.25">
      <c r="A540" s="1" t="str">
        <f t="shared" si="8"/>
        <v>05 Fadrozole 5.4 µg_L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2577</v>
      </c>
      <c r="D540" s="1" t="s">
        <v>759</v>
      </c>
      <c r="E540" s="1" t="s">
        <v>2578</v>
      </c>
      <c r="F540" s="1" t="s">
        <v>112</v>
      </c>
      <c r="G540" s="1">
        <v>382849</v>
      </c>
    </row>
    <row r="541" spans="1:7" x14ac:dyDescent="0.25">
      <c r="A541" s="1" t="str">
        <f t="shared" si="8"/>
        <v>05 Fadrozole 5.4 µg_L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2579</v>
      </c>
      <c r="D541" s="1" t="s">
        <v>1588</v>
      </c>
      <c r="E541" s="1" t="s">
        <v>2580</v>
      </c>
      <c r="F541" s="1" t="s">
        <v>112</v>
      </c>
      <c r="G541" s="1">
        <v>472916</v>
      </c>
    </row>
    <row r="542" spans="1:7" x14ac:dyDescent="0.25">
      <c r="A542" s="1" t="str">
        <f t="shared" si="8"/>
        <v>05 Fadrozole 5.4 µg_L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2581</v>
      </c>
      <c r="D542" s="1" t="s">
        <v>361</v>
      </c>
      <c r="E542" s="1" t="s">
        <v>1798</v>
      </c>
      <c r="F542" s="1" t="s">
        <v>112</v>
      </c>
      <c r="G542" s="1">
        <v>77240</v>
      </c>
    </row>
    <row r="543" spans="1:7" x14ac:dyDescent="0.25">
      <c r="A543" s="1" t="str">
        <f t="shared" si="8"/>
        <v>05 Fadrozole 5.4 µg_L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2582</v>
      </c>
      <c r="D543" s="1" t="s">
        <v>1274</v>
      </c>
      <c r="E543" s="1" t="s">
        <v>2583</v>
      </c>
      <c r="F543" s="1" t="s">
        <v>112</v>
      </c>
      <c r="G543" s="1">
        <v>75575</v>
      </c>
    </row>
    <row r="544" spans="1:7" x14ac:dyDescent="0.25">
      <c r="A544" s="1" t="str">
        <f t="shared" si="8"/>
        <v>05 Fadrozole 5.4 µg_L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2584</v>
      </c>
      <c r="D544" s="1" t="s">
        <v>2121</v>
      </c>
      <c r="E544" s="1" t="s">
        <v>2585</v>
      </c>
      <c r="F544" s="1" t="s">
        <v>112</v>
      </c>
      <c r="G544" s="1">
        <v>107565</v>
      </c>
    </row>
    <row r="545" spans="1:10" x14ac:dyDescent="0.25">
      <c r="A545" s="1" t="str">
        <f t="shared" si="8"/>
        <v>05 Fadrozole 5.4 µg_L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2586</v>
      </c>
      <c r="D545" s="1" t="s">
        <v>769</v>
      </c>
      <c r="E545" s="1" t="s">
        <v>2587</v>
      </c>
      <c r="F545" s="1" t="s">
        <v>112</v>
      </c>
      <c r="G545" s="1">
        <v>44839</v>
      </c>
    </row>
    <row r="546" spans="1:10" x14ac:dyDescent="0.25">
      <c r="A546" s="1" t="str">
        <f t="shared" si="8"/>
        <v>05 Fadrozole 5.4 µg_L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2588</v>
      </c>
      <c r="D546" s="1" t="s">
        <v>2031</v>
      </c>
      <c r="E546" s="1" t="s">
        <v>2589</v>
      </c>
      <c r="F546" s="1" t="s">
        <v>112</v>
      </c>
      <c r="G546" s="1">
        <v>72785</v>
      </c>
    </row>
    <row r="547" spans="1:10" x14ac:dyDescent="0.25">
      <c r="A547" s="1" t="str">
        <f t="shared" si="8"/>
        <v>05 Fadrozole 5.4 µg_L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2590</v>
      </c>
      <c r="D547" s="1" t="s">
        <v>2247</v>
      </c>
      <c r="E547" s="1" t="s">
        <v>2591</v>
      </c>
      <c r="F547" s="1" t="s">
        <v>112</v>
      </c>
      <c r="G547" s="1">
        <v>83600</v>
      </c>
    </row>
    <row r="548" spans="1:10" x14ac:dyDescent="0.25">
      <c r="A548" s="1" t="str">
        <f t="shared" si="8"/>
        <v>05 Fadrozole 5.4 µg_L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2592</v>
      </c>
      <c r="D548" s="1" t="s">
        <v>2593</v>
      </c>
      <c r="E548" s="1" t="s">
        <v>2594</v>
      </c>
      <c r="F548" s="1" t="s">
        <v>112</v>
      </c>
      <c r="G548" s="1">
        <v>947151</v>
      </c>
    </row>
    <row r="549" spans="1:10" x14ac:dyDescent="0.25">
      <c r="A549" s="1" t="str">
        <f t="shared" si="8"/>
        <v>05 Fadrozole 5.4 µg_L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2595</v>
      </c>
    </row>
    <row r="550" spans="1:10" x14ac:dyDescent="0.25">
      <c r="A550" s="1" t="str">
        <f t="shared" si="8"/>
        <v>05 Fadrozole 5.4 µg_L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2596</v>
      </c>
      <c r="D550" s="1" t="s">
        <v>2597</v>
      </c>
      <c r="E550" s="1" t="s">
        <v>2598</v>
      </c>
      <c r="F550" s="1" t="s">
        <v>112</v>
      </c>
      <c r="G550" s="1">
        <v>816096</v>
      </c>
    </row>
    <row r="551" spans="1:10" x14ac:dyDescent="0.25">
      <c r="A551" s="1" t="str">
        <f t="shared" si="8"/>
        <v>05 Fadrozole 5.4 µg_L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2599</v>
      </c>
      <c r="D551" s="1" t="s">
        <v>353</v>
      </c>
      <c r="E551" s="1" t="s">
        <v>2600</v>
      </c>
      <c r="F551" s="1" t="s">
        <v>112</v>
      </c>
      <c r="G551" s="1">
        <v>14406</v>
      </c>
    </row>
    <row r="552" spans="1:10" x14ac:dyDescent="0.25">
      <c r="A552" s="1" t="str">
        <f t="shared" si="8"/>
        <v>05 Fadrozole 5.4 µg_L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2601</v>
      </c>
      <c r="D552" s="1" t="s">
        <v>293</v>
      </c>
      <c r="E552" s="1" t="s">
        <v>935</v>
      </c>
      <c r="F552" s="1" t="s">
        <v>112</v>
      </c>
      <c r="G552" s="1">
        <v>33007</v>
      </c>
    </row>
    <row r="553" spans="1:10" x14ac:dyDescent="0.25">
      <c r="A553" s="1" t="str">
        <f t="shared" si="8"/>
        <v>05 Fadrozole 5.4 µg_L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2602</v>
      </c>
      <c r="D553" s="1" t="s">
        <v>175</v>
      </c>
      <c r="E553" s="1" t="s">
        <v>176</v>
      </c>
      <c r="F553" s="1" t="s">
        <v>112</v>
      </c>
      <c r="G553" s="1">
        <v>20613</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236</v>
      </c>
      <c r="D555" s="1" t="s">
        <v>112</v>
      </c>
      <c r="E555" s="1" t="s">
        <v>237</v>
      </c>
      <c r="F555" s="1" t="s">
        <v>238</v>
      </c>
      <c r="G555" s="1" t="s">
        <v>239</v>
      </c>
      <c r="H555" s="1" t="s">
        <v>240</v>
      </c>
      <c r="I555" s="1" t="s">
        <v>241</v>
      </c>
      <c r="J555" s="1" t="s">
        <v>242</v>
      </c>
    </row>
    <row r="556" spans="1:10" x14ac:dyDescent="0.25">
      <c r="A556" s="1" t="str">
        <f t="shared" si="8"/>
        <v>05 Fadrozole 5.4 µg_L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2603</v>
      </c>
      <c r="D556" s="1" t="s">
        <v>112</v>
      </c>
      <c r="E556" s="1" t="s">
        <v>2604</v>
      </c>
      <c r="F556" s="1" t="s">
        <v>2605</v>
      </c>
      <c r="G556" s="1" t="s">
        <v>2606</v>
      </c>
      <c r="H556" s="1" t="s">
        <v>2607</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248</v>
      </c>
      <c r="D562" s="1" t="s">
        <v>110</v>
      </c>
      <c r="E562" s="1" t="s">
        <v>111</v>
      </c>
      <c r="F562" s="1" t="s">
        <v>112</v>
      </c>
      <c r="G562" s="1" t="s">
        <v>113</v>
      </c>
    </row>
    <row r="563" spans="1:7" x14ac:dyDescent="0.25">
      <c r="A563" s="1" t="str">
        <f t="shared" si="8"/>
        <v>06 Fadrozole 11 µg_L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2608</v>
      </c>
      <c r="D563" s="1" t="s">
        <v>211</v>
      </c>
      <c r="E563" s="1" t="s">
        <v>2609</v>
      </c>
      <c r="F563" s="1" t="s">
        <v>112</v>
      </c>
      <c r="G563" s="1">
        <v>170487</v>
      </c>
    </row>
    <row r="564" spans="1:7" x14ac:dyDescent="0.25">
      <c r="A564" s="1" t="str">
        <f t="shared" si="8"/>
        <v>06 Fadrozole 11 µg_L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2610</v>
      </c>
      <c r="D564" s="1" t="s">
        <v>2611</v>
      </c>
      <c r="E564" s="1" t="s">
        <v>2612</v>
      </c>
      <c r="F564" s="1" t="s">
        <v>112</v>
      </c>
      <c r="G564" s="1">
        <v>469109</v>
      </c>
    </row>
    <row r="565" spans="1:7" x14ac:dyDescent="0.25">
      <c r="A565" s="1" t="str">
        <f t="shared" si="8"/>
        <v>06 Fadrozole 11 µg_L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2613</v>
      </c>
      <c r="D565" s="1" t="s">
        <v>2614</v>
      </c>
      <c r="E565" s="1" t="s">
        <v>2615</v>
      </c>
      <c r="F565" s="1" t="s">
        <v>112</v>
      </c>
      <c r="G565" s="1">
        <v>662805</v>
      </c>
    </row>
    <row r="566" spans="1:7" x14ac:dyDescent="0.25">
      <c r="A566" s="1" t="str">
        <f t="shared" si="8"/>
        <v>06 Fadrozole 11 µg_L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2616</v>
      </c>
      <c r="D566" s="1" t="s">
        <v>1641</v>
      </c>
      <c r="E566" s="1" t="s">
        <v>2617</v>
      </c>
      <c r="F566" s="1" t="s">
        <v>112</v>
      </c>
      <c r="G566" s="1">
        <v>679914</v>
      </c>
    </row>
    <row r="567" spans="1:7" x14ac:dyDescent="0.25">
      <c r="A567" s="1" t="str">
        <f t="shared" si="8"/>
        <v>06 Fadrozole 11 µg_L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2618</v>
      </c>
      <c r="D567" s="1" t="s">
        <v>390</v>
      </c>
      <c r="E567" s="1" t="s">
        <v>2619</v>
      </c>
      <c r="F567" s="1" t="s">
        <v>112</v>
      </c>
      <c r="G567" s="1">
        <v>130363</v>
      </c>
    </row>
    <row r="568" spans="1:7" x14ac:dyDescent="0.25">
      <c r="A568" s="1" t="str">
        <f t="shared" si="8"/>
        <v>06 Fadrozole 11 µg_L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2620</v>
      </c>
      <c r="D568" s="1" t="s">
        <v>407</v>
      </c>
      <c r="E568" s="1" t="s">
        <v>2621</v>
      </c>
      <c r="F568" s="1" t="s">
        <v>112</v>
      </c>
      <c r="G568" s="1">
        <v>364161</v>
      </c>
    </row>
    <row r="569" spans="1:7" x14ac:dyDescent="0.25">
      <c r="A569" s="1" t="str">
        <f t="shared" si="8"/>
        <v>06 Fadrozole 11 µg_L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2622</v>
      </c>
      <c r="D569" s="1" t="s">
        <v>1199</v>
      </c>
      <c r="E569" s="1" t="s">
        <v>2623</v>
      </c>
      <c r="F569" s="1" t="s">
        <v>112</v>
      </c>
      <c r="G569" s="1">
        <v>137891</v>
      </c>
    </row>
    <row r="570" spans="1:7" x14ac:dyDescent="0.25">
      <c r="A570" s="1" t="str">
        <f t="shared" si="8"/>
        <v>06 Fadrozole 11 µg_L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2624</v>
      </c>
      <c r="D570" s="1" t="s">
        <v>2235</v>
      </c>
      <c r="E570" s="1" t="s">
        <v>2625</v>
      </c>
      <c r="F570" s="1" t="s">
        <v>112</v>
      </c>
      <c r="G570" s="1">
        <v>70795</v>
      </c>
    </row>
    <row r="571" spans="1:7" x14ac:dyDescent="0.25">
      <c r="A571" s="1" t="str">
        <f t="shared" si="8"/>
        <v>06 Fadrozole 11 µg_L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2626</v>
      </c>
      <c r="D571" s="1" t="s">
        <v>2627</v>
      </c>
      <c r="E571" s="1" t="s">
        <v>2628</v>
      </c>
      <c r="F571" s="1" t="s">
        <v>112</v>
      </c>
      <c r="G571" s="1">
        <v>55913</v>
      </c>
    </row>
    <row r="572" spans="1:7" x14ac:dyDescent="0.25">
      <c r="A572" s="1" t="str">
        <f t="shared" si="8"/>
        <v>06 Fadrozole 11 µg_L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2629</v>
      </c>
      <c r="D572" s="1" t="s">
        <v>745</v>
      </c>
      <c r="E572" s="1" t="s">
        <v>2630</v>
      </c>
      <c r="F572" s="1" t="s">
        <v>112</v>
      </c>
      <c r="G572" s="1">
        <v>40296</v>
      </c>
    </row>
    <row r="573" spans="1:7" x14ac:dyDescent="0.25">
      <c r="A573" s="1" t="str">
        <f t="shared" si="8"/>
        <v>06 Fadrozole 11 µg_L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2631</v>
      </c>
      <c r="D573" s="1" t="s">
        <v>1218</v>
      </c>
      <c r="E573" s="1" t="s">
        <v>2632</v>
      </c>
      <c r="F573" s="1" t="s">
        <v>112</v>
      </c>
      <c r="G573" s="1">
        <v>36901</v>
      </c>
    </row>
    <row r="574" spans="1:7" x14ac:dyDescent="0.25">
      <c r="A574" s="1" t="str">
        <f t="shared" si="8"/>
        <v>06 Fadrozole 11 µg_L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2633</v>
      </c>
      <c r="D574" s="1" t="s">
        <v>738</v>
      </c>
      <c r="E574" s="1" t="s">
        <v>2634</v>
      </c>
      <c r="F574" s="1" t="s">
        <v>112</v>
      </c>
      <c r="G574" s="1">
        <v>31904</v>
      </c>
    </row>
    <row r="575" spans="1:7" x14ac:dyDescent="0.25">
      <c r="A575" s="1" t="str">
        <f t="shared" si="8"/>
        <v>06 Fadrozole 11 µg_L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2635</v>
      </c>
      <c r="D575" s="1" t="s">
        <v>2235</v>
      </c>
      <c r="E575" s="1" t="s">
        <v>2636</v>
      </c>
      <c r="F575" s="1" t="s">
        <v>112</v>
      </c>
      <c r="G575" s="1">
        <v>66815</v>
      </c>
    </row>
    <row r="576" spans="1:7" x14ac:dyDescent="0.25">
      <c r="A576" s="1" t="str">
        <f t="shared" si="8"/>
        <v>06 Fadrozole 11 µg_L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2637</v>
      </c>
      <c r="D576" s="1" t="s">
        <v>745</v>
      </c>
      <c r="E576" s="1" t="s">
        <v>2638</v>
      </c>
      <c r="F576" s="1" t="s">
        <v>112</v>
      </c>
      <c r="G576" s="1">
        <v>40037</v>
      </c>
    </row>
    <row r="577" spans="1:10" x14ac:dyDescent="0.25">
      <c r="A577" s="1" t="str">
        <f t="shared" si="8"/>
        <v>06 Fadrozole 11 µg_L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2639</v>
      </c>
      <c r="D577" s="1" t="s">
        <v>217</v>
      </c>
      <c r="E577" s="1" t="s">
        <v>2640</v>
      </c>
      <c r="F577" s="1" t="s">
        <v>112</v>
      </c>
      <c r="G577" s="1">
        <v>30931</v>
      </c>
    </row>
    <row r="578" spans="1:10" x14ac:dyDescent="0.25">
      <c r="A578" s="1" t="str">
        <f t="shared" ref="A578:A641" si="9">IFERROR(LEFT(RIGHT(C578,LEN(C578)-SEARCH("@",C578)),SEARCH("/",RIGHT(C578,LEN(C578)-SEARCH("@",C578)-1))),"")</f>
        <v>06 Fadrozole 11 µg_L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2641</v>
      </c>
      <c r="D578" s="1" t="s">
        <v>393</v>
      </c>
      <c r="E578" s="1" t="s">
        <v>2642</v>
      </c>
      <c r="F578" s="1" t="s">
        <v>112</v>
      </c>
      <c r="G578" s="1">
        <v>35213</v>
      </c>
    </row>
    <row r="579" spans="1:10" x14ac:dyDescent="0.25">
      <c r="A579" s="1" t="str">
        <f t="shared" si="9"/>
        <v>06 Fadrozole 11 µg_L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2643</v>
      </c>
      <c r="D579" s="1" t="s">
        <v>848</v>
      </c>
      <c r="E579" s="1" t="s">
        <v>2644</v>
      </c>
      <c r="F579" s="1" t="s">
        <v>112</v>
      </c>
      <c r="G579" s="1">
        <v>28314</v>
      </c>
    </row>
    <row r="580" spans="1:10" x14ac:dyDescent="0.25">
      <c r="A580" s="1" t="str">
        <f t="shared" si="9"/>
        <v>06 Fadrozole 11 µg_L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2645</v>
      </c>
      <c r="D580" s="1" t="s">
        <v>2646</v>
      </c>
      <c r="E580" s="1" t="s">
        <v>2647</v>
      </c>
      <c r="F580" s="1" t="s">
        <v>112</v>
      </c>
      <c r="G580" s="1">
        <v>46418</v>
      </c>
    </row>
    <row r="581" spans="1:10" x14ac:dyDescent="0.25">
      <c r="A581" s="1" t="str">
        <f t="shared" si="9"/>
        <v>06 Fadrozole 11 µg_L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2648</v>
      </c>
      <c r="D581" s="1" t="s">
        <v>2649</v>
      </c>
      <c r="E581" s="1" t="s">
        <v>2650</v>
      </c>
      <c r="F581" s="1" t="s">
        <v>112</v>
      </c>
      <c r="G581" s="1">
        <v>352221</v>
      </c>
    </row>
    <row r="582" spans="1:10" x14ac:dyDescent="0.25">
      <c r="A582" s="1" t="str">
        <f t="shared" si="9"/>
        <v>06 Fadrozole 11 µg_L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2651</v>
      </c>
      <c r="D582" s="1" t="s">
        <v>769</v>
      </c>
      <c r="E582" s="1" t="s">
        <v>2652</v>
      </c>
      <c r="F582" s="1" t="s">
        <v>112</v>
      </c>
      <c r="G582" s="1">
        <v>43757</v>
      </c>
    </row>
    <row r="583" spans="1:10" x14ac:dyDescent="0.25">
      <c r="A583" s="1" t="str">
        <f t="shared" si="9"/>
        <v>06 Fadrozole 11 µg_L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2653</v>
      </c>
      <c r="D583" s="1" t="s">
        <v>2077</v>
      </c>
      <c r="E583" s="1" t="s">
        <v>2654</v>
      </c>
      <c r="F583" s="1" t="s">
        <v>112</v>
      </c>
      <c r="G583" s="1">
        <v>697261</v>
      </c>
    </row>
    <row r="584" spans="1:10" x14ac:dyDescent="0.25">
      <c r="A584" s="1" t="str">
        <f t="shared" si="9"/>
        <v>06 Fadrozole 11 µg_L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2655</v>
      </c>
      <c r="D584" s="1" t="s">
        <v>2656</v>
      </c>
      <c r="E584" s="1" t="s">
        <v>2657</v>
      </c>
      <c r="F584" s="1" t="s">
        <v>112</v>
      </c>
      <c r="G584" s="1">
        <v>671305</v>
      </c>
    </row>
    <row r="585" spans="1:10" x14ac:dyDescent="0.25">
      <c r="A585" s="1" t="str">
        <f t="shared" si="9"/>
        <v>06 Fadrozole 11 µg_L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2658</v>
      </c>
      <c r="D585" s="1" t="s">
        <v>2659</v>
      </c>
      <c r="E585" s="1" t="s">
        <v>2660</v>
      </c>
      <c r="F585" s="1" t="s">
        <v>112</v>
      </c>
      <c r="G585" s="1">
        <v>881029</v>
      </c>
    </row>
    <row r="586" spans="1:10" x14ac:dyDescent="0.25">
      <c r="A586" s="1" t="str">
        <f t="shared" si="9"/>
        <v>06 Fadrozole 11 µg_L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2661</v>
      </c>
      <c r="D586" s="1" t="s">
        <v>2662</v>
      </c>
      <c r="E586" s="1" t="s">
        <v>2663</v>
      </c>
      <c r="F586" s="1" t="s">
        <v>112</v>
      </c>
      <c r="G586" s="1">
        <v>539709</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236</v>
      </c>
      <c r="D588" s="1" t="s">
        <v>112</v>
      </c>
      <c r="E588" s="1" t="s">
        <v>237</v>
      </c>
      <c r="F588" s="1" t="s">
        <v>238</v>
      </c>
      <c r="G588" s="1" t="s">
        <v>239</v>
      </c>
      <c r="H588" s="1" t="s">
        <v>240</v>
      </c>
      <c r="I588" s="1" t="s">
        <v>241</v>
      </c>
      <c r="J588" s="1" t="s">
        <v>242</v>
      </c>
    </row>
    <row r="589" spans="1:10" x14ac:dyDescent="0.25">
      <c r="A589" s="1" t="str">
        <f t="shared" si="9"/>
        <v>06 Fadrozole 11 µg_L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2664</v>
      </c>
      <c r="D589" s="1" t="s">
        <v>112</v>
      </c>
      <c r="E589" s="1" t="s">
        <v>2665</v>
      </c>
      <c r="F589" s="1" t="s">
        <v>2666</v>
      </c>
      <c r="G589" s="1" t="s">
        <v>2667</v>
      </c>
      <c r="H589" s="1" t="s">
        <v>2668</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248</v>
      </c>
      <c r="D595" s="1" t="s">
        <v>110</v>
      </c>
      <c r="E595" s="1" t="s">
        <v>111</v>
      </c>
      <c r="F595" s="1" t="s">
        <v>112</v>
      </c>
      <c r="G595" s="1" t="s">
        <v>113</v>
      </c>
    </row>
    <row r="596" spans="1:7" x14ac:dyDescent="0.25">
      <c r="A596" s="1" t="str">
        <f t="shared" si="9"/>
        <v>07  Fadrozole 22 µg_L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2669</v>
      </c>
      <c r="D596" s="1" t="s">
        <v>1430</v>
      </c>
      <c r="E596" s="1" t="s">
        <v>279</v>
      </c>
      <c r="F596" s="1" t="s">
        <v>112</v>
      </c>
      <c r="G596" s="1">
        <v>49489</v>
      </c>
    </row>
    <row r="597" spans="1:7" x14ac:dyDescent="0.25">
      <c r="A597" s="1" t="str">
        <f t="shared" si="9"/>
        <v>07  Fadrozole 22 µg_L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2670</v>
      </c>
      <c r="D597" s="1" t="s">
        <v>186</v>
      </c>
      <c r="E597" s="1" t="s">
        <v>2671</v>
      </c>
      <c r="F597" s="1" t="s">
        <v>112</v>
      </c>
      <c r="G597" s="1">
        <v>19121</v>
      </c>
    </row>
    <row r="598" spans="1:7" x14ac:dyDescent="0.25">
      <c r="A598" s="1" t="str">
        <f t="shared" si="9"/>
        <v>07  Fadrozole 22 µg_L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2672</v>
      </c>
      <c r="D598" s="1" t="s">
        <v>271</v>
      </c>
      <c r="E598" s="1" t="s">
        <v>343</v>
      </c>
      <c r="F598" s="1" t="s">
        <v>112</v>
      </c>
      <c r="G598" s="1">
        <v>15054</v>
      </c>
    </row>
    <row r="599" spans="1:7" x14ac:dyDescent="0.25">
      <c r="A599" s="1" t="str">
        <f t="shared" si="9"/>
        <v>07  Fadrozole 22 µg_L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2673</v>
      </c>
      <c r="D599" s="1" t="s">
        <v>769</v>
      </c>
      <c r="E599" s="1" t="s">
        <v>2674</v>
      </c>
      <c r="F599" s="1" t="s">
        <v>112</v>
      </c>
      <c r="G599" s="1">
        <v>43368</v>
      </c>
    </row>
    <row r="600" spans="1:7" x14ac:dyDescent="0.25">
      <c r="A600" s="1" t="str">
        <f t="shared" si="9"/>
        <v>07  Fadrozole 22 µg_L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2675</v>
      </c>
      <c r="D600" s="1" t="s">
        <v>1609</v>
      </c>
      <c r="E600" s="1" t="s">
        <v>2676</v>
      </c>
      <c r="F600" s="1" t="s">
        <v>112</v>
      </c>
      <c r="G600" s="1">
        <v>117645</v>
      </c>
    </row>
    <row r="601" spans="1:7" x14ac:dyDescent="0.25">
      <c r="A601" s="1" t="str">
        <f t="shared" si="9"/>
        <v>07  Fadrozole 22 µg_L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2677</v>
      </c>
      <c r="D601" s="1" t="s">
        <v>293</v>
      </c>
      <c r="E601" s="1" t="s">
        <v>266</v>
      </c>
      <c r="F601" s="1" t="s">
        <v>112</v>
      </c>
      <c r="G601" s="1">
        <v>33656</v>
      </c>
    </row>
    <row r="602" spans="1:7" x14ac:dyDescent="0.25">
      <c r="A602" s="1" t="str">
        <f t="shared" si="9"/>
        <v>07  Fadrozole 22 µg_L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2678</v>
      </c>
      <c r="D602" s="1" t="s">
        <v>2100</v>
      </c>
      <c r="E602" s="1" t="s">
        <v>2679</v>
      </c>
      <c r="F602" s="1" t="s">
        <v>112</v>
      </c>
      <c r="G602" s="1">
        <v>51349</v>
      </c>
    </row>
    <row r="603" spans="1:7" x14ac:dyDescent="0.25">
      <c r="A603" s="1" t="str">
        <f t="shared" si="9"/>
        <v>07  Fadrozole 22 µg_L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2680</v>
      </c>
      <c r="D603" s="1" t="s">
        <v>178</v>
      </c>
      <c r="E603" s="1" t="s">
        <v>2681</v>
      </c>
      <c r="F603" s="1" t="s">
        <v>112</v>
      </c>
      <c r="G603" s="1">
        <v>27016</v>
      </c>
    </row>
    <row r="604" spans="1:7" x14ac:dyDescent="0.25">
      <c r="A604" s="1" t="str">
        <f t="shared" si="9"/>
        <v>07  Fadrozole 22 µg_L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2682</v>
      </c>
      <c r="D604" s="1" t="s">
        <v>1484</v>
      </c>
      <c r="E604" s="1" t="s">
        <v>2683</v>
      </c>
      <c r="F604" s="1" t="s">
        <v>112</v>
      </c>
      <c r="G604" s="1">
        <v>63311</v>
      </c>
    </row>
    <row r="605" spans="1:7" x14ac:dyDescent="0.25">
      <c r="A605" s="1" t="str">
        <f t="shared" si="9"/>
        <v>07  Fadrozole 22 µg_L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2684</v>
      </c>
      <c r="D605" s="1" t="s">
        <v>217</v>
      </c>
      <c r="E605" s="1" t="s">
        <v>2685</v>
      </c>
      <c r="F605" s="1" t="s">
        <v>112</v>
      </c>
      <c r="G605" s="1">
        <v>33894</v>
      </c>
    </row>
    <row r="606" spans="1:7" x14ac:dyDescent="0.25">
      <c r="A606" s="1" t="str">
        <f t="shared" si="9"/>
        <v>07  Fadrozole 22 µg_L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2686</v>
      </c>
      <c r="D606" s="1" t="s">
        <v>293</v>
      </c>
      <c r="E606" s="1" t="s">
        <v>2687</v>
      </c>
      <c r="F606" s="1" t="s">
        <v>112</v>
      </c>
      <c r="G606" s="1">
        <v>34954</v>
      </c>
    </row>
    <row r="607" spans="1:7" x14ac:dyDescent="0.25">
      <c r="A607" s="1" t="str">
        <f t="shared" si="9"/>
        <v>07  Fadrozole 22 µg_L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2688</v>
      </c>
      <c r="D607" s="1" t="s">
        <v>189</v>
      </c>
      <c r="E607" s="1" t="s">
        <v>2689</v>
      </c>
      <c r="F607" s="1" t="s">
        <v>112</v>
      </c>
      <c r="G607" s="1">
        <v>23728</v>
      </c>
    </row>
    <row r="608" spans="1:7" x14ac:dyDescent="0.25">
      <c r="A608" s="1" t="str">
        <f t="shared" si="9"/>
        <v>07  Fadrozole 22 µg_L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2690</v>
      </c>
      <c r="D608" s="1" t="s">
        <v>1736</v>
      </c>
      <c r="E608" s="1" t="s">
        <v>2691</v>
      </c>
      <c r="F608" s="1" t="s">
        <v>112</v>
      </c>
      <c r="G608" s="1">
        <v>366151</v>
      </c>
    </row>
    <row r="609" spans="1:10" x14ac:dyDescent="0.25">
      <c r="A609" s="1" t="str">
        <f t="shared" si="9"/>
        <v>07  Fadrozole 22 µg_L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2692</v>
      </c>
      <c r="D609" s="1" t="s">
        <v>301</v>
      </c>
      <c r="E609" s="1" t="s">
        <v>2693</v>
      </c>
      <c r="F609" s="1" t="s">
        <v>112</v>
      </c>
      <c r="G609" s="1">
        <v>59158</v>
      </c>
    </row>
    <row r="610" spans="1:10" x14ac:dyDescent="0.25">
      <c r="A610" s="1" t="str">
        <f t="shared" si="9"/>
        <v>07  Fadrozole 22 µg_L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2694</v>
      </c>
      <c r="D610" s="1" t="s">
        <v>1736</v>
      </c>
      <c r="E610" s="1" t="s">
        <v>2695</v>
      </c>
      <c r="F610" s="1" t="s">
        <v>112</v>
      </c>
      <c r="G610" s="1">
        <v>352481</v>
      </c>
    </row>
    <row r="611" spans="1:10" x14ac:dyDescent="0.25">
      <c r="A611" s="1" t="str">
        <f t="shared" si="9"/>
        <v>07  Fadrozole 22 µg_L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2696</v>
      </c>
      <c r="D611" s="1" t="s">
        <v>206</v>
      </c>
      <c r="E611" s="1" t="s">
        <v>2286</v>
      </c>
      <c r="F611" s="1" t="s">
        <v>112</v>
      </c>
      <c r="G611" s="1">
        <v>8133</v>
      </c>
    </row>
    <row r="612" spans="1:10" x14ac:dyDescent="0.25">
      <c r="A612" s="1" t="str">
        <f t="shared" si="9"/>
        <v>07  Fadrozole 22 µg_L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2697</v>
      </c>
      <c r="D612" s="1" t="s">
        <v>296</v>
      </c>
      <c r="E612" s="1" t="s">
        <v>215</v>
      </c>
      <c r="F612" s="1" t="s">
        <v>112</v>
      </c>
      <c r="G612" s="1">
        <v>16439</v>
      </c>
    </row>
    <row r="613" spans="1:10" x14ac:dyDescent="0.25">
      <c r="A613" s="1" t="str">
        <f t="shared" si="9"/>
        <v>07  Fadrozole 22 µg_L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2698</v>
      </c>
      <c r="D613" s="1" t="s">
        <v>189</v>
      </c>
      <c r="E613" s="1">
        <v>66</v>
      </c>
      <c r="F613" s="1" t="s">
        <v>112</v>
      </c>
      <c r="G613" s="1">
        <v>24269</v>
      </c>
    </row>
    <row r="614" spans="1:10" x14ac:dyDescent="0.25">
      <c r="A614" s="1" t="str">
        <f t="shared" si="9"/>
        <v>07  Fadrozole 22 µg_L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2699</v>
      </c>
      <c r="D614" s="1" t="s">
        <v>353</v>
      </c>
      <c r="E614" s="1" t="s">
        <v>2700</v>
      </c>
      <c r="F614" s="1" t="s">
        <v>112</v>
      </c>
      <c r="G614" s="1">
        <v>14016</v>
      </c>
    </row>
    <row r="615" spans="1:10" x14ac:dyDescent="0.25">
      <c r="A615" s="1" t="str">
        <f t="shared" si="9"/>
        <v>07  Fadrozole 22 µg_L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2701</v>
      </c>
      <c r="D615" s="1" t="s">
        <v>296</v>
      </c>
      <c r="E615" s="1" t="s">
        <v>2024</v>
      </c>
      <c r="F615" s="1" t="s">
        <v>112</v>
      </c>
      <c r="G615" s="1">
        <v>16331</v>
      </c>
    </row>
    <row r="616" spans="1:10" x14ac:dyDescent="0.25">
      <c r="A616" s="1" t="str">
        <f t="shared" si="9"/>
        <v>07  Fadrozole 22 µg_L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2702</v>
      </c>
      <c r="D616" s="1" t="s">
        <v>848</v>
      </c>
      <c r="E616" s="1" t="s">
        <v>2703</v>
      </c>
      <c r="F616" s="1" t="s">
        <v>112</v>
      </c>
      <c r="G616" s="1">
        <v>28270</v>
      </c>
    </row>
    <row r="617" spans="1:10" x14ac:dyDescent="0.25">
      <c r="A617" s="1" t="str">
        <f t="shared" si="9"/>
        <v>07  Fadrozole 22 µg_L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2704</v>
      </c>
      <c r="D617" s="1" t="s">
        <v>234</v>
      </c>
      <c r="E617" s="1" t="s">
        <v>2705</v>
      </c>
      <c r="F617" s="1" t="s">
        <v>112</v>
      </c>
      <c r="G617" s="1">
        <v>43801</v>
      </c>
    </row>
    <row r="618" spans="1:10" x14ac:dyDescent="0.25">
      <c r="A618" s="1" t="str">
        <f t="shared" si="9"/>
        <v>07  Fadrozole 22 µg_L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2706</v>
      </c>
      <c r="D618" s="1" t="s">
        <v>784</v>
      </c>
      <c r="E618" s="1" t="s">
        <v>1328</v>
      </c>
      <c r="F618" s="1" t="s">
        <v>112</v>
      </c>
      <c r="G618" s="1">
        <v>25502</v>
      </c>
    </row>
    <row r="619" spans="1:10" x14ac:dyDescent="0.25">
      <c r="A619" s="1" t="str">
        <f t="shared" si="9"/>
        <v>07  Fadrozole 22 µg_L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2707</v>
      </c>
      <c r="D619" s="1" t="s">
        <v>2627</v>
      </c>
      <c r="E619" s="1" t="s">
        <v>2708</v>
      </c>
      <c r="F619" s="1" t="s">
        <v>112</v>
      </c>
      <c r="G619" s="1">
        <v>54897</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236</v>
      </c>
      <c r="D621" s="1" t="s">
        <v>112</v>
      </c>
      <c r="E621" s="1" t="s">
        <v>237</v>
      </c>
      <c r="F621" s="1" t="s">
        <v>238</v>
      </c>
      <c r="G621" s="1" t="s">
        <v>239</v>
      </c>
      <c r="H621" s="1" t="s">
        <v>240</v>
      </c>
      <c r="I621" s="1" t="s">
        <v>241</v>
      </c>
      <c r="J621" s="1" t="s">
        <v>242</v>
      </c>
    </row>
    <row r="622" spans="1:10" x14ac:dyDescent="0.25">
      <c r="A622" s="1" t="str">
        <f t="shared" si="9"/>
        <v>07  Fadrozole 22 µg_L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2709</v>
      </c>
      <c r="D622" s="1" t="s">
        <v>112</v>
      </c>
      <c r="E622" s="1" t="s">
        <v>2710</v>
      </c>
      <c r="F622" s="1" t="s">
        <v>2711</v>
      </c>
      <c r="G622" s="1" t="s">
        <v>2712</v>
      </c>
      <c r="H622" s="1" t="s">
        <v>2713</v>
      </c>
      <c r="I622" s="1">
        <v>24</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248</v>
      </c>
      <c r="D628" s="1" t="s">
        <v>110</v>
      </c>
      <c r="E628" s="1" t="s">
        <v>111</v>
      </c>
      <c r="F628" s="1" t="s">
        <v>112</v>
      </c>
      <c r="G628" s="1" t="s">
        <v>113</v>
      </c>
    </row>
    <row r="629" spans="1:7" x14ac:dyDescent="0.25">
      <c r="A629" s="1" t="str">
        <f t="shared" si="9"/>
        <v>08 Fadrozole 44 µg_L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2714</v>
      </c>
      <c r="D629" s="1" t="s">
        <v>970</v>
      </c>
      <c r="E629" s="1" t="s">
        <v>2715</v>
      </c>
      <c r="F629" s="1" t="s">
        <v>112</v>
      </c>
      <c r="G629" s="1">
        <v>112713</v>
      </c>
    </row>
    <row r="630" spans="1:7" x14ac:dyDescent="0.25">
      <c r="A630" s="1" t="str">
        <f t="shared" si="9"/>
        <v>08 Fadrozole 44 µg_L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2716</v>
      </c>
      <c r="D630" s="1" t="s">
        <v>304</v>
      </c>
      <c r="E630" s="1" t="s">
        <v>2717</v>
      </c>
      <c r="F630" s="1" t="s">
        <v>112</v>
      </c>
      <c r="G630" s="1">
        <v>105143</v>
      </c>
    </row>
    <row r="631" spans="1:7" x14ac:dyDescent="0.25">
      <c r="A631" s="1" t="str">
        <f t="shared" si="9"/>
        <v>08 Fadrozole 44 µg_L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2718</v>
      </c>
      <c r="D631" s="1" t="s">
        <v>1430</v>
      </c>
      <c r="E631" s="1" t="s">
        <v>2719</v>
      </c>
      <c r="F631" s="1" t="s">
        <v>112</v>
      </c>
      <c r="G631" s="1">
        <v>52344</v>
      </c>
    </row>
    <row r="632" spans="1:7" x14ac:dyDescent="0.25">
      <c r="A632" s="1" t="str">
        <f t="shared" si="9"/>
        <v>08 Fadrozole 44 µg_L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2720</v>
      </c>
      <c r="D632" s="1" t="s">
        <v>214</v>
      </c>
      <c r="E632" s="1" t="s">
        <v>2721</v>
      </c>
      <c r="F632" s="1" t="s">
        <v>112</v>
      </c>
      <c r="G632" s="1">
        <v>42005</v>
      </c>
    </row>
    <row r="633" spans="1:7" x14ac:dyDescent="0.25">
      <c r="A633" s="1" t="str">
        <f t="shared" si="9"/>
        <v>08 Fadrozole 44 µg_L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2722</v>
      </c>
      <c r="D633" s="1" t="s">
        <v>2096</v>
      </c>
      <c r="E633" s="1" t="s">
        <v>2723</v>
      </c>
      <c r="F633" s="1" t="s">
        <v>112</v>
      </c>
      <c r="G633" s="1">
        <v>173558</v>
      </c>
    </row>
    <row r="634" spans="1:7" x14ac:dyDescent="0.25">
      <c r="A634" s="1" t="str">
        <f t="shared" si="9"/>
        <v>08 Fadrozole 44 µg_L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2724</v>
      </c>
      <c r="D634" s="1" t="s">
        <v>424</v>
      </c>
      <c r="E634" s="1" t="s">
        <v>2725</v>
      </c>
      <c r="F634" s="1" t="s">
        <v>112</v>
      </c>
      <c r="G634" s="1">
        <v>111005</v>
      </c>
    </row>
    <row r="635" spans="1:7" x14ac:dyDescent="0.25">
      <c r="A635" s="1" t="str">
        <f t="shared" si="9"/>
        <v>08 Fadrozole 44 µg_L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2726</v>
      </c>
      <c r="D635" s="1" t="s">
        <v>2100</v>
      </c>
      <c r="E635" s="1" t="s">
        <v>2727</v>
      </c>
      <c r="F635" s="1" t="s">
        <v>112</v>
      </c>
      <c r="G635" s="1">
        <v>48948</v>
      </c>
    </row>
    <row r="636" spans="1:7" x14ac:dyDescent="0.25">
      <c r="A636" s="1" t="str">
        <f t="shared" si="9"/>
        <v>08 Fadrozole 44 µg_L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2728</v>
      </c>
      <c r="D636" s="1" t="s">
        <v>390</v>
      </c>
      <c r="E636" s="1" t="s">
        <v>2729</v>
      </c>
      <c r="F636" s="1" t="s">
        <v>112</v>
      </c>
      <c r="G636" s="1">
        <v>137436</v>
      </c>
    </row>
    <row r="637" spans="1:7" x14ac:dyDescent="0.25">
      <c r="A637" s="1" t="str">
        <f t="shared" si="9"/>
        <v>08 Fadrozole 44 µg_L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2730</v>
      </c>
      <c r="D637" s="1" t="s">
        <v>769</v>
      </c>
      <c r="E637" s="1" t="s">
        <v>2731</v>
      </c>
      <c r="F637" s="1" t="s">
        <v>112</v>
      </c>
      <c r="G637" s="1">
        <v>43346</v>
      </c>
    </row>
    <row r="638" spans="1:7" x14ac:dyDescent="0.25">
      <c r="A638" s="1" t="str">
        <f t="shared" si="9"/>
        <v>08 Fadrozole 44 µg_L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2732</v>
      </c>
      <c r="D638" s="1" t="s">
        <v>2646</v>
      </c>
      <c r="E638" s="1" t="s">
        <v>2733</v>
      </c>
      <c r="F638" s="1" t="s">
        <v>112</v>
      </c>
      <c r="G638" s="1">
        <v>48992</v>
      </c>
    </row>
    <row r="639" spans="1:7" x14ac:dyDescent="0.25">
      <c r="A639" s="1" t="str">
        <f t="shared" si="9"/>
        <v>08 Fadrozole 44 µg_L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2734</v>
      </c>
      <c r="D639" s="1" t="s">
        <v>2735</v>
      </c>
      <c r="E639" s="1" t="s">
        <v>2736</v>
      </c>
      <c r="F639" s="1" t="s">
        <v>112</v>
      </c>
      <c r="G639" s="1">
        <v>297844</v>
      </c>
    </row>
    <row r="640" spans="1:7" x14ac:dyDescent="0.25">
      <c r="A640" s="1" t="str">
        <f t="shared" si="9"/>
        <v>08 Fadrozole 44 µg_L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2737</v>
      </c>
      <c r="D640" s="1" t="s">
        <v>175</v>
      </c>
      <c r="E640" s="1" t="s">
        <v>2738</v>
      </c>
      <c r="F640" s="1" t="s">
        <v>112</v>
      </c>
      <c r="G640" s="1">
        <v>20678</v>
      </c>
    </row>
    <row r="641" spans="1:10" x14ac:dyDescent="0.25">
      <c r="A641" s="1" t="str">
        <f t="shared" si="9"/>
        <v>08 Fadrozole 44 µg_L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2739</v>
      </c>
      <c r="D641" s="1" t="s">
        <v>214</v>
      </c>
      <c r="E641" s="1" t="s">
        <v>2740</v>
      </c>
      <c r="F641" s="1" t="s">
        <v>112</v>
      </c>
      <c r="G641" s="1">
        <v>40513</v>
      </c>
    </row>
    <row r="642" spans="1:10" x14ac:dyDescent="0.25">
      <c r="A642" s="1" t="str">
        <f t="shared" ref="A642:A705" si="10">IFERROR(LEFT(RIGHT(C642,LEN(C642)-SEARCH("@",C642)),SEARCH("/",RIGHT(C642,LEN(C642)-SEARCH("@",C642)-1))),"")</f>
        <v>08 Fadrozole 44 µg_L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2741</v>
      </c>
      <c r="D642" s="1" t="s">
        <v>738</v>
      </c>
      <c r="E642" s="1" t="s">
        <v>2742</v>
      </c>
      <c r="F642" s="1" t="s">
        <v>112</v>
      </c>
      <c r="G642" s="1">
        <v>30303</v>
      </c>
    </row>
    <row r="643" spans="1:10" x14ac:dyDescent="0.25">
      <c r="A643" s="1" t="str">
        <f t="shared" si="10"/>
        <v>08 Fadrozole 44 µg_L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2743</v>
      </c>
      <c r="D643" s="1" t="s">
        <v>293</v>
      </c>
      <c r="E643" s="1" t="s">
        <v>2039</v>
      </c>
      <c r="F643" s="1" t="s">
        <v>112</v>
      </c>
      <c r="G643" s="1">
        <v>33137</v>
      </c>
    </row>
    <row r="644" spans="1:10" x14ac:dyDescent="0.25">
      <c r="A644" s="1" t="str">
        <f t="shared" si="10"/>
        <v>08 Fadrozole 44 µg_L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2744</v>
      </c>
      <c r="D644" s="1" t="s">
        <v>278</v>
      </c>
      <c r="E644" s="1" t="s">
        <v>215</v>
      </c>
      <c r="F644" s="1" t="s">
        <v>112</v>
      </c>
      <c r="G644" s="1">
        <v>12329</v>
      </c>
    </row>
    <row r="645" spans="1:10" x14ac:dyDescent="0.25">
      <c r="A645" s="1" t="str">
        <f t="shared" si="10"/>
        <v>08 Fadrozole 44 µg_L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2745</v>
      </c>
      <c r="D645" s="1" t="s">
        <v>361</v>
      </c>
      <c r="E645" s="1" t="s">
        <v>2746</v>
      </c>
      <c r="F645" s="1" t="s">
        <v>112</v>
      </c>
      <c r="G645" s="1">
        <v>78473</v>
      </c>
    </row>
    <row r="646" spans="1:10" x14ac:dyDescent="0.25">
      <c r="A646" s="1" t="str">
        <f t="shared" si="10"/>
        <v>08 Fadrozole 44 µg_L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2747</v>
      </c>
      <c r="D646" s="1" t="s">
        <v>704</v>
      </c>
      <c r="E646" s="1" t="s">
        <v>2748</v>
      </c>
      <c r="F646" s="1" t="s">
        <v>112</v>
      </c>
      <c r="G646" s="1">
        <v>45142</v>
      </c>
    </row>
    <row r="647" spans="1:10" x14ac:dyDescent="0.25">
      <c r="A647" s="1" t="str">
        <f t="shared" si="10"/>
        <v>08 Fadrozole 44 µg_L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2749</v>
      </c>
      <c r="D647" s="1" t="s">
        <v>350</v>
      </c>
      <c r="E647" s="1" t="s">
        <v>2750</v>
      </c>
      <c r="F647" s="1" t="s">
        <v>112</v>
      </c>
      <c r="G647" s="1">
        <v>51371</v>
      </c>
    </row>
    <row r="648" spans="1:10" x14ac:dyDescent="0.25">
      <c r="A648" s="1" t="str">
        <f t="shared" si="10"/>
        <v>08 Fadrozole 44 µg_L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2751</v>
      </c>
      <c r="D648" s="1" t="s">
        <v>1609</v>
      </c>
      <c r="E648" s="1" t="s">
        <v>2752</v>
      </c>
      <c r="F648" s="1" t="s">
        <v>112</v>
      </c>
      <c r="G648" s="1">
        <v>115936</v>
      </c>
    </row>
    <row r="649" spans="1:10" x14ac:dyDescent="0.25">
      <c r="A649" s="1" t="str">
        <f t="shared" si="10"/>
        <v>08 Fadrozole 44 µg_L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2753</v>
      </c>
      <c r="D649" s="1" t="s">
        <v>211</v>
      </c>
      <c r="E649" s="1" t="s">
        <v>2754</v>
      </c>
      <c r="F649" s="1" t="s">
        <v>112</v>
      </c>
      <c r="G649" s="1">
        <v>167524</v>
      </c>
    </row>
    <row r="650" spans="1:10" x14ac:dyDescent="0.25">
      <c r="A650" s="1" t="str">
        <f t="shared" si="10"/>
        <v>08 Fadrozole 44 µg_L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2755</v>
      </c>
      <c r="D650" s="1" t="s">
        <v>503</v>
      </c>
      <c r="E650" s="1" t="s">
        <v>2756</v>
      </c>
      <c r="F650" s="1" t="s">
        <v>112</v>
      </c>
      <c r="G650" s="1">
        <v>69367</v>
      </c>
    </row>
    <row r="651" spans="1:10" x14ac:dyDescent="0.25">
      <c r="A651" s="1" t="str">
        <f t="shared" si="10"/>
        <v>08 Fadrozole 44 µg_L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2757</v>
      </c>
      <c r="D651" s="1" t="s">
        <v>1227</v>
      </c>
      <c r="E651" s="1" t="s">
        <v>2758</v>
      </c>
      <c r="F651" s="1" t="s">
        <v>112</v>
      </c>
      <c r="G651" s="1">
        <v>55567</v>
      </c>
    </row>
    <row r="652" spans="1:10" x14ac:dyDescent="0.25">
      <c r="A652" s="1" t="str">
        <f t="shared" si="10"/>
        <v>08 Fadrozole 44 µg_L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2759</v>
      </c>
      <c r="D652" s="1" t="s">
        <v>2760</v>
      </c>
      <c r="E652" s="1" t="s">
        <v>2761</v>
      </c>
      <c r="F652" s="1" t="s">
        <v>112</v>
      </c>
      <c r="G652" s="1">
        <v>128741</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236</v>
      </c>
      <c r="D654" s="1" t="s">
        <v>112</v>
      </c>
      <c r="E654" s="1" t="s">
        <v>237</v>
      </c>
      <c r="F654" s="1" t="s">
        <v>238</v>
      </c>
      <c r="G654" s="1" t="s">
        <v>239</v>
      </c>
      <c r="H654" s="1" t="s">
        <v>240</v>
      </c>
      <c r="I654" s="1" t="s">
        <v>241</v>
      </c>
      <c r="J654" s="1" t="s">
        <v>242</v>
      </c>
    </row>
    <row r="655" spans="1:10" x14ac:dyDescent="0.25">
      <c r="A655" s="1" t="str">
        <f t="shared" si="10"/>
        <v>08 Fadrozole 44 µg_L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2762</v>
      </c>
      <c r="D655" s="1" t="s">
        <v>112</v>
      </c>
      <c r="E655" s="1" t="s">
        <v>2763</v>
      </c>
      <c r="F655" s="1" t="s">
        <v>2764</v>
      </c>
      <c r="G655" s="1" t="s">
        <v>2765</v>
      </c>
      <c r="H655" s="1" t="s">
        <v>2766</v>
      </c>
      <c r="I655" s="1">
        <v>24</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248</v>
      </c>
      <c r="D661" s="1" t="s">
        <v>110</v>
      </c>
      <c r="E661" s="1" t="s">
        <v>111</v>
      </c>
      <c r="F661" s="1" t="s">
        <v>112</v>
      </c>
      <c r="G661" s="1" t="s">
        <v>113</v>
      </c>
    </row>
    <row r="662" spans="1:7" x14ac:dyDescent="0.25">
      <c r="A662" s="1" t="str">
        <f t="shared" si="10"/>
        <v>09  Fadrozole 87 µg_L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2767</v>
      </c>
      <c r="D662" s="1" t="s">
        <v>2096</v>
      </c>
      <c r="E662" s="1" t="s">
        <v>2768</v>
      </c>
      <c r="F662" s="1" t="s">
        <v>112</v>
      </c>
      <c r="G662" s="1">
        <v>178144</v>
      </c>
    </row>
    <row r="663" spans="1:7" x14ac:dyDescent="0.25">
      <c r="A663" s="1" t="str">
        <f t="shared" si="10"/>
        <v>09  Fadrozole 87 µg_L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2769</v>
      </c>
    </row>
    <row r="664" spans="1:7" x14ac:dyDescent="0.25">
      <c r="A664" s="1" t="str">
        <f t="shared" si="10"/>
        <v>09  Fadrozole 87 µg_L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2770</v>
      </c>
      <c r="D664" s="1" t="s">
        <v>2771</v>
      </c>
      <c r="E664" s="1" t="s">
        <v>2772</v>
      </c>
      <c r="F664" s="1" t="s">
        <v>112</v>
      </c>
      <c r="G664" s="1">
        <v>151366</v>
      </c>
    </row>
    <row r="665" spans="1:7" x14ac:dyDescent="0.25">
      <c r="A665" s="1" t="str">
        <f t="shared" si="10"/>
        <v>09  Fadrozole 87 µg_L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2773</v>
      </c>
      <c r="D665" s="1" t="s">
        <v>1227</v>
      </c>
      <c r="E665" s="1" t="s">
        <v>2774</v>
      </c>
      <c r="F665" s="1" t="s">
        <v>112</v>
      </c>
      <c r="G665" s="1">
        <v>56843</v>
      </c>
    </row>
    <row r="666" spans="1:7" x14ac:dyDescent="0.25">
      <c r="A666" s="1" t="str">
        <f t="shared" si="10"/>
        <v>09  Fadrozole 87 µg_L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2775</v>
      </c>
      <c r="D666" s="1" t="s">
        <v>333</v>
      </c>
      <c r="E666" s="1" t="s">
        <v>2776</v>
      </c>
      <c r="F666" s="1" t="s">
        <v>112</v>
      </c>
      <c r="G666" s="1">
        <v>64717</v>
      </c>
    </row>
    <row r="667" spans="1:7" x14ac:dyDescent="0.25">
      <c r="A667" s="1" t="str">
        <f t="shared" si="10"/>
        <v>09  Fadrozole 87 µg_L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2777</v>
      </c>
      <c r="D667" s="1" t="s">
        <v>745</v>
      </c>
      <c r="E667" s="1" t="s">
        <v>2778</v>
      </c>
      <c r="F667" s="1" t="s">
        <v>112</v>
      </c>
      <c r="G667" s="1">
        <v>39626</v>
      </c>
    </row>
    <row r="668" spans="1:7" x14ac:dyDescent="0.25">
      <c r="A668" s="1" t="str">
        <f t="shared" si="10"/>
        <v>09  Fadrozole 87 µg_L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2779</v>
      </c>
      <c r="D668" s="1" t="s">
        <v>2100</v>
      </c>
      <c r="E668" s="1" t="s">
        <v>2780</v>
      </c>
      <c r="F668" s="1" t="s">
        <v>112</v>
      </c>
      <c r="G668" s="1">
        <v>47305</v>
      </c>
    </row>
    <row r="669" spans="1:7" x14ac:dyDescent="0.25">
      <c r="A669" s="1" t="str">
        <f t="shared" si="10"/>
        <v>09  Fadrozole 87 µg_L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2781</v>
      </c>
      <c r="D669" s="1" t="s">
        <v>189</v>
      </c>
      <c r="E669" s="1" t="s">
        <v>2782</v>
      </c>
      <c r="F669" s="1" t="s">
        <v>112</v>
      </c>
      <c r="G669" s="1">
        <v>23468</v>
      </c>
    </row>
    <row r="670" spans="1:7" x14ac:dyDescent="0.25">
      <c r="A670" s="1" t="str">
        <f t="shared" si="10"/>
        <v>09  Fadrozole 87 µg_L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2783</v>
      </c>
      <c r="D670" s="1" t="s">
        <v>296</v>
      </c>
      <c r="E670" s="1" t="s">
        <v>2784</v>
      </c>
      <c r="F670" s="1" t="s">
        <v>112</v>
      </c>
      <c r="G670" s="1">
        <v>16460</v>
      </c>
    </row>
    <row r="671" spans="1:7" x14ac:dyDescent="0.25">
      <c r="A671" s="1" t="str">
        <f t="shared" si="10"/>
        <v>09  Fadrozole 87 µg_L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2785</v>
      </c>
      <c r="D671" s="1" t="s">
        <v>353</v>
      </c>
      <c r="E671" s="1" t="s">
        <v>2786</v>
      </c>
      <c r="F671" s="1" t="s">
        <v>112</v>
      </c>
      <c r="G671" s="1">
        <v>13605</v>
      </c>
    </row>
    <row r="672" spans="1:7" x14ac:dyDescent="0.25">
      <c r="A672" s="1" t="str">
        <f t="shared" si="10"/>
        <v>09  Fadrozole 87 µg_L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2787</v>
      </c>
      <c r="D672" s="1" t="s">
        <v>296</v>
      </c>
      <c r="E672" s="1" t="s">
        <v>2788</v>
      </c>
      <c r="F672" s="1" t="s">
        <v>112</v>
      </c>
      <c r="G672" s="1">
        <v>16028</v>
      </c>
    </row>
    <row r="673" spans="1:10" x14ac:dyDescent="0.25">
      <c r="A673" s="1" t="str">
        <f t="shared" si="10"/>
        <v>09  Fadrozole 87 µg_L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2789</v>
      </c>
      <c r="D673" s="1" t="s">
        <v>278</v>
      </c>
      <c r="E673" s="1">
        <v>64</v>
      </c>
      <c r="F673" s="1" t="s">
        <v>112</v>
      </c>
      <c r="G673" s="1">
        <v>12459</v>
      </c>
    </row>
    <row r="674" spans="1:10" x14ac:dyDescent="0.25">
      <c r="A674" s="1" t="str">
        <f t="shared" si="10"/>
        <v>09  Fadrozole 87 µg_L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2790</v>
      </c>
      <c r="D674" s="1" t="s">
        <v>714</v>
      </c>
      <c r="E674" s="1" t="s">
        <v>2791</v>
      </c>
      <c r="F674" s="1" t="s">
        <v>112</v>
      </c>
      <c r="G674" s="1">
        <v>58141</v>
      </c>
    </row>
    <row r="675" spans="1:10" x14ac:dyDescent="0.25">
      <c r="A675" s="1" t="str">
        <f t="shared" si="10"/>
        <v>09  Fadrozole 87 µg_L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2792</v>
      </c>
      <c r="D675" s="1" t="s">
        <v>2793</v>
      </c>
      <c r="E675" s="1" t="s">
        <v>2794</v>
      </c>
      <c r="F675" s="1" t="s">
        <v>112</v>
      </c>
      <c r="G675" s="1">
        <v>158050</v>
      </c>
    </row>
    <row r="676" spans="1:10" x14ac:dyDescent="0.25">
      <c r="A676" s="1" t="str">
        <f t="shared" si="10"/>
        <v>09  Fadrozole 87 µg_L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2795</v>
      </c>
      <c r="D676" s="1" t="s">
        <v>2796</v>
      </c>
      <c r="E676" s="1" t="s">
        <v>2797</v>
      </c>
      <c r="F676" s="1" t="s">
        <v>112</v>
      </c>
      <c r="G676" s="1">
        <v>670527</v>
      </c>
    </row>
    <row r="677" spans="1:10" x14ac:dyDescent="0.25">
      <c r="A677" s="1" t="str">
        <f t="shared" si="10"/>
        <v>09  Fadrozole 87 µg_L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2798</v>
      </c>
      <c r="D677" s="1" t="s">
        <v>2799</v>
      </c>
      <c r="E677" s="1" t="s">
        <v>2800</v>
      </c>
      <c r="F677" s="1" t="s">
        <v>112</v>
      </c>
      <c r="G677" s="1">
        <v>498937</v>
      </c>
    </row>
    <row r="678" spans="1:10" x14ac:dyDescent="0.25">
      <c r="A678" s="1" t="str">
        <f t="shared" si="10"/>
        <v>09  Fadrozole 87 µg_L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2801</v>
      </c>
      <c r="D678" s="1" t="s">
        <v>2802</v>
      </c>
      <c r="E678" s="1" t="s">
        <v>2803</v>
      </c>
      <c r="F678" s="1" t="s">
        <v>112</v>
      </c>
      <c r="G678" s="1">
        <v>470710</v>
      </c>
    </row>
    <row r="679" spans="1:10" x14ac:dyDescent="0.25">
      <c r="A679" s="1" t="str">
        <f t="shared" si="10"/>
        <v>09  Fadrozole 87 µg_L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2804</v>
      </c>
      <c r="D679" s="1" t="s">
        <v>714</v>
      </c>
      <c r="E679" s="1" t="s">
        <v>2805</v>
      </c>
      <c r="F679" s="1" t="s">
        <v>112</v>
      </c>
      <c r="G679" s="1">
        <v>57125</v>
      </c>
    </row>
    <row r="680" spans="1:10" x14ac:dyDescent="0.25">
      <c r="A680" s="1" t="str">
        <f t="shared" si="10"/>
        <v>09  Fadrozole 87 µg_L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2806</v>
      </c>
      <c r="D680" s="1" t="s">
        <v>217</v>
      </c>
      <c r="E680" s="1" t="s">
        <v>2807</v>
      </c>
      <c r="F680" s="1" t="s">
        <v>112</v>
      </c>
      <c r="G680" s="1">
        <v>31298</v>
      </c>
    </row>
    <row r="681" spans="1:10" x14ac:dyDescent="0.25">
      <c r="A681" s="1" t="str">
        <f t="shared" si="10"/>
        <v>09  Fadrozole 87 µg_L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2808</v>
      </c>
      <c r="D681" s="1" t="s">
        <v>234</v>
      </c>
      <c r="E681" s="1" t="s">
        <v>2809</v>
      </c>
      <c r="F681" s="1" t="s">
        <v>112</v>
      </c>
      <c r="G681" s="1">
        <v>43303</v>
      </c>
    </row>
    <row r="682" spans="1:10" x14ac:dyDescent="0.25">
      <c r="A682" s="1" t="str">
        <f t="shared" si="10"/>
        <v>09  Fadrozole 87 µg_L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2810</v>
      </c>
      <c r="D682" s="1" t="s">
        <v>1325</v>
      </c>
      <c r="E682" s="1" t="s">
        <v>1507</v>
      </c>
      <c r="F682" s="1" t="s">
        <v>112</v>
      </c>
      <c r="G682" s="1">
        <v>37571</v>
      </c>
    </row>
    <row r="683" spans="1:10" x14ac:dyDescent="0.25">
      <c r="A683" s="1" t="str">
        <f t="shared" si="10"/>
        <v>09  Fadrozole 87 µg_L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2811</v>
      </c>
      <c r="D683" s="1" t="s">
        <v>848</v>
      </c>
      <c r="E683" s="1" t="s">
        <v>707</v>
      </c>
      <c r="F683" s="1" t="s">
        <v>112</v>
      </c>
      <c r="G683" s="1">
        <v>27037</v>
      </c>
    </row>
    <row r="684" spans="1:10" x14ac:dyDescent="0.25">
      <c r="A684" s="1" t="str">
        <f t="shared" si="10"/>
        <v>09  Fadrozole 87 µg_L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2812</v>
      </c>
      <c r="D684" s="1" t="s">
        <v>228</v>
      </c>
      <c r="E684" s="1" t="s">
        <v>2813</v>
      </c>
      <c r="F684" s="1" t="s">
        <v>112</v>
      </c>
      <c r="G684" s="1">
        <v>39496</v>
      </c>
    </row>
    <row r="685" spans="1:10" x14ac:dyDescent="0.25">
      <c r="A685" s="1" t="str">
        <f t="shared" si="10"/>
        <v>09  Fadrozole 87 µg_L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2814</v>
      </c>
      <c r="D685" s="1" t="s">
        <v>1218</v>
      </c>
      <c r="E685" s="1" t="s">
        <v>2815</v>
      </c>
      <c r="F685" s="1" t="s">
        <v>112</v>
      </c>
      <c r="G685" s="1">
        <v>36425</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236</v>
      </c>
      <c r="D687" s="1" t="s">
        <v>112</v>
      </c>
      <c r="E687" s="1" t="s">
        <v>237</v>
      </c>
      <c r="F687" s="1" t="s">
        <v>238</v>
      </c>
      <c r="G687" s="1" t="s">
        <v>239</v>
      </c>
      <c r="H687" s="1" t="s">
        <v>240</v>
      </c>
      <c r="I687" s="1" t="s">
        <v>241</v>
      </c>
      <c r="J687" s="1" t="s">
        <v>242</v>
      </c>
    </row>
    <row r="688" spans="1:10" x14ac:dyDescent="0.25">
      <c r="A688" s="1" t="str">
        <f t="shared" si="10"/>
        <v>09  Fadrozole 87 µg_L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2816</v>
      </c>
      <c r="D688" s="1" t="s">
        <v>112</v>
      </c>
      <c r="E688" s="1" t="s">
        <v>2817</v>
      </c>
      <c r="F688" s="1" t="s">
        <v>2818</v>
      </c>
      <c r="G688" s="1" t="s">
        <v>2819</v>
      </c>
      <c r="H688" s="1" t="s">
        <v>2820</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8"/>
  <sheetViews>
    <sheetView showGridLines="0" topLeftCell="L47" zoomScale="85" zoomScaleNormal="85" zoomScaleSheetLayoutView="40" zoomScalePageLayoutView="30" workbookViewId="0">
      <selection activeCell="T74" sqref="T74"/>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7" t="s">
        <v>43</v>
      </c>
      <c r="B1" s="218"/>
      <c r="C1" s="218"/>
      <c r="D1" s="218"/>
      <c r="E1" s="218"/>
      <c r="F1" s="218"/>
      <c r="G1" s="218"/>
      <c r="H1" s="218"/>
      <c r="I1" s="218"/>
      <c r="J1" s="218"/>
      <c r="K1" s="218"/>
      <c r="L1" s="218"/>
      <c r="M1" s="218"/>
      <c r="N1" s="218"/>
      <c r="O1" s="218"/>
      <c r="P1" s="218"/>
      <c r="Q1" s="218"/>
      <c r="R1" s="218"/>
      <c r="S1" s="218"/>
      <c r="T1" s="218"/>
      <c r="U1" s="218"/>
      <c r="V1" s="218"/>
    </row>
    <row r="2" spans="1:22" customFormat="1" ht="15.75" thickBot="1" x14ac:dyDescent="0.3"/>
    <row r="3" spans="1:22" ht="15.75" thickBot="1" x14ac:dyDescent="0.3">
      <c r="A3" s="51" t="s">
        <v>18</v>
      </c>
      <c r="B3" s="225" t="s">
        <v>6</v>
      </c>
      <c r="C3" s="226"/>
      <c r="D3" s="226"/>
      <c r="E3" s="226"/>
      <c r="F3" s="226"/>
      <c r="G3" s="226"/>
      <c r="H3" s="226"/>
      <c r="I3" s="226"/>
      <c r="J3" s="226"/>
      <c r="K3" s="226"/>
      <c r="L3" s="226"/>
      <c r="M3" s="226"/>
      <c r="O3" s="225" t="s">
        <v>3</v>
      </c>
      <c r="P3" s="226"/>
      <c r="Q3" s="226"/>
      <c r="R3" s="226"/>
      <c r="S3" s="226"/>
      <c r="T3" s="226"/>
      <c r="U3" s="226"/>
      <c r="V3" s="226"/>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Fadrozole-5,4µg/L</v>
      </c>
      <c r="J4" s="35" t="str">
        <f>'Page de garde'!A16</f>
        <v>Fadrozole-11µg/L</v>
      </c>
      <c r="K4" s="35" t="str">
        <f>'Page de garde'!A17</f>
        <v>Fadrozole-22µg/L</v>
      </c>
      <c r="L4" s="35" t="str">
        <f>'Page de garde'!A18</f>
        <v>Fadrozole-44µg/L</v>
      </c>
      <c r="M4" s="35" t="str">
        <f>'Page de garde'!A19</f>
        <v>Fadrozole-87µg/L</v>
      </c>
      <c r="N4" s="3"/>
      <c r="O4" s="36" t="str">
        <f>'Page de garde'!A36</f>
        <v>Testo -30µg/L</v>
      </c>
      <c r="P4" s="36" t="str">
        <f>'Page de garde'!A37</f>
        <v>Testo 30µg/L + EE2 -64ng/L</v>
      </c>
      <c r="Q4" s="36" t="str">
        <f>'Page de garde'!A38</f>
        <v>Testo 30µg/L + FAD-10µg/L</v>
      </c>
      <c r="R4" s="36" t="str">
        <f>'Page de garde'!A39</f>
        <v>Fadrozole-5,4µg/L + Testostérone</v>
      </c>
      <c r="S4" s="36" t="str">
        <f>'Page de garde'!A40</f>
        <v>Fadrozole-11µg/L + Testostérone</v>
      </c>
      <c r="T4" s="36" t="str">
        <f>'Page de garde'!A41</f>
        <v>Fadrozole-22µg/L + Testostérone</v>
      </c>
      <c r="U4" s="36" t="str">
        <f>'Page de garde'!A42</f>
        <v>Fadrozole-44µg/L + Testostérone</v>
      </c>
      <c r="V4" s="36" t="str">
        <f>'Page de garde'!A43</f>
        <v>Fadrozole-87µg/L + Testostérone</v>
      </c>
    </row>
    <row r="5" spans="1:22" x14ac:dyDescent="0.25">
      <c r="A5" s="227" t="s">
        <v>33</v>
      </c>
      <c r="B5" s="196">
        <v>214381.33333333334</v>
      </c>
      <c r="C5" s="196">
        <v>244821.33333333334</v>
      </c>
      <c r="D5" s="196">
        <v>149196</v>
      </c>
      <c r="E5" s="196">
        <v>503205.33333333331</v>
      </c>
      <c r="F5" s="196">
        <v>1146723.3333333333</v>
      </c>
      <c r="G5" s="196">
        <v>679885.33333333337</v>
      </c>
      <c r="H5" s="196">
        <v>4818196</v>
      </c>
      <c r="I5" s="196">
        <v>71847.333333333328</v>
      </c>
      <c r="J5" s="196">
        <v>576624.33333333337</v>
      </c>
      <c r="K5" s="196">
        <v>189687.33333333334</v>
      </c>
      <c r="L5" s="196">
        <v>475677.33333333331</v>
      </c>
      <c r="M5" s="196">
        <v>206630.33333333334</v>
      </c>
      <c r="N5" s="3"/>
      <c r="O5" s="196">
        <v>4401070.666666667</v>
      </c>
      <c r="P5" s="196">
        <v>2155657</v>
      </c>
      <c r="Q5" s="196">
        <v>102302.33333333333</v>
      </c>
      <c r="R5" s="196">
        <v>258671.66666666666</v>
      </c>
      <c r="S5" s="196">
        <v>434133.66666666669</v>
      </c>
      <c r="T5" s="196">
        <v>27888</v>
      </c>
      <c r="U5" s="196">
        <v>90066.666666666672</v>
      </c>
      <c r="V5" s="196">
        <v>164755</v>
      </c>
    </row>
    <row r="6" spans="1:22" x14ac:dyDescent="0.25">
      <c r="A6" s="227"/>
      <c r="B6" s="196">
        <v>621607.33333333337</v>
      </c>
      <c r="C6" s="196">
        <v>801156.66666666663</v>
      </c>
      <c r="D6" s="196">
        <v>234244.33333333334</v>
      </c>
      <c r="E6" s="196">
        <v>393469.33333333331</v>
      </c>
      <c r="F6" s="196">
        <v>689676.33333333337</v>
      </c>
      <c r="G6" s="196">
        <v>2364742</v>
      </c>
      <c r="H6" s="196">
        <v>2668876.3333333335</v>
      </c>
      <c r="I6" s="196">
        <v>33771.333333333336</v>
      </c>
      <c r="J6" s="196">
        <v>88343.666666666672</v>
      </c>
      <c r="K6" s="196"/>
      <c r="L6" s="196">
        <v>270417</v>
      </c>
      <c r="M6" s="196">
        <v>87421</v>
      </c>
      <c r="N6" s="3"/>
      <c r="O6" s="196">
        <v>1021868.3333333334</v>
      </c>
      <c r="P6" s="196">
        <v>2431164</v>
      </c>
      <c r="Q6" s="196">
        <v>291888</v>
      </c>
      <c r="R6" s="196">
        <v>480479.33333333331</v>
      </c>
      <c r="S6" s="196">
        <v>391479.33333333331</v>
      </c>
      <c r="T6" s="196">
        <v>64889.666666666664</v>
      </c>
      <c r="U6" s="196">
        <v>108856</v>
      </c>
      <c r="V6" s="196">
        <v>53728.666666666664</v>
      </c>
    </row>
    <row r="7" spans="1:22" x14ac:dyDescent="0.25">
      <c r="A7" s="227"/>
      <c r="B7" s="196">
        <v>401602.33333333331</v>
      </c>
      <c r="C7" s="196">
        <v>153053.33333333334</v>
      </c>
      <c r="D7" s="196">
        <v>24261.333333333332</v>
      </c>
      <c r="E7" s="196">
        <v>507902.5</v>
      </c>
      <c r="F7" s="196">
        <v>107370.66666666667</v>
      </c>
      <c r="G7" s="196">
        <v>3719029.6666666665</v>
      </c>
      <c r="H7" s="196">
        <v>3593352.6666666665</v>
      </c>
      <c r="I7" s="196">
        <v>26922.333333333332</v>
      </c>
      <c r="J7" s="196">
        <v>240849</v>
      </c>
      <c r="K7" s="196">
        <v>273964.33333333331</v>
      </c>
      <c r="L7" s="196">
        <v>561663.33333333337</v>
      </c>
      <c r="M7" s="196">
        <v>432381.5</v>
      </c>
      <c r="N7" s="3"/>
      <c r="O7" s="196">
        <v>304202.66666666669</v>
      </c>
      <c r="P7" s="196">
        <v>4162147</v>
      </c>
      <c r="Q7" s="196">
        <v>448150</v>
      </c>
      <c r="R7" s="196">
        <v>134992</v>
      </c>
      <c r="S7" s="196">
        <v>88199.666666666672</v>
      </c>
      <c r="T7" s="196">
        <v>47225.333333333336</v>
      </c>
      <c r="U7" s="196">
        <v>76576.666666666672</v>
      </c>
      <c r="V7" s="196">
        <v>29077.666666666668</v>
      </c>
    </row>
    <row r="8" spans="1:22" x14ac:dyDescent="0.25">
      <c r="A8" s="227"/>
      <c r="B8" s="196">
        <v>2816183.3333333335</v>
      </c>
      <c r="C8" s="196">
        <v>419612.66666666669</v>
      </c>
      <c r="D8" s="196">
        <v>393245.66666666669</v>
      </c>
      <c r="E8" s="196">
        <v>190220.33333333334</v>
      </c>
      <c r="F8" s="196">
        <v>178280.66666666666</v>
      </c>
      <c r="G8" s="196">
        <v>758236</v>
      </c>
      <c r="H8" s="196">
        <v>1856732</v>
      </c>
      <c r="I8" s="196">
        <v>44911</v>
      </c>
      <c r="J8" s="196">
        <v>53750.333333333336</v>
      </c>
      <c r="K8" s="196">
        <v>25948.666666666668</v>
      </c>
      <c r="L8" s="196">
        <v>31796</v>
      </c>
      <c r="M8" s="196">
        <v>293596.66666666669</v>
      </c>
      <c r="N8" s="3"/>
      <c r="O8" s="196">
        <v>3257591.6666666665</v>
      </c>
      <c r="P8" s="196">
        <v>1466845.6666666667</v>
      </c>
      <c r="Q8" s="196">
        <v>90773.333333333328</v>
      </c>
      <c r="R8" s="196">
        <v>289725.33333333331</v>
      </c>
      <c r="S8" s="196">
        <v>36367</v>
      </c>
      <c r="T8" s="196">
        <v>30858.666666666668</v>
      </c>
      <c r="U8" s="196">
        <v>122504.66666666667</v>
      </c>
      <c r="V8" s="196">
        <v>14030.666666666666</v>
      </c>
    </row>
    <row r="9" spans="1:22" x14ac:dyDescent="0.25">
      <c r="A9" s="227"/>
      <c r="B9" s="196">
        <v>394608.66666666669</v>
      </c>
      <c r="C9" s="196">
        <v>169081</v>
      </c>
      <c r="D9" s="196">
        <v>31154.333333333332</v>
      </c>
      <c r="E9" s="196">
        <v>281347.33333333331</v>
      </c>
      <c r="F9" s="196">
        <v>969682.33333333337</v>
      </c>
      <c r="G9" s="196">
        <v>2291305</v>
      </c>
      <c r="H9" s="196">
        <v>4479133</v>
      </c>
      <c r="I9" s="196">
        <v>246076</v>
      </c>
      <c r="J9" s="196">
        <v>292285</v>
      </c>
      <c r="K9" s="196">
        <v>106563.33333333333</v>
      </c>
      <c r="L9" s="196">
        <v>77413.333333333328</v>
      </c>
      <c r="M9" s="196">
        <v>312789.66666666669</v>
      </c>
      <c r="N9" s="3"/>
      <c r="O9" s="196">
        <v>112562</v>
      </c>
      <c r="P9" s="196">
        <v>5162241</v>
      </c>
      <c r="Q9" s="196">
        <v>10782.5</v>
      </c>
      <c r="R9" s="196">
        <v>86793.333333333328</v>
      </c>
      <c r="S9" s="196">
        <v>45927.666666666664</v>
      </c>
      <c r="T9" s="196">
        <v>259263.33333333334</v>
      </c>
      <c r="U9" s="196">
        <v>34651</v>
      </c>
      <c r="V9" s="196">
        <v>295572.66666666669</v>
      </c>
    </row>
    <row r="10" spans="1:22" x14ac:dyDescent="0.25">
      <c r="A10" s="227"/>
      <c r="B10" s="196">
        <v>57240</v>
      </c>
      <c r="C10" s="196">
        <v>225318.66666666666</v>
      </c>
      <c r="D10" s="196">
        <v>200805</v>
      </c>
      <c r="E10" s="196">
        <v>74940.333333333328</v>
      </c>
      <c r="F10" s="196">
        <v>931369</v>
      </c>
      <c r="G10" s="196">
        <v>2232104</v>
      </c>
      <c r="H10" s="196">
        <v>5318113.333333333</v>
      </c>
      <c r="I10" s="196">
        <v>442497</v>
      </c>
      <c r="J10" s="196">
        <v>13180</v>
      </c>
      <c r="K10" s="196">
        <v>269825.66666666669</v>
      </c>
      <c r="L10" s="196">
        <v>269595</v>
      </c>
      <c r="M10" s="196">
        <v>46504.333333333336</v>
      </c>
      <c r="N10" s="3"/>
      <c r="O10" s="196">
        <v>4037998.6666666665</v>
      </c>
      <c r="P10" s="196">
        <v>4139882.6666666665</v>
      </c>
      <c r="Q10" s="196">
        <v>19683.333333333332</v>
      </c>
      <c r="R10" s="196">
        <v>67074.666666666672</v>
      </c>
      <c r="S10" s="196">
        <v>36648.333333333336</v>
      </c>
      <c r="T10" s="196">
        <v>16280.333333333334</v>
      </c>
      <c r="U10" s="196">
        <v>45314.666666666664</v>
      </c>
      <c r="V10" s="196">
        <v>342257.33333333331</v>
      </c>
    </row>
    <row r="11" spans="1:22" x14ac:dyDescent="0.25">
      <c r="A11" s="227"/>
      <c r="B11" s="196">
        <v>42495.666666666664</v>
      </c>
      <c r="C11" s="196">
        <v>249241.33333333334</v>
      </c>
      <c r="D11" s="196">
        <v>57037.666666666664</v>
      </c>
      <c r="E11" s="196">
        <v>496110.33333333331</v>
      </c>
      <c r="F11" s="196">
        <v>1502340.3333333333</v>
      </c>
      <c r="G11" s="196">
        <v>1542442</v>
      </c>
      <c r="H11" s="196">
        <v>5159616.666666667</v>
      </c>
      <c r="I11" s="196">
        <v>332602.66666666669</v>
      </c>
      <c r="J11" s="196">
        <v>93765.5</v>
      </c>
      <c r="K11" s="196">
        <v>197474</v>
      </c>
      <c r="L11" s="196">
        <v>614905</v>
      </c>
      <c r="M11" s="196">
        <v>19784.333333333332</v>
      </c>
      <c r="N11" s="3"/>
      <c r="O11" s="196">
        <v>2296395.3333333335</v>
      </c>
      <c r="P11" s="196">
        <v>843025</v>
      </c>
      <c r="Q11" s="196">
        <v>86714.333333333328</v>
      </c>
      <c r="R11" s="196">
        <v>881623.5</v>
      </c>
      <c r="S11" s="196">
        <v>364413</v>
      </c>
      <c r="T11" s="196">
        <v>19539</v>
      </c>
      <c r="U11" s="196">
        <v>111610.33333333333</v>
      </c>
      <c r="V11" s="196">
        <v>37390.666666666664</v>
      </c>
    </row>
    <row r="12" spans="1:22" x14ac:dyDescent="0.25">
      <c r="A12" s="227"/>
      <c r="B12" s="196">
        <v>12451.666666666666</v>
      </c>
      <c r="C12" s="196">
        <v>552651</v>
      </c>
      <c r="D12" s="196">
        <v>196147</v>
      </c>
      <c r="E12" s="196">
        <v>68566.666666666672</v>
      </c>
      <c r="F12" s="196">
        <v>2638703</v>
      </c>
      <c r="G12" s="196">
        <v>2840524.3333333335</v>
      </c>
      <c r="H12" s="196">
        <v>5119861</v>
      </c>
      <c r="I12" s="196">
        <v>100456.33333333333</v>
      </c>
      <c r="J12" s="196">
        <v>389504</v>
      </c>
      <c r="K12" s="196">
        <v>42034.333333333336</v>
      </c>
      <c r="L12" s="196">
        <v>121927.66666666667</v>
      </c>
      <c r="M12" s="196">
        <v>680044</v>
      </c>
      <c r="N12" s="3"/>
      <c r="O12" s="196">
        <v>3635113</v>
      </c>
      <c r="P12" s="196">
        <v>2740132.6666666665</v>
      </c>
      <c r="Q12" s="196">
        <v>42928</v>
      </c>
      <c r="R12" s="196">
        <v>22675.333333333332</v>
      </c>
      <c r="S12" s="196">
        <v>697347.66666666663</v>
      </c>
      <c r="T12" s="196">
        <v>41400</v>
      </c>
      <c r="U12" s="196">
        <v>84558.333333333328</v>
      </c>
      <c r="V12" s="196">
        <v>34319.333333333336</v>
      </c>
    </row>
    <row r="13" spans="1:22" ht="16.5" x14ac:dyDescent="0.25">
      <c r="A13" s="227"/>
      <c r="B13" s="14"/>
      <c r="C13" s="13"/>
      <c r="D13" s="32"/>
      <c r="E13" s="32"/>
      <c r="F13" s="32"/>
      <c r="G13" s="32"/>
      <c r="H13" s="32"/>
      <c r="I13" s="32"/>
      <c r="J13" s="32"/>
      <c r="K13" s="13"/>
      <c r="L13" s="13"/>
      <c r="M13" s="13"/>
      <c r="N13" s="3"/>
      <c r="O13" s="196">
        <v>3284751.6666666665</v>
      </c>
      <c r="P13" s="13"/>
      <c r="Q13" s="13"/>
      <c r="R13" s="32"/>
      <c r="S13" s="32"/>
      <c r="T13" s="32"/>
      <c r="U13" s="32"/>
      <c r="V13" s="32"/>
    </row>
    <row r="14" spans="1:22" ht="16.5" x14ac:dyDescent="0.25">
      <c r="A14" s="227"/>
      <c r="B14" s="14"/>
      <c r="C14" s="32"/>
      <c r="D14" s="32"/>
      <c r="E14" s="32"/>
      <c r="F14" s="32"/>
      <c r="G14" s="32"/>
      <c r="H14" s="32"/>
      <c r="I14" s="32"/>
      <c r="J14" s="32"/>
      <c r="K14" s="13"/>
      <c r="L14" s="13"/>
      <c r="M14" s="13"/>
      <c r="N14" s="3"/>
      <c r="O14" s="196">
        <v>1530805.3333333333</v>
      </c>
      <c r="P14" s="13"/>
      <c r="Q14" s="13"/>
      <c r="R14" s="32"/>
      <c r="S14" s="32"/>
      <c r="T14" s="32"/>
      <c r="U14" s="32"/>
      <c r="V14" s="32"/>
    </row>
    <row r="15" spans="1:22" ht="16.5" x14ac:dyDescent="0.25">
      <c r="A15" s="227"/>
      <c r="B15" s="14"/>
      <c r="C15" s="32"/>
      <c r="D15" s="32"/>
      <c r="E15" s="32"/>
      <c r="F15" s="32"/>
      <c r="G15" s="32"/>
      <c r="H15" s="32"/>
      <c r="I15" s="32"/>
      <c r="J15" s="32"/>
      <c r="K15" s="13"/>
      <c r="L15" s="13"/>
      <c r="M15" s="13"/>
      <c r="N15" s="3"/>
      <c r="O15" s="196">
        <v>3720803.6666666665</v>
      </c>
      <c r="P15" s="13"/>
      <c r="Q15" s="13"/>
      <c r="R15" s="32"/>
      <c r="S15" s="32"/>
      <c r="T15" s="32"/>
      <c r="U15" s="32"/>
      <c r="V15" s="32"/>
    </row>
    <row r="16" spans="1:22" ht="16.5" x14ac:dyDescent="0.25">
      <c r="A16" s="227"/>
      <c r="B16" s="14"/>
      <c r="C16" s="32"/>
      <c r="D16" s="32"/>
      <c r="E16" s="32"/>
      <c r="F16" s="32"/>
      <c r="G16" s="32"/>
      <c r="H16" s="32"/>
      <c r="I16" s="32"/>
      <c r="J16" s="32"/>
      <c r="K16" s="13"/>
      <c r="L16" s="13"/>
      <c r="M16" s="13"/>
      <c r="N16" s="3"/>
      <c r="O16" s="196">
        <v>4197075.5</v>
      </c>
      <c r="P16" s="13"/>
      <c r="Q16" s="13"/>
      <c r="R16" s="32"/>
      <c r="S16" s="32"/>
      <c r="T16" s="32"/>
      <c r="U16" s="32"/>
      <c r="V16" s="32"/>
    </row>
    <row r="17" spans="1:22" ht="16.5" x14ac:dyDescent="0.25">
      <c r="A17" s="227"/>
      <c r="B17" s="14"/>
      <c r="C17" s="32"/>
      <c r="D17" s="32"/>
      <c r="E17" s="32"/>
      <c r="F17" s="32"/>
      <c r="G17" s="32"/>
      <c r="H17" s="32"/>
      <c r="I17" s="32"/>
      <c r="J17" s="32"/>
      <c r="K17" s="13"/>
      <c r="L17" s="13"/>
      <c r="M17" s="13"/>
      <c r="N17" s="3"/>
      <c r="O17" s="196">
        <v>848483</v>
      </c>
      <c r="P17" s="13"/>
      <c r="Q17" s="13"/>
      <c r="R17" s="32"/>
      <c r="S17" s="32"/>
      <c r="T17" s="32"/>
      <c r="U17" s="32"/>
      <c r="V17" s="32"/>
    </row>
    <row r="18" spans="1:22" ht="16.5" x14ac:dyDescent="0.25">
      <c r="A18" s="227"/>
      <c r="B18" s="14"/>
      <c r="C18" s="32"/>
      <c r="D18" s="32"/>
      <c r="E18" s="32"/>
      <c r="F18" s="32"/>
      <c r="G18" s="32"/>
      <c r="H18" s="32"/>
      <c r="I18" s="32"/>
      <c r="J18" s="32"/>
      <c r="K18" s="13"/>
      <c r="L18" s="13"/>
      <c r="M18" s="13"/>
      <c r="N18" s="3"/>
      <c r="O18" s="196">
        <v>2803249</v>
      </c>
      <c r="P18" s="13"/>
      <c r="Q18" s="13"/>
      <c r="R18" s="32"/>
      <c r="S18" s="32"/>
      <c r="T18" s="32"/>
      <c r="U18" s="32"/>
      <c r="V18" s="32"/>
    </row>
    <row r="19" spans="1:22" ht="16.5" x14ac:dyDescent="0.25">
      <c r="A19" s="227"/>
      <c r="B19" s="14"/>
      <c r="C19" s="32"/>
      <c r="D19" s="32"/>
      <c r="E19" s="32"/>
      <c r="F19" s="32"/>
      <c r="G19" s="32"/>
      <c r="H19" s="32"/>
      <c r="I19" s="32"/>
      <c r="J19" s="32"/>
      <c r="K19" s="13"/>
      <c r="L19" s="13"/>
      <c r="M19" s="13"/>
      <c r="N19" s="3"/>
      <c r="O19" s="196"/>
      <c r="P19" s="13"/>
      <c r="Q19" s="13"/>
      <c r="R19" s="32"/>
      <c r="S19" s="32"/>
      <c r="T19" s="32"/>
      <c r="U19" s="32"/>
      <c r="V19" s="32"/>
    </row>
    <row r="20" spans="1:22" ht="16.5" x14ac:dyDescent="0.25">
      <c r="A20" s="227"/>
      <c r="B20" s="14"/>
      <c r="C20" s="32"/>
      <c r="D20" s="32"/>
      <c r="E20" s="32"/>
      <c r="F20" s="32"/>
      <c r="G20" s="32"/>
      <c r="H20" s="32"/>
      <c r="I20" s="32"/>
      <c r="J20" s="32"/>
      <c r="K20" s="13"/>
      <c r="L20" s="13"/>
      <c r="M20" s="13"/>
      <c r="N20" s="3"/>
      <c r="O20" s="196">
        <v>1494726.6666666667</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Fadrozole-5,4µg/L</v>
      </c>
      <c r="J22" s="3" t="str">
        <f t="shared" si="0"/>
        <v>Fadrozole-11µg/L</v>
      </c>
      <c r="K22" s="3" t="str">
        <f t="shared" si="0"/>
        <v>Fadrozole-22µg/L</v>
      </c>
      <c r="L22" s="3" t="str">
        <f t="shared" si="0"/>
        <v>Fadrozole-44µg/L</v>
      </c>
      <c r="M22" s="3" t="str">
        <f t="shared" si="0"/>
        <v>Fadrozole-87µg/L</v>
      </c>
      <c r="N22" s="3" t="s">
        <v>41</v>
      </c>
      <c r="O22" s="3" t="str">
        <f t="shared" si="0"/>
        <v>Testo -30µg/L</v>
      </c>
      <c r="P22" s="3" t="str">
        <f t="shared" si="0"/>
        <v>Testo 30µg/L + EE2 -64ng/L</v>
      </c>
      <c r="Q22" s="3" t="str">
        <f t="shared" si="0"/>
        <v>Testo 30µg/L + FAD-10µg/L</v>
      </c>
      <c r="R22" s="3" t="str">
        <f t="shared" si="0"/>
        <v>Fadrozole-5,4µg/L + Testostérone</v>
      </c>
      <c r="S22" s="3" t="str">
        <f t="shared" si="0"/>
        <v>Fadrozole-11µg/L + Testostérone</v>
      </c>
      <c r="T22" s="3" t="str">
        <f t="shared" si="0"/>
        <v>Fadrozole-22µg/L + Testostérone</v>
      </c>
      <c r="U22" s="3" t="str">
        <f t="shared" si="0"/>
        <v>Fadrozole-44µg/L + Testostérone</v>
      </c>
      <c r="V22" s="3" t="str">
        <f t="shared" si="0"/>
        <v>Fadrozole-87µg/L + Testostérone</v>
      </c>
    </row>
    <row r="23" spans="1:22" x14ac:dyDescent="0.25">
      <c r="A23" s="5" t="s">
        <v>0</v>
      </c>
      <c r="B23" s="5">
        <f t="shared" ref="B23:J23" si="1">AVERAGE(B5:B20)</f>
        <v>570071.29166666674</v>
      </c>
      <c r="C23" s="5">
        <f t="shared" si="1"/>
        <v>351867</v>
      </c>
      <c r="D23" s="5">
        <f t="shared" si="1"/>
        <v>160761.41666666669</v>
      </c>
      <c r="E23" s="5">
        <f t="shared" si="1"/>
        <v>314470.27083333326</v>
      </c>
      <c r="F23" s="5">
        <f t="shared" si="1"/>
        <v>1020518.2083333334</v>
      </c>
      <c r="G23" s="5">
        <f t="shared" si="1"/>
        <v>2053533.5416666667</v>
      </c>
      <c r="H23" s="5">
        <f t="shared" si="1"/>
        <v>4126735.125</v>
      </c>
      <c r="I23" s="5">
        <f t="shared" si="1"/>
        <v>162385.5</v>
      </c>
      <c r="J23" s="5">
        <f t="shared" si="1"/>
        <v>218537.72916666669</v>
      </c>
      <c r="K23" s="5"/>
      <c r="L23" s="5">
        <f>AVERAGE(L5:L20)</f>
        <v>302924.33333333331</v>
      </c>
      <c r="M23" s="5"/>
      <c r="N23" s="5" t="s">
        <v>0</v>
      </c>
      <c r="O23" s="5">
        <f>AVERAGE(O5:O20)</f>
        <v>2463113.1444444442</v>
      </c>
      <c r="P23" s="5">
        <f>AVERAGE(P5:P20)</f>
        <v>2887636.875</v>
      </c>
      <c r="Q23" s="5">
        <f>AVERAGE(Q5:Q20)</f>
        <v>136652.72916666666</v>
      </c>
      <c r="R23" s="5">
        <f>AVERAGE(R5:R20)</f>
        <v>277754.39583333331</v>
      </c>
      <c r="S23" s="5">
        <f>AVERAGE(S5:S20)</f>
        <v>261814.54166666663</v>
      </c>
      <c r="T23" s="5">
        <f t="shared" ref="T23:V23" si="2">AVERAGE(T5:T20)</f>
        <v>63418.041666666664</v>
      </c>
      <c r="U23" s="5">
        <f t="shared" si="2"/>
        <v>84267.291666666686</v>
      </c>
      <c r="V23" s="5">
        <f t="shared" si="2"/>
        <v>121391.5</v>
      </c>
    </row>
    <row r="24" spans="1:22" x14ac:dyDescent="0.25">
      <c r="A24" s="3" t="s">
        <v>1</v>
      </c>
      <c r="B24" s="3">
        <f t="shared" ref="B24:J24" si="3">STDEV(B5:B20)</f>
        <v>932403.28157596744</v>
      </c>
      <c r="C24" s="3">
        <f t="shared" si="3"/>
        <v>226055.54731757328</v>
      </c>
      <c r="D24" s="3">
        <f t="shared" si="3"/>
        <v>124571.80235329186</v>
      </c>
      <c r="E24" s="3">
        <f t="shared" si="3"/>
        <v>187711.50536944464</v>
      </c>
      <c r="F24" s="3">
        <f t="shared" si="3"/>
        <v>804433.52179643</v>
      </c>
      <c r="G24" s="3">
        <f t="shared" si="3"/>
        <v>1028481.8849541565</v>
      </c>
      <c r="H24" s="3">
        <f t="shared" si="3"/>
        <v>1289384.7377040677</v>
      </c>
      <c r="I24" s="3">
        <f t="shared" si="3"/>
        <v>158188.38177442961</v>
      </c>
      <c r="J24" s="3">
        <f t="shared" si="3"/>
        <v>194656.18791064483</v>
      </c>
      <c r="K24" s="3"/>
      <c r="L24" s="3">
        <f>STDEV(L5:L20)</f>
        <v>224694.88972707043</v>
      </c>
      <c r="M24" s="3"/>
      <c r="N24" s="3" t="s">
        <v>1</v>
      </c>
      <c r="O24" s="3">
        <f>STDEV(O5:O20)</f>
        <v>1471755.1234470597</v>
      </c>
      <c r="P24" s="3">
        <f>STDEV(P5:P20)</f>
        <v>1479928.7819979498</v>
      </c>
      <c r="Q24" s="3">
        <f>STDEV(Q5:Q20)</f>
        <v>153630.6935902308</v>
      </c>
      <c r="R24" s="3">
        <f>STDEV(R5:R20)</f>
        <v>285997.3163239049</v>
      </c>
      <c r="S24" s="3">
        <f>STDEV(S5:S20)</f>
        <v>246402.13029594321</v>
      </c>
      <c r="T24" s="3">
        <f t="shared" ref="T24:V24" si="4">STDEV(T5:T20)</f>
        <v>80688.441831064003</v>
      </c>
      <c r="U24" s="3">
        <f t="shared" si="4"/>
        <v>31364.880072310094</v>
      </c>
      <c r="V24" s="3">
        <f t="shared" si="4"/>
        <v>131075.41006708302</v>
      </c>
    </row>
    <row r="25" spans="1:22" ht="15.75" thickBot="1" x14ac:dyDescent="0.3"/>
    <row r="26" spans="1:22" ht="15.75" thickBot="1" x14ac:dyDescent="0.3">
      <c r="B26" s="225" t="s">
        <v>6</v>
      </c>
      <c r="C26" s="226"/>
      <c r="D26" s="226"/>
      <c r="E26" s="226"/>
      <c r="F26" s="226"/>
      <c r="G26" s="226"/>
      <c r="H26" s="226"/>
      <c r="I26" s="226"/>
      <c r="J26" s="226"/>
      <c r="K26" s="226"/>
      <c r="L26" s="226"/>
      <c r="M26" s="226"/>
      <c r="O26" s="225" t="s">
        <v>3</v>
      </c>
      <c r="P26" s="226"/>
      <c r="Q26" s="226"/>
      <c r="R26" s="226"/>
      <c r="S26" s="226"/>
      <c r="T26" s="226"/>
      <c r="U26" s="226"/>
      <c r="V26" s="226"/>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Fadrozole-5,4µg/L</v>
      </c>
      <c r="J27" s="35" t="str">
        <f t="shared" si="5"/>
        <v>Fadrozole-11µg/L</v>
      </c>
      <c r="K27" s="35" t="str">
        <f t="shared" si="5"/>
        <v>Fadrozole-22µg/L</v>
      </c>
      <c r="L27" s="35" t="str">
        <f t="shared" si="5"/>
        <v>Fadrozole-44µg/L</v>
      </c>
      <c r="M27" s="35" t="str">
        <f t="shared" si="5"/>
        <v>Fadrozole-87µg/L</v>
      </c>
      <c r="N27" s="3"/>
      <c r="O27" s="36" t="str">
        <f>O4</f>
        <v>Testo -30µg/L</v>
      </c>
      <c r="P27" s="36" t="str">
        <f t="shared" ref="P27:R27" si="6">P4</f>
        <v>Testo 30µg/L + EE2 -64ng/L</v>
      </c>
      <c r="Q27" s="36" t="str">
        <f t="shared" si="6"/>
        <v>Testo 30µg/L + FAD-10µg/L</v>
      </c>
      <c r="R27" s="36" t="str">
        <f t="shared" si="6"/>
        <v>Fadrozole-5,4µg/L + Testostérone</v>
      </c>
      <c r="S27" s="36" t="str">
        <f t="shared" ref="S27:V27" si="7">S4</f>
        <v>Fadrozole-11µg/L + Testostérone</v>
      </c>
      <c r="T27" s="36" t="str">
        <f t="shared" si="7"/>
        <v>Fadrozole-22µg/L + Testostérone</v>
      </c>
      <c r="U27" s="36" t="str">
        <f t="shared" si="7"/>
        <v>Fadrozole-44µg/L + Testostérone</v>
      </c>
      <c r="V27" s="36" t="str">
        <f t="shared" si="7"/>
        <v>Fadrozole-87µg/L + Testostérone</v>
      </c>
    </row>
    <row r="28" spans="1:22" x14ac:dyDescent="0.25">
      <c r="A28" s="228" t="s">
        <v>34</v>
      </c>
      <c r="B28" s="11">
        <f t="shared" ref="B28:M28" si="8">IF(B5="","",(B5/$O$23))</f>
        <v>8.7036737965883057E-2</v>
      </c>
      <c r="C28" s="11">
        <f t="shared" si="8"/>
        <v>9.9395082148592426E-2</v>
      </c>
      <c r="D28" s="11">
        <f t="shared" si="8"/>
        <v>6.0572126106554151E-2</v>
      </c>
      <c r="E28" s="11">
        <f t="shared" si="8"/>
        <v>0.20429647516124616</v>
      </c>
      <c r="F28" s="11">
        <f t="shared" si="8"/>
        <v>0.46555852942434645</v>
      </c>
      <c r="G28" s="11">
        <f t="shared" si="8"/>
        <v>0.27602683817705082</v>
      </c>
      <c r="H28" s="11">
        <f t="shared" si="8"/>
        <v>1.9561407525543231</v>
      </c>
      <c r="I28" s="11">
        <f t="shared" si="8"/>
        <v>2.9169319117712925E-2</v>
      </c>
      <c r="J28" s="11">
        <f t="shared" si="8"/>
        <v>0.23410387567209834</v>
      </c>
      <c r="K28" s="11">
        <f t="shared" si="8"/>
        <v>7.7011213943286944E-2</v>
      </c>
      <c r="L28" s="11">
        <f t="shared" si="8"/>
        <v>0.19312037467958967</v>
      </c>
      <c r="M28" s="11">
        <f t="shared" si="8"/>
        <v>8.3889907290450053E-2</v>
      </c>
      <c r="N28" s="6"/>
      <c r="O28" s="11">
        <f t="shared" ref="O28:S37" si="9">IF(O5="","",(O5/$O$23))</f>
        <v>1.786791920863761</v>
      </c>
      <c r="P28" s="11">
        <f t="shared" si="9"/>
        <v>0.87517579322821115</v>
      </c>
      <c r="Q28" s="11">
        <f t="shared" si="9"/>
        <v>4.1533753154651631E-2</v>
      </c>
      <c r="R28" s="11">
        <f t="shared" si="9"/>
        <v>0.10501818288376279</v>
      </c>
      <c r="S28" s="11">
        <f t="shared" si="9"/>
        <v>0.17625404973614625</v>
      </c>
      <c r="T28" s="11">
        <f t="shared" ref="T28:V28" si="10">IF(T5="","",(T5/$O$23))</f>
        <v>1.1322256983160287E-2</v>
      </c>
      <c r="U28" s="11">
        <f t="shared" si="10"/>
        <v>3.6566191394744568E-2</v>
      </c>
      <c r="V28" s="11">
        <f t="shared" si="10"/>
        <v>6.6888928903491573E-2</v>
      </c>
    </row>
    <row r="29" spans="1:22" x14ac:dyDescent="0.25">
      <c r="A29" s="228"/>
      <c r="B29" s="11">
        <f t="shared" ref="B29:M29" si="11">IF(B6="","",(B6/$O$23))</f>
        <v>0.25236653652527891</v>
      </c>
      <c r="C29" s="11">
        <f t="shared" si="11"/>
        <v>0.32526182099010631</v>
      </c>
      <c r="D29" s="11">
        <f t="shared" si="11"/>
        <v>9.5100922936354679E-2</v>
      </c>
      <c r="E29" s="11">
        <f t="shared" si="11"/>
        <v>0.15974472558063524</v>
      </c>
      <c r="F29" s="11">
        <f t="shared" si="11"/>
        <v>0.28000188902767192</v>
      </c>
      <c r="G29" s="11">
        <f t="shared" si="11"/>
        <v>0.96006227133076671</v>
      </c>
      <c r="H29" s="11">
        <f t="shared" si="11"/>
        <v>1.0835378550729544</v>
      </c>
      <c r="I29" s="11">
        <f t="shared" si="11"/>
        <v>1.3710833141995379E-2</v>
      </c>
      <c r="J29" s="11">
        <f t="shared" si="11"/>
        <v>3.5866670138936151E-2</v>
      </c>
      <c r="K29" s="11" t="str">
        <f t="shared" si="11"/>
        <v/>
      </c>
      <c r="L29" s="11">
        <f t="shared" si="11"/>
        <v>0.10978667407541792</v>
      </c>
      <c r="M29" s="11">
        <f t="shared" si="11"/>
        <v>3.5492076438785693E-2</v>
      </c>
      <c r="N29" s="6"/>
      <c r="O29" s="11">
        <f t="shared" si="9"/>
        <v>0.41486861277085835</v>
      </c>
      <c r="P29" s="11">
        <f t="shared" si="9"/>
        <v>0.98702895783877997</v>
      </c>
      <c r="Q29" s="11">
        <f t="shared" si="9"/>
        <v>0.11850369141927315</v>
      </c>
      <c r="R29" s="11">
        <f t="shared" si="9"/>
        <v>0.19506994001353745</v>
      </c>
      <c r="S29" s="11">
        <f t="shared" si="9"/>
        <v>0.15893680491954484</v>
      </c>
      <c r="T29" s="11">
        <f t="shared" ref="T29:V29" si="12">IF(T6="","",(T6/$O$23))</f>
        <v>2.6344574065964212E-2</v>
      </c>
      <c r="U29" s="11">
        <f t="shared" si="12"/>
        <v>4.4194478132490542E-2</v>
      </c>
      <c r="V29" s="11">
        <f t="shared" si="12"/>
        <v>2.1813316529064757E-2</v>
      </c>
    </row>
    <row r="30" spans="1:22" x14ac:dyDescent="0.25">
      <c r="A30" s="228"/>
      <c r="B30" s="11">
        <f t="shared" ref="B30:M30" si="13">IF(B7="","",(B7/$O$23))</f>
        <v>0.16304664454377504</v>
      </c>
      <c r="C30" s="11">
        <f t="shared" si="13"/>
        <v>6.2138165954148471E-2</v>
      </c>
      <c r="D30" s="11">
        <f t="shared" si="13"/>
        <v>9.8498655606035837E-3</v>
      </c>
      <c r="E30" s="11">
        <f t="shared" si="13"/>
        <v>0.20620347918063567</v>
      </c>
      <c r="F30" s="11">
        <f t="shared" si="13"/>
        <v>4.3591447233693424E-2</v>
      </c>
      <c r="G30" s="11">
        <f t="shared" si="13"/>
        <v>1.509889902968909</v>
      </c>
      <c r="H30" s="11">
        <f t="shared" si="13"/>
        <v>1.4588662623036539</v>
      </c>
      <c r="I30" s="11">
        <f t="shared" si="13"/>
        <v>1.0930205700885768E-2</v>
      </c>
      <c r="J30" s="11">
        <f t="shared" si="13"/>
        <v>9.778235341857329E-2</v>
      </c>
      <c r="K30" s="11">
        <f t="shared" si="13"/>
        <v>0.11122685693560619</v>
      </c>
      <c r="L30" s="11">
        <f t="shared" si="13"/>
        <v>0.22802985506376999</v>
      </c>
      <c r="M30" s="11">
        <f t="shared" si="13"/>
        <v>0.17554268709711415</v>
      </c>
      <c r="N30" s="6"/>
      <c r="O30" s="11">
        <f t="shared" si="9"/>
        <v>0.12350332641145467</v>
      </c>
      <c r="P30" s="11">
        <f t="shared" si="9"/>
        <v>1.689791234068045</v>
      </c>
      <c r="Q30" s="11">
        <f t="shared" si="9"/>
        <v>0.18194454485812114</v>
      </c>
      <c r="R30" s="11">
        <f t="shared" si="9"/>
        <v>5.4805440141665711E-2</v>
      </c>
      <c r="S30" s="11">
        <f t="shared" si="9"/>
        <v>3.5808207538334635E-2</v>
      </c>
      <c r="T30" s="11">
        <f t="shared" ref="T30:V30" si="14">IF(T7="","",(T7/$O$23))</f>
        <v>1.9173026395417583E-2</v>
      </c>
      <c r="U30" s="11">
        <f t="shared" si="14"/>
        <v>3.1089382491171984E-2</v>
      </c>
      <c r="V30" s="11">
        <f t="shared" si="14"/>
        <v>1.180525008859272E-2</v>
      </c>
    </row>
    <row r="31" spans="1:22" x14ac:dyDescent="0.25">
      <c r="A31" s="228"/>
      <c r="B31" s="11">
        <f t="shared" ref="B31:M31" si="15">IF(B8="","",(B8/$O$23))</f>
        <v>1.1433430655368957</v>
      </c>
      <c r="C31" s="11">
        <f t="shared" si="15"/>
        <v>0.17035866485187809</v>
      </c>
      <c r="D31" s="11">
        <f t="shared" si="15"/>
        <v>0.15965391908757132</v>
      </c>
      <c r="E31" s="11">
        <f t="shared" si="15"/>
        <v>7.7227606763568948E-2</v>
      </c>
      <c r="F31" s="11">
        <f t="shared" si="15"/>
        <v>7.2380218127120546E-2</v>
      </c>
      <c r="G31" s="11">
        <f t="shared" si="15"/>
        <v>0.30783644742841088</v>
      </c>
      <c r="H31" s="11">
        <f t="shared" si="15"/>
        <v>0.75381514819482087</v>
      </c>
      <c r="I31" s="11">
        <f t="shared" si="15"/>
        <v>1.8233429552879793E-2</v>
      </c>
      <c r="J31" s="11">
        <f t="shared" si="15"/>
        <v>2.1822112985173784E-2</v>
      </c>
      <c r="K31" s="11">
        <f t="shared" si="15"/>
        <v>1.053490649635561E-2</v>
      </c>
      <c r="L31" s="11">
        <f t="shared" si="15"/>
        <v>1.2908867005040322E-2</v>
      </c>
      <c r="M31" s="11">
        <f t="shared" si="15"/>
        <v>0.11919739348104022</v>
      </c>
      <c r="N31" s="6"/>
      <c r="O31" s="11">
        <f t="shared" si="9"/>
        <v>1.3225505592441702</v>
      </c>
      <c r="P31" s="11">
        <f t="shared" si="9"/>
        <v>0.59552508579443031</v>
      </c>
      <c r="Q31" s="11">
        <f t="shared" si="9"/>
        <v>3.6853091193992743E-2</v>
      </c>
      <c r="R31" s="11">
        <f t="shared" si="9"/>
        <v>0.11762566976949852</v>
      </c>
      <c r="S31" s="11">
        <f t="shared" si="9"/>
        <v>1.4764648583856503E-2</v>
      </c>
      <c r="T31" s="11">
        <f t="shared" ref="T31:V31" si="16">IF(T8="","",(T8/$O$23))</f>
        <v>1.2528318780754527E-2</v>
      </c>
      <c r="U31" s="11">
        <f t="shared" si="16"/>
        <v>4.9735704160799983E-2</v>
      </c>
      <c r="V31" s="11">
        <f t="shared" si="16"/>
        <v>5.696314316016241E-3</v>
      </c>
    </row>
    <row r="32" spans="1:22" x14ac:dyDescent="0.25">
      <c r="A32" s="228"/>
      <c r="B32" s="11">
        <f t="shared" ref="B32:M32" si="17">IF(B9="","",(B9/$O$23))</f>
        <v>0.16020728384187596</v>
      </c>
      <c r="C32" s="11">
        <f t="shared" si="17"/>
        <v>6.8645242863228789E-2</v>
      </c>
      <c r="D32" s="11">
        <f t="shared" si="17"/>
        <v>1.2648356574119213E-2</v>
      </c>
      <c r="E32" s="11">
        <f t="shared" si="17"/>
        <v>0.11422428318727976</v>
      </c>
      <c r="F32" s="11">
        <f t="shared" si="17"/>
        <v>0.39368160391675611</v>
      </c>
      <c r="G32" s="11">
        <f t="shared" si="17"/>
        <v>0.93024756299483935</v>
      </c>
      <c r="H32" s="11">
        <f t="shared" si="17"/>
        <v>1.818484469583824</v>
      </c>
      <c r="I32" s="11">
        <f t="shared" si="17"/>
        <v>9.9904464622351932E-2</v>
      </c>
      <c r="J32" s="11">
        <f t="shared" si="17"/>
        <v>0.11866486956120928</v>
      </c>
      <c r="K32" s="11">
        <f t="shared" si="17"/>
        <v>4.3263677746061768E-2</v>
      </c>
      <c r="L32" s="11">
        <f t="shared" si="17"/>
        <v>3.1429061027074309E-2</v>
      </c>
      <c r="M32" s="11">
        <f t="shared" si="17"/>
        <v>0.12698956496260203</v>
      </c>
      <c r="N32" s="6"/>
      <c r="O32" s="11">
        <f t="shared" si="9"/>
        <v>4.5699078117415672E-2</v>
      </c>
      <c r="P32" s="11">
        <f t="shared" si="9"/>
        <v>2.0958196791095216</v>
      </c>
      <c r="Q32" s="11">
        <f t="shared" si="9"/>
        <v>4.3775902151794964E-3</v>
      </c>
      <c r="R32" s="11">
        <f t="shared" si="9"/>
        <v>3.5237249871811954E-2</v>
      </c>
      <c r="S32" s="11">
        <f t="shared" si="9"/>
        <v>1.8646186339534014E-2</v>
      </c>
      <c r="T32" s="11">
        <f t="shared" ref="T32:V32" si="18">IF(T9="","",(T9/$O$23))</f>
        <v>0.10525839380058614</v>
      </c>
      <c r="U32" s="11">
        <f t="shared" si="18"/>
        <v>1.4067969260021769E-2</v>
      </c>
      <c r="V32" s="11">
        <f t="shared" si="18"/>
        <v>0.11999963027818325</v>
      </c>
    </row>
    <row r="33" spans="1:22" x14ac:dyDescent="0.25">
      <c r="A33" s="228"/>
      <c r="B33" s="11">
        <f t="shared" ref="B33:M33" si="19">IF(B10="","",(B10/$O$23))</f>
        <v>2.3238883739102652E-2</v>
      </c>
      <c r="C33" s="11">
        <f t="shared" si="19"/>
        <v>9.1477189009718574E-2</v>
      </c>
      <c r="D33" s="11">
        <f t="shared" si="19"/>
        <v>8.1524878567968348E-2</v>
      </c>
      <c r="E33" s="11">
        <f t="shared" si="19"/>
        <v>3.0425047059799658E-2</v>
      </c>
      <c r="F33" s="11">
        <f t="shared" si="19"/>
        <v>0.37812676291412123</v>
      </c>
      <c r="G33" s="11">
        <f t="shared" si="19"/>
        <v>0.90621253231282306</v>
      </c>
      <c r="H33" s="11">
        <f t="shared" si="19"/>
        <v>2.159102331668501</v>
      </c>
      <c r="I33" s="11">
        <f t="shared" si="19"/>
        <v>0.17964948179422968</v>
      </c>
      <c r="J33" s="11">
        <f t="shared" si="19"/>
        <v>5.3509519161665442E-3</v>
      </c>
      <c r="K33" s="11">
        <f t="shared" si="19"/>
        <v>0.10954659848868856</v>
      </c>
      <c r="L33" s="11">
        <f t="shared" si="19"/>
        <v>0.10945295006365094</v>
      </c>
      <c r="M33" s="11">
        <f t="shared" si="19"/>
        <v>1.8880307402128049E-2</v>
      </c>
      <c r="N33" s="6"/>
      <c r="O33" s="11">
        <f t="shared" si="9"/>
        <v>1.6393882172138048</v>
      </c>
      <c r="P33" s="11">
        <f t="shared" si="9"/>
        <v>1.6807521311005054</v>
      </c>
      <c r="Q33" s="11">
        <f t="shared" si="9"/>
        <v>7.9912420498137182E-3</v>
      </c>
      <c r="R33" s="11">
        <f t="shared" si="9"/>
        <v>2.7231662832035829E-2</v>
      </c>
      <c r="S33" s="11">
        <f t="shared" si="9"/>
        <v>1.4878867183179836E-2</v>
      </c>
      <c r="T33" s="11">
        <f t="shared" ref="T33:V33" si="20">IF(T10="","",(T10/$O$23))</f>
        <v>6.6096571203209456E-3</v>
      </c>
      <c r="U33" s="11">
        <f t="shared" si="20"/>
        <v>1.8397314296695614E-2</v>
      </c>
      <c r="V33" s="11">
        <f t="shared" si="20"/>
        <v>0.13895315126115718</v>
      </c>
    </row>
    <row r="34" spans="1:22" x14ac:dyDescent="0.25">
      <c r="A34" s="228"/>
      <c r="B34" s="11">
        <f t="shared" ref="B34:M34" si="21">IF(B11="","",(B11/$O$23))</f>
        <v>1.7252827691864547E-2</v>
      </c>
      <c r="C34" s="11">
        <f t="shared" si="21"/>
        <v>0.10118955919483341</v>
      </c>
      <c r="D34" s="11">
        <f t="shared" si="21"/>
        <v>2.3156738372053762E-2</v>
      </c>
      <c r="E34" s="11">
        <f t="shared" si="21"/>
        <v>0.20141597411077564</v>
      </c>
      <c r="F34" s="11">
        <f t="shared" si="21"/>
        <v>0.60993557552232802</v>
      </c>
      <c r="G34" s="11">
        <f t="shared" si="21"/>
        <v>0.62621646247919238</v>
      </c>
      <c r="H34" s="11">
        <f t="shared" si="21"/>
        <v>2.0947542252795781</v>
      </c>
      <c r="I34" s="11">
        <f t="shared" si="21"/>
        <v>0.13503345041897591</v>
      </c>
      <c r="J34" s="11">
        <f t="shared" si="21"/>
        <v>3.806788178264902E-2</v>
      </c>
      <c r="K34" s="11">
        <f t="shared" si="21"/>
        <v>8.0172524938776329E-2</v>
      </c>
      <c r="L34" s="11">
        <f t="shared" si="21"/>
        <v>0.24964545432552265</v>
      </c>
      <c r="M34" s="11">
        <f t="shared" si="21"/>
        <v>8.0322470682911706E-3</v>
      </c>
      <c r="N34" s="6"/>
      <c r="O34" s="11">
        <f t="shared" si="9"/>
        <v>0.93231418886008421</v>
      </c>
      <c r="P34" s="11">
        <f t="shared" si="9"/>
        <v>0.34225995744509108</v>
      </c>
      <c r="Q34" s="11">
        <f t="shared" si="9"/>
        <v>3.5205176639537511E-2</v>
      </c>
      <c r="R34" s="11">
        <f t="shared" si="9"/>
        <v>0.35793057334313011</v>
      </c>
      <c r="S34" s="11">
        <f t="shared" si="9"/>
        <v>0.14794813661805756</v>
      </c>
      <c r="T34" s="11">
        <f t="shared" ref="T34:V34" si="22">IF(T11="","",(T11/$O$23))</f>
        <v>7.9326441191182179E-3</v>
      </c>
      <c r="U34" s="11">
        <f t="shared" si="22"/>
        <v>4.5312710699088515E-2</v>
      </c>
      <c r="V34" s="11">
        <f t="shared" si="22"/>
        <v>1.5180247302484408E-2</v>
      </c>
    </row>
    <row r="35" spans="1:22" x14ac:dyDescent="0.25">
      <c r="A35" s="228"/>
      <c r="B35" s="11">
        <f t="shared" ref="B35:M35" si="23">IF(B12="","",(B12/$O$23))</f>
        <v>5.0552556608093385E-3</v>
      </c>
      <c r="C35" s="11">
        <f t="shared" si="23"/>
        <v>0.22437093531269778</v>
      </c>
      <c r="D35" s="11">
        <f t="shared" si="23"/>
        <v>7.9633775834622084E-2</v>
      </c>
      <c r="E35" s="11">
        <f t="shared" si="23"/>
        <v>2.7837400332712651E-2</v>
      </c>
      <c r="F35" s="11">
        <f t="shared" si="23"/>
        <v>1.071287774965433</v>
      </c>
      <c r="G35" s="11">
        <f t="shared" si="23"/>
        <v>1.1532252749899616</v>
      </c>
      <c r="H35" s="11">
        <f t="shared" si="23"/>
        <v>2.0786138109602699</v>
      </c>
      <c r="I35" s="11">
        <f t="shared" si="23"/>
        <v>4.0784295094162752E-2</v>
      </c>
      <c r="J35" s="11">
        <f t="shared" si="23"/>
        <v>0.1581348387825898</v>
      </c>
      <c r="K35" s="11">
        <f t="shared" si="23"/>
        <v>1.7065530841789321E-2</v>
      </c>
      <c r="L35" s="11">
        <f t="shared" si="23"/>
        <v>4.950144776811196E-2</v>
      </c>
      <c r="M35" s="11">
        <f t="shared" si="23"/>
        <v>0.27609125530178763</v>
      </c>
      <c r="N35" s="6"/>
      <c r="O35" s="11">
        <f t="shared" si="9"/>
        <v>1.4758205518081877</v>
      </c>
      <c r="P35" s="11">
        <f t="shared" si="9"/>
        <v>1.112467233934032</v>
      </c>
      <c r="Q35" s="11">
        <f t="shared" si="9"/>
        <v>1.7428350823763081E-2</v>
      </c>
      <c r="R35" s="11">
        <f t="shared" si="9"/>
        <v>9.2059649734229972E-3</v>
      </c>
      <c r="S35" s="11">
        <f t="shared" si="9"/>
        <v>0.28311637581064247</v>
      </c>
      <c r="T35" s="11">
        <f t="shared" ref="T35:V35" si="24">IF(T12="","",(T12/$O$23))</f>
        <v>1.6807997672935882E-2</v>
      </c>
      <c r="U35" s="11">
        <f t="shared" si="24"/>
        <v>3.4329861591642585E-2</v>
      </c>
      <c r="V35" s="11">
        <f t="shared" si="24"/>
        <v>1.3933315816506704E-2</v>
      </c>
    </row>
    <row r="36" spans="1:22" x14ac:dyDescent="0.25">
      <c r="A36" s="228"/>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1.3335772553020673</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25">
      <c r="A37" s="228"/>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0.62149208889817642</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25">
      <c r="A38" s="228"/>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1.5106101297290973</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25">
      <c r="A39" s="228"/>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1.7039718656313092</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25">
      <c r="A40" s="228"/>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0.34447585240400136</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25">
      <c r="A41" s="228"/>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1.1380918518999961</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25">
      <c r="A42" s="228"/>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t="str">
        <f t="shared" ref="O42:V42" si="38">IF(O19="","",(O19/$O$23))</f>
        <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25">
      <c r="A43" s="228"/>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0.60684450084561692</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Fadrozole-5,4µg/L</v>
      </c>
      <c r="J45" s="7" t="str">
        <f t="shared" si="41"/>
        <v>Fadrozole-11µg/L</v>
      </c>
      <c r="K45" s="7" t="str">
        <f t="shared" ref="K45:M45" si="42">K4</f>
        <v>Fadrozole-22µg/L</v>
      </c>
      <c r="L45" s="7" t="str">
        <f t="shared" si="42"/>
        <v>Fadrozole-44µg/L</v>
      </c>
      <c r="M45" s="7" t="str">
        <f t="shared" si="42"/>
        <v>Fadrozole-87µg/L</v>
      </c>
      <c r="N45" s="7"/>
      <c r="O45" s="7" t="str">
        <f t="shared" si="41"/>
        <v>Testo -30µg/L</v>
      </c>
      <c r="P45" s="7" t="str">
        <f t="shared" si="41"/>
        <v>Testo 30µg/L + EE2 -64ng/L</v>
      </c>
      <c r="Q45" s="7" t="str">
        <f t="shared" si="41"/>
        <v>Testo 30µg/L + FAD-10µg/L</v>
      </c>
      <c r="R45" s="7" t="str">
        <f t="shared" si="41"/>
        <v>Fadrozole-5,4µg/L + Testostérone</v>
      </c>
      <c r="S45" s="7" t="str">
        <f t="shared" ref="S45:V45" si="43">S4</f>
        <v>Fadrozole-11µg/L + Testostérone</v>
      </c>
      <c r="T45" s="7" t="str">
        <f t="shared" si="43"/>
        <v>Fadrozole-22µg/L + Testostérone</v>
      </c>
      <c r="U45" s="7" t="str">
        <f t="shared" si="43"/>
        <v>Fadrozole-44µg/L + Testostérone</v>
      </c>
      <c r="V45" s="7" t="str">
        <f t="shared" si="43"/>
        <v>Fadrozole-87µg/L + Testostérone</v>
      </c>
    </row>
    <row r="46" spans="1:22" x14ac:dyDescent="0.25">
      <c r="A46" s="8" t="s">
        <v>0</v>
      </c>
      <c r="B46" s="10">
        <f t="shared" ref="B46:H46" si="44">AVERAGE(B28:B43)</f>
        <v>0.23144340443818567</v>
      </c>
      <c r="C46" s="10">
        <f t="shared" si="44"/>
        <v>0.14285458254065048</v>
      </c>
      <c r="D46" s="10">
        <f t="shared" si="44"/>
        <v>6.5267572879980904E-2</v>
      </c>
      <c r="E46" s="10">
        <f t="shared" si="44"/>
        <v>0.12767187392208171</v>
      </c>
      <c r="F46" s="10">
        <f t="shared" si="44"/>
        <v>0.41432047514143383</v>
      </c>
      <c r="G46" s="10">
        <f t="shared" si="44"/>
        <v>0.8337146615852441</v>
      </c>
      <c r="H46" s="10">
        <f t="shared" si="44"/>
        <v>1.6754143569522408</v>
      </c>
      <c r="I46" s="10">
        <f>AVERAGE(I28:I43)</f>
        <v>6.5926934930399264E-2</v>
      </c>
      <c r="J46" s="9">
        <f>AVERAGE(J28:J43)</f>
        <v>8.8724194282174512E-2</v>
      </c>
      <c r="K46" s="9">
        <f t="shared" ref="K46:M46" si="45">AVERAGE(K28:K43)</f>
        <v>6.4117329912937823E-2</v>
      </c>
      <c r="L46" s="9">
        <f t="shared" si="45"/>
        <v>0.12298433550102224</v>
      </c>
      <c r="M46" s="9">
        <f t="shared" si="45"/>
        <v>0.10551442988027487</v>
      </c>
      <c r="N46" s="8" t="s">
        <v>0</v>
      </c>
      <c r="O46" s="10">
        <f t="shared" ref="O46:R46" si="46">AVERAGE(O28:O43)</f>
        <v>0.99999999999999989</v>
      </c>
      <c r="P46" s="10">
        <f t="shared" si="46"/>
        <v>1.172352509064827</v>
      </c>
      <c r="Q46" s="10">
        <f t="shared" si="46"/>
        <v>5.5479680044291553E-2</v>
      </c>
      <c r="R46" s="10">
        <f t="shared" si="46"/>
        <v>0.11276558547860817</v>
      </c>
      <c r="S46" s="10">
        <f t="shared" ref="S46:V46" si="47">AVERAGE(S28:S43)</f>
        <v>0.10629415959116201</v>
      </c>
      <c r="T46" s="10">
        <f t="shared" si="47"/>
        <v>2.574710861728223E-2</v>
      </c>
      <c r="U46" s="10">
        <f t="shared" si="47"/>
        <v>3.4211701503331943E-2</v>
      </c>
      <c r="V46" s="10">
        <f t="shared" si="47"/>
        <v>4.9283769311937099E-2</v>
      </c>
    </row>
    <row r="47" spans="1:22" x14ac:dyDescent="0.25">
      <c r="A47" s="8" t="s">
        <v>1</v>
      </c>
      <c r="B47" s="8">
        <f t="shared" ref="B47:J47" si="48">STDEV(B28:B43)</f>
        <v>0.37854667118276913</v>
      </c>
      <c r="C47" s="8">
        <f t="shared" si="48"/>
        <v>9.1776355392947304E-2</v>
      </c>
      <c r="D47" s="8">
        <f t="shared" si="48"/>
        <v>5.0574941161052128E-2</v>
      </c>
      <c r="E47" s="8">
        <f t="shared" si="48"/>
        <v>7.6209046991133192E-2</v>
      </c>
      <c r="F47" s="8">
        <f t="shared" si="48"/>
        <v>0.3265921923281645</v>
      </c>
      <c r="G47" s="8">
        <f t="shared" si="48"/>
        <v>0.41755365045812048</v>
      </c>
      <c r="H47" s="8">
        <f t="shared" si="48"/>
        <v>0.5234776732089127</v>
      </c>
      <c r="I47" s="8">
        <f t="shared" si="48"/>
        <v>6.4222945718601598E-2</v>
      </c>
      <c r="J47" s="8">
        <f t="shared" si="48"/>
        <v>7.9028520614122896E-2</v>
      </c>
      <c r="K47" s="8">
        <f t="shared" ref="K47:M47" si="49">STDEV(K28:K43)</f>
        <v>4.1285530588927685E-2</v>
      </c>
      <c r="L47" s="8">
        <f t="shared" si="49"/>
        <v>9.1223941634134872E-2</v>
      </c>
      <c r="M47" s="8">
        <f t="shared" si="49"/>
        <v>9.0259793454769324E-2</v>
      </c>
      <c r="N47" s="8" t="s">
        <v>1</v>
      </c>
      <c r="O47" s="8">
        <f t="shared" ref="O47:R47" si="50">STDEV(O28:O43)</f>
        <v>0.59751827753694842</v>
      </c>
      <c r="P47" s="8">
        <f t="shared" si="50"/>
        <v>0.60083670347662743</v>
      </c>
      <c r="Q47" s="8">
        <f t="shared" si="50"/>
        <v>6.2372568607635862E-2</v>
      </c>
      <c r="R47" s="8">
        <f t="shared" si="50"/>
        <v>0.11611213109270771</v>
      </c>
      <c r="S47" s="8">
        <f t="shared" ref="S47:V47" si="51">STDEV(S28:S43)</f>
        <v>0.10003687035315596</v>
      </c>
      <c r="T47" s="8">
        <f t="shared" si="51"/>
        <v>3.2758723249501104E-2</v>
      </c>
      <c r="U47" s="8">
        <f t="shared" si="51"/>
        <v>1.2733836504041111E-2</v>
      </c>
      <c r="V47" s="8">
        <f t="shared" si="51"/>
        <v>5.321534269049874E-2</v>
      </c>
    </row>
    <row r="48" spans="1:22" x14ac:dyDescent="0.25">
      <c r="A48" s="8" t="s">
        <v>2</v>
      </c>
      <c r="B48" s="8">
        <f t="shared" ref="B48:J48" si="52" xml:space="preserve"> B47/SQRT(COUNT(B28:B43))</f>
        <v>0.13383645909446515</v>
      </c>
      <c r="C48" s="8">
        <f t="shared" si="52"/>
        <v>3.2447841625469806E-2</v>
      </c>
      <c r="D48" s="8">
        <f t="shared" si="52"/>
        <v>1.78809419265453E-2</v>
      </c>
      <c r="E48" s="8">
        <f t="shared" si="52"/>
        <v>2.6943966957597265E-2</v>
      </c>
      <c r="F48" s="8">
        <f t="shared" si="52"/>
        <v>0.11546777693891312</v>
      </c>
      <c r="G48" s="8">
        <f t="shared" si="52"/>
        <v>0.14762750887406717</v>
      </c>
      <c r="H48" s="8">
        <f t="shared" si="52"/>
        <v>0.18507730626288882</v>
      </c>
      <c r="I48" s="8">
        <f t="shared" si="52"/>
        <v>2.2706240212699368E-2</v>
      </c>
      <c r="J48" s="8">
        <f t="shared" si="52"/>
        <v>2.7940801416693577E-2</v>
      </c>
      <c r="K48" s="8">
        <f t="shared" ref="K48:M48" si="53" xml:space="preserve"> K47/SQRT(COUNT(K28:K43))</f>
        <v>1.5604463811950383E-2</v>
      </c>
      <c r="L48" s="8">
        <f t="shared" si="53"/>
        <v>3.2252533868031293E-2</v>
      </c>
      <c r="M48" s="8">
        <f t="shared" si="53"/>
        <v>3.1911656010182268E-2</v>
      </c>
      <c r="N48" s="8" t="s">
        <v>2</v>
      </c>
      <c r="O48" s="8">
        <f t="shared" ref="O48:R48" si="54" xml:space="preserve"> O47/SQRT(COUNT(O28:O43))</f>
        <v>0.15427855586367617</v>
      </c>
      <c r="P48" s="8">
        <f t="shared" si="54"/>
        <v>0.21242785370704706</v>
      </c>
      <c r="Q48" s="8">
        <f t="shared" si="54"/>
        <v>2.2052033111241244E-2</v>
      </c>
      <c r="R48" s="8">
        <f t="shared" si="54"/>
        <v>4.1051837636837493E-2</v>
      </c>
      <c r="S48" s="8">
        <f t="shared" ref="S48:V48" si="55" xml:space="preserve"> S47/SQRT(COUNT(S28:S43))</f>
        <v>3.5368374697698039E-2</v>
      </c>
      <c r="T48" s="8">
        <f t="shared" si="55"/>
        <v>1.1581957676367821E-2</v>
      </c>
      <c r="U48" s="8">
        <f t="shared" si="55"/>
        <v>4.5020910712641341E-3</v>
      </c>
      <c r="V48" s="8">
        <f t="shared" si="55"/>
        <v>1.8814464839808816E-2</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9" t="s">
        <v>44</v>
      </c>
      <c r="B50" s="220"/>
      <c r="C50" s="220"/>
      <c r="D50" s="220"/>
      <c r="E50" s="220"/>
      <c r="F50" s="220"/>
      <c r="G50" s="220"/>
      <c r="H50" s="220"/>
      <c r="I50" s="220"/>
      <c r="J50" s="220"/>
      <c r="K50" s="220"/>
      <c r="L50" s="220"/>
      <c r="M50" s="220"/>
      <c r="N50" s="220"/>
      <c r="O50" s="220"/>
      <c r="P50" s="220"/>
      <c r="Q50" s="220"/>
      <c r="R50" s="220"/>
      <c r="S50" s="220"/>
      <c r="T50" s="220"/>
      <c r="U50" s="220"/>
      <c r="V50" s="220"/>
    </row>
    <row r="51" spans="1:22" customFormat="1" ht="15.75" thickBot="1" x14ac:dyDescent="0.3"/>
    <row r="52" spans="1:22" x14ac:dyDescent="0.2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Fadrozole-5,4µg/L</v>
      </c>
      <c r="J52" s="46" t="str">
        <f>J4</f>
        <v>Fadrozole-11µg/L</v>
      </c>
      <c r="K52" s="46" t="str">
        <f t="shared" ref="K52:M52" si="57">K4</f>
        <v>Fadrozole-22µg/L</v>
      </c>
      <c r="L52" s="46" t="str">
        <f t="shared" si="57"/>
        <v>Fadrozole-44µg/L</v>
      </c>
      <c r="M52" s="46" t="str">
        <f t="shared" si="57"/>
        <v>Fadrozole-87µg/L</v>
      </c>
      <c r="N52" s="47"/>
      <c r="O52" s="46" t="str">
        <f>O27</f>
        <v>Testo -30µg/L</v>
      </c>
      <c r="P52" s="46" t="str">
        <f>P27</f>
        <v>Testo 30µg/L + EE2 -64ng/L</v>
      </c>
      <c r="Q52" s="46" t="str">
        <f>Q27</f>
        <v>Testo 30µg/L + FAD-10µg/L</v>
      </c>
      <c r="R52" s="46" t="str">
        <f>R27</f>
        <v>Fadrozole-5,4µg/L + Testostérone</v>
      </c>
      <c r="S52" s="46" t="str">
        <f t="shared" ref="S52:V52" si="58">S27</f>
        <v>Fadrozole-11µg/L + Testostérone</v>
      </c>
      <c r="T52" s="46" t="str">
        <f t="shared" si="58"/>
        <v>Fadrozole-22µg/L + Testostérone</v>
      </c>
      <c r="U52" s="46" t="str">
        <f t="shared" si="58"/>
        <v>Fadrozole-44µg/L + Testostérone</v>
      </c>
      <c r="V52" s="46" t="str">
        <f t="shared" si="58"/>
        <v>Fadrozole-87µg/L + Testostérone</v>
      </c>
    </row>
    <row r="53" spans="1:22" s="3" customFormat="1" x14ac:dyDescent="0.25">
      <c r="A53" s="61" t="s">
        <v>32</v>
      </c>
      <c r="B53" s="141">
        <f t="shared" ref="B53" si="59">B46</f>
        <v>0.23144340443818567</v>
      </c>
      <c r="C53" s="141">
        <f t="shared" ref="C53:V53" si="60">C46</f>
        <v>0.14285458254065048</v>
      </c>
      <c r="D53" s="141">
        <f t="shared" si="60"/>
        <v>6.5267572879980904E-2</v>
      </c>
      <c r="E53" s="141">
        <f t="shared" si="60"/>
        <v>0.12767187392208171</v>
      </c>
      <c r="F53" s="141">
        <f t="shared" si="60"/>
        <v>0.41432047514143383</v>
      </c>
      <c r="G53" s="141">
        <f t="shared" si="60"/>
        <v>0.8337146615852441</v>
      </c>
      <c r="H53" s="141">
        <f t="shared" si="60"/>
        <v>1.6754143569522408</v>
      </c>
      <c r="I53" s="141">
        <f t="shared" si="60"/>
        <v>6.5926934930399264E-2</v>
      </c>
      <c r="J53" s="141">
        <f t="shared" si="60"/>
        <v>8.8724194282174512E-2</v>
      </c>
      <c r="K53" s="141">
        <f t="shared" si="60"/>
        <v>6.4117329912937823E-2</v>
      </c>
      <c r="L53" s="141">
        <f t="shared" si="60"/>
        <v>0.12298433550102224</v>
      </c>
      <c r="M53" s="141">
        <f t="shared" si="60"/>
        <v>0.10551442988027487</v>
      </c>
      <c r="N53" s="141"/>
      <c r="O53" s="141">
        <f t="shared" si="60"/>
        <v>0.99999999999999989</v>
      </c>
      <c r="P53" s="141">
        <f t="shared" si="60"/>
        <v>1.172352509064827</v>
      </c>
      <c r="Q53" s="141">
        <f t="shared" si="60"/>
        <v>5.5479680044291553E-2</v>
      </c>
      <c r="R53" s="141">
        <f t="shared" si="60"/>
        <v>0.11276558547860817</v>
      </c>
      <c r="S53" s="141">
        <f t="shared" si="60"/>
        <v>0.10629415959116201</v>
      </c>
      <c r="T53" s="141">
        <f t="shared" si="60"/>
        <v>2.574710861728223E-2</v>
      </c>
      <c r="U53" s="141">
        <f t="shared" si="60"/>
        <v>3.4211701503331943E-2</v>
      </c>
      <c r="V53" s="141">
        <f t="shared" si="60"/>
        <v>4.9283769311937099E-2</v>
      </c>
    </row>
    <row r="54" spans="1:22" s="3" customFormat="1" x14ac:dyDescent="0.25">
      <c r="A54" s="61" t="s">
        <v>2</v>
      </c>
      <c r="B54" s="141">
        <f t="shared" ref="B54" si="61">B48</f>
        <v>0.13383645909446515</v>
      </c>
      <c r="C54" s="141">
        <f t="shared" ref="C54:V54" si="62">C48</f>
        <v>3.2447841625469806E-2</v>
      </c>
      <c r="D54" s="141">
        <f t="shared" si="62"/>
        <v>1.78809419265453E-2</v>
      </c>
      <c r="E54" s="141">
        <f t="shared" si="62"/>
        <v>2.6943966957597265E-2</v>
      </c>
      <c r="F54" s="141">
        <f t="shared" si="62"/>
        <v>0.11546777693891312</v>
      </c>
      <c r="G54" s="141">
        <f t="shared" si="62"/>
        <v>0.14762750887406717</v>
      </c>
      <c r="H54" s="141">
        <f t="shared" si="62"/>
        <v>0.18507730626288882</v>
      </c>
      <c r="I54" s="141">
        <f t="shared" si="62"/>
        <v>2.2706240212699368E-2</v>
      </c>
      <c r="J54" s="141">
        <f t="shared" si="62"/>
        <v>2.7940801416693577E-2</v>
      </c>
      <c r="K54" s="141">
        <f t="shared" si="62"/>
        <v>1.5604463811950383E-2</v>
      </c>
      <c r="L54" s="141">
        <f t="shared" si="62"/>
        <v>3.2252533868031293E-2</v>
      </c>
      <c r="M54" s="141">
        <f t="shared" si="62"/>
        <v>3.1911656010182268E-2</v>
      </c>
      <c r="N54" s="141"/>
      <c r="O54" s="141">
        <f t="shared" si="62"/>
        <v>0.15427855586367617</v>
      </c>
      <c r="P54" s="141">
        <f t="shared" si="62"/>
        <v>0.21242785370704706</v>
      </c>
      <c r="Q54" s="141">
        <f t="shared" si="62"/>
        <v>2.2052033111241244E-2</v>
      </c>
      <c r="R54" s="141">
        <f t="shared" si="62"/>
        <v>4.1051837636837493E-2</v>
      </c>
      <c r="S54" s="141">
        <f t="shared" si="62"/>
        <v>3.5368374697698039E-2</v>
      </c>
      <c r="T54" s="141">
        <f t="shared" si="62"/>
        <v>1.1581957676367821E-2</v>
      </c>
      <c r="U54" s="141">
        <f t="shared" si="62"/>
        <v>4.5020910712641341E-3</v>
      </c>
      <c r="V54" s="141">
        <f t="shared" si="62"/>
        <v>1.8814464839808816E-2</v>
      </c>
    </row>
    <row r="55" spans="1:22" s="3" customFormat="1" x14ac:dyDescent="0.25">
      <c r="A55" s="61" t="s">
        <v>79</v>
      </c>
      <c r="B55" s="141">
        <f>(B53*100/$B53)-100</f>
        <v>0</v>
      </c>
      <c r="C55" s="141">
        <f t="shared" ref="C55:M55" si="63">(C53*100/$B53)-100</f>
        <v>-38.276667296948467</v>
      </c>
      <c r="D55" s="141">
        <f t="shared" si="63"/>
        <v>-71.799769780256284</v>
      </c>
      <c r="E55" s="141">
        <f t="shared" si="63"/>
        <v>-44.836676494628492</v>
      </c>
      <c r="F55" s="141">
        <f t="shared" si="63"/>
        <v>79.015892091274225</v>
      </c>
      <c r="G55" s="141">
        <f t="shared" si="63"/>
        <v>260.22398806698948</v>
      </c>
      <c r="H55" s="141">
        <f t="shared" si="63"/>
        <v>623.89807824474588</v>
      </c>
      <c r="I55" s="141">
        <f t="shared" si="63"/>
        <v>-71.514878511905422</v>
      </c>
      <c r="J55" s="141">
        <f t="shared" si="63"/>
        <v>-61.664842211621057</v>
      </c>
      <c r="K55" s="141">
        <f t="shared" si="63"/>
        <v>-72.296756492768239</v>
      </c>
      <c r="L55" s="141">
        <f t="shared" si="63"/>
        <v>-46.862026248032862</v>
      </c>
      <c r="M55" s="141">
        <f t="shared" si="63"/>
        <v>-54.410267107673896</v>
      </c>
      <c r="N55" s="141"/>
      <c r="O55" s="141">
        <f>(O53*100/$O53)-100</f>
        <v>0</v>
      </c>
      <c r="P55" s="141">
        <f t="shared" ref="P55:V55" si="64">(P53*100/$O53)-100</f>
        <v>17.235250906482719</v>
      </c>
      <c r="Q55" s="141">
        <f t="shared" si="64"/>
        <v>-94.452031995570849</v>
      </c>
      <c r="R55" s="141">
        <f t="shared" si="64"/>
        <v>-88.723441452139184</v>
      </c>
      <c r="S55" s="141">
        <f t="shared" si="64"/>
        <v>-89.370584040883799</v>
      </c>
      <c r="T55" s="141">
        <f t="shared" si="64"/>
        <v>-97.425289138271779</v>
      </c>
      <c r="U55" s="141">
        <f t="shared" si="64"/>
        <v>-96.578829849666803</v>
      </c>
      <c r="V55" s="141">
        <f t="shared" si="64"/>
        <v>-95.071623068806289</v>
      </c>
    </row>
    <row r="56" spans="1:22" s="3" customFormat="1" x14ac:dyDescent="0.25">
      <c r="A56" s="61" t="s">
        <v>81</v>
      </c>
      <c r="B56" s="141">
        <f>[1]!SWTEST(B28:B43)</f>
        <v>3.100655735699398E-4</v>
      </c>
      <c r="C56" s="141">
        <f>[1]!SWTEST(C28:C43)</f>
        <v>7.3078573415724213E-2</v>
      </c>
      <c r="D56" s="141">
        <f>[1]!SWTEST(D28:D43)</f>
        <v>0.39306313868910336</v>
      </c>
      <c r="E56" s="141">
        <f>[1]!SWTEST(E28:E43)</f>
        <v>0.12662588839701105</v>
      </c>
      <c r="F56" s="141">
        <f>[1]!SWTEST(F28:F43)</f>
        <v>0.36890386444225332</v>
      </c>
      <c r="G56" s="141">
        <f>[1]!SWTEST(G28:G43)</f>
        <v>0.65810822391427382</v>
      </c>
      <c r="H56" s="141">
        <f>[1]!SWTEST(H28:H43)</f>
        <v>0.12785241221463106</v>
      </c>
      <c r="I56" s="141">
        <f>[1]!SWTEST(I28:I43)</f>
        <v>6.9501643682887027E-2</v>
      </c>
      <c r="J56" s="141">
        <f>[1]!SWTEST(J28:J43)</f>
        <v>0.35011533669792771</v>
      </c>
      <c r="K56" s="141">
        <f>[1]!SWTEST(K28:K43)</f>
        <v>0.33503068691129145</v>
      </c>
      <c r="L56" s="141">
        <f>[1]!SWTEST(L28:L43)</f>
        <v>0.37423648213039729</v>
      </c>
      <c r="M56" s="141">
        <f>[1]!SWTEST(M28:M43)</f>
        <v>0.47772617478535429</v>
      </c>
      <c r="N56" s="141"/>
      <c r="O56" s="141">
        <f>[1]!SWTEST(O28:O43)</f>
        <v>0.19811937437577298</v>
      </c>
      <c r="P56" s="141">
        <f>[1]!SWTEST(P28:P43)</f>
        <v>0.78311386963581398</v>
      </c>
      <c r="Q56" s="141">
        <f>[1]!SWTEST(Q28:Q43)</f>
        <v>2.2551116928830051E-2</v>
      </c>
      <c r="R56" s="141">
        <f>[1]!SWTEST(R28:R43)</f>
        <v>7.3158907047887078E-2</v>
      </c>
      <c r="S56" s="141">
        <f>[1]!SWTEST(S28:S43)</f>
        <v>9.9972048377243827E-2</v>
      </c>
      <c r="T56" s="141">
        <f>[1]!SWTEST(T28:T43)</f>
        <v>1.5849298650671972E-4</v>
      </c>
      <c r="U56" s="141">
        <f>[1]!SWTEST(U28:U43)</f>
        <v>0.52957261828022917</v>
      </c>
      <c r="V56" s="141">
        <f>[1]!SWTEST(V28:V43)</f>
        <v>1.8270630271736144E-2</v>
      </c>
    </row>
    <row r="57" spans="1:22" s="3" customFormat="1" x14ac:dyDescent="0.25">
      <c r="A57" s="61" t="s">
        <v>85</v>
      </c>
      <c r="B57" s="141" t="str">
        <f>IF(B56&gt;0.05,"Oui","Non")</f>
        <v>Non</v>
      </c>
      <c r="C57" s="141" t="str">
        <f t="shared" ref="C57:V57" si="65">IF(C56&gt;0.05,"Oui","Non")</f>
        <v>Oui</v>
      </c>
      <c r="D57" s="141" t="str">
        <f t="shared" si="65"/>
        <v>Oui</v>
      </c>
      <c r="E57" s="141" t="str">
        <f t="shared" si="65"/>
        <v>Oui</v>
      </c>
      <c r="F57" s="141" t="str">
        <f t="shared" si="65"/>
        <v>Oui</v>
      </c>
      <c r="G57" s="141" t="str">
        <f t="shared" si="65"/>
        <v>Oui</v>
      </c>
      <c r="H57" s="141" t="str">
        <f t="shared" si="65"/>
        <v>Oui</v>
      </c>
      <c r="I57" s="141" t="str">
        <f t="shared" si="65"/>
        <v>Oui</v>
      </c>
      <c r="J57" s="141" t="str">
        <f t="shared" si="65"/>
        <v>Oui</v>
      </c>
      <c r="K57" s="141" t="str">
        <f t="shared" si="65"/>
        <v>Oui</v>
      </c>
      <c r="L57" s="141" t="str">
        <f t="shared" si="65"/>
        <v>Oui</v>
      </c>
      <c r="M57" s="141" t="str">
        <f t="shared" si="65"/>
        <v>Oui</v>
      </c>
      <c r="N57" s="141"/>
      <c r="O57" s="141" t="str">
        <f t="shared" si="65"/>
        <v>Oui</v>
      </c>
      <c r="P57" s="141" t="str">
        <f t="shared" si="65"/>
        <v>Oui</v>
      </c>
      <c r="Q57" s="141" t="str">
        <f t="shared" si="65"/>
        <v>Non</v>
      </c>
      <c r="R57" s="141" t="str">
        <f t="shared" si="65"/>
        <v>Oui</v>
      </c>
      <c r="S57" s="141" t="str">
        <f t="shared" si="65"/>
        <v>Oui</v>
      </c>
      <c r="T57" s="141" t="str">
        <f t="shared" si="65"/>
        <v>Non</v>
      </c>
      <c r="U57" s="141" t="str">
        <f t="shared" si="65"/>
        <v>Oui</v>
      </c>
      <c r="V57" s="141" t="str">
        <f t="shared" si="65"/>
        <v>Non</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1564</v>
      </c>
      <c r="D59" s="150" t="s">
        <v>1564</v>
      </c>
      <c r="E59" s="150" t="s">
        <v>1564</v>
      </c>
      <c r="F59" s="150" t="s">
        <v>1564</v>
      </c>
      <c r="G59" s="150" t="s">
        <v>1564</v>
      </c>
      <c r="H59" s="150" t="s">
        <v>1564</v>
      </c>
      <c r="I59" s="150" t="s">
        <v>1564</v>
      </c>
      <c r="J59" s="150" t="s">
        <v>1564</v>
      </c>
      <c r="K59" s="150" t="s">
        <v>1564</v>
      </c>
      <c r="L59" s="150" t="s">
        <v>1564</v>
      </c>
      <c r="M59" s="150" t="s">
        <v>1564</v>
      </c>
      <c r="N59" s="150"/>
      <c r="O59" s="150" t="str">
        <f t="shared" ref="O59" si="66">IF($B57="Non",IF(O57="Non","MW",IF(O57="Oui","MW","")),IF($B57="Oui",IF(O57="Oui","T-Test Welch",IF(O57="Non","MW",""))))</f>
        <v>MW</v>
      </c>
      <c r="P59" s="150" t="str">
        <f>IF($O57="Non",IF(P57="Non","MW",IF(P57="Oui","MW","")),IF($O57="Oui",IF(P57="Oui","T-Test Welch",IF(P57="Non","MW",""))))</f>
        <v>T-Test Welch</v>
      </c>
      <c r="Q59" s="150" t="str">
        <f t="shared" ref="Q59" si="67">IF($O57="Non",IF(Q57="Non","MW",IF(Q57="Oui","MW","")),IF($O57="Oui",IF(Q57="Oui","T-Test Welch",IF(Q57="Non","MW",""))))</f>
        <v>MW</v>
      </c>
      <c r="R59" s="150" t="s">
        <v>1564</v>
      </c>
      <c r="S59" s="150" t="s">
        <v>1564</v>
      </c>
      <c r="T59" s="150" t="s">
        <v>1564</v>
      </c>
      <c r="U59" s="150" t="s">
        <v>1564</v>
      </c>
      <c r="V59" s="150" t="s">
        <v>1564</v>
      </c>
    </row>
    <row r="60" spans="1:22" s="3" customFormat="1" ht="15.75" x14ac:dyDescent="0.25">
      <c r="A60" s="61" t="s">
        <v>83</v>
      </c>
      <c r="B60" s="151"/>
      <c r="C60" s="197">
        <v>0.99990000000000001</v>
      </c>
      <c r="D60" s="197">
        <v>0.99990000000000001</v>
      </c>
      <c r="E60" s="197">
        <v>0.99990000000000001</v>
      </c>
      <c r="F60" s="197">
        <v>0.81010000000000004</v>
      </c>
      <c r="G60" s="197">
        <v>3.09E-2</v>
      </c>
      <c r="H60" s="197">
        <v>6.9999999999999999E-4</v>
      </c>
      <c r="I60" s="197">
        <v>0.99990000000000001</v>
      </c>
      <c r="J60" s="197">
        <v>0.99990000000000001</v>
      </c>
      <c r="K60" s="197">
        <v>0.99990000000000001</v>
      </c>
      <c r="L60" s="197">
        <v>0.99990000000000001</v>
      </c>
      <c r="M60" s="197">
        <v>0.99990000000000001</v>
      </c>
      <c r="N60" s="151"/>
      <c r="O60" s="197">
        <v>2.5000000000000001E-3</v>
      </c>
      <c r="P60" s="197">
        <v>0.52190000000000003</v>
      </c>
      <c r="Q60" s="197">
        <v>1E-4</v>
      </c>
      <c r="R60" s="197">
        <v>3.5099999999999999E-2</v>
      </c>
      <c r="S60" s="197">
        <v>2.4E-2</v>
      </c>
      <c r="T60" s="197">
        <v>1E-4</v>
      </c>
      <c r="U60" s="197">
        <v>1.2999999999999999E-3</v>
      </c>
      <c r="V60" s="197">
        <v>2.0000000000000001E-4</v>
      </c>
    </row>
    <row r="61" spans="1:22" s="3" customFormat="1" ht="15.75" thickBot="1" x14ac:dyDescent="0.3">
      <c r="A61" s="62" t="s">
        <v>84</v>
      </c>
      <c r="B61" s="142"/>
      <c r="C61" s="142" t="str">
        <f t="shared" ref="C61:O61" si="68">IF(C60&gt;0.05,"NS",IF(C60&gt;0.01,"*",IF(C60&gt;0.001,"**","***")))</f>
        <v>NS</v>
      </c>
      <c r="D61" s="142" t="str">
        <f t="shared" si="68"/>
        <v>NS</v>
      </c>
      <c r="E61" s="142" t="str">
        <f t="shared" si="68"/>
        <v>NS</v>
      </c>
      <c r="F61" s="142" t="str">
        <f t="shared" si="68"/>
        <v>NS</v>
      </c>
      <c r="G61" s="142" t="str">
        <f t="shared" si="68"/>
        <v>*</v>
      </c>
      <c r="H61" s="142" t="str">
        <f t="shared" si="68"/>
        <v>***</v>
      </c>
      <c r="I61" s="142" t="str">
        <f t="shared" si="68"/>
        <v>NS</v>
      </c>
      <c r="J61" s="142" t="str">
        <f t="shared" si="68"/>
        <v>NS</v>
      </c>
      <c r="K61" s="142" t="str">
        <f t="shared" si="68"/>
        <v>NS</v>
      </c>
      <c r="L61" s="142" t="str">
        <f t="shared" si="68"/>
        <v>NS</v>
      </c>
      <c r="M61" s="142" t="str">
        <f t="shared" si="68"/>
        <v>NS</v>
      </c>
      <c r="N61" s="142"/>
      <c r="O61" s="142" t="str">
        <f t="shared" si="68"/>
        <v>**</v>
      </c>
      <c r="P61" s="142" t="str">
        <f>IF(P60&gt;0.05,"NS",IF(P60&gt;0.01,"*",IF(P60&gt;0.001,"**","***")))</f>
        <v>NS</v>
      </c>
      <c r="Q61" s="142" t="str">
        <f t="shared" ref="Q61:V61" si="69">IF(Q60&gt;0.05,"NS",IF(Q60&gt;0.01,"*",IF(Q60&gt;0.001,"**","***")))</f>
        <v>***</v>
      </c>
      <c r="R61" s="142" t="str">
        <f t="shared" si="69"/>
        <v>*</v>
      </c>
      <c r="S61" s="142" t="str">
        <f t="shared" si="69"/>
        <v>*</v>
      </c>
      <c r="T61" s="142" t="str">
        <f t="shared" si="69"/>
        <v>***</v>
      </c>
      <c r="U61" s="142" t="str">
        <f t="shared" si="69"/>
        <v>**</v>
      </c>
      <c r="V61" s="142" t="str">
        <f t="shared" si="69"/>
        <v>***</v>
      </c>
    </row>
    <row r="63" spans="1:22" x14ac:dyDescent="0.25">
      <c r="A63" s="2" t="s">
        <v>39</v>
      </c>
    </row>
    <row r="64" spans="1:22" x14ac:dyDescent="0.25">
      <c r="A64" s="1" t="s">
        <v>23</v>
      </c>
      <c r="B64" s="1">
        <f>B46+(3*B47)</f>
        <v>1.367083417986493</v>
      </c>
    </row>
    <row r="65" spans="1:22" x14ac:dyDescent="0.25">
      <c r="A65" s="1" t="s">
        <v>24</v>
      </c>
      <c r="B65" s="1">
        <f>B46+(10*B47)</f>
        <v>4.0169101162658771</v>
      </c>
    </row>
    <row r="66" spans="1:22" ht="15.75" thickBot="1" x14ac:dyDescent="0.3"/>
    <row r="67" spans="1:22" ht="27" thickBot="1" x14ac:dyDescent="0.45">
      <c r="A67" s="219" t="s">
        <v>45</v>
      </c>
      <c r="B67" s="220"/>
      <c r="C67" s="220"/>
      <c r="D67" s="220"/>
      <c r="E67" s="220"/>
      <c r="F67" s="220"/>
      <c r="G67" s="220"/>
      <c r="H67" s="220"/>
      <c r="I67" s="220"/>
      <c r="J67" s="220"/>
      <c r="K67" s="220"/>
      <c r="L67" s="220"/>
      <c r="M67" s="220"/>
      <c r="N67" s="220"/>
      <c r="O67" s="220"/>
      <c r="P67" s="220"/>
      <c r="Q67" s="220"/>
      <c r="R67" s="220"/>
      <c r="S67" s="220"/>
      <c r="T67" s="220"/>
      <c r="U67" s="220"/>
      <c r="V67" s="220"/>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97"/>
      <c r="S72" s="12"/>
      <c r="T72" s="12"/>
      <c r="U72" s="12"/>
      <c r="V72" s="12"/>
    </row>
    <row r="73" spans="1:22" ht="16.5" x14ac:dyDescent="0.25">
      <c r="A73" s="12"/>
      <c r="B73" s="12"/>
      <c r="C73" s="12"/>
      <c r="D73" s="197"/>
      <c r="E73" s="12"/>
      <c r="F73" s="12"/>
      <c r="K73" s="197"/>
      <c r="N73" s="12"/>
      <c r="O73" s="12"/>
      <c r="P73" s="12"/>
      <c r="Q73" s="12"/>
      <c r="R73" s="197"/>
      <c r="S73" s="12"/>
      <c r="T73" s="12"/>
      <c r="U73" s="12"/>
      <c r="V73" s="12"/>
    </row>
    <row r="74" spans="1:22" ht="16.5" x14ac:dyDescent="0.25">
      <c r="A74" s="12"/>
      <c r="B74" s="12"/>
      <c r="C74" s="12"/>
      <c r="D74" s="197"/>
      <c r="E74" s="12"/>
      <c r="F74" s="12"/>
      <c r="K74" s="197"/>
      <c r="N74" s="12"/>
      <c r="O74" s="12"/>
      <c r="P74" s="12"/>
      <c r="Q74" s="12"/>
      <c r="R74" s="197"/>
      <c r="S74" s="12"/>
      <c r="T74" s="12"/>
      <c r="U74" s="12"/>
      <c r="V74" s="12"/>
    </row>
    <row r="75" spans="1:22" ht="15.75" x14ac:dyDescent="0.25">
      <c r="D75" s="197"/>
      <c r="K75" s="197"/>
      <c r="R75" s="197"/>
    </row>
    <row r="76" spans="1:22" ht="15.75" x14ac:dyDescent="0.25">
      <c r="D76" s="197"/>
      <c r="K76" s="197"/>
      <c r="R76" s="197"/>
    </row>
    <row r="77" spans="1:22" ht="15.75" x14ac:dyDescent="0.25">
      <c r="D77" s="197"/>
      <c r="K77" s="197"/>
    </row>
    <row r="78" spans="1:22" ht="15.75" x14ac:dyDescent="0.25">
      <c r="D78" s="197"/>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N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1530</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2835</v>
      </c>
      <c r="D2" s="1" t="s">
        <v>2836</v>
      </c>
      <c r="E2" s="1" t="s">
        <v>179</v>
      </c>
      <c r="F2" s="1" t="s">
        <v>112</v>
      </c>
      <c r="G2" s="1">
        <v>25996</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2837</v>
      </c>
      <c r="D3" s="1" t="s">
        <v>2838</v>
      </c>
      <c r="E3" s="1" t="s">
        <v>2839</v>
      </c>
      <c r="F3" s="1" t="s">
        <v>112</v>
      </c>
      <c r="G3" s="1">
        <v>58822</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2840</v>
      </c>
      <c r="D4" s="1" t="s">
        <v>2841</v>
      </c>
      <c r="E4" s="1" t="s">
        <v>2842</v>
      </c>
      <c r="F4" s="1" t="s">
        <v>112</v>
      </c>
      <c r="G4" s="1">
        <v>387347</v>
      </c>
      <c r="K4" s="118" t="s">
        <v>100</v>
      </c>
      <c r="L4" s="1" t="s">
        <v>1534</v>
      </c>
      <c r="M4" s="1" t="s">
        <v>1535</v>
      </c>
      <c r="N4" s="1" t="s">
        <v>1537</v>
      </c>
      <c r="O4" s="1" t="s">
        <v>4144</v>
      </c>
      <c r="P4" s="1" t="s">
        <v>4145</v>
      </c>
      <c r="Q4" s="1" t="s">
        <v>4146</v>
      </c>
      <c r="R4" s="1" t="s">
        <v>4147</v>
      </c>
      <c r="S4" s="1" t="s">
        <v>4148</v>
      </c>
      <c r="T4" s="1" t="s">
        <v>4149</v>
      </c>
      <c r="U4" s="1" t="s">
        <v>4150</v>
      </c>
      <c r="V4" s="1" t="s">
        <v>4151</v>
      </c>
      <c r="W4" s="1" t="s">
        <v>4152</v>
      </c>
      <c r="X4" s="1" t="s">
        <v>4153</v>
      </c>
      <c r="Y4" s="1" t="s">
        <v>4154</v>
      </c>
      <c r="Z4" s="1" t="s">
        <v>4155</v>
      </c>
      <c r="AA4" s="1" t="s">
        <v>4156</v>
      </c>
      <c r="AB4" s="1" t="s">
        <v>4157</v>
      </c>
      <c r="AC4" s="1" t="s">
        <v>4158</v>
      </c>
      <c r="AD4" s="1" t="s">
        <v>4159</v>
      </c>
      <c r="AE4" s="1" t="s">
        <v>4160</v>
      </c>
      <c r="AF4" s="1" t="s">
        <v>4161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2843</v>
      </c>
      <c r="D5" s="1" t="s">
        <v>2844</v>
      </c>
      <c r="E5" s="1">
        <v>65</v>
      </c>
      <c r="F5" s="1" t="s">
        <v>112</v>
      </c>
      <c r="G5" s="1">
        <v>18382</v>
      </c>
      <c r="K5" s="145" t="s">
        <v>163</v>
      </c>
      <c r="L5" s="44">
        <v>466458.33333333331</v>
      </c>
      <c r="M5" s="44">
        <v>2203633.6666666665</v>
      </c>
      <c r="N5" s="44">
        <v>6943929.333333333</v>
      </c>
      <c r="O5" s="44">
        <v>157388.33333333334</v>
      </c>
      <c r="P5" s="44">
        <v>218009</v>
      </c>
      <c r="Q5" s="44">
        <v>173754.66666666666</v>
      </c>
      <c r="R5" s="44">
        <v>3802679.3333333335</v>
      </c>
      <c r="S5" s="44">
        <v>216761.66666666666</v>
      </c>
      <c r="T5" s="44"/>
      <c r="U5" s="44">
        <v>250813.66666666666</v>
      </c>
      <c r="V5" s="44">
        <v>54094.333333333336</v>
      </c>
      <c r="W5" s="44">
        <v>69866</v>
      </c>
      <c r="X5" s="44">
        <v>2881948</v>
      </c>
      <c r="Y5" s="44">
        <v>4599925.666666667</v>
      </c>
      <c r="Z5" s="44">
        <v>5282384.333333333</v>
      </c>
      <c r="AA5" s="44">
        <v>179918</v>
      </c>
      <c r="AB5" s="44">
        <v>66784</v>
      </c>
      <c r="AC5" s="44">
        <v>260087.66666666666</v>
      </c>
      <c r="AD5" s="44">
        <v>448334</v>
      </c>
      <c r="AE5" s="44">
        <v>141863.66666666666</v>
      </c>
      <c r="AF5" s="44">
        <v>257557.33333333334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2845</v>
      </c>
      <c r="D6" s="1" t="s">
        <v>2846</v>
      </c>
      <c r="E6" s="1" t="s">
        <v>2847</v>
      </c>
      <c r="F6" s="1" t="s">
        <v>112</v>
      </c>
      <c r="G6" s="1">
        <v>65566</v>
      </c>
      <c r="K6" s="145" t="s">
        <v>1552</v>
      </c>
      <c r="L6" s="44">
        <v>195689.33333333334</v>
      </c>
      <c r="M6" s="44">
        <v>2016703.6666666667</v>
      </c>
      <c r="N6" s="44">
        <v>7838603.333333333</v>
      </c>
      <c r="O6" s="44">
        <v>47517.666666666664</v>
      </c>
      <c r="P6" s="44">
        <v>23690</v>
      </c>
      <c r="Q6" s="44">
        <v>253206.66666666666</v>
      </c>
      <c r="R6" s="44">
        <v>4493977.5</v>
      </c>
      <c r="S6" s="44">
        <v>230176.33333333334</v>
      </c>
      <c r="T6" s="44">
        <v>48917</v>
      </c>
      <c r="U6" s="44">
        <v>146686</v>
      </c>
      <c r="V6" s="44">
        <v>10702.666666666666</v>
      </c>
      <c r="W6" s="44">
        <v>31391</v>
      </c>
      <c r="X6" s="44">
        <v>2637294.6666666665</v>
      </c>
      <c r="Y6" s="44">
        <v>1938419.3333333333</v>
      </c>
      <c r="Z6" s="44">
        <v>5110414</v>
      </c>
      <c r="AA6" s="44">
        <v>74434.333333333328</v>
      </c>
      <c r="AB6" s="44">
        <v>135953.66666666666</v>
      </c>
      <c r="AC6" s="44">
        <v>35654.666666666664</v>
      </c>
      <c r="AD6" s="44">
        <v>279307.5</v>
      </c>
      <c r="AE6" s="44">
        <v>150362</v>
      </c>
      <c r="AF6" s="44">
        <v>245513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2848</v>
      </c>
      <c r="D7" s="1" t="s">
        <v>2849</v>
      </c>
      <c r="E7" s="1" t="s">
        <v>2850</v>
      </c>
      <c r="F7" s="1" t="s">
        <v>112</v>
      </c>
      <c r="G7" s="1">
        <v>58605</v>
      </c>
      <c r="K7" s="145" t="s">
        <v>1553</v>
      </c>
      <c r="L7" s="44">
        <v>1683334.6666666667</v>
      </c>
      <c r="M7" s="44">
        <v>189808.66666666666</v>
      </c>
      <c r="N7" s="44">
        <v>5326617</v>
      </c>
      <c r="O7" s="44">
        <v>90571.5</v>
      </c>
      <c r="P7" s="44">
        <v>88574</v>
      </c>
      <c r="Q7" s="44">
        <v>120744</v>
      </c>
      <c r="R7" s="44">
        <v>2453403</v>
      </c>
      <c r="S7" s="44">
        <v>728177.66666666663</v>
      </c>
      <c r="T7" s="44">
        <v>37532.333333333336</v>
      </c>
      <c r="U7" s="44">
        <v>236572</v>
      </c>
      <c r="V7" s="44">
        <v>18360</v>
      </c>
      <c r="W7" s="44">
        <v>283321</v>
      </c>
      <c r="X7" s="44">
        <v>1363177.5</v>
      </c>
      <c r="Y7" s="44">
        <v>1481017.3333333333</v>
      </c>
      <c r="Z7" s="44">
        <v>4364542.666666667</v>
      </c>
      <c r="AA7" s="44">
        <v>35806.666666666664</v>
      </c>
      <c r="AB7" s="44">
        <v>495992.66666666669</v>
      </c>
      <c r="AC7" s="44">
        <v>320447.33333333331</v>
      </c>
      <c r="AD7" s="44">
        <v>32500</v>
      </c>
      <c r="AE7" s="44">
        <v>146620.33333333334</v>
      </c>
      <c r="AF7" s="44">
        <v>947289</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2851</v>
      </c>
      <c r="K8" s="145" t="s">
        <v>1554</v>
      </c>
      <c r="L8" s="44"/>
      <c r="M8" s="44">
        <v>1362104</v>
      </c>
      <c r="N8" s="44">
        <v>6183171.666666667</v>
      </c>
      <c r="O8" s="44">
        <v>207183</v>
      </c>
      <c r="P8" s="44">
        <v>54377.333333333336</v>
      </c>
      <c r="Q8" s="44">
        <v>207857.33333333334</v>
      </c>
      <c r="R8" s="44">
        <v>2461633.3333333335</v>
      </c>
      <c r="S8" s="44">
        <v>1419606.6666666667</v>
      </c>
      <c r="T8" s="44">
        <v>11834</v>
      </c>
      <c r="U8" s="44">
        <v>30056.333333333332</v>
      </c>
      <c r="V8" s="44">
        <v>341679</v>
      </c>
      <c r="W8" s="44">
        <v>32144.666666666668</v>
      </c>
      <c r="X8" s="44">
        <v>3941838.3333333335</v>
      </c>
      <c r="Y8" s="44">
        <v>937202.33333333337</v>
      </c>
      <c r="Z8" s="44">
        <v>4088444.3333333335</v>
      </c>
      <c r="AA8" s="44">
        <v>49142</v>
      </c>
      <c r="AB8" s="44">
        <v>17062.333333333332</v>
      </c>
      <c r="AC8" s="44">
        <v>81257.666666666672</v>
      </c>
      <c r="AD8" s="44">
        <v>341874.66666666669</v>
      </c>
      <c r="AE8" s="44">
        <v>281178</v>
      </c>
      <c r="AF8" s="44">
        <v>275112.33333333331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2852</v>
      </c>
      <c r="D9" s="1" t="s">
        <v>2853</v>
      </c>
      <c r="E9" s="1" t="s">
        <v>2854</v>
      </c>
      <c r="F9" s="1" t="s">
        <v>112</v>
      </c>
      <c r="G9" s="1">
        <v>119058</v>
      </c>
      <c r="K9" s="145" t="s">
        <v>1555</v>
      </c>
      <c r="L9" s="44">
        <v>160303.66666666666</v>
      </c>
      <c r="M9" s="44">
        <v>353962.66666666669</v>
      </c>
      <c r="N9" s="44">
        <v>5201344.333333333</v>
      </c>
      <c r="O9" s="44">
        <v>26706.333333333332</v>
      </c>
      <c r="P9" s="44">
        <v>687832</v>
      </c>
      <c r="Q9" s="44">
        <v>40063</v>
      </c>
      <c r="R9" s="44">
        <v>2646685.3333333335</v>
      </c>
      <c r="S9" s="44">
        <v>54899</v>
      </c>
      <c r="T9" s="44">
        <v>79307</v>
      </c>
      <c r="U9" s="44">
        <v>46894</v>
      </c>
      <c r="V9" s="44">
        <v>269681.33333333331</v>
      </c>
      <c r="W9" s="44">
        <v>321230.33333333331</v>
      </c>
      <c r="X9" s="44">
        <v>1373909</v>
      </c>
      <c r="Y9" s="44">
        <v>1974001</v>
      </c>
      <c r="Z9" s="44">
        <v>4818928</v>
      </c>
      <c r="AA9" s="44">
        <v>208140</v>
      </c>
      <c r="AB9" s="44">
        <v>41593</v>
      </c>
      <c r="AC9" s="44">
        <v>94309.666666666672</v>
      </c>
      <c r="AD9" s="44">
        <v>24096</v>
      </c>
      <c r="AE9" s="44">
        <v>112757</v>
      </c>
      <c r="AF9" s="44">
        <v>368907.66666666669</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2855</v>
      </c>
      <c r="D10" s="1" t="s">
        <v>2856</v>
      </c>
      <c r="E10" s="1" t="s">
        <v>2857</v>
      </c>
      <c r="F10" s="1" t="s">
        <v>112</v>
      </c>
      <c r="G10" s="1">
        <v>62085</v>
      </c>
      <c r="K10" s="145" t="s">
        <v>1556</v>
      </c>
      <c r="L10" s="44">
        <v>207494.66666666666</v>
      </c>
      <c r="M10" s="44">
        <v>57285</v>
      </c>
      <c r="N10" s="44">
        <v>8417789.666666666</v>
      </c>
      <c r="O10" s="44">
        <v>394968.33333333331</v>
      </c>
      <c r="P10" s="44">
        <v>253315.33333333334</v>
      </c>
      <c r="Q10" s="44">
        <v>73411.666666666672</v>
      </c>
      <c r="R10" s="44">
        <v>2758456</v>
      </c>
      <c r="S10" s="44">
        <v>250987.66666666666</v>
      </c>
      <c r="T10" s="44">
        <v>98624.333333333328</v>
      </c>
      <c r="U10" s="44">
        <v>719353.5</v>
      </c>
      <c r="V10" s="44">
        <v>23486.666666666668</v>
      </c>
      <c r="W10" s="44">
        <v>40397</v>
      </c>
      <c r="X10" s="44">
        <v>2306282.6666666665</v>
      </c>
      <c r="Y10" s="44">
        <v>1290048</v>
      </c>
      <c r="Z10" s="44">
        <v>3200659</v>
      </c>
      <c r="AA10" s="44">
        <v>158041.33333333334</v>
      </c>
      <c r="AB10" s="44">
        <v>83150</v>
      </c>
      <c r="AC10" s="44">
        <v>86645.333333333328</v>
      </c>
      <c r="AD10" s="44">
        <v>63666</v>
      </c>
      <c r="AE10" s="44">
        <v>355521.66666666669</v>
      </c>
      <c r="AF10" s="44">
        <v>13857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2858</v>
      </c>
      <c r="D11" s="1" t="s">
        <v>2859</v>
      </c>
      <c r="E11" s="1" t="s">
        <v>2833</v>
      </c>
      <c r="F11" s="1" t="s">
        <v>112</v>
      </c>
      <c r="G11" s="1">
        <v>16272</v>
      </c>
      <c r="K11" s="145" t="s">
        <v>1557</v>
      </c>
      <c r="L11" s="44">
        <v>589527</v>
      </c>
      <c r="M11" s="44">
        <v>3482007.3333333335</v>
      </c>
      <c r="N11" s="44">
        <v>5944467.333333333</v>
      </c>
      <c r="O11" s="44">
        <v>206044.33333333334</v>
      </c>
      <c r="P11" s="44">
        <v>17294</v>
      </c>
      <c r="Q11" s="44">
        <v>20564.666666666668</v>
      </c>
      <c r="R11" s="44">
        <v>4449672.333333333</v>
      </c>
      <c r="S11" s="44">
        <v>41187.333333333336</v>
      </c>
      <c r="T11" s="44">
        <v>9060.5</v>
      </c>
      <c r="U11" s="44">
        <v>95259.666666666672</v>
      </c>
      <c r="V11" s="44">
        <v>16076.333333333334</v>
      </c>
      <c r="W11" s="44">
        <v>65370</v>
      </c>
      <c r="X11" s="44">
        <v>3153163.5</v>
      </c>
      <c r="Y11" s="44">
        <v>2126531</v>
      </c>
      <c r="Z11" s="44">
        <v>2782370.5</v>
      </c>
      <c r="AA11" s="44">
        <v>138600.33333333334</v>
      </c>
      <c r="AB11" s="44">
        <v>99349.333333333328</v>
      </c>
      <c r="AC11" s="44">
        <v>1162238</v>
      </c>
      <c r="AD11" s="44">
        <v>27076.333333333332</v>
      </c>
      <c r="AE11" s="44">
        <v>41571.333333333336</v>
      </c>
      <c r="AF11" s="44">
        <v>52013</v>
      </c>
      <c r="AG11"/>
    </row>
    <row r="12" spans="1:144" x14ac:dyDescent="0.25">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2860</v>
      </c>
      <c r="D12" s="1" t="s">
        <v>2861</v>
      </c>
      <c r="E12" s="1" t="s">
        <v>2862</v>
      </c>
      <c r="F12" s="1" t="s">
        <v>112</v>
      </c>
      <c r="G12" s="1">
        <v>313885</v>
      </c>
      <c r="K12" s="145" t="s">
        <v>1558</v>
      </c>
      <c r="L12" s="44">
        <v>1269578.3333333333</v>
      </c>
      <c r="M12" s="44">
        <v>1152731.6666666667</v>
      </c>
      <c r="N12" s="44">
        <v>9308381</v>
      </c>
      <c r="O12" s="44">
        <v>15130</v>
      </c>
      <c r="P12" s="44">
        <v>23878.666666666668</v>
      </c>
      <c r="Q12" s="44">
        <v>58459.666666666664</v>
      </c>
      <c r="R12" s="44">
        <v>3145411.3333333335</v>
      </c>
      <c r="S12" s="44">
        <v>19498.666666666668</v>
      </c>
      <c r="T12" s="44"/>
      <c r="U12" s="44">
        <v>35915.666666666664</v>
      </c>
      <c r="V12" s="44">
        <v>186538.5</v>
      </c>
      <c r="W12" s="44">
        <v>39323.666666666664</v>
      </c>
      <c r="X12" s="44">
        <v>2877282.3333333335</v>
      </c>
      <c r="Y12" s="44">
        <v>2684652.5</v>
      </c>
      <c r="Z12" s="44">
        <v>4301421</v>
      </c>
      <c r="AA12" s="44">
        <v>88573.666666666672</v>
      </c>
      <c r="AB12" s="44"/>
      <c r="AC12" s="44">
        <v>59743</v>
      </c>
      <c r="AD12" s="44">
        <v>265257.66666666669</v>
      </c>
      <c r="AE12" s="44">
        <v>23450.666666666668</v>
      </c>
      <c r="AF12" s="44">
        <v>330581</v>
      </c>
      <c r="AG12"/>
    </row>
    <row r="13" spans="1:144" x14ac:dyDescent="0.25">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2863</v>
      </c>
      <c r="D13" s="1" t="s">
        <v>2864</v>
      </c>
      <c r="E13" s="1" t="s">
        <v>2865</v>
      </c>
      <c r="F13" s="1" t="s">
        <v>112</v>
      </c>
      <c r="G13" s="1">
        <v>291392</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2866</v>
      </c>
      <c r="D14" s="1" t="s">
        <v>2867</v>
      </c>
      <c r="E14" s="1" t="s">
        <v>2827</v>
      </c>
      <c r="F14" s="1" t="s">
        <v>112</v>
      </c>
      <c r="G14" s="1">
        <v>52274</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2868</v>
      </c>
      <c r="D15" s="1" t="s">
        <v>2869</v>
      </c>
      <c r="E15" s="1" t="s">
        <v>2870</v>
      </c>
      <c r="F15" s="1" t="s">
        <v>112</v>
      </c>
      <c r="G15" s="1">
        <v>14075</v>
      </c>
    </row>
    <row r="16" spans="1:144" x14ac:dyDescent="0.25">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2871</v>
      </c>
      <c r="D16" s="1" t="s">
        <v>2869</v>
      </c>
      <c r="E16" s="1" t="s">
        <v>2872</v>
      </c>
      <c r="F16" s="1" t="s">
        <v>112</v>
      </c>
      <c r="G16" s="1">
        <v>13770</v>
      </c>
    </row>
    <row r="17" spans="1:9" x14ac:dyDescent="0.25">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2873</v>
      </c>
      <c r="D17" s="1" t="s">
        <v>2874</v>
      </c>
      <c r="E17" s="1" t="s">
        <v>2875</v>
      </c>
      <c r="F17" s="1" t="s">
        <v>112</v>
      </c>
      <c r="G17" s="1">
        <v>328764</v>
      </c>
    </row>
    <row r="18" spans="1:9" x14ac:dyDescent="0.25">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2876</v>
      </c>
      <c r="D18" s="1" t="s">
        <v>2877</v>
      </c>
      <c r="E18" s="1" t="s">
        <v>2878</v>
      </c>
      <c r="F18" s="1" t="s">
        <v>112</v>
      </c>
      <c r="G18" s="1">
        <v>434945</v>
      </c>
    </row>
    <row r="19" spans="1:9" x14ac:dyDescent="0.25">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2879</v>
      </c>
      <c r="D19" s="1" t="s">
        <v>2880</v>
      </c>
      <c r="E19" s="1" t="s">
        <v>2881</v>
      </c>
      <c r="F19" s="1" t="s">
        <v>112</v>
      </c>
      <c r="G19" s="1">
        <v>421196</v>
      </c>
    </row>
    <row r="20" spans="1:9" x14ac:dyDescent="0.25">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2882</v>
      </c>
      <c r="D20" s="1" t="s">
        <v>2883</v>
      </c>
      <c r="E20" s="1" t="s">
        <v>2884</v>
      </c>
      <c r="F20" s="1" t="s">
        <v>112</v>
      </c>
      <c r="G20" s="1">
        <v>191716</v>
      </c>
    </row>
    <row r="21" spans="1:9" x14ac:dyDescent="0.25">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2885</v>
      </c>
      <c r="D21" s="1" t="s">
        <v>2886</v>
      </c>
      <c r="E21" s="1" t="s">
        <v>2887</v>
      </c>
      <c r="F21" s="1" t="s">
        <v>112</v>
      </c>
      <c r="G21" s="1">
        <v>376166</v>
      </c>
    </row>
    <row r="22" spans="1:9" x14ac:dyDescent="0.25">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2888</v>
      </c>
      <c r="D22" s="1" t="s">
        <v>2867</v>
      </c>
      <c r="E22" s="1" t="s">
        <v>2889</v>
      </c>
      <c r="F22" s="1" t="s">
        <v>112</v>
      </c>
      <c r="G22" s="1">
        <v>50251</v>
      </c>
    </row>
    <row r="23" spans="1:9" x14ac:dyDescent="0.25">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2890</v>
      </c>
      <c r="D23" s="1" t="s">
        <v>2891</v>
      </c>
      <c r="E23" s="1" t="s">
        <v>291</v>
      </c>
      <c r="F23" s="1" t="s">
        <v>112</v>
      </c>
      <c r="G23" s="1">
        <v>12465</v>
      </c>
    </row>
    <row r="24" spans="1:9" x14ac:dyDescent="0.25">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2892</v>
      </c>
      <c r="D24" s="1" t="s">
        <v>2844</v>
      </c>
      <c r="E24" s="1" t="s">
        <v>2826</v>
      </c>
      <c r="F24" s="1" t="s">
        <v>112</v>
      </c>
      <c r="G24" s="1">
        <v>17795</v>
      </c>
    </row>
    <row r="25" spans="1:9" x14ac:dyDescent="0.25">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2893</v>
      </c>
    </row>
    <row r="26" spans="1:9"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9"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236</v>
      </c>
      <c r="D27" s="1" t="s">
        <v>112</v>
      </c>
      <c r="E27" s="1" t="s">
        <v>237</v>
      </c>
      <c r="F27" s="1" t="s">
        <v>238</v>
      </c>
      <c r="G27" s="1" t="s">
        <v>239</v>
      </c>
      <c r="H27" s="1" t="s">
        <v>240</v>
      </c>
      <c r="I27" s="1" t="s">
        <v>241</v>
      </c>
    </row>
    <row r="28" spans="1:9" x14ac:dyDescent="0.25">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2894</v>
      </c>
      <c r="D28" s="1" t="s">
        <v>112</v>
      </c>
      <c r="E28" s="1" t="s">
        <v>2895</v>
      </c>
      <c r="F28" s="1" t="s">
        <v>2896</v>
      </c>
      <c r="G28" s="1" t="s">
        <v>2897</v>
      </c>
      <c r="H28" s="1" t="s">
        <v>2898</v>
      </c>
      <c r="I28" s="1">
        <v>24</v>
      </c>
    </row>
    <row r="29" spans="1:9"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9"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9"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9"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248</v>
      </c>
      <c r="D34" s="1" t="s">
        <v>110</v>
      </c>
      <c r="E34" s="1" t="s">
        <v>111</v>
      </c>
      <c r="F34" s="1" t="s">
        <v>112</v>
      </c>
      <c r="G34" s="1" t="s">
        <v>113</v>
      </c>
    </row>
    <row r="35" spans="1:7" x14ac:dyDescent="0.25">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2899</v>
      </c>
      <c r="D35" s="1" t="s">
        <v>2900</v>
      </c>
      <c r="E35" s="1" t="s">
        <v>2901</v>
      </c>
      <c r="F35" s="1" t="s">
        <v>112</v>
      </c>
      <c r="G35" s="1">
        <v>262851</v>
      </c>
    </row>
    <row r="36" spans="1:7" x14ac:dyDescent="0.25">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2902</v>
      </c>
      <c r="D36" s="1" t="s">
        <v>2903</v>
      </c>
      <c r="E36" s="1" t="s">
        <v>2904</v>
      </c>
      <c r="F36" s="1" t="s">
        <v>112</v>
      </c>
      <c r="G36" s="1">
        <v>334116</v>
      </c>
    </row>
    <row r="37" spans="1:7" x14ac:dyDescent="0.25">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2905</v>
      </c>
      <c r="D37" s="1" t="s">
        <v>2838</v>
      </c>
      <c r="E37" s="1" t="s">
        <v>2906</v>
      </c>
      <c r="F37" s="1" t="s">
        <v>112</v>
      </c>
      <c r="G37" s="1">
        <v>57060</v>
      </c>
    </row>
    <row r="38" spans="1:7" x14ac:dyDescent="0.25">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2907</v>
      </c>
      <c r="D38" s="1" t="s">
        <v>2908</v>
      </c>
      <c r="E38" s="1" t="s">
        <v>2909</v>
      </c>
      <c r="F38" s="1" t="s">
        <v>112</v>
      </c>
      <c r="G38" s="1">
        <v>10725</v>
      </c>
    </row>
    <row r="39" spans="1:7" x14ac:dyDescent="0.25">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2910</v>
      </c>
      <c r="D39" s="1" t="s">
        <v>2911</v>
      </c>
      <c r="E39" s="1" t="s">
        <v>1415</v>
      </c>
      <c r="F39" s="1" t="s">
        <v>112</v>
      </c>
      <c r="G39" s="1">
        <v>43943</v>
      </c>
    </row>
    <row r="40" spans="1:7" x14ac:dyDescent="0.25">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2912</v>
      </c>
      <c r="D40" s="1" t="s">
        <v>2859</v>
      </c>
      <c r="E40" s="1" t="s">
        <v>981</v>
      </c>
      <c r="F40" s="1" t="s">
        <v>112</v>
      </c>
      <c r="G40" s="1">
        <v>16402</v>
      </c>
    </row>
    <row r="41" spans="1:7" x14ac:dyDescent="0.25">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2913</v>
      </c>
      <c r="D41" s="1" t="s">
        <v>2849</v>
      </c>
      <c r="E41" s="1" t="s">
        <v>2914</v>
      </c>
      <c r="F41" s="1" t="s">
        <v>112</v>
      </c>
      <c r="G41" s="1">
        <v>57756</v>
      </c>
    </row>
    <row r="42" spans="1:7" x14ac:dyDescent="0.25">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2915</v>
      </c>
      <c r="D42" s="1" t="s">
        <v>2916</v>
      </c>
      <c r="E42" s="1" t="s">
        <v>2917</v>
      </c>
      <c r="F42" s="1" t="s">
        <v>112</v>
      </c>
      <c r="G42" s="1">
        <v>146229</v>
      </c>
    </row>
    <row r="43" spans="1:7" x14ac:dyDescent="0.25">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2918</v>
      </c>
      <c r="D43" s="1" t="s">
        <v>2856</v>
      </c>
      <c r="E43" s="1" t="s">
        <v>2821</v>
      </c>
      <c r="F43" s="1" t="s">
        <v>112</v>
      </c>
      <c r="G43" s="1">
        <v>61737</v>
      </c>
    </row>
    <row r="44" spans="1:7" x14ac:dyDescent="0.25">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2919</v>
      </c>
      <c r="D44" s="1" t="s">
        <v>2920</v>
      </c>
      <c r="E44" s="1" t="s">
        <v>2921</v>
      </c>
      <c r="F44" s="1" t="s">
        <v>112</v>
      </c>
      <c r="G44" s="1">
        <v>112576</v>
      </c>
    </row>
    <row r="45" spans="1:7" x14ac:dyDescent="0.25">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2922</v>
      </c>
      <c r="D45" s="1" t="s">
        <v>2923</v>
      </c>
      <c r="E45" s="1" t="s">
        <v>364</v>
      </c>
      <c r="F45" s="1" t="s">
        <v>112</v>
      </c>
      <c r="G45" s="1">
        <v>15271</v>
      </c>
    </row>
    <row r="46" spans="1:7" x14ac:dyDescent="0.25">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2924</v>
      </c>
      <c r="D46" s="1" t="s">
        <v>2925</v>
      </c>
      <c r="E46" s="1" t="s">
        <v>2926</v>
      </c>
      <c r="F46" s="1" t="s">
        <v>112</v>
      </c>
      <c r="G46" s="1">
        <v>35285</v>
      </c>
    </row>
    <row r="47" spans="1:7" x14ac:dyDescent="0.25">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2927</v>
      </c>
      <c r="D47" s="1" t="s">
        <v>2928</v>
      </c>
      <c r="E47" s="1" t="s">
        <v>2929</v>
      </c>
      <c r="F47" s="1" t="s">
        <v>112</v>
      </c>
      <c r="G47" s="1">
        <v>577040</v>
      </c>
    </row>
    <row r="48" spans="1:7" x14ac:dyDescent="0.25">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2930</v>
      </c>
    </row>
    <row r="49" spans="1:9" x14ac:dyDescent="0.25">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2931</v>
      </c>
      <c r="D49" s="1" t="s">
        <v>2932</v>
      </c>
      <c r="E49" s="1" t="s">
        <v>2933</v>
      </c>
      <c r="F49" s="1" t="s">
        <v>112</v>
      </c>
      <c r="G49" s="1">
        <v>798624</v>
      </c>
    </row>
    <row r="50" spans="1:9" x14ac:dyDescent="0.25">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2934</v>
      </c>
      <c r="D50" s="1" t="s">
        <v>2935</v>
      </c>
      <c r="E50" s="1" t="s">
        <v>2936</v>
      </c>
      <c r="F50" s="1" t="s">
        <v>112</v>
      </c>
      <c r="G50" s="1">
        <v>193413</v>
      </c>
    </row>
    <row r="51" spans="1:9" x14ac:dyDescent="0.25">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2937</v>
      </c>
      <c r="D51" s="1" t="s">
        <v>2938</v>
      </c>
      <c r="E51" s="1" t="s">
        <v>2939</v>
      </c>
      <c r="F51" s="1" t="s">
        <v>112</v>
      </c>
      <c r="G51" s="1">
        <v>433879</v>
      </c>
    </row>
    <row r="52" spans="1:9" x14ac:dyDescent="0.25">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2940</v>
      </c>
      <c r="D52" s="1" t="s">
        <v>2941</v>
      </c>
      <c r="E52" s="1" t="s">
        <v>2942</v>
      </c>
      <c r="F52" s="1" t="s">
        <v>112</v>
      </c>
      <c r="G52" s="1">
        <v>132654</v>
      </c>
    </row>
    <row r="53" spans="1:9" x14ac:dyDescent="0.25">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2943</v>
      </c>
      <c r="D53" s="1" t="s">
        <v>2859</v>
      </c>
      <c r="E53" s="1" t="s">
        <v>2944</v>
      </c>
      <c r="F53" s="1" t="s">
        <v>112</v>
      </c>
      <c r="G53" s="1">
        <v>16141</v>
      </c>
    </row>
    <row r="54" spans="1:9" x14ac:dyDescent="0.25">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2945</v>
      </c>
      <c r="D54" s="1" t="s">
        <v>2908</v>
      </c>
      <c r="E54" s="1" t="s">
        <v>1417</v>
      </c>
      <c r="F54" s="1" t="s">
        <v>112</v>
      </c>
      <c r="G54" s="1">
        <v>11268</v>
      </c>
    </row>
    <row r="55" spans="1:9" x14ac:dyDescent="0.25">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2946</v>
      </c>
      <c r="D55" s="1" t="s">
        <v>2947</v>
      </c>
      <c r="E55" s="1" t="s">
        <v>2948</v>
      </c>
      <c r="F55" s="1" t="s">
        <v>112</v>
      </c>
      <c r="G55" s="1">
        <v>24473</v>
      </c>
    </row>
    <row r="56" spans="1:9" x14ac:dyDescent="0.25">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2949</v>
      </c>
      <c r="D56" s="1" t="s">
        <v>2836</v>
      </c>
      <c r="E56" s="1" t="s">
        <v>2824</v>
      </c>
      <c r="F56" s="1" t="s">
        <v>112</v>
      </c>
      <c r="G56" s="1">
        <v>26518</v>
      </c>
    </row>
    <row r="57" spans="1:9" x14ac:dyDescent="0.25">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2950</v>
      </c>
      <c r="D57" s="1" t="s">
        <v>2951</v>
      </c>
      <c r="E57" s="1" t="s">
        <v>2952</v>
      </c>
      <c r="F57" s="1" t="s">
        <v>112</v>
      </c>
      <c r="G57" s="1">
        <v>28824</v>
      </c>
    </row>
    <row r="58" spans="1:9" x14ac:dyDescent="0.25">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2953</v>
      </c>
      <c r="D58" s="1" t="s">
        <v>2859</v>
      </c>
      <c r="E58" s="1" t="s">
        <v>2954</v>
      </c>
      <c r="F58" s="1" t="s">
        <v>112</v>
      </c>
      <c r="G58" s="1">
        <v>16294</v>
      </c>
    </row>
    <row r="59" spans="1:9"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9"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236</v>
      </c>
      <c r="D60" s="1" t="s">
        <v>112</v>
      </c>
      <c r="E60" s="1" t="s">
        <v>237</v>
      </c>
      <c r="F60" s="1" t="s">
        <v>238</v>
      </c>
      <c r="G60" s="1" t="s">
        <v>239</v>
      </c>
      <c r="H60" s="1" t="s">
        <v>240</v>
      </c>
      <c r="I60" s="1" t="s">
        <v>241</v>
      </c>
    </row>
    <row r="61" spans="1:9" x14ac:dyDescent="0.25">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2955</v>
      </c>
      <c r="D61" s="1" t="s">
        <v>112</v>
      </c>
      <c r="E61" s="1" t="s">
        <v>2956</v>
      </c>
      <c r="F61" s="1" t="s">
        <v>2957</v>
      </c>
      <c r="G61" s="1">
        <v>143186</v>
      </c>
      <c r="H61" s="1" t="s">
        <v>2958</v>
      </c>
      <c r="I61" s="1">
        <v>24</v>
      </c>
    </row>
    <row r="62" spans="1:9"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9"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9"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248</v>
      </c>
      <c r="D67" s="1" t="s">
        <v>110</v>
      </c>
      <c r="E67" s="1" t="s">
        <v>111</v>
      </c>
      <c r="F67" s="1" t="s">
        <v>112</v>
      </c>
      <c r="G67" s="1" t="s">
        <v>113</v>
      </c>
    </row>
    <row r="68" spans="1:7" x14ac:dyDescent="0.25">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2959</v>
      </c>
      <c r="D68" s="1" t="s">
        <v>2960</v>
      </c>
      <c r="E68" s="1" t="s">
        <v>2961</v>
      </c>
      <c r="F68" s="1" t="s">
        <v>112</v>
      </c>
      <c r="G68" s="1">
        <v>69721</v>
      </c>
    </row>
    <row r="69" spans="1:7" x14ac:dyDescent="0.25">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2962</v>
      </c>
      <c r="D69" s="1" t="s">
        <v>2963</v>
      </c>
      <c r="E69" s="1" t="s">
        <v>2964</v>
      </c>
      <c r="F69" s="1" t="s">
        <v>112</v>
      </c>
      <c r="G69" s="1">
        <v>365289</v>
      </c>
    </row>
    <row r="70" spans="1:7" x14ac:dyDescent="0.25">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2965</v>
      </c>
      <c r="D70" s="1" t="s">
        <v>2966</v>
      </c>
      <c r="E70" s="1" t="s">
        <v>2967</v>
      </c>
      <c r="F70" s="1" t="s">
        <v>112</v>
      </c>
      <c r="G70" s="1">
        <v>86254</v>
      </c>
    </row>
    <row r="71" spans="1:7" x14ac:dyDescent="0.25">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2968</v>
      </c>
      <c r="D71" s="1" t="s">
        <v>2969</v>
      </c>
      <c r="E71" s="1" t="s">
        <v>1377</v>
      </c>
      <c r="F71" s="1" t="s">
        <v>112</v>
      </c>
      <c r="G71" s="1">
        <v>40919</v>
      </c>
    </row>
    <row r="72" spans="1:7" x14ac:dyDescent="0.25">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2970</v>
      </c>
      <c r="D72" s="1" t="s">
        <v>2971</v>
      </c>
      <c r="E72" s="1" t="s">
        <v>2972</v>
      </c>
      <c r="F72" s="1" t="s">
        <v>112</v>
      </c>
      <c r="G72" s="1">
        <v>311166</v>
      </c>
    </row>
    <row r="73" spans="1:7" x14ac:dyDescent="0.25">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2973</v>
      </c>
      <c r="D73" s="1" t="s">
        <v>2974</v>
      </c>
      <c r="E73" s="1" t="s">
        <v>2975</v>
      </c>
      <c r="F73" s="1" t="s">
        <v>112</v>
      </c>
      <c r="G73" s="1">
        <v>407535</v>
      </c>
    </row>
    <row r="74" spans="1:7" x14ac:dyDescent="0.25">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2976</v>
      </c>
      <c r="D74" s="1" t="s">
        <v>2977</v>
      </c>
      <c r="E74" s="1" t="s">
        <v>2978</v>
      </c>
      <c r="F74" s="1" t="s">
        <v>112</v>
      </c>
      <c r="G74" s="1">
        <v>54123</v>
      </c>
    </row>
    <row r="75" spans="1:7" x14ac:dyDescent="0.25">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2979</v>
      </c>
    </row>
    <row r="76" spans="1:7" x14ac:dyDescent="0.25">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2980</v>
      </c>
      <c r="D76" s="1" t="s">
        <v>2883</v>
      </c>
      <c r="E76" s="1" t="s">
        <v>2981</v>
      </c>
      <c r="F76" s="1" t="s">
        <v>112</v>
      </c>
      <c r="G76" s="1">
        <v>187365</v>
      </c>
    </row>
    <row r="77" spans="1:7" x14ac:dyDescent="0.25">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2982</v>
      </c>
      <c r="D77" s="1" t="s">
        <v>2983</v>
      </c>
      <c r="E77" s="1" t="s">
        <v>2984</v>
      </c>
      <c r="F77" s="1" t="s">
        <v>112</v>
      </c>
      <c r="G77" s="1">
        <v>131697</v>
      </c>
    </row>
    <row r="78" spans="1:7" x14ac:dyDescent="0.25">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2985</v>
      </c>
      <c r="D78" s="1" t="s">
        <v>2986</v>
      </c>
      <c r="E78" s="1" t="s">
        <v>1413</v>
      </c>
      <c r="F78" s="1" t="s">
        <v>112</v>
      </c>
      <c r="G78" s="1">
        <v>226544</v>
      </c>
    </row>
    <row r="79" spans="1:7" x14ac:dyDescent="0.25">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2987</v>
      </c>
      <c r="D79" s="1" t="s">
        <v>2864</v>
      </c>
      <c r="E79" s="1" t="s">
        <v>2988</v>
      </c>
      <c r="F79" s="1" t="s">
        <v>112</v>
      </c>
      <c r="G79" s="1">
        <v>265331</v>
      </c>
    </row>
    <row r="80" spans="1:7" x14ac:dyDescent="0.25">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2989</v>
      </c>
      <c r="D80" s="1" t="s">
        <v>2925</v>
      </c>
      <c r="E80" s="1" t="s">
        <v>2990</v>
      </c>
      <c r="F80" s="1" t="s">
        <v>112</v>
      </c>
      <c r="G80" s="1">
        <v>34915</v>
      </c>
    </row>
    <row r="81" spans="1:9" x14ac:dyDescent="0.25">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2991</v>
      </c>
      <c r="D81" s="1" t="s">
        <v>2992</v>
      </c>
      <c r="E81" s="1" t="s">
        <v>2993</v>
      </c>
      <c r="F81" s="1" t="s">
        <v>112</v>
      </c>
      <c r="G81" s="1">
        <v>45639</v>
      </c>
    </row>
    <row r="82" spans="1:9" x14ac:dyDescent="0.25">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2994</v>
      </c>
      <c r="D82" s="1" t="s">
        <v>2995</v>
      </c>
      <c r="E82" s="1" t="s">
        <v>2996</v>
      </c>
      <c r="F82" s="1" t="s">
        <v>112</v>
      </c>
      <c r="G82" s="1">
        <v>39635</v>
      </c>
    </row>
    <row r="83" spans="1:9" x14ac:dyDescent="0.25">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2997</v>
      </c>
      <c r="D83" s="1" t="s">
        <v>2998</v>
      </c>
      <c r="E83" s="1" t="s">
        <v>2999</v>
      </c>
      <c r="F83" s="1" t="s">
        <v>112</v>
      </c>
      <c r="G83" s="1">
        <v>85362</v>
      </c>
    </row>
    <row r="84" spans="1:9" x14ac:dyDescent="0.25">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3000</v>
      </c>
      <c r="D84" s="1" t="s">
        <v>3001</v>
      </c>
      <c r="E84" s="1" t="s">
        <v>3002</v>
      </c>
      <c r="F84" s="1" t="s">
        <v>112</v>
      </c>
      <c r="G84" s="1">
        <v>114555</v>
      </c>
    </row>
    <row r="85" spans="1:9" x14ac:dyDescent="0.25">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3003</v>
      </c>
      <c r="D85" s="1" t="s">
        <v>3004</v>
      </c>
      <c r="E85" s="1" t="s">
        <v>3005</v>
      </c>
      <c r="F85" s="1" t="s">
        <v>112</v>
      </c>
      <c r="G85" s="1">
        <v>20318</v>
      </c>
    </row>
    <row r="86" spans="1:9" x14ac:dyDescent="0.25">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3006</v>
      </c>
      <c r="D86" s="1" t="s">
        <v>3004</v>
      </c>
      <c r="E86" s="1" t="s">
        <v>2833</v>
      </c>
      <c r="F86" s="1" t="s">
        <v>112</v>
      </c>
      <c r="G86" s="1">
        <v>20340</v>
      </c>
    </row>
    <row r="87" spans="1:9" x14ac:dyDescent="0.25">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3007</v>
      </c>
      <c r="D87" s="1" t="s">
        <v>3008</v>
      </c>
      <c r="E87" s="1" t="s">
        <v>2671</v>
      </c>
      <c r="F87" s="1" t="s">
        <v>112</v>
      </c>
      <c r="G87" s="1">
        <v>19230</v>
      </c>
    </row>
    <row r="88" spans="1:9" x14ac:dyDescent="0.25">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3009</v>
      </c>
      <c r="D88" s="1" t="s">
        <v>3010</v>
      </c>
      <c r="E88" s="1" t="s">
        <v>3011</v>
      </c>
      <c r="F88" s="1" t="s">
        <v>112</v>
      </c>
      <c r="G88" s="1">
        <v>22124</v>
      </c>
    </row>
    <row r="89" spans="1:9" x14ac:dyDescent="0.25">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3012</v>
      </c>
      <c r="D89" s="1" t="s">
        <v>3013</v>
      </c>
      <c r="E89" s="1" t="s">
        <v>3014</v>
      </c>
      <c r="F89" s="1" t="s">
        <v>112</v>
      </c>
      <c r="G89" s="1">
        <v>58996</v>
      </c>
    </row>
    <row r="90" spans="1:9" x14ac:dyDescent="0.25">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3015</v>
      </c>
      <c r="D90" s="1" t="s">
        <v>3016</v>
      </c>
      <c r="E90" s="1" t="s">
        <v>431</v>
      </c>
      <c r="F90" s="1" t="s">
        <v>112</v>
      </c>
      <c r="G90" s="1">
        <v>64087</v>
      </c>
    </row>
    <row r="91" spans="1:9" x14ac:dyDescent="0.25">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3017</v>
      </c>
      <c r="D91" s="1" t="s">
        <v>3018</v>
      </c>
      <c r="E91" s="1" t="s">
        <v>3019</v>
      </c>
      <c r="F91" s="1" t="s">
        <v>112</v>
      </c>
      <c r="G91" s="1">
        <v>52296</v>
      </c>
    </row>
    <row r="92" spans="1:9"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9"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236</v>
      </c>
      <c r="D93" s="1" t="s">
        <v>112</v>
      </c>
      <c r="E93" s="1" t="s">
        <v>237</v>
      </c>
      <c r="F93" s="1" t="s">
        <v>238</v>
      </c>
      <c r="G93" s="1" t="s">
        <v>239</v>
      </c>
      <c r="H93" s="1" t="s">
        <v>240</v>
      </c>
      <c r="I93" s="1" t="s">
        <v>241</v>
      </c>
    </row>
    <row r="94" spans="1:9" x14ac:dyDescent="0.25">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3020</v>
      </c>
      <c r="D94" s="1" t="s">
        <v>112</v>
      </c>
      <c r="E94" s="1" t="s">
        <v>3021</v>
      </c>
      <c r="F94" s="1" t="s">
        <v>3022</v>
      </c>
      <c r="G94" s="1" t="s">
        <v>3023</v>
      </c>
      <c r="H94" s="1" t="s">
        <v>3024</v>
      </c>
      <c r="I94" s="1">
        <v>24</v>
      </c>
    </row>
    <row r="95" spans="1:9"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9"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248</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3025</v>
      </c>
      <c r="D101" s="1" t="s">
        <v>3026</v>
      </c>
      <c r="E101" s="1" t="s">
        <v>3027</v>
      </c>
      <c r="F101" s="1" t="s">
        <v>112</v>
      </c>
      <c r="G101" s="1">
        <v>564597</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3028</v>
      </c>
      <c r="D102" s="1" t="s">
        <v>3029</v>
      </c>
      <c r="E102" s="1" t="s">
        <v>291</v>
      </c>
      <c r="F102" s="1" t="s">
        <v>112</v>
      </c>
      <c r="G102" s="1">
        <v>357327</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3030</v>
      </c>
      <c r="D103" s="1" t="s">
        <v>3031</v>
      </c>
      <c r="E103" s="1" t="s">
        <v>3032</v>
      </c>
      <c r="F103" s="1" t="s">
        <v>112</v>
      </c>
      <c r="G103" s="1">
        <v>477451</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3033</v>
      </c>
      <c r="D104" s="1" t="s">
        <v>3034</v>
      </c>
      <c r="E104" s="1" t="s">
        <v>3035</v>
      </c>
      <c r="F104" s="1" t="s">
        <v>112</v>
      </c>
      <c r="G104" s="1">
        <v>217385</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3036</v>
      </c>
      <c r="D105" s="1" t="s">
        <v>3037</v>
      </c>
      <c r="E105" s="1" t="s">
        <v>3038</v>
      </c>
      <c r="F105" s="1" t="s">
        <v>112</v>
      </c>
      <c r="G105" s="1">
        <v>247362</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3039</v>
      </c>
      <c r="D106" s="1" t="s">
        <v>3040</v>
      </c>
      <c r="E106" s="1" t="s">
        <v>3041</v>
      </c>
      <c r="F106" s="1" t="s">
        <v>112</v>
      </c>
      <c r="G106" s="1">
        <v>122321</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3042</v>
      </c>
      <c r="D107" s="1" t="s">
        <v>3043</v>
      </c>
      <c r="E107" s="1" t="s">
        <v>3044</v>
      </c>
      <c r="F107" s="1" t="s">
        <v>112</v>
      </c>
      <c r="G107" s="1">
        <v>1936824</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3045</v>
      </c>
      <c r="D108" s="1" t="s">
        <v>3046</v>
      </c>
      <c r="E108" s="1" t="s">
        <v>3047</v>
      </c>
      <c r="F108" s="1" t="s">
        <v>112</v>
      </c>
      <c r="G108" s="1">
        <v>1715849</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3048</v>
      </c>
      <c r="D109" s="1" t="s">
        <v>3049</v>
      </c>
      <c r="E109" s="1" t="s">
        <v>3050</v>
      </c>
      <c r="F109" s="1" t="s">
        <v>112</v>
      </c>
      <c r="G109" s="1">
        <v>1397331</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3051</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3052</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3053</v>
      </c>
    </row>
    <row r="113" spans="1:9"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3054</v>
      </c>
      <c r="D113" s="1" t="s">
        <v>2853</v>
      </c>
      <c r="E113" s="1" t="s">
        <v>3055</v>
      </c>
      <c r="F113" s="1" t="s">
        <v>112</v>
      </c>
      <c r="G113" s="1">
        <v>118123</v>
      </c>
    </row>
    <row r="114" spans="1:9"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3056</v>
      </c>
      <c r="D114" s="1" t="s">
        <v>3057</v>
      </c>
      <c r="E114" s="1" t="s">
        <v>3058</v>
      </c>
      <c r="F114" s="1" t="s">
        <v>112</v>
      </c>
      <c r="G114" s="1">
        <v>196763</v>
      </c>
    </row>
    <row r="115" spans="1:9"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3059</v>
      </c>
      <c r="D115" s="1" t="s">
        <v>3060</v>
      </c>
      <c r="E115" s="1" t="s">
        <v>3061</v>
      </c>
      <c r="F115" s="1" t="s">
        <v>112</v>
      </c>
      <c r="G115" s="1">
        <v>166025</v>
      </c>
    </row>
    <row r="116" spans="1:9"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3062</v>
      </c>
      <c r="D116" s="1" t="s">
        <v>3063</v>
      </c>
      <c r="E116" s="1" t="s">
        <v>3064</v>
      </c>
      <c r="F116" s="1" t="s">
        <v>112</v>
      </c>
      <c r="G116" s="1">
        <v>315190</v>
      </c>
    </row>
    <row r="117" spans="1:9"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3065</v>
      </c>
      <c r="D117" s="1" t="s">
        <v>3066</v>
      </c>
      <c r="E117" s="1" t="s">
        <v>3067</v>
      </c>
      <c r="F117" s="1" t="s">
        <v>112</v>
      </c>
      <c r="G117" s="1">
        <v>73702</v>
      </c>
    </row>
    <row r="118" spans="1:9"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3068</v>
      </c>
      <c r="D118" s="1" t="s">
        <v>3069</v>
      </c>
      <c r="E118" s="1" t="s">
        <v>3070</v>
      </c>
      <c r="F118" s="1" t="s">
        <v>112</v>
      </c>
      <c r="G118" s="1">
        <v>233592</v>
      </c>
    </row>
    <row r="119" spans="1:9"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3071</v>
      </c>
      <c r="D119" s="1" t="s">
        <v>3072</v>
      </c>
      <c r="E119" s="1" t="s">
        <v>3073</v>
      </c>
      <c r="F119" s="1" t="s">
        <v>112</v>
      </c>
      <c r="G119" s="1">
        <v>507385</v>
      </c>
    </row>
    <row r="120" spans="1:9"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3074</v>
      </c>
      <c r="D120" s="1" t="s">
        <v>3075</v>
      </c>
      <c r="E120" s="1" t="s">
        <v>3076</v>
      </c>
      <c r="F120" s="1" t="s">
        <v>112</v>
      </c>
      <c r="G120" s="1">
        <v>419543</v>
      </c>
    </row>
    <row r="121" spans="1:9"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3077</v>
      </c>
      <c r="D121" s="1" t="s">
        <v>3078</v>
      </c>
      <c r="E121" s="1" t="s">
        <v>3079</v>
      </c>
      <c r="F121" s="1" t="s">
        <v>112</v>
      </c>
      <c r="G121" s="1">
        <v>841653</v>
      </c>
    </row>
    <row r="122" spans="1:9"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3080</v>
      </c>
      <c r="D122" s="1" t="s">
        <v>3081</v>
      </c>
      <c r="E122" s="1" t="s">
        <v>3082</v>
      </c>
      <c r="F122" s="1" t="s">
        <v>112</v>
      </c>
      <c r="G122" s="1">
        <v>1646694</v>
      </c>
    </row>
    <row r="123" spans="1:9"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3083</v>
      </c>
      <c r="D123" s="1" t="s">
        <v>3084</v>
      </c>
      <c r="E123" s="1" t="s">
        <v>3085</v>
      </c>
      <c r="F123" s="1" t="s">
        <v>112</v>
      </c>
      <c r="G123" s="1">
        <v>1041766</v>
      </c>
    </row>
    <row r="124" spans="1:9"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3086</v>
      </c>
      <c r="D124" s="1" t="s">
        <v>3087</v>
      </c>
      <c r="E124" s="1" t="s">
        <v>3088</v>
      </c>
      <c r="F124" s="1" t="s">
        <v>112</v>
      </c>
      <c r="G124" s="1">
        <v>1120275</v>
      </c>
    </row>
    <row r="125" spans="1:9"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9"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236</v>
      </c>
      <c r="D126" s="1" t="s">
        <v>112</v>
      </c>
      <c r="E126" s="1" t="s">
        <v>237</v>
      </c>
      <c r="F126" s="1" t="s">
        <v>238</v>
      </c>
      <c r="G126" s="1" t="s">
        <v>239</v>
      </c>
      <c r="H126" s="1" t="s">
        <v>240</v>
      </c>
      <c r="I126" s="1" t="s">
        <v>241</v>
      </c>
    </row>
    <row r="127" spans="1:9"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3089</v>
      </c>
      <c r="D127" s="1" t="s">
        <v>112</v>
      </c>
      <c r="E127" s="1" t="s">
        <v>3090</v>
      </c>
      <c r="F127" s="1" t="s">
        <v>3091</v>
      </c>
      <c r="G127" s="1" t="s">
        <v>3092</v>
      </c>
      <c r="H127" s="1" t="s">
        <v>3093</v>
      </c>
      <c r="I127" s="1">
        <v>24</v>
      </c>
    </row>
    <row r="128" spans="1:9"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248</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3094</v>
      </c>
      <c r="D134" s="1" t="s">
        <v>3095</v>
      </c>
      <c r="E134" s="1" t="s">
        <v>3096</v>
      </c>
      <c r="F134" s="1" t="s">
        <v>112</v>
      </c>
      <c r="G134" s="1">
        <v>2237591</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3097</v>
      </c>
      <c r="D135" s="1" t="s">
        <v>3098</v>
      </c>
      <c r="E135" s="1" t="s">
        <v>3099</v>
      </c>
      <c r="F135" s="1" t="s">
        <v>112</v>
      </c>
      <c r="G135" s="1">
        <v>2250252</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3100</v>
      </c>
      <c r="D136" s="1" t="s">
        <v>3101</v>
      </c>
      <c r="E136" s="1" t="s">
        <v>3102</v>
      </c>
      <c r="F136" s="1" t="s">
        <v>112</v>
      </c>
      <c r="G136" s="1">
        <v>2123058</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3103</v>
      </c>
      <c r="D137" s="1" t="s">
        <v>3104</v>
      </c>
      <c r="E137" s="1" t="s">
        <v>3105</v>
      </c>
      <c r="F137" s="1" t="s">
        <v>112</v>
      </c>
      <c r="G137" s="1">
        <v>2174223</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3106</v>
      </c>
      <c r="D138" s="1" t="s">
        <v>3107</v>
      </c>
      <c r="E138" s="1" t="s">
        <v>3108</v>
      </c>
      <c r="F138" s="1" t="s">
        <v>112</v>
      </c>
      <c r="G138" s="1">
        <v>1841281</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3109</v>
      </c>
      <c r="D139" s="1" t="s">
        <v>3110</v>
      </c>
      <c r="E139" s="1" t="s">
        <v>3111</v>
      </c>
      <c r="F139" s="1" t="s">
        <v>112</v>
      </c>
      <c r="G139" s="1">
        <v>2034607</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3112</v>
      </c>
      <c r="D140" s="1" t="s">
        <v>3113</v>
      </c>
      <c r="E140" s="1" t="s">
        <v>3114</v>
      </c>
      <c r="F140" s="1" t="s">
        <v>112</v>
      </c>
      <c r="G140" s="1">
        <v>88124</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3115</v>
      </c>
      <c r="D141" s="1" t="s">
        <v>3116</v>
      </c>
      <c r="E141" s="1" t="s">
        <v>314</v>
      </c>
      <c r="F141" s="1" t="s">
        <v>112</v>
      </c>
      <c r="G141" s="1">
        <v>387282</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3117</v>
      </c>
      <c r="D142" s="1" t="s">
        <v>3118</v>
      </c>
      <c r="E142" s="1" t="s">
        <v>3119</v>
      </c>
      <c r="F142" s="1" t="s">
        <v>112</v>
      </c>
      <c r="G142" s="1">
        <v>94020</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3120</v>
      </c>
      <c r="D143" s="1" t="s">
        <v>3121</v>
      </c>
      <c r="E143" s="1" t="s">
        <v>3122</v>
      </c>
      <c r="F143" s="1" t="s">
        <v>112</v>
      </c>
      <c r="G143" s="1">
        <v>1240377</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3123</v>
      </c>
      <c r="D144" s="1" t="s">
        <v>3124</v>
      </c>
      <c r="E144" s="1" t="s">
        <v>3125</v>
      </c>
      <c r="F144" s="1" t="s">
        <v>112</v>
      </c>
      <c r="G144" s="1">
        <v>1271115</v>
      </c>
    </row>
    <row r="145" spans="1:9"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3126</v>
      </c>
      <c r="D145" s="1" t="s">
        <v>3127</v>
      </c>
      <c r="E145" s="1" t="s">
        <v>3128</v>
      </c>
      <c r="F145" s="1" t="s">
        <v>112</v>
      </c>
      <c r="G145" s="1">
        <v>1574820</v>
      </c>
    </row>
    <row r="146" spans="1:9"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3129</v>
      </c>
      <c r="D146" s="1" t="s">
        <v>3130</v>
      </c>
      <c r="E146" s="1" t="s">
        <v>3131</v>
      </c>
      <c r="F146" s="1" t="s">
        <v>112</v>
      </c>
      <c r="G146" s="1">
        <v>392808</v>
      </c>
    </row>
    <row r="147" spans="1:9"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3132</v>
      </c>
      <c r="D147" s="1" t="s">
        <v>3133</v>
      </c>
      <c r="E147" s="1" t="s">
        <v>3134</v>
      </c>
      <c r="F147" s="1" t="s">
        <v>112</v>
      </c>
      <c r="G147" s="1">
        <v>337553</v>
      </c>
    </row>
    <row r="148" spans="1:9"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3135</v>
      </c>
      <c r="D148" s="1" t="s">
        <v>3136</v>
      </c>
      <c r="E148" s="1" t="s">
        <v>3137</v>
      </c>
      <c r="F148" s="1" t="s">
        <v>112</v>
      </c>
      <c r="G148" s="1">
        <v>331527</v>
      </c>
    </row>
    <row r="149" spans="1:9"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3138</v>
      </c>
      <c r="D149" s="1" t="s">
        <v>3139</v>
      </c>
      <c r="E149" s="1" t="s">
        <v>3140</v>
      </c>
      <c r="F149" s="1" t="s">
        <v>112</v>
      </c>
      <c r="G149" s="1">
        <v>84557</v>
      </c>
    </row>
    <row r="150" spans="1:9"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3141</v>
      </c>
      <c r="D150" s="1" t="s">
        <v>3018</v>
      </c>
      <c r="E150" s="1" t="s">
        <v>3142</v>
      </c>
      <c r="F150" s="1" t="s">
        <v>112</v>
      </c>
      <c r="G150" s="1">
        <v>52144</v>
      </c>
    </row>
    <row r="151" spans="1:9"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3143</v>
      </c>
      <c r="D151" s="1" t="s">
        <v>2925</v>
      </c>
      <c r="E151" s="1" t="s">
        <v>3144</v>
      </c>
      <c r="F151" s="1" t="s">
        <v>112</v>
      </c>
      <c r="G151" s="1">
        <v>35154</v>
      </c>
    </row>
    <row r="152" spans="1:9"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3145</v>
      </c>
      <c r="D152" s="1" t="s">
        <v>3146</v>
      </c>
      <c r="E152" s="1" t="s">
        <v>3147</v>
      </c>
      <c r="F152" s="1" t="s">
        <v>112</v>
      </c>
      <c r="G152" s="1">
        <v>3568529</v>
      </c>
    </row>
    <row r="153" spans="1:9"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3148</v>
      </c>
      <c r="D153" s="1" t="s">
        <v>3149</v>
      </c>
      <c r="E153" s="1" t="s">
        <v>3150</v>
      </c>
      <c r="F153" s="1" t="s">
        <v>112</v>
      </c>
      <c r="G153" s="1">
        <v>3467483</v>
      </c>
    </row>
    <row r="154" spans="1:9"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3151</v>
      </c>
      <c r="D154" s="1" t="s">
        <v>3152</v>
      </c>
      <c r="E154" s="1" t="s">
        <v>3153</v>
      </c>
      <c r="F154" s="1" t="s">
        <v>112</v>
      </c>
      <c r="G154" s="1">
        <v>3410010</v>
      </c>
    </row>
    <row r="155" spans="1:9"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3154</v>
      </c>
      <c r="D155" s="1" t="s">
        <v>3155</v>
      </c>
      <c r="E155" s="1" t="s">
        <v>3156</v>
      </c>
      <c r="F155" s="1" t="s">
        <v>112</v>
      </c>
      <c r="G155" s="1">
        <v>1296241</v>
      </c>
    </row>
    <row r="156" spans="1:9"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3157</v>
      </c>
      <c r="D156" s="1" t="s">
        <v>3158</v>
      </c>
      <c r="E156" s="1" t="s">
        <v>3159</v>
      </c>
      <c r="F156" s="1" t="s">
        <v>112</v>
      </c>
      <c r="G156" s="1">
        <v>1086470</v>
      </c>
    </row>
    <row r="157" spans="1:9"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3160</v>
      </c>
      <c r="D157" s="1" t="s">
        <v>3161</v>
      </c>
      <c r="E157" s="1" t="s">
        <v>3162</v>
      </c>
      <c r="F157" s="1" t="s">
        <v>112</v>
      </c>
      <c r="G157" s="1">
        <v>1075484</v>
      </c>
    </row>
    <row r="158" spans="1:9"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9"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236</v>
      </c>
      <c r="D159" s="1" t="s">
        <v>112</v>
      </c>
      <c r="E159" s="1" t="s">
        <v>237</v>
      </c>
      <c r="F159" s="1" t="s">
        <v>238</v>
      </c>
      <c r="G159" s="1" t="s">
        <v>239</v>
      </c>
      <c r="H159" s="1" t="s">
        <v>240</v>
      </c>
      <c r="I159" s="1" t="s">
        <v>241</v>
      </c>
    </row>
    <row r="160" spans="1:9"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3163</v>
      </c>
      <c r="D160" s="1" t="s">
        <v>112</v>
      </c>
      <c r="E160" s="1" t="s">
        <v>3164</v>
      </c>
      <c r="F160" s="1" t="s">
        <v>3165</v>
      </c>
      <c r="G160" s="1" t="s">
        <v>3166</v>
      </c>
      <c r="H160" s="1" t="s">
        <v>3167</v>
      </c>
      <c r="I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248</v>
      </c>
      <c r="D166" s="1" t="s">
        <v>110</v>
      </c>
      <c r="E166" s="1" t="s">
        <v>111</v>
      </c>
      <c r="F166" s="1" t="s">
        <v>112</v>
      </c>
      <c r="G166" s="1" t="s">
        <v>113</v>
      </c>
    </row>
    <row r="167" spans="1:7" x14ac:dyDescent="0.25">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3168</v>
      </c>
      <c r="D167" s="1" t="s">
        <v>3169</v>
      </c>
      <c r="E167" s="1" t="s">
        <v>3170</v>
      </c>
      <c r="F167" s="1" t="s">
        <v>112</v>
      </c>
      <c r="G167" s="1">
        <v>3732052</v>
      </c>
    </row>
    <row r="168" spans="1:7" x14ac:dyDescent="0.25">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3171</v>
      </c>
      <c r="D168" s="1" t="s">
        <v>3172</v>
      </c>
      <c r="E168" s="1" t="s">
        <v>3173</v>
      </c>
      <c r="F168" s="1" t="s">
        <v>112</v>
      </c>
      <c r="G168" s="1">
        <v>3910085</v>
      </c>
    </row>
    <row r="169" spans="1:7" x14ac:dyDescent="0.25">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3174</v>
      </c>
      <c r="D169" s="1" t="s">
        <v>3175</v>
      </c>
      <c r="E169" s="1" t="s">
        <v>3176</v>
      </c>
      <c r="F169" s="1" t="s">
        <v>112</v>
      </c>
      <c r="G169" s="1">
        <v>3765901</v>
      </c>
    </row>
    <row r="170" spans="1:7" x14ac:dyDescent="0.25">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3177</v>
      </c>
      <c r="D170" s="1" t="s">
        <v>3178</v>
      </c>
      <c r="E170" s="1" t="s">
        <v>3179</v>
      </c>
      <c r="F170" s="1" t="s">
        <v>112</v>
      </c>
      <c r="G170" s="1">
        <v>4800901</v>
      </c>
    </row>
    <row r="171" spans="1:7" x14ac:dyDescent="0.25">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3180</v>
      </c>
    </row>
    <row r="172" spans="1:7" x14ac:dyDescent="0.25">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3181</v>
      </c>
      <c r="D172" s="1" t="s">
        <v>3182</v>
      </c>
      <c r="E172" s="1" t="s">
        <v>3183</v>
      </c>
      <c r="F172" s="1" t="s">
        <v>112</v>
      </c>
      <c r="G172" s="1">
        <v>4187054</v>
      </c>
    </row>
    <row r="173" spans="1:7" x14ac:dyDescent="0.25">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3184</v>
      </c>
      <c r="D173" s="1" t="s">
        <v>3185</v>
      </c>
      <c r="E173" s="1" t="s">
        <v>3186</v>
      </c>
      <c r="F173" s="1" t="s">
        <v>112</v>
      </c>
      <c r="G173" s="1">
        <v>2029582</v>
      </c>
    </row>
    <row r="174" spans="1:7" x14ac:dyDescent="0.25">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3187</v>
      </c>
      <c r="D174" s="1" t="s">
        <v>3188</v>
      </c>
      <c r="E174" s="1" t="s">
        <v>3189</v>
      </c>
      <c r="F174" s="1" t="s">
        <v>112</v>
      </c>
      <c r="G174" s="1">
        <v>2690330</v>
      </c>
    </row>
    <row r="175" spans="1:7" x14ac:dyDescent="0.25">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3190</v>
      </c>
      <c r="D175" s="1" t="s">
        <v>3191</v>
      </c>
      <c r="E175" s="1" t="s">
        <v>3192</v>
      </c>
      <c r="F175" s="1" t="s">
        <v>112</v>
      </c>
      <c r="G175" s="1">
        <v>2640297</v>
      </c>
    </row>
    <row r="176" spans="1:7" x14ac:dyDescent="0.25">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3193</v>
      </c>
      <c r="D176" s="1" t="s">
        <v>3194</v>
      </c>
      <c r="E176" s="1" t="s">
        <v>3195</v>
      </c>
      <c r="F176" s="1" t="s">
        <v>112</v>
      </c>
      <c r="G176" s="1">
        <v>2304876</v>
      </c>
    </row>
    <row r="177" spans="1:9" x14ac:dyDescent="0.25">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3196</v>
      </c>
      <c r="D177" s="1" t="s">
        <v>3197</v>
      </c>
      <c r="E177" s="1" t="s">
        <v>3198</v>
      </c>
      <c r="F177" s="1" t="s">
        <v>112</v>
      </c>
      <c r="G177" s="1">
        <v>2435964</v>
      </c>
    </row>
    <row r="178" spans="1:9" x14ac:dyDescent="0.25">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3199</v>
      </c>
      <c r="D178" s="1" t="s">
        <v>3200</v>
      </c>
      <c r="E178" s="1" t="s">
        <v>3201</v>
      </c>
      <c r="F178" s="1" t="s">
        <v>112</v>
      </c>
      <c r="G178" s="1">
        <v>2644060</v>
      </c>
    </row>
    <row r="179" spans="1:9" x14ac:dyDescent="0.25">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3202</v>
      </c>
      <c r="D179" s="1" t="s">
        <v>3203</v>
      </c>
      <c r="E179" s="1" t="s">
        <v>3204</v>
      </c>
      <c r="F179" s="1" t="s">
        <v>112</v>
      </c>
      <c r="G179" s="1">
        <v>2666619</v>
      </c>
    </row>
    <row r="180" spans="1:9" x14ac:dyDescent="0.25">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3205</v>
      </c>
      <c r="D180" s="1" t="s">
        <v>3206</v>
      </c>
      <c r="E180" s="1" t="s">
        <v>3207</v>
      </c>
      <c r="F180" s="1" t="s">
        <v>112</v>
      </c>
      <c r="G180" s="1">
        <v>2727051</v>
      </c>
    </row>
    <row r="181" spans="1:9" x14ac:dyDescent="0.25">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3208</v>
      </c>
      <c r="D181" s="1" t="s">
        <v>3209</v>
      </c>
      <c r="E181" s="1" t="s">
        <v>3210</v>
      </c>
      <c r="F181" s="1" t="s">
        <v>112</v>
      </c>
      <c r="G181" s="1">
        <v>2546386</v>
      </c>
    </row>
    <row r="182" spans="1:9" x14ac:dyDescent="0.25">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3211</v>
      </c>
      <c r="D182" s="1" t="s">
        <v>3212</v>
      </c>
      <c r="E182" s="1" t="s">
        <v>3213</v>
      </c>
      <c r="F182" s="1" t="s">
        <v>112</v>
      </c>
      <c r="G182" s="1">
        <v>2306268</v>
      </c>
    </row>
    <row r="183" spans="1:9" x14ac:dyDescent="0.25">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3214</v>
      </c>
      <c r="D183" s="1" t="s">
        <v>3215</v>
      </c>
      <c r="E183" s="1" t="s">
        <v>3216</v>
      </c>
      <c r="F183" s="1" t="s">
        <v>112</v>
      </c>
      <c r="G183" s="1">
        <v>2863556</v>
      </c>
    </row>
    <row r="184" spans="1:9" x14ac:dyDescent="0.25">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3217</v>
      </c>
      <c r="D184" s="1" t="s">
        <v>3218</v>
      </c>
      <c r="E184" s="1" t="s">
        <v>3219</v>
      </c>
      <c r="F184" s="1" t="s">
        <v>112</v>
      </c>
      <c r="G184" s="1">
        <v>3105544</v>
      </c>
    </row>
    <row r="185" spans="1:9" x14ac:dyDescent="0.25">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3220</v>
      </c>
      <c r="D185" s="1" t="s">
        <v>3221</v>
      </c>
      <c r="E185" s="1" t="s">
        <v>3222</v>
      </c>
      <c r="F185" s="1" t="s">
        <v>112</v>
      </c>
      <c r="G185" s="1">
        <v>4498002</v>
      </c>
    </row>
    <row r="186" spans="1:9" x14ac:dyDescent="0.25">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3223</v>
      </c>
      <c r="D186" s="1" t="s">
        <v>3224</v>
      </c>
      <c r="E186" s="1" t="s">
        <v>3225</v>
      </c>
      <c r="F186" s="1" t="s">
        <v>112</v>
      </c>
      <c r="G186" s="1">
        <v>4435612</v>
      </c>
    </row>
    <row r="187" spans="1:9" x14ac:dyDescent="0.25">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3226</v>
      </c>
      <c r="D187" s="1" t="s">
        <v>3227</v>
      </c>
      <c r="E187" s="1" t="s">
        <v>3228</v>
      </c>
      <c r="F187" s="1" t="s">
        <v>112</v>
      </c>
      <c r="G187" s="1">
        <v>4415403</v>
      </c>
    </row>
    <row r="188" spans="1:9" x14ac:dyDescent="0.25">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3229</v>
      </c>
      <c r="D188" s="1" t="s">
        <v>3230</v>
      </c>
      <c r="E188" s="1" t="s">
        <v>3231</v>
      </c>
      <c r="F188" s="1" t="s">
        <v>112</v>
      </c>
      <c r="G188" s="1">
        <v>2451735</v>
      </c>
    </row>
    <row r="189" spans="1:9" x14ac:dyDescent="0.25">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3232</v>
      </c>
      <c r="D189" s="1" t="s">
        <v>3233</v>
      </c>
      <c r="E189" s="1" t="s">
        <v>3234</v>
      </c>
      <c r="F189" s="1" t="s">
        <v>112</v>
      </c>
      <c r="G189" s="1">
        <v>3195735</v>
      </c>
    </row>
    <row r="190" spans="1:9" x14ac:dyDescent="0.25">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3235</v>
      </c>
      <c r="D190" s="1" t="s">
        <v>3236</v>
      </c>
      <c r="E190" s="1" t="s">
        <v>3237</v>
      </c>
      <c r="F190" s="1" t="s">
        <v>112</v>
      </c>
      <c r="G190" s="1">
        <v>3788764</v>
      </c>
    </row>
    <row r="191" spans="1:9"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9"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236</v>
      </c>
      <c r="D192" s="1" t="s">
        <v>112</v>
      </c>
      <c r="E192" s="1" t="s">
        <v>237</v>
      </c>
      <c r="F192" s="1" t="s">
        <v>238</v>
      </c>
      <c r="G192" s="1" t="s">
        <v>239</v>
      </c>
      <c r="H192" s="1" t="s">
        <v>240</v>
      </c>
      <c r="I192" s="1" t="s">
        <v>241</v>
      </c>
    </row>
    <row r="193" spans="1:9" x14ac:dyDescent="0.25">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3238</v>
      </c>
      <c r="D193" s="1" t="s">
        <v>112</v>
      </c>
      <c r="E193" s="1" t="s">
        <v>3239</v>
      </c>
      <c r="F193" s="1" t="s">
        <v>3240</v>
      </c>
      <c r="G193" s="1" t="s">
        <v>3241</v>
      </c>
      <c r="H193" s="1" t="s">
        <v>3242</v>
      </c>
      <c r="I193" s="1">
        <v>24</v>
      </c>
    </row>
    <row r="194" spans="1:9"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9"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9"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9"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9"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9"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248</v>
      </c>
      <c r="D199" s="1" t="s">
        <v>110</v>
      </c>
      <c r="E199" s="1" t="s">
        <v>111</v>
      </c>
      <c r="F199" s="1" t="s">
        <v>112</v>
      </c>
      <c r="G199" s="1" t="s">
        <v>113</v>
      </c>
    </row>
    <row r="200" spans="1:9"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3243</v>
      </c>
      <c r="D200" s="1" t="s">
        <v>3244</v>
      </c>
      <c r="E200" s="1" t="s">
        <v>3245</v>
      </c>
      <c r="F200" s="1" t="s">
        <v>112</v>
      </c>
      <c r="G200" s="1">
        <v>6844232</v>
      </c>
    </row>
    <row r="201" spans="1:9"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3246</v>
      </c>
      <c r="D201" s="1" t="s">
        <v>3247</v>
      </c>
      <c r="E201" s="1" t="s">
        <v>3248</v>
      </c>
      <c r="F201" s="1" t="s">
        <v>112</v>
      </c>
      <c r="G201" s="1">
        <v>7197861</v>
      </c>
    </row>
    <row r="202" spans="1:9"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3249</v>
      </c>
      <c r="D202" s="1" t="s">
        <v>3250</v>
      </c>
      <c r="E202" s="1" t="s">
        <v>3251</v>
      </c>
      <c r="F202" s="1" t="s">
        <v>112</v>
      </c>
      <c r="G202" s="1">
        <v>6789695</v>
      </c>
    </row>
    <row r="203" spans="1:9"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3252</v>
      </c>
      <c r="D203" s="1" t="s">
        <v>3253</v>
      </c>
      <c r="E203" s="1" t="s">
        <v>3254</v>
      </c>
      <c r="F203" s="1" t="s">
        <v>112</v>
      </c>
      <c r="G203" s="1">
        <v>7660172</v>
      </c>
    </row>
    <row r="204" spans="1:9"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3255</v>
      </c>
      <c r="D204" s="1" t="s">
        <v>3256</v>
      </c>
      <c r="E204" s="1" t="s">
        <v>3257</v>
      </c>
      <c r="F204" s="1" t="s">
        <v>112</v>
      </c>
      <c r="G204" s="1">
        <v>7815863</v>
      </c>
    </row>
    <row r="205" spans="1:9"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3258</v>
      </c>
      <c r="D205" s="1" t="s">
        <v>3259</v>
      </c>
      <c r="E205" s="1" t="s">
        <v>3260</v>
      </c>
      <c r="F205" s="1" t="s">
        <v>112</v>
      </c>
      <c r="G205" s="1">
        <v>8039775</v>
      </c>
    </row>
    <row r="206" spans="1:9"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3261</v>
      </c>
      <c r="D206" s="1" t="s">
        <v>3262</v>
      </c>
      <c r="E206" s="1" t="s">
        <v>3263</v>
      </c>
      <c r="F206" s="1" t="s">
        <v>112</v>
      </c>
      <c r="G206" s="1">
        <v>5259405</v>
      </c>
    </row>
    <row r="207" spans="1:9"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3264</v>
      </c>
      <c r="D207" s="1" t="s">
        <v>3265</v>
      </c>
      <c r="E207" s="1" t="s">
        <v>3266</v>
      </c>
      <c r="F207" s="1" t="s">
        <v>112</v>
      </c>
      <c r="G207" s="1">
        <v>5372699</v>
      </c>
    </row>
    <row r="208" spans="1:9"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3267</v>
      </c>
      <c r="D208" s="1" t="s">
        <v>3268</v>
      </c>
      <c r="E208" s="1" t="s">
        <v>3269</v>
      </c>
      <c r="F208" s="1" t="s">
        <v>112</v>
      </c>
      <c r="G208" s="1">
        <v>5347747</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3270</v>
      </c>
      <c r="D209" s="1" t="s">
        <v>3271</v>
      </c>
      <c r="E209" s="1" t="s">
        <v>3272</v>
      </c>
      <c r="F209" s="1" t="s">
        <v>112</v>
      </c>
      <c r="G209" s="1">
        <v>6487514</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3273</v>
      </c>
      <c r="D210" s="1" t="s">
        <v>3274</v>
      </c>
      <c r="E210" s="1" t="s">
        <v>3275</v>
      </c>
      <c r="F210" s="1" t="s">
        <v>112</v>
      </c>
      <c r="G210" s="1">
        <v>6116308</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3276</v>
      </c>
      <c r="D211" s="1" t="s">
        <v>3277</v>
      </c>
      <c r="E211" s="1" t="s">
        <v>3278</v>
      </c>
      <c r="F211" s="1" t="s">
        <v>112</v>
      </c>
      <c r="G211" s="1">
        <v>5945693</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3279</v>
      </c>
      <c r="D212" s="1" t="s">
        <v>3280</v>
      </c>
      <c r="E212" s="1" t="s">
        <v>3281</v>
      </c>
      <c r="F212" s="1" t="s">
        <v>112</v>
      </c>
      <c r="G212" s="1">
        <v>5137867</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3282</v>
      </c>
      <c r="D213" s="1" t="s">
        <v>3283</v>
      </c>
      <c r="E213" s="1" t="s">
        <v>3284</v>
      </c>
      <c r="F213" s="1" t="s">
        <v>112</v>
      </c>
      <c r="G213" s="1">
        <v>5241132</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3285</v>
      </c>
      <c r="D214" s="1" t="s">
        <v>3286</v>
      </c>
      <c r="E214" s="1" t="s">
        <v>3287</v>
      </c>
      <c r="F214" s="1" t="s">
        <v>112</v>
      </c>
      <c r="G214" s="1">
        <v>5225034</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3288</v>
      </c>
      <c r="D215" s="1" t="s">
        <v>3289</v>
      </c>
      <c r="E215" s="1" t="s">
        <v>3290</v>
      </c>
      <c r="F215" s="1" t="s">
        <v>112</v>
      </c>
      <c r="G215" s="1">
        <v>8434975</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3291</v>
      </c>
      <c r="D216" s="1" t="s">
        <v>3292</v>
      </c>
      <c r="E216" s="1" t="s">
        <v>3293</v>
      </c>
      <c r="F216" s="1" t="s">
        <v>112</v>
      </c>
      <c r="G216" s="1">
        <v>8346285</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3294</v>
      </c>
      <c r="D217" s="1" t="s">
        <v>3295</v>
      </c>
      <c r="E217" s="1" t="s">
        <v>3296</v>
      </c>
      <c r="F217" s="1" t="s">
        <v>112</v>
      </c>
      <c r="G217" s="1">
        <v>8472109</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3297</v>
      </c>
      <c r="D218" s="1" t="s">
        <v>3298</v>
      </c>
      <c r="E218" s="1" t="s">
        <v>3299</v>
      </c>
      <c r="F218" s="1" t="s">
        <v>112</v>
      </c>
      <c r="G218" s="1">
        <v>5746863</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3300</v>
      </c>
      <c r="D219" s="1" t="s">
        <v>3301</v>
      </c>
      <c r="E219" s="1" t="s">
        <v>3302</v>
      </c>
      <c r="F219" s="1" t="s">
        <v>112</v>
      </c>
      <c r="G219" s="1">
        <v>5910974</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3303</v>
      </c>
      <c r="D220" s="1" t="s">
        <v>3304</v>
      </c>
      <c r="E220" s="1" t="s">
        <v>3305</v>
      </c>
      <c r="F220" s="1" t="s">
        <v>112</v>
      </c>
      <c r="G220" s="1">
        <v>6175565</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3306</v>
      </c>
      <c r="D221" s="1" t="s">
        <v>3307</v>
      </c>
      <c r="E221" s="1" t="s">
        <v>3308</v>
      </c>
      <c r="F221" s="1" t="s">
        <v>112</v>
      </c>
      <c r="G221" s="1">
        <v>9547092</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3309</v>
      </c>
      <c r="D222" s="1" t="s">
        <v>3310</v>
      </c>
      <c r="E222" s="1" t="s">
        <v>3311</v>
      </c>
      <c r="F222" s="1" t="s">
        <v>112</v>
      </c>
      <c r="G222" s="1">
        <v>8980342</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3312</v>
      </c>
      <c r="D223" s="1" t="s">
        <v>3313</v>
      </c>
      <c r="E223" s="1" t="s">
        <v>3314</v>
      </c>
      <c r="F223" s="1" t="s">
        <v>112</v>
      </c>
      <c r="G223" s="1">
        <v>9397709</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9"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236</v>
      </c>
      <c r="D225" s="1" t="s">
        <v>112</v>
      </c>
      <c r="E225" s="1" t="s">
        <v>237</v>
      </c>
      <c r="F225" s="1" t="s">
        <v>238</v>
      </c>
      <c r="G225" s="1" t="s">
        <v>239</v>
      </c>
      <c r="H225" s="1" t="s">
        <v>240</v>
      </c>
      <c r="I225" s="1" t="s">
        <v>241</v>
      </c>
    </row>
    <row r="226" spans="1:9"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3315</v>
      </c>
      <c r="D226" s="1" t="s">
        <v>112</v>
      </c>
      <c r="E226" s="1" t="s">
        <v>3316</v>
      </c>
      <c r="F226" s="1" t="s">
        <v>3317</v>
      </c>
      <c r="G226" s="1" t="s">
        <v>3318</v>
      </c>
      <c r="H226" s="1" t="s">
        <v>3319</v>
      </c>
      <c r="I226" s="1">
        <v>24</v>
      </c>
    </row>
    <row r="227" spans="1:9"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9"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9"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9"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9"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9"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248</v>
      </c>
      <c r="D232" s="1" t="s">
        <v>110</v>
      </c>
      <c r="E232" s="1" t="s">
        <v>111</v>
      </c>
      <c r="F232" s="1" t="s">
        <v>112</v>
      </c>
      <c r="G232" s="1" t="s">
        <v>113</v>
      </c>
    </row>
    <row r="233" spans="1:9" x14ac:dyDescent="0.25">
      <c r="A233" s="1" t="str">
        <f t="shared" si="3"/>
        <v>08 Fadrozole 5.4</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3320</v>
      </c>
      <c r="D233" s="1" t="s">
        <v>3321</v>
      </c>
      <c r="E233" s="1" t="s">
        <v>3322</v>
      </c>
      <c r="F233" s="1" t="s">
        <v>112</v>
      </c>
      <c r="G233" s="1">
        <v>274902</v>
      </c>
    </row>
    <row r="234" spans="1:9" x14ac:dyDescent="0.25">
      <c r="A234" s="1" t="str">
        <f t="shared" si="3"/>
        <v>08 Fadrozole 5.4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3323</v>
      </c>
      <c r="D234" s="1" t="s">
        <v>3324</v>
      </c>
      <c r="E234" s="1" t="s">
        <v>3325</v>
      </c>
      <c r="F234" s="1" t="s">
        <v>112</v>
      </c>
      <c r="G234" s="1">
        <v>130762</v>
      </c>
    </row>
    <row r="235" spans="1:9" x14ac:dyDescent="0.25">
      <c r="A235" s="1" t="str">
        <f t="shared" si="3"/>
        <v>08 Fadrozole 5.4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3326</v>
      </c>
      <c r="D235" s="1" t="s">
        <v>3327</v>
      </c>
      <c r="E235" s="1" t="s">
        <v>3328</v>
      </c>
      <c r="F235" s="1" t="s">
        <v>112</v>
      </c>
      <c r="G235" s="1">
        <v>244621</v>
      </c>
    </row>
    <row r="236" spans="1:9" x14ac:dyDescent="0.25">
      <c r="A236" s="1" t="str">
        <f t="shared" si="3"/>
        <v>08 Fadrozole 5.4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3329</v>
      </c>
      <c r="D236" s="1" t="s">
        <v>3330</v>
      </c>
      <c r="E236" s="1" t="s">
        <v>3331</v>
      </c>
      <c r="F236" s="1" t="s">
        <v>112</v>
      </c>
      <c r="G236" s="1">
        <v>315451</v>
      </c>
    </row>
    <row r="237" spans="1:9" x14ac:dyDescent="0.25">
      <c r="A237" s="1" t="str">
        <f t="shared" si="3"/>
        <v>08 Fadrozole 5.4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3332</v>
      </c>
      <c r="D237" s="1" t="s">
        <v>2920</v>
      </c>
      <c r="E237" s="1" t="s">
        <v>3333</v>
      </c>
      <c r="F237" s="1" t="s">
        <v>112</v>
      </c>
      <c r="G237" s="1">
        <v>111988</v>
      </c>
    </row>
    <row r="238" spans="1:9" x14ac:dyDescent="0.25">
      <c r="A238" s="1" t="str">
        <f t="shared" si="3"/>
        <v>08 Fadrozole 5.4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3334</v>
      </c>
      <c r="D238" s="1" t="s">
        <v>2900</v>
      </c>
      <c r="E238" s="1" t="s">
        <v>3335</v>
      </c>
      <c r="F238" s="1" t="s">
        <v>112</v>
      </c>
      <c r="G238" s="1">
        <v>263090</v>
      </c>
    </row>
    <row r="239" spans="1:9" x14ac:dyDescent="0.25">
      <c r="A239" s="1" t="str">
        <f t="shared" si="3"/>
        <v>08 Fadrozole 5.4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3336</v>
      </c>
      <c r="D239" s="1" t="s">
        <v>3337</v>
      </c>
      <c r="E239" s="1" t="s">
        <v>3338</v>
      </c>
      <c r="F239" s="1" t="s">
        <v>112</v>
      </c>
      <c r="G239" s="1">
        <v>535838</v>
      </c>
    </row>
    <row r="240" spans="1:9" x14ac:dyDescent="0.25">
      <c r="A240" s="1" t="str">
        <f t="shared" si="3"/>
        <v>08 Fadrozole 5.4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3339</v>
      </c>
      <c r="D240" s="1" t="s">
        <v>3340</v>
      </c>
      <c r="E240" s="1" t="s">
        <v>3341</v>
      </c>
      <c r="F240" s="1" t="s">
        <v>112</v>
      </c>
      <c r="G240" s="1">
        <v>758923</v>
      </c>
    </row>
    <row r="241" spans="1:7" x14ac:dyDescent="0.25">
      <c r="A241" s="1" t="str">
        <f t="shared" si="3"/>
        <v>08 Fadrozole 5.4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3342</v>
      </c>
      <c r="D241" s="1" t="s">
        <v>3343</v>
      </c>
      <c r="E241" s="1" t="s">
        <v>3344</v>
      </c>
      <c r="F241" s="1" t="s">
        <v>112</v>
      </c>
      <c r="G241" s="1">
        <v>889772</v>
      </c>
    </row>
    <row r="242" spans="1:7" x14ac:dyDescent="0.25">
      <c r="A242" s="1" t="str">
        <f t="shared" si="3"/>
        <v>08 Fadrozole 5.4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3345</v>
      </c>
      <c r="D242" s="1" t="s">
        <v>3346</v>
      </c>
      <c r="E242" s="1" t="s">
        <v>3347</v>
      </c>
      <c r="F242" s="1" t="s">
        <v>112</v>
      </c>
      <c r="G242" s="1">
        <v>1371574</v>
      </c>
    </row>
    <row r="243" spans="1:7" x14ac:dyDescent="0.25">
      <c r="A243" s="1" t="str">
        <f t="shared" si="3"/>
        <v>08 Fadrozole 5.4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3348</v>
      </c>
      <c r="D243" s="1" t="s">
        <v>3349</v>
      </c>
      <c r="E243" s="1" t="s">
        <v>3350</v>
      </c>
      <c r="F243" s="1" t="s">
        <v>112</v>
      </c>
      <c r="G243" s="1">
        <v>1411188</v>
      </c>
    </row>
    <row r="244" spans="1:7" x14ac:dyDescent="0.25">
      <c r="A244" s="1" t="str">
        <f t="shared" si="3"/>
        <v>08 Fadrozole 5.4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3351</v>
      </c>
      <c r="D244" s="1" t="s">
        <v>3352</v>
      </c>
      <c r="E244" s="1" t="s">
        <v>3353</v>
      </c>
      <c r="F244" s="1" t="s">
        <v>112</v>
      </c>
      <c r="G244" s="1">
        <v>1476058</v>
      </c>
    </row>
    <row r="245" spans="1:7" x14ac:dyDescent="0.25">
      <c r="A245" s="1" t="str">
        <f t="shared" si="3"/>
        <v>08 Fadrozole 5.4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3354</v>
      </c>
      <c r="D245" s="1" t="s">
        <v>3355</v>
      </c>
      <c r="E245" s="1" t="s">
        <v>3356</v>
      </c>
      <c r="F245" s="1" t="s">
        <v>112</v>
      </c>
      <c r="G245" s="1">
        <v>48554</v>
      </c>
    </row>
    <row r="246" spans="1:7" x14ac:dyDescent="0.25">
      <c r="A246" s="1" t="str">
        <f t="shared" si="3"/>
        <v>08 Fadrozole 5.4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3357</v>
      </c>
      <c r="D246" s="1" t="s">
        <v>3139</v>
      </c>
      <c r="E246" s="1" t="s">
        <v>3358</v>
      </c>
      <c r="F246" s="1" t="s">
        <v>112</v>
      </c>
      <c r="G246" s="1">
        <v>86449</v>
      </c>
    </row>
    <row r="247" spans="1:7" x14ac:dyDescent="0.25">
      <c r="A247" s="1" t="str">
        <f t="shared" si="3"/>
        <v>08 Fadrozole 5.4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3359</v>
      </c>
      <c r="D247" s="1" t="s">
        <v>3360</v>
      </c>
      <c r="E247" s="1" t="s">
        <v>3361</v>
      </c>
      <c r="F247" s="1" t="s">
        <v>112</v>
      </c>
      <c r="G247" s="1">
        <v>29694</v>
      </c>
    </row>
    <row r="248" spans="1:7" x14ac:dyDescent="0.25">
      <c r="A248" s="1" t="str">
        <f t="shared" si="3"/>
        <v>08 Fadrozole 5.4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3362</v>
      </c>
      <c r="D248" s="1" t="s">
        <v>3363</v>
      </c>
      <c r="E248" s="1" t="s">
        <v>3364</v>
      </c>
      <c r="F248" s="1" t="s">
        <v>112</v>
      </c>
      <c r="G248" s="1">
        <v>331440</v>
      </c>
    </row>
    <row r="249" spans="1:7" x14ac:dyDescent="0.25">
      <c r="A249" s="1" t="str">
        <f t="shared" si="3"/>
        <v>08 Fadrozole 5.4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3365</v>
      </c>
      <c r="D249" s="1" t="s">
        <v>3366</v>
      </c>
      <c r="E249" s="1" t="s">
        <v>3367</v>
      </c>
      <c r="F249" s="1" t="s">
        <v>112</v>
      </c>
      <c r="G249" s="1">
        <v>79271</v>
      </c>
    </row>
    <row r="250" spans="1:7" x14ac:dyDescent="0.25">
      <c r="A250" s="1" t="str">
        <f t="shared" si="3"/>
        <v>08 Fadrozole 5.4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3368</v>
      </c>
      <c r="D250" s="1" t="s">
        <v>3369</v>
      </c>
      <c r="E250" s="1" t="s">
        <v>3370</v>
      </c>
      <c r="F250" s="1" t="s">
        <v>112</v>
      </c>
      <c r="G250" s="1">
        <v>342252</v>
      </c>
    </row>
    <row r="251" spans="1:7" x14ac:dyDescent="0.25">
      <c r="A251" s="1" t="str">
        <f t="shared" si="3"/>
        <v>08 Fadrozole 5.4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3371</v>
      </c>
      <c r="D251" s="1" t="s">
        <v>2925</v>
      </c>
      <c r="E251" s="1" t="s">
        <v>3372</v>
      </c>
      <c r="F251" s="1" t="s">
        <v>112</v>
      </c>
      <c r="G251" s="1">
        <v>36024</v>
      </c>
    </row>
    <row r="252" spans="1:7" x14ac:dyDescent="0.25">
      <c r="A252" s="1" t="str">
        <f t="shared" si="3"/>
        <v>08 Fadrozole 5.4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3373</v>
      </c>
      <c r="D252" s="1" t="s">
        <v>2846</v>
      </c>
      <c r="E252" s="1" t="s">
        <v>2828</v>
      </c>
      <c r="F252" s="1" t="s">
        <v>112</v>
      </c>
      <c r="G252" s="1">
        <v>67002</v>
      </c>
    </row>
    <row r="253" spans="1:7" x14ac:dyDescent="0.25">
      <c r="A253" s="1" t="str">
        <f t="shared" si="3"/>
        <v>08 Fadrozole 5.4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3374</v>
      </c>
      <c r="D253" s="1" t="s">
        <v>3004</v>
      </c>
      <c r="E253" s="1" t="s">
        <v>226</v>
      </c>
      <c r="F253" s="1" t="s">
        <v>112</v>
      </c>
      <c r="G253" s="1">
        <v>20536</v>
      </c>
    </row>
    <row r="254" spans="1:7" x14ac:dyDescent="0.25">
      <c r="A254" s="1" t="str">
        <f t="shared" si="3"/>
        <v>08 Fadrozole 5.4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3375</v>
      </c>
      <c r="D254" s="1" t="s">
        <v>2947</v>
      </c>
      <c r="E254" s="1" t="s">
        <v>2825</v>
      </c>
      <c r="F254" s="1" t="s">
        <v>112</v>
      </c>
      <c r="G254" s="1">
        <v>23146</v>
      </c>
    </row>
    <row r="255" spans="1:7" x14ac:dyDescent="0.25">
      <c r="A255" s="1" t="str">
        <f t="shared" si="3"/>
        <v>08 Fadrozole 5.4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3376</v>
      </c>
      <c r="D255" s="1" t="s">
        <v>2923</v>
      </c>
      <c r="E255" s="1" t="s">
        <v>3377</v>
      </c>
      <c r="F255" s="1" t="s">
        <v>112</v>
      </c>
      <c r="G255" s="1">
        <v>14988</v>
      </c>
    </row>
    <row r="256" spans="1:7" x14ac:dyDescent="0.25">
      <c r="A256" s="1" t="str">
        <f t="shared" si="3"/>
        <v>08 Fadrozole 5.4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3378</v>
      </c>
      <c r="D256" s="1" t="s">
        <v>3004</v>
      </c>
      <c r="E256" s="1" t="s">
        <v>3379</v>
      </c>
      <c r="F256" s="1" t="s">
        <v>112</v>
      </c>
      <c r="G256" s="1">
        <v>20362</v>
      </c>
    </row>
    <row r="257" spans="1:9"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9"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236</v>
      </c>
      <c r="D258" s="1" t="s">
        <v>112</v>
      </c>
      <c r="E258" s="1" t="s">
        <v>237</v>
      </c>
      <c r="F258" s="1" t="s">
        <v>238</v>
      </c>
      <c r="G258" s="1" t="s">
        <v>239</v>
      </c>
      <c r="H258" s="1" t="s">
        <v>240</v>
      </c>
      <c r="I258" s="1" t="s">
        <v>241</v>
      </c>
    </row>
    <row r="259" spans="1:9" x14ac:dyDescent="0.25">
      <c r="A259" s="1" t="str">
        <f t="shared" si="4"/>
        <v>08 Fadrozole 5.4</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3380</v>
      </c>
      <c r="D259" s="1" t="s">
        <v>112</v>
      </c>
      <c r="E259" s="1" t="s">
        <v>3381</v>
      </c>
      <c r="F259" s="1" t="s">
        <v>3382</v>
      </c>
      <c r="G259" s="1" t="s">
        <v>3383</v>
      </c>
      <c r="H259" s="1" t="s">
        <v>3384</v>
      </c>
      <c r="I259" s="1">
        <v>24</v>
      </c>
    </row>
    <row r="260" spans="1:9"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9"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9"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9"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9"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9"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248</v>
      </c>
      <c r="D265" s="1" t="s">
        <v>110</v>
      </c>
      <c r="E265" s="1" t="s">
        <v>111</v>
      </c>
      <c r="F265" s="1" t="s">
        <v>112</v>
      </c>
      <c r="G265" s="1" t="s">
        <v>113</v>
      </c>
    </row>
    <row r="266" spans="1:9" x14ac:dyDescent="0.25">
      <c r="A266" s="1" t="str">
        <f t="shared" si="4"/>
        <v>09  Fadrozole 11</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3385</v>
      </c>
    </row>
    <row r="267" spans="1:9" x14ac:dyDescent="0.25">
      <c r="A267" s="1" t="str">
        <f t="shared" si="4"/>
        <v>09  Fadrozole 11</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3386</v>
      </c>
    </row>
    <row r="268" spans="1:9" x14ac:dyDescent="0.25">
      <c r="A268" s="1" t="str">
        <f t="shared" si="4"/>
        <v>09  Fadrozole 11</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3387</v>
      </c>
    </row>
    <row r="269" spans="1:9" x14ac:dyDescent="0.25">
      <c r="A269" s="1" t="str">
        <f t="shared" si="4"/>
        <v>09  Fadrozole 11</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3388</v>
      </c>
      <c r="D269" s="1" t="s">
        <v>2995</v>
      </c>
      <c r="E269" s="1" t="s">
        <v>3389</v>
      </c>
      <c r="F269" s="1" t="s">
        <v>112</v>
      </c>
      <c r="G269" s="1">
        <v>40397</v>
      </c>
    </row>
    <row r="270" spans="1:9" x14ac:dyDescent="0.25">
      <c r="A270" s="1" t="str">
        <f t="shared" si="4"/>
        <v>09  Fadrozole 11</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3390</v>
      </c>
      <c r="D270" s="1" t="s">
        <v>3391</v>
      </c>
      <c r="E270" s="1" t="s">
        <v>3392</v>
      </c>
      <c r="F270" s="1" t="s">
        <v>112</v>
      </c>
      <c r="G270" s="1">
        <v>70308</v>
      </c>
    </row>
    <row r="271" spans="1:9" x14ac:dyDescent="0.25">
      <c r="A271" s="1" t="str">
        <f t="shared" si="4"/>
        <v>09  Fadrozole 11</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3393</v>
      </c>
      <c r="D271" s="1" t="s">
        <v>2925</v>
      </c>
      <c r="E271" s="1" t="s">
        <v>3394</v>
      </c>
      <c r="F271" s="1" t="s">
        <v>112</v>
      </c>
      <c r="G271" s="1">
        <v>36046</v>
      </c>
    </row>
    <row r="272" spans="1:9" x14ac:dyDescent="0.25">
      <c r="A272" s="1" t="str">
        <f t="shared" si="4"/>
        <v>09  Fadrozole 11</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3395</v>
      </c>
      <c r="D272" s="1" t="s">
        <v>2969</v>
      </c>
      <c r="E272" s="1" t="s">
        <v>3396</v>
      </c>
      <c r="F272" s="1" t="s">
        <v>112</v>
      </c>
      <c r="G272" s="1">
        <v>41093</v>
      </c>
    </row>
    <row r="273" spans="1:7" x14ac:dyDescent="0.25">
      <c r="A273" s="1" t="str">
        <f t="shared" si="4"/>
        <v>09  Fadrozole 11</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3397</v>
      </c>
      <c r="D273" s="1" t="s">
        <v>3355</v>
      </c>
      <c r="E273" s="1" t="s">
        <v>3398</v>
      </c>
      <c r="F273" s="1" t="s">
        <v>112</v>
      </c>
      <c r="G273" s="1">
        <v>48489</v>
      </c>
    </row>
    <row r="274" spans="1:7" x14ac:dyDescent="0.25">
      <c r="A274" s="1" t="str">
        <f t="shared" si="4"/>
        <v>09  Fadrozole 11</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3399</v>
      </c>
      <c r="D274" s="1" t="s">
        <v>2947</v>
      </c>
      <c r="E274" s="1" t="s">
        <v>3400</v>
      </c>
      <c r="F274" s="1" t="s">
        <v>112</v>
      </c>
      <c r="G274" s="1">
        <v>23015</v>
      </c>
    </row>
    <row r="275" spans="1:7" x14ac:dyDescent="0.25">
      <c r="A275" s="1" t="str">
        <f t="shared" si="4"/>
        <v>09  Fadrozole 11</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3401</v>
      </c>
      <c r="D275" s="1" t="s">
        <v>3402</v>
      </c>
      <c r="E275" s="1" t="s">
        <v>1507</v>
      </c>
      <c r="F275" s="1" t="s">
        <v>112</v>
      </c>
      <c r="G275" s="1">
        <v>8397</v>
      </c>
    </row>
    <row r="276" spans="1:7" x14ac:dyDescent="0.25">
      <c r="A276" s="1" t="str">
        <f t="shared" si="4"/>
        <v>09  Fadrozole 11</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3403</v>
      </c>
    </row>
    <row r="277" spans="1:7" x14ac:dyDescent="0.25">
      <c r="A277" s="1" t="str">
        <f t="shared" si="4"/>
        <v>09  Fadrozole 11</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3404</v>
      </c>
      <c r="D277" s="1" t="s">
        <v>2923</v>
      </c>
      <c r="E277" s="1" t="s">
        <v>364</v>
      </c>
      <c r="F277" s="1" t="s">
        <v>112</v>
      </c>
      <c r="G277" s="1">
        <v>15271</v>
      </c>
    </row>
    <row r="278" spans="1:7" x14ac:dyDescent="0.25">
      <c r="A278" s="1" t="str">
        <f t="shared" si="4"/>
        <v>09  Fadrozole 11</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3405</v>
      </c>
      <c r="D278" s="1" t="s">
        <v>3406</v>
      </c>
      <c r="E278" s="1" t="s">
        <v>2057</v>
      </c>
      <c r="F278" s="1" t="s">
        <v>112</v>
      </c>
      <c r="G278" s="1">
        <v>156018</v>
      </c>
    </row>
    <row r="279" spans="1:7" x14ac:dyDescent="0.25">
      <c r="A279" s="1" t="str">
        <f t="shared" si="4"/>
        <v>09  Fadrozole 11</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3407</v>
      </c>
      <c r="D279" s="1" t="s">
        <v>2844</v>
      </c>
      <c r="E279" s="1" t="s">
        <v>2103</v>
      </c>
      <c r="F279" s="1" t="s">
        <v>112</v>
      </c>
      <c r="G279" s="1">
        <v>17860</v>
      </c>
    </row>
    <row r="280" spans="1:7" x14ac:dyDescent="0.25">
      <c r="A280" s="1" t="str">
        <f t="shared" si="4"/>
        <v>09  Fadrozole 11</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3408</v>
      </c>
      <c r="D280" s="1" t="s">
        <v>3016</v>
      </c>
      <c r="E280" s="1">
        <v>64</v>
      </c>
      <c r="F280" s="1" t="s">
        <v>112</v>
      </c>
      <c r="G280" s="1">
        <v>64043</v>
      </c>
    </row>
    <row r="281" spans="1:7" x14ac:dyDescent="0.25">
      <c r="A281" s="1" t="str">
        <f t="shared" si="4"/>
        <v>09  Fadrozole 11</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3409</v>
      </c>
      <c r="D281" s="1" t="s">
        <v>3410</v>
      </c>
      <c r="E281" s="1" t="s">
        <v>3411</v>
      </c>
      <c r="F281" s="1" t="s">
        <v>112</v>
      </c>
      <c r="G281" s="1">
        <v>79510</v>
      </c>
    </row>
    <row r="282" spans="1:7" x14ac:dyDescent="0.25">
      <c r="A282" s="1" t="str">
        <f t="shared" si="4"/>
        <v>09  Fadrozole 11</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3412</v>
      </c>
      <c r="D282" s="1" t="s">
        <v>3413</v>
      </c>
      <c r="E282" s="1" t="s">
        <v>3414</v>
      </c>
      <c r="F282" s="1" t="s">
        <v>112</v>
      </c>
      <c r="G282" s="1">
        <v>158933</v>
      </c>
    </row>
    <row r="283" spans="1:7" x14ac:dyDescent="0.25">
      <c r="A283" s="1" t="str">
        <f t="shared" si="4"/>
        <v>09  Fadrozole 11</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3415</v>
      </c>
      <c r="D283" s="1" t="s">
        <v>2849</v>
      </c>
      <c r="E283" s="1" t="s">
        <v>3416</v>
      </c>
      <c r="F283" s="1" t="s">
        <v>112</v>
      </c>
      <c r="G283" s="1">
        <v>57430</v>
      </c>
    </row>
    <row r="284" spans="1:7" x14ac:dyDescent="0.25">
      <c r="A284" s="1" t="str">
        <f t="shared" si="4"/>
        <v>09  Fadrozole 11</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3417</v>
      </c>
      <c r="D284" s="1" t="s">
        <v>2891</v>
      </c>
      <c r="E284" s="1" t="s">
        <v>2831</v>
      </c>
      <c r="F284" s="1" t="s">
        <v>112</v>
      </c>
      <c r="G284" s="1">
        <v>12378</v>
      </c>
    </row>
    <row r="285" spans="1:7" x14ac:dyDescent="0.25">
      <c r="A285" s="1" t="str">
        <f t="shared" si="4"/>
        <v>09  Fadrozole 11</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3418</v>
      </c>
      <c r="D285" s="1" t="s">
        <v>3419</v>
      </c>
      <c r="E285" s="1">
        <v>66</v>
      </c>
      <c r="F285" s="1" t="s">
        <v>112</v>
      </c>
      <c r="G285" s="1">
        <v>5743</v>
      </c>
    </row>
    <row r="286" spans="1:7" x14ac:dyDescent="0.25">
      <c r="A286" s="1" t="str">
        <f t="shared" si="4"/>
        <v>09  Fadrozole 11</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3420</v>
      </c>
    </row>
    <row r="287" spans="1:7" x14ac:dyDescent="0.25">
      <c r="A287" s="1" t="str">
        <f t="shared" si="4"/>
        <v>09  Fadrozole 11</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3421</v>
      </c>
    </row>
    <row r="288" spans="1:7" x14ac:dyDescent="0.25">
      <c r="A288" s="1" t="str">
        <f t="shared" si="4"/>
        <v>09  Fadrozole 11</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3422</v>
      </c>
    </row>
    <row r="289" spans="1:9" x14ac:dyDescent="0.25">
      <c r="A289" s="1" t="str">
        <f t="shared" si="4"/>
        <v>09  Fadrozole 11</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3423</v>
      </c>
    </row>
    <row r="290" spans="1:9"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9"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236</v>
      </c>
      <c r="D291" s="1" t="s">
        <v>112</v>
      </c>
      <c r="E291" s="1" t="s">
        <v>237</v>
      </c>
      <c r="F291" s="1" t="s">
        <v>238</v>
      </c>
      <c r="G291" s="1" t="s">
        <v>239</v>
      </c>
      <c r="H291" s="1" t="s">
        <v>240</v>
      </c>
      <c r="I291" s="1" t="s">
        <v>241</v>
      </c>
    </row>
    <row r="292" spans="1:9" x14ac:dyDescent="0.25">
      <c r="A292" s="1" t="str">
        <f t="shared" si="4"/>
        <v>09  Fadrozole 11</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3424</v>
      </c>
      <c r="D292" s="1" t="s">
        <v>112</v>
      </c>
      <c r="E292" s="1" t="s">
        <v>3425</v>
      </c>
      <c r="F292" s="1" t="s">
        <v>3426</v>
      </c>
      <c r="G292" s="1" t="s">
        <v>3427</v>
      </c>
      <c r="H292" s="1" t="s">
        <v>3428</v>
      </c>
      <c r="I292" s="1">
        <v>24</v>
      </c>
    </row>
    <row r="293" spans="1:9"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9"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9"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9"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9"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9"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248</v>
      </c>
      <c r="D298" s="1" t="s">
        <v>110</v>
      </c>
      <c r="E298" s="1" t="s">
        <v>111</v>
      </c>
      <c r="F298" s="1" t="s">
        <v>112</v>
      </c>
      <c r="G298" s="1" t="s">
        <v>113</v>
      </c>
    </row>
    <row r="299" spans="1:9" x14ac:dyDescent="0.25">
      <c r="A299" s="1" t="str">
        <f t="shared" si="4"/>
        <v>10  Fadrozole 22</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3429</v>
      </c>
      <c r="D299" s="1" t="s">
        <v>3430</v>
      </c>
      <c r="E299" s="1" t="s">
        <v>3431</v>
      </c>
      <c r="F299" s="1" t="s">
        <v>112</v>
      </c>
      <c r="G299" s="1">
        <v>159890</v>
      </c>
    </row>
    <row r="300" spans="1:9" x14ac:dyDescent="0.25">
      <c r="A300" s="1" t="str">
        <f t="shared" si="4"/>
        <v>10  Fadrozole 22</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3432</v>
      </c>
      <c r="D300" s="1" t="s">
        <v>3433</v>
      </c>
      <c r="E300" s="1" t="s">
        <v>3434</v>
      </c>
      <c r="F300" s="1" t="s">
        <v>112</v>
      </c>
      <c r="G300" s="1">
        <v>449128</v>
      </c>
    </row>
    <row r="301" spans="1:9" x14ac:dyDescent="0.25">
      <c r="A301" s="1" t="str">
        <f t="shared" si="4"/>
        <v>10  Fadrozole 22</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3435</v>
      </c>
      <c r="D301" s="1" t="s">
        <v>3436</v>
      </c>
      <c r="E301" s="1" t="s">
        <v>3437</v>
      </c>
      <c r="F301" s="1" t="s">
        <v>112</v>
      </c>
      <c r="G301" s="1">
        <v>143423</v>
      </c>
    </row>
    <row r="302" spans="1:9" x14ac:dyDescent="0.25">
      <c r="A302" s="1" t="str">
        <f t="shared" si="4"/>
        <v>10  Fadrozole 22</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3438</v>
      </c>
      <c r="D302" s="1" t="s">
        <v>3439</v>
      </c>
      <c r="E302" s="1" t="s">
        <v>3440</v>
      </c>
      <c r="F302" s="1" t="s">
        <v>112</v>
      </c>
      <c r="G302" s="1">
        <v>143684</v>
      </c>
    </row>
    <row r="303" spans="1:9" x14ac:dyDescent="0.25">
      <c r="A303" s="1" t="str">
        <f t="shared" si="4"/>
        <v>10  Fadrozole 22</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3441</v>
      </c>
    </row>
    <row r="304" spans="1:9" x14ac:dyDescent="0.25">
      <c r="A304" s="1" t="str">
        <f t="shared" si="4"/>
        <v>10  Fadrozole 22</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3442</v>
      </c>
      <c r="D304" s="1" t="s">
        <v>3443</v>
      </c>
      <c r="E304" s="1" t="s">
        <v>3444</v>
      </c>
      <c r="F304" s="1" t="s">
        <v>112</v>
      </c>
      <c r="G304" s="1">
        <v>149688</v>
      </c>
    </row>
    <row r="305" spans="1:7" x14ac:dyDescent="0.25">
      <c r="A305" s="1" t="str">
        <f t="shared" si="4"/>
        <v>10  Fadrozole 22</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3445</v>
      </c>
      <c r="D305" s="1" t="s">
        <v>3037</v>
      </c>
      <c r="E305" s="1" t="s">
        <v>3446</v>
      </c>
      <c r="F305" s="1" t="s">
        <v>112</v>
      </c>
      <c r="G305" s="1">
        <v>244664</v>
      </c>
    </row>
    <row r="306" spans="1:7" x14ac:dyDescent="0.25">
      <c r="A306" s="1" t="str">
        <f t="shared" si="4"/>
        <v>10  Fadrozole 22</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3447</v>
      </c>
      <c r="D306" s="1" t="s">
        <v>3034</v>
      </c>
      <c r="E306" s="1" t="s">
        <v>3448</v>
      </c>
      <c r="F306" s="1" t="s">
        <v>112</v>
      </c>
      <c r="G306" s="1">
        <v>228480</v>
      </c>
    </row>
    <row r="307" spans="1:7" x14ac:dyDescent="0.25">
      <c r="A307" s="1" t="str">
        <f t="shared" si="4"/>
        <v>10  Fadrozole 22</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3449</v>
      </c>
    </row>
    <row r="308" spans="1:7" x14ac:dyDescent="0.25">
      <c r="A308" s="1" t="str">
        <f t="shared" si="4"/>
        <v>10  Fadrozole 22</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3450</v>
      </c>
      <c r="D308" s="1" t="s">
        <v>2923</v>
      </c>
      <c r="E308" s="1" t="s">
        <v>3451</v>
      </c>
      <c r="F308" s="1" t="s">
        <v>112</v>
      </c>
      <c r="G308" s="1">
        <v>15162</v>
      </c>
    </row>
    <row r="309" spans="1:7" x14ac:dyDescent="0.25">
      <c r="A309" s="1" t="str">
        <f t="shared" si="4"/>
        <v>10  Fadrozole 22</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3452</v>
      </c>
      <c r="D309" s="1" t="s">
        <v>2995</v>
      </c>
      <c r="E309" s="1" t="s">
        <v>3453</v>
      </c>
      <c r="F309" s="1" t="s">
        <v>112</v>
      </c>
      <c r="G309" s="1">
        <v>40941</v>
      </c>
    </row>
    <row r="310" spans="1:7" x14ac:dyDescent="0.25">
      <c r="A310" s="1" t="str">
        <f t="shared" si="4"/>
        <v>10  Fadrozole 22</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3454</v>
      </c>
      <c r="D310" s="1" t="s">
        <v>3455</v>
      </c>
      <c r="E310" s="1" t="s">
        <v>3456</v>
      </c>
      <c r="F310" s="1" t="s">
        <v>112</v>
      </c>
      <c r="G310" s="1">
        <v>34066</v>
      </c>
    </row>
    <row r="311" spans="1:7" x14ac:dyDescent="0.25">
      <c r="A311" s="1" t="str">
        <f t="shared" si="4"/>
        <v>10  Fadrozole 22</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3457</v>
      </c>
      <c r="D311" s="1" t="s">
        <v>3458</v>
      </c>
      <c r="E311" s="1" t="s">
        <v>3459</v>
      </c>
      <c r="F311" s="1" t="s">
        <v>112</v>
      </c>
      <c r="G311" s="1">
        <v>106963</v>
      </c>
    </row>
    <row r="312" spans="1:7" x14ac:dyDescent="0.25">
      <c r="A312" s="1" t="str">
        <f t="shared" si="4"/>
        <v>10  Fadrozole 22</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3460</v>
      </c>
      <c r="D312" s="1" t="s">
        <v>3004</v>
      </c>
      <c r="E312" s="1" t="s">
        <v>3461</v>
      </c>
      <c r="F312" s="1" t="s">
        <v>112</v>
      </c>
      <c r="G312" s="1">
        <v>21232</v>
      </c>
    </row>
    <row r="313" spans="1:7" x14ac:dyDescent="0.25">
      <c r="A313" s="1" t="str">
        <f t="shared" si="4"/>
        <v>10  Fadrozole 22</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3462</v>
      </c>
      <c r="D313" s="1" t="s">
        <v>2891</v>
      </c>
      <c r="E313" s="1" t="s">
        <v>3463</v>
      </c>
      <c r="F313" s="1" t="s">
        <v>112</v>
      </c>
      <c r="G313" s="1">
        <v>12487</v>
      </c>
    </row>
    <row r="314" spans="1:7" x14ac:dyDescent="0.25">
      <c r="A314" s="1" t="str">
        <f t="shared" si="4"/>
        <v>10  Fadrozole 22</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3464</v>
      </c>
      <c r="D314" s="1" t="s">
        <v>3465</v>
      </c>
      <c r="E314" s="1" t="s">
        <v>3466</v>
      </c>
      <c r="F314" s="1" t="s">
        <v>112</v>
      </c>
      <c r="G314" s="1">
        <v>463986</v>
      </c>
    </row>
    <row r="315" spans="1:7" x14ac:dyDescent="0.25">
      <c r="A315" s="1" t="str">
        <f t="shared" si="4"/>
        <v>10  Fadrozole 22</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3467</v>
      </c>
      <c r="D315" s="1" t="s">
        <v>3468</v>
      </c>
      <c r="E315" s="1" t="s">
        <v>3469</v>
      </c>
      <c r="F315" s="1" t="s">
        <v>112</v>
      </c>
      <c r="G315" s="1">
        <v>974721</v>
      </c>
    </row>
    <row r="316" spans="1:7" x14ac:dyDescent="0.25">
      <c r="A316" s="1" t="str">
        <f t="shared" si="4"/>
        <v>10  Fadrozole 22</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3470</v>
      </c>
    </row>
    <row r="317" spans="1:7" x14ac:dyDescent="0.25">
      <c r="A317" s="1" t="str">
        <f t="shared" si="4"/>
        <v>10  Fadrozole 22</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3471</v>
      </c>
      <c r="D317" s="1" t="s">
        <v>3472</v>
      </c>
      <c r="E317" s="1" t="s">
        <v>3473</v>
      </c>
      <c r="F317" s="1" t="s">
        <v>112</v>
      </c>
      <c r="G317" s="1">
        <v>73745</v>
      </c>
    </row>
    <row r="318" spans="1:7" x14ac:dyDescent="0.25">
      <c r="A318" s="1" t="str">
        <f t="shared" si="4"/>
        <v>10  Fadrozole 22</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3474</v>
      </c>
      <c r="D318" s="1" t="s">
        <v>3475</v>
      </c>
      <c r="E318" s="1" t="s">
        <v>291</v>
      </c>
      <c r="F318" s="1" t="s">
        <v>112</v>
      </c>
      <c r="G318" s="1">
        <v>120494</v>
      </c>
    </row>
    <row r="319" spans="1:7" x14ac:dyDescent="0.25">
      <c r="A319" s="1" t="str">
        <f t="shared" si="4"/>
        <v>10  Fadrozole 22</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3476</v>
      </c>
      <c r="D319" s="1" t="s">
        <v>3477</v>
      </c>
      <c r="E319" s="1" t="s">
        <v>3478</v>
      </c>
      <c r="F319" s="1" t="s">
        <v>112</v>
      </c>
      <c r="G319" s="1">
        <v>91540</v>
      </c>
    </row>
    <row r="320" spans="1:7" x14ac:dyDescent="0.25">
      <c r="A320" s="1" t="str">
        <f t="shared" si="4"/>
        <v>10  Fadrozole 22</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3479</v>
      </c>
      <c r="D320" s="1" t="s">
        <v>2836</v>
      </c>
      <c r="E320" s="1" t="s">
        <v>3480</v>
      </c>
      <c r="F320" s="1" t="s">
        <v>112</v>
      </c>
      <c r="G320" s="1">
        <v>26192</v>
      </c>
    </row>
    <row r="321" spans="1:9" x14ac:dyDescent="0.25">
      <c r="A321" s="1" t="str">
        <f t="shared" si="4"/>
        <v>10  Fadrozole 22</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3481</v>
      </c>
      <c r="D321" s="1" t="s">
        <v>3004</v>
      </c>
      <c r="E321" s="1" t="s">
        <v>3482</v>
      </c>
      <c r="F321" s="1" t="s">
        <v>112</v>
      </c>
      <c r="G321" s="1">
        <v>20253</v>
      </c>
    </row>
    <row r="322" spans="1:9" x14ac:dyDescent="0.25">
      <c r="A322" s="1" t="str">
        <f t="shared" ref="A322:A385" si="5">IFERROR(LEFT(RIGHT(C322,LEN(C322)-SEARCH("@",C322)),SEARCH("/",RIGHT(C322,LEN(C322)-SEARCH("@",C322)-1))),"")</f>
        <v>10  Fadrozole 22</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3483</v>
      </c>
      <c r="D322" s="1" t="s">
        <v>3484</v>
      </c>
      <c r="E322" s="1" t="s">
        <v>3485</v>
      </c>
      <c r="F322" s="1" t="s">
        <v>112</v>
      </c>
      <c r="G322" s="1">
        <v>61302</v>
      </c>
    </row>
    <row r="323" spans="1:9"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9"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236</v>
      </c>
      <c r="D324" s="1" t="s">
        <v>112</v>
      </c>
      <c r="E324" s="1" t="s">
        <v>237</v>
      </c>
      <c r="F324" s="1" t="s">
        <v>238</v>
      </c>
      <c r="G324" s="1" t="s">
        <v>239</v>
      </c>
      <c r="H324" s="1" t="s">
        <v>240</v>
      </c>
      <c r="I324" s="1" t="s">
        <v>241</v>
      </c>
    </row>
    <row r="325" spans="1:9" x14ac:dyDescent="0.25">
      <c r="A325" s="1" t="str">
        <f t="shared" si="5"/>
        <v>10  Fadrozole 22</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3486</v>
      </c>
      <c r="D325" s="1" t="s">
        <v>112</v>
      </c>
      <c r="E325" s="1" t="s">
        <v>3487</v>
      </c>
      <c r="F325" s="1" t="s">
        <v>3488</v>
      </c>
      <c r="G325" s="1" t="s">
        <v>3489</v>
      </c>
      <c r="H325" s="1" t="s">
        <v>3490</v>
      </c>
      <c r="I325" s="1">
        <v>24</v>
      </c>
    </row>
    <row r="326" spans="1:9"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9"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9"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9"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9"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9"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248</v>
      </c>
      <c r="D331" s="1" t="s">
        <v>110</v>
      </c>
      <c r="E331" s="1" t="s">
        <v>111</v>
      </c>
      <c r="F331" s="1" t="s">
        <v>112</v>
      </c>
      <c r="G331" s="1" t="s">
        <v>113</v>
      </c>
    </row>
    <row r="332" spans="1:9" x14ac:dyDescent="0.25">
      <c r="A332" s="1" t="str">
        <f t="shared" si="5"/>
        <v>11  Fadrozole 44</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3491</v>
      </c>
      <c r="D332" s="1" t="s">
        <v>3355</v>
      </c>
      <c r="E332" s="1" t="s">
        <v>3492</v>
      </c>
      <c r="F332" s="1" t="s">
        <v>112</v>
      </c>
      <c r="G332" s="1">
        <v>48206</v>
      </c>
    </row>
    <row r="333" spans="1:9" x14ac:dyDescent="0.25">
      <c r="A333" s="1" t="str">
        <f t="shared" si="5"/>
        <v>11  Fadrozole 44</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3493</v>
      </c>
      <c r="D333" s="1" t="s">
        <v>2849</v>
      </c>
      <c r="E333" s="1" t="s">
        <v>3494</v>
      </c>
      <c r="F333" s="1" t="s">
        <v>112</v>
      </c>
      <c r="G333" s="1">
        <v>58822</v>
      </c>
    </row>
    <row r="334" spans="1:9" x14ac:dyDescent="0.25">
      <c r="A334" s="1" t="str">
        <f t="shared" si="5"/>
        <v>11  Fadrozole 44</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3495</v>
      </c>
      <c r="D334" s="1" t="s">
        <v>3496</v>
      </c>
      <c r="E334" s="1" t="s">
        <v>1413</v>
      </c>
      <c r="F334" s="1" t="s">
        <v>112</v>
      </c>
      <c r="G334" s="1">
        <v>55255</v>
      </c>
    </row>
    <row r="335" spans="1:9" x14ac:dyDescent="0.25">
      <c r="A335" s="1" t="str">
        <f t="shared" si="5"/>
        <v>11  Fadrozole 44</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3497</v>
      </c>
      <c r="D335" s="1" t="s">
        <v>3402</v>
      </c>
      <c r="E335" s="1">
        <v>63</v>
      </c>
      <c r="F335" s="1" t="s">
        <v>112</v>
      </c>
      <c r="G335" s="1">
        <v>8223</v>
      </c>
    </row>
    <row r="336" spans="1:9" x14ac:dyDescent="0.25">
      <c r="A336" s="1" t="str">
        <f t="shared" si="5"/>
        <v>11  Fadrozole 44</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3498</v>
      </c>
      <c r="D336" s="1" t="s">
        <v>2869</v>
      </c>
      <c r="E336" s="1" t="s">
        <v>3499</v>
      </c>
      <c r="F336" s="1" t="s">
        <v>112</v>
      </c>
      <c r="G336" s="1">
        <v>14183</v>
      </c>
    </row>
    <row r="337" spans="1:7" x14ac:dyDescent="0.25">
      <c r="A337" s="1" t="str">
        <f t="shared" si="5"/>
        <v>11  Fadrozole 44</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3500</v>
      </c>
      <c r="D337" s="1" t="s">
        <v>3501</v>
      </c>
      <c r="E337" s="1" t="s">
        <v>3502</v>
      </c>
      <c r="F337" s="1" t="s">
        <v>112</v>
      </c>
      <c r="G337" s="1">
        <v>9702</v>
      </c>
    </row>
    <row r="338" spans="1:7" x14ac:dyDescent="0.25">
      <c r="A338" s="1" t="str">
        <f t="shared" si="5"/>
        <v>11  Fadrozole 44</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3503</v>
      </c>
      <c r="D338" s="1" t="s">
        <v>3501</v>
      </c>
      <c r="E338" s="1" t="s">
        <v>3504</v>
      </c>
      <c r="F338" s="1" t="s">
        <v>112</v>
      </c>
      <c r="G338" s="1">
        <v>9789</v>
      </c>
    </row>
    <row r="339" spans="1:7" x14ac:dyDescent="0.25">
      <c r="A339" s="1" t="str">
        <f t="shared" si="5"/>
        <v>11  Fadrozole 44</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3505</v>
      </c>
      <c r="D339" s="1" t="s">
        <v>2951</v>
      </c>
      <c r="E339" s="1" t="s">
        <v>3506</v>
      </c>
      <c r="F339" s="1" t="s">
        <v>112</v>
      </c>
      <c r="G339" s="1">
        <v>29607</v>
      </c>
    </row>
    <row r="340" spans="1:7" x14ac:dyDescent="0.25">
      <c r="A340" s="1" t="str">
        <f t="shared" si="5"/>
        <v>11  Fadrozole 44</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3507</v>
      </c>
      <c r="D340" s="1" t="s">
        <v>2923</v>
      </c>
      <c r="E340" s="1" t="s">
        <v>3508</v>
      </c>
      <c r="F340" s="1" t="s">
        <v>112</v>
      </c>
      <c r="G340" s="1">
        <v>15684</v>
      </c>
    </row>
    <row r="341" spans="1:7" x14ac:dyDescent="0.25">
      <c r="A341" s="1" t="str">
        <f t="shared" si="5"/>
        <v>11  Fadrozole 44</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3509</v>
      </c>
      <c r="D341" s="1" t="s">
        <v>3510</v>
      </c>
      <c r="E341" s="1" t="s">
        <v>3511</v>
      </c>
      <c r="F341" s="1" t="s">
        <v>112</v>
      </c>
      <c r="G341" s="1">
        <v>467205</v>
      </c>
    </row>
    <row r="342" spans="1:7" x14ac:dyDescent="0.25">
      <c r="A342" s="1" t="str">
        <f t="shared" si="5"/>
        <v>11  Fadrozole 44</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3512</v>
      </c>
      <c r="D342" s="1" t="s">
        <v>3513</v>
      </c>
      <c r="E342" s="1" t="s">
        <v>3514</v>
      </c>
      <c r="F342" s="1" t="s">
        <v>112</v>
      </c>
      <c r="G342" s="1">
        <v>187039</v>
      </c>
    </row>
    <row r="343" spans="1:7" x14ac:dyDescent="0.25">
      <c r="A343" s="1" t="str">
        <f t="shared" si="5"/>
        <v>11  Fadrozole 44</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3515</v>
      </c>
      <c r="D343" s="1" t="s">
        <v>3133</v>
      </c>
      <c r="E343" s="1" t="s">
        <v>3516</v>
      </c>
      <c r="F343" s="1" t="s">
        <v>112</v>
      </c>
      <c r="G343" s="1">
        <v>370793</v>
      </c>
    </row>
    <row r="344" spans="1:7" x14ac:dyDescent="0.25">
      <c r="A344" s="1" t="str">
        <f t="shared" si="5"/>
        <v>11  Fadrozole 44</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3517</v>
      </c>
      <c r="D344" s="1" t="s">
        <v>3518</v>
      </c>
      <c r="E344" s="1" t="s">
        <v>3519</v>
      </c>
      <c r="F344" s="1" t="s">
        <v>112</v>
      </c>
      <c r="G344" s="1">
        <v>285605</v>
      </c>
    </row>
    <row r="345" spans="1:7" x14ac:dyDescent="0.25">
      <c r="A345" s="1" t="str">
        <f t="shared" si="5"/>
        <v>11  Fadrozole 44</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3520</v>
      </c>
      <c r="D345" s="1" t="s">
        <v>3521</v>
      </c>
      <c r="E345" s="1" t="s">
        <v>3522</v>
      </c>
      <c r="F345" s="1" t="s">
        <v>112</v>
      </c>
      <c r="G345" s="1">
        <v>388065</v>
      </c>
    </row>
    <row r="346" spans="1:7" x14ac:dyDescent="0.25">
      <c r="A346" s="1" t="str">
        <f t="shared" si="5"/>
        <v>11  Fadrozole 44</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3523</v>
      </c>
      <c r="D346" s="1" t="s">
        <v>2983</v>
      </c>
      <c r="E346" s="1" t="s">
        <v>3524</v>
      </c>
      <c r="F346" s="1" t="s">
        <v>112</v>
      </c>
      <c r="G346" s="1">
        <v>135374</v>
      </c>
    </row>
    <row r="347" spans="1:7" x14ac:dyDescent="0.25">
      <c r="A347" s="1" t="str">
        <f t="shared" si="5"/>
        <v>11  Fadrozole 44</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3525</v>
      </c>
      <c r="D347" s="1" t="s">
        <v>3526</v>
      </c>
      <c r="E347" s="1" t="s">
        <v>3527</v>
      </c>
      <c r="F347" s="1" t="s">
        <v>112</v>
      </c>
      <c r="G347" s="1">
        <v>24451</v>
      </c>
    </row>
    <row r="348" spans="1:7" x14ac:dyDescent="0.25">
      <c r="A348" s="1" t="str">
        <f t="shared" si="5"/>
        <v>11  Fadrozole 44</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3528</v>
      </c>
      <c r="D348" s="1" t="s">
        <v>2836</v>
      </c>
      <c r="E348" s="1" t="s">
        <v>3529</v>
      </c>
      <c r="F348" s="1" t="s">
        <v>112</v>
      </c>
      <c r="G348" s="1">
        <v>27083</v>
      </c>
    </row>
    <row r="349" spans="1:7" x14ac:dyDescent="0.25">
      <c r="A349" s="1" t="str">
        <f t="shared" si="5"/>
        <v>11  Fadrozole 44</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3530</v>
      </c>
      <c r="D349" s="1" t="s">
        <v>3008</v>
      </c>
      <c r="E349" s="1" t="s">
        <v>854</v>
      </c>
      <c r="F349" s="1" t="s">
        <v>112</v>
      </c>
      <c r="G349" s="1">
        <v>18926</v>
      </c>
    </row>
    <row r="350" spans="1:7" x14ac:dyDescent="0.25">
      <c r="A350" s="1" t="str">
        <f t="shared" si="5"/>
        <v>11  Fadrozole 44</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3531</v>
      </c>
      <c r="D350" s="1" t="s">
        <v>3008</v>
      </c>
      <c r="E350" s="1" t="s">
        <v>1633</v>
      </c>
      <c r="F350" s="1" t="s">
        <v>112</v>
      </c>
      <c r="G350" s="1">
        <v>19383</v>
      </c>
    </row>
    <row r="351" spans="1:7" x14ac:dyDescent="0.25">
      <c r="A351" s="1" t="str">
        <f t="shared" si="5"/>
        <v>11  Fadrozole 44</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3532</v>
      </c>
      <c r="D351" s="1" t="s">
        <v>2859</v>
      </c>
      <c r="E351" s="1">
        <v>62</v>
      </c>
      <c r="F351" s="1" t="s">
        <v>112</v>
      </c>
      <c r="G351" s="1">
        <v>16185</v>
      </c>
    </row>
    <row r="352" spans="1:7" x14ac:dyDescent="0.25">
      <c r="A352" s="1" t="str">
        <f t="shared" si="5"/>
        <v>11  Fadrozole 44</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3533</v>
      </c>
      <c r="D352" s="1" t="s">
        <v>2891</v>
      </c>
      <c r="E352" s="1" t="s">
        <v>1399</v>
      </c>
      <c r="F352" s="1" t="s">
        <v>112</v>
      </c>
      <c r="G352" s="1">
        <v>12661</v>
      </c>
    </row>
    <row r="353" spans="1:9" x14ac:dyDescent="0.25">
      <c r="A353" s="1" t="str">
        <f t="shared" si="5"/>
        <v>11  Fadrozole 44</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3534</v>
      </c>
      <c r="D353" s="1" t="s">
        <v>3413</v>
      </c>
      <c r="E353" s="1" t="s">
        <v>3535</v>
      </c>
      <c r="F353" s="1" t="s">
        <v>112</v>
      </c>
      <c r="G353" s="1">
        <v>159781</v>
      </c>
    </row>
    <row r="354" spans="1:9" x14ac:dyDescent="0.25">
      <c r="A354" s="1" t="str">
        <f t="shared" si="5"/>
        <v>11  Fadrozole 44</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3536</v>
      </c>
    </row>
    <row r="355" spans="1:9" x14ac:dyDescent="0.25">
      <c r="A355" s="1" t="str">
        <f t="shared" si="5"/>
        <v>11  Fadrozole 44</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3537</v>
      </c>
      <c r="D355" s="1" t="s">
        <v>3538</v>
      </c>
      <c r="E355" s="1" t="s">
        <v>3539</v>
      </c>
      <c r="F355" s="1" t="s">
        <v>112</v>
      </c>
      <c r="G355" s="1">
        <v>213296</v>
      </c>
    </row>
    <row r="356" spans="1:9"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9"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236</v>
      </c>
      <c r="D357" s="1" t="s">
        <v>112</v>
      </c>
      <c r="E357" s="1" t="s">
        <v>237</v>
      </c>
      <c r="F357" s="1" t="s">
        <v>238</v>
      </c>
      <c r="G357" s="1" t="s">
        <v>239</v>
      </c>
      <c r="H357" s="1" t="s">
        <v>240</v>
      </c>
      <c r="I357" s="1" t="s">
        <v>241</v>
      </c>
    </row>
    <row r="358" spans="1:9" x14ac:dyDescent="0.25">
      <c r="A358" s="1" t="str">
        <f t="shared" si="5"/>
        <v>11  Fadrozole 44</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3540</v>
      </c>
      <c r="D358" s="1" t="s">
        <v>112</v>
      </c>
      <c r="E358" s="1" t="s">
        <v>3541</v>
      </c>
      <c r="F358" s="1" t="s">
        <v>3542</v>
      </c>
      <c r="G358" s="1" t="s">
        <v>3543</v>
      </c>
      <c r="H358" s="1" t="s">
        <v>3544</v>
      </c>
      <c r="I358" s="1">
        <v>24</v>
      </c>
    </row>
    <row r="359" spans="1:9"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9"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9"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9"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9"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9"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248</v>
      </c>
      <c r="D364" s="1" t="s">
        <v>110</v>
      </c>
      <c r="E364" s="1" t="s">
        <v>111</v>
      </c>
      <c r="F364" s="1" t="s">
        <v>112</v>
      </c>
      <c r="G364" s="1" t="s">
        <v>113</v>
      </c>
    </row>
    <row r="365" spans="1:9" x14ac:dyDescent="0.25">
      <c r="A365" s="1" t="str">
        <f t="shared" si="5"/>
        <v>12  Fadrozole 87</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3545</v>
      </c>
      <c r="D365" s="1" t="s">
        <v>3391</v>
      </c>
      <c r="E365" s="1" t="s">
        <v>3546</v>
      </c>
      <c r="F365" s="1" t="s">
        <v>112</v>
      </c>
      <c r="G365" s="1">
        <v>66806</v>
      </c>
    </row>
    <row r="366" spans="1:9" x14ac:dyDescent="0.25">
      <c r="A366" s="1" t="str">
        <f t="shared" si="5"/>
        <v>12  Fadrozole 87</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3547</v>
      </c>
      <c r="D366" s="1" t="s">
        <v>3066</v>
      </c>
      <c r="E366" s="1" t="s">
        <v>3548</v>
      </c>
      <c r="F366" s="1" t="s">
        <v>112</v>
      </c>
      <c r="G366" s="1">
        <v>76617</v>
      </c>
    </row>
    <row r="367" spans="1:9" x14ac:dyDescent="0.25">
      <c r="A367" s="1" t="str">
        <f t="shared" si="5"/>
        <v>12  Fadrozole 87</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3549</v>
      </c>
      <c r="D367" s="1" t="s">
        <v>2846</v>
      </c>
      <c r="E367" s="1" t="s">
        <v>3550</v>
      </c>
      <c r="F367" s="1" t="s">
        <v>112</v>
      </c>
      <c r="G367" s="1">
        <v>66175</v>
      </c>
    </row>
    <row r="368" spans="1:9" x14ac:dyDescent="0.25">
      <c r="A368" s="1" t="str">
        <f t="shared" si="5"/>
        <v>12  Fadrozole 87</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3551</v>
      </c>
      <c r="D368" s="1" t="s">
        <v>2869</v>
      </c>
      <c r="E368" s="1" t="s">
        <v>2870</v>
      </c>
      <c r="F368" s="1" t="s">
        <v>112</v>
      </c>
      <c r="G368" s="1">
        <v>14075</v>
      </c>
    </row>
    <row r="369" spans="1:7" x14ac:dyDescent="0.25">
      <c r="A369" s="1" t="str">
        <f t="shared" si="5"/>
        <v>12  Fadrozole 87</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3552</v>
      </c>
      <c r="D369" s="1" t="s">
        <v>2849</v>
      </c>
      <c r="E369" s="1" t="s">
        <v>3553</v>
      </c>
      <c r="F369" s="1" t="s">
        <v>112</v>
      </c>
      <c r="G369" s="1">
        <v>59671</v>
      </c>
    </row>
    <row r="370" spans="1:7" x14ac:dyDescent="0.25">
      <c r="A370" s="1" t="str">
        <f t="shared" si="5"/>
        <v>12  Fadrozole 87</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3554</v>
      </c>
      <c r="D370" s="1" t="s">
        <v>3004</v>
      </c>
      <c r="E370" s="1" t="s">
        <v>3555</v>
      </c>
      <c r="F370" s="1" t="s">
        <v>112</v>
      </c>
      <c r="G370" s="1">
        <v>20427</v>
      </c>
    </row>
    <row r="371" spans="1:7" x14ac:dyDescent="0.25">
      <c r="A371" s="1" t="str">
        <f t="shared" si="5"/>
        <v>12  Fadrozole 87</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3556</v>
      </c>
      <c r="D371" s="1" t="s">
        <v>3557</v>
      </c>
      <c r="E371" s="1" t="s">
        <v>3558</v>
      </c>
      <c r="F371" s="1" t="s">
        <v>112</v>
      </c>
      <c r="G371" s="1">
        <v>341795</v>
      </c>
    </row>
    <row r="372" spans="1:7" x14ac:dyDescent="0.25">
      <c r="A372" s="1" t="str">
        <f t="shared" si="5"/>
        <v>12  Fadrozole 87</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3559</v>
      </c>
    </row>
    <row r="373" spans="1:7" x14ac:dyDescent="0.25">
      <c r="A373" s="1" t="str">
        <f t="shared" si="5"/>
        <v>12  Fadrozole 87</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3560</v>
      </c>
      <c r="D373" s="1" t="s">
        <v>3561</v>
      </c>
      <c r="E373" s="1" t="s">
        <v>3562</v>
      </c>
      <c r="F373" s="1" t="s">
        <v>112</v>
      </c>
      <c r="G373" s="1">
        <v>224847</v>
      </c>
    </row>
    <row r="374" spans="1:7" x14ac:dyDescent="0.25">
      <c r="A374" s="1" t="str">
        <f t="shared" si="5"/>
        <v>12  Fadrozole 87</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3563</v>
      </c>
      <c r="D374" s="1" t="s">
        <v>2925</v>
      </c>
      <c r="E374" s="1" t="s">
        <v>3564</v>
      </c>
      <c r="F374" s="1" t="s">
        <v>112</v>
      </c>
      <c r="G374" s="1">
        <v>35872</v>
      </c>
    </row>
    <row r="375" spans="1:7" x14ac:dyDescent="0.25">
      <c r="A375" s="1" t="str">
        <f t="shared" si="5"/>
        <v>12  Fadrozole 87</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3565</v>
      </c>
      <c r="D375" s="1" t="s">
        <v>2951</v>
      </c>
      <c r="E375" s="1" t="s">
        <v>371</v>
      </c>
      <c r="F375" s="1" t="s">
        <v>112</v>
      </c>
      <c r="G375" s="1">
        <v>29041</v>
      </c>
    </row>
    <row r="376" spans="1:7" x14ac:dyDescent="0.25">
      <c r="A376" s="1" t="str">
        <f t="shared" si="5"/>
        <v>12  Fadrozole 87</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3566</v>
      </c>
      <c r="D376" s="1" t="s">
        <v>3567</v>
      </c>
      <c r="E376" s="1">
        <v>63</v>
      </c>
      <c r="F376" s="1" t="s">
        <v>112</v>
      </c>
      <c r="G376" s="1">
        <v>31521</v>
      </c>
    </row>
    <row r="377" spans="1:7" x14ac:dyDescent="0.25">
      <c r="A377" s="1" t="str">
        <f t="shared" si="5"/>
        <v>12  Fadrozole 87</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3568</v>
      </c>
      <c r="D377" s="1" t="s">
        <v>3538</v>
      </c>
      <c r="E377" s="1" t="s">
        <v>3569</v>
      </c>
      <c r="F377" s="1" t="s">
        <v>112</v>
      </c>
      <c r="G377" s="1">
        <v>211098</v>
      </c>
    </row>
    <row r="378" spans="1:7" x14ac:dyDescent="0.25">
      <c r="A378" s="1" t="str">
        <f t="shared" si="5"/>
        <v>12  Fadrozole 87</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3570</v>
      </c>
      <c r="D378" s="1" t="s">
        <v>3571</v>
      </c>
      <c r="E378" s="1" t="s">
        <v>3572</v>
      </c>
      <c r="F378" s="1" t="s">
        <v>112</v>
      </c>
      <c r="G378" s="1">
        <v>471295</v>
      </c>
    </row>
    <row r="379" spans="1:7" x14ac:dyDescent="0.25">
      <c r="A379" s="1" t="str">
        <f t="shared" si="5"/>
        <v>12  Fadrozole 87</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3573</v>
      </c>
      <c r="D379" s="1" t="s">
        <v>3518</v>
      </c>
      <c r="E379" s="1" t="s">
        <v>3574</v>
      </c>
      <c r="F379" s="1" t="s">
        <v>112</v>
      </c>
      <c r="G379" s="1">
        <v>281298</v>
      </c>
    </row>
    <row r="380" spans="1:7" x14ac:dyDescent="0.25">
      <c r="A380" s="1" t="str">
        <f t="shared" si="5"/>
        <v>12  Fadrozole 87</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3575</v>
      </c>
      <c r="D380" s="1" t="s">
        <v>2969</v>
      </c>
      <c r="E380" s="1" t="s">
        <v>3576</v>
      </c>
      <c r="F380" s="1" t="s">
        <v>112</v>
      </c>
      <c r="G380" s="1">
        <v>40397</v>
      </c>
    </row>
    <row r="381" spans="1:7" x14ac:dyDescent="0.25">
      <c r="A381" s="1" t="str">
        <f t="shared" si="5"/>
        <v>12  Fadrozole 87</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3577</v>
      </c>
    </row>
    <row r="382" spans="1:7" x14ac:dyDescent="0.25">
      <c r="A382" s="1" t="str">
        <f t="shared" si="5"/>
        <v>12  Fadrozole 87</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3578</v>
      </c>
    </row>
    <row r="383" spans="1:7" x14ac:dyDescent="0.25">
      <c r="A383" s="1" t="str">
        <f t="shared" si="5"/>
        <v>12  Fadrozole 87</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3579</v>
      </c>
      <c r="D383" s="1" t="s">
        <v>2911</v>
      </c>
      <c r="E383" s="1" t="s">
        <v>3550</v>
      </c>
      <c r="F383" s="1" t="s">
        <v>112</v>
      </c>
      <c r="G383" s="1">
        <v>44117</v>
      </c>
    </row>
    <row r="384" spans="1:7" x14ac:dyDescent="0.25">
      <c r="A384" s="1" t="str">
        <f t="shared" si="5"/>
        <v>12  Fadrozole 87</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3580</v>
      </c>
      <c r="D384" s="1" t="s">
        <v>3004</v>
      </c>
      <c r="E384" s="1" t="s">
        <v>3581</v>
      </c>
      <c r="F384" s="1" t="s">
        <v>112</v>
      </c>
      <c r="G384" s="1">
        <v>20405</v>
      </c>
    </row>
    <row r="385" spans="1:9" x14ac:dyDescent="0.25">
      <c r="A385" s="1" t="str">
        <f t="shared" si="5"/>
        <v>12  Fadrozole 87</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3582</v>
      </c>
      <c r="D385" s="1" t="s">
        <v>3583</v>
      </c>
      <c r="E385" s="1" t="s">
        <v>3584</v>
      </c>
      <c r="F385" s="1" t="s">
        <v>112</v>
      </c>
      <c r="G385" s="1">
        <v>131588</v>
      </c>
    </row>
    <row r="386" spans="1:9" x14ac:dyDescent="0.25">
      <c r="A386" s="1" t="str">
        <f t="shared" ref="A386:A449" si="6">IFERROR(LEFT(RIGHT(C386,LEN(C386)-SEARCH("@",C386)),SEARCH("/",RIGHT(C386,LEN(C386)-SEARCH("@",C386)-1))),"")</f>
        <v>12  Fadrozole 87</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3585</v>
      </c>
      <c r="D386" s="1" t="s">
        <v>3586</v>
      </c>
      <c r="E386" s="1" t="s">
        <v>1501</v>
      </c>
      <c r="F386" s="1" t="s">
        <v>112</v>
      </c>
      <c r="G386" s="1">
        <v>36873</v>
      </c>
    </row>
    <row r="387" spans="1:9" x14ac:dyDescent="0.25">
      <c r="A387" s="1" t="str">
        <f t="shared" si="6"/>
        <v>12  Fadrozole 87</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3587</v>
      </c>
      <c r="D387" s="1" t="s">
        <v>2849</v>
      </c>
      <c r="E387" s="1" t="s">
        <v>3588</v>
      </c>
      <c r="F387" s="1" t="s">
        <v>112</v>
      </c>
      <c r="G387" s="1">
        <v>57908</v>
      </c>
    </row>
    <row r="388" spans="1:9" x14ac:dyDescent="0.25">
      <c r="A388" s="1" t="str">
        <f t="shared" si="6"/>
        <v>12  Fadrozole 87</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3589</v>
      </c>
      <c r="D388" s="1" t="s">
        <v>2947</v>
      </c>
      <c r="E388" s="1" t="s">
        <v>3590</v>
      </c>
      <c r="F388" s="1" t="s">
        <v>112</v>
      </c>
      <c r="G388" s="1">
        <v>23190</v>
      </c>
    </row>
    <row r="389" spans="1:9"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9"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236</v>
      </c>
      <c r="D390" s="1" t="s">
        <v>112</v>
      </c>
      <c r="E390" s="1" t="s">
        <v>237</v>
      </c>
      <c r="F390" s="1" t="s">
        <v>238</v>
      </c>
      <c r="G390" s="1" t="s">
        <v>239</v>
      </c>
      <c r="H390" s="1" t="s">
        <v>240</v>
      </c>
      <c r="I390" s="1" t="s">
        <v>241</v>
      </c>
    </row>
    <row r="391" spans="1:9" x14ac:dyDescent="0.25">
      <c r="A391" s="1" t="str">
        <f t="shared" si="6"/>
        <v>12  Fadrozole 87</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3591</v>
      </c>
      <c r="D391" s="1" t="s">
        <v>112</v>
      </c>
      <c r="E391" s="1" t="s">
        <v>3592</v>
      </c>
      <c r="F391" s="1" t="s">
        <v>3593</v>
      </c>
      <c r="G391" s="1" t="s">
        <v>3594</v>
      </c>
      <c r="H391" s="1" t="s">
        <v>3595</v>
      </c>
      <c r="I391" s="1">
        <v>24</v>
      </c>
    </row>
    <row r="392" spans="1:9"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9"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9"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9"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9"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9"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248</v>
      </c>
      <c r="D397" s="1" t="s">
        <v>110</v>
      </c>
      <c r="E397" s="1" t="s">
        <v>111</v>
      </c>
      <c r="F397" s="1" t="s">
        <v>112</v>
      </c>
      <c r="G397" s="1" t="s">
        <v>113</v>
      </c>
    </row>
    <row r="398" spans="1:9" x14ac:dyDescent="0.25">
      <c r="A398" s="1" t="str">
        <f t="shared" si="6"/>
        <v>13 TESTO</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3596</v>
      </c>
    </row>
    <row r="399" spans="1:9" x14ac:dyDescent="0.25">
      <c r="A399" s="1" t="str">
        <f t="shared" si="6"/>
        <v>13 TESTO</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3597</v>
      </c>
      <c r="D399" s="1" t="s">
        <v>3598</v>
      </c>
      <c r="E399" s="1" t="s">
        <v>3599</v>
      </c>
      <c r="F399" s="1" t="s">
        <v>112</v>
      </c>
      <c r="G399" s="1">
        <v>3256428</v>
      </c>
    </row>
    <row r="400" spans="1:9" x14ac:dyDescent="0.25">
      <c r="A400" s="1" t="str">
        <f t="shared" si="6"/>
        <v>13 TESTO</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3600</v>
      </c>
      <c r="D400" s="1" t="s">
        <v>3601</v>
      </c>
      <c r="E400" s="1" t="s">
        <v>3602</v>
      </c>
      <c r="F400" s="1" t="s">
        <v>112</v>
      </c>
      <c r="G400" s="1">
        <v>2507468</v>
      </c>
    </row>
    <row r="401" spans="1:7" x14ac:dyDescent="0.25">
      <c r="A401" s="1" t="str">
        <f t="shared" si="6"/>
        <v>13 TESTO</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3603</v>
      </c>
      <c r="D401" s="1" t="s">
        <v>3604</v>
      </c>
      <c r="E401" s="1" t="s">
        <v>3605</v>
      </c>
      <c r="F401" s="1" t="s">
        <v>112</v>
      </c>
      <c r="G401" s="1">
        <v>2410555</v>
      </c>
    </row>
    <row r="402" spans="1:7" x14ac:dyDescent="0.25">
      <c r="A402" s="1" t="str">
        <f t="shared" si="6"/>
        <v>13 TESTO</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3606</v>
      </c>
      <c r="D402" s="1" t="s">
        <v>3607</v>
      </c>
      <c r="E402" s="1" t="s">
        <v>3608</v>
      </c>
      <c r="F402" s="1" t="s">
        <v>112</v>
      </c>
      <c r="G402" s="1">
        <v>2522283</v>
      </c>
    </row>
    <row r="403" spans="1:7" x14ac:dyDescent="0.25">
      <c r="A403" s="1" t="str">
        <f t="shared" si="6"/>
        <v>13 TESTO</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3609</v>
      </c>
      <c r="D403" s="1" t="s">
        <v>3610</v>
      </c>
      <c r="E403" s="1" t="s">
        <v>3611</v>
      </c>
      <c r="F403" s="1" t="s">
        <v>112</v>
      </c>
      <c r="G403" s="1">
        <v>2979046</v>
      </c>
    </row>
    <row r="404" spans="1:7" x14ac:dyDescent="0.25">
      <c r="A404" s="1" t="str">
        <f t="shared" si="6"/>
        <v>13 TESTO</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3612</v>
      </c>
      <c r="D404" s="1" t="s">
        <v>3613</v>
      </c>
      <c r="E404" s="1" t="s">
        <v>3614</v>
      </c>
      <c r="F404" s="1" t="s">
        <v>112</v>
      </c>
      <c r="G404" s="1">
        <v>1718547</v>
      </c>
    </row>
    <row r="405" spans="1:7" x14ac:dyDescent="0.25">
      <c r="A405" s="1" t="str">
        <f t="shared" si="6"/>
        <v>13 TESTO</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3615</v>
      </c>
      <c r="D405" s="1" t="s">
        <v>3616</v>
      </c>
      <c r="E405" s="1" t="s">
        <v>3617</v>
      </c>
      <c r="F405" s="1" t="s">
        <v>112</v>
      </c>
      <c r="G405" s="1">
        <v>1007808</v>
      </c>
    </row>
    <row r="406" spans="1:7" x14ac:dyDescent="0.25">
      <c r="A406" s="1" t="str">
        <f t="shared" si="6"/>
        <v>13 TESTO</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3618</v>
      </c>
    </row>
    <row r="407" spans="1:7" x14ac:dyDescent="0.25">
      <c r="A407" s="1" t="str">
        <f t="shared" si="6"/>
        <v>13 TESTO</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3619</v>
      </c>
      <c r="D407" s="1" t="s">
        <v>3620</v>
      </c>
      <c r="E407" s="1" t="s">
        <v>3621</v>
      </c>
      <c r="F407" s="1" t="s">
        <v>112</v>
      </c>
      <c r="G407" s="1">
        <v>3791440</v>
      </c>
    </row>
    <row r="408" spans="1:7" x14ac:dyDescent="0.25">
      <c r="A408" s="1" t="str">
        <f t="shared" si="6"/>
        <v>13 TESTO</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3622</v>
      </c>
      <c r="D408" s="1" t="s">
        <v>3623</v>
      </c>
      <c r="E408" s="1" t="s">
        <v>3624</v>
      </c>
      <c r="F408" s="1" t="s">
        <v>112</v>
      </c>
      <c r="G408" s="1">
        <v>4173915</v>
      </c>
    </row>
    <row r="409" spans="1:7" x14ac:dyDescent="0.25">
      <c r="A409" s="1" t="str">
        <f t="shared" si="6"/>
        <v>13 TESTO</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3625</v>
      </c>
      <c r="D409" s="1" t="s">
        <v>3626</v>
      </c>
      <c r="E409" s="1" t="s">
        <v>3627</v>
      </c>
      <c r="F409" s="1" t="s">
        <v>112</v>
      </c>
      <c r="G409" s="1">
        <v>3860160</v>
      </c>
    </row>
    <row r="410" spans="1:7" x14ac:dyDescent="0.25">
      <c r="A410" s="1" t="str">
        <f t="shared" si="6"/>
        <v>13 TESTO</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3628</v>
      </c>
      <c r="D410" s="1" t="s">
        <v>3629</v>
      </c>
      <c r="E410" s="1" t="s">
        <v>3630</v>
      </c>
      <c r="F410" s="1" t="s">
        <v>112</v>
      </c>
      <c r="G410" s="1">
        <v>1141137</v>
      </c>
    </row>
    <row r="411" spans="1:7" x14ac:dyDescent="0.25">
      <c r="A411" s="1" t="str">
        <f t="shared" si="6"/>
        <v>13 TESTO</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3631</v>
      </c>
      <c r="D411" s="1" t="s">
        <v>3632</v>
      </c>
      <c r="E411" s="1" t="s">
        <v>3633</v>
      </c>
      <c r="F411" s="1" t="s">
        <v>112</v>
      </c>
      <c r="G411" s="1">
        <v>1430396</v>
      </c>
    </row>
    <row r="412" spans="1:7" x14ac:dyDescent="0.25">
      <c r="A412" s="1" t="str">
        <f t="shared" si="6"/>
        <v>13 TESTO</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3634</v>
      </c>
      <c r="D412" s="1" t="s">
        <v>3635</v>
      </c>
      <c r="E412" s="1" t="s">
        <v>3636</v>
      </c>
      <c r="F412" s="1" t="s">
        <v>112</v>
      </c>
      <c r="G412" s="1">
        <v>1550194</v>
      </c>
    </row>
    <row r="413" spans="1:7" x14ac:dyDescent="0.25">
      <c r="A413" s="1" t="str">
        <f t="shared" si="6"/>
        <v>13 TESTO</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3637</v>
      </c>
      <c r="D413" s="1" t="s">
        <v>3638</v>
      </c>
      <c r="E413" s="1" t="s">
        <v>3639</v>
      </c>
      <c r="F413" s="1" t="s">
        <v>112</v>
      </c>
      <c r="G413" s="1">
        <v>2115988</v>
      </c>
    </row>
    <row r="414" spans="1:7" x14ac:dyDescent="0.25">
      <c r="A414" s="1" t="str">
        <f t="shared" si="6"/>
        <v>13 TESTO</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3640</v>
      </c>
      <c r="D414" s="1" t="s">
        <v>3641</v>
      </c>
      <c r="E414" s="1" t="s">
        <v>3642</v>
      </c>
      <c r="F414" s="1" t="s">
        <v>112</v>
      </c>
      <c r="G414" s="1">
        <v>2175550</v>
      </c>
    </row>
    <row r="415" spans="1:7" x14ac:dyDescent="0.25">
      <c r="A415" s="1" t="str">
        <f t="shared" si="6"/>
        <v>13 TESTO</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3643</v>
      </c>
      <c r="D415" s="1" t="s">
        <v>3644</v>
      </c>
      <c r="E415" s="1" t="s">
        <v>3645</v>
      </c>
      <c r="F415" s="1" t="s">
        <v>112</v>
      </c>
      <c r="G415" s="1">
        <v>2627310</v>
      </c>
    </row>
    <row r="416" spans="1:7" x14ac:dyDescent="0.25">
      <c r="A416" s="1" t="str">
        <f t="shared" si="6"/>
        <v>13 TESTO</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3646</v>
      </c>
      <c r="D416" s="1" t="s">
        <v>3647</v>
      </c>
      <c r="E416" s="1" t="s">
        <v>3648</v>
      </c>
      <c r="F416" s="1" t="s">
        <v>112</v>
      </c>
      <c r="G416" s="1">
        <v>2881133</v>
      </c>
    </row>
    <row r="417" spans="1:9" x14ac:dyDescent="0.25">
      <c r="A417" s="1" t="str">
        <f t="shared" si="6"/>
        <v>13 TESTO</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3649</v>
      </c>
      <c r="D417" s="1" t="s">
        <v>3650</v>
      </c>
      <c r="E417" s="1" t="s">
        <v>3651</v>
      </c>
      <c r="F417" s="1" t="s">
        <v>112</v>
      </c>
      <c r="G417" s="1">
        <v>3425194</v>
      </c>
    </row>
    <row r="418" spans="1:9" x14ac:dyDescent="0.25">
      <c r="A418" s="1" t="str">
        <f t="shared" si="6"/>
        <v>13 TESTO</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3652</v>
      </c>
    </row>
    <row r="419" spans="1:9" x14ac:dyDescent="0.25">
      <c r="A419" s="1" t="str">
        <f t="shared" si="6"/>
        <v>13 TESTO</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3653</v>
      </c>
      <c r="D419" s="1" t="s">
        <v>3654</v>
      </c>
      <c r="E419" s="1" t="s">
        <v>3655</v>
      </c>
      <c r="F419" s="1" t="s">
        <v>112</v>
      </c>
      <c r="G419" s="1">
        <v>2965820</v>
      </c>
    </row>
    <row r="420" spans="1:9" x14ac:dyDescent="0.25">
      <c r="A420" s="1" t="str">
        <f t="shared" si="6"/>
        <v>13 TESTO</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3656</v>
      </c>
      <c r="D420" s="1" t="s">
        <v>3657</v>
      </c>
      <c r="E420" s="1" t="s">
        <v>3658</v>
      </c>
      <c r="F420" s="1" t="s">
        <v>112</v>
      </c>
      <c r="G420" s="1">
        <v>2834906</v>
      </c>
    </row>
    <row r="421" spans="1:9" x14ac:dyDescent="0.25">
      <c r="A421" s="1" t="str">
        <f t="shared" si="6"/>
        <v>13 TESTO</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3659</v>
      </c>
      <c r="D421" s="1" t="s">
        <v>3660</v>
      </c>
      <c r="E421" s="1" t="s">
        <v>3661</v>
      </c>
      <c r="F421" s="1" t="s">
        <v>112</v>
      </c>
      <c r="G421" s="1">
        <v>2831121</v>
      </c>
    </row>
    <row r="422" spans="1:9"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9"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236</v>
      </c>
      <c r="D423" s="1" t="s">
        <v>112</v>
      </c>
      <c r="E423" s="1" t="s">
        <v>237</v>
      </c>
      <c r="F423" s="1" t="s">
        <v>238</v>
      </c>
      <c r="G423" s="1" t="s">
        <v>239</v>
      </c>
      <c r="H423" s="1" t="s">
        <v>240</v>
      </c>
      <c r="I423" s="1" t="s">
        <v>241</v>
      </c>
    </row>
    <row r="424" spans="1:9" x14ac:dyDescent="0.25">
      <c r="A424" s="1" t="str">
        <f t="shared" si="6"/>
        <v>13 TESTO</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3662</v>
      </c>
      <c r="D424" s="1" t="s">
        <v>112</v>
      </c>
      <c r="E424" s="1" t="s">
        <v>3663</v>
      </c>
      <c r="F424" s="1" t="s">
        <v>3664</v>
      </c>
      <c r="G424" s="1" t="s">
        <v>3665</v>
      </c>
      <c r="H424" s="1" t="s">
        <v>3666</v>
      </c>
      <c r="I424" s="1">
        <v>24</v>
      </c>
    </row>
    <row r="425" spans="1:9"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9"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9"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9"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9"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9"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248</v>
      </c>
      <c r="D430" s="1" t="s">
        <v>110</v>
      </c>
      <c r="E430" s="1" t="s">
        <v>111</v>
      </c>
      <c r="F430" s="1" t="s">
        <v>112</v>
      </c>
      <c r="G430" s="1" t="s">
        <v>113</v>
      </c>
    </row>
    <row r="431" spans="1:9" x14ac:dyDescent="0.25">
      <c r="A431" s="1" t="str">
        <f t="shared" si="6"/>
        <v>14 TESTO</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3667</v>
      </c>
      <c r="D431" s="1" t="s">
        <v>3668</v>
      </c>
      <c r="E431" s="1" t="s">
        <v>3669</v>
      </c>
      <c r="F431" s="1" t="s">
        <v>112</v>
      </c>
      <c r="G431" s="1">
        <v>4405396</v>
      </c>
    </row>
    <row r="432" spans="1:9" x14ac:dyDescent="0.25">
      <c r="A432" s="1" t="str">
        <f t="shared" si="6"/>
        <v>14 TESTO</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3670</v>
      </c>
      <c r="D432" s="1" t="s">
        <v>3671</v>
      </c>
      <c r="E432" s="1" t="s">
        <v>3672</v>
      </c>
      <c r="F432" s="1" t="s">
        <v>112</v>
      </c>
      <c r="G432" s="1">
        <v>4348750</v>
      </c>
    </row>
    <row r="433" spans="1:7" x14ac:dyDescent="0.25">
      <c r="A433" s="1" t="str">
        <f t="shared" si="6"/>
        <v>14 TESTO</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3673</v>
      </c>
      <c r="D433" s="1" t="s">
        <v>3674</v>
      </c>
      <c r="E433" s="1" t="s">
        <v>3675</v>
      </c>
      <c r="F433" s="1" t="s">
        <v>112</v>
      </c>
      <c r="G433" s="1">
        <v>5045631</v>
      </c>
    </row>
    <row r="434" spans="1:7" x14ac:dyDescent="0.25">
      <c r="A434" s="1" t="str">
        <f t="shared" si="6"/>
        <v>14 TESTO</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3676</v>
      </c>
      <c r="D434" s="1" t="s">
        <v>3677</v>
      </c>
      <c r="E434" s="1" t="s">
        <v>2823</v>
      </c>
      <c r="F434" s="1" t="s">
        <v>112</v>
      </c>
      <c r="G434" s="1">
        <v>2019923</v>
      </c>
    </row>
    <row r="435" spans="1:7" x14ac:dyDescent="0.25">
      <c r="A435" s="1" t="str">
        <f t="shared" si="6"/>
        <v>14 TESTO</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3678</v>
      </c>
      <c r="D435" s="1" t="s">
        <v>3679</v>
      </c>
      <c r="E435" s="1" t="s">
        <v>3680</v>
      </c>
      <c r="F435" s="1" t="s">
        <v>112</v>
      </c>
      <c r="G435" s="1">
        <v>1842674</v>
      </c>
    </row>
    <row r="436" spans="1:7" x14ac:dyDescent="0.25">
      <c r="A436" s="1" t="str">
        <f t="shared" si="6"/>
        <v>14 TESTO</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3681</v>
      </c>
      <c r="D436" s="1" t="s">
        <v>3682</v>
      </c>
      <c r="E436" s="1" t="s">
        <v>3683</v>
      </c>
      <c r="F436" s="1" t="s">
        <v>112</v>
      </c>
      <c r="G436" s="1">
        <v>1952661</v>
      </c>
    </row>
    <row r="437" spans="1:7" x14ac:dyDescent="0.25">
      <c r="A437" s="1" t="str">
        <f t="shared" si="6"/>
        <v>14 TESTO</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3684</v>
      </c>
      <c r="D437" s="1" t="s">
        <v>3685</v>
      </c>
      <c r="E437" s="1" t="s">
        <v>3686</v>
      </c>
      <c r="F437" s="1" t="s">
        <v>112</v>
      </c>
      <c r="G437" s="1">
        <v>1502488</v>
      </c>
    </row>
    <row r="438" spans="1:7" x14ac:dyDescent="0.25">
      <c r="A438" s="1" t="str">
        <f t="shared" si="6"/>
        <v>14 TESTO</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3687</v>
      </c>
      <c r="D438" s="1" t="s">
        <v>3688</v>
      </c>
      <c r="E438" s="1" t="s">
        <v>3689</v>
      </c>
      <c r="F438" s="1" t="s">
        <v>112</v>
      </c>
      <c r="G438" s="1">
        <v>1692464</v>
      </c>
    </row>
    <row r="439" spans="1:7" x14ac:dyDescent="0.25">
      <c r="A439" s="1" t="str">
        <f t="shared" si="6"/>
        <v>14 TESTO</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3690</v>
      </c>
      <c r="D439" s="1" t="s">
        <v>3691</v>
      </c>
      <c r="E439" s="1" t="s">
        <v>3692</v>
      </c>
      <c r="F439" s="1" t="s">
        <v>112</v>
      </c>
      <c r="G439" s="1">
        <v>1248100</v>
      </c>
    </row>
    <row r="440" spans="1:7" x14ac:dyDescent="0.25">
      <c r="A440" s="1" t="str">
        <f t="shared" si="6"/>
        <v>14 TESTO</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3693</v>
      </c>
      <c r="D440" s="1" t="s">
        <v>3694</v>
      </c>
      <c r="E440" s="1" t="s">
        <v>3695</v>
      </c>
      <c r="F440" s="1" t="s">
        <v>112</v>
      </c>
      <c r="G440" s="1">
        <v>939827</v>
      </c>
    </row>
    <row r="441" spans="1:7" x14ac:dyDescent="0.25">
      <c r="A441" s="1" t="str">
        <f t="shared" si="6"/>
        <v>14 TESTO</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3696</v>
      </c>
      <c r="D441" s="1" t="s">
        <v>3697</v>
      </c>
      <c r="E441" s="1" t="s">
        <v>3698</v>
      </c>
      <c r="F441" s="1" t="s">
        <v>112</v>
      </c>
      <c r="G441" s="1">
        <v>907327</v>
      </c>
    </row>
    <row r="442" spans="1:7" x14ac:dyDescent="0.25">
      <c r="A442" s="1" t="str">
        <f t="shared" si="6"/>
        <v>14 TESTO</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3699</v>
      </c>
      <c r="D442" s="1" t="s">
        <v>3700</v>
      </c>
      <c r="E442" s="1" t="s">
        <v>3701</v>
      </c>
      <c r="F442" s="1" t="s">
        <v>112</v>
      </c>
      <c r="G442" s="1">
        <v>964453</v>
      </c>
    </row>
    <row r="443" spans="1:7" x14ac:dyDescent="0.25">
      <c r="A443" s="1" t="str">
        <f t="shared" si="6"/>
        <v>14 TESTO</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3702</v>
      </c>
      <c r="D443" s="1" t="s">
        <v>3703</v>
      </c>
      <c r="E443" s="1" t="s">
        <v>3704</v>
      </c>
      <c r="F443" s="1" t="s">
        <v>112</v>
      </c>
      <c r="G443" s="1">
        <v>1866320</v>
      </c>
    </row>
    <row r="444" spans="1:7" x14ac:dyDescent="0.25">
      <c r="A444" s="1" t="str">
        <f t="shared" si="6"/>
        <v>14 TESTO</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3705</v>
      </c>
      <c r="D444" s="1" t="s">
        <v>3706</v>
      </c>
      <c r="E444" s="1" t="s">
        <v>3707</v>
      </c>
      <c r="F444" s="1" t="s">
        <v>112</v>
      </c>
      <c r="G444" s="1">
        <v>2222124</v>
      </c>
    </row>
    <row r="445" spans="1:7" x14ac:dyDescent="0.25">
      <c r="A445" s="1" t="str">
        <f t="shared" si="6"/>
        <v>14 TESTO</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3708</v>
      </c>
      <c r="D445" s="1" t="s">
        <v>3709</v>
      </c>
      <c r="E445" s="1" t="s">
        <v>3710</v>
      </c>
      <c r="F445" s="1" t="s">
        <v>112</v>
      </c>
      <c r="G445" s="1">
        <v>1833559</v>
      </c>
    </row>
    <row r="446" spans="1:7" x14ac:dyDescent="0.25">
      <c r="A446" s="1" t="str">
        <f t="shared" si="6"/>
        <v>14 TESTO</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3711</v>
      </c>
      <c r="D446" s="1" t="s">
        <v>3712</v>
      </c>
      <c r="E446" s="1" t="s">
        <v>3713</v>
      </c>
      <c r="F446" s="1" t="s">
        <v>112</v>
      </c>
      <c r="G446" s="1">
        <v>1267939</v>
      </c>
    </row>
    <row r="447" spans="1:7" x14ac:dyDescent="0.25">
      <c r="A447" s="1" t="str">
        <f t="shared" si="6"/>
        <v>14 TESTO</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3714</v>
      </c>
      <c r="D447" s="1" t="s">
        <v>3127</v>
      </c>
      <c r="E447" s="1" t="s">
        <v>3715</v>
      </c>
      <c r="F447" s="1" t="s">
        <v>112</v>
      </c>
      <c r="G447" s="1">
        <v>1468465</v>
      </c>
    </row>
    <row r="448" spans="1:7" x14ac:dyDescent="0.25">
      <c r="A448" s="1" t="str">
        <f t="shared" si="6"/>
        <v>14 TESTO</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3716</v>
      </c>
      <c r="D448" s="1" t="s">
        <v>3717</v>
      </c>
      <c r="E448" s="1" t="s">
        <v>3718</v>
      </c>
      <c r="F448" s="1" t="s">
        <v>112</v>
      </c>
      <c r="G448" s="1">
        <v>1133740</v>
      </c>
    </row>
    <row r="449" spans="1:9" x14ac:dyDescent="0.25">
      <c r="A449" s="1" t="str">
        <f t="shared" si="6"/>
        <v>14 TESTO</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3719</v>
      </c>
      <c r="D449" s="1" t="s">
        <v>3720</v>
      </c>
      <c r="E449" s="1" t="s">
        <v>3721</v>
      </c>
      <c r="F449" s="1" t="s">
        <v>112</v>
      </c>
      <c r="G449" s="1">
        <v>1940457</v>
      </c>
    </row>
    <row r="450" spans="1:9" x14ac:dyDescent="0.25">
      <c r="A450" s="1" t="str">
        <f t="shared" ref="A450:A513" si="7">IFERROR(LEFT(RIGHT(C450,LEN(C450)-SEARCH("@",C450)),SEARCH("/",RIGHT(C450,LEN(C450)-SEARCH("@",C450)-1))),"")</f>
        <v>14 TESTO</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3722</v>
      </c>
      <c r="D450" s="1" t="s">
        <v>3723</v>
      </c>
      <c r="E450" s="1" t="s">
        <v>3724</v>
      </c>
      <c r="F450" s="1" t="s">
        <v>112</v>
      </c>
      <c r="G450" s="1">
        <v>2493698</v>
      </c>
    </row>
    <row r="451" spans="1:9" x14ac:dyDescent="0.25">
      <c r="A451" s="1" t="str">
        <f t="shared" si="7"/>
        <v>14 TESTO</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3725</v>
      </c>
      <c r="D451" s="1" t="s">
        <v>3726</v>
      </c>
      <c r="E451" s="1" t="s">
        <v>3727</v>
      </c>
      <c r="F451" s="1" t="s">
        <v>112</v>
      </c>
      <c r="G451" s="1">
        <v>1945438</v>
      </c>
    </row>
    <row r="452" spans="1:9" x14ac:dyDescent="0.25">
      <c r="A452" s="1" t="str">
        <f t="shared" si="7"/>
        <v>14 TESTO</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3728</v>
      </c>
    </row>
    <row r="453" spans="1:9" x14ac:dyDescent="0.25">
      <c r="A453" s="1" t="str">
        <f t="shared" si="7"/>
        <v>14 TESTO</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3729</v>
      </c>
      <c r="D453" s="1" t="s">
        <v>3730</v>
      </c>
      <c r="E453" s="1" t="s">
        <v>3731</v>
      </c>
      <c r="F453" s="1" t="s">
        <v>112</v>
      </c>
      <c r="G453" s="1">
        <v>2615954</v>
      </c>
    </row>
    <row r="454" spans="1:9" x14ac:dyDescent="0.25">
      <c r="A454" s="1" t="str">
        <f t="shared" si="7"/>
        <v>14 TESTO</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3732</v>
      </c>
      <c r="D454" s="1" t="s">
        <v>3733</v>
      </c>
      <c r="E454" s="1" t="s">
        <v>3734</v>
      </c>
      <c r="F454" s="1" t="s">
        <v>112</v>
      </c>
      <c r="G454" s="1">
        <v>2753351</v>
      </c>
    </row>
    <row r="455" spans="1:9"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9"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236</v>
      </c>
      <c r="D456" s="1" t="s">
        <v>112</v>
      </c>
      <c r="E456" s="1" t="s">
        <v>237</v>
      </c>
      <c r="F456" s="1" t="s">
        <v>238</v>
      </c>
      <c r="G456" s="1" t="s">
        <v>239</v>
      </c>
      <c r="H456" s="1" t="s">
        <v>240</v>
      </c>
      <c r="I456" s="1" t="s">
        <v>241</v>
      </c>
    </row>
    <row r="457" spans="1:9" x14ac:dyDescent="0.25">
      <c r="A457" s="1" t="str">
        <f t="shared" si="7"/>
        <v>14 TESTO</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3735</v>
      </c>
      <c r="D457" s="1" t="s">
        <v>112</v>
      </c>
      <c r="E457" s="1" t="s">
        <v>3736</v>
      </c>
      <c r="F457" s="1" t="s">
        <v>3737</v>
      </c>
      <c r="G457" s="1" t="s">
        <v>3738</v>
      </c>
      <c r="H457" s="1" t="s">
        <v>3739</v>
      </c>
      <c r="I457" s="1">
        <v>24</v>
      </c>
    </row>
    <row r="458" spans="1:9"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9"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9"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9"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9"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9"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248</v>
      </c>
      <c r="D463" s="1" t="s">
        <v>110</v>
      </c>
      <c r="E463" s="1" t="s">
        <v>111</v>
      </c>
      <c r="F463" s="1" t="s">
        <v>112</v>
      </c>
      <c r="G463" s="1" t="s">
        <v>113</v>
      </c>
    </row>
    <row r="464" spans="1:9" x14ac:dyDescent="0.25">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3740</v>
      </c>
      <c r="D464" s="1" t="s">
        <v>3741</v>
      </c>
      <c r="E464" s="1" t="s">
        <v>3742</v>
      </c>
      <c r="F464" s="1" t="s">
        <v>112</v>
      </c>
      <c r="G464" s="1">
        <v>5503308</v>
      </c>
    </row>
    <row r="465" spans="1:7" x14ac:dyDescent="0.25">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3743</v>
      </c>
      <c r="D465" s="1" t="s">
        <v>3744</v>
      </c>
      <c r="E465" s="1" t="s">
        <v>3745</v>
      </c>
      <c r="F465" s="1" t="s">
        <v>112</v>
      </c>
      <c r="G465" s="1">
        <v>5797941</v>
      </c>
    </row>
    <row r="466" spans="1:7" x14ac:dyDescent="0.25">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3746</v>
      </c>
      <c r="D466" s="1" t="s">
        <v>3747</v>
      </c>
      <c r="E466" s="1" t="s">
        <v>3748</v>
      </c>
      <c r="F466" s="1" t="s">
        <v>112</v>
      </c>
      <c r="G466" s="1">
        <v>4545904</v>
      </c>
    </row>
    <row r="467" spans="1:7" x14ac:dyDescent="0.25">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3749</v>
      </c>
      <c r="D467" s="1" t="s">
        <v>3750</v>
      </c>
      <c r="E467" s="1" t="s">
        <v>3751</v>
      </c>
      <c r="F467" s="1" t="s">
        <v>112</v>
      </c>
      <c r="G467" s="1">
        <v>5012914</v>
      </c>
    </row>
    <row r="468" spans="1:7" x14ac:dyDescent="0.25">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3752</v>
      </c>
    </row>
    <row r="469" spans="1:7" x14ac:dyDescent="0.25">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3753</v>
      </c>
      <c r="D469" s="1" t="s">
        <v>3754</v>
      </c>
      <c r="E469" s="1" t="s">
        <v>3755</v>
      </c>
      <c r="F469" s="1" t="s">
        <v>112</v>
      </c>
      <c r="G469" s="1">
        <v>5207914</v>
      </c>
    </row>
    <row r="470" spans="1:7" x14ac:dyDescent="0.25">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3756</v>
      </c>
      <c r="D470" s="1" t="s">
        <v>3757</v>
      </c>
      <c r="E470" s="1" t="s">
        <v>3758</v>
      </c>
      <c r="F470" s="1" t="s">
        <v>112</v>
      </c>
      <c r="G470" s="1">
        <v>4436787</v>
      </c>
    </row>
    <row r="471" spans="1:7" x14ac:dyDescent="0.25">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3759</v>
      </c>
      <c r="D471" s="1" t="s">
        <v>3760</v>
      </c>
      <c r="E471" s="1" t="s">
        <v>3761</v>
      </c>
      <c r="F471" s="1" t="s">
        <v>112</v>
      </c>
      <c r="G471" s="1">
        <v>4220707</v>
      </c>
    </row>
    <row r="472" spans="1:7" x14ac:dyDescent="0.25">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3762</v>
      </c>
      <c r="D472" s="1" t="s">
        <v>3763</v>
      </c>
      <c r="E472" s="1" t="s">
        <v>3764</v>
      </c>
      <c r="F472" s="1" t="s">
        <v>112</v>
      </c>
      <c r="G472" s="1">
        <v>4436134</v>
      </c>
    </row>
    <row r="473" spans="1:7" x14ac:dyDescent="0.25">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3765</v>
      </c>
      <c r="D473" s="1" t="s">
        <v>3766</v>
      </c>
      <c r="E473" s="1" t="s">
        <v>3767</v>
      </c>
      <c r="F473" s="1" t="s">
        <v>112</v>
      </c>
      <c r="G473" s="1">
        <v>3768795</v>
      </c>
    </row>
    <row r="474" spans="1:7" x14ac:dyDescent="0.25">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3768</v>
      </c>
      <c r="D474" s="1" t="s">
        <v>3769</v>
      </c>
      <c r="E474" s="1" t="s">
        <v>3770</v>
      </c>
      <c r="F474" s="1" t="s">
        <v>112</v>
      </c>
      <c r="G474" s="1">
        <v>4276505</v>
      </c>
    </row>
    <row r="475" spans="1:7" x14ac:dyDescent="0.25">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3771</v>
      </c>
      <c r="D475" s="1" t="s">
        <v>3772</v>
      </c>
      <c r="E475" s="1" t="s">
        <v>3773</v>
      </c>
      <c r="F475" s="1" t="s">
        <v>112</v>
      </c>
      <c r="G475" s="1">
        <v>4220033</v>
      </c>
    </row>
    <row r="476" spans="1:7" x14ac:dyDescent="0.25">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3774</v>
      </c>
      <c r="D476" s="1" t="s">
        <v>3775</v>
      </c>
      <c r="E476" s="1" t="s">
        <v>3776</v>
      </c>
      <c r="F476" s="1" t="s">
        <v>112</v>
      </c>
      <c r="G476" s="1">
        <v>4725198</v>
      </c>
    </row>
    <row r="477" spans="1:7" x14ac:dyDescent="0.25">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3777</v>
      </c>
      <c r="D477" s="1" t="s">
        <v>3778</v>
      </c>
      <c r="E477" s="1" t="s">
        <v>3779</v>
      </c>
      <c r="F477" s="1" t="s">
        <v>112</v>
      </c>
      <c r="G477" s="1">
        <v>4885741</v>
      </c>
    </row>
    <row r="478" spans="1:7" x14ac:dyDescent="0.25">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3780</v>
      </c>
      <c r="D478" s="1" t="s">
        <v>3781</v>
      </c>
      <c r="E478" s="1" t="s">
        <v>3782</v>
      </c>
      <c r="F478" s="1" t="s">
        <v>112</v>
      </c>
      <c r="G478" s="1">
        <v>4845845</v>
      </c>
    </row>
    <row r="479" spans="1:7" x14ac:dyDescent="0.25">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3783</v>
      </c>
      <c r="D479" s="1" t="s">
        <v>3784</v>
      </c>
      <c r="E479" s="1" t="s">
        <v>3785</v>
      </c>
      <c r="F479" s="1" t="s">
        <v>112</v>
      </c>
      <c r="G479" s="1">
        <v>3119075</v>
      </c>
    </row>
    <row r="480" spans="1:7" x14ac:dyDescent="0.25">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3786</v>
      </c>
      <c r="D480" s="1" t="s">
        <v>3787</v>
      </c>
      <c r="E480" s="1" t="s">
        <v>3788</v>
      </c>
      <c r="F480" s="1" t="s">
        <v>112</v>
      </c>
      <c r="G480" s="1">
        <v>3286840</v>
      </c>
    </row>
    <row r="481" spans="1:9" x14ac:dyDescent="0.25">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3789</v>
      </c>
      <c r="D481" s="1" t="s">
        <v>3790</v>
      </c>
      <c r="E481" s="1" t="s">
        <v>3791</v>
      </c>
      <c r="F481" s="1" t="s">
        <v>112</v>
      </c>
      <c r="G481" s="1">
        <v>3196062</v>
      </c>
    </row>
    <row r="482" spans="1:9" x14ac:dyDescent="0.25">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3792</v>
      </c>
      <c r="D482" s="1" t="s">
        <v>3793</v>
      </c>
      <c r="E482" s="1" t="s">
        <v>3794</v>
      </c>
      <c r="F482" s="1" t="s">
        <v>112</v>
      </c>
      <c r="G482" s="1">
        <v>2735317</v>
      </c>
    </row>
    <row r="483" spans="1:9" x14ac:dyDescent="0.25">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3795</v>
      </c>
      <c r="D483" s="1" t="s">
        <v>3796</v>
      </c>
      <c r="E483" s="1" t="s">
        <v>3797</v>
      </c>
      <c r="F483" s="1" t="s">
        <v>112</v>
      </c>
      <c r="G483" s="1">
        <v>2829424</v>
      </c>
    </row>
    <row r="484" spans="1:9" x14ac:dyDescent="0.25">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3798</v>
      </c>
    </row>
    <row r="485" spans="1:9" x14ac:dyDescent="0.25">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3799</v>
      </c>
      <c r="D485" s="1" t="s">
        <v>3800</v>
      </c>
      <c r="E485" s="1" t="s">
        <v>3801</v>
      </c>
      <c r="F485" s="1" t="s">
        <v>112</v>
      </c>
      <c r="G485" s="1">
        <v>4282575</v>
      </c>
    </row>
    <row r="486" spans="1:9" x14ac:dyDescent="0.25">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3802</v>
      </c>
      <c r="D486" s="1" t="s">
        <v>3803</v>
      </c>
      <c r="E486" s="1" t="s">
        <v>3804</v>
      </c>
      <c r="F486" s="1" t="s">
        <v>112</v>
      </c>
      <c r="G486" s="1">
        <v>4070193</v>
      </c>
    </row>
    <row r="487" spans="1:9" x14ac:dyDescent="0.25">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3805</v>
      </c>
      <c r="D487" s="1" t="s">
        <v>3806</v>
      </c>
      <c r="E487" s="1" t="s">
        <v>3807</v>
      </c>
      <c r="F487" s="1" t="s">
        <v>112</v>
      </c>
      <c r="G487" s="1">
        <v>4551495</v>
      </c>
    </row>
    <row r="488" spans="1:9"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9"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236</v>
      </c>
      <c r="D489" s="1" t="s">
        <v>112</v>
      </c>
      <c r="E489" s="1" t="s">
        <v>237</v>
      </c>
      <c r="F489" s="1" t="s">
        <v>238</v>
      </c>
      <c r="G489" s="1" t="s">
        <v>239</v>
      </c>
      <c r="H489" s="1" t="s">
        <v>240</v>
      </c>
      <c r="I489" s="1" t="s">
        <v>241</v>
      </c>
    </row>
    <row r="490" spans="1:9" x14ac:dyDescent="0.25">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3808</v>
      </c>
      <c r="D490" s="1" t="s">
        <v>112</v>
      </c>
      <c r="E490" s="1" t="s">
        <v>3809</v>
      </c>
      <c r="F490" s="1" t="s">
        <v>3810</v>
      </c>
      <c r="G490" s="1" t="s">
        <v>3811</v>
      </c>
      <c r="H490" s="1" t="s">
        <v>3812</v>
      </c>
      <c r="I490" s="1">
        <v>24</v>
      </c>
    </row>
    <row r="491" spans="1:9"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9"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9"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9"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9"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9"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248</v>
      </c>
      <c r="D496" s="1" t="s">
        <v>110</v>
      </c>
      <c r="E496" s="1" t="s">
        <v>111</v>
      </c>
      <c r="F496" s="1" t="s">
        <v>112</v>
      </c>
      <c r="G496" s="1" t="s">
        <v>113</v>
      </c>
    </row>
    <row r="497" spans="1:7" x14ac:dyDescent="0.25">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3813</v>
      </c>
      <c r="D497" s="1" t="s">
        <v>3814</v>
      </c>
      <c r="E497" s="1" t="s">
        <v>3815</v>
      </c>
      <c r="F497" s="1" t="s">
        <v>112</v>
      </c>
      <c r="G497" s="1">
        <v>175596</v>
      </c>
    </row>
    <row r="498" spans="1:7" x14ac:dyDescent="0.25">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3816</v>
      </c>
      <c r="D498" s="1" t="s">
        <v>3327</v>
      </c>
      <c r="E498" s="1" t="s">
        <v>3817</v>
      </c>
      <c r="F498" s="1" t="s">
        <v>112</v>
      </c>
      <c r="G498" s="1">
        <v>247993</v>
      </c>
    </row>
    <row r="499" spans="1:7" x14ac:dyDescent="0.25">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3818</v>
      </c>
      <c r="D499" s="1" t="s">
        <v>3819</v>
      </c>
      <c r="E499" s="1" t="s">
        <v>3820</v>
      </c>
      <c r="F499" s="1" t="s">
        <v>112</v>
      </c>
      <c r="G499" s="1">
        <v>116165</v>
      </c>
    </row>
    <row r="500" spans="1:7" x14ac:dyDescent="0.25">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3821</v>
      </c>
      <c r="D500" s="1" t="s">
        <v>2925</v>
      </c>
      <c r="E500" s="1" t="s">
        <v>3822</v>
      </c>
      <c r="F500" s="1" t="s">
        <v>112</v>
      </c>
      <c r="G500" s="1">
        <v>37308</v>
      </c>
    </row>
    <row r="501" spans="1:7" x14ac:dyDescent="0.25">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3823</v>
      </c>
      <c r="D501" s="1" t="s">
        <v>3824</v>
      </c>
      <c r="E501" s="1" t="s">
        <v>3825</v>
      </c>
      <c r="F501" s="1" t="s">
        <v>112</v>
      </c>
      <c r="G501" s="1">
        <v>162131</v>
      </c>
    </row>
    <row r="502" spans="1:7" x14ac:dyDescent="0.25">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3826</v>
      </c>
      <c r="D502" s="1" t="s">
        <v>2947</v>
      </c>
      <c r="E502" s="1" t="s">
        <v>2689</v>
      </c>
      <c r="F502" s="1" t="s">
        <v>112</v>
      </c>
      <c r="G502" s="1">
        <v>23864</v>
      </c>
    </row>
    <row r="503" spans="1:7" x14ac:dyDescent="0.25">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3827</v>
      </c>
      <c r="D503" s="1" t="s">
        <v>3828</v>
      </c>
      <c r="E503" s="1" t="s">
        <v>3829</v>
      </c>
      <c r="F503" s="1" t="s">
        <v>112</v>
      </c>
      <c r="G503" s="1">
        <v>73136</v>
      </c>
    </row>
    <row r="504" spans="1:7" x14ac:dyDescent="0.25">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3830</v>
      </c>
      <c r="D504" s="1" t="s">
        <v>2869</v>
      </c>
      <c r="E504" s="1" t="s">
        <v>1377</v>
      </c>
      <c r="F504" s="1" t="s">
        <v>112</v>
      </c>
      <c r="G504" s="1">
        <v>13640</v>
      </c>
    </row>
    <row r="505" spans="1:7" x14ac:dyDescent="0.25">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3831</v>
      </c>
      <c r="D505" s="1" t="s">
        <v>3004</v>
      </c>
      <c r="E505" s="1" t="s">
        <v>3832</v>
      </c>
      <c r="F505" s="1" t="s">
        <v>112</v>
      </c>
      <c r="G505" s="1">
        <v>20644</v>
      </c>
    </row>
    <row r="506" spans="1:7" x14ac:dyDescent="0.25">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3833</v>
      </c>
      <c r="D506" s="1" t="s">
        <v>3484</v>
      </c>
      <c r="E506" s="1" t="s">
        <v>3834</v>
      </c>
      <c r="F506" s="1" t="s">
        <v>112</v>
      </c>
      <c r="G506" s="1">
        <v>60998</v>
      </c>
    </row>
    <row r="507" spans="1:7" x14ac:dyDescent="0.25">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3835</v>
      </c>
      <c r="D507" s="1" t="s">
        <v>2969</v>
      </c>
      <c r="E507" s="1" t="s">
        <v>215</v>
      </c>
      <c r="F507" s="1" t="s">
        <v>112</v>
      </c>
      <c r="G507" s="1">
        <v>41332</v>
      </c>
    </row>
    <row r="508" spans="1:7" x14ac:dyDescent="0.25">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3836</v>
      </c>
      <c r="D508" s="1" t="s">
        <v>2992</v>
      </c>
      <c r="E508" s="1" t="s">
        <v>1480</v>
      </c>
      <c r="F508" s="1" t="s">
        <v>112</v>
      </c>
      <c r="G508" s="1">
        <v>45096</v>
      </c>
    </row>
    <row r="509" spans="1:7" x14ac:dyDescent="0.25">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3837</v>
      </c>
      <c r="D509" s="1" t="s">
        <v>3838</v>
      </c>
      <c r="E509" s="1" t="s">
        <v>3839</v>
      </c>
      <c r="F509" s="1" t="s">
        <v>112</v>
      </c>
      <c r="G509" s="1">
        <v>306228</v>
      </c>
    </row>
    <row r="510" spans="1:7" x14ac:dyDescent="0.25">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3840</v>
      </c>
      <c r="D510" s="1" t="s">
        <v>3841</v>
      </c>
      <c r="E510" s="1" t="s">
        <v>3842</v>
      </c>
      <c r="F510" s="1" t="s">
        <v>112</v>
      </c>
      <c r="G510" s="1">
        <v>297809</v>
      </c>
    </row>
    <row r="511" spans="1:7" x14ac:dyDescent="0.25">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3843</v>
      </c>
      <c r="D511" s="1" t="s">
        <v>3004</v>
      </c>
      <c r="E511" s="1" t="s">
        <v>1304</v>
      </c>
      <c r="F511" s="1" t="s">
        <v>112</v>
      </c>
      <c r="G511" s="1">
        <v>20383</v>
      </c>
    </row>
    <row r="512" spans="1:7" x14ac:dyDescent="0.25">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3844</v>
      </c>
      <c r="D512" s="1" t="s">
        <v>3567</v>
      </c>
      <c r="E512" s="1" t="s">
        <v>2807</v>
      </c>
      <c r="F512" s="1" t="s">
        <v>112</v>
      </c>
      <c r="G512" s="1">
        <v>31478</v>
      </c>
    </row>
    <row r="513" spans="1:9" x14ac:dyDescent="0.25">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3845</v>
      </c>
      <c r="D513" s="1" t="s">
        <v>3846</v>
      </c>
      <c r="E513" s="1" t="s">
        <v>3847</v>
      </c>
      <c r="F513" s="1" t="s">
        <v>112</v>
      </c>
      <c r="G513" s="1">
        <v>422110</v>
      </c>
    </row>
    <row r="514" spans="1:9" x14ac:dyDescent="0.25">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3848</v>
      </c>
      <c r="D514" s="1" t="s">
        <v>3004</v>
      </c>
      <c r="E514" s="1" t="s">
        <v>226</v>
      </c>
      <c r="F514" s="1" t="s">
        <v>112</v>
      </c>
      <c r="G514" s="1">
        <v>20536</v>
      </c>
    </row>
    <row r="515" spans="1:9" x14ac:dyDescent="0.25">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3849</v>
      </c>
      <c r="D515" s="1" t="s">
        <v>3850</v>
      </c>
      <c r="E515" s="1" t="s">
        <v>3851</v>
      </c>
      <c r="F515" s="1" t="s">
        <v>112</v>
      </c>
      <c r="G515" s="1">
        <v>143444</v>
      </c>
    </row>
    <row r="516" spans="1:9" x14ac:dyDescent="0.25">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3852</v>
      </c>
      <c r="D516" s="1" t="s">
        <v>3475</v>
      </c>
      <c r="E516" s="1" t="s">
        <v>3853</v>
      </c>
      <c r="F516" s="1" t="s">
        <v>112</v>
      </c>
      <c r="G516" s="1">
        <v>122561</v>
      </c>
    </row>
    <row r="517" spans="1:9" x14ac:dyDescent="0.25">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3854</v>
      </c>
      <c r="D517" s="1" t="s">
        <v>3443</v>
      </c>
      <c r="E517" s="1" t="s">
        <v>3855</v>
      </c>
      <c r="F517" s="1" t="s">
        <v>112</v>
      </c>
      <c r="G517" s="1">
        <v>149796</v>
      </c>
    </row>
    <row r="518" spans="1:9" x14ac:dyDescent="0.25">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3856</v>
      </c>
      <c r="D518" s="1" t="s">
        <v>2925</v>
      </c>
      <c r="E518" s="1" t="s">
        <v>3857</v>
      </c>
      <c r="F518" s="1" t="s">
        <v>112</v>
      </c>
      <c r="G518" s="1">
        <v>35654</v>
      </c>
    </row>
    <row r="519" spans="1:9" x14ac:dyDescent="0.25">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3858</v>
      </c>
      <c r="D519" s="1" t="s">
        <v>3859</v>
      </c>
      <c r="E519" s="1" t="s">
        <v>3860</v>
      </c>
      <c r="F519" s="1" t="s">
        <v>112</v>
      </c>
      <c r="G519" s="1">
        <v>33000</v>
      </c>
    </row>
    <row r="520" spans="1:9" x14ac:dyDescent="0.25">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3861</v>
      </c>
      <c r="D520" s="1" t="s">
        <v>3862</v>
      </c>
      <c r="E520" s="1" t="s">
        <v>3863</v>
      </c>
      <c r="F520" s="1" t="s">
        <v>112</v>
      </c>
      <c r="G520" s="1">
        <v>197067</v>
      </c>
    </row>
    <row r="521" spans="1:9"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9"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236</v>
      </c>
      <c r="D522" s="1" t="s">
        <v>112</v>
      </c>
      <c r="E522" s="1" t="s">
        <v>237</v>
      </c>
      <c r="F522" s="1" t="s">
        <v>238</v>
      </c>
      <c r="G522" s="1" t="s">
        <v>239</v>
      </c>
      <c r="H522" s="1" t="s">
        <v>240</v>
      </c>
      <c r="I522" s="1" t="s">
        <v>241</v>
      </c>
    </row>
    <row r="523" spans="1:9" x14ac:dyDescent="0.25">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3864</v>
      </c>
      <c r="D523" s="1" t="s">
        <v>112</v>
      </c>
      <c r="E523" s="1" t="s">
        <v>3865</v>
      </c>
      <c r="F523" s="1" t="s">
        <v>3866</v>
      </c>
      <c r="G523" s="1" t="s">
        <v>3867</v>
      </c>
      <c r="H523" s="1" t="s">
        <v>3868</v>
      </c>
      <c r="I523" s="1">
        <v>24</v>
      </c>
    </row>
    <row r="524" spans="1:9"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9"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9"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9"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9"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248</v>
      </c>
      <c r="D529" s="1" t="s">
        <v>110</v>
      </c>
      <c r="E529" s="1" t="s">
        <v>111</v>
      </c>
      <c r="F529" s="1" t="s">
        <v>112</v>
      </c>
      <c r="G529" s="1" t="s">
        <v>113</v>
      </c>
    </row>
    <row r="530" spans="1:7" x14ac:dyDescent="0.25">
      <c r="A530" s="1" t="str">
        <f t="shared" si="8"/>
        <v>17 FADROZOLE 5.4</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3869</v>
      </c>
      <c r="D530" s="1" t="s">
        <v>3870</v>
      </c>
      <c r="E530" s="1" t="s">
        <v>3871</v>
      </c>
      <c r="F530" s="1" t="s">
        <v>112</v>
      </c>
      <c r="G530" s="1">
        <v>120755</v>
      </c>
    </row>
    <row r="531" spans="1:7" x14ac:dyDescent="0.25">
      <c r="A531" s="1" t="str">
        <f t="shared" si="8"/>
        <v>17 FADROZOLE 5.4</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3872</v>
      </c>
      <c r="D531" s="1" t="s">
        <v>3355</v>
      </c>
      <c r="E531" s="1" t="s">
        <v>3873</v>
      </c>
      <c r="F531" s="1" t="s">
        <v>112</v>
      </c>
      <c r="G531" s="1">
        <v>48467</v>
      </c>
    </row>
    <row r="532" spans="1:7" x14ac:dyDescent="0.25">
      <c r="A532" s="1" t="str">
        <f t="shared" si="8"/>
        <v>17 FADROZOLE 5.4</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3874</v>
      </c>
      <c r="D532" s="1" t="s">
        <v>3567</v>
      </c>
      <c r="E532" s="1" t="s">
        <v>3875</v>
      </c>
      <c r="F532" s="1" t="s">
        <v>112</v>
      </c>
      <c r="G532" s="1">
        <v>31130</v>
      </c>
    </row>
    <row r="533" spans="1:7" x14ac:dyDescent="0.25">
      <c r="A533" s="1" t="str">
        <f t="shared" si="8"/>
        <v>17 FADROZOLE 5.4</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3876</v>
      </c>
      <c r="D533" s="1" t="s">
        <v>3877</v>
      </c>
      <c r="E533" s="1" t="s">
        <v>3878</v>
      </c>
      <c r="F533" s="1" t="s">
        <v>112</v>
      </c>
      <c r="G533" s="1">
        <v>266309</v>
      </c>
    </row>
    <row r="534" spans="1:7" x14ac:dyDescent="0.25">
      <c r="A534" s="1" t="str">
        <f t="shared" si="8"/>
        <v>17 FADROZOLE 5.4</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3879</v>
      </c>
      <c r="D534" s="1" t="s">
        <v>3458</v>
      </c>
      <c r="E534" s="1" t="s">
        <v>3880</v>
      </c>
      <c r="F534" s="1" t="s">
        <v>112</v>
      </c>
      <c r="G534" s="1">
        <v>100307</v>
      </c>
    </row>
    <row r="535" spans="1:7" x14ac:dyDescent="0.25">
      <c r="A535" s="1" t="str">
        <f t="shared" si="8"/>
        <v>17 FADROZOLE 5.4</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3881</v>
      </c>
      <c r="D535" s="1" t="s">
        <v>2969</v>
      </c>
      <c r="E535" s="1" t="s">
        <v>3882</v>
      </c>
      <c r="F535" s="1" t="s">
        <v>112</v>
      </c>
      <c r="G535" s="1">
        <v>41245</v>
      </c>
    </row>
    <row r="536" spans="1:7" x14ac:dyDescent="0.25">
      <c r="A536" s="1" t="str">
        <f t="shared" si="8"/>
        <v>17 FADROZOLE 5.4</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3883</v>
      </c>
      <c r="D536" s="1" t="s">
        <v>3884</v>
      </c>
      <c r="E536" s="1" t="s">
        <v>3885</v>
      </c>
      <c r="F536" s="1" t="s">
        <v>112</v>
      </c>
      <c r="G536" s="1">
        <v>661162</v>
      </c>
    </row>
    <row r="537" spans="1:7" x14ac:dyDescent="0.25">
      <c r="A537" s="1" t="str">
        <f t="shared" si="8"/>
        <v>17 FADROZOLE 5.4</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3886</v>
      </c>
      <c r="D537" s="1" t="s">
        <v>3887</v>
      </c>
      <c r="E537" s="1" t="s">
        <v>3888</v>
      </c>
      <c r="F537" s="1" t="s">
        <v>112</v>
      </c>
      <c r="G537" s="1">
        <v>337335</v>
      </c>
    </row>
    <row r="538" spans="1:7" x14ac:dyDescent="0.25">
      <c r="A538" s="1" t="str">
        <f t="shared" si="8"/>
        <v>17 FADROZOLE 5.4</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3889</v>
      </c>
      <c r="D538" s="1" t="s">
        <v>3890</v>
      </c>
      <c r="E538" s="1" t="s">
        <v>3891</v>
      </c>
      <c r="F538" s="1" t="s">
        <v>112</v>
      </c>
      <c r="G538" s="1">
        <v>489481</v>
      </c>
    </row>
    <row r="539" spans="1:7" x14ac:dyDescent="0.25">
      <c r="A539" s="1" t="str">
        <f t="shared" si="8"/>
        <v>17 FADROZOLE 5.4</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3892</v>
      </c>
      <c r="D539" s="1" t="s">
        <v>2836</v>
      </c>
      <c r="E539" s="1" t="s">
        <v>2829</v>
      </c>
      <c r="F539" s="1" t="s">
        <v>112</v>
      </c>
      <c r="G539" s="1">
        <v>26279</v>
      </c>
    </row>
    <row r="540" spans="1:7" x14ac:dyDescent="0.25">
      <c r="A540" s="1" t="str">
        <f t="shared" si="8"/>
        <v>17 FADROZOLE 5.4</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3893</v>
      </c>
      <c r="D540" s="1" t="s">
        <v>2891</v>
      </c>
      <c r="E540" s="1">
        <v>64</v>
      </c>
      <c r="F540" s="1" t="s">
        <v>112</v>
      </c>
      <c r="G540" s="1">
        <v>12530</v>
      </c>
    </row>
    <row r="541" spans="1:7" x14ac:dyDescent="0.25">
      <c r="A541" s="1" t="str">
        <f t="shared" si="8"/>
        <v>17 FADROZOLE 5.4</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3894</v>
      </c>
      <c r="D541" s="1" t="s">
        <v>2891</v>
      </c>
      <c r="E541" s="1" t="s">
        <v>2831</v>
      </c>
      <c r="F541" s="1" t="s">
        <v>112</v>
      </c>
      <c r="G541" s="1">
        <v>12378</v>
      </c>
    </row>
    <row r="542" spans="1:7" x14ac:dyDescent="0.25">
      <c r="A542" s="1" t="str">
        <f t="shared" si="8"/>
        <v>17 FADROZOLE 5.4</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3895</v>
      </c>
      <c r="D542" s="1" t="s">
        <v>2859</v>
      </c>
      <c r="E542" s="1">
        <v>63</v>
      </c>
      <c r="F542" s="1" t="s">
        <v>112</v>
      </c>
      <c r="G542" s="1">
        <v>16446</v>
      </c>
    </row>
    <row r="543" spans="1:7" x14ac:dyDescent="0.25">
      <c r="A543" s="1" t="str">
        <f t="shared" si="8"/>
        <v>17 FADROZOLE 5.4</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3896</v>
      </c>
      <c r="D543" s="1" t="s">
        <v>3586</v>
      </c>
      <c r="E543" s="1" t="s">
        <v>3897</v>
      </c>
      <c r="F543" s="1" t="s">
        <v>112</v>
      </c>
      <c r="G543" s="1">
        <v>37416</v>
      </c>
    </row>
    <row r="544" spans="1:7" x14ac:dyDescent="0.25">
      <c r="A544" s="1" t="str">
        <f t="shared" si="8"/>
        <v>17 FADROZOLE 5.4</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3898</v>
      </c>
      <c r="D544" s="1" t="s">
        <v>2960</v>
      </c>
      <c r="E544" s="1" t="s">
        <v>3899</v>
      </c>
      <c r="F544" s="1" t="s">
        <v>112</v>
      </c>
      <c r="G544" s="1">
        <v>70917</v>
      </c>
    </row>
    <row r="545" spans="1:9" x14ac:dyDescent="0.25">
      <c r="A545" s="1" t="str">
        <f t="shared" si="8"/>
        <v>17 FADROZOLE 5.4</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3900</v>
      </c>
      <c r="D545" s="1" t="s">
        <v>3008</v>
      </c>
      <c r="E545" s="1" t="s">
        <v>741</v>
      </c>
      <c r="F545" s="1" t="s">
        <v>112</v>
      </c>
      <c r="G545" s="1">
        <v>19317</v>
      </c>
    </row>
    <row r="546" spans="1:9" x14ac:dyDescent="0.25">
      <c r="A546" s="1" t="str">
        <f t="shared" si="8"/>
        <v>17 FADROZOLE 5.4</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3901</v>
      </c>
      <c r="D546" s="1" t="s">
        <v>3008</v>
      </c>
      <c r="E546" s="1" t="s">
        <v>741</v>
      </c>
      <c r="F546" s="1" t="s">
        <v>112</v>
      </c>
      <c r="G546" s="1">
        <v>19317</v>
      </c>
    </row>
    <row r="547" spans="1:9" x14ac:dyDescent="0.25">
      <c r="A547" s="1" t="str">
        <f t="shared" si="8"/>
        <v>17 FADROZOLE 5.4</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3902</v>
      </c>
      <c r="D547" s="1" t="s">
        <v>3903</v>
      </c>
      <c r="E547" s="1" t="s">
        <v>3904</v>
      </c>
      <c r="F547" s="1" t="s">
        <v>112</v>
      </c>
      <c r="G547" s="1">
        <v>210816</v>
      </c>
    </row>
    <row r="548" spans="1:9" x14ac:dyDescent="0.25">
      <c r="A548" s="1" t="str">
        <f t="shared" si="8"/>
        <v>17 FADROZOLE 5.4</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3905</v>
      </c>
      <c r="D548" s="1" t="s">
        <v>2969</v>
      </c>
      <c r="E548" s="1" t="s">
        <v>3906</v>
      </c>
      <c r="F548" s="1" t="s">
        <v>112</v>
      </c>
      <c r="G548" s="1">
        <v>40593</v>
      </c>
    </row>
    <row r="549" spans="1:9" x14ac:dyDescent="0.25">
      <c r="A549" s="1" t="str">
        <f t="shared" si="8"/>
        <v>17 FADROZOLE 5.4</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3907</v>
      </c>
      <c r="D549" s="1" t="s">
        <v>3908</v>
      </c>
      <c r="E549" s="1" t="s">
        <v>3909</v>
      </c>
      <c r="F549" s="1" t="s">
        <v>112</v>
      </c>
      <c r="G549" s="1">
        <v>175248</v>
      </c>
    </row>
    <row r="550" spans="1:9" x14ac:dyDescent="0.25">
      <c r="A550" s="1" t="str">
        <f t="shared" si="8"/>
        <v>17 FADROZOLE 5.4</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3910</v>
      </c>
      <c r="D550" s="1" t="s">
        <v>3911</v>
      </c>
      <c r="E550" s="1" t="s">
        <v>3912</v>
      </c>
      <c r="F550" s="1" t="s">
        <v>112</v>
      </c>
      <c r="G550" s="1">
        <v>82207</v>
      </c>
    </row>
    <row r="551" spans="1:9" x14ac:dyDescent="0.25">
      <c r="A551" s="1" t="str">
        <f t="shared" si="8"/>
        <v>17 FADROZOLE 5.4</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3913</v>
      </c>
    </row>
    <row r="552" spans="1:9" x14ac:dyDescent="0.25">
      <c r="A552" s="1" t="str">
        <f t="shared" si="8"/>
        <v>17 FADROZOLE 5.4</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3914</v>
      </c>
    </row>
    <row r="553" spans="1:9" x14ac:dyDescent="0.25">
      <c r="A553" s="1" t="str">
        <f t="shared" si="8"/>
        <v>17 FADROZOLE 5.4</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3915</v>
      </c>
    </row>
    <row r="554" spans="1:9"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9"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236</v>
      </c>
      <c r="D555" s="1" t="s">
        <v>112</v>
      </c>
      <c r="E555" s="1" t="s">
        <v>237</v>
      </c>
      <c r="F555" s="1" t="s">
        <v>238</v>
      </c>
      <c r="G555" s="1" t="s">
        <v>239</v>
      </c>
      <c r="H555" s="1" t="s">
        <v>240</v>
      </c>
      <c r="I555" s="1" t="s">
        <v>241</v>
      </c>
    </row>
    <row r="556" spans="1:9" x14ac:dyDescent="0.25">
      <c r="A556" s="1" t="str">
        <f t="shared" si="8"/>
        <v>17 FADROZOLE 5.4</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3916</v>
      </c>
      <c r="D556" s="1" t="s">
        <v>112</v>
      </c>
      <c r="E556" s="1" t="s">
        <v>3917</v>
      </c>
      <c r="F556" s="1" t="s">
        <v>3918</v>
      </c>
      <c r="G556" s="1" t="s">
        <v>3919</v>
      </c>
      <c r="H556" s="1" t="s">
        <v>3920</v>
      </c>
      <c r="I556" s="1">
        <v>24</v>
      </c>
    </row>
    <row r="557" spans="1:9"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9"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9"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9"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248</v>
      </c>
      <c r="D562" s="1" t="s">
        <v>110</v>
      </c>
      <c r="E562" s="1" t="s">
        <v>111</v>
      </c>
      <c r="F562" s="1" t="s">
        <v>112</v>
      </c>
      <c r="G562" s="1" t="s">
        <v>113</v>
      </c>
    </row>
    <row r="563" spans="1:7" x14ac:dyDescent="0.25">
      <c r="A563" s="1" t="str">
        <f t="shared" si="8"/>
        <v>18 FADROZOLE 11</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3921</v>
      </c>
      <c r="D563" s="1" t="s">
        <v>3922</v>
      </c>
      <c r="E563" s="1" t="s">
        <v>3923</v>
      </c>
      <c r="F563" s="1" t="s">
        <v>112</v>
      </c>
      <c r="G563" s="1">
        <v>332506</v>
      </c>
    </row>
    <row r="564" spans="1:7" x14ac:dyDescent="0.25">
      <c r="A564" s="1" t="str">
        <f t="shared" si="8"/>
        <v>18 FADROZOLE 11</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3924</v>
      </c>
      <c r="D564" s="1" t="s">
        <v>3925</v>
      </c>
      <c r="E564" s="1" t="s">
        <v>3926</v>
      </c>
      <c r="F564" s="1" t="s">
        <v>112</v>
      </c>
      <c r="G564" s="1">
        <v>300528</v>
      </c>
    </row>
    <row r="565" spans="1:7" x14ac:dyDescent="0.25">
      <c r="A565" s="1" t="str">
        <f t="shared" si="8"/>
        <v>18 FADROZOLE 11</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3927</v>
      </c>
      <c r="D565" s="1" t="s">
        <v>3439</v>
      </c>
      <c r="E565" s="1" t="s">
        <v>2708</v>
      </c>
      <c r="F565" s="1" t="s">
        <v>112</v>
      </c>
      <c r="G565" s="1">
        <v>147229</v>
      </c>
    </row>
    <row r="566" spans="1:7" x14ac:dyDescent="0.25">
      <c r="A566" s="1" t="str">
        <f t="shared" si="8"/>
        <v>18 FADROZOLE 11</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3928</v>
      </c>
      <c r="D566" s="1" t="s">
        <v>2947</v>
      </c>
      <c r="E566" s="1" t="s">
        <v>2825</v>
      </c>
      <c r="F566" s="1" t="s">
        <v>112</v>
      </c>
      <c r="G566" s="1">
        <v>23146</v>
      </c>
    </row>
    <row r="567" spans="1:7" x14ac:dyDescent="0.25">
      <c r="A567" s="1" t="str">
        <f t="shared" si="8"/>
        <v>18 FADROZOLE 11</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3929</v>
      </c>
      <c r="D567" s="1" t="s">
        <v>3010</v>
      </c>
      <c r="E567" s="1" t="s">
        <v>3011</v>
      </c>
      <c r="F567" s="1" t="s">
        <v>112</v>
      </c>
      <c r="G567" s="1">
        <v>22124</v>
      </c>
    </row>
    <row r="568" spans="1:7" x14ac:dyDescent="0.25">
      <c r="A568" s="1" t="str">
        <f t="shared" si="8"/>
        <v>18 FADROZOLE 11</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3930</v>
      </c>
      <c r="D568" s="1" t="s">
        <v>3484</v>
      </c>
      <c r="E568" s="1" t="s">
        <v>3931</v>
      </c>
      <c r="F568" s="1" t="s">
        <v>112</v>
      </c>
      <c r="G568" s="1">
        <v>61694</v>
      </c>
    </row>
    <row r="569" spans="1:7" x14ac:dyDescent="0.25">
      <c r="A569" s="1" t="str">
        <f t="shared" si="8"/>
        <v>18 FADROZOLE 11</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3932</v>
      </c>
      <c r="D569" s="1" t="s">
        <v>3933</v>
      </c>
      <c r="E569" s="1" t="s">
        <v>3934</v>
      </c>
      <c r="F569" s="1" t="s">
        <v>112</v>
      </c>
      <c r="G569" s="1">
        <v>321847</v>
      </c>
    </row>
    <row r="570" spans="1:7" x14ac:dyDescent="0.25">
      <c r="A570" s="1" t="str">
        <f t="shared" si="8"/>
        <v>18 FADROZOLE 11</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3935</v>
      </c>
      <c r="D570" s="1" t="s">
        <v>3925</v>
      </c>
      <c r="E570" s="1" t="s">
        <v>3936</v>
      </c>
      <c r="F570" s="1" t="s">
        <v>112</v>
      </c>
      <c r="G570" s="1">
        <v>331636</v>
      </c>
    </row>
    <row r="571" spans="1:7" x14ac:dyDescent="0.25">
      <c r="A571" s="1" t="str">
        <f t="shared" si="8"/>
        <v>18 FADROZOLE 11</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3937</v>
      </c>
      <c r="D571" s="1" t="s">
        <v>3938</v>
      </c>
      <c r="E571" s="1" t="s">
        <v>3939</v>
      </c>
      <c r="F571" s="1" t="s">
        <v>112</v>
      </c>
      <c r="G571" s="1">
        <v>307859</v>
      </c>
    </row>
    <row r="572" spans="1:7" x14ac:dyDescent="0.25">
      <c r="A572" s="1" t="str">
        <f t="shared" si="8"/>
        <v>18 FADROZOLE 11</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3940</v>
      </c>
      <c r="D572" s="1" t="s">
        <v>3941</v>
      </c>
      <c r="E572" s="1" t="s">
        <v>3942</v>
      </c>
      <c r="F572" s="1" t="s">
        <v>112</v>
      </c>
      <c r="G572" s="1">
        <v>187670</v>
      </c>
    </row>
    <row r="573" spans="1:7" x14ac:dyDescent="0.25">
      <c r="A573" s="1" t="str">
        <f t="shared" si="8"/>
        <v>18 FADROZOLE 11</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3943</v>
      </c>
      <c r="D573" s="1" t="s">
        <v>3526</v>
      </c>
      <c r="E573" s="1" t="s">
        <v>297</v>
      </c>
      <c r="F573" s="1" t="s">
        <v>112</v>
      </c>
      <c r="G573" s="1">
        <v>24734</v>
      </c>
    </row>
    <row r="574" spans="1:7" x14ac:dyDescent="0.25">
      <c r="A574" s="1" t="str">
        <f t="shared" si="8"/>
        <v>18 FADROZOLE 11</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3944</v>
      </c>
      <c r="D574" s="1" t="s">
        <v>3567</v>
      </c>
      <c r="E574" s="1" t="s">
        <v>3945</v>
      </c>
      <c r="F574" s="1" t="s">
        <v>112</v>
      </c>
      <c r="G574" s="1">
        <v>31369</v>
      </c>
    </row>
    <row r="575" spans="1:7" x14ac:dyDescent="0.25">
      <c r="A575" s="1" t="str">
        <f t="shared" si="8"/>
        <v>18 FADROZOLE 11</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3946</v>
      </c>
      <c r="D575" s="1" t="s">
        <v>3947</v>
      </c>
      <c r="E575" s="1" t="s">
        <v>3948</v>
      </c>
      <c r="F575" s="1" t="s">
        <v>112</v>
      </c>
      <c r="G575" s="1">
        <v>177750</v>
      </c>
    </row>
    <row r="576" spans="1:7" x14ac:dyDescent="0.25">
      <c r="A576" s="1" t="str">
        <f t="shared" si="8"/>
        <v>18 FADROZOLE 11</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3949</v>
      </c>
      <c r="D576" s="1" t="s">
        <v>3477</v>
      </c>
      <c r="E576" s="1" t="s">
        <v>3950</v>
      </c>
      <c r="F576" s="1" t="s">
        <v>112</v>
      </c>
      <c r="G576" s="1">
        <v>91583</v>
      </c>
    </row>
    <row r="577" spans="1:9" x14ac:dyDescent="0.25">
      <c r="A577" s="1" t="str">
        <f t="shared" si="8"/>
        <v>18 FADROZOLE 11</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3951</v>
      </c>
      <c r="D577" s="1" t="s">
        <v>2869</v>
      </c>
      <c r="E577" s="1" t="s">
        <v>707</v>
      </c>
      <c r="F577" s="1" t="s">
        <v>112</v>
      </c>
      <c r="G577" s="1">
        <v>13596</v>
      </c>
    </row>
    <row r="578" spans="1:9" x14ac:dyDescent="0.25">
      <c r="A578" s="1" t="str">
        <f t="shared" ref="A578:A641" si="9">IFERROR(LEFT(RIGHT(C578,LEN(C578)-SEARCH("@",C578)),SEARCH("/",RIGHT(C578,LEN(C578)-SEARCH("@",C578)-1))),"")</f>
        <v>18 FADROZOLE 11</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3952</v>
      </c>
      <c r="D578" s="1" t="s">
        <v>3953</v>
      </c>
      <c r="E578" s="1" t="s">
        <v>3954</v>
      </c>
      <c r="F578" s="1" t="s">
        <v>112</v>
      </c>
      <c r="G578" s="1">
        <v>230546</v>
      </c>
    </row>
    <row r="579" spans="1:9" x14ac:dyDescent="0.25">
      <c r="A579" s="1" t="str">
        <f t="shared" si="9"/>
        <v>18 FADROZOLE 11</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3955</v>
      </c>
      <c r="D579" s="1" t="s">
        <v>2859</v>
      </c>
      <c r="E579" s="1" t="s">
        <v>3956</v>
      </c>
      <c r="F579" s="1" t="s">
        <v>112</v>
      </c>
      <c r="G579" s="1">
        <v>16990</v>
      </c>
    </row>
    <row r="580" spans="1:9" x14ac:dyDescent="0.25">
      <c r="A580" s="1" t="str">
        <f t="shared" si="9"/>
        <v>18 FADROZOLE 11</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3957</v>
      </c>
      <c r="D580" s="1" t="s">
        <v>2891</v>
      </c>
      <c r="E580" s="1" t="s">
        <v>215</v>
      </c>
      <c r="F580" s="1" t="s">
        <v>112</v>
      </c>
      <c r="G580" s="1">
        <v>12400</v>
      </c>
    </row>
    <row r="581" spans="1:9" x14ac:dyDescent="0.25">
      <c r="A581" s="1" t="str">
        <f t="shared" si="9"/>
        <v>18 FADROZOLE 11</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3958</v>
      </c>
      <c r="D581" s="1" t="s">
        <v>3959</v>
      </c>
      <c r="E581" s="1" t="s">
        <v>3960</v>
      </c>
      <c r="F581" s="1" t="s">
        <v>112</v>
      </c>
      <c r="G581" s="1">
        <v>1162238</v>
      </c>
    </row>
    <row r="582" spans="1:9" x14ac:dyDescent="0.25">
      <c r="A582" s="1" t="str">
        <f t="shared" si="9"/>
        <v>18 FADROZOLE 11</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3961</v>
      </c>
    </row>
    <row r="583" spans="1:9" x14ac:dyDescent="0.25">
      <c r="A583" s="1" t="str">
        <f t="shared" si="9"/>
        <v>18 FADROZOLE 11</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3962</v>
      </c>
    </row>
    <row r="584" spans="1:9" x14ac:dyDescent="0.25">
      <c r="A584" s="1" t="str">
        <f t="shared" si="9"/>
        <v>18 FADROZOLE 11</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3963</v>
      </c>
      <c r="D584" s="1" t="s">
        <v>2867</v>
      </c>
      <c r="E584" s="1" t="s">
        <v>3964</v>
      </c>
      <c r="F584" s="1" t="s">
        <v>112</v>
      </c>
      <c r="G584" s="1">
        <v>52470</v>
      </c>
    </row>
    <row r="585" spans="1:9" x14ac:dyDescent="0.25">
      <c r="A585" s="1" t="str">
        <f t="shared" si="9"/>
        <v>18 FADROZOLE 11</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3965</v>
      </c>
      <c r="D585" s="1" t="s">
        <v>2947</v>
      </c>
      <c r="E585" s="1">
        <v>63</v>
      </c>
      <c r="F585" s="1" t="s">
        <v>112</v>
      </c>
      <c r="G585" s="1">
        <v>23298</v>
      </c>
    </row>
    <row r="586" spans="1:9" x14ac:dyDescent="0.25">
      <c r="A586" s="1" t="str">
        <f t="shared" si="9"/>
        <v>18 FADROZOLE 11</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3966</v>
      </c>
      <c r="D586" s="1" t="s">
        <v>3967</v>
      </c>
      <c r="E586" s="1" t="s">
        <v>3968</v>
      </c>
      <c r="F586" s="1" t="s">
        <v>112</v>
      </c>
      <c r="G586" s="1">
        <v>103461</v>
      </c>
    </row>
    <row r="587" spans="1:9"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9"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236</v>
      </c>
      <c r="D588" s="1" t="s">
        <v>112</v>
      </c>
      <c r="E588" s="1" t="s">
        <v>237</v>
      </c>
      <c r="F588" s="1" t="s">
        <v>238</v>
      </c>
      <c r="G588" s="1" t="s">
        <v>239</v>
      </c>
      <c r="H588" s="1" t="s">
        <v>240</v>
      </c>
      <c r="I588" s="1" t="s">
        <v>241</v>
      </c>
    </row>
    <row r="589" spans="1:9" x14ac:dyDescent="0.25">
      <c r="A589" s="1" t="str">
        <f t="shared" si="9"/>
        <v>18 FADROZOLE 11</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3969</v>
      </c>
      <c r="D589" s="1" t="s">
        <v>112</v>
      </c>
      <c r="E589" s="1" t="s">
        <v>3970</v>
      </c>
      <c r="F589" s="1" t="s">
        <v>3971</v>
      </c>
      <c r="G589" s="1" t="s">
        <v>3972</v>
      </c>
      <c r="H589" s="1" t="s">
        <v>3973</v>
      </c>
      <c r="I589" s="1">
        <v>24</v>
      </c>
    </row>
    <row r="590" spans="1:9"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9"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9"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248</v>
      </c>
      <c r="D595" s="1" t="s">
        <v>110</v>
      </c>
      <c r="E595" s="1" t="s">
        <v>111</v>
      </c>
      <c r="F595" s="1" t="s">
        <v>112</v>
      </c>
      <c r="G595" s="1" t="s">
        <v>113</v>
      </c>
    </row>
    <row r="596" spans="1:7" x14ac:dyDescent="0.25">
      <c r="A596" s="1" t="str">
        <f t="shared" si="9"/>
        <v>19 FADROZOLE 22</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3974</v>
      </c>
      <c r="D596" s="1" t="s">
        <v>3975</v>
      </c>
      <c r="E596" s="1" t="s">
        <v>3976</v>
      </c>
      <c r="F596" s="1" t="s">
        <v>112</v>
      </c>
      <c r="G596" s="1">
        <v>687854</v>
      </c>
    </row>
    <row r="597" spans="1:7" x14ac:dyDescent="0.25">
      <c r="A597" s="1" t="str">
        <f t="shared" si="9"/>
        <v>19 FADROZOLE 22</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3977</v>
      </c>
      <c r="D597" s="1" t="s">
        <v>3978</v>
      </c>
      <c r="E597" s="1" t="s">
        <v>3979</v>
      </c>
      <c r="F597" s="1" t="s">
        <v>112</v>
      </c>
      <c r="G597" s="1">
        <v>208814</v>
      </c>
    </row>
    <row r="598" spans="1:7" x14ac:dyDescent="0.25">
      <c r="A598" s="1" t="str">
        <f t="shared" si="9"/>
        <v>19 FADROZOLE 22</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3980</v>
      </c>
    </row>
    <row r="599" spans="1:7" x14ac:dyDescent="0.25">
      <c r="A599" s="1" t="str">
        <f t="shared" si="9"/>
        <v>19 FADROZOLE 22</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3981</v>
      </c>
    </row>
    <row r="600" spans="1:7" x14ac:dyDescent="0.25">
      <c r="A600" s="1" t="str">
        <f t="shared" si="9"/>
        <v>19 FADROZOLE 22</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3982</v>
      </c>
      <c r="D600" s="1" t="s">
        <v>3983</v>
      </c>
      <c r="E600" s="1" t="s">
        <v>3984</v>
      </c>
      <c r="F600" s="1" t="s">
        <v>112</v>
      </c>
      <c r="G600" s="1">
        <v>290565</v>
      </c>
    </row>
    <row r="601" spans="1:7" x14ac:dyDescent="0.25">
      <c r="A601" s="1" t="str">
        <f t="shared" si="9"/>
        <v>19 FADROZOLE 22</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3985</v>
      </c>
      <c r="D601" s="1" t="s">
        <v>3877</v>
      </c>
      <c r="E601" s="1" t="s">
        <v>3986</v>
      </c>
      <c r="F601" s="1" t="s">
        <v>112</v>
      </c>
      <c r="G601" s="1">
        <v>268050</v>
      </c>
    </row>
    <row r="602" spans="1:7" x14ac:dyDescent="0.25">
      <c r="A602" s="1" t="str">
        <f t="shared" si="9"/>
        <v>19 FADROZOLE 22</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3987</v>
      </c>
      <c r="D602" s="1" t="s">
        <v>2859</v>
      </c>
      <c r="E602" s="1" t="s">
        <v>3988</v>
      </c>
      <c r="F602" s="1" t="s">
        <v>112</v>
      </c>
      <c r="G602" s="1">
        <v>16468</v>
      </c>
    </row>
    <row r="603" spans="1:7" x14ac:dyDescent="0.25">
      <c r="A603" s="1" t="str">
        <f t="shared" si="9"/>
        <v>19 FADROZOLE 22</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3989</v>
      </c>
      <c r="D603" s="1" t="s">
        <v>2867</v>
      </c>
      <c r="E603" s="1" t="s">
        <v>3990</v>
      </c>
      <c r="F603" s="1" t="s">
        <v>112</v>
      </c>
      <c r="G603" s="1">
        <v>53318</v>
      </c>
    </row>
    <row r="604" spans="1:7" x14ac:dyDescent="0.25">
      <c r="A604" s="1" t="str">
        <f t="shared" si="9"/>
        <v>19 FADROZOLE 22</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3991</v>
      </c>
      <c r="D604" s="1" t="s">
        <v>3992</v>
      </c>
      <c r="E604" s="1" t="s">
        <v>3993</v>
      </c>
      <c r="F604" s="1" t="s">
        <v>112</v>
      </c>
      <c r="G604" s="1">
        <v>27714</v>
      </c>
    </row>
    <row r="605" spans="1:7" x14ac:dyDescent="0.25">
      <c r="A605" s="1" t="str">
        <f t="shared" si="9"/>
        <v>19 FADROZOLE 22</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3994</v>
      </c>
      <c r="D605" s="1" t="s">
        <v>3995</v>
      </c>
      <c r="E605" s="1" t="s">
        <v>3996</v>
      </c>
      <c r="F605" s="1" t="s">
        <v>112</v>
      </c>
      <c r="G605" s="1">
        <v>463681</v>
      </c>
    </row>
    <row r="606" spans="1:7" x14ac:dyDescent="0.25">
      <c r="A606" s="1" t="str">
        <f t="shared" si="9"/>
        <v>19 FADROZOLE 22</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3997</v>
      </c>
      <c r="D606" s="1" t="s">
        <v>3998</v>
      </c>
      <c r="E606" s="1" t="s">
        <v>3999</v>
      </c>
      <c r="F606" s="1" t="s">
        <v>112</v>
      </c>
      <c r="G606" s="1">
        <v>529204</v>
      </c>
    </row>
    <row r="607" spans="1:7" x14ac:dyDescent="0.25">
      <c r="A607" s="1" t="str">
        <f t="shared" si="9"/>
        <v>19 FADROZOLE 22</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4000</v>
      </c>
      <c r="D607" s="1" t="s">
        <v>3859</v>
      </c>
      <c r="E607" s="1" t="s">
        <v>4001</v>
      </c>
      <c r="F607" s="1" t="s">
        <v>112</v>
      </c>
      <c r="G607" s="1">
        <v>32739</v>
      </c>
    </row>
    <row r="608" spans="1:7" x14ac:dyDescent="0.25">
      <c r="A608" s="1" t="str">
        <f t="shared" si="9"/>
        <v>19 FADROZOLE 22</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4002</v>
      </c>
      <c r="D608" s="1" t="s">
        <v>3004</v>
      </c>
      <c r="E608" s="1" t="s">
        <v>4003</v>
      </c>
      <c r="F608" s="1" t="s">
        <v>112</v>
      </c>
      <c r="G608" s="1">
        <v>21841</v>
      </c>
    </row>
    <row r="609" spans="1:9" x14ac:dyDescent="0.25">
      <c r="A609" s="1" t="str">
        <f t="shared" si="9"/>
        <v>19 FADROZOLE 22</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4004</v>
      </c>
      <c r="D609" s="1" t="s">
        <v>3992</v>
      </c>
      <c r="E609" s="1" t="s">
        <v>2830</v>
      </c>
      <c r="F609" s="1" t="s">
        <v>112</v>
      </c>
      <c r="G609" s="1">
        <v>28410</v>
      </c>
    </row>
    <row r="610" spans="1:9" x14ac:dyDescent="0.25">
      <c r="A610" s="1" t="str">
        <f t="shared" si="9"/>
        <v>19 FADROZOLE 22</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4005</v>
      </c>
      <c r="D610" s="1" t="s">
        <v>3010</v>
      </c>
      <c r="E610" s="1" t="s">
        <v>4006</v>
      </c>
      <c r="F610" s="1" t="s">
        <v>112</v>
      </c>
      <c r="G610" s="1">
        <v>22037</v>
      </c>
    </row>
    <row r="611" spans="1:9" x14ac:dyDescent="0.25">
      <c r="A611" s="1" t="str">
        <f t="shared" si="9"/>
        <v>19 FADROZOLE 22</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4007</v>
      </c>
      <c r="D611" s="1" t="s">
        <v>3477</v>
      </c>
      <c r="E611" s="1" t="s">
        <v>4008</v>
      </c>
      <c r="F611" s="1" t="s">
        <v>112</v>
      </c>
      <c r="G611" s="1">
        <v>92236</v>
      </c>
    </row>
    <row r="612" spans="1:9" x14ac:dyDescent="0.25">
      <c r="A612" s="1" t="str">
        <f t="shared" si="9"/>
        <v>19 FADROZOLE 22</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4009</v>
      </c>
      <c r="D612" s="1" t="s">
        <v>4010</v>
      </c>
      <c r="E612" s="1" t="s">
        <v>3504</v>
      </c>
      <c r="F612" s="1" t="s">
        <v>112</v>
      </c>
      <c r="G612" s="1">
        <v>39157</v>
      </c>
    </row>
    <row r="613" spans="1:9" x14ac:dyDescent="0.25">
      <c r="A613" s="1" t="str">
        <f t="shared" si="9"/>
        <v>19 FADROZOLE 22</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4011</v>
      </c>
      <c r="D613" s="1" t="s">
        <v>2849</v>
      </c>
      <c r="E613" s="1" t="s">
        <v>4012</v>
      </c>
      <c r="F613" s="1" t="s">
        <v>112</v>
      </c>
      <c r="G613" s="1">
        <v>59605</v>
      </c>
    </row>
    <row r="614" spans="1:9" x14ac:dyDescent="0.25">
      <c r="A614" s="1" t="str">
        <f t="shared" si="9"/>
        <v>19 FADROZOLE 22</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4013</v>
      </c>
      <c r="D614" s="1" t="s">
        <v>3010</v>
      </c>
      <c r="E614" s="1" t="s">
        <v>2832</v>
      </c>
      <c r="F614" s="1" t="s">
        <v>112</v>
      </c>
      <c r="G614" s="1">
        <v>22385</v>
      </c>
    </row>
    <row r="615" spans="1:9" x14ac:dyDescent="0.25">
      <c r="A615" s="1" t="str">
        <f t="shared" si="9"/>
        <v>19 FADROZOLE 22</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4014</v>
      </c>
      <c r="D615" s="1" t="s">
        <v>3586</v>
      </c>
      <c r="E615" s="1" t="s">
        <v>4015</v>
      </c>
      <c r="F615" s="1" t="s">
        <v>112</v>
      </c>
      <c r="G615" s="1">
        <v>37090</v>
      </c>
    </row>
    <row r="616" spans="1:9" x14ac:dyDescent="0.25">
      <c r="A616" s="1" t="str">
        <f t="shared" si="9"/>
        <v>19 FADROZOLE 22</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4016</v>
      </c>
      <c r="D616" s="1" t="s">
        <v>3010</v>
      </c>
      <c r="E616" s="1" t="s">
        <v>707</v>
      </c>
      <c r="F616" s="1" t="s">
        <v>112</v>
      </c>
      <c r="G616" s="1">
        <v>21754</v>
      </c>
    </row>
    <row r="617" spans="1:9" x14ac:dyDescent="0.25">
      <c r="A617" s="1" t="str">
        <f t="shared" si="9"/>
        <v>19 FADROZOLE 22</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4017</v>
      </c>
      <c r="D617" s="1" t="s">
        <v>4018</v>
      </c>
      <c r="E617" s="1" t="s">
        <v>4019</v>
      </c>
      <c r="F617" s="1" t="s">
        <v>112</v>
      </c>
      <c r="G617" s="1">
        <v>441862</v>
      </c>
    </row>
    <row r="618" spans="1:9" x14ac:dyDescent="0.25">
      <c r="A618" s="1" t="str">
        <f t="shared" si="9"/>
        <v>19 FADROZOLE 22</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4020</v>
      </c>
      <c r="D618" s="1" t="s">
        <v>2861</v>
      </c>
      <c r="E618" s="1" t="s">
        <v>4021</v>
      </c>
      <c r="F618" s="1" t="s">
        <v>112</v>
      </c>
      <c r="G618" s="1">
        <v>309860</v>
      </c>
    </row>
    <row r="619" spans="1:9" x14ac:dyDescent="0.25">
      <c r="A619" s="1" t="str">
        <f t="shared" si="9"/>
        <v>19 FADROZOLE 22</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4022</v>
      </c>
      <c r="D619" s="1" t="s">
        <v>2911</v>
      </c>
      <c r="E619" s="1" t="s">
        <v>4023</v>
      </c>
      <c r="F619" s="1" t="s">
        <v>112</v>
      </c>
      <c r="G619" s="1">
        <v>44051</v>
      </c>
    </row>
    <row r="620" spans="1:9"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9"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236</v>
      </c>
      <c r="D621" s="1" t="s">
        <v>112</v>
      </c>
      <c r="E621" s="1" t="s">
        <v>237</v>
      </c>
      <c r="F621" s="1" t="s">
        <v>238</v>
      </c>
      <c r="G621" s="1" t="s">
        <v>239</v>
      </c>
      <c r="H621" s="1" t="s">
        <v>240</v>
      </c>
      <c r="I621" s="1" t="s">
        <v>241</v>
      </c>
    </row>
    <row r="622" spans="1:9" x14ac:dyDescent="0.25">
      <c r="A622" s="1" t="str">
        <f t="shared" si="9"/>
        <v>19 FADROZOLE 22</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4024</v>
      </c>
      <c r="D622" s="1" t="s">
        <v>112</v>
      </c>
      <c r="E622" s="1" t="s">
        <v>4025</v>
      </c>
      <c r="F622" s="1" t="s">
        <v>4026</v>
      </c>
      <c r="G622" s="1" t="s">
        <v>4027</v>
      </c>
      <c r="H622" s="1" t="s">
        <v>4028</v>
      </c>
      <c r="I622" s="1">
        <v>24</v>
      </c>
    </row>
    <row r="623" spans="1:9"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9"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248</v>
      </c>
      <c r="D628" s="1" t="s">
        <v>110</v>
      </c>
      <c r="E628" s="1" t="s">
        <v>111</v>
      </c>
      <c r="F628" s="1" t="s">
        <v>112</v>
      </c>
      <c r="G628" s="1" t="s">
        <v>113</v>
      </c>
    </row>
    <row r="629" spans="1:7" x14ac:dyDescent="0.25">
      <c r="A629" s="1" t="str">
        <f t="shared" si="9"/>
        <v>20 FADROZOLE 44</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4029</v>
      </c>
      <c r="D629" s="1" t="s">
        <v>4030</v>
      </c>
      <c r="E629" s="1" t="s">
        <v>4031</v>
      </c>
      <c r="F629" s="1" t="s">
        <v>112</v>
      </c>
      <c r="G629" s="1">
        <v>109204</v>
      </c>
    </row>
    <row r="630" spans="1:7" x14ac:dyDescent="0.25">
      <c r="A630" s="1" t="str">
        <f t="shared" si="9"/>
        <v>20 FADROZOLE 44</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4032</v>
      </c>
      <c r="D630" s="1" t="s">
        <v>3983</v>
      </c>
      <c r="E630" s="1" t="s">
        <v>4033</v>
      </c>
      <c r="F630" s="1" t="s">
        <v>112</v>
      </c>
      <c r="G630" s="1">
        <v>290130</v>
      </c>
    </row>
    <row r="631" spans="1:7" x14ac:dyDescent="0.25">
      <c r="A631" s="1" t="str">
        <f t="shared" si="9"/>
        <v>20 FADROZOLE 44</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4034</v>
      </c>
      <c r="D631" s="1" t="s">
        <v>2836</v>
      </c>
      <c r="E631" s="1" t="s">
        <v>1375</v>
      </c>
      <c r="F631" s="1" t="s">
        <v>112</v>
      </c>
      <c r="G631" s="1">
        <v>26257</v>
      </c>
    </row>
    <row r="632" spans="1:7" x14ac:dyDescent="0.25">
      <c r="A632" s="1" t="str">
        <f t="shared" si="9"/>
        <v>20 FADROZOLE 44</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4035</v>
      </c>
    </row>
    <row r="633" spans="1:7" x14ac:dyDescent="0.25">
      <c r="A633" s="1" t="str">
        <f t="shared" si="9"/>
        <v>20 FADROZOLE 44</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4036</v>
      </c>
      <c r="D633" s="1" t="s">
        <v>2925</v>
      </c>
      <c r="E633" s="1" t="s">
        <v>4037</v>
      </c>
      <c r="F633" s="1" t="s">
        <v>112</v>
      </c>
      <c r="G633" s="1">
        <v>35698</v>
      </c>
    </row>
    <row r="634" spans="1:7" x14ac:dyDescent="0.25">
      <c r="A634" s="1" t="str">
        <f t="shared" si="9"/>
        <v>20 FADROZOLE 44</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4038</v>
      </c>
      <c r="D634" s="1" t="s">
        <v>4039</v>
      </c>
      <c r="E634" s="1" t="s">
        <v>4040</v>
      </c>
      <c r="F634" s="1" t="s">
        <v>112</v>
      </c>
      <c r="G634" s="1">
        <v>265026</v>
      </c>
    </row>
    <row r="635" spans="1:7" x14ac:dyDescent="0.25">
      <c r="A635" s="1" t="str">
        <f t="shared" si="9"/>
        <v>20 FADROZOLE 44</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4041</v>
      </c>
      <c r="D635" s="1" t="s">
        <v>3557</v>
      </c>
      <c r="E635" s="1" t="s">
        <v>4042</v>
      </c>
      <c r="F635" s="1" t="s">
        <v>112</v>
      </c>
      <c r="G635" s="1">
        <v>372555</v>
      </c>
    </row>
    <row r="636" spans="1:7" x14ac:dyDescent="0.25">
      <c r="A636" s="1" t="str">
        <f t="shared" si="9"/>
        <v>20 FADROZOLE 44</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4043</v>
      </c>
      <c r="D636" s="1" t="s">
        <v>3859</v>
      </c>
      <c r="E636" s="1" t="s">
        <v>4044</v>
      </c>
      <c r="F636" s="1" t="s">
        <v>112</v>
      </c>
      <c r="G636" s="1">
        <v>33131</v>
      </c>
    </row>
    <row r="637" spans="1:7" x14ac:dyDescent="0.25">
      <c r="A637" s="1" t="str">
        <f t="shared" si="9"/>
        <v>20 FADROZOLE 44</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4045</v>
      </c>
      <c r="D637" s="1" t="s">
        <v>3455</v>
      </c>
      <c r="E637" s="1" t="s">
        <v>1453</v>
      </c>
      <c r="F637" s="1" t="s">
        <v>112</v>
      </c>
      <c r="G637" s="1">
        <v>34175</v>
      </c>
    </row>
    <row r="638" spans="1:7" x14ac:dyDescent="0.25">
      <c r="A638" s="1" t="str">
        <f t="shared" si="9"/>
        <v>20 FADROZOLE 44</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4046</v>
      </c>
      <c r="D638" s="1" t="s">
        <v>4047</v>
      </c>
      <c r="E638" s="1" t="s">
        <v>4048</v>
      </c>
      <c r="F638" s="1" t="s">
        <v>112</v>
      </c>
      <c r="G638" s="1">
        <v>502381</v>
      </c>
    </row>
    <row r="639" spans="1:7" x14ac:dyDescent="0.25">
      <c r="A639" s="1" t="str">
        <f t="shared" si="9"/>
        <v>20 FADROZOLE 44</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4049</v>
      </c>
      <c r="D639" s="1" t="s">
        <v>2849</v>
      </c>
      <c r="E639" s="1" t="s">
        <v>4050</v>
      </c>
      <c r="F639" s="1" t="s">
        <v>112</v>
      </c>
      <c r="G639" s="1">
        <v>59975</v>
      </c>
    </row>
    <row r="640" spans="1:7" x14ac:dyDescent="0.25">
      <c r="A640" s="1" t="str">
        <f t="shared" si="9"/>
        <v>20 FADROZOLE 44</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4051</v>
      </c>
    </row>
    <row r="641" spans="1:9" x14ac:dyDescent="0.25">
      <c r="A641" s="1" t="str">
        <f t="shared" si="9"/>
        <v>20 FADROZOLE 44</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4052</v>
      </c>
      <c r="D641" s="1" t="s">
        <v>3824</v>
      </c>
      <c r="E641" s="1" t="s">
        <v>4053</v>
      </c>
      <c r="F641" s="1" t="s">
        <v>112</v>
      </c>
      <c r="G641" s="1">
        <v>162240</v>
      </c>
    </row>
    <row r="642" spans="1:9" x14ac:dyDescent="0.25">
      <c r="A642" s="1" t="str">
        <f t="shared" ref="A642:A705" si="10">IFERROR(LEFT(RIGHT(C642,LEN(C642)-SEARCH("@",C642)),SEARCH("/",RIGHT(C642,LEN(C642)-SEARCH("@",C642)-1))),"")</f>
        <v>20 FADROZOLE 44</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4054</v>
      </c>
      <c r="D642" s="1" t="s">
        <v>3458</v>
      </c>
      <c r="E642" s="1" t="s">
        <v>4055</v>
      </c>
      <c r="F642" s="1" t="s">
        <v>112</v>
      </c>
      <c r="G642" s="1">
        <v>102895</v>
      </c>
    </row>
    <row r="643" spans="1:9" x14ac:dyDescent="0.25">
      <c r="A643" s="1" t="str">
        <f t="shared" si="10"/>
        <v>20 FADROZOLE 44</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4056</v>
      </c>
      <c r="D643" s="1" t="s">
        <v>3472</v>
      </c>
      <c r="E643" s="1" t="s">
        <v>4057</v>
      </c>
      <c r="F643" s="1" t="s">
        <v>112</v>
      </c>
      <c r="G643" s="1">
        <v>73136</v>
      </c>
    </row>
    <row r="644" spans="1:9" x14ac:dyDescent="0.25">
      <c r="A644" s="1" t="str">
        <f t="shared" si="10"/>
        <v>20 FADROZOLE 44</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4058</v>
      </c>
      <c r="D644" s="1" t="s">
        <v>3998</v>
      </c>
      <c r="E644" s="1" t="s">
        <v>4059</v>
      </c>
      <c r="F644" s="1" t="s">
        <v>112</v>
      </c>
      <c r="G644" s="1">
        <v>516108</v>
      </c>
    </row>
    <row r="645" spans="1:9" x14ac:dyDescent="0.25">
      <c r="A645" s="1" t="str">
        <f t="shared" si="10"/>
        <v>20 FADROZOLE 44</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4060</v>
      </c>
      <c r="D645" s="1" t="s">
        <v>4061</v>
      </c>
      <c r="E645" s="1" t="s">
        <v>4062</v>
      </c>
      <c r="F645" s="1" t="s">
        <v>112</v>
      </c>
      <c r="G645" s="1">
        <v>243599</v>
      </c>
    </row>
    <row r="646" spans="1:9" x14ac:dyDescent="0.25">
      <c r="A646" s="1" t="str">
        <f t="shared" si="10"/>
        <v>20 FADROZOLE 44</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4063</v>
      </c>
      <c r="D646" s="1" t="s">
        <v>3925</v>
      </c>
      <c r="E646" s="1" t="s">
        <v>4064</v>
      </c>
      <c r="F646" s="1" t="s">
        <v>112</v>
      </c>
      <c r="G646" s="1">
        <v>306858</v>
      </c>
    </row>
    <row r="647" spans="1:9" x14ac:dyDescent="0.25">
      <c r="A647" s="1" t="str">
        <f t="shared" si="10"/>
        <v>20 FADROZOLE 44</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4065</v>
      </c>
      <c r="D647" s="1" t="s">
        <v>3355</v>
      </c>
      <c r="E647" s="1" t="s">
        <v>4066</v>
      </c>
      <c r="F647" s="1" t="s">
        <v>112</v>
      </c>
      <c r="G647" s="1">
        <v>48815</v>
      </c>
    </row>
    <row r="648" spans="1:9" x14ac:dyDescent="0.25">
      <c r="A648" s="1" t="str">
        <f t="shared" si="10"/>
        <v>20 FADROZOLE 44</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4067</v>
      </c>
      <c r="D648" s="1" t="s">
        <v>2849</v>
      </c>
      <c r="E648" s="1" t="s">
        <v>4068</v>
      </c>
      <c r="F648" s="1" t="s">
        <v>112</v>
      </c>
      <c r="G648" s="1">
        <v>58191</v>
      </c>
    </row>
    <row r="649" spans="1:9" x14ac:dyDescent="0.25">
      <c r="A649" s="1" t="str">
        <f t="shared" si="10"/>
        <v>20 FADROZOLE 44</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4069</v>
      </c>
      <c r="D649" s="1" t="s">
        <v>2844</v>
      </c>
      <c r="E649" s="1" t="s">
        <v>2822</v>
      </c>
      <c r="F649" s="1" t="s">
        <v>112</v>
      </c>
      <c r="G649" s="1">
        <v>17708</v>
      </c>
    </row>
    <row r="650" spans="1:9" x14ac:dyDescent="0.25">
      <c r="A650" s="1" t="str">
        <f t="shared" si="10"/>
        <v>20 FADROZOLE 44</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4070</v>
      </c>
      <c r="D650" s="1" t="s">
        <v>2923</v>
      </c>
      <c r="E650" s="1" t="s">
        <v>4071</v>
      </c>
      <c r="F650" s="1" t="s">
        <v>112</v>
      </c>
      <c r="G650" s="1">
        <v>14858</v>
      </c>
    </row>
    <row r="651" spans="1:9" x14ac:dyDescent="0.25">
      <c r="A651" s="1" t="str">
        <f t="shared" si="10"/>
        <v>20 FADROZOLE 44</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4072</v>
      </c>
      <c r="D651" s="1" t="s">
        <v>2947</v>
      </c>
      <c r="E651" s="1" t="s">
        <v>2782</v>
      </c>
      <c r="F651" s="1" t="s">
        <v>112</v>
      </c>
      <c r="G651" s="1">
        <v>23603</v>
      </c>
    </row>
    <row r="652" spans="1:9" x14ac:dyDescent="0.25">
      <c r="A652" s="1" t="str">
        <f t="shared" si="10"/>
        <v>20 FADROZOLE 44</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4073</v>
      </c>
      <c r="D652" s="1" t="s">
        <v>3567</v>
      </c>
      <c r="E652" s="1" t="s">
        <v>4074</v>
      </c>
      <c r="F652" s="1" t="s">
        <v>112</v>
      </c>
      <c r="G652" s="1">
        <v>31891</v>
      </c>
    </row>
    <row r="653" spans="1:9"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9"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236</v>
      </c>
      <c r="D654" s="1" t="s">
        <v>112</v>
      </c>
      <c r="E654" s="1" t="s">
        <v>237</v>
      </c>
      <c r="F654" s="1" t="s">
        <v>238</v>
      </c>
      <c r="G654" s="1" t="s">
        <v>239</v>
      </c>
      <c r="H654" s="1" t="s">
        <v>240</v>
      </c>
      <c r="I654" s="1" t="s">
        <v>241</v>
      </c>
    </row>
    <row r="655" spans="1:9" x14ac:dyDescent="0.25">
      <c r="A655" s="1" t="str">
        <f t="shared" si="10"/>
        <v>20 FADROZOLE 44</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4075</v>
      </c>
      <c r="D655" s="1" t="s">
        <v>112</v>
      </c>
      <c r="E655" s="1" t="s">
        <v>4076</v>
      </c>
      <c r="F655" s="1" t="s">
        <v>4077</v>
      </c>
      <c r="G655" s="1" t="s">
        <v>4078</v>
      </c>
      <c r="H655" s="1" t="s">
        <v>4079</v>
      </c>
      <c r="I655" s="1">
        <v>24</v>
      </c>
    </row>
    <row r="656" spans="1:9"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248</v>
      </c>
      <c r="D661" s="1" t="s">
        <v>110</v>
      </c>
      <c r="E661" s="1" t="s">
        <v>111</v>
      </c>
      <c r="F661" s="1" t="s">
        <v>112</v>
      </c>
      <c r="G661" s="1" t="s">
        <v>113</v>
      </c>
    </row>
    <row r="662" spans="1:7" x14ac:dyDescent="0.25">
      <c r="A662" s="1" t="str">
        <f t="shared" si="10"/>
        <v>21 FADROZOLE 87</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4080</v>
      </c>
      <c r="D662" s="1" t="s">
        <v>3967</v>
      </c>
      <c r="E662" s="1" t="s">
        <v>4081</v>
      </c>
      <c r="F662" s="1" t="s">
        <v>112</v>
      </c>
      <c r="G662" s="1">
        <v>102939</v>
      </c>
    </row>
    <row r="663" spans="1:7" x14ac:dyDescent="0.25">
      <c r="A663" s="1" t="str">
        <f t="shared" si="10"/>
        <v>21 FADROZOLE 87</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4082</v>
      </c>
      <c r="D663" s="1" t="s">
        <v>4083</v>
      </c>
      <c r="E663" s="1" t="s">
        <v>4084</v>
      </c>
      <c r="F663" s="1" t="s">
        <v>112</v>
      </c>
      <c r="G663" s="1">
        <v>484891</v>
      </c>
    </row>
    <row r="664" spans="1:7" x14ac:dyDescent="0.25">
      <c r="A664" s="1" t="str">
        <f t="shared" si="10"/>
        <v>21 FADROZOLE 87</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4085</v>
      </c>
      <c r="D664" s="1" t="s">
        <v>2883</v>
      </c>
      <c r="E664" s="1" t="s">
        <v>4086</v>
      </c>
      <c r="F664" s="1" t="s">
        <v>112</v>
      </c>
      <c r="G664" s="1">
        <v>184842</v>
      </c>
    </row>
    <row r="665" spans="1:7" x14ac:dyDescent="0.25">
      <c r="A665" s="1" t="str">
        <f t="shared" si="10"/>
        <v>21 FADROZOLE 87</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4087</v>
      </c>
      <c r="D665" s="1" t="s">
        <v>4088</v>
      </c>
      <c r="E665" s="1" t="s">
        <v>4089</v>
      </c>
      <c r="F665" s="1" t="s">
        <v>112</v>
      </c>
      <c r="G665" s="1">
        <v>323478</v>
      </c>
    </row>
    <row r="666" spans="1:7" x14ac:dyDescent="0.25">
      <c r="A666" s="1" t="str">
        <f t="shared" si="10"/>
        <v>21 FADROZOLE 87</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4090</v>
      </c>
      <c r="D666" s="1" t="s">
        <v>3521</v>
      </c>
      <c r="E666" s="1" t="s">
        <v>4091</v>
      </c>
      <c r="F666" s="1" t="s">
        <v>112</v>
      </c>
      <c r="G666" s="1">
        <v>375840</v>
      </c>
    </row>
    <row r="667" spans="1:7" x14ac:dyDescent="0.25">
      <c r="A667" s="1" t="str">
        <f t="shared" si="10"/>
        <v>21 FADROZOLE 87</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4092</v>
      </c>
      <c r="D667" s="1" t="s">
        <v>3586</v>
      </c>
      <c r="E667" s="1" t="s">
        <v>4093</v>
      </c>
      <c r="F667" s="1" t="s">
        <v>112</v>
      </c>
      <c r="G667" s="1">
        <v>37221</v>
      </c>
    </row>
    <row r="668" spans="1:7" x14ac:dyDescent="0.25">
      <c r="A668" s="1" t="str">
        <f t="shared" si="10"/>
        <v>21 FADROZOLE 87</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4094</v>
      </c>
      <c r="D668" s="1" t="s">
        <v>4095</v>
      </c>
      <c r="E668" s="1" t="s">
        <v>4096</v>
      </c>
      <c r="F668" s="1" t="s">
        <v>112</v>
      </c>
      <c r="G668" s="1">
        <v>793533</v>
      </c>
    </row>
    <row r="669" spans="1:7" x14ac:dyDescent="0.25">
      <c r="A669" s="1" t="str">
        <f t="shared" si="10"/>
        <v>21 FADROZOLE 87</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4097</v>
      </c>
      <c r="D669" s="1" t="s">
        <v>4098</v>
      </c>
      <c r="E669" s="1" t="s">
        <v>4099</v>
      </c>
      <c r="F669" s="1" t="s">
        <v>112</v>
      </c>
      <c r="G669" s="1">
        <v>1068240</v>
      </c>
    </row>
    <row r="670" spans="1:7" x14ac:dyDescent="0.25">
      <c r="A670" s="1" t="str">
        <f t="shared" si="10"/>
        <v>21 FADROZOLE 87</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4100</v>
      </c>
      <c r="D670" s="1" t="s">
        <v>4101</v>
      </c>
      <c r="E670" s="1" t="s">
        <v>4102</v>
      </c>
      <c r="F670" s="1" t="s">
        <v>112</v>
      </c>
      <c r="G670" s="1">
        <v>980094</v>
      </c>
    </row>
    <row r="671" spans="1:7" x14ac:dyDescent="0.25">
      <c r="A671" s="1" t="str">
        <f t="shared" si="10"/>
        <v>21 FADROZOLE 87</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4103</v>
      </c>
      <c r="D671" s="1" t="s">
        <v>4104</v>
      </c>
      <c r="E671" s="1" t="s">
        <v>4105</v>
      </c>
      <c r="F671" s="1" t="s">
        <v>112</v>
      </c>
      <c r="G671" s="1">
        <v>369161</v>
      </c>
    </row>
    <row r="672" spans="1:7" x14ac:dyDescent="0.25">
      <c r="A672" s="1" t="str">
        <f t="shared" si="10"/>
        <v>21 FADROZOLE 87</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4106</v>
      </c>
      <c r="D672" s="1" t="s">
        <v>4107</v>
      </c>
      <c r="E672" s="1" t="s">
        <v>4108</v>
      </c>
      <c r="F672" s="1" t="s">
        <v>112</v>
      </c>
      <c r="G672" s="1">
        <v>350823</v>
      </c>
    </row>
    <row r="673" spans="1:9" x14ac:dyDescent="0.25">
      <c r="A673" s="1" t="str">
        <f t="shared" si="10"/>
        <v>21 FADROZOLE 87</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4109</v>
      </c>
      <c r="D673" s="1" t="s">
        <v>4110</v>
      </c>
      <c r="E673" s="1" t="s">
        <v>4111</v>
      </c>
      <c r="F673" s="1" t="s">
        <v>112</v>
      </c>
      <c r="G673" s="1">
        <v>105353</v>
      </c>
    </row>
    <row r="674" spans="1:9" x14ac:dyDescent="0.25">
      <c r="A674" s="1" t="str">
        <f t="shared" si="10"/>
        <v>21 FADROZOLE 87</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4112</v>
      </c>
      <c r="D674" s="1" t="s">
        <v>4113</v>
      </c>
      <c r="E674" s="1" t="s">
        <v>1833</v>
      </c>
      <c r="F674" s="1" t="s">
        <v>112</v>
      </c>
      <c r="G674" s="1">
        <v>218299</v>
      </c>
    </row>
    <row r="675" spans="1:9" x14ac:dyDescent="0.25">
      <c r="A675" s="1" t="str">
        <f t="shared" si="10"/>
        <v>21 FADROZOLE 87</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4114</v>
      </c>
      <c r="D675" s="1" t="s">
        <v>4115</v>
      </c>
      <c r="E675" s="1" t="s">
        <v>4116</v>
      </c>
      <c r="F675" s="1" t="s">
        <v>112</v>
      </c>
      <c r="G675" s="1">
        <v>485392</v>
      </c>
    </row>
    <row r="676" spans="1:9" x14ac:dyDescent="0.25">
      <c r="A676" s="1" t="str">
        <f t="shared" si="10"/>
        <v>21 FADROZOLE 87</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4117</v>
      </c>
      <c r="D676" s="1" t="s">
        <v>4118</v>
      </c>
      <c r="E676" s="1" t="s">
        <v>4119</v>
      </c>
      <c r="F676" s="1" t="s">
        <v>112</v>
      </c>
      <c r="G676" s="1">
        <v>403032</v>
      </c>
    </row>
    <row r="677" spans="1:9" x14ac:dyDescent="0.25">
      <c r="A677" s="1" t="str">
        <f t="shared" si="10"/>
        <v>21 FADROZOLE 87</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4120</v>
      </c>
      <c r="D677" s="1" t="s">
        <v>2869</v>
      </c>
      <c r="E677" s="1" t="s">
        <v>4121</v>
      </c>
      <c r="F677" s="1" t="s">
        <v>112</v>
      </c>
      <c r="G677" s="1">
        <v>13966</v>
      </c>
    </row>
    <row r="678" spans="1:9" x14ac:dyDescent="0.25">
      <c r="A678" s="1" t="str">
        <f t="shared" si="10"/>
        <v>21 FADROZOLE 87</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4122</v>
      </c>
      <c r="D678" s="1" t="s">
        <v>2859</v>
      </c>
      <c r="E678" s="1" t="s">
        <v>4123</v>
      </c>
      <c r="F678" s="1" t="s">
        <v>112</v>
      </c>
      <c r="G678" s="1">
        <v>16946</v>
      </c>
    </row>
    <row r="679" spans="1:9" x14ac:dyDescent="0.25">
      <c r="A679" s="1" t="str">
        <f t="shared" si="10"/>
        <v>21 FADROZOLE 87</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4124</v>
      </c>
      <c r="D679" s="1" t="s">
        <v>2908</v>
      </c>
      <c r="E679" s="1" t="s">
        <v>4125</v>
      </c>
      <c r="F679" s="1" t="s">
        <v>112</v>
      </c>
      <c r="G679" s="1">
        <v>10659</v>
      </c>
    </row>
    <row r="680" spans="1:9" x14ac:dyDescent="0.25">
      <c r="A680" s="1" t="str">
        <f t="shared" si="10"/>
        <v>21 FADROZOLE 87</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4126</v>
      </c>
      <c r="D680" s="1" t="s">
        <v>2998</v>
      </c>
      <c r="E680" s="1" t="s">
        <v>4127</v>
      </c>
      <c r="F680" s="1" t="s">
        <v>112</v>
      </c>
      <c r="G680" s="1">
        <v>87689</v>
      </c>
    </row>
    <row r="681" spans="1:9" x14ac:dyDescent="0.25">
      <c r="A681" s="1" t="str">
        <f t="shared" si="10"/>
        <v>21 FADROZOLE 87</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4128</v>
      </c>
      <c r="D681" s="1" t="s">
        <v>2995</v>
      </c>
      <c r="E681" s="1" t="s">
        <v>4129</v>
      </c>
      <c r="F681" s="1" t="s">
        <v>112</v>
      </c>
      <c r="G681" s="1">
        <v>39940</v>
      </c>
    </row>
    <row r="682" spans="1:9" x14ac:dyDescent="0.25">
      <c r="A682" s="1" t="str">
        <f t="shared" si="10"/>
        <v>21 FADROZOLE 87</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4130</v>
      </c>
      <c r="D682" s="1" t="s">
        <v>2951</v>
      </c>
      <c r="E682" s="1" t="s">
        <v>4131</v>
      </c>
      <c r="F682" s="1" t="s">
        <v>112</v>
      </c>
      <c r="G682" s="1">
        <v>28410</v>
      </c>
    </row>
    <row r="683" spans="1:9" x14ac:dyDescent="0.25">
      <c r="A683" s="1" t="str">
        <f t="shared" si="10"/>
        <v>21 FADROZOLE 87</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4132</v>
      </c>
      <c r="D683" s="1" t="s">
        <v>4133</v>
      </c>
      <c r="E683" s="1" t="s">
        <v>4134</v>
      </c>
      <c r="F683" s="1" t="s">
        <v>112</v>
      </c>
      <c r="G683" s="1">
        <v>444930</v>
      </c>
    </row>
    <row r="684" spans="1:9" x14ac:dyDescent="0.25">
      <c r="A684" s="1" t="str">
        <f t="shared" si="10"/>
        <v>21 FADROZOLE 87</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4135</v>
      </c>
      <c r="D684" s="1" t="s">
        <v>4136</v>
      </c>
      <c r="E684" s="1" t="s">
        <v>4137</v>
      </c>
      <c r="F684" s="1" t="s">
        <v>112</v>
      </c>
      <c r="G684" s="1">
        <v>216232</v>
      </c>
    </row>
    <row r="685" spans="1:9" x14ac:dyDescent="0.25">
      <c r="A685" s="1" t="str">
        <f t="shared" si="10"/>
        <v>21 FADROZOLE 87</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4138</v>
      </c>
    </row>
    <row r="686" spans="1:9"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9"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236</v>
      </c>
      <c r="D687" s="1" t="s">
        <v>112</v>
      </c>
      <c r="E687" s="1" t="s">
        <v>237</v>
      </c>
      <c r="F687" s="1" t="s">
        <v>238</v>
      </c>
      <c r="G687" s="1" t="s">
        <v>239</v>
      </c>
      <c r="H687" s="1" t="s">
        <v>240</v>
      </c>
      <c r="I687" s="1" t="s">
        <v>241</v>
      </c>
    </row>
    <row r="688" spans="1:9" x14ac:dyDescent="0.25">
      <c r="A688" s="1" t="str">
        <f t="shared" si="10"/>
        <v>21 FADROZOLE 87</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4139</v>
      </c>
      <c r="D688" s="1" t="s">
        <v>112</v>
      </c>
      <c r="E688" s="1" t="s">
        <v>4140</v>
      </c>
      <c r="F688" s="1" t="s">
        <v>4141</v>
      </c>
      <c r="G688" s="1" t="s">
        <v>4142</v>
      </c>
      <c r="H688" s="1" t="s">
        <v>4143</v>
      </c>
      <c r="I688" s="1">
        <v>24</v>
      </c>
    </row>
    <row r="689" spans="1:3"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3"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3"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80"/>
  <sheetViews>
    <sheetView showGridLines="0" tabSelected="1" zoomScale="82" zoomScaleNormal="82" zoomScaleSheetLayoutView="40" zoomScalePageLayoutView="30" workbookViewId="0">
      <selection activeCell="T63" sqref="T63"/>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7" t="s">
        <v>43</v>
      </c>
      <c r="B1" s="218"/>
      <c r="C1" s="218"/>
      <c r="D1" s="218"/>
      <c r="E1" s="218"/>
      <c r="F1" s="218"/>
      <c r="G1" s="218"/>
      <c r="H1" s="218"/>
      <c r="I1" s="218"/>
      <c r="J1" s="218"/>
      <c r="K1" s="218"/>
      <c r="L1" s="218"/>
      <c r="M1" s="218"/>
      <c r="N1" s="218"/>
      <c r="O1" s="218"/>
      <c r="P1" s="218"/>
      <c r="Q1" s="218"/>
      <c r="R1" s="218"/>
      <c r="S1" s="218"/>
      <c r="T1" s="218"/>
      <c r="U1" s="218"/>
      <c r="V1" s="218"/>
    </row>
    <row r="2" spans="1:22" ht="15.75" thickBot="1" x14ac:dyDescent="0.3"/>
    <row r="3" spans="1:22" ht="15.75" thickBot="1" x14ac:dyDescent="0.3">
      <c r="A3" s="152" t="s">
        <v>22</v>
      </c>
      <c r="B3" s="225" t="s">
        <v>6</v>
      </c>
      <c r="C3" s="226"/>
      <c r="D3" s="226"/>
      <c r="E3" s="226"/>
      <c r="F3" s="226"/>
      <c r="G3" s="226"/>
      <c r="H3" s="226"/>
      <c r="I3" s="226"/>
      <c r="J3" s="226"/>
      <c r="K3" s="226"/>
      <c r="L3" s="226"/>
      <c r="M3" s="226"/>
      <c r="O3" s="225" t="s">
        <v>3</v>
      </c>
      <c r="P3" s="226"/>
      <c r="Q3" s="226"/>
      <c r="R3" s="226"/>
      <c r="S3" s="226"/>
      <c r="T3" s="226"/>
      <c r="U3" s="226"/>
      <c r="V3" s="226"/>
    </row>
    <row r="4" spans="1:22"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Fadrozole-5,4µg/L</v>
      </c>
      <c r="J4" s="35" t="str">
        <f>'Page de garde'!A16</f>
        <v>Fadrozole-11µg/L</v>
      </c>
      <c r="K4" s="35" t="str">
        <f>'Page de garde'!A17</f>
        <v>Fadrozole-22µg/L</v>
      </c>
      <c r="L4" s="35" t="str">
        <f>'Page de garde'!A18</f>
        <v>Fadrozole-44µg/L</v>
      </c>
      <c r="M4" s="35" t="str">
        <f>'Page de garde'!A19</f>
        <v>Fadrozole-87µg/L</v>
      </c>
      <c r="N4" s="3"/>
      <c r="O4" s="36" t="str">
        <f>'Page de garde'!A36</f>
        <v>Testo -30µg/L</v>
      </c>
      <c r="P4" s="36" t="str">
        <f>'Page de garde'!A37</f>
        <v>Testo 30µg/L + EE2 -64ng/L</v>
      </c>
      <c r="Q4" s="36" t="str">
        <f>'Page de garde'!A38</f>
        <v>Testo 30µg/L + FAD-10µg/L</v>
      </c>
      <c r="R4" s="36" t="str">
        <f>'Page de garde'!A39</f>
        <v>Fadrozole-5,4µg/L + Testostérone</v>
      </c>
      <c r="S4" s="36" t="str">
        <f>'Page de garde'!A40</f>
        <v>Fadrozole-11µg/L + Testostérone</v>
      </c>
      <c r="T4" s="36" t="str">
        <f>'Page de garde'!A41</f>
        <v>Fadrozole-22µg/L + Testostérone</v>
      </c>
      <c r="U4" s="36" t="str">
        <f>'Page de garde'!A42</f>
        <v>Fadrozole-44µg/L + Testostérone</v>
      </c>
      <c r="V4" s="36" t="str">
        <f>'Page de garde'!A43</f>
        <v>Fadrozole-87µg/L + Testostérone</v>
      </c>
    </row>
    <row r="5" spans="1:22" x14ac:dyDescent="0.25">
      <c r="A5" s="227" t="s">
        <v>33</v>
      </c>
      <c r="B5" s="196">
        <v>157388.33333333334</v>
      </c>
      <c r="C5" s="196">
        <v>218009</v>
      </c>
      <c r="D5" s="196">
        <v>173754.66666666666</v>
      </c>
      <c r="E5" s="196">
        <v>466458.33333333331</v>
      </c>
      <c r="F5" s="196">
        <v>2203633.6666666665</v>
      </c>
      <c r="G5" s="196">
        <v>3802679.3333333335</v>
      </c>
      <c r="H5" s="196">
        <v>6943929.333333333</v>
      </c>
      <c r="I5" s="196">
        <v>216761.66666666666</v>
      </c>
      <c r="J5" s="196"/>
      <c r="K5" s="196">
        <v>250813.66666666666</v>
      </c>
      <c r="L5" s="196">
        <v>54094.333333333336</v>
      </c>
      <c r="M5" s="196">
        <v>69866</v>
      </c>
      <c r="N5" s="3"/>
      <c r="O5" s="196">
        <v>2881948</v>
      </c>
      <c r="P5" s="196">
        <v>5282384.333333333</v>
      </c>
      <c r="Q5" s="196">
        <v>179918</v>
      </c>
      <c r="R5" s="196">
        <v>66784</v>
      </c>
      <c r="S5" s="196">
        <v>260087.66666666666</v>
      </c>
      <c r="T5" s="196">
        <v>448334</v>
      </c>
      <c r="U5" s="196">
        <v>141863.66666666666</v>
      </c>
      <c r="V5" s="196">
        <v>257557.33333333334</v>
      </c>
    </row>
    <row r="6" spans="1:22" x14ac:dyDescent="0.25">
      <c r="A6" s="227"/>
      <c r="B6" s="196">
        <v>47517.666666666664</v>
      </c>
      <c r="C6" s="196">
        <v>23690</v>
      </c>
      <c r="D6" s="196">
        <v>253206.66666666666</v>
      </c>
      <c r="E6" s="196">
        <v>195689.33333333334</v>
      </c>
      <c r="F6" s="196">
        <v>2016703.6666666667</v>
      </c>
      <c r="G6" s="196">
        <v>4493977.5</v>
      </c>
      <c r="H6" s="196">
        <v>7838603.333333333</v>
      </c>
      <c r="I6" s="196">
        <v>230176.33333333334</v>
      </c>
      <c r="J6" s="196">
        <v>48917</v>
      </c>
      <c r="K6" s="196">
        <v>146686</v>
      </c>
      <c r="L6" s="196">
        <v>10702.666666666666</v>
      </c>
      <c r="M6" s="196">
        <v>31391</v>
      </c>
      <c r="N6" s="3"/>
      <c r="O6" s="196">
        <v>2637294.6666666665</v>
      </c>
      <c r="P6" s="196">
        <v>5110414</v>
      </c>
      <c r="Q6" s="196">
        <v>74434.333333333328</v>
      </c>
      <c r="R6" s="196">
        <v>135953.66666666666</v>
      </c>
      <c r="S6" s="196">
        <v>35654.666666666664</v>
      </c>
      <c r="T6" s="196">
        <v>279307.5</v>
      </c>
      <c r="U6" s="196">
        <v>150362</v>
      </c>
      <c r="V6" s="196">
        <v>245513</v>
      </c>
    </row>
    <row r="7" spans="1:22" x14ac:dyDescent="0.25">
      <c r="A7" s="227"/>
      <c r="B7" s="196">
        <v>90571.5</v>
      </c>
      <c r="C7" s="196">
        <v>88574</v>
      </c>
      <c r="D7" s="196">
        <v>120744</v>
      </c>
      <c r="E7" s="196">
        <v>1683334.6666666667</v>
      </c>
      <c r="F7" s="196">
        <v>189808.66666666666</v>
      </c>
      <c r="G7" s="196">
        <v>2453403</v>
      </c>
      <c r="H7" s="196">
        <v>5326617</v>
      </c>
      <c r="I7" s="196">
        <v>728177.66666666663</v>
      </c>
      <c r="J7" s="196">
        <v>37532.333333333336</v>
      </c>
      <c r="K7" s="196">
        <v>236572</v>
      </c>
      <c r="L7" s="196">
        <v>18360</v>
      </c>
      <c r="M7" s="196">
        <v>283321</v>
      </c>
      <c r="N7" s="3"/>
      <c r="O7" s="196">
        <v>1363177.5</v>
      </c>
      <c r="P7" s="196">
        <v>4364542.666666667</v>
      </c>
      <c r="Q7" s="196">
        <v>35806.666666666664</v>
      </c>
      <c r="R7" s="196">
        <v>495992.66666666669</v>
      </c>
      <c r="S7" s="196">
        <v>320447.33333333331</v>
      </c>
      <c r="T7" s="196">
        <v>32500</v>
      </c>
      <c r="U7" s="196">
        <v>146620.33333333334</v>
      </c>
      <c r="V7" s="196">
        <v>947289</v>
      </c>
    </row>
    <row r="8" spans="1:22" x14ac:dyDescent="0.25">
      <c r="A8" s="227"/>
      <c r="B8" s="196">
        <v>207183</v>
      </c>
      <c r="C8" s="196">
        <v>54377.333333333336</v>
      </c>
      <c r="D8" s="196">
        <v>207857.33333333334</v>
      </c>
      <c r="E8" s="196"/>
      <c r="F8" s="196">
        <v>1362104</v>
      </c>
      <c r="G8" s="196">
        <v>2461633.3333333335</v>
      </c>
      <c r="H8" s="196">
        <v>6183171.666666667</v>
      </c>
      <c r="I8" s="196">
        <v>1419606.6666666667</v>
      </c>
      <c r="J8" s="196">
        <v>11834</v>
      </c>
      <c r="K8" s="196">
        <v>30056.333333333332</v>
      </c>
      <c r="L8" s="196">
        <v>341679</v>
      </c>
      <c r="M8" s="196">
        <v>32144.666666666668</v>
      </c>
      <c r="N8" s="3"/>
      <c r="O8" s="196">
        <v>3941838.3333333335</v>
      </c>
      <c r="P8" s="196">
        <v>4088444.3333333335</v>
      </c>
      <c r="Q8" s="196">
        <v>49142</v>
      </c>
      <c r="R8" s="196">
        <v>17062.333333333332</v>
      </c>
      <c r="S8" s="196">
        <v>81257.666666666672</v>
      </c>
      <c r="T8" s="196">
        <v>341874.66666666669</v>
      </c>
      <c r="U8" s="196">
        <v>281178</v>
      </c>
      <c r="V8" s="196">
        <v>275112.33333333331</v>
      </c>
    </row>
    <row r="9" spans="1:22" x14ac:dyDescent="0.25">
      <c r="A9" s="227"/>
      <c r="B9" s="196">
        <v>26706.333333333332</v>
      </c>
      <c r="C9" s="196">
        <v>687832</v>
      </c>
      <c r="D9" s="196">
        <v>40063</v>
      </c>
      <c r="E9" s="196">
        <v>160303.66666666666</v>
      </c>
      <c r="F9" s="196">
        <v>353962.66666666669</v>
      </c>
      <c r="G9" s="196">
        <v>2646685.3333333335</v>
      </c>
      <c r="H9" s="196">
        <v>5201344.333333333</v>
      </c>
      <c r="I9" s="196">
        <v>54899</v>
      </c>
      <c r="J9" s="196">
        <v>79307</v>
      </c>
      <c r="K9" s="196">
        <v>46894</v>
      </c>
      <c r="L9" s="196">
        <v>269681.33333333331</v>
      </c>
      <c r="M9" s="196">
        <v>321230.33333333331</v>
      </c>
      <c r="N9" s="3"/>
      <c r="O9" s="196">
        <v>1373909</v>
      </c>
      <c r="P9" s="196">
        <v>4818928</v>
      </c>
      <c r="Q9" s="196">
        <v>208140</v>
      </c>
      <c r="R9" s="196">
        <v>41593</v>
      </c>
      <c r="S9" s="196">
        <v>94309.666666666672</v>
      </c>
      <c r="T9" s="196">
        <v>24096</v>
      </c>
      <c r="U9" s="196">
        <v>112757</v>
      </c>
      <c r="V9" s="196">
        <v>368907.66666666669</v>
      </c>
    </row>
    <row r="10" spans="1:22" x14ac:dyDescent="0.25">
      <c r="A10" s="227"/>
      <c r="B10" s="196">
        <v>394968.33333333331</v>
      </c>
      <c r="C10" s="196">
        <v>253315.33333333334</v>
      </c>
      <c r="D10" s="196">
        <v>73411.666666666672</v>
      </c>
      <c r="E10" s="196">
        <v>207494.66666666666</v>
      </c>
      <c r="F10" s="196">
        <v>57285</v>
      </c>
      <c r="G10" s="196">
        <v>2758456</v>
      </c>
      <c r="H10" s="196">
        <v>8417789.666666666</v>
      </c>
      <c r="I10" s="196">
        <v>250987.66666666666</v>
      </c>
      <c r="J10" s="196">
        <v>98624.333333333328</v>
      </c>
      <c r="K10" s="196">
        <v>719353.5</v>
      </c>
      <c r="L10" s="196">
        <v>23486.666666666668</v>
      </c>
      <c r="M10" s="196">
        <v>40397</v>
      </c>
      <c r="N10" s="3"/>
      <c r="O10" s="196">
        <v>2306282.6666666665</v>
      </c>
      <c r="P10" s="196">
        <v>3200659</v>
      </c>
      <c r="Q10" s="196">
        <v>158041.33333333334</v>
      </c>
      <c r="R10" s="196">
        <v>83150</v>
      </c>
      <c r="S10" s="196">
        <v>86645.333333333328</v>
      </c>
      <c r="T10" s="196">
        <v>63666</v>
      </c>
      <c r="U10" s="196">
        <v>355521.66666666669</v>
      </c>
      <c r="V10" s="196">
        <v>13857</v>
      </c>
    </row>
    <row r="11" spans="1:22" x14ac:dyDescent="0.25">
      <c r="A11" s="227"/>
      <c r="B11" s="196">
        <v>206044.33333333334</v>
      </c>
      <c r="C11" s="196">
        <v>17294</v>
      </c>
      <c r="D11" s="196">
        <v>20564.666666666668</v>
      </c>
      <c r="E11" s="196">
        <v>589527</v>
      </c>
      <c r="F11" s="196">
        <v>3482007.3333333335</v>
      </c>
      <c r="G11" s="196">
        <v>4449672.333333333</v>
      </c>
      <c r="H11" s="196">
        <v>5944467.333333333</v>
      </c>
      <c r="I11" s="196">
        <v>41187.333333333336</v>
      </c>
      <c r="J11" s="196">
        <v>9060.5</v>
      </c>
      <c r="K11" s="196">
        <v>95259.666666666672</v>
      </c>
      <c r="L11" s="196">
        <v>16076.333333333334</v>
      </c>
      <c r="M11" s="196">
        <v>65370</v>
      </c>
      <c r="N11" s="3"/>
      <c r="O11" s="196">
        <v>3153163.5</v>
      </c>
      <c r="P11" s="196">
        <v>2782370.5</v>
      </c>
      <c r="Q11" s="196">
        <v>138600.33333333334</v>
      </c>
      <c r="R11" s="196">
        <v>99349.333333333328</v>
      </c>
      <c r="S11" s="196">
        <v>1162238</v>
      </c>
      <c r="T11" s="196">
        <v>27076.333333333332</v>
      </c>
      <c r="U11" s="196">
        <v>41571.333333333336</v>
      </c>
      <c r="V11" s="196">
        <v>52013</v>
      </c>
    </row>
    <row r="12" spans="1:22" x14ac:dyDescent="0.25">
      <c r="A12" s="227"/>
      <c r="B12" s="196">
        <v>15130</v>
      </c>
      <c r="C12" s="196">
        <v>23878.666666666668</v>
      </c>
      <c r="D12" s="196">
        <v>58459.666666666664</v>
      </c>
      <c r="E12" s="196">
        <v>1269578.3333333333</v>
      </c>
      <c r="F12" s="196">
        <v>1152731.6666666667</v>
      </c>
      <c r="G12" s="196">
        <v>3145411.3333333335</v>
      </c>
      <c r="H12" s="196">
        <v>9308381</v>
      </c>
      <c r="I12" s="196">
        <v>19498.666666666668</v>
      </c>
      <c r="J12" s="196"/>
      <c r="K12" s="196">
        <v>35915.666666666664</v>
      </c>
      <c r="L12" s="196">
        <v>186538.5</v>
      </c>
      <c r="M12" s="196">
        <v>39323.666666666664</v>
      </c>
      <c r="N12" s="3"/>
      <c r="O12" s="196">
        <v>2877282.3333333335</v>
      </c>
      <c r="P12" s="196">
        <v>4301421</v>
      </c>
      <c r="Q12" s="196">
        <v>88573.666666666672</v>
      </c>
      <c r="R12" s="196"/>
      <c r="S12" s="196">
        <v>59743</v>
      </c>
      <c r="T12" s="196">
        <v>265257.66666666669</v>
      </c>
      <c r="U12" s="196">
        <v>23450.666666666668</v>
      </c>
      <c r="V12" s="196">
        <v>330581</v>
      </c>
    </row>
    <row r="13" spans="1:22" ht="16.5" x14ac:dyDescent="0.25">
      <c r="A13" s="227"/>
      <c r="B13" s="14"/>
      <c r="C13" s="13"/>
      <c r="D13" s="32"/>
      <c r="E13" s="32"/>
      <c r="F13" s="32"/>
      <c r="G13" s="32"/>
      <c r="H13" s="32"/>
      <c r="I13" s="32"/>
      <c r="J13" s="32"/>
      <c r="K13" s="13"/>
      <c r="L13" s="13"/>
      <c r="M13" s="13"/>
      <c r="N13" s="3"/>
      <c r="O13" s="196">
        <v>4599925.666666667</v>
      </c>
      <c r="P13" s="13"/>
      <c r="Q13" s="13"/>
      <c r="R13" s="32"/>
      <c r="S13" s="32"/>
      <c r="T13" s="32"/>
      <c r="U13" s="32"/>
      <c r="V13" s="32"/>
    </row>
    <row r="14" spans="1:22" ht="16.5" x14ac:dyDescent="0.25">
      <c r="A14" s="227"/>
      <c r="B14" s="14"/>
      <c r="C14" s="32"/>
      <c r="D14" s="32"/>
      <c r="E14" s="32"/>
      <c r="F14" s="32"/>
      <c r="G14" s="32"/>
      <c r="H14" s="32"/>
      <c r="I14" s="32"/>
      <c r="J14" s="32"/>
      <c r="K14" s="13"/>
      <c r="L14" s="13"/>
      <c r="M14" s="13"/>
      <c r="N14" s="3"/>
      <c r="O14" s="196">
        <v>1938419.3333333333</v>
      </c>
      <c r="P14" s="13"/>
      <c r="Q14" s="13"/>
      <c r="R14" s="32"/>
      <c r="S14" s="32"/>
      <c r="T14" s="32"/>
      <c r="U14" s="32"/>
      <c r="V14" s="32"/>
    </row>
    <row r="15" spans="1:22" ht="16.5" x14ac:dyDescent="0.25">
      <c r="A15" s="227"/>
      <c r="B15" s="14"/>
      <c r="C15" s="32"/>
      <c r="D15" s="32"/>
      <c r="E15" s="32"/>
      <c r="F15" s="32"/>
      <c r="G15" s="32"/>
      <c r="H15" s="32"/>
      <c r="I15" s="32"/>
      <c r="J15" s="32"/>
      <c r="K15" s="13"/>
      <c r="L15" s="13"/>
      <c r="M15" s="13"/>
      <c r="N15" s="3"/>
      <c r="O15" s="196">
        <v>1481017.3333333333</v>
      </c>
      <c r="P15" s="13"/>
      <c r="Q15" s="13"/>
      <c r="R15" s="32"/>
      <c r="S15" s="32"/>
      <c r="T15" s="32"/>
      <c r="U15" s="32"/>
      <c r="V15" s="32"/>
    </row>
    <row r="16" spans="1:22" ht="16.5" x14ac:dyDescent="0.25">
      <c r="A16" s="227"/>
      <c r="B16" s="14"/>
      <c r="C16" s="32"/>
      <c r="D16" s="32"/>
      <c r="E16" s="32"/>
      <c r="F16" s="32"/>
      <c r="G16" s="32"/>
      <c r="H16" s="32"/>
      <c r="I16" s="32"/>
      <c r="J16" s="32"/>
      <c r="K16" s="13"/>
      <c r="L16" s="13"/>
      <c r="M16" s="13"/>
      <c r="N16" s="3"/>
      <c r="O16" s="196">
        <v>937202.33333333337</v>
      </c>
      <c r="P16" s="13"/>
      <c r="Q16" s="13"/>
      <c r="R16" s="32"/>
      <c r="S16" s="32"/>
      <c r="T16" s="32"/>
      <c r="U16" s="32"/>
      <c r="V16" s="32"/>
    </row>
    <row r="17" spans="1:22" ht="16.5" x14ac:dyDescent="0.25">
      <c r="A17" s="227"/>
      <c r="B17" s="14"/>
      <c r="C17" s="32"/>
      <c r="D17" s="32"/>
      <c r="E17" s="32"/>
      <c r="F17" s="32"/>
      <c r="G17" s="32"/>
      <c r="H17" s="32"/>
      <c r="I17" s="32"/>
      <c r="J17" s="32"/>
      <c r="K17" s="13"/>
      <c r="L17" s="13"/>
      <c r="M17" s="13"/>
      <c r="N17" s="3"/>
      <c r="O17" s="196">
        <v>1974001</v>
      </c>
      <c r="P17" s="13"/>
      <c r="Q17" s="13"/>
      <c r="R17" s="32"/>
      <c r="S17" s="32"/>
      <c r="T17" s="32"/>
      <c r="U17" s="32"/>
      <c r="V17" s="32"/>
    </row>
    <row r="18" spans="1:22" ht="16.5" x14ac:dyDescent="0.25">
      <c r="A18" s="227"/>
      <c r="B18" s="14"/>
      <c r="C18" s="32"/>
      <c r="D18" s="32"/>
      <c r="E18" s="32"/>
      <c r="F18" s="32"/>
      <c r="G18" s="32"/>
      <c r="H18" s="32"/>
      <c r="I18" s="32"/>
      <c r="J18" s="32"/>
      <c r="K18" s="13"/>
      <c r="L18" s="13"/>
      <c r="M18" s="13"/>
      <c r="N18" s="3"/>
      <c r="O18" s="196">
        <v>1290048</v>
      </c>
      <c r="P18" s="13"/>
      <c r="Q18" s="13"/>
      <c r="R18" s="32"/>
      <c r="S18" s="32"/>
      <c r="T18" s="32"/>
      <c r="U18" s="32"/>
      <c r="V18" s="32"/>
    </row>
    <row r="19" spans="1:22" ht="16.5" x14ac:dyDescent="0.25">
      <c r="A19" s="227"/>
      <c r="B19" s="14"/>
      <c r="C19" s="32"/>
      <c r="D19" s="32"/>
      <c r="E19" s="32"/>
      <c r="F19" s="32"/>
      <c r="G19" s="32"/>
      <c r="H19" s="32"/>
      <c r="I19" s="32"/>
      <c r="J19" s="32"/>
      <c r="K19" s="13"/>
      <c r="L19" s="13"/>
      <c r="M19" s="13"/>
      <c r="N19" s="3"/>
      <c r="O19" s="196">
        <v>2126531</v>
      </c>
      <c r="P19" s="13"/>
      <c r="Q19" s="13"/>
      <c r="R19" s="32"/>
      <c r="S19" s="32"/>
      <c r="T19" s="32"/>
      <c r="U19" s="32"/>
      <c r="V19" s="32"/>
    </row>
    <row r="20" spans="1:22" ht="16.5" x14ac:dyDescent="0.25">
      <c r="A20" s="227"/>
      <c r="B20" s="14"/>
      <c r="C20" s="32"/>
      <c r="D20" s="32"/>
      <c r="E20" s="32"/>
      <c r="F20" s="32"/>
      <c r="G20" s="32"/>
      <c r="H20" s="32"/>
      <c r="I20" s="32"/>
      <c r="J20" s="32"/>
      <c r="K20" s="13"/>
      <c r="L20" s="13"/>
      <c r="M20" s="13"/>
      <c r="N20" s="3"/>
      <c r="O20" s="196">
        <v>2684652.5</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Fadrozole-5,4µg/L</v>
      </c>
      <c r="J22" s="3" t="str">
        <f t="shared" si="0"/>
        <v>Fadrozole-11µg/L</v>
      </c>
      <c r="K22" s="3" t="str">
        <f t="shared" si="0"/>
        <v>Fadrozole-22µg/L</v>
      </c>
      <c r="L22" s="3" t="str">
        <f t="shared" si="0"/>
        <v>Fadrozole-44µg/L</v>
      </c>
      <c r="M22" s="3" t="str">
        <f t="shared" si="0"/>
        <v>Fadrozole-87µg/L</v>
      </c>
      <c r="N22" s="3" t="s">
        <v>41</v>
      </c>
      <c r="O22" s="3" t="str">
        <f t="shared" si="0"/>
        <v>Testo -30µg/L</v>
      </c>
      <c r="P22" s="3" t="str">
        <f t="shared" si="0"/>
        <v>Testo 30µg/L + EE2 -64ng/L</v>
      </c>
      <c r="Q22" s="3" t="str">
        <f t="shared" si="0"/>
        <v>Testo 30µg/L + FAD-10µg/L</v>
      </c>
      <c r="R22" s="3" t="str">
        <f t="shared" si="0"/>
        <v>Fadrozole-5,4µg/L + Testostérone</v>
      </c>
      <c r="S22" s="3" t="str">
        <f t="shared" si="0"/>
        <v>Fadrozole-11µg/L + Testostérone</v>
      </c>
      <c r="T22" s="3" t="str">
        <f t="shared" si="0"/>
        <v>Fadrozole-22µg/L + Testostérone</v>
      </c>
      <c r="U22" s="3" t="str">
        <f t="shared" si="0"/>
        <v>Fadrozole-44µg/L + Testostérone</v>
      </c>
      <c r="V22" s="3" t="str">
        <f t="shared" si="0"/>
        <v>Fadrozole-87µg/L + Testostérone</v>
      </c>
    </row>
    <row r="23" spans="1:22" x14ac:dyDescent="0.25">
      <c r="A23" s="5" t="s">
        <v>0</v>
      </c>
      <c r="B23" s="5">
        <f t="shared" ref="B23:J23" si="1">AVERAGE(B5:B20)</f>
        <v>143188.6875</v>
      </c>
      <c r="C23" s="5">
        <f t="shared" si="1"/>
        <v>170871.29166666666</v>
      </c>
      <c r="D23" s="5">
        <f t="shared" si="1"/>
        <v>118507.70833333331</v>
      </c>
      <c r="E23" s="5">
        <f t="shared" si="1"/>
        <v>653198</v>
      </c>
      <c r="F23" s="5">
        <f t="shared" si="1"/>
        <v>1352279.5833333333</v>
      </c>
      <c r="G23" s="5">
        <f t="shared" si="1"/>
        <v>3276489.770833333</v>
      </c>
      <c r="H23" s="5">
        <f t="shared" si="1"/>
        <v>6895537.958333333</v>
      </c>
      <c r="I23" s="5">
        <f t="shared" si="1"/>
        <v>370161.87499999994</v>
      </c>
      <c r="J23" s="5">
        <f t="shared" si="1"/>
        <v>47545.861111111117</v>
      </c>
      <c r="K23" s="5"/>
      <c r="L23" s="5">
        <f>AVERAGE(L5:L20)</f>
        <v>115077.35416666666</v>
      </c>
      <c r="M23" s="5"/>
      <c r="N23" s="5" t="s">
        <v>0</v>
      </c>
      <c r="O23" s="5">
        <f>AVERAGE(O5:O20)</f>
        <v>2347918.322916666</v>
      </c>
      <c r="P23" s="5">
        <f>AVERAGE(P5:P20)</f>
        <v>4243645.479166666</v>
      </c>
      <c r="Q23" s="5">
        <f>AVERAGE(Q5:Q20)</f>
        <v>116582.04166666667</v>
      </c>
      <c r="R23" s="5">
        <f>AVERAGE(R5:R20)</f>
        <v>134269.28571428574</v>
      </c>
      <c r="S23" s="5">
        <f>AVERAGE(S5:S20)</f>
        <v>262547.91666666663</v>
      </c>
      <c r="T23" s="5">
        <f t="shared" ref="T23:V23" si="2">AVERAGE(T5:T20)</f>
        <v>185264.02083333334</v>
      </c>
      <c r="U23" s="5">
        <f t="shared" si="2"/>
        <v>156665.58333333334</v>
      </c>
      <c r="V23" s="5">
        <f t="shared" si="2"/>
        <v>311353.79166666669</v>
      </c>
    </row>
    <row r="24" spans="1:22" x14ac:dyDescent="0.25">
      <c r="A24" s="3" t="s">
        <v>1</v>
      </c>
      <c r="B24" s="3">
        <f t="shared" ref="B24:J24" si="3">STDEV(B5:B20)</f>
        <v>127351.82042972677</v>
      </c>
      <c r="C24" s="3">
        <f t="shared" si="3"/>
        <v>227867.81663133425</v>
      </c>
      <c r="D24" s="3">
        <f t="shared" si="3"/>
        <v>84995.986651179861</v>
      </c>
      <c r="E24" s="3">
        <f t="shared" si="3"/>
        <v>595950.56169823732</v>
      </c>
      <c r="F24" s="3">
        <f t="shared" si="3"/>
        <v>1181216.4181839924</v>
      </c>
      <c r="G24" s="3">
        <f t="shared" si="3"/>
        <v>858500.86707348027</v>
      </c>
      <c r="H24" s="3">
        <f t="shared" si="3"/>
        <v>1501170.1109311066</v>
      </c>
      <c r="I24" s="3">
        <f t="shared" si="3"/>
        <v>480686.91334975243</v>
      </c>
      <c r="J24" s="3">
        <f t="shared" si="3"/>
        <v>35989.973804815352</v>
      </c>
      <c r="K24" s="3"/>
      <c r="L24" s="3">
        <f>STDEV(L5:L20)</f>
        <v>132295.50182008787</v>
      </c>
      <c r="M24" s="3"/>
      <c r="N24" s="3" t="s">
        <v>1</v>
      </c>
      <c r="O24" s="3">
        <f>STDEV(O5:O20)</f>
        <v>1005334.6062223269</v>
      </c>
      <c r="P24" s="3">
        <f>STDEV(P5:P20)</f>
        <v>880454.66757023067</v>
      </c>
      <c r="Q24" s="3">
        <f>STDEV(Q5:Q20)</f>
        <v>63506.692785513333</v>
      </c>
      <c r="R24" s="3">
        <f>STDEV(R5:R20)</f>
        <v>164093.39480978827</v>
      </c>
      <c r="S24" s="3">
        <f>STDEV(S5:S20)</f>
        <v>377496.07467778382</v>
      </c>
      <c r="T24" s="3">
        <f t="shared" ref="T24:V24" si="4">STDEV(T5:T20)</f>
        <v>168224.87832925413</v>
      </c>
      <c r="U24" s="3">
        <f t="shared" si="4"/>
        <v>112330.94397879268</v>
      </c>
      <c r="V24" s="3">
        <f t="shared" si="4"/>
        <v>285957.09533790773</v>
      </c>
    </row>
    <row r="25" spans="1:22" ht="15.75" thickBot="1" x14ac:dyDescent="0.3"/>
    <row r="26" spans="1:22" ht="15.75" thickBot="1" x14ac:dyDescent="0.3">
      <c r="B26" s="225" t="s">
        <v>6</v>
      </c>
      <c r="C26" s="226"/>
      <c r="D26" s="226"/>
      <c r="E26" s="226"/>
      <c r="F26" s="226"/>
      <c r="G26" s="226"/>
      <c r="H26" s="226"/>
      <c r="I26" s="226"/>
      <c r="J26" s="226"/>
      <c r="K26" s="226"/>
      <c r="L26" s="226"/>
      <c r="M26" s="226"/>
      <c r="O26" s="225" t="s">
        <v>3</v>
      </c>
      <c r="P26" s="226"/>
      <c r="Q26" s="226"/>
      <c r="R26" s="226"/>
      <c r="S26" s="226"/>
      <c r="T26" s="226"/>
      <c r="U26" s="226"/>
      <c r="V26" s="226"/>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Fadrozole-5,4µg/L</v>
      </c>
      <c r="J27" s="35" t="str">
        <f t="shared" si="5"/>
        <v>Fadrozole-11µg/L</v>
      </c>
      <c r="K27" s="35" t="str">
        <f t="shared" si="5"/>
        <v>Fadrozole-22µg/L</v>
      </c>
      <c r="L27" s="35" t="str">
        <f t="shared" si="5"/>
        <v>Fadrozole-44µg/L</v>
      </c>
      <c r="M27" s="35" t="str">
        <f t="shared" si="5"/>
        <v>Fadrozole-87µg/L</v>
      </c>
      <c r="N27" s="3"/>
      <c r="O27" s="36" t="str">
        <f>O4</f>
        <v>Testo -30µg/L</v>
      </c>
      <c r="P27" s="36" t="str">
        <f t="shared" ref="P27:V27" si="6">P4</f>
        <v>Testo 30µg/L + EE2 -64ng/L</v>
      </c>
      <c r="Q27" s="36" t="str">
        <f t="shared" si="6"/>
        <v>Testo 30µg/L + FAD-10µg/L</v>
      </c>
      <c r="R27" s="36" t="str">
        <f t="shared" si="6"/>
        <v>Fadrozole-5,4µg/L + Testostérone</v>
      </c>
      <c r="S27" s="36" t="str">
        <f t="shared" si="6"/>
        <v>Fadrozole-11µg/L + Testostérone</v>
      </c>
      <c r="T27" s="36" t="str">
        <f t="shared" si="6"/>
        <v>Fadrozole-22µg/L + Testostérone</v>
      </c>
      <c r="U27" s="36" t="str">
        <f t="shared" si="6"/>
        <v>Fadrozole-44µg/L + Testostérone</v>
      </c>
      <c r="V27" s="36" t="str">
        <f t="shared" si="6"/>
        <v>Fadrozole-87µg/L + Testostérone</v>
      </c>
    </row>
    <row r="28" spans="1:22" x14ac:dyDescent="0.25">
      <c r="A28" s="228" t="s">
        <v>34</v>
      </c>
      <c r="B28" s="11">
        <f t="shared" ref="B28:M28" si="7">IF(B5="","",(B5/$O$23))</f>
        <v>6.7033138162072042E-2</v>
      </c>
      <c r="C28" s="11">
        <f t="shared" si="7"/>
        <v>9.2852037429130674E-2</v>
      </c>
      <c r="D28" s="11">
        <f t="shared" si="7"/>
        <v>7.4003709997382941E-2</v>
      </c>
      <c r="E28" s="11">
        <f t="shared" si="7"/>
        <v>0.19866889268698346</v>
      </c>
      <c r="F28" s="11">
        <f t="shared" si="7"/>
        <v>0.93854783838018518</v>
      </c>
      <c r="G28" s="11">
        <f t="shared" si="7"/>
        <v>1.6195960891048</v>
      </c>
      <c r="H28" s="11">
        <f t="shared" si="7"/>
        <v>2.9574833441000372</v>
      </c>
      <c r="I28" s="11">
        <f t="shared" si="7"/>
        <v>9.2320786694742321E-2</v>
      </c>
      <c r="J28" s="11" t="str">
        <f t="shared" si="7"/>
        <v/>
      </c>
      <c r="K28" s="11">
        <f t="shared" si="7"/>
        <v>0.10682384656170542</v>
      </c>
      <c r="L28" s="11">
        <f t="shared" si="7"/>
        <v>2.3039273898648856E-2</v>
      </c>
      <c r="M28" s="11">
        <f t="shared" si="7"/>
        <v>2.9756571733385521E-2</v>
      </c>
      <c r="N28" s="6"/>
      <c r="O28" s="11">
        <f t="shared" ref="O28:V39" si="8">IF(O5="","",(O5/$O$23))</f>
        <v>1.2274481492269049</v>
      </c>
      <c r="P28" s="11">
        <f t="shared" si="8"/>
        <v>2.2498160527029625</v>
      </c>
      <c r="Q28" s="11">
        <f t="shared" si="8"/>
        <v>7.6628730328446679E-2</v>
      </c>
      <c r="R28" s="11">
        <f t="shared" si="8"/>
        <v>2.8443919598122386E-2</v>
      </c>
      <c r="S28" s="11">
        <f t="shared" si="8"/>
        <v>0.11077372842492096</v>
      </c>
      <c r="T28" s="11">
        <f t="shared" si="8"/>
        <v>0.19094957248898839</v>
      </c>
      <c r="U28" s="11">
        <f t="shared" si="8"/>
        <v>6.0421039898201682E-2</v>
      </c>
      <c r="V28" s="11">
        <f t="shared" si="8"/>
        <v>0.10969603619489908</v>
      </c>
    </row>
    <row r="29" spans="1:22" x14ac:dyDescent="0.25">
      <c r="A29" s="228"/>
      <c r="B29" s="11">
        <f t="shared" ref="B29:M29" si="9">IF(B6="","",(B6/$O$23))</f>
        <v>2.0238211100818259E-2</v>
      </c>
      <c r="C29" s="11">
        <f t="shared" si="9"/>
        <v>1.00897888009032E-2</v>
      </c>
      <c r="D29" s="11">
        <f t="shared" si="9"/>
        <v>0.10784304726244671</v>
      </c>
      <c r="E29" s="11">
        <f t="shared" si="9"/>
        <v>8.3345886193452096E-2</v>
      </c>
      <c r="F29" s="11">
        <f t="shared" si="9"/>
        <v>0.85893263278487775</v>
      </c>
      <c r="G29" s="11">
        <f t="shared" si="9"/>
        <v>1.9140263339388333</v>
      </c>
      <c r="H29" s="11">
        <f t="shared" si="9"/>
        <v>3.3385332261455956</v>
      </c>
      <c r="I29" s="11">
        <f t="shared" si="9"/>
        <v>9.8034216559714171E-2</v>
      </c>
      <c r="J29" s="11">
        <f t="shared" si="9"/>
        <v>2.0834200032662804E-2</v>
      </c>
      <c r="K29" s="11">
        <f t="shared" si="9"/>
        <v>6.2474916000392011E-2</v>
      </c>
      <c r="L29" s="11">
        <f t="shared" si="9"/>
        <v>4.5583641314112834E-3</v>
      </c>
      <c r="M29" s="11">
        <f t="shared" si="9"/>
        <v>1.3369715502285873E-2</v>
      </c>
      <c r="N29" s="6"/>
      <c r="O29" s="11">
        <f t="shared" si="8"/>
        <v>1.1232480452686817</v>
      </c>
      <c r="P29" s="11">
        <f t="shared" si="8"/>
        <v>2.1765723066770337</v>
      </c>
      <c r="Q29" s="11">
        <f t="shared" si="8"/>
        <v>3.1702266900352993E-2</v>
      </c>
      <c r="R29" s="11">
        <f t="shared" si="8"/>
        <v>5.7903916562898262E-2</v>
      </c>
      <c r="S29" s="11">
        <f t="shared" si="8"/>
        <v>1.5185650334878427E-2</v>
      </c>
      <c r="T29" s="11">
        <f t="shared" si="8"/>
        <v>0.11895963214471382</v>
      </c>
      <c r="U29" s="11">
        <f t="shared" si="8"/>
        <v>6.4040558196766864E-2</v>
      </c>
      <c r="V29" s="11">
        <f t="shared" si="8"/>
        <v>0.10456624389515184</v>
      </c>
    </row>
    <row r="30" spans="1:22" x14ac:dyDescent="0.25">
      <c r="A30" s="228"/>
      <c r="B30" s="11">
        <f t="shared" ref="B30:M30" si="10">IF(B7="","",(B7/$O$23))</f>
        <v>3.8575234545420181E-2</v>
      </c>
      <c r="C30" s="11">
        <f t="shared" si="10"/>
        <v>3.7724480930823132E-2</v>
      </c>
      <c r="D30" s="11">
        <f t="shared" si="10"/>
        <v>5.1425979695072011E-2</v>
      </c>
      <c r="E30" s="11">
        <f t="shared" si="10"/>
        <v>0.71694771076004449</v>
      </c>
      <c r="F30" s="11">
        <f t="shared" si="10"/>
        <v>8.0841256194499861E-2</v>
      </c>
      <c r="G30" s="11">
        <f t="shared" si="10"/>
        <v>1.0449268937738418</v>
      </c>
      <c r="H30" s="11">
        <f t="shared" si="10"/>
        <v>2.2686551521021783</v>
      </c>
      <c r="I30" s="11">
        <f t="shared" si="10"/>
        <v>0.31013756294643968</v>
      </c>
      <c r="J30" s="11">
        <f t="shared" si="10"/>
        <v>1.5985365831086219E-2</v>
      </c>
      <c r="K30" s="11">
        <f t="shared" si="10"/>
        <v>0.10075818979346862</v>
      </c>
      <c r="L30" s="11">
        <f t="shared" si="10"/>
        <v>7.8196927979984274E-3</v>
      </c>
      <c r="M30" s="11">
        <f t="shared" si="10"/>
        <v>0.12066901869399306</v>
      </c>
      <c r="N30" s="6"/>
      <c r="O30" s="11">
        <f t="shared" si="8"/>
        <v>0.58058983001870923</v>
      </c>
      <c r="P30" s="11">
        <f t="shared" si="8"/>
        <v>1.8588988484253914</v>
      </c>
      <c r="Q30" s="11">
        <f t="shared" si="8"/>
        <v>1.5250388532334623E-2</v>
      </c>
      <c r="R30" s="11">
        <f t="shared" si="8"/>
        <v>0.21124783678613118</v>
      </c>
      <c r="S30" s="11">
        <f t="shared" si="8"/>
        <v>0.13648146539240022</v>
      </c>
      <c r="T30" s="11">
        <f t="shared" si="8"/>
        <v>1.3842048798199832E-2</v>
      </c>
      <c r="U30" s="11">
        <f t="shared" si="8"/>
        <v>6.244694796333309E-2</v>
      </c>
      <c r="V30" s="11">
        <f t="shared" si="8"/>
        <v>0.40345909427685905</v>
      </c>
    </row>
    <row r="31" spans="1:22" x14ac:dyDescent="0.25">
      <c r="A31" s="228"/>
      <c r="B31" s="11">
        <f t="shared" ref="B31:M31" si="11">IF(B8="","",(B8/$O$23))</f>
        <v>8.8241144497151869E-2</v>
      </c>
      <c r="C31" s="11">
        <f t="shared" si="11"/>
        <v>2.3159806200491639E-2</v>
      </c>
      <c r="D31" s="11">
        <f t="shared" si="11"/>
        <v>8.8528349263498105E-2</v>
      </c>
      <c r="E31" s="11" t="str">
        <f t="shared" si="11"/>
        <v/>
      </c>
      <c r="F31" s="11">
        <f t="shared" si="11"/>
        <v>0.5801326164991748</v>
      </c>
      <c r="G31" s="11">
        <f t="shared" si="11"/>
        <v>1.0484322684084713</v>
      </c>
      <c r="H31" s="11">
        <f t="shared" si="11"/>
        <v>2.633469659619895</v>
      </c>
      <c r="I31" s="11">
        <f t="shared" si="11"/>
        <v>0.60462353089999388</v>
      </c>
      <c r="J31" s="11">
        <f t="shared" si="11"/>
        <v>5.0402093993199013E-3</v>
      </c>
      <c r="K31" s="11">
        <f t="shared" si="11"/>
        <v>1.2801268698306468E-2</v>
      </c>
      <c r="L31" s="11">
        <f t="shared" si="11"/>
        <v>0.14552422742523446</v>
      </c>
      <c r="M31" s="11">
        <f t="shared" si="11"/>
        <v>1.3690709064672847E-2</v>
      </c>
      <c r="N31" s="6"/>
      <c r="O31" s="11">
        <f t="shared" si="8"/>
        <v>1.6788651866035291</v>
      </c>
      <c r="P31" s="11">
        <f t="shared" si="8"/>
        <v>1.7413060298684178</v>
      </c>
      <c r="Q31" s="11">
        <f t="shared" si="8"/>
        <v>2.0930029601265727E-2</v>
      </c>
      <c r="R31" s="11">
        <f t="shared" si="8"/>
        <v>7.2670046341892789E-3</v>
      </c>
      <c r="S31" s="11">
        <f t="shared" si="8"/>
        <v>3.4608387299318644E-2</v>
      </c>
      <c r="T31" s="11">
        <f t="shared" si="8"/>
        <v>0.1456075636574862</v>
      </c>
      <c r="U31" s="11">
        <f t="shared" si="8"/>
        <v>0.11975629529169945</v>
      </c>
      <c r="V31" s="11">
        <f t="shared" si="8"/>
        <v>0.11717287209189593</v>
      </c>
    </row>
    <row r="32" spans="1:22" x14ac:dyDescent="0.25">
      <c r="A32" s="228"/>
      <c r="B32" s="11">
        <f t="shared" ref="B32:M32" si="12">IF(B9="","",(B9/$O$23))</f>
        <v>1.1374472899107407E-2</v>
      </c>
      <c r="C32" s="11">
        <f t="shared" si="12"/>
        <v>0.29295397258348882</v>
      </c>
      <c r="D32" s="11">
        <f t="shared" si="12"/>
        <v>1.706320003083938E-2</v>
      </c>
      <c r="E32" s="11">
        <f t="shared" si="12"/>
        <v>6.8274805431703375E-2</v>
      </c>
      <c r="F32" s="11">
        <f t="shared" si="12"/>
        <v>0.15075595399202896</v>
      </c>
      <c r="G32" s="11">
        <f t="shared" si="12"/>
        <v>1.1272476165378396</v>
      </c>
      <c r="H32" s="11">
        <f t="shared" si="12"/>
        <v>2.215300371638159</v>
      </c>
      <c r="I32" s="11">
        <f t="shared" si="12"/>
        <v>2.3381988829919154E-2</v>
      </c>
      <c r="J32" s="11">
        <f t="shared" si="12"/>
        <v>3.3777580431964126E-2</v>
      </c>
      <c r="K32" s="11">
        <f t="shared" si="12"/>
        <v>1.997258573362409E-2</v>
      </c>
      <c r="L32" s="11">
        <f t="shared" si="12"/>
        <v>0.11485975926041829</v>
      </c>
      <c r="M32" s="11">
        <f t="shared" si="12"/>
        <v>0.13681495229113838</v>
      </c>
      <c r="N32" s="6"/>
      <c r="O32" s="11">
        <f t="shared" si="8"/>
        <v>0.58516047453187481</v>
      </c>
      <c r="P32" s="11">
        <f t="shared" si="8"/>
        <v>2.0524257394157388</v>
      </c>
      <c r="Q32" s="11">
        <f t="shared" si="8"/>
        <v>8.8648739595609621E-2</v>
      </c>
      <c r="R32" s="11">
        <f t="shared" si="8"/>
        <v>1.771484109733925E-2</v>
      </c>
      <c r="S32" s="11">
        <f t="shared" si="8"/>
        <v>4.0167354096675698E-2</v>
      </c>
      <c r="T32" s="11">
        <f t="shared" si="8"/>
        <v>1.0262707933582251E-2</v>
      </c>
      <c r="U32" s="11">
        <f t="shared" si="8"/>
        <v>4.8024242964265183E-2</v>
      </c>
      <c r="V32" s="11">
        <f t="shared" si="8"/>
        <v>0.15712116689323191</v>
      </c>
    </row>
    <row r="33" spans="1:22" x14ac:dyDescent="0.25">
      <c r="A33" s="228"/>
      <c r="B33" s="11">
        <f t="shared" ref="B33:M33" si="13">IF(B10="","",(B10/$O$23))</f>
        <v>0.16822064442288173</v>
      </c>
      <c r="C33" s="11">
        <f t="shared" si="13"/>
        <v>0.10788932939483865</v>
      </c>
      <c r="D33" s="11">
        <f t="shared" si="13"/>
        <v>3.1266703764836305E-2</v>
      </c>
      <c r="E33" s="11">
        <f t="shared" si="13"/>
        <v>8.8373886195883308E-2</v>
      </c>
      <c r="F33" s="11">
        <f t="shared" si="13"/>
        <v>2.4398208166303916E-2</v>
      </c>
      <c r="G33" s="11">
        <f t="shared" si="13"/>
        <v>1.1748517710672959</v>
      </c>
      <c r="H33" s="11">
        <f t="shared" si="13"/>
        <v>3.5852140104302239</v>
      </c>
      <c r="I33" s="11">
        <f t="shared" si="13"/>
        <v>0.10689795476142501</v>
      </c>
      <c r="J33" s="11">
        <f t="shared" si="13"/>
        <v>4.2005010298151575E-2</v>
      </c>
      <c r="K33" s="11">
        <f t="shared" si="13"/>
        <v>0.30637926923556436</v>
      </c>
      <c r="L33" s="11">
        <f t="shared" si="13"/>
        <v>1.0003187264832411E-2</v>
      </c>
      <c r="M33" s="11">
        <f t="shared" si="13"/>
        <v>1.7205453701565496E-2</v>
      </c>
      <c r="N33" s="6"/>
      <c r="O33" s="11">
        <f t="shared" si="8"/>
        <v>0.98226699121361327</v>
      </c>
      <c r="P33" s="11">
        <f t="shared" si="8"/>
        <v>1.3631900942891531</v>
      </c>
      <c r="Q33" s="11">
        <f t="shared" si="8"/>
        <v>6.7311256865617411E-2</v>
      </c>
      <c r="R33" s="11">
        <f t="shared" si="8"/>
        <v>3.5414349463702026E-2</v>
      </c>
      <c r="S33" s="11">
        <f t="shared" si="8"/>
        <v>3.6903044065732013E-2</v>
      </c>
      <c r="T33" s="11">
        <f t="shared" si="8"/>
        <v>2.7115934731882781E-2</v>
      </c>
      <c r="U33" s="11">
        <f t="shared" si="8"/>
        <v>0.15141994642514875</v>
      </c>
      <c r="V33" s="11">
        <f t="shared" si="8"/>
        <v>5.9018236983586171E-3</v>
      </c>
    </row>
    <row r="34" spans="1:22" x14ac:dyDescent="0.25">
      <c r="A34" s="228"/>
      <c r="B34" s="11">
        <f t="shared" ref="B34:M34" si="14">IF(B11="","",(B11/$O$23))</f>
        <v>8.7756175895155455E-2</v>
      </c>
      <c r="C34" s="11">
        <f t="shared" si="14"/>
        <v>7.3656735974174728E-3</v>
      </c>
      <c r="D34" s="11">
        <f t="shared" si="14"/>
        <v>8.7586806005757988E-3</v>
      </c>
      <c r="E34" s="11">
        <f t="shared" si="14"/>
        <v>0.25108496928788776</v>
      </c>
      <c r="F34" s="11">
        <f t="shared" si="14"/>
        <v>1.4830189361135282</v>
      </c>
      <c r="G34" s="11">
        <f t="shared" si="14"/>
        <v>1.8951563561230678</v>
      </c>
      <c r="H34" s="11">
        <f t="shared" si="14"/>
        <v>2.5318032894555329</v>
      </c>
      <c r="I34" s="11">
        <f t="shared" si="14"/>
        <v>1.7542063934391464E-2</v>
      </c>
      <c r="J34" s="11">
        <f t="shared" si="14"/>
        <v>3.8589502503412177E-3</v>
      </c>
      <c r="K34" s="11">
        <f t="shared" si="14"/>
        <v>4.057196783077692E-2</v>
      </c>
      <c r="L34" s="11">
        <f t="shared" si="14"/>
        <v>6.8470581691115863E-3</v>
      </c>
      <c r="M34" s="11">
        <f t="shared" si="14"/>
        <v>2.7841683998102246E-2</v>
      </c>
      <c r="N34" s="6"/>
      <c r="O34" s="11">
        <f t="shared" si="8"/>
        <v>1.3429613241754639</v>
      </c>
      <c r="P34" s="11">
        <f t="shared" si="8"/>
        <v>1.185037176482205</v>
      </c>
      <c r="Q34" s="11">
        <f t="shared" si="8"/>
        <v>5.903115622913116E-2</v>
      </c>
      <c r="R34" s="11">
        <f t="shared" si="8"/>
        <v>4.2313794463649877E-2</v>
      </c>
      <c r="S34" s="11">
        <f t="shared" si="8"/>
        <v>0.49500784957298999</v>
      </c>
      <c r="T34" s="11">
        <f t="shared" si="8"/>
        <v>1.1532059300809991E-2</v>
      </c>
      <c r="U34" s="11">
        <f t="shared" si="8"/>
        <v>1.7705613064807117E-2</v>
      </c>
      <c r="V34" s="11">
        <f t="shared" si="8"/>
        <v>2.2152814896639009E-2</v>
      </c>
    </row>
    <row r="35" spans="1:22" x14ac:dyDescent="0.25">
      <c r="A35" s="228"/>
      <c r="B35" s="11">
        <f t="shared" ref="B35:M35" si="15">IF(B12="","",(B12/$O$23))</f>
        <v>6.4440061020542595E-3</v>
      </c>
      <c r="C35" s="11">
        <f t="shared" si="15"/>
        <v>1.0170143668798391E-2</v>
      </c>
      <c r="D35" s="11">
        <f t="shared" si="15"/>
        <v>2.48985094992768E-2</v>
      </c>
      <c r="E35" s="11">
        <f t="shared" si="15"/>
        <v>0.54072508440422185</v>
      </c>
      <c r="F35" s="11">
        <f t="shared" si="15"/>
        <v>0.49095901480708376</v>
      </c>
      <c r="G35" s="11">
        <f t="shared" si="15"/>
        <v>1.3396596051203322</v>
      </c>
      <c r="H35" s="11">
        <f t="shared" si="15"/>
        <v>3.9645250472072657</v>
      </c>
      <c r="I35" s="11">
        <f t="shared" si="15"/>
        <v>8.3046613999948442E-3</v>
      </c>
      <c r="J35" s="11" t="str">
        <f t="shared" si="15"/>
        <v/>
      </c>
      <c r="K35" s="11">
        <f t="shared" si="15"/>
        <v>1.5296812634457816E-2</v>
      </c>
      <c r="L35" s="11">
        <f t="shared" si="15"/>
        <v>7.9448462145938439E-2</v>
      </c>
      <c r="M35" s="11">
        <f t="shared" si="15"/>
        <v>1.6748311166896741E-2</v>
      </c>
      <c r="N35" s="6"/>
      <c r="O35" s="11">
        <f t="shared" si="8"/>
        <v>1.2254609988984084</v>
      </c>
      <c r="P35" s="11">
        <f t="shared" si="8"/>
        <v>1.832014750264662</v>
      </c>
      <c r="Q35" s="11">
        <f t="shared" si="8"/>
        <v>3.7724338961091869E-2</v>
      </c>
      <c r="R35" s="11" t="str">
        <f t="shared" si="8"/>
        <v/>
      </c>
      <c r="S35" s="11">
        <f t="shared" si="8"/>
        <v>2.5445092964641616E-2</v>
      </c>
      <c r="T35" s="11">
        <f t="shared" si="8"/>
        <v>0.11297567895681923</v>
      </c>
      <c r="U35" s="11">
        <f t="shared" si="8"/>
        <v>9.9878545338559447E-3</v>
      </c>
      <c r="V35" s="11">
        <f t="shared" si="8"/>
        <v>0.14079748719254456</v>
      </c>
    </row>
    <row r="36" spans="1:22" x14ac:dyDescent="0.25">
      <c r="A36" s="228"/>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1.9591506321874428</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8"/>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0.82559061548843027</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8"/>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0.63077889843014723</v>
      </c>
      <c r="P38" s="11" t="str">
        <f t="shared" si="8"/>
        <v/>
      </c>
      <c r="Q38" s="11" t="str">
        <f t="shared" si="8"/>
        <v/>
      </c>
      <c r="R38" s="11" t="str">
        <f t="shared" si="8"/>
        <v/>
      </c>
      <c r="S38" s="11" t="str">
        <f t="shared" si="8"/>
        <v/>
      </c>
      <c r="T38" s="11" t="str">
        <f t="shared" si="8"/>
        <v/>
      </c>
      <c r="U38" s="11" t="str">
        <f t="shared" si="8"/>
        <v/>
      </c>
      <c r="V38" s="11" t="str">
        <f t="shared" si="8"/>
        <v/>
      </c>
    </row>
    <row r="39" spans="1:22" x14ac:dyDescent="0.25">
      <c r="A39" s="228"/>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0.3991630902088229</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25">
      <c r="A40" s="228"/>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0.84074517445216201</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25">
      <c r="A41" s="228"/>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0.5494433036313876</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25">
      <c r="A42" s="228"/>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0.90570910378106717</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25">
      <c r="A43" s="228"/>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1.1434181818833591</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Fadrozole-5,4µg/L</v>
      </c>
      <c r="J45" s="7" t="str">
        <f t="shared" si="26"/>
        <v>Fadrozole-11µg/L</v>
      </c>
      <c r="K45" s="7" t="str">
        <f t="shared" si="26"/>
        <v>Fadrozole-22µg/L</v>
      </c>
      <c r="L45" s="7" t="str">
        <f t="shared" si="26"/>
        <v>Fadrozole-44µg/L</v>
      </c>
      <c r="M45" s="7" t="str">
        <f t="shared" si="26"/>
        <v>Fadrozole-87µg/L</v>
      </c>
      <c r="N45" s="7"/>
      <c r="O45" s="7" t="str">
        <f t="shared" si="26"/>
        <v>Testo -30µg/L</v>
      </c>
      <c r="P45" s="7" t="str">
        <f t="shared" si="26"/>
        <v>Testo 30µg/L + EE2 -64ng/L</v>
      </c>
      <c r="Q45" s="7" t="str">
        <f t="shared" si="26"/>
        <v>Testo 30µg/L + FAD-10µg/L</v>
      </c>
      <c r="R45" s="7" t="str">
        <f t="shared" si="26"/>
        <v>Fadrozole-5,4µg/L + Testostérone</v>
      </c>
      <c r="S45" s="7" t="str">
        <f t="shared" si="26"/>
        <v>Fadrozole-11µg/L + Testostérone</v>
      </c>
      <c r="T45" s="7" t="str">
        <f t="shared" si="26"/>
        <v>Fadrozole-22µg/L + Testostérone</v>
      </c>
      <c r="U45" s="7" t="str">
        <f t="shared" si="26"/>
        <v>Fadrozole-44µg/L + Testostérone</v>
      </c>
      <c r="V45" s="7" t="str">
        <f t="shared" si="26"/>
        <v>Fadrozole-87µg/L + Testostérone</v>
      </c>
    </row>
    <row r="46" spans="1:22" x14ac:dyDescent="0.25">
      <c r="A46" s="8" t="s">
        <v>0</v>
      </c>
      <c r="B46" s="10">
        <f t="shared" ref="B46:H46" si="27">AVERAGE(B28:B43)</f>
        <v>6.0985378453082648E-2</v>
      </c>
      <c r="C46" s="10">
        <f t="shared" si="27"/>
        <v>7.2775654075736496E-2</v>
      </c>
      <c r="D46" s="10">
        <f t="shared" si="27"/>
        <v>5.0473522514241004E-2</v>
      </c>
      <c r="E46" s="10">
        <f t="shared" si="27"/>
        <v>0.2782030335657395</v>
      </c>
      <c r="F46" s="10">
        <f t="shared" si="27"/>
        <v>0.57594830711721035</v>
      </c>
      <c r="G46" s="10">
        <f t="shared" si="27"/>
        <v>1.3954871167593101</v>
      </c>
      <c r="H46" s="10">
        <f t="shared" si="27"/>
        <v>2.9368730125873608</v>
      </c>
      <c r="I46" s="10">
        <f>AVERAGE(I28:I43)</f>
        <v>0.15765534575332757</v>
      </c>
      <c r="J46" s="9">
        <f>AVERAGE(J28:J43)</f>
        <v>2.0250219373920974E-2</v>
      </c>
      <c r="K46" s="9">
        <f t="shared" ref="K46:M46" si="28">AVERAGE(K28:K43)</f>
        <v>8.313485706103696E-2</v>
      </c>
      <c r="L46" s="9">
        <f t="shared" si="28"/>
        <v>4.9012503136699213E-2</v>
      </c>
      <c r="M46" s="9">
        <f t="shared" si="28"/>
        <v>4.7012052019005025E-2</v>
      </c>
      <c r="N46" s="8" t="s">
        <v>0</v>
      </c>
      <c r="O46" s="10">
        <f t="shared" ref="O46:V46" si="29">AVERAGE(O28:O43)</f>
        <v>1.0000000000000004</v>
      </c>
      <c r="P46" s="10">
        <f t="shared" si="29"/>
        <v>1.8074076247656954</v>
      </c>
      <c r="Q46" s="10">
        <f t="shared" si="29"/>
        <v>4.9653363376731263E-2</v>
      </c>
      <c r="R46" s="10">
        <f t="shared" si="29"/>
        <v>5.7186523229433177E-2</v>
      </c>
      <c r="S46" s="10">
        <f t="shared" si="29"/>
        <v>0.11182157151894469</v>
      </c>
      <c r="T46" s="10">
        <f t="shared" si="29"/>
        <v>7.8905649751560308E-2</v>
      </c>
      <c r="U46" s="10">
        <f t="shared" si="29"/>
        <v>6.6725312292259753E-2</v>
      </c>
      <c r="V46" s="10">
        <f t="shared" si="29"/>
        <v>0.13260844239244751</v>
      </c>
    </row>
    <row r="47" spans="1:22" x14ac:dyDescent="0.25">
      <c r="A47" s="8" t="s">
        <v>1</v>
      </c>
      <c r="B47" s="8">
        <f t="shared" ref="B47:M47" si="30">STDEV(B28:B43)</f>
        <v>5.4240311167011092E-2</v>
      </c>
      <c r="C47" s="8">
        <f t="shared" si="30"/>
        <v>9.7050998072313183E-2</v>
      </c>
      <c r="D47" s="8">
        <f t="shared" si="30"/>
        <v>3.6200572150054545E-2</v>
      </c>
      <c r="E47" s="8">
        <f t="shared" si="30"/>
        <v>0.25382082327204913</v>
      </c>
      <c r="F47" s="8">
        <f t="shared" si="30"/>
        <v>0.50309093236115832</v>
      </c>
      <c r="G47" s="8">
        <f t="shared" si="30"/>
        <v>0.36564341216393736</v>
      </c>
      <c r="H47" s="8">
        <f t="shared" si="30"/>
        <v>0.63936215168945998</v>
      </c>
      <c r="I47" s="8">
        <f t="shared" si="30"/>
        <v>0.20472897573056387</v>
      </c>
      <c r="J47" s="8">
        <f t="shared" si="30"/>
        <v>1.5328460727759631E-2</v>
      </c>
      <c r="K47" s="8">
        <f t="shared" si="30"/>
        <v>9.74580765504591E-2</v>
      </c>
      <c r="L47" s="8">
        <f t="shared" si="30"/>
        <v>5.6345870522338186E-2</v>
      </c>
      <c r="M47" s="8">
        <f t="shared" si="30"/>
        <v>5.0992450790283562E-2</v>
      </c>
      <c r="N47" s="8" t="s">
        <v>1</v>
      </c>
      <c r="O47" s="8">
        <f t="shared" ref="O47:V47" si="31">STDEV(O28:O43)</f>
        <v>0.42818125162610565</v>
      </c>
      <c r="P47" s="8">
        <f t="shared" si="31"/>
        <v>0.3749937376341525</v>
      </c>
      <c r="Q47" s="8">
        <f t="shared" si="31"/>
        <v>2.7048084324595715E-2</v>
      </c>
      <c r="R47" s="8">
        <f t="shared" si="31"/>
        <v>6.988888548982651E-2</v>
      </c>
      <c r="S47" s="8">
        <f t="shared" si="31"/>
        <v>0.16077904882519295</v>
      </c>
      <c r="T47" s="8">
        <f t="shared" si="31"/>
        <v>7.1648522304762E-2</v>
      </c>
      <c r="U47" s="8">
        <f t="shared" si="31"/>
        <v>4.7842781787763099E-2</v>
      </c>
      <c r="V47" s="8">
        <f t="shared" si="31"/>
        <v>0.1217917559341169</v>
      </c>
    </row>
    <row r="48" spans="1:22" x14ac:dyDescent="0.25">
      <c r="A48" s="8" t="s">
        <v>2</v>
      </c>
      <c r="B48" s="8">
        <f t="shared" ref="B48:M48" si="32" xml:space="preserve"> B47/SQRT(COUNT(B28:B43))</f>
        <v>1.917684591993098E-2</v>
      </c>
      <c r="C48" s="8">
        <f t="shared" si="32"/>
        <v>3.4312709428927599E-2</v>
      </c>
      <c r="D48" s="8">
        <f t="shared" si="32"/>
        <v>1.2798835025068222E-2</v>
      </c>
      <c r="E48" s="8">
        <f t="shared" si="32"/>
        <v>9.5935253706788251E-2</v>
      </c>
      <c r="F48" s="8">
        <f t="shared" si="32"/>
        <v>0.17786950491301887</v>
      </c>
      <c r="G48" s="8">
        <f t="shared" si="32"/>
        <v>0.12927446811865392</v>
      </c>
      <c r="H48" s="8">
        <f t="shared" si="32"/>
        <v>0.22604865654681958</v>
      </c>
      <c r="I48" s="8">
        <f t="shared" si="32"/>
        <v>7.2382623522228906E-2</v>
      </c>
      <c r="J48" s="8">
        <f t="shared" si="32"/>
        <v>6.2578178875503316E-3</v>
      </c>
      <c r="K48" s="8">
        <f t="shared" si="32"/>
        <v>3.4456633405113637E-2</v>
      </c>
      <c r="L48" s="8">
        <f t="shared" si="32"/>
        <v>1.9921273569102262E-2</v>
      </c>
      <c r="M48" s="8">
        <f t="shared" si="32"/>
        <v>1.8028553871565413E-2</v>
      </c>
      <c r="N48" s="8" t="s">
        <v>2</v>
      </c>
      <c r="O48" s="8">
        <f t="shared" ref="O48:V48" si="33" xml:space="preserve"> O47/SQRT(COUNT(O28:O43))</f>
        <v>0.10704531290652641</v>
      </c>
      <c r="P48" s="8">
        <f t="shared" si="33"/>
        <v>0.13258030739179913</v>
      </c>
      <c r="Q48" s="8">
        <f t="shared" si="33"/>
        <v>9.5629419220135941E-3</v>
      </c>
      <c r="R48" s="8">
        <f t="shared" si="33"/>
        <v>2.6415515773364505E-2</v>
      </c>
      <c r="S48" s="8">
        <f t="shared" si="33"/>
        <v>5.6843977848508469E-2</v>
      </c>
      <c r="T48" s="8">
        <f t="shared" si="33"/>
        <v>2.5331577991846405E-2</v>
      </c>
      <c r="U48" s="8">
        <f t="shared" si="33"/>
        <v>1.6914977716477771E-2</v>
      </c>
      <c r="V48" s="8">
        <f t="shared" si="33"/>
        <v>4.3059888256815497E-2</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9" t="s">
        <v>44</v>
      </c>
      <c r="B50" s="220"/>
      <c r="C50" s="220"/>
      <c r="D50" s="220"/>
      <c r="E50" s="220"/>
      <c r="F50" s="220"/>
      <c r="G50" s="220"/>
      <c r="H50" s="220"/>
      <c r="I50" s="220"/>
      <c r="J50" s="220"/>
      <c r="K50" s="220"/>
      <c r="L50" s="220"/>
      <c r="M50" s="220"/>
      <c r="N50" s="220"/>
      <c r="O50" s="220"/>
      <c r="P50" s="220"/>
      <c r="Q50" s="220"/>
      <c r="R50" s="220"/>
      <c r="S50" s="220"/>
      <c r="T50" s="220"/>
      <c r="U50" s="220"/>
      <c r="V50" s="220"/>
    </row>
    <row r="51" spans="1:22" ht="15.75" thickBot="1" x14ac:dyDescent="0.3"/>
    <row r="52" spans="1:22" x14ac:dyDescent="0.2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Fadrozole-5,4µg/L</v>
      </c>
      <c r="J52" s="46" t="str">
        <f>J4</f>
        <v>Fadrozole-11µg/L</v>
      </c>
      <c r="K52" s="46" t="str">
        <f t="shared" ref="K52:M52" si="35">K4</f>
        <v>Fadrozole-22µg/L</v>
      </c>
      <c r="L52" s="46" t="str">
        <f t="shared" si="35"/>
        <v>Fadrozole-44µg/L</v>
      </c>
      <c r="M52" s="46" t="str">
        <f t="shared" si="35"/>
        <v>Fadrozole-87µg/L</v>
      </c>
      <c r="N52" s="47"/>
      <c r="O52" s="46" t="str">
        <f>O27</f>
        <v>Testo -30µg/L</v>
      </c>
      <c r="P52" s="46" t="str">
        <f>P27</f>
        <v>Testo 30µg/L + EE2 -64ng/L</v>
      </c>
      <c r="Q52" s="46" t="str">
        <f>Q27</f>
        <v>Testo 30µg/L + FAD-10µg/L</v>
      </c>
      <c r="R52" s="46" t="str">
        <f>R27</f>
        <v>Fadrozole-5,4µg/L + Testostérone</v>
      </c>
      <c r="S52" s="46" t="str">
        <f t="shared" ref="S52:V52" si="36">S27</f>
        <v>Fadrozole-11µg/L + Testostérone</v>
      </c>
      <c r="T52" s="46" t="str">
        <f t="shared" si="36"/>
        <v>Fadrozole-22µg/L + Testostérone</v>
      </c>
      <c r="U52" s="46" t="str">
        <f t="shared" si="36"/>
        <v>Fadrozole-44µg/L + Testostérone</v>
      </c>
      <c r="V52" s="46" t="str">
        <f t="shared" si="36"/>
        <v>Fadrozole-87µg/L + Testostérone</v>
      </c>
    </row>
    <row r="53" spans="1:22" s="3" customFormat="1" x14ac:dyDescent="0.25">
      <c r="A53" s="61" t="s">
        <v>32</v>
      </c>
      <c r="B53" s="141">
        <f t="shared" ref="B53:V53" si="37">B46</f>
        <v>6.0985378453082648E-2</v>
      </c>
      <c r="C53" s="141">
        <f t="shared" si="37"/>
        <v>7.2775654075736496E-2</v>
      </c>
      <c r="D53" s="141">
        <f t="shared" si="37"/>
        <v>5.0473522514241004E-2</v>
      </c>
      <c r="E53" s="141">
        <f t="shared" si="37"/>
        <v>0.2782030335657395</v>
      </c>
      <c r="F53" s="141">
        <f t="shared" si="37"/>
        <v>0.57594830711721035</v>
      </c>
      <c r="G53" s="141">
        <f t="shared" si="37"/>
        <v>1.3954871167593101</v>
      </c>
      <c r="H53" s="141">
        <f t="shared" si="37"/>
        <v>2.9368730125873608</v>
      </c>
      <c r="I53" s="141">
        <f t="shared" si="37"/>
        <v>0.15765534575332757</v>
      </c>
      <c r="J53" s="141">
        <f t="shared" si="37"/>
        <v>2.0250219373920974E-2</v>
      </c>
      <c r="K53" s="141">
        <f t="shared" si="37"/>
        <v>8.313485706103696E-2</v>
      </c>
      <c r="L53" s="141">
        <f t="shared" si="37"/>
        <v>4.9012503136699213E-2</v>
      </c>
      <c r="M53" s="141">
        <f t="shared" si="37"/>
        <v>4.7012052019005025E-2</v>
      </c>
      <c r="N53" s="141"/>
      <c r="O53" s="141">
        <f t="shared" si="37"/>
        <v>1.0000000000000004</v>
      </c>
      <c r="P53" s="141">
        <f t="shared" si="37"/>
        <v>1.8074076247656954</v>
      </c>
      <c r="Q53" s="141">
        <f t="shared" si="37"/>
        <v>4.9653363376731263E-2</v>
      </c>
      <c r="R53" s="141">
        <f t="shared" si="37"/>
        <v>5.7186523229433177E-2</v>
      </c>
      <c r="S53" s="141">
        <f t="shared" si="37"/>
        <v>0.11182157151894469</v>
      </c>
      <c r="T53" s="141">
        <f t="shared" si="37"/>
        <v>7.8905649751560308E-2</v>
      </c>
      <c r="U53" s="141">
        <f t="shared" si="37"/>
        <v>6.6725312292259753E-2</v>
      </c>
      <c r="V53" s="141">
        <f t="shared" si="37"/>
        <v>0.13260844239244751</v>
      </c>
    </row>
    <row r="54" spans="1:22" s="3" customFormat="1" x14ac:dyDescent="0.25">
      <c r="A54" s="61" t="s">
        <v>2</v>
      </c>
      <c r="B54" s="141">
        <f t="shared" ref="B54:V54" si="38">B48</f>
        <v>1.917684591993098E-2</v>
      </c>
      <c r="C54" s="141">
        <f t="shared" si="38"/>
        <v>3.4312709428927599E-2</v>
      </c>
      <c r="D54" s="141">
        <f t="shared" si="38"/>
        <v>1.2798835025068222E-2</v>
      </c>
      <c r="E54" s="141">
        <f t="shared" si="38"/>
        <v>9.5935253706788251E-2</v>
      </c>
      <c r="F54" s="141">
        <f t="shared" si="38"/>
        <v>0.17786950491301887</v>
      </c>
      <c r="G54" s="141">
        <f t="shared" si="38"/>
        <v>0.12927446811865392</v>
      </c>
      <c r="H54" s="141">
        <f t="shared" si="38"/>
        <v>0.22604865654681958</v>
      </c>
      <c r="I54" s="141">
        <f t="shared" si="38"/>
        <v>7.2382623522228906E-2</v>
      </c>
      <c r="J54" s="141">
        <f t="shared" si="38"/>
        <v>6.2578178875503316E-3</v>
      </c>
      <c r="K54" s="141">
        <f t="shared" si="38"/>
        <v>3.4456633405113637E-2</v>
      </c>
      <c r="L54" s="141">
        <f t="shared" si="38"/>
        <v>1.9921273569102262E-2</v>
      </c>
      <c r="M54" s="141">
        <f t="shared" si="38"/>
        <v>1.8028553871565413E-2</v>
      </c>
      <c r="N54" s="141"/>
      <c r="O54" s="141">
        <f t="shared" si="38"/>
        <v>0.10704531290652641</v>
      </c>
      <c r="P54" s="141">
        <f t="shared" si="38"/>
        <v>0.13258030739179913</v>
      </c>
      <c r="Q54" s="141">
        <f t="shared" si="38"/>
        <v>9.5629419220135941E-3</v>
      </c>
      <c r="R54" s="141">
        <f t="shared" si="38"/>
        <v>2.6415515773364505E-2</v>
      </c>
      <c r="S54" s="141">
        <f t="shared" si="38"/>
        <v>5.6843977848508469E-2</v>
      </c>
      <c r="T54" s="141">
        <f t="shared" si="38"/>
        <v>2.5331577991846405E-2</v>
      </c>
      <c r="U54" s="141">
        <f t="shared" si="38"/>
        <v>1.6914977716477771E-2</v>
      </c>
      <c r="V54" s="141">
        <f t="shared" si="38"/>
        <v>4.3059888256815497E-2</v>
      </c>
    </row>
    <row r="55" spans="1:22" s="3" customFormat="1" x14ac:dyDescent="0.25">
      <c r="A55" s="61" t="s">
        <v>79</v>
      </c>
      <c r="B55" s="141">
        <f>(B53*100/$B53)-100</f>
        <v>0</v>
      </c>
      <c r="C55" s="141">
        <f t="shared" ref="C55:M55" si="39">(C53*100/$B53)-100</f>
        <v>19.332954753612555</v>
      </c>
      <c r="D55" s="141">
        <f t="shared" si="39"/>
        <v>-17.236682308905628</v>
      </c>
      <c r="E55" s="141">
        <f t="shared" si="39"/>
        <v>356.17989200438763</v>
      </c>
      <c r="F55" s="141">
        <f t="shared" si="39"/>
        <v>844.40392390169336</v>
      </c>
      <c r="G55" s="141">
        <f t="shared" si="39"/>
        <v>2188.2322815015209</v>
      </c>
      <c r="H55" s="141">
        <f t="shared" si="39"/>
        <v>4715.7002335350917</v>
      </c>
      <c r="I55" s="141">
        <f t="shared" si="39"/>
        <v>158.51335148246261</v>
      </c>
      <c r="J55" s="141">
        <f t="shared" si="39"/>
        <v>-66.794959894362393</v>
      </c>
      <c r="K55" s="141">
        <f t="shared" si="39"/>
        <v>36.319326320151276</v>
      </c>
      <c r="L55" s="141">
        <f t="shared" si="39"/>
        <v>-19.632370282975984</v>
      </c>
      <c r="M55" s="141">
        <f t="shared" si="39"/>
        <v>-22.912584603910588</v>
      </c>
      <c r="N55" s="141"/>
      <c r="O55" s="141">
        <f>(O53*100/$O53)-100</f>
        <v>0</v>
      </c>
      <c r="P55" s="141">
        <f t="shared" ref="P55:V55" si="40">(P53*100/$O53)-100</f>
        <v>80.740762476569444</v>
      </c>
      <c r="Q55" s="141">
        <f t="shared" si="40"/>
        <v>-95.034663662326878</v>
      </c>
      <c r="R55" s="141">
        <f t="shared" si="40"/>
        <v>-94.281347677056687</v>
      </c>
      <c r="S55" s="141">
        <f t="shared" si="40"/>
        <v>-88.817842848105542</v>
      </c>
      <c r="T55" s="141">
        <f t="shared" si="40"/>
        <v>-92.109435024843975</v>
      </c>
      <c r="U55" s="141">
        <f t="shared" si="40"/>
        <v>-93.327468770774033</v>
      </c>
      <c r="V55" s="141">
        <f t="shared" si="40"/>
        <v>-86.739155760755253</v>
      </c>
    </row>
    <row r="56" spans="1:22" s="3" customFormat="1" x14ac:dyDescent="0.25">
      <c r="A56" s="61" t="s">
        <v>81</v>
      </c>
      <c r="B56" s="141">
        <f>[1]!SWTEST(B28:B43)</f>
        <v>0.25065859964689297</v>
      </c>
      <c r="C56" s="141">
        <f>[1]!SWTEST(C28:C43)</f>
        <v>4.6093351609133304E-3</v>
      </c>
      <c r="D56" s="141">
        <f>[1]!SWTEST(D28:D43)</f>
        <v>0.5032493882545811</v>
      </c>
      <c r="E56" s="141">
        <f>[1]!SWTEST(E28:E43)</f>
        <v>7.6640905515670044E-2</v>
      </c>
      <c r="F56" s="141">
        <f>[1]!SWTEST(F28:F43)</f>
        <v>0.50654348113447711</v>
      </c>
      <c r="G56" s="141">
        <f>[1]!SWTEST(G28:G43)</f>
        <v>8.4482066936006461E-2</v>
      </c>
      <c r="H56" s="141">
        <f>[1]!SWTEST(H28:H43)</f>
        <v>0.54853121154761342</v>
      </c>
      <c r="I56" s="141">
        <f>[1]!SWTEST(I28:I43)</f>
        <v>7.6609763728495706E-3</v>
      </c>
      <c r="J56" s="141">
        <f>[1]!SWTEST(J28:J43)</f>
        <v>0.56610599271451867</v>
      </c>
      <c r="K56" s="141">
        <f>[1]!SWTEST(K28:K43)</f>
        <v>6.4984802604601821E-3</v>
      </c>
      <c r="L56" s="141">
        <f>[1]!SWTEST(L28:L43)</f>
        <v>2.3955867860483648E-2</v>
      </c>
      <c r="M56" s="141">
        <f>[1]!SWTEST(M28:M43)</f>
        <v>1.4036963913632849E-3</v>
      </c>
      <c r="N56" s="141"/>
      <c r="O56" s="141">
        <f>[1]!SWTEST(O28:O43)</f>
        <v>0.43755386135025187</v>
      </c>
      <c r="P56" s="141">
        <f>[1]!SWTEST(P28:P43)</f>
        <v>0.52934421263217479</v>
      </c>
      <c r="Q56" s="141">
        <f>[1]!SWTEST(Q28:Q43)</f>
        <v>0.63380389236219048</v>
      </c>
      <c r="R56" s="141">
        <f>[1]!SWTEST(R28:R43)</f>
        <v>2.2715585641350788E-3</v>
      </c>
      <c r="S56" s="141">
        <f>[1]!SWTEST(S28:S43)</f>
        <v>4.0579272856766657E-4</v>
      </c>
      <c r="T56" s="141">
        <f>[1]!SWTEST(T28:T43)</f>
        <v>0.10019294831105008</v>
      </c>
      <c r="U56" s="141">
        <f>[1]!SWTEST(U28:U43)</f>
        <v>0.35653934508333984</v>
      </c>
      <c r="V56" s="141">
        <f>[1]!SWTEST(V28:V43)</f>
        <v>3.6570394944734241E-2</v>
      </c>
    </row>
    <row r="57" spans="1:22" s="3" customFormat="1" x14ac:dyDescent="0.25">
      <c r="A57" s="61" t="s">
        <v>85</v>
      </c>
      <c r="B57" s="141" t="str">
        <f>IF(B56&gt;0.05,"Oui","Non")</f>
        <v>Oui</v>
      </c>
      <c r="C57" s="141" t="str">
        <f t="shared" ref="C57:V57" si="41">IF(C56&gt;0.05,"Oui","Non")</f>
        <v>Non</v>
      </c>
      <c r="D57" s="141" t="str">
        <f t="shared" si="41"/>
        <v>Oui</v>
      </c>
      <c r="E57" s="141" t="str">
        <f t="shared" si="41"/>
        <v>Oui</v>
      </c>
      <c r="F57" s="141" t="str">
        <f t="shared" si="41"/>
        <v>Oui</v>
      </c>
      <c r="G57" s="141" t="str">
        <f t="shared" si="41"/>
        <v>Oui</v>
      </c>
      <c r="H57" s="141" t="str">
        <f t="shared" si="41"/>
        <v>Oui</v>
      </c>
      <c r="I57" s="141" t="str">
        <f t="shared" si="41"/>
        <v>Non</v>
      </c>
      <c r="J57" s="141" t="str">
        <f t="shared" si="41"/>
        <v>Oui</v>
      </c>
      <c r="K57" s="141" t="str">
        <f t="shared" si="41"/>
        <v>Non</v>
      </c>
      <c r="L57" s="141" t="str">
        <f t="shared" si="41"/>
        <v>Non</v>
      </c>
      <c r="M57" s="141" t="str">
        <f t="shared" si="41"/>
        <v>Non</v>
      </c>
      <c r="N57" s="141"/>
      <c r="O57" s="141" t="str">
        <f t="shared" si="41"/>
        <v>Oui</v>
      </c>
      <c r="P57" s="141" t="str">
        <f t="shared" si="41"/>
        <v>Oui</v>
      </c>
      <c r="Q57" s="141" t="str">
        <f t="shared" si="41"/>
        <v>Oui</v>
      </c>
      <c r="R57" s="141" t="str">
        <f t="shared" si="41"/>
        <v>Non</v>
      </c>
      <c r="S57" s="141" t="str">
        <f t="shared" si="41"/>
        <v>Non</v>
      </c>
      <c r="T57" s="141" t="str">
        <f t="shared" si="41"/>
        <v>Oui</v>
      </c>
      <c r="U57" s="141" t="str">
        <f t="shared" si="41"/>
        <v>Oui</v>
      </c>
      <c r="V57" s="141" t="str">
        <f t="shared" si="41"/>
        <v>Non</v>
      </c>
    </row>
    <row r="58" spans="1:22" s="3" customFormat="1" x14ac:dyDescent="0.2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25">
      <c r="A59" s="61" t="s">
        <v>82</v>
      </c>
      <c r="B59" s="150"/>
      <c r="C59" s="150" t="s">
        <v>2834</v>
      </c>
      <c r="D59" s="150" t="s">
        <v>2834</v>
      </c>
      <c r="E59" s="150" t="s">
        <v>2834</v>
      </c>
      <c r="F59" s="150" t="s">
        <v>2834</v>
      </c>
      <c r="G59" s="150" t="s">
        <v>2834</v>
      </c>
      <c r="H59" s="150" t="s">
        <v>2834</v>
      </c>
      <c r="I59" s="150" t="s">
        <v>1564</v>
      </c>
      <c r="J59" s="150" t="s">
        <v>1564</v>
      </c>
      <c r="K59" s="150" t="s">
        <v>1564</v>
      </c>
      <c r="L59" s="150" t="s">
        <v>1564</v>
      </c>
      <c r="M59" s="150" t="s">
        <v>1564</v>
      </c>
      <c r="N59" s="150"/>
      <c r="O59" s="150" t="str">
        <f t="shared" ref="O59" si="42">IF($B57="Non",IF(O57="Non","MW",IF(O57="Oui","MW","")),IF($B57="Oui",IF(O57="Oui","T-Test Welch",IF(O57="Non","MW",""))))</f>
        <v>T-Test Welch</v>
      </c>
      <c r="P59" s="150" t="str">
        <f>IF($O57="Non",IF(P57="Non","MW",IF(P57="Oui","MW","")),IF($O57="Oui",IF(P57="Oui","T-Test Welch",IF(P57="Non","MW",""))))</f>
        <v>T-Test Welch</v>
      </c>
      <c r="Q59" s="150" t="str">
        <f t="shared" ref="Q59" si="43">IF($O57="Non",IF(Q57="Non","MW",IF(Q57="Oui","MW","")),IF($O57="Oui",IF(Q57="Oui","T-Test Welch",IF(Q57="Non","MW",""))))</f>
        <v>T-Test Welch</v>
      </c>
      <c r="R59" s="150" t="s">
        <v>1564</v>
      </c>
      <c r="S59" s="150" t="s">
        <v>1564</v>
      </c>
      <c r="T59" s="150" t="s">
        <v>1564</v>
      </c>
      <c r="U59" s="150" t="s">
        <v>1564</v>
      </c>
      <c r="V59" s="150" t="s">
        <v>1564</v>
      </c>
    </row>
    <row r="60" spans="1:22" s="3" customFormat="1" ht="15.75" x14ac:dyDescent="0.25">
      <c r="A60" s="61" t="s">
        <v>83</v>
      </c>
      <c r="B60" s="151"/>
      <c r="C60" s="197">
        <v>0.99990000000000001</v>
      </c>
      <c r="D60" s="197">
        <v>0.99990000000000001</v>
      </c>
      <c r="E60" s="236">
        <v>0.76070000000000004</v>
      </c>
      <c r="F60" s="236">
        <v>0.28499999999999998</v>
      </c>
      <c r="G60" s="236">
        <v>2.5000000000000001E-3</v>
      </c>
      <c r="H60" s="197">
        <v>1E-4</v>
      </c>
      <c r="I60" s="197">
        <v>0.99990000000000001</v>
      </c>
      <c r="J60" s="236">
        <v>0.98960000000000004</v>
      </c>
      <c r="K60" s="197">
        <v>0.99990000000000001</v>
      </c>
      <c r="L60" s="197">
        <v>0.99990000000000001</v>
      </c>
      <c r="M60" s="197">
        <v>0.99990000000000001</v>
      </c>
      <c r="N60" s="151"/>
      <c r="O60" s="197">
        <v>1E-4</v>
      </c>
      <c r="P60" s="236">
        <v>2.0000000000000001E-4</v>
      </c>
      <c r="Q60" s="197">
        <v>1E-4</v>
      </c>
      <c r="R60" s="236">
        <v>1E-4</v>
      </c>
      <c r="S60" s="236">
        <v>5.0000000000000001E-4</v>
      </c>
      <c r="T60" s="236">
        <v>2.0000000000000001E-4</v>
      </c>
      <c r="U60" s="236">
        <v>4.0000000000000002E-4</v>
      </c>
      <c r="V60" s="236">
        <v>4.3E-3</v>
      </c>
    </row>
    <row r="61" spans="1:22" s="3" customFormat="1" ht="15.75" thickBot="1" x14ac:dyDescent="0.3">
      <c r="A61" s="62" t="s">
        <v>84</v>
      </c>
      <c r="B61" s="142"/>
      <c r="C61" s="142" t="str">
        <f t="shared" ref="C61:O61" si="44">IF(C60&gt;0.05,"NS",IF(C60&gt;0.01,"*",IF(C60&gt;0.001,"**","***")))</f>
        <v>NS</v>
      </c>
      <c r="D61" s="142" t="str">
        <f t="shared" si="44"/>
        <v>NS</v>
      </c>
      <c r="E61" s="142" t="str">
        <f t="shared" si="44"/>
        <v>NS</v>
      </c>
      <c r="F61" s="142" t="str">
        <f t="shared" si="44"/>
        <v>NS</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v>
      </c>
      <c r="Q61" s="142" t="str">
        <f t="shared" ref="Q61:V61" si="45">IF(Q60&gt;0.05,"NS",IF(Q60&gt;0.01,"*",IF(Q60&gt;0.001,"**","***")))</f>
        <v>***</v>
      </c>
      <c r="R61" s="142" t="str">
        <f t="shared" si="45"/>
        <v>***</v>
      </c>
      <c r="S61" s="142" t="str">
        <f t="shared" si="45"/>
        <v>***</v>
      </c>
      <c r="T61" s="142" t="str">
        <f t="shared" si="45"/>
        <v>***</v>
      </c>
      <c r="U61" s="142" t="str">
        <f t="shared" si="45"/>
        <v>***</v>
      </c>
      <c r="V61" s="142" t="str">
        <f t="shared" si="45"/>
        <v>**</v>
      </c>
    </row>
    <row r="63" spans="1:22" x14ac:dyDescent="0.25">
      <c r="A63" s="2" t="s">
        <v>39</v>
      </c>
    </row>
    <row r="64" spans="1:22" x14ac:dyDescent="0.25">
      <c r="A64" s="1" t="s">
        <v>23</v>
      </c>
      <c r="B64" s="1">
        <f>B46+(3*B47)</f>
        <v>0.22370631195411594</v>
      </c>
    </row>
    <row r="65" spans="1:22" x14ac:dyDescent="0.25">
      <c r="A65" s="1" t="s">
        <v>24</v>
      </c>
      <c r="B65" s="1">
        <f>B46+(10*B47)</f>
        <v>0.60338849012319351</v>
      </c>
    </row>
    <row r="66" spans="1:22" ht="15.75" thickBot="1" x14ac:dyDescent="0.3"/>
    <row r="67" spans="1:22" ht="27" thickBot="1" x14ac:dyDescent="0.45">
      <c r="A67" s="219" t="s">
        <v>45</v>
      </c>
      <c r="B67" s="220"/>
      <c r="C67" s="220"/>
      <c r="D67" s="220"/>
      <c r="E67" s="220"/>
      <c r="F67" s="220"/>
      <c r="G67" s="220"/>
      <c r="H67" s="220"/>
      <c r="I67" s="220"/>
      <c r="J67" s="220"/>
      <c r="K67" s="220"/>
      <c r="L67" s="220"/>
      <c r="M67" s="220"/>
      <c r="N67" s="220"/>
      <c r="O67" s="220"/>
      <c r="P67" s="220"/>
      <c r="Q67" s="220"/>
      <c r="R67" s="220"/>
      <c r="S67" s="220"/>
      <c r="T67" s="220"/>
      <c r="U67" s="220"/>
      <c r="V67" s="220"/>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97"/>
      <c r="S70" s="12"/>
      <c r="T70" s="12"/>
      <c r="U70" s="12"/>
      <c r="V70" s="12"/>
    </row>
    <row r="71" spans="1:22" ht="16.5" x14ac:dyDescent="0.25">
      <c r="A71" s="12"/>
      <c r="B71" s="12"/>
      <c r="C71" s="12"/>
      <c r="D71" s="12"/>
      <c r="E71" s="12"/>
      <c r="F71" s="12"/>
      <c r="N71" s="12"/>
      <c r="O71" s="12"/>
      <c r="P71" s="12"/>
      <c r="Q71" s="12"/>
      <c r="R71" s="197"/>
      <c r="S71" s="12"/>
      <c r="T71" s="12"/>
      <c r="U71" s="12"/>
      <c r="V71" s="12"/>
    </row>
    <row r="72" spans="1:22" ht="16.5" x14ac:dyDescent="0.25">
      <c r="A72" s="12"/>
      <c r="B72" s="12"/>
      <c r="C72" s="12"/>
      <c r="D72" s="12"/>
      <c r="E72" s="12"/>
      <c r="F72" s="197"/>
      <c r="N72" s="12"/>
      <c r="O72" s="12"/>
      <c r="P72" s="12"/>
      <c r="Q72" s="12"/>
      <c r="R72" s="197"/>
      <c r="S72" s="12"/>
      <c r="T72" s="12"/>
      <c r="U72" s="12"/>
      <c r="V72" s="12"/>
    </row>
    <row r="73" spans="1:22" ht="16.5" x14ac:dyDescent="0.25">
      <c r="A73" s="12"/>
      <c r="B73" s="12"/>
      <c r="C73" s="12"/>
      <c r="D73" s="12"/>
      <c r="E73" s="12"/>
      <c r="F73" s="197"/>
      <c r="N73" s="12"/>
      <c r="O73" s="12"/>
      <c r="P73" s="12"/>
      <c r="Q73" s="12"/>
      <c r="R73" s="197"/>
      <c r="S73" s="12"/>
      <c r="T73" s="12"/>
      <c r="U73" s="12"/>
      <c r="V73" s="12"/>
    </row>
    <row r="74" spans="1:22" ht="16.5" x14ac:dyDescent="0.25">
      <c r="A74" s="12"/>
      <c r="B74" s="12"/>
      <c r="C74" s="12"/>
      <c r="D74" s="12"/>
      <c r="E74" s="12"/>
      <c r="F74" s="197"/>
      <c r="N74" s="12"/>
      <c r="O74" s="12"/>
      <c r="P74" s="12"/>
      <c r="Q74" s="12"/>
      <c r="R74" s="197"/>
      <c r="S74" s="12"/>
      <c r="T74" s="12"/>
      <c r="U74" s="12"/>
      <c r="V74" s="12"/>
    </row>
    <row r="75" spans="1:22" ht="15.75" x14ac:dyDescent="0.25">
      <c r="D75" s="197"/>
      <c r="F75" s="197"/>
    </row>
    <row r="76" spans="1:22" ht="15.75" x14ac:dyDescent="0.25">
      <c r="D76" s="197"/>
      <c r="F76" s="197"/>
    </row>
    <row r="77" spans="1:22" ht="15.75" x14ac:dyDescent="0.25">
      <c r="D77" s="197"/>
    </row>
    <row r="78" spans="1:22" ht="15.75" x14ac:dyDescent="0.25">
      <c r="D78" s="197"/>
    </row>
    <row r="79" spans="1:22" ht="15.75" x14ac:dyDescent="0.25">
      <c r="D79" s="197"/>
    </row>
    <row r="80" spans="1:22" ht="15.75" x14ac:dyDescent="0.25">
      <c r="D80" s="197"/>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3"/>
  <sheetViews>
    <sheetView showGridLines="0" topLeftCell="E74" zoomScale="142" zoomScaleNormal="142" workbookViewId="0">
      <selection activeCell="G86" sqref="G86"/>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5" t="s">
        <v>6</v>
      </c>
      <c r="C3" s="226"/>
      <c r="D3" s="226"/>
      <c r="E3" s="226"/>
      <c r="F3" s="226"/>
      <c r="G3" s="226"/>
      <c r="H3" s="226"/>
      <c r="I3" s="226"/>
      <c r="J3" s="226"/>
      <c r="K3" s="226"/>
      <c r="L3" s="226"/>
      <c r="M3" s="226"/>
      <c r="N3" s="72"/>
      <c r="O3" s="225" t="s">
        <v>3</v>
      </c>
      <c r="P3" s="226"/>
      <c r="Q3" s="226"/>
      <c r="R3" s="226"/>
      <c r="S3" s="226"/>
      <c r="T3" s="226"/>
      <c r="U3" s="226"/>
      <c r="V3" s="226"/>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Fadrozole-5,4µg/L</v>
      </c>
      <c r="J4" s="35" t="str">
        <f>'R1'!J4</f>
        <v>Fadrozole-11µg/L</v>
      </c>
      <c r="K4" s="35" t="str">
        <f>'R1'!K4</f>
        <v>Fadrozole-22µg/L</v>
      </c>
      <c r="L4" s="35" t="str">
        <f>'R1'!L4</f>
        <v>Fadrozole-44µg/L</v>
      </c>
      <c r="M4" s="35" t="str">
        <f>'R1'!M4</f>
        <v>Fadrozole-87µg/L</v>
      </c>
      <c r="O4" s="35" t="str">
        <f>'R1'!O4</f>
        <v>Testo -30µg/L</v>
      </c>
      <c r="P4" s="35" t="str">
        <f>'R1'!P4</f>
        <v>Testo 30µg/L + EE2 -64ng/L</v>
      </c>
      <c r="Q4" s="35" t="str">
        <f>'R1'!Q4</f>
        <v>Testo 30µg/L + FAD-10µg/L</v>
      </c>
      <c r="R4" s="35" t="str">
        <f>'R1'!R4</f>
        <v>Fadrozole-5,4µg/L + Testostérone</v>
      </c>
      <c r="S4" s="35" t="str">
        <f>'R1'!S4</f>
        <v>Fadrozole-11µg/L + Testostérone</v>
      </c>
      <c r="T4" s="35" t="str">
        <f>'R1'!T4</f>
        <v>Fadrozole-22µg/L + Testostérone</v>
      </c>
      <c r="U4" s="35" t="str">
        <f>'R1'!U4</f>
        <v>Fadrozole-44µg/L + Testostérone</v>
      </c>
      <c r="V4" s="35" t="str">
        <f>'R1'!V4</f>
        <v>Fadrozole-87µg/L + Testostérone</v>
      </c>
    </row>
    <row r="5" spans="1:22" s="1" customFormat="1" x14ac:dyDescent="0.25">
      <c r="A5" s="34"/>
      <c r="B5" s="35"/>
      <c r="C5" s="194" t="s">
        <v>164</v>
      </c>
      <c r="D5" s="35"/>
      <c r="E5" s="35"/>
      <c r="F5" s="35"/>
      <c r="G5" s="35"/>
      <c r="H5" s="35"/>
      <c r="I5" s="35"/>
      <c r="J5" s="35"/>
      <c r="K5" s="35"/>
      <c r="L5" s="35"/>
      <c r="M5" s="35"/>
      <c r="O5" s="35"/>
      <c r="P5" s="35"/>
      <c r="Q5" s="35"/>
      <c r="R5" s="35"/>
      <c r="S5" s="35"/>
      <c r="T5" s="35"/>
      <c r="U5" s="35"/>
      <c r="V5" s="35"/>
    </row>
    <row r="6" spans="1:22" s="1" customFormat="1" x14ac:dyDescent="0.25">
      <c r="A6" s="71" t="s">
        <v>4</v>
      </c>
      <c r="B6" s="53">
        <f>'R1'!B28</f>
        <v>2.9912827459648562E-2</v>
      </c>
      <c r="C6" s="53">
        <f>'R1'!C28</f>
        <v>6.6461266044780226E-2</v>
      </c>
      <c r="D6" s="53">
        <f>'R1'!D28</f>
        <v>0.4339063091069732</v>
      </c>
      <c r="E6" s="53">
        <f>'R1'!E28</f>
        <v>0.12676835253251922</v>
      </c>
      <c r="F6" s="53">
        <f>'R1'!F28</f>
        <v>0.79316556759116241</v>
      </c>
      <c r="G6" s="53">
        <f>'R1'!G28</f>
        <v>1.2918734707569717</v>
      </c>
      <c r="H6" s="53">
        <f>'R1'!H28</f>
        <v>0.87712596620224825</v>
      </c>
      <c r="I6" s="53">
        <f>'R1'!I28</f>
        <v>0.23950623265256335</v>
      </c>
      <c r="J6" s="53">
        <f>'R1'!J28</f>
        <v>1.4143952710750725E-2</v>
      </c>
      <c r="K6" s="53">
        <f>'R1'!K28</f>
        <v>4.5489672549103972E-2</v>
      </c>
      <c r="L6" s="53">
        <f>'R1'!L28</f>
        <v>0.15316582459598477</v>
      </c>
      <c r="M6" s="53">
        <f>'R1'!M28</f>
        <v>1.0280373879348827E-2</v>
      </c>
      <c r="N6"/>
      <c r="O6" s="53">
        <f>'R1'!O28</f>
        <v>1.0892286072090269</v>
      </c>
      <c r="P6" s="53">
        <f>'R1'!P28</f>
        <v>1.7772864420720149</v>
      </c>
      <c r="Q6" s="53">
        <f>'R1'!Q28</f>
        <v>6.3943885711901169E-2</v>
      </c>
      <c r="R6" s="53">
        <f>'R1'!R28</f>
        <v>5.1851265857060375E-2</v>
      </c>
      <c r="S6" s="53">
        <f>'R1'!S28</f>
        <v>0.55551320845572327</v>
      </c>
      <c r="T6" s="53">
        <f>'R1'!T28</f>
        <v>1.1243237016232609E-2</v>
      </c>
      <c r="U6" s="53">
        <f>'R1'!U28</f>
        <v>0.16337543165455884</v>
      </c>
      <c r="V6" s="53">
        <f>'R1'!V28</f>
        <v>1.5572863324603633E-2</v>
      </c>
    </row>
    <row r="7" spans="1:22" s="1" customFormat="1" x14ac:dyDescent="0.25">
      <c r="A7" s="229" t="s">
        <v>34</v>
      </c>
      <c r="B7" s="53">
        <f>'R1'!B29</f>
        <v>0.38251330818648988</v>
      </c>
      <c r="C7" s="53">
        <f>'R1'!C29</f>
        <v>8.9237322975556352E-2</v>
      </c>
      <c r="D7" s="53">
        <f>'R1'!D29</f>
        <v>2.9513565038602387E-2</v>
      </c>
      <c r="E7" s="53">
        <f>'R1'!E29</f>
        <v>8.3709728414735368E-2</v>
      </c>
      <c r="F7" s="53">
        <f>'R1'!F29</f>
        <v>0.53074608810974822</v>
      </c>
      <c r="G7" s="53">
        <f>'R1'!G29</f>
        <v>1.8630454219655788</v>
      </c>
      <c r="H7" s="53">
        <f>'R1'!H29</f>
        <v>1.4424046339462613</v>
      </c>
      <c r="I7" s="53">
        <f>'R1'!I29</f>
        <v>0.48451671224477133</v>
      </c>
      <c r="J7" s="53">
        <f>'R1'!J29</f>
        <v>7.6925344075245025E-2</v>
      </c>
      <c r="K7" s="53">
        <f>'R1'!K29</f>
        <v>6.1348498985789625E-2</v>
      </c>
      <c r="L7" s="53">
        <f>'R1'!L29</f>
        <v>3.0891617655939441E-2</v>
      </c>
      <c r="M7" s="53">
        <f>'R1'!M29</f>
        <v>0.34903788712037132</v>
      </c>
      <c r="N7"/>
      <c r="O7" s="53">
        <f>'R1'!O29</f>
        <v>1.446194007159971</v>
      </c>
      <c r="P7" s="53">
        <f>'R1'!P29</f>
        <v>1.5304048949780957</v>
      </c>
      <c r="Q7" s="53">
        <f>'R1'!Q29</f>
        <v>0.20664183150188078</v>
      </c>
      <c r="R7" s="53">
        <f>'R1'!R29</f>
        <v>3.5495442771148612E-2</v>
      </c>
      <c r="S7" s="53">
        <f>'R1'!S29</f>
        <v>0.20866547299313973</v>
      </c>
      <c r="T7" s="53">
        <f>'R1'!T29</f>
        <v>0.16574385778411924</v>
      </c>
      <c r="U7" s="53">
        <f>'R1'!U29</f>
        <v>6.931510550763427E-2</v>
      </c>
      <c r="V7" s="53">
        <f>'R1'!V29</f>
        <v>7.4400543180596759E-2</v>
      </c>
    </row>
    <row r="8" spans="1:22" s="1" customFormat="1" x14ac:dyDescent="0.25">
      <c r="A8" s="230"/>
      <c r="B8" s="53">
        <f>'R1'!B30</f>
        <v>8.5615183885621171E-3</v>
      </c>
      <c r="C8" s="53">
        <f>'R1'!C30</f>
        <v>6.251913785221149E-3</v>
      </c>
      <c r="D8" s="53" t="str">
        <f>'R1'!D30</f>
        <v/>
      </c>
      <c r="E8" s="53">
        <f>'R1'!E30</f>
        <v>0.12160092670147245</v>
      </c>
      <c r="F8" s="53">
        <f>'R1'!F30</f>
        <v>0.39139191984870242</v>
      </c>
      <c r="G8" s="53">
        <f>'R1'!G30</f>
        <v>0.65402261385657223</v>
      </c>
      <c r="H8" s="53">
        <f>'R1'!H30</f>
        <v>1.7858208120638606</v>
      </c>
      <c r="I8" s="53">
        <f>'R1'!I30</f>
        <v>0.12650229824469608</v>
      </c>
      <c r="J8" s="53">
        <f>'R1'!J30</f>
        <v>5.4094447383101277E-2</v>
      </c>
      <c r="K8" s="53">
        <f>'R1'!K30</f>
        <v>5.1604758414873213E-2</v>
      </c>
      <c r="L8" s="53">
        <f>'R1'!L30</f>
        <v>0.2118130581084679</v>
      </c>
      <c r="M8" s="53">
        <f>'R1'!M30</f>
        <v>1.3815276121167841E-2</v>
      </c>
      <c r="N8"/>
      <c r="O8" s="53">
        <f>'R1'!O30</f>
        <v>1.2699192862894639</v>
      </c>
      <c r="P8" s="53">
        <f>'R1'!P30</f>
        <v>1.3847906684128137</v>
      </c>
      <c r="Q8" s="53">
        <f>'R1'!Q30</f>
        <v>5.9434175038643053E-2</v>
      </c>
      <c r="R8" s="53">
        <f>'R1'!R30</f>
        <v>3.3314702557555996E-2</v>
      </c>
      <c r="S8" s="53">
        <f>'R1'!S30</f>
        <v>2.971301525981403E-2</v>
      </c>
      <c r="T8" s="53">
        <f>'R1'!T30</f>
        <v>1.5201292268208445E-2</v>
      </c>
      <c r="U8" s="53">
        <f>'R1'!U30</f>
        <v>1.5651412685770468E-2</v>
      </c>
      <c r="V8" s="53">
        <f>'R1'!V30</f>
        <v>7.1491863956375093E-2</v>
      </c>
    </row>
    <row r="9" spans="1:22" s="1" customFormat="1" x14ac:dyDescent="0.25">
      <c r="A9" s="230"/>
      <c r="B9" s="53">
        <f>'R1'!B31</f>
        <v>0.19622426772445717</v>
      </c>
      <c r="C9" s="53">
        <f>'R1'!C31</f>
        <v>2.6453940728636157E-2</v>
      </c>
      <c r="D9" s="53">
        <f>'R1'!D31</f>
        <v>6.4680150230856673E-2</v>
      </c>
      <c r="E9" s="53">
        <f>'R1'!E31</f>
        <v>0.22812580573825592</v>
      </c>
      <c r="F9" s="53">
        <f>'R1'!F31</f>
        <v>0.83261508384943517</v>
      </c>
      <c r="G9" s="53">
        <f>'R1'!G31</f>
        <v>1.9550997530791101</v>
      </c>
      <c r="H9" s="53">
        <f>'R1'!H31</f>
        <v>3.0260737783358631</v>
      </c>
      <c r="I9" s="53">
        <f>'R1'!I31</f>
        <v>0.24956326572158988</v>
      </c>
      <c r="J9" s="53">
        <f>'R1'!J31</f>
        <v>0.12728905878154453</v>
      </c>
      <c r="K9" s="53">
        <f>'R1'!K31</f>
        <v>3.7464425490351366E-2</v>
      </c>
      <c r="L9" s="53">
        <f>'R1'!L31</f>
        <v>0.11339161351298098</v>
      </c>
      <c r="M9" s="53">
        <f>'R1'!M31</f>
        <v>4.4393058311062829E-3</v>
      </c>
      <c r="N9"/>
      <c r="O9" s="53">
        <f>'R1'!O31</f>
        <v>1.6799494854307027</v>
      </c>
      <c r="P9" s="53">
        <f>'R1'!P31</f>
        <v>0.79423449046455263</v>
      </c>
      <c r="Q9" s="53">
        <f>'R1'!Q31</f>
        <v>3.6380118525488447E-2</v>
      </c>
      <c r="R9" s="53">
        <f>'R1'!R31</f>
        <v>9.8327511142847324E-2</v>
      </c>
      <c r="S9" s="53">
        <f>'R1'!S31</f>
        <v>0.35229497076912331</v>
      </c>
      <c r="T9" s="53">
        <f>'R1'!T31</f>
        <v>2.1871834330800307E-2</v>
      </c>
      <c r="U9" s="53">
        <f>'R1'!U31</f>
        <v>6.4534453835143994E-3</v>
      </c>
      <c r="V9" s="53">
        <f>'R1'!V31</f>
        <v>7.9235310657208898E-3</v>
      </c>
    </row>
    <row r="10" spans="1:22" s="1" customFormat="1" x14ac:dyDescent="0.25">
      <c r="A10" s="230"/>
      <c r="B10" s="53">
        <f>'R1'!B32</f>
        <v>8.6399229582797971E-2</v>
      </c>
      <c r="C10" s="53">
        <f>'R1'!C32</f>
        <v>0.25241710518444388</v>
      </c>
      <c r="D10" s="53">
        <f>'R1'!D32</f>
        <v>2.9666320017461396E-2</v>
      </c>
      <c r="E10" s="53">
        <f>'R1'!E32</f>
        <v>1.9022816423203144</v>
      </c>
      <c r="F10" s="53">
        <f>'R1'!F32</f>
        <v>1.0558903760409832</v>
      </c>
      <c r="G10" s="53">
        <f>'R1'!G32</f>
        <v>1.3624216564434759</v>
      </c>
      <c r="H10" s="53">
        <f>'R1'!H32</f>
        <v>1.3786034583064339</v>
      </c>
      <c r="I10" s="53">
        <f>'R1'!I32</f>
        <v>3.7523066027259327E-2</v>
      </c>
      <c r="J10" s="53">
        <f>'R1'!J32</f>
        <v>1.7307464885485999E-2</v>
      </c>
      <c r="K10" s="53">
        <f>'R1'!K32</f>
        <v>0.12306286786466394</v>
      </c>
      <c r="L10" s="53">
        <f>'R1'!L32</f>
        <v>8.3834973018254849E-2</v>
      </c>
      <c r="M10" s="53">
        <f>'R1'!M32</f>
        <v>0.40680424565405499</v>
      </c>
      <c r="N10"/>
      <c r="O10" s="53">
        <f>'R1'!O32</f>
        <v>0.32477409804952284</v>
      </c>
      <c r="P10" s="53">
        <f>'R1'!P32</f>
        <v>1.5285296647222211</v>
      </c>
      <c r="Q10" s="53">
        <f>'R1'!Q32</f>
        <v>4.2275664356475728E-2</v>
      </c>
      <c r="R10" s="53">
        <f>'R1'!R32</f>
        <v>8.804406044520395E-3</v>
      </c>
      <c r="S10" s="53">
        <f>'R1'!S32</f>
        <v>0.20700580100719534</v>
      </c>
      <c r="T10" s="53">
        <f>'R1'!T32</f>
        <v>1.1603405746006806E-2</v>
      </c>
      <c r="U10" s="53">
        <f>'R1'!U32</f>
        <v>1.9014194092405935E-2</v>
      </c>
      <c r="V10" s="53">
        <f>'R1'!V32</f>
        <v>2.2588371014808369E-2</v>
      </c>
    </row>
    <row r="11" spans="1:22" s="1" customFormat="1" x14ac:dyDescent="0.25">
      <c r="A11" s="230"/>
      <c r="B11" s="53">
        <f>'R1'!B33</f>
        <v>4.5462343163075875E-2</v>
      </c>
      <c r="C11" s="53">
        <f>'R1'!C33</f>
        <v>1.9507208976780262E-2</v>
      </c>
      <c r="D11" s="53">
        <f>'R1'!D33</f>
        <v>0.14496827571273715</v>
      </c>
      <c r="E11" s="53">
        <f>'R1'!E33</f>
        <v>6.1481526129701203E-2</v>
      </c>
      <c r="F11" s="53">
        <f>'R1'!F33</f>
        <v>0.54294856847663575</v>
      </c>
      <c r="G11" s="53">
        <f>'R1'!G33</f>
        <v>0.64142883459834199</v>
      </c>
      <c r="H11" s="53">
        <f>'R1'!H33</f>
        <v>2.6888508734665773</v>
      </c>
      <c r="I11" s="53">
        <f>'R1'!I33</f>
        <v>6.702504774992929E-2</v>
      </c>
      <c r="J11" s="53">
        <f>'R1'!J33</f>
        <v>0.13024859600228206</v>
      </c>
      <c r="K11" s="53">
        <f>'R1'!K33</f>
        <v>0.14231406746040623</v>
      </c>
      <c r="L11" s="53">
        <f>'R1'!L33</f>
        <v>0.24457972503097053</v>
      </c>
      <c r="M11" s="53">
        <f>'R1'!M33</f>
        <v>6.065567190158077E-2</v>
      </c>
      <c r="N11"/>
      <c r="O11" s="53">
        <f>'R1'!O33</f>
        <v>1.1572677380709788</v>
      </c>
      <c r="P11" s="53">
        <f>'R1'!P33</f>
        <v>0.47799856318241557</v>
      </c>
      <c r="Q11" s="53">
        <f>'R1'!Q33</f>
        <v>0.12900755229370836</v>
      </c>
      <c r="R11" s="53">
        <f>'R1'!R33</f>
        <v>4.7779730306808946E-2</v>
      </c>
      <c r="S11" s="53">
        <f>'R1'!S33</f>
        <v>9.5325260444608945E-3</v>
      </c>
      <c r="T11" s="53">
        <f>'R1'!T33</f>
        <v>5.9876512915812967E-2</v>
      </c>
      <c r="U11" s="53">
        <f>'R1'!U33</f>
        <v>3.8482309377914227E-2</v>
      </c>
      <c r="V11" s="53">
        <f>'R1'!V33</f>
        <v>5.6533459344124931E-2</v>
      </c>
    </row>
    <row r="12" spans="1:22" s="1" customFormat="1" x14ac:dyDescent="0.25">
      <c r="A12" s="230"/>
      <c r="B12" s="53">
        <f>'R1'!B34</f>
        <v>8.3756785635710901E-2</v>
      </c>
      <c r="C12" s="53">
        <f>'R1'!C34</f>
        <v>3.8811166956808557E-2</v>
      </c>
      <c r="D12" s="53">
        <f>'R1'!D34</f>
        <v>8.7220559078132285E-3</v>
      </c>
      <c r="E12" s="53">
        <f>'R1'!E34</f>
        <v>0.37486777670314742</v>
      </c>
      <c r="F12" s="53">
        <f>'R1'!F34</f>
        <v>0.18643346993256524</v>
      </c>
      <c r="G12" s="53">
        <f>'R1'!G34</f>
        <v>0.49142235942292933</v>
      </c>
      <c r="H12" s="53">
        <f>'R1'!H34</f>
        <v>2.0669332296098668</v>
      </c>
      <c r="I12" s="53">
        <f>'R1'!I34</f>
        <v>0.56205271425682946</v>
      </c>
      <c r="J12" s="53">
        <f>'R1'!J34</f>
        <v>1.9871359471406235E-2</v>
      </c>
      <c r="K12" s="53">
        <f>'R1'!K34</f>
        <v>9.3446591391816904E-3</v>
      </c>
      <c r="L12" s="53">
        <f>'R1'!L34</f>
        <v>2.3328074330681306E-2</v>
      </c>
      <c r="M12" s="53">
        <f>'R1'!M34</f>
        <v>3.2335912361265116E-2</v>
      </c>
      <c r="N12"/>
      <c r="O12" s="53">
        <f>'R1'!O34</f>
        <v>1.7566163767692051</v>
      </c>
      <c r="P12" s="53" t="str">
        <f>'R1'!P34</f>
        <v/>
      </c>
      <c r="Q12" s="53">
        <f>'R1'!Q34</f>
        <v>1.7968799829503543E-2</v>
      </c>
      <c r="R12" s="53">
        <f>'R1'!R34</f>
        <v>7.5398699233212199E-2</v>
      </c>
      <c r="S12" s="53">
        <f>'R1'!S34</f>
        <v>0.18771360733241094</v>
      </c>
      <c r="T12" s="53">
        <f>'R1'!T34</f>
        <v>1.4567105720907548E-2</v>
      </c>
      <c r="U12" s="53">
        <f>'R1'!U34</f>
        <v>1.3059736240543527E-2</v>
      </c>
      <c r="V12" s="53">
        <f>'R1'!V34</f>
        <v>1.8324986794425964E-2</v>
      </c>
    </row>
    <row r="13" spans="1:22" s="1" customFormat="1" x14ac:dyDescent="0.25">
      <c r="A13" s="230"/>
      <c r="B13" s="53">
        <f>'R1'!B35</f>
        <v>3.1443635055844618E-2</v>
      </c>
      <c r="C13" s="53">
        <f>'R1'!C35</f>
        <v>0.22930440813438135</v>
      </c>
      <c r="D13" s="53">
        <f>'R1'!D35</f>
        <v>2.9366692212365323E-2</v>
      </c>
      <c r="E13" s="53" t="str">
        <f>'R1'!E35</f>
        <v/>
      </c>
      <c r="F13" s="53">
        <f>'R1'!F35</f>
        <v>0.49982732205709213</v>
      </c>
      <c r="G13" s="53">
        <f>'R1'!G35</f>
        <v>8.4453413495460095E-2</v>
      </c>
      <c r="H13" s="53">
        <f>'R1'!H35</f>
        <v>2.073009040795053</v>
      </c>
      <c r="I13" s="53">
        <f>'R1'!I35</f>
        <v>0.38798606298594324</v>
      </c>
      <c r="J13" s="53">
        <f>'R1'!J35</f>
        <v>0.16246523640730537</v>
      </c>
      <c r="K13" s="53">
        <f>'R1'!K35</f>
        <v>0.11921693549112787</v>
      </c>
      <c r="L13" s="53" t="str">
        <f>'R1'!L35</f>
        <v/>
      </c>
      <c r="M13" s="53">
        <f>'R1'!M35</f>
        <v>9.4952965430967984E-2</v>
      </c>
      <c r="N13"/>
      <c r="O13" s="53">
        <f>'R1'!O35</f>
        <v>0.96505573189727512</v>
      </c>
      <c r="P13" s="53" t="str">
        <f>'R1'!P35</f>
        <v/>
      </c>
      <c r="Q13" s="53">
        <f>'R1'!Q35</f>
        <v>0.194521520282389</v>
      </c>
      <c r="R13" s="53">
        <f>'R1'!R35</f>
        <v>1.6183702250728214E-2</v>
      </c>
      <c r="S13" s="53">
        <f>'R1'!S35</f>
        <v>1.8736194510027459E-2</v>
      </c>
      <c r="T13" s="53">
        <f>'R1'!T35</f>
        <v>7.4849939640913021E-3</v>
      </c>
      <c r="U13" s="53">
        <f>'R1'!U35</f>
        <v>4.9287009292517246E-2</v>
      </c>
      <c r="V13" s="53">
        <f>'R1'!V35</f>
        <v>7.9588239814525324E-3</v>
      </c>
    </row>
    <row r="14" spans="1:22" s="1" customFormat="1" x14ac:dyDescent="0.25">
      <c r="A14" s="230"/>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1.6289984604087664</v>
      </c>
      <c r="P14" s="53" t="str">
        <f>'R1'!P36</f>
        <v/>
      </c>
      <c r="Q14" s="53" t="str">
        <f>'R1'!Q36</f>
        <v/>
      </c>
      <c r="R14" s="53" t="str">
        <f>'R1'!R36</f>
        <v/>
      </c>
      <c r="S14" s="53" t="str">
        <f>'R1'!S36</f>
        <v/>
      </c>
      <c r="T14" s="53" t="str">
        <f>'R1'!T36</f>
        <v/>
      </c>
      <c r="U14" s="53" t="str">
        <f>'R1'!U36</f>
        <v/>
      </c>
      <c r="V14" s="53" t="str">
        <f>'R1'!V36</f>
        <v/>
      </c>
    </row>
    <row r="15" spans="1:22" s="1" customFormat="1" x14ac:dyDescent="0.25">
      <c r="A15" s="230"/>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1.1548560554959835</v>
      </c>
      <c r="P15" s="53" t="str">
        <f>'R1'!P37</f>
        <v/>
      </c>
      <c r="Q15" s="53" t="str">
        <f>'R1'!Q37</f>
        <v/>
      </c>
      <c r="R15" s="53" t="str">
        <f>'R1'!R37</f>
        <v/>
      </c>
      <c r="S15" s="53" t="str">
        <f>'R1'!S37</f>
        <v/>
      </c>
      <c r="T15" s="53" t="str">
        <f>'R1'!T37</f>
        <v/>
      </c>
      <c r="U15" s="53" t="str">
        <f>'R1'!U37</f>
        <v/>
      </c>
      <c r="V15" s="53" t="str">
        <f>'R1'!V37</f>
        <v/>
      </c>
    </row>
    <row r="16" spans="1:22" s="1" customFormat="1" x14ac:dyDescent="0.25">
      <c r="A16" s="230"/>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0.69032074422397638</v>
      </c>
      <c r="P16" s="53" t="str">
        <f>'R1'!P38</f>
        <v/>
      </c>
      <c r="Q16" s="53" t="str">
        <f>'R1'!Q38</f>
        <v/>
      </c>
      <c r="R16" s="53" t="str">
        <f>'R1'!R38</f>
        <v/>
      </c>
      <c r="S16" s="53" t="str">
        <f>'R1'!S38</f>
        <v/>
      </c>
      <c r="T16" s="53" t="str">
        <f>'R1'!T38</f>
        <v/>
      </c>
      <c r="U16" s="53" t="str">
        <f>'R1'!U38</f>
        <v/>
      </c>
      <c r="V16" s="53" t="str">
        <f>'R1'!V38</f>
        <v/>
      </c>
    </row>
    <row r="17" spans="1:22" s="1" customFormat="1" x14ac:dyDescent="0.25">
      <c r="A17" s="230"/>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1.5095978207665224</v>
      </c>
      <c r="P17" s="53" t="str">
        <f>'R1'!P39</f>
        <v/>
      </c>
      <c r="Q17" s="53" t="str">
        <f>'R1'!Q39</f>
        <v/>
      </c>
      <c r="R17" s="53" t="str">
        <f>'R1'!R39</f>
        <v/>
      </c>
      <c r="S17" s="53" t="str">
        <f>'R1'!S39</f>
        <v/>
      </c>
      <c r="T17" s="53" t="str">
        <f>'R1'!T39</f>
        <v/>
      </c>
      <c r="U17" s="53" t="str">
        <f>'R1'!U39</f>
        <v/>
      </c>
      <c r="V17" s="53" t="str">
        <f>'R1'!V39</f>
        <v/>
      </c>
    </row>
    <row r="18" spans="1:22" s="1" customFormat="1" x14ac:dyDescent="0.25">
      <c r="A18" s="230"/>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0.52479172075254155</v>
      </c>
      <c r="P18" s="53" t="str">
        <f>'R1'!P40</f>
        <v/>
      </c>
      <c r="Q18" s="53" t="str">
        <f>'R1'!Q40</f>
        <v/>
      </c>
      <c r="R18" s="53" t="str">
        <f>'R1'!R40</f>
        <v/>
      </c>
      <c r="S18" s="53" t="str">
        <f>'R1'!S40</f>
        <v/>
      </c>
      <c r="T18" s="53" t="str">
        <f>'R1'!T40</f>
        <v/>
      </c>
      <c r="U18" s="53" t="str">
        <f>'R1'!U40</f>
        <v/>
      </c>
      <c r="V18" s="53" t="str">
        <f>'R1'!V40</f>
        <v/>
      </c>
    </row>
    <row r="19" spans="1:22" s="1" customFormat="1" x14ac:dyDescent="0.25">
      <c r="A19" s="230"/>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4.5039552131541948E-2</v>
      </c>
      <c r="P19" s="53" t="str">
        <f>'R1'!P41</f>
        <v/>
      </c>
      <c r="Q19" s="53" t="str">
        <f>'R1'!Q41</f>
        <v/>
      </c>
      <c r="R19" s="53" t="str">
        <f>'R1'!R41</f>
        <v/>
      </c>
      <c r="S19" s="53" t="str">
        <f>'R1'!S41</f>
        <v/>
      </c>
      <c r="T19" s="53" t="str">
        <f>'R1'!T41</f>
        <v/>
      </c>
      <c r="U19" s="53" t="str">
        <f>'R1'!U41</f>
        <v/>
      </c>
      <c r="V19" s="53" t="str">
        <f>'R1'!V41</f>
        <v/>
      </c>
    </row>
    <row r="20" spans="1:22" s="1" customFormat="1" x14ac:dyDescent="0.25">
      <c r="A20" s="230"/>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0.65153274389903271</v>
      </c>
      <c r="P20" s="53" t="str">
        <f>'R1'!P42</f>
        <v/>
      </c>
      <c r="Q20" s="53" t="str">
        <f>'R1'!Q42</f>
        <v/>
      </c>
      <c r="R20" s="53" t="str">
        <f>'R1'!R42</f>
        <v/>
      </c>
      <c r="S20" s="53" t="str">
        <f>'R1'!S42</f>
        <v/>
      </c>
      <c r="T20" s="53" t="str">
        <f>'R1'!T42</f>
        <v/>
      </c>
      <c r="U20" s="53" t="str">
        <f>'R1'!U42</f>
        <v/>
      </c>
      <c r="V20" s="53" t="str">
        <f>'R1'!V42</f>
        <v/>
      </c>
    </row>
    <row r="21" spans="1:22" s="1" customFormat="1" x14ac:dyDescent="0.25">
      <c r="A21" s="231"/>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0.10585757144548827</v>
      </c>
      <c r="P21" s="53" t="str">
        <f>'R1'!P43</f>
        <v/>
      </c>
      <c r="Q21" s="53" t="str">
        <f>'R1'!Q43</f>
        <v/>
      </c>
      <c r="R21" s="53" t="str">
        <f>'R1'!R43</f>
        <v/>
      </c>
      <c r="S21" s="53" t="str">
        <f>'R1'!S43</f>
        <v/>
      </c>
      <c r="T21" s="53" t="str">
        <f>'R1'!T43</f>
        <v/>
      </c>
      <c r="U21" s="53" t="str">
        <f>'R1'!U43</f>
        <v/>
      </c>
      <c r="V21" s="53" t="str">
        <f>'R1'!V43</f>
        <v/>
      </c>
    </row>
    <row r="22" spans="1:22" x14ac:dyDescent="0.25">
      <c r="A22" s="39" t="s">
        <v>5</v>
      </c>
      <c r="B22" s="54">
        <f>'R2'!B28</f>
        <v>8.7036737965883057E-2</v>
      </c>
      <c r="C22" s="54">
        <f>'R2'!C28</f>
        <v>9.9395082148592426E-2</v>
      </c>
      <c r="D22" s="54">
        <f>'R2'!D28</f>
        <v>6.0572126106554151E-2</v>
      </c>
      <c r="E22" s="54">
        <f>'R2'!E28</f>
        <v>0.20429647516124616</v>
      </c>
      <c r="F22" s="54">
        <f>'R2'!F28</f>
        <v>0.46555852942434645</v>
      </c>
      <c r="G22" s="54">
        <f>'R2'!G28</f>
        <v>0.27602683817705082</v>
      </c>
      <c r="H22" s="54">
        <f>'R2'!H28</f>
        <v>1.9561407525543231</v>
      </c>
      <c r="I22" s="54">
        <f>'R2'!I28</f>
        <v>2.9169319117712925E-2</v>
      </c>
      <c r="J22" s="54">
        <f>'R2'!J28</f>
        <v>0.23410387567209834</v>
      </c>
      <c r="K22" s="54">
        <f>'R2'!K28</f>
        <v>7.7011213943286944E-2</v>
      </c>
      <c r="L22" s="54">
        <f>'R2'!L28</f>
        <v>0.19312037467958967</v>
      </c>
      <c r="M22" s="54">
        <f>'R2'!M28</f>
        <v>8.3889907290450053E-2</v>
      </c>
      <c r="O22" s="54">
        <f>'R2'!O28</f>
        <v>1.786791920863761</v>
      </c>
      <c r="P22" s="54">
        <f>'R2'!P28</f>
        <v>0.87517579322821115</v>
      </c>
      <c r="Q22" s="54">
        <f>'R2'!Q28</f>
        <v>4.1533753154651631E-2</v>
      </c>
      <c r="R22" s="54">
        <f>'R2'!R28</f>
        <v>0.10501818288376279</v>
      </c>
      <c r="S22" s="54">
        <f>'R2'!S28</f>
        <v>0.17625404973614625</v>
      </c>
      <c r="T22" s="54">
        <f>'R2'!T28</f>
        <v>1.1322256983160287E-2</v>
      </c>
      <c r="U22" s="54">
        <f>'R2'!U28</f>
        <v>3.6566191394744568E-2</v>
      </c>
      <c r="V22" s="54">
        <f>'R2'!V28</f>
        <v>6.6888928903491573E-2</v>
      </c>
    </row>
    <row r="23" spans="1:22" x14ac:dyDescent="0.25">
      <c r="A23" s="229" t="s">
        <v>34</v>
      </c>
      <c r="B23" s="54">
        <f>'R2'!B29</f>
        <v>0.25236653652527891</v>
      </c>
      <c r="C23" s="54">
        <f>'R2'!C29</f>
        <v>0.32526182099010631</v>
      </c>
      <c r="D23" s="54">
        <f>'R2'!D29</f>
        <v>9.5100922936354679E-2</v>
      </c>
      <c r="E23" s="54">
        <f>'R2'!E29</f>
        <v>0.15974472558063524</v>
      </c>
      <c r="F23" s="54">
        <f>'R2'!F29</f>
        <v>0.28000188902767192</v>
      </c>
      <c r="G23" s="54">
        <f>'R2'!G29</f>
        <v>0.96006227133076671</v>
      </c>
      <c r="H23" s="54">
        <f>'R2'!H29</f>
        <v>1.0835378550729544</v>
      </c>
      <c r="I23" s="54">
        <f>'R2'!I29</f>
        <v>1.3710833141995379E-2</v>
      </c>
      <c r="J23" s="54">
        <f>'R2'!J29</f>
        <v>3.5866670138936151E-2</v>
      </c>
      <c r="K23" s="54" t="str">
        <f>'R2'!K29</f>
        <v/>
      </c>
      <c r="L23" s="54">
        <f>'R2'!L29</f>
        <v>0.10978667407541792</v>
      </c>
      <c r="M23" s="54">
        <f>'R2'!M29</f>
        <v>3.5492076438785693E-2</v>
      </c>
      <c r="O23" s="54">
        <f>'R2'!O29</f>
        <v>0.41486861277085835</v>
      </c>
      <c r="P23" s="54">
        <f>'R2'!P29</f>
        <v>0.98702895783877997</v>
      </c>
      <c r="Q23" s="54">
        <f>'R2'!Q29</f>
        <v>0.11850369141927315</v>
      </c>
      <c r="R23" s="54">
        <f>'R2'!R29</f>
        <v>0.19506994001353745</v>
      </c>
      <c r="S23" s="54">
        <f>'R2'!S29</f>
        <v>0.15893680491954484</v>
      </c>
      <c r="T23" s="54">
        <f>'R2'!T29</f>
        <v>2.6344574065964212E-2</v>
      </c>
      <c r="U23" s="54">
        <f>'R2'!U29</f>
        <v>4.4194478132490542E-2</v>
      </c>
      <c r="V23" s="54">
        <f>'R2'!V29</f>
        <v>2.1813316529064757E-2</v>
      </c>
    </row>
    <row r="24" spans="1:22" x14ac:dyDescent="0.25">
      <c r="A24" s="230"/>
      <c r="B24" s="54">
        <f>'R2'!B30</f>
        <v>0.16304664454377504</v>
      </c>
      <c r="C24" s="54">
        <f>'R2'!C30</f>
        <v>6.2138165954148471E-2</v>
      </c>
      <c r="D24" s="54">
        <f>'R2'!D30</f>
        <v>9.8498655606035837E-3</v>
      </c>
      <c r="E24" s="54">
        <f>'R2'!E30</f>
        <v>0.20620347918063567</v>
      </c>
      <c r="F24" s="54">
        <f>'R2'!F30</f>
        <v>4.3591447233693424E-2</v>
      </c>
      <c r="G24" s="54">
        <f>'R2'!G30</f>
        <v>1.509889902968909</v>
      </c>
      <c r="H24" s="54">
        <f>'R2'!H30</f>
        <v>1.4588662623036539</v>
      </c>
      <c r="I24" s="54">
        <f>'R2'!I30</f>
        <v>1.0930205700885768E-2</v>
      </c>
      <c r="J24" s="54">
        <f>'R2'!J30</f>
        <v>9.778235341857329E-2</v>
      </c>
      <c r="K24" s="54">
        <f>'R2'!K30</f>
        <v>0.11122685693560619</v>
      </c>
      <c r="L24" s="54">
        <f>'R2'!L30</f>
        <v>0.22802985506376999</v>
      </c>
      <c r="M24" s="54">
        <f>'R2'!M30</f>
        <v>0.17554268709711415</v>
      </c>
      <c r="O24" s="54">
        <f>'R2'!O30</f>
        <v>0.12350332641145467</v>
      </c>
      <c r="P24" s="54">
        <f>'R2'!P30</f>
        <v>1.689791234068045</v>
      </c>
      <c r="Q24" s="54">
        <f>'R2'!Q30</f>
        <v>0.18194454485812114</v>
      </c>
      <c r="R24" s="54">
        <f>'R2'!R30</f>
        <v>5.4805440141665711E-2</v>
      </c>
      <c r="S24" s="54">
        <f>'R2'!S30</f>
        <v>3.5808207538334635E-2</v>
      </c>
      <c r="T24" s="54">
        <f>'R2'!T30</f>
        <v>1.9173026395417583E-2</v>
      </c>
      <c r="U24" s="54">
        <f>'R2'!U30</f>
        <v>3.1089382491171984E-2</v>
      </c>
      <c r="V24" s="54">
        <f>'R2'!V30</f>
        <v>1.180525008859272E-2</v>
      </c>
    </row>
    <row r="25" spans="1:22" x14ac:dyDescent="0.25">
      <c r="A25" s="230"/>
      <c r="B25" s="54">
        <f>'R2'!B31</f>
        <v>1.1433430655368957</v>
      </c>
      <c r="C25" s="54">
        <f>'R2'!C31</f>
        <v>0.17035866485187809</v>
      </c>
      <c r="D25" s="54">
        <f>'R2'!D31</f>
        <v>0.15965391908757132</v>
      </c>
      <c r="E25" s="54">
        <f>'R2'!E31</f>
        <v>7.7227606763568948E-2</v>
      </c>
      <c r="F25" s="54">
        <f>'R2'!F31</f>
        <v>7.2380218127120546E-2</v>
      </c>
      <c r="G25" s="54">
        <f>'R2'!G31</f>
        <v>0.30783644742841088</v>
      </c>
      <c r="H25" s="54">
        <f>'R2'!H31</f>
        <v>0.75381514819482087</v>
      </c>
      <c r="I25" s="54">
        <f>'R2'!I31</f>
        <v>1.8233429552879793E-2</v>
      </c>
      <c r="J25" s="54">
        <f>'R2'!J31</f>
        <v>2.1822112985173784E-2</v>
      </c>
      <c r="K25" s="54">
        <f>'R2'!K31</f>
        <v>1.053490649635561E-2</v>
      </c>
      <c r="L25" s="54">
        <f>'R2'!L31</f>
        <v>1.2908867005040322E-2</v>
      </c>
      <c r="M25" s="54">
        <f>'R2'!M31</f>
        <v>0.11919739348104022</v>
      </c>
      <c r="O25" s="54">
        <f>'R2'!O31</f>
        <v>1.3225505592441702</v>
      </c>
      <c r="P25" s="54">
        <f>'R2'!P31</f>
        <v>0.59552508579443031</v>
      </c>
      <c r="Q25" s="54">
        <f>'R2'!Q31</f>
        <v>3.6853091193992743E-2</v>
      </c>
      <c r="R25" s="54">
        <f>'R2'!R31</f>
        <v>0.11762566976949852</v>
      </c>
      <c r="S25" s="54">
        <f>'R2'!S31</f>
        <v>1.4764648583856503E-2</v>
      </c>
      <c r="T25" s="54">
        <f>'R2'!T31</f>
        <v>1.2528318780754527E-2</v>
      </c>
      <c r="U25" s="54">
        <f>'R2'!U31</f>
        <v>4.9735704160799983E-2</v>
      </c>
      <c r="V25" s="54">
        <f>'R2'!V31</f>
        <v>5.696314316016241E-3</v>
      </c>
    </row>
    <row r="26" spans="1:22" x14ac:dyDescent="0.25">
      <c r="A26" s="230"/>
      <c r="B26" s="54">
        <f>'R2'!B32</f>
        <v>0.16020728384187596</v>
      </c>
      <c r="C26" s="54">
        <f>'R2'!C32</f>
        <v>6.8645242863228789E-2</v>
      </c>
      <c r="D26" s="54">
        <f>'R2'!D32</f>
        <v>1.2648356574119213E-2</v>
      </c>
      <c r="E26" s="54">
        <f>'R2'!E32</f>
        <v>0.11422428318727976</v>
      </c>
      <c r="F26" s="54">
        <f>'R2'!F32</f>
        <v>0.39368160391675611</v>
      </c>
      <c r="G26" s="54">
        <f>'R2'!G32</f>
        <v>0.93024756299483935</v>
      </c>
      <c r="H26" s="54">
        <f>'R2'!H32</f>
        <v>1.818484469583824</v>
      </c>
      <c r="I26" s="54">
        <f>'R2'!I32</f>
        <v>9.9904464622351932E-2</v>
      </c>
      <c r="J26" s="54">
        <f>'R2'!J32</f>
        <v>0.11866486956120928</v>
      </c>
      <c r="K26" s="54">
        <f>'R2'!K32</f>
        <v>4.3263677746061768E-2</v>
      </c>
      <c r="L26" s="54">
        <f>'R2'!L32</f>
        <v>3.1429061027074309E-2</v>
      </c>
      <c r="M26" s="54">
        <f>'R2'!M32</f>
        <v>0.12698956496260203</v>
      </c>
      <c r="O26" s="54">
        <f>'R2'!O32</f>
        <v>4.5699078117415672E-2</v>
      </c>
      <c r="P26" s="54">
        <f>'R2'!P32</f>
        <v>2.0958196791095216</v>
      </c>
      <c r="Q26" s="54">
        <f>'R2'!Q32</f>
        <v>4.3775902151794964E-3</v>
      </c>
      <c r="R26" s="54">
        <f>'R2'!R32</f>
        <v>3.5237249871811954E-2</v>
      </c>
      <c r="S26" s="54">
        <f>'R2'!S32</f>
        <v>1.8646186339534014E-2</v>
      </c>
      <c r="T26" s="54">
        <f>'R2'!T32</f>
        <v>0.10525839380058614</v>
      </c>
      <c r="U26" s="54">
        <f>'R2'!U32</f>
        <v>1.4067969260021769E-2</v>
      </c>
      <c r="V26" s="54">
        <f>'R2'!V32</f>
        <v>0.11999963027818325</v>
      </c>
    </row>
    <row r="27" spans="1:22" x14ac:dyDescent="0.25">
      <c r="A27" s="230"/>
      <c r="B27" s="54">
        <f>'R2'!B33</f>
        <v>2.3238883739102652E-2</v>
      </c>
      <c r="C27" s="54">
        <f>'R2'!C33</f>
        <v>9.1477189009718574E-2</v>
      </c>
      <c r="D27" s="54">
        <f>'R2'!D33</f>
        <v>8.1524878567968348E-2</v>
      </c>
      <c r="E27" s="54">
        <f>'R2'!E33</f>
        <v>3.0425047059799658E-2</v>
      </c>
      <c r="F27" s="54">
        <f>'R2'!F33</f>
        <v>0.37812676291412123</v>
      </c>
      <c r="G27" s="54">
        <f>'R2'!G33</f>
        <v>0.90621253231282306</v>
      </c>
      <c r="H27" s="54">
        <f>'R2'!H33</f>
        <v>2.159102331668501</v>
      </c>
      <c r="I27" s="54">
        <f>'R2'!I33</f>
        <v>0.17964948179422968</v>
      </c>
      <c r="J27" s="54">
        <f>'R2'!J33</f>
        <v>5.3509519161665442E-3</v>
      </c>
      <c r="K27" s="54">
        <f>'R2'!K33</f>
        <v>0.10954659848868856</v>
      </c>
      <c r="L27" s="54">
        <f>'R2'!L33</f>
        <v>0.10945295006365094</v>
      </c>
      <c r="M27" s="54">
        <f>'R2'!M33</f>
        <v>1.8880307402128049E-2</v>
      </c>
      <c r="O27" s="54">
        <f>'R2'!O33</f>
        <v>1.6393882172138048</v>
      </c>
      <c r="P27" s="54">
        <f>'R2'!P33</f>
        <v>1.6807521311005054</v>
      </c>
      <c r="Q27" s="54">
        <f>'R2'!Q33</f>
        <v>7.9912420498137182E-3</v>
      </c>
      <c r="R27" s="54">
        <f>'R2'!R33</f>
        <v>2.7231662832035829E-2</v>
      </c>
      <c r="S27" s="54">
        <f>'R2'!S33</f>
        <v>1.4878867183179836E-2</v>
      </c>
      <c r="T27" s="54">
        <f>'R2'!T33</f>
        <v>6.6096571203209456E-3</v>
      </c>
      <c r="U27" s="54">
        <f>'R2'!U33</f>
        <v>1.8397314296695614E-2</v>
      </c>
      <c r="V27" s="54">
        <f>'R2'!V33</f>
        <v>0.13895315126115718</v>
      </c>
    </row>
    <row r="28" spans="1:22" x14ac:dyDescent="0.25">
      <c r="A28" s="230"/>
      <c r="B28" s="54">
        <f>'R2'!B34</f>
        <v>1.7252827691864547E-2</v>
      </c>
      <c r="C28" s="54">
        <f>'R2'!C34</f>
        <v>0.10118955919483341</v>
      </c>
      <c r="D28" s="54">
        <f>'R2'!D34</f>
        <v>2.3156738372053762E-2</v>
      </c>
      <c r="E28" s="54">
        <f>'R2'!E34</f>
        <v>0.20141597411077564</v>
      </c>
      <c r="F28" s="54">
        <f>'R2'!F34</f>
        <v>0.60993557552232802</v>
      </c>
      <c r="G28" s="54">
        <f>'R2'!G34</f>
        <v>0.62621646247919238</v>
      </c>
      <c r="H28" s="54">
        <f>'R2'!H34</f>
        <v>2.0947542252795781</v>
      </c>
      <c r="I28" s="54">
        <f>'R2'!I34</f>
        <v>0.13503345041897591</v>
      </c>
      <c r="J28" s="54">
        <f>'R2'!J34</f>
        <v>3.806788178264902E-2</v>
      </c>
      <c r="K28" s="54">
        <f>'R2'!K34</f>
        <v>8.0172524938776329E-2</v>
      </c>
      <c r="L28" s="54">
        <f>'R2'!L34</f>
        <v>0.24964545432552265</v>
      </c>
      <c r="M28" s="54">
        <f>'R2'!M34</f>
        <v>8.0322470682911706E-3</v>
      </c>
      <c r="O28" s="54">
        <f>'R2'!O34</f>
        <v>0.93231418886008421</v>
      </c>
      <c r="P28" s="54">
        <f>'R2'!P34</f>
        <v>0.34225995744509108</v>
      </c>
      <c r="Q28" s="54">
        <f>'R2'!Q34</f>
        <v>3.5205176639537511E-2</v>
      </c>
      <c r="R28" s="54">
        <f>'R2'!R34</f>
        <v>0.35793057334313011</v>
      </c>
      <c r="S28" s="54">
        <f>'R2'!S34</f>
        <v>0.14794813661805756</v>
      </c>
      <c r="T28" s="54">
        <f>'R2'!T34</f>
        <v>7.9326441191182179E-3</v>
      </c>
      <c r="U28" s="54">
        <f>'R2'!U34</f>
        <v>4.5312710699088515E-2</v>
      </c>
      <c r="V28" s="54">
        <f>'R2'!V34</f>
        <v>1.5180247302484408E-2</v>
      </c>
    </row>
    <row r="29" spans="1:22" x14ac:dyDescent="0.25">
      <c r="A29" s="230"/>
      <c r="B29" s="54">
        <f>'R2'!B35</f>
        <v>5.0552556608093385E-3</v>
      </c>
      <c r="C29" s="54">
        <f>'R2'!C35</f>
        <v>0.22437093531269778</v>
      </c>
      <c r="D29" s="54">
        <f>'R2'!D35</f>
        <v>7.9633775834622084E-2</v>
      </c>
      <c r="E29" s="54">
        <f>'R2'!E35</f>
        <v>2.7837400332712651E-2</v>
      </c>
      <c r="F29" s="54">
        <f>'R2'!F35</f>
        <v>1.071287774965433</v>
      </c>
      <c r="G29" s="54">
        <f>'R2'!G35</f>
        <v>1.1532252749899616</v>
      </c>
      <c r="H29" s="54">
        <f>'R2'!H35</f>
        <v>2.0786138109602699</v>
      </c>
      <c r="I29" s="54">
        <f>'R2'!I35</f>
        <v>4.0784295094162752E-2</v>
      </c>
      <c r="J29" s="54">
        <f>'R2'!J35</f>
        <v>0.1581348387825898</v>
      </c>
      <c r="K29" s="54">
        <f>'R2'!K35</f>
        <v>1.7065530841789321E-2</v>
      </c>
      <c r="L29" s="54">
        <f>'R2'!L35</f>
        <v>4.950144776811196E-2</v>
      </c>
      <c r="M29" s="54">
        <f>'R2'!M35</f>
        <v>0.27609125530178763</v>
      </c>
      <c r="O29" s="54">
        <f>'R2'!O35</f>
        <v>1.4758205518081877</v>
      </c>
      <c r="P29" s="54">
        <f>'R2'!P35</f>
        <v>1.112467233934032</v>
      </c>
      <c r="Q29" s="54">
        <f>'R2'!Q35</f>
        <v>1.7428350823763081E-2</v>
      </c>
      <c r="R29" s="54">
        <f>'R2'!R35</f>
        <v>9.2059649734229972E-3</v>
      </c>
      <c r="S29" s="54">
        <f>'R2'!S35</f>
        <v>0.28311637581064247</v>
      </c>
      <c r="T29" s="54">
        <f>'R2'!T35</f>
        <v>1.6807997672935882E-2</v>
      </c>
      <c r="U29" s="54">
        <f>'R2'!U35</f>
        <v>3.4329861591642585E-2</v>
      </c>
      <c r="V29" s="54">
        <f>'R2'!V35</f>
        <v>1.3933315816506704E-2</v>
      </c>
    </row>
    <row r="30" spans="1:22" x14ac:dyDescent="0.25">
      <c r="A30" s="230"/>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1.3335772553020673</v>
      </c>
      <c r="P30" s="54" t="str">
        <f>'R2'!P36</f>
        <v/>
      </c>
      <c r="Q30" s="54" t="str">
        <f>'R2'!Q36</f>
        <v/>
      </c>
      <c r="R30" s="54" t="str">
        <f>'R2'!R36</f>
        <v/>
      </c>
      <c r="S30" s="54" t="str">
        <f>'R2'!S36</f>
        <v/>
      </c>
      <c r="T30" s="54" t="str">
        <f>'R2'!T36</f>
        <v/>
      </c>
      <c r="U30" s="54" t="str">
        <f>'R2'!U36</f>
        <v/>
      </c>
      <c r="V30" s="54" t="str">
        <f>'R2'!V36</f>
        <v/>
      </c>
    </row>
    <row r="31" spans="1:22" s="1" customFormat="1" x14ac:dyDescent="0.25">
      <c r="A31" s="230"/>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0.62149208889817642</v>
      </c>
      <c r="P31" s="54" t="str">
        <f>'R2'!P37</f>
        <v/>
      </c>
      <c r="Q31" s="54" t="str">
        <f>'R2'!Q37</f>
        <v/>
      </c>
      <c r="R31" s="54" t="str">
        <f>'R2'!R37</f>
        <v/>
      </c>
      <c r="S31" s="54" t="str">
        <f>'R2'!S37</f>
        <v/>
      </c>
      <c r="T31" s="54" t="str">
        <f>'R2'!T37</f>
        <v/>
      </c>
      <c r="U31" s="54" t="str">
        <f>'R2'!U37</f>
        <v/>
      </c>
      <c r="V31" s="54" t="str">
        <f>'R2'!V37</f>
        <v/>
      </c>
    </row>
    <row r="32" spans="1:22" s="1" customFormat="1" x14ac:dyDescent="0.25">
      <c r="A32" s="230"/>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1.5106101297290973</v>
      </c>
      <c r="P32" s="54" t="str">
        <f>'R2'!P38</f>
        <v/>
      </c>
      <c r="Q32" s="54" t="str">
        <f>'R2'!Q38</f>
        <v/>
      </c>
      <c r="R32" s="54" t="str">
        <f>'R2'!R38</f>
        <v/>
      </c>
      <c r="S32" s="54" t="str">
        <f>'R2'!S38</f>
        <v/>
      </c>
      <c r="T32" s="54" t="str">
        <f>'R2'!T38</f>
        <v/>
      </c>
      <c r="U32" s="54" t="str">
        <f>'R2'!U38</f>
        <v/>
      </c>
      <c r="V32" s="54" t="str">
        <f>'R2'!V38</f>
        <v/>
      </c>
    </row>
    <row r="33" spans="1:22" s="1" customFormat="1" x14ac:dyDescent="0.25">
      <c r="A33" s="230"/>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1.7039718656313092</v>
      </c>
      <c r="P33" s="54" t="str">
        <f>'R2'!P39</f>
        <v/>
      </c>
      <c r="Q33" s="54" t="str">
        <f>'R2'!Q39</f>
        <v/>
      </c>
      <c r="R33" s="54" t="str">
        <f>'R2'!R39</f>
        <v/>
      </c>
      <c r="S33" s="54" t="str">
        <f>'R2'!S39</f>
        <v/>
      </c>
      <c r="T33" s="54" t="str">
        <f>'R2'!T39</f>
        <v/>
      </c>
      <c r="U33" s="54" t="str">
        <f>'R2'!U39</f>
        <v/>
      </c>
      <c r="V33" s="54" t="str">
        <f>'R2'!V39</f>
        <v/>
      </c>
    </row>
    <row r="34" spans="1:22" s="1" customFormat="1" x14ac:dyDescent="0.25">
      <c r="A34" s="230"/>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0.34447585240400136</v>
      </c>
      <c r="P34" s="54" t="str">
        <f>'R2'!P40</f>
        <v/>
      </c>
      <c r="Q34" s="54" t="str">
        <f>'R2'!Q40</f>
        <v/>
      </c>
      <c r="R34" s="54" t="str">
        <f>'R2'!R40</f>
        <v/>
      </c>
      <c r="S34" s="54" t="str">
        <f>'R2'!S40</f>
        <v/>
      </c>
      <c r="T34" s="54" t="str">
        <f>'R2'!T40</f>
        <v/>
      </c>
      <c r="U34" s="54" t="str">
        <f>'R2'!U40</f>
        <v/>
      </c>
      <c r="V34" s="54" t="str">
        <f>'R2'!V40</f>
        <v/>
      </c>
    </row>
    <row r="35" spans="1:22" s="1" customFormat="1" x14ac:dyDescent="0.25">
      <c r="A35" s="230"/>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1.1380918518999961</v>
      </c>
      <c r="P35" s="54" t="str">
        <f>'R2'!P41</f>
        <v/>
      </c>
      <c r="Q35" s="54" t="str">
        <f>'R2'!Q41</f>
        <v/>
      </c>
      <c r="R35" s="54" t="str">
        <f>'R2'!R41</f>
        <v/>
      </c>
      <c r="S35" s="54" t="str">
        <f>'R2'!S41</f>
        <v/>
      </c>
      <c r="T35" s="54" t="str">
        <f>'R2'!T41</f>
        <v/>
      </c>
      <c r="U35" s="54" t="str">
        <f>'R2'!U41</f>
        <v/>
      </c>
      <c r="V35" s="54" t="str">
        <f>'R2'!V41</f>
        <v/>
      </c>
    </row>
    <row r="36" spans="1:22" x14ac:dyDescent="0.25">
      <c r="A36" s="230"/>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t="str">
        <f>'R2'!O42</f>
        <v/>
      </c>
      <c r="P36" s="54" t="str">
        <f>'R2'!P42</f>
        <v/>
      </c>
      <c r="Q36" s="54" t="str">
        <f>'R2'!Q42</f>
        <v/>
      </c>
      <c r="R36" s="54" t="str">
        <f>'R2'!R42</f>
        <v/>
      </c>
      <c r="S36" s="54" t="str">
        <f>'R2'!S42</f>
        <v/>
      </c>
      <c r="T36" s="54" t="str">
        <f>'R2'!T42</f>
        <v/>
      </c>
      <c r="U36" s="54" t="str">
        <f>'R2'!U42</f>
        <v/>
      </c>
      <c r="V36" s="54" t="str">
        <f>'R2'!V42</f>
        <v/>
      </c>
    </row>
    <row r="37" spans="1:22" x14ac:dyDescent="0.25">
      <c r="A37" s="231"/>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0.60684450084561692</v>
      </c>
      <c r="P37" s="54" t="str">
        <f>'R2'!P43</f>
        <v/>
      </c>
      <c r="Q37" s="54" t="str">
        <f>'R2'!Q43</f>
        <v/>
      </c>
      <c r="R37" s="54" t="str">
        <f>'R2'!R43</f>
        <v/>
      </c>
      <c r="S37" s="54" t="str">
        <f>'R2'!S43</f>
        <v/>
      </c>
      <c r="T37" s="54" t="str">
        <f>'R2'!T43</f>
        <v/>
      </c>
      <c r="U37" s="54" t="str">
        <f>'R2'!U43</f>
        <v/>
      </c>
      <c r="V37" s="54" t="str">
        <f>'R2'!V43</f>
        <v/>
      </c>
    </row>
    <row r="38" spans="1:22" s="1" customFormat="1" x14ac:dyDescent="0.25">
      <c r="A38" s="153" t="s">
        <v>116</v>
      </c>
      <c r="B38" s="154">
        <f>'R3'!B28</f>
        <v>6.7033138162072042E-2</v>
      </c>
      <c r="C38" s="154">
        <f>'R3'!C28</f>
        <v>9.2852037429130674E-2</v>
      </c>
      <c r="D38" s="154">
        <f>'R3'!D28</f>
        <v>7.4003709997382941E-2</v>
      </c>
      <c r="E38" s="154">
        <f>'R3'!E28</f>
        <v>0.19866889268698346</v>
      </c>
      <c r="F38" s="154">
        <f>'R3'!F28</f>
        <v>0.93854783838018518</v>
      </c>
      <c r="G38" s="154">
        <f>'R3'!G28</f>
        <v>1.6195960891048</v>
      </c>
      <c r="H38" s="154">
        <f>'R3'!H28</f>
        <v>2.9574833441000372</v>
      </c>
      <c r="I38" s="154">
        <f>'R3'!I28</f>
        <v>9.2320786694742321E-2</v>
      </c>
      <c r="J38" s="154" t="str">
        <f>'R3'!J28</f>
        <v/>
      </c>
      <c r="K38" s="154">
        <f>'R3'!K28</f>
        <v>0.10682384656170542</v>
      </c>
      <c r="L38" s="154">
        <f>'R3'!L28</f>
        <v>2.3039273898648856E-2</v>
      </c>
      <c r="M38" s="154">
        <f>'R3'!M28</f>
        <v>2.9756571733385521E-2</v>
      </c>
      <c r="N38"/>
      <c r="O38" s="154">
        <f>'R3'!O28</f>
        <v>1.2274481492269049</v>
      </c>
      <c r="P38" s="154">
        <f>'R3'!P28</f>
        <v>2.2498160527029625</v>
      </c>
      <c r="Q38" s="154">
        <f>'R3'!Q28</f>
        <v>7.6628730328446679E-2</v>
      </c>
      <c r="R38" s="154">
        <f>'R3'!R28</f>
        <v>2.8443919598122386E-2</v>
      </c>
      <c r="S38" s="154">
        <f>'R3'!S28</f>
        <v>0.11077372842492096</v>
      </c>
      <c r="T38" s="154">
        <f>'R3'!T28</f>
        <v>0.19094957248898839</v>
      </c>
      <c r="U38" s="154">
        <f>'R3'!U28</f>
        <v>6.0421039898201682E-2</v>
      </c>
      <c r="V38" s="154">
        <f>'R3'!V28</f>
        <v>0.10969603619489908</v>
      </c>
    </row>
    <row r="39" spans="1:22" s="1" customFormat="1" x14ac:dyDescent="0.25">
      <c r="A39" s="229" t="s">
        <v>34</v>
      </c>
      <c r="B39" s="154">
        <f>'R3'!B29</f>
        <v>2.0238211100818259E-2</v>
      </c>
      <c r="C39" s="154">
        <f>'R3'!C29</f>
        <v>1.00897888009032E-2</v>
      </c>
      <c r="D39" s="154">
        <f>'R3'!D29</f>
        <v>0.10784304726244671</v>
      </c>
      <c r="E39" s="154">
        <f>'R3'!E29</f>
        <v>8.3345886193452096E-2</v>
      </c>
      <c r="F39" s="154">
        <f>'R3'!F29</f>
        <v>0.85893263278487775</v>
      </c>
      <c r="G39" s="154">
        <f>'R3'!G29</f>
        <v>1.9140263339388333</v>
      </c>
      <c r="H39" s="154">
        <f>'R3'!H29</f>
        <v>3.3385332261455956</v>
      </c>
      <c r="I39" s="154">
        <f>'R3'!I29</f>
        <v>9.8034216559714171E-2</v>
      </c>
      <c r="J39" s="154">
        <f>'R3'!J29</f>
        <v>2.0834200032662804E-2</v>
      </c>
      <c r="K39" s="154">
        <f>'R3'!K29</f>
        <v>6.2474916000392011E-2</v>
      </c>
      <c r="L39" s="154">
        <f>'R3'!L29</f>
        <v>4.5583641314112834E-3</v>
      </c>
      <c r="M39" s="154">
        <f>'R3'!M29</f>
        <v>1.3369715502285873E-2</v>
      </c>
      <c r="N39"/>
      <c r="O39" s="154">
        <f>'R3'!O29</f>
        <v>1.1232480452686817</v>
      </c>
      <c r="P39" s="154">
        <f>'R3'!P29</f>
        <v>2.1765723066770337</v>
      </c>
      <c r="Q39" s="154">
        <f>'R3'!Q29</f>
        <v>3.1702266900352993E-2</v>
      </c>
      <c r="R39" s="154">
        <f>'R3'!R29</f>
        <v>5.7903916562898262E-2</v>
      </c>
      <c r="S39" s="154">
        <f>'R3'!S29</f>
        <v>1.5185650334878427E-2</v>
      </c>
      <c r="T39" s="154">
        <f>'R3'!T29</f>
        <v>0.11895963214471382</v>
      </c>
      <c r="U39" s="154">
        <f>'R3'!U29</f>
        <v>6.4040558196766864E-2</v>
      </c>
      <c r="V39" s="154">
        <f>'R3'!V29</f>
        <v>0.10456624389515184</v>
      </c>
    </row>
    <row r="40" spans="1:22" s="1" customFormat="1" x14ac:dyDescent="0.25">
      <c r="A40" s="230"/>
      <c r="B40" s="154">
        <f>'R3'!B30</f>
        <v>3.8575234545420181E-2</v>
      </c>
      <c r="C40" s="154">
        <f>'R3'!C30</f>
        <v>3.7724480930823132E-2</v>
      </c>
      <c r="D40" s="154">
        <f>'R3'!D30</f>
        <v>5.1425979695072011E-2</v>
      </c>
      <c r="E40" s="154">
        <f>'R3'!E30</f>
        <v>0.71694771076004449</v>
      </c>
      <c r="F40" s="154">
        <f>'R3'!F30</f>
        <v>8.0841256194499861E-2</v>
      </c>
      <c r="G40" s="154">
        <f>'R3'!G30</f>
        <v>1.0449268937738418</v>
      </c>
      <c r="H40" s="154">
        <f>'R3'!H30</f>
        <v>2.2686551521021783</v>
      </c>
      <c r="I40" s="154">
        <f>'R3'!I30</f>
        <v>0.31013756294643968</v>
      </c>
      <c r="J40" s="154">
        <f>'R3'!J30</f>
        <v>1.5985365831086219E-2</v>
      </c>
      <c r="K40" s="154">
        <f>'R3'!K30</f>
        <v>0.10075818979346862</v>
      </c>
      <c r="L40" s="154">
        <f>'R3'!L30</f>
        <v>7.8196927979984274E-3</v>
      </c>
      <c r="M40" s="154">
        <f>'R3'!M30</f>
        <v>0.12066901869399306</v>
      </c>
      <c r="N40"/>
      <c r="O40" s="154">
        <f>'R3'!O30</f>
        <v>0.58058983001870923</v>
      </c>
      <c r="P40" s="154">
        <f>'R3'!P30</f>
        <v>1.8588988484253914</v>
      </c>
      <c r="Q40" s="154">
        <f>'R3'!Q30</f>
        <v>1.5250388532334623E-2</v>
      </c>
      <c r="R40" s="154">
        <f>'R3'!R30</f>
        <v>0.21124783678613118</v>
      </c>
      <c r="S40" s="154">
        <f>'R3'!S30</f>
        <v>0.13648146539240022</v>
      </c>
      <c r="T40" s="154">
        <f>'R3'!T30</f>
        <v>1.3842048798199832E-2</v>
      </c>
      <c r="U40" s="154">
        <f>'R3'!U30</f>
        <v>6.244694796333309E-2</v>
      </c>
      <c r="V40" s="154">
        <f>'R3'!V30</f>
        <v>0.40345909427685905</v>
      </c>
    </row>
    <row r="41" spans="1:22" s="1" customFormat="1" x14ac:dyDescent="0.25">
      <c r="A41" s="230"/>
      <c r="B41" s="154">
        <f>'R3'!B31</f>
        <v>8.8241144497151869E-2</v>
      </c>
      <c r="C41" s="154">
        <f>'R3'!C31</f>
        <v>2.3159806200491639E-2</v>
      </c>
      <c r="D41" s="154">
        <f>'R3'!D31</f>
        <v>8.8528349263498105E-2</v>
      </c>
      <c r="E41" s="154" t="str">
        <f>'R3'!E31</f>
        <v/>
      </c>
      <c r="F41" s="154">
        <f>'R3'!F31</f>
        <v>0.5801326164991748</v>
      </c>
      <c r="G41" s="154">
        <f>'R3'!G31</f>
        <v>1.0484322684084713</v>
      </c>
      <c r="H41" s="154">
        <f>'R3'!H31</f>
        <v>2.633469659619895</v>
      </c>
      <c r="I41" s="154">
        <f>'R3'!I31</f>
        <v>0.60462353089999388</v>
      </c>
      <c r="J41" s="154">
        <f>'R3'!J31</f>
        <v>5.0402093993199013E-3</v>
      </c>
      <c r="K41" s="154">
        <f>'R3'!K31</f>
        <v>1.2801268698306468E-2</v>
      </c>
      <c r="L41" s="154">
        <f>'R3'!L31</f>
        <v>0.14552422742523446</v>
      </c>
      <c r="M41" s="154">
        <f>'R3'!M31</f>
        <v>1.3690709064672847E-2</v>
      </c>
      <c r="N41"/>
      <c r="O41" s="154">
        <f>'R3'!O31</f>
        <v>1.6788651866035291</v>
      </c>
      <c r="P41" s="154">
        <f>'R3'!P31</f>
        <v>1.7413060298684178</v>
      </c>
      <c r="Q41" s="154">
        <f>'R3'!Q31</f>
        <v>2.0930029601265727E-2</v>
      </c>
      <c r="R41" s="154">
        <f>'R3'!R31</f>
        <v>7.2670046341892789E-3</v>
      </c>
      <c r="S41" s="154">
        <f>'R3'!S31</f>
        <v>3.4608387299318644E-2</v>
      </c>
      <c r="T41" s="154">
        <f>'R3'!T31</f>
        <v>0.1456075636574862</v>
      </c>
      <c r="U41" s="154">
        <f>'R3'!U31</f>
        <v>0.11975629529169945</v>
      </c>
      <c r="V41" s="154">
        <f>'R3'!V31</f>
        <v>0.11717287209189593</v>
      </c>
    </row>
    <row r="42" spans="1:22" s="1" customFormat="1" x14ac:dyDescent="0.25">
      <c r="A42" s="230"/>
      <c r="B42" s="154">
        <f>'R3'!B32</f>
        <v>1.1374472899107407E-2</v>
      </c>
      <c r="C42" s="154">
        <f>'R3'!C32</f>
        <v>0.29295397258348882</v>
      </c>
      <c r="D42" s="154">
        <f>'R3'!D32</f>
        <v>1.706320003083938E-2</v>
      </c>
      <c r="E42" s="154">
        <f>'R3'!E32</f>
        <v>6.8274805431703375E-2</v>
      </c>
      <c r="F42" s="154">
        <f>'R3'!F32</f>
        <v>0.15075595399202896</v>
      </c>
      <c r="G42" s="154">
        <f>'R3'!G32</f>
        <v>1.1272476165378396</v>
      </c>
      <c r="H42" s="154">
        <f>'R3'!H32</f>
        <v>2.215300371638159</v>
      </c>
      <c r="I42" s="154">
        <f>'R3'!I32</f>
        <v>2.3381988829919154E-2</v>
      </c>
      <c r="J42" s="154">
        <f>'R3'!J32</f>
        <v>3.3777580431964126E-2</v>
      </c>
      <c r="K42" s="154">
        <f>'R3'!K32</f>
        <v>1.997258573362409E-2</v>
      </c>
      <c r="L42" s="154">
        <f>'R3'!L32</f>
        <v>0.11485975926041829</v>
      </c>
      <c r="M42" s="154">
        <f>'R3'!M32</f>
        <v>0.13681495229113838</v>
      </c>
      <c r="N42"/>
      <c r="O42" s="154">
        <f>'R3'!O32</f>
        <v>0.58516047453187481</v>
      </c>
      <c r="P42" s="154">
        <f>'R3'!P32</f>
        <v>2.0524257394157388</v>
      </c>
      <c r="Q42" s="154">
        <f>'R3'!Q32</f>
        <v>8.8648739595609621E-2</v>
      </c>
      <c r="R42" s="154">
        <f>'R3'!R32</f>
        <v>1.771484109733925E-2</v>
      </c>
      <c r="S42" s="154">
        <f>'R3'!S32</f>
        <v>4.0167354096675698E-2</v>
      </c>
      <c r="T42" s="154">
        <f>'R3'!T32</f>
        <v>1.0262707933582251E-2</v>
      </c>
      <c r="U42" s="154">
        <f>'R3'!U32</f>
        <v>4.8024242964265183E-2</v>
      </c>
      <c r="V42" s="154">
        <f>'R3'!V32</f>
        <v>0.15712116689323191</v>
      </c>
    </row>
    <row r="43" spans="1:22" s="1" customFormat="1" x14ac:dyDescent="0.25">
      <c r="A43" s="230"/>
      <c r="B43" s="154">
        <f>'R3'!B33</f>
        <v>0.16822064442288173</v>
      </c>
      <c r="C43" s="154">
        <f>'R3'!C33</f>
        <v>0.10788932939483865</v>
      </c>
      <c r="D43" s="154">
        <f>'R3'!D33</f>
        <v>3.1266703764836305E-2</v>
      </c>
      <c r="E43" s="154">
        <f>'R3'!E33</f>
        <v>8.8373886195883308E-2</v>
      </c>
      <c r="F43" s="154">
        <f>'R3'!F33</f>
        <v>2.4398208166303916E-2</v>
      </c>
      <c r="G43" s="154">
        <f>'R3'!G33</f>
        <v>1.1748517710672959</v>
      </c>
      <c r="H43" s="154">
        <f>'R3'!H33</f>
        <v>3.5852140104302239</v>
      </c>
      <c r="I43" s="154">
        <f>'R3'!I33</f>
        <v>0.10689795476142501</v>
      </c>
      <c r="J43" s="154">
        <f>'R3'!J33</f>
        <v>4.2005010298151575E-2</v>
      </c>
      <c r="K43" s="154">
        <f>'R3'!K33</f>
        <v>0.30637926923556436</v>
      </c>
      <c r="L43" s="154">
        <f>'R3'!L33</f>
        <v>1.0003187264832411E-2</v>
      </c>
      <c r="M43" s="154">
        <f>'R3'!M33</f>
        <v>1.7205453701565496E-2</v>
      </c>
      <c r="N43"/>
      <c r="O43" s="154">
        <f>'R3'!O33</f>
        <v>0.98226699121361327</v>
      </c>
      <c r="P43" s="154">
        <f>'R3'!P33</f>
        <v>1.3631900942891531</v>
      </c>
      <c r="Q43" s="154">
        <f>'R3'!Q33</f>
        <v>6.7311256865617411E-2</v>
      </c>
      <c r="R43" s="154">
        <f>'R3'!R33</f>
        <v>3.5414349463702026E-2</v>
      </c>
      <c r="S43" s="154">
        <f>'R3'!S33</f>
        <v>3.6903044065732013E-2</v>
      </c>
      <c r="T43" s="154">
        <f>'R3'!T33</f>
        <v>2.7115934731882781E-2</v>
      </c>
      <c r="U43" s="154">
        <f>'R3'!U33</f>
        <v>0.15141994642514875</v>
      </c>
      <c r="V43" s="154">
        <f>'R3'!V33</f>
        <v>5.9018236983586171E-3</v>
      </c>
    </row>
    <row r="44" spans="1:22" s="1" customFormat="1" x14ac:dyDescent="0.25">
      <c r="A44" s="230"/>
      <c r="B44" s="154">
        <f>'R3'!B34</f>
        <v>8.7756175895155455E-2</v>
      </c>
      <c r="C44" s="154">
        <f>'R3'!C34</f>
        <v>7.3656735974174728E-3</v>
      </c>
      <c r="D44" s="154">
        <f>'R3'!D34</f>
        <v>8.7586806005757988E-3</v>
      </c>
      <c r="E44" s="154">
        <f>'R3'!E34</f>
        <v>0.25108496928788776</v>
      </c>
      <c r="F44" s="154">
        <f>'R3'!F34</f>
        <v>1.4830189361135282</v>
      </c>
      <c r="G44" s="154">
        <f>'R3'!G34</f>
        <v>1.8951563561230678</v>
      </c>
      <c r="H44" s="154">
        <f>'R3'!H34</f>
        <v>2.5318032894555329</v>
      </c>
      <c r="I44" s="154">
        <f>'R3'!I34</f>
        <v>1.7542063934391464E-2</v>
      </c>
      <c r="J44" s="154">
        <f>'R3'!J34</f>
        <v>3.8589502503412177E-3</v>
      </c>
      <c r="K44" s="154">
        <f>'R3'!K34</f>
        <v>4.057196783077692E-2</v>
      </c>
      <c r="L44" s="154">
        <f>'R3'!L34</f>
        <v>6.8470581691115863E-3</v>
      </c>
      <c r="M44" s="154">
        <f>'R3'!M34</f>
        <v>2.7841683998102246E-2</v>
      </c>
      <c r="N44"/>
      <c r="O44" s="154">
        <f>'R3'!O34</f>
        <v>1.3429613241754639</v>
      </c>
      <c r="P44" s="154">
        <f>'R3'!P34</f>
        <v>1.185037176482205</v>
      </c>
      <c r="Q44" s="154">
        <f>'R3'!Q34</f>
        <v>5.903115622913116E-2</v>
      </c>
      <c r="R44" s="154">
        <f>'R3'!R34</f>
        <v>4.2313794463649877E-2</v>
      </c>
      <c r="S44" s="154">
        <f>'R3'!S34</f>
        <v>0.49500784957298999</v>
      </c>
      <c r="T44" s="154">
        <f>'R3'!T34</f>
        <v>1.1532059300809991E-2</v>
      </c>
      <c r="U44" s="154">
        <f>'R3'!U34</f>
        <v>1.7705613064807117E-2</v>
      </c>
      <c r="V44" s="154">
        <f>'R3'!V34</f>
        <v>2.2152814896639009E-2</v>
      </c>
    </row>
    <row r="45" spans="1:22" s="1" customFormat="1" x14ac:dyDescent="0.25">
      <c r="A45" s="230"/>
      <c r="B45" s="154">
        <f>'R3'!B35</f>
        <v>6.4440061020542595E-3</v>
      </c>
      <c r="C45" s="154">
        <f>'R3'!C35</f>
        <v>1.0170143668798391E-2</v>
      </c>
      <c r="D45" s="154">
        <f>'R3'!D35</f>
        <v>2.48985094992768E-2</v>
      </c>
      <c r="E45" s="154">
        <f>'R3'!E35</f>
        <v>0.54072508440422185</v>
      </c>
      <c r="F45" s="154">
        <f>'R3'!F35</f>
        <v>0.49095901480708376</v>
      </c>
      <c r="G45" s="154">
        <f>'R3'!G35</f>
        <v>1.3396596051203322</v>
      </c>
      <c r="H45" s="154">
        <f>'R3'!H35</f>
        <v>3.9645250472072657</v>
      </c>
      <c r="I45" s="154">
        <f>'R3'!I35</f>
        <v>8.3046613999948442E-3</v>
      </c>
      <c r="J45" s="154" t="str">
        <f>'R3'!J35</f>
        <v/>
      </c>
      <c r="K45" s="154">
        <f>'R3'!K35</f>
        <v>1.5296812634457816E-2</v>
      </c>
      <c r="L45" s="154">
        <f>'R3'!L35</f>
        <v>7.9448462145938439E-2</v>
      </c>
      <c r="M45" s="154">
        <f>'R3'!M35</f>
        <v>1.6748311166896741E-2</v>
      </c>
      <c r="N45"/>
      <c r="O45" s="154">
        <f>'R3'!O35</f>
        <v>1.2254609988984084</v>
      </c>
      <c r="P45" s="154">
        <f>'R3'!P35</f>
        <v>1.832014750264662</v>
      </c>
      <c r="Q45" s="154">
        <f>'R3'!Q35</f>
        <v>3.7724338961091869E-2</v>
      </c>
      <c r="R45" s="154" t="str">
        <f>'R3'!R35</f>
        <v/>
      </c>
      <c r="S45" s="154">
        <f>'R3'!S35</f>
        <v>2.5445092964641616E-2</v>
      </c>
      <c r="T45" s="154">
        <f>'R3'!T35</f>
        <v>0.11297567895681923</v>
      </c>
      <c r="U45" s="154">
        <f>'R3'!U35</f>
        <v>9.9878545338559447E-3</v>
      </c>
      <c r="V45" s="154">
        <f>'R3'!V35</f>
        <v>0.14079748719254456</v>
      </c>
    </row>
    <row r="46" spans="1:22" s="1" customFormat="1" x14ac:dyDescent="0.25">
      <c r="A46" s="230"/>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1.9591506321874428</v>
      </c>
      <c r="P46" s="154" t="str">
        <f>'R3'!P36</f>
        <v/>
      </c>
      <c r="Q46" s="154" t="str">
        <f>'R3'!Q36</f>
        <v/>
      </c>
      <c r="R46" s="154" t="str">
        <f>'R3'!R36</f>
        <v/>
      </c>
      <c r="S46" s="154" t="str">
        <f>'R3'!S36</f>
        <v/>
      </c>
      <c r="T46" s="154" t="str">
        <f>'R3'!T36</f>
        <v/>
      </c>
      <c r="U46" s="154" t="str">
        <f>'R3'!U36</f>
        <v/>
      </c>
      <c r="V46" s="154" t="str">
        <f>'R3'!V36</f>
        <v/>
      </c>
    </row>
    <row r="47" spans="1:22" s="1" customFormat="1" x14ac:dyDescent="0.25">
      <c r="A47" s="230"/>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0.82559061548843027</v>
      </c>
      <c r="P47" s="154" t="str">
        <f>'R3'!P37</f>
        <v/>
      </c>
      <c r="Q47" s="154" t="str">
        <f>'R3'!Q37</f>
        <v/>
      </c>
      <c r="R47" s="154" t="str">
        <f>'R3'!R37</f>
        <v/>
      </c>
      <c r="S47" s="154" t="str">
        <f>'R3'!S37</f>
        <v/>
      </c>
      <c r="T47" s="154" t="str">
        <f>'R3'!T37</f>
        <v/>
      </c>
      <c r="U47" s="154" t="str">
        <f>'R3'!U37</f>
        <v/>
      </c>
      <c r="V47" s="154" t="str">
        <f>'R3'!V37</f>
        <v/>
      </c>
    </row>
    <row r="48" spans="1:22" s="1" customFormat="1" x14ac:dyDescent="0.25">
      <c r="A48" s="230"/>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0.63077889843014723</v>
      </c>
      <c r="P48" s="154" t="str">
        <f>'R3'!P38</f>
        <v/>
      </c>
      <c r="Q48" s="154" t="str">
        <f>'R3'!Q38</f>
        <v/>
      </c>
      <c r="R48" s="154" t="str">
        <f>'R3'!R38</f>
        <v/>
      </c>
      <c r="S48" s="154" t="str">
        <f>'R3'!S38</f>
        <v/>
      </c>
      <c r="T48" s="154" t="str">
        <f>'R3'!T38</f>
        <v/>
      </c>
      <c r="U48" s="154" t="str">
        <f>'R3'!U38</f>
        <v/>
      </c>
      <c r="V48" s="154" t="str">
        <f>'R3'!V38</f>
        <v/>
      </c>
    </row>
    <row r="49" spans="1:24" s="1" customFormat="1" x14ac:dyDescent="0.25">
      <c r="A49" s="230"/>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0.3991630902088229</v>
      </c>
      <c r="P49" s="154" t="str">
        <f>'R3'!P39</f>
        <v/>
      </c>
      <c r="Q49" s="154" t="str">
        <f>'R3'!Q39</f>
        <v/>
      </c>
      <c r="R49" s="154" t="str">
        <f>'R3'!R39</f>
        <v/>
      </c>
      <c r="S49" s="154" t="str">
        <f>'R3'!S39</f>
        <v/>
      </c>
      <c r="T49" s="154" t="str">
        <f>'R3'!T39</f>
        <v/>
      </c>
      <c r="U49" s="154" t="str">
        <f>'R3'!U39</f>
        <v/>
      </c>
      <c r="V49" s="154" t="str">
        <f>'R3'!V39</f>
        <v/>
      </c>
    </row>
    <row r="50" spans="1:24" s="1" customFormat="1" x14ac:dyDescent="0.25">
      <c r="A50" s="230"/>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0.84074517445216201</v>
      </c>
      <c r="P50" s="154" t="str">
        <f>'R3'!P40</f>
        <v/>
      </c>
      <c r="Q50" s="154" t="str">
        <f>'R3'!Q40</f>
        <v/>
      </c>
      <c r="R50" s="154" t="str">
        <f>'R3'!R40</f>
        <v/>
      </c>
      <c r="S50" s="154" t="str">
        <f>'R3'!S40</f>
        <v/>
      </c>
      <c r="T50" s="154" t="str">
        <f>'R3'!T40</f>
        <v/>
      </c>
      <c r="U50" s="154" t="str">
        <f>'R3'!U40</f>
        <v/>
      </c>
      <c r="V50" s="154" t="str">
        <f>'R3'!V40</f>
        <v/>
      </c>
    </row>
    <row r="51" spans="1:24" s="1" customFormat="1" x14ac:dyDescent="0.25">
      <c r="A51" s="230"/>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0.5494433036313876</v>
      </c>
      <c r="P51" s="154" t="str">
        <f>'R3'!P41</f>
        <v/>
      </c>
      <c r="Q51" s="154" t="str">
        <f>'R3'!Q41</f>
        <v/>
      </c>
      <c r="R51" s="154" t="str">
        <f>'R3'!R41</f>
        <v/>
      </c>
      <c r="S51" s="154" t="str">
        <f>'R3'!S41</f>
        <v/>
      </c>
      <c r="T51" s="154" t="str">
        <f>'R3'!T41</f>
        <v/>
      </c>
      <c r="U51" s="154" t="str">
        <f>'R3'!U41</f>
        <v/>
      </c>
      <c r="V51" s="154" t="str">
        <f>'R3'!V41</f>
        <v/>
      </c>
    </row>
    <row r="52" spans="1:24" s="1" customFormat="1" x14ac:dyDescent="0.25">
      <c r="A52" s="230"/>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0.90570910378106717</v>
      </c>
      <c r="P52" s="154" t="str">
        <f>'R3'!P42</f>
        <v/>
      </c>
      <c r="Q52" s="154" t="str">
        <f>'R3'!Q42</f>
        <v/>
      </c>
      <c r="R52" s="154" t="str">
        <f>'R3'!R42</f>
        <v/>
      </c>
      <c r="S52" s="154" t="str">
        <f>'R3'!S42</f>
        <v/>
      </c>
      <c r="T52" s="154" t="str">
        <f>'R3'!T42</f>
        <v/>
      </c>
      <c r="U52" s="154" t="str">
        <f>'R3'!U42</f>
        <v/>
      </c>
      <c r="V52" s="154" t="str">
        <f>'R3'!V42</f>
        <v/>
      </c>
    </row>
    <row r="53" spans="1:24" s="1" customFormat="1" x14ac:dyDescent="0.25">
      <c r="A53" s="231"/>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1.1434181818833591</v>
      </c>
      <c r="P53" s="154" t="str">
        <f>'R3'!P43</f>
        <v/>
      </c>
      <c r="Q53" s="154" t="str">
        <f>'R3'!Q43</f>
        <v/>
      </c>
      <c r="R53" s="154" t="str">
        <f>'R3'!R43</f>
        <v/>
      </c>
      <c r="S53" s="154" t="str">
        <f>'R3'!S43</f>
        <v/>
      </c>
      <c r="T53" s="154" t="str">
        <f>'R3'!T43</f>
        <v/>
      </c>
      <c r="U53" s="154" t="str">
        <f>'R3'!U43</f>
        <v/>
      </c>
      <c r="V53" s="154"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Fadrozole-5,4µg/L</v>
      </c>
      <c r="J55" s="15" t="str">
        <f t="shared" si="0"/>
        <v>Fadrozole-11µg/L</v>
      </c>
      <c r="K55" s="15" t="str">
        <f t="shared" si="0"/>
        <v>Fadrozole-22µg/L</v>
      </c>
      <c r="L55" s="15" t="str">
        <f t="shared" si="0"/>
        <v>Fadrozole-44µg/L</v>
      </c>
      <c r="M55" s="15" t="str">
        <f t="shared" si="0"/>
        <v>Fadrozole-87µg/L</v>
      </c>
      <c r="O55" s="15" t="str">
        <f t="shared" ref="O55:V55" si="1">O4</f>
        <v>Testo -30µg/L</v>
      </c>
      <c r="P55" s="15" t="str">
        <f t="shared" si="1"/>
        <v>Testo 30µg/L + EE2 -64ng/L</v>
      </c>
      <c r="Q55" s="15" t="str">
        <f t="shared" si="1"/>
        <v>Testo 30µg/L + FAD-10µg/L</v>
      </c>
      <c r="R55" s="15" t="str">
        <f t="shared" si="1"/>
        <v>Fadrozole-5,4µg/L + Testostérone</v>
      </c>
      <c r="S55" s="15" t="str">
        <f t="shared" si="1"/>
        <v>Fadrozole-11µg/L + Testostérone</v>
      </c>
      <c r="T55" s="15" t="str">
        <f t="shared" si="1"/>
        <v>Fadrozole-22µg/L + Testostérone</v>
      </c>
      <c r="U55" s="15" t="str">
        <f t="shared" si="1"/>
        <v>Fadrozole-44µg/L + Testostérone</v>
      </c>
      <c r="V55" s="15" t="str">
        <f t="shared" si="1"/>
        <v>Fadrozole-87µg/L + Testostérone</v>
      </c>
    </row>
    <row r="56" spans="1:24" x14ac:dyDescent="0.25">
      <c r="A56" t="s">
        <v>48</v>
      </c>
      <c r="B56" s="9">
        <f t="shared" ref="B56:V56" si="2">AVERAGE(B6:B53)</f>
        <v>0.1334876740969472</v>
      </c>
      <c r="C56" s="9">
        <f t="shared" si="2"/>
        <v>0.10222859273823763</v>
      </c>
      <c r="D56" s="9">
        <f t="shared" si="2"/>
        <v>7.2467483973068875E-2</v>
      </c>
      <c r="E56" s="9">
        <f t="shared" si="2"/>
        <v>0.26671054476713529</v>
      </c>
      <c r="F56" s="9">
        <f t="shared" si="2"/>
        <v>0.53146536058231153</v>
      </c>
      <c r="G56" s="9">
        <f t="shared" si="2"/>
        <v>1.0907242395989531</v>
      </c>
      <c r="H56" s="9">
        <f t="shared" si="2"/>
        <v>2.1765466978767907</v>
      </c>
      <c r="I56" s="9">
        <f t="shared" si="2"/>
        <v>0.16430556855639153</v>
      </c>
      <c r="J56" s="9">
        <f t="shared" si="2"/>
        <v>6.5165469555365604E-2</v>
      </c>
      <c r="K56" s="9">
        <f t="shared" si="2"/>
        <v>7.4075915272798207E-2</v>
      </c>
      <c r="L56" s="9">
        <f t="shared" si="2"/>
        <v>9.7259982406741358E-2</v>
      </c>
      <c r="M56" s="9">
        <f t="shared" si="2"/>
        <v>9.1355562228920925E-2</v>
      </c>
      <c r="N56" s="9"/>
      <c r="O56" s="9">
        <f t="shared" si="2"/>
        <v>1</v>
      </c>
      <c r="P56" s="9">
        <f t="shared" si="2"/>
        <v>1.424151172476195</v>
      </c>
      <c r="Q56" s="9">
        <f t="shared" si="2"/>
        <v>6.6301578954507209E-2</v>
      </c>
      <c r="R56" s="9">
        <f t="shared" si="2"/>
        <v>7.2590687243425212E-2</v>
      </c>
      <c r="S56" s="9">
        <f t="shared" si="2"/>
        <v>0.13808752688553119</v>
      </c>
      <c r="T56" s="9">
        <f t="shared" si="2"/>
        <v>4.7700596112371645E-2</v>
      </c>
      <c r="U56" s="9">
        <f t="shared" si="2"/>
        <v>4.9255614774983025E-2</v>
      </c>
      <c r="V56" s="9">
        <f t="shared" si="2"/>
        <v>7.2080505679049375E-2</v>
      </c>
    </row>
    <row r="57" spans="1:24" x14ac:dyDescent="0.25">
      <c r="A57" t="s">
        <v>1</v>
      </c>
      <c r="B57" s="3">
        <f>STDEV(B6:B53)</f>
        <v>0.23383646149739459</v>
      </c>
      <c r="C57" s="3">
        <f t="shared" ref="C57:V57" si="3">STDEV(C6:C53)</f>
        <v>9.5782132192986216E-2</v>
      </c>
      <c r="D57" s="3">
        <f t="shared" si="3"/>
        <v>8.9675144901047929E-2</v>
      </c>
      <c r="E57" s="3">
        <f t="shared" si="3"/>
        <v>0.40162241223702821</v>
      </c>
      <c r="F57" s="3">
        <f t="shared" si="3"/>
        <v>0.37404687861334202</v>
      </c>
      <c r="G57" s="3">
        <f t="shared" si="3"/>
        <v>0.53770938059178475</v>
      </c>
      <c r="H57" s="3">
        <f t="shared" si="3"/>
        <v>0.8192587741685875</v>
      </c>
      <c r="I57" s="3">
        <f t="shared" si="3"/>
        <v>0.18066444595421741</v>
      </c>
      <c r="J57" s="3">
        <f t="shared" si="3"/>
        <v>6.4070699421203733E-2</v>
      </c>
      <c r="K57" s="3">
        <f t="shared" si="3"/>
        <v>6.5426143306736434E-2</v>
      </c>
      <c r="L57" s="3">
        <f t="shared" si="3"/>
        <v>8.3299915292642315E-2</v>
      </c>
      <c r="M57" s="3">
        <f t="shared" si="3"/>
        <v>0.11093493975735194</v>
      </c>
      <c r="N57" s="3"/>
      <c r="O57" s="3">
        <f t="shared" si="3"/>
        <v>0.51875635844409274</v>
      </c>
      <c r="P57" s="3">
        <f t="shared" si="3"/>
        <v>0.5620590636204742</v>
      </c>
      <c r="Q57" s="3">
        <f t="shared" si="3"/>
        <v>5.8768839967535402E-2</v>
      </c>
      <c r="R57" s="3">
        <f t="shared" si="3"/>
        <v>8.2610586556531182E-2</v>
      </c>
      <c r="S57" s="3">
        <f t="shared" si="3"/>
        <v>0.15314750062064153</v>
      </c>
      <c r="T57" s="3">
        <f t="shared" si="3"/>
        <v>5.7576136382238532E-2</v>
      </c>
      <c r="U57" s="3">
        <f t="shared" si="3"/>
        <v>4.1774439819004555E-2</v>
      </c>
      <c r="V57" s="3">
        <f t="shared" si="3"/>
        <v>8.7010668536077224E-2</v>
      </c>
      <c r="W57" s="3"/>
      <c r="X57" s="3"/>
    </row>
    <row r="58" spans="1:24" x14ac:dyDescent="0.25">
      <c r="A58" t="s">
        <v>2</v>
      </c>
      <c r="B58" s="3">
        <f xml:space="preserve"> B57/SQRT(COUNT(B6:B53))</f>
        <v>4.7731667827215135E-2</v>
      </c>
      <c r="C58" s="3">
        <f t="shared" ref="C58:V58" si="4" xml:space="preserve"> C57/SQRT(COUNT(C6:C53))</f>
        <v>1.9551445862385181E-2</v>
      </c>
      <c r="D58" s="3">
        <f t="shared" si="4"/>
        <v>1.8698560294525286E-2</v>
      </c>
      <c r="E58" s="3">
        <f t="shared" si="4"/>
        <v>8.5626185993402701E-2</v>
      </c>
      <c r="F58" s="3">
        <f t="shared" si="4"/>
        <v>7.6351999373620486E-2</v>
      </c>
      <c r="G58" s="3">
        <f t="shared" si="4"/>
        <v>0.10975946769648941</v>
      </c>
      <c r="H58" s="3">
        <f t="shared" si="4"/>
        <v>0.16723049700092293</v>
      </c>
      <c r="I58" s="3">
        <f t="shared" si="4"/>
        <v>3.6877975604205117E-2</v>
      </c>
      <c r="J58" s="3">
        <f t="shared" si="4"/>
        <v>1.365991901400563E-2</v>
      </c>
      <c r="K58" s="3">
        <f t="shared" si="4"/>
        <v>1.3642293935618353E-2</v>
      </c>
      <c r="L58" s="3">
        <f t="shared" si="4"/>
        <v>1.7369233028249276E-2</v>
      </c>
      <c r="M58" s="3">
        <f t="shared" si="4"/>
        <v>2.2644499754325281E-2</v>
      </c>
      <c r="N58" s="3"/>
      <c r="O58" s="3">
        <f t="shared" si="4"/>
        <v>7.5668391813926331E-2</v>
      </c>
      <c r="P58" s="3">
        <f t="shared" si="4"/>
        <v>0.11983139499804872</v>
      </c>
      <c r="Q58" s="3">
        <f t="shared" si="4"/>
        <v>1.1996139224645338E-2</v>
      </c>
      <c r="R58" s="3">
        <f t="shared" si="4"/>
        <v>1.7225498050746357E-2</v>
      </c>
      <c r="S58" s="3">
        <f t="shared" si="4"/>
        <v>3.1261102658595157E-2</v>
      </c>
      <c r="T58" s="3">
        <f t="shared" si="4"/>
        <v>1.1752679624781555E-2</v>
      </c>
      <c r="U58" s="3">
        <f t="shared" si="4"/>
        <v>8.5271718205970695E-3</v>
      </c>
      <c r="V58" s="3">
        <f t="shared" si="4"/>
        <v>1.7760978340985681E-2</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32" t="s">
        <v>46</v>
      </c>
      <c r="B60" s="233"/>
      <c r="C60" s="233"/>
      <c r="D60" s="233"/>
      <c r="E60" s="233"/>
      <c r="F60" s="233"/>
      <c r="G60" s="233"/>
      <c r="H60" s="233"/>
      <c r="I60" s="233"/>
      <c r="J60" s="233"/>
      <c r="K60" s="233"/>
      <c r="L60" s="233"/>
      <c r="M60" s="233"/>
      <c r="N60" s="233"/>
      <c r="O60" s="233"/>
      <c r="P60" s="233"/>
      <c r="Q60" s="233"/>
      <c r="R60" s="233"/>
      <c r="S60" s="233"/>
      <c r="T60" s="233"/>
      <c r="U60" s="233"/>
      <c r="V60" s="233"/>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Fadrozole-5,4µg/L</v>
      </c>
      <c r="J62" s="3" t="str">
        <f t="shared" si="6"/>
        <v>Fadrozole-11µg/L</v>
      </c>
      <c r="K62" s="3" t="str">
        <f t="shared" si="6"/>
        <v>Fadrozole-22µg/L</v>
      </c>
      <c r="L62" s="3" t="str">
        <f t="shared" si="6"/>
        <v>Fadrozole-44µg/L</v>
      </c>
      <c r="M62" s="3" t="str">
        <f t="shared" si="6"/>
        <v>Fadrozole-87µg/L</v>
      </c>
      <c r="N62" s="3"/>
      <c r="O62" s="3" t="str">
        <f t="shared" si="6"/>
        <v>Testo -30µg/L</v>
      </c>
      <c r="P62" s="3" t="str">
        <f t="shared" si="6"/>
        <v>Testo 30µg/L + EE2 -64ng/L</v>
      </c>
      <c r="Q62" s="3" t="str">
        <f t="shared" si="6"/>
        <v>Testo 30µg/L + FAD-10µg/L</v>
      </c>
      <c r="R62" s="3" t="str">
        <f t="shared" si="6"/>
        <v>Fadrozole-5,4µg/L + Testostérone</v>
      </c>
      <c r="S62" s="3" t="str">
        <f t="shared" si="6"/>
        <v>Fadrozole-11µg/L + Testostérone</v>
      </c>
      <c r="T62" s="3" t="str">
        <f t="shared" si="6"/>
        <v>Fadrozole-22µg/L + Testostérone</v>
      </c>
      <c r="U62" s="3" t="str">
        <f t="shared" si="6"/>
        <v>Fadrozole-44µg/L + Testostérone</v>
      </c>
      <c r="V62" s="3" t="str">
        <f t="shared" si="6"/>
        <v>Fadrozole-87µg/L + Testostérone</v>
      </c>
    </row>
    <row r="63" spans="1:24" s="1" customFormat="1" x14ac:dyDescent="0.25">
      <c r="A63" s="1" t="s">
        <v>49</v>
      </c>
      <c r="B63" s="3">
        <f>COUNT(B6:B53)</f>
        <v>24</v>
      </c>
      <c r="C63" s="3">
        <f t="shared" ref="C63:V63" si="7">COUNT(C6:C53)</f>
        <v>24</v>
      </c>
      <c r="D63" s="3">
        <f t="shared" si="7"/>
        <v>23</v>
      </c>
      <c r="E63" s="3">
        <f t="shared" si="7"/>
        <v>22</v>
      </c>
      <c r="F63" s="3">
        <f t="shared" si="7"/>
        <v>24</v>
      </c>
      <c r="G63" s="3">
        <f t="shared" si="7"/>
        <v>24</v>
      </c>
      <c r="H63" s="3">
        <f t="shared" si="7"/>
        <v>24</v>
      </c>
      <c r="I63" s="3">
        <f t="shared" si="7"/>
        <v>24</v>
      </c>
      <c r="J63" s="3">
        <f t="shared" si="7"/>
        <v>22</v>
      </c>
      <c r="K63" s="3">
        <f t="shared" si="7"/>
        <v>23</v>
      </c>
      <c r="L63" s="3">
        <f t="shared" si="7"/>
        <v>23</v>
      </c>
      <c r="M63" s="3">
        <f t="shared" si="7"/>
        <v>24</v>
      </c>
      <c r="N63" s="3"/>
      <c r="O63" s="3">
        <f t="shared" si="7"/>
        <v>47</v>
      </c>
      <c r="P63" s="3">
        <f t="shared" si="7"/>
        <v>22</v>
      </c>
      <c r="Q63" s="3">
        <f t="shared" si="7"/>
        <v>24</v>
      </c>
      <c r="R63" s="3">
        <f t="shared" si="7"/>
        <v>23</v>
      </c>
      <c r="S63" s="3">
        <f t="shared" si="7"/>
        <v>24</v>
      </c>
      <c r="T63" s="3">
        <f t="shared" si="7"/>
        <v>24</v>
      </c>
      <c r="U63" s="3">
        <f t="shared" si="7"/>
        <v>24</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32" t="s">
        <v>58</v>
      </c>
      <c r="B65" s="233"/>
      <c r="C65" s="233"/>
      <c r="D65" s="233"/>
      <c r="E65" s="233"/>
      <c r="F65" s="233"/>
      <c r="G65" s="233"/>
      <c r="H65" s="233"/>
      <c r="I65" s="233"/>
      <c r="J65" s="233"/>
      <c r="K65" s="233"/>
      <c r="L65" s="233"/>
      <c r="M65" s="233"/>
      <c r="N65" s="233"/>
      <c r="O65" s="233"/>
      <c r="P65" s="233"/>
      <c r="Q65" s="233"/>
      <c r="R65" s="233"/>
      <c r="S65" s="233"/>
      <c r="T65" s="233"/>
      <c r="U65" s="233"/>
      <c r="V65" s="233"/>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32" t="s">
        <v>53</v>
      </c>
      <c r="B70" s="233"/>
      <c r="C70" s="233"/>
      <c r="D70" s="233"/>
      <c r="E70" s="233"/>
      <c r="F70" s="233"/>
      <c r="G70" s="233"/>
      <c r="H70" s="233"/>
      <c r="I70" s="233"/>
      <c r="J70" s="233"/>
      <c r="K70" s="233"/>
      <c r="L70" s="233"/>
      <c r="M70" s="233"/>
      <c r="N70" s="233"/>
      <c r="O70" s="233"/>
      <c r="P70" s="233"/>
      <c r="Q70" s="233"/>
      <c r="R70" s="233"/>
      <c r="S70" s="233"/>
      <c r="T70" s="233"/>
      <c r="U70" s="233"/>
      <c r="V70" s="233"/>
    </row>
    <row r="71" spans="1:22" ht="15.75" thickBot="1" x14ac:dyDescent="0.3"/>
    <row r="72" spans="1:22" s="48" customFormat="1" ht="27" thickBot="1" x14ac:dyDescent="0.3">
      <c r="A72" s="232" t="s">
        <v>54</v>
      </c>
      <c r="B72" s="233"/>
      <c r="C72" s="233"/>
      <c r="D72" s="233"/>
      <c r="E72" s="233"/>
      <c r="F72" s="233"/>
      <c r="G72" s="233"/>
      <c r="H72" s="233"/>
      <c r="I72" s="233"/>
      <c r="J72" s="233"/>
      <c r="K72" s="233"/>
      <c r="L72" s="233"/>
      <c r="M72" s="233"/>
      <c r="N72" s="233"/>
      <c r="O72" s="233"/>
      <c r="P72" s="233"/>
      <c r="Q72" s="233"/>
      <c r="R72" s="233"/>
      <c r="S72" s="233"/>
      <c r="T72" s="233"/>
      <c r="U72" s="233"/>
      <c r="V72" s="233"/>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Fadrozole-5,4µg/L</v>
      </c>
      <c r="J74" s="46" t="str">
        <f t="shared" si="9"/>
        <v>Fadrozole-11µg/L</v>
      </c>
      <c r="K74" s="46" t="str">
        <f t="shared" si="9"/>
        <v>Fadrozole-22µg/L</v>
      </c>
      <c r="L74" s="46" t="str">
        <f t="shared" si="9"/>
        <v>Fadrozole-44µg/L</v>
      </c>
      <c r="M74" s="46" t="str">
        <f t="shared" si="9"/>
        <v>Fadrozole-87µg/L</v>
      </c>
      <c r="N74" s="46"/>
      <c r="O74" s="46" t="str">
        <f t="shared" ref="O74:V74" si="10">O4</f>
        <v>Testo -30µg/L</v>
      </c>
      <c r="P74" s="46" t="str">
        <f t="shared" si="10"/>
        <v>Testo 30µg/L + EE2 -64ng/L</v>
      </c>
      <c r="Q74" s="46" t="str">
        <f t="shared" si="10"/>
        <v>Testo 30µg/L + FAD-10µg/L</v>
      </c>
      <c r="R74" s="46" t="str">
        <f t="shared" si="10"/>
        <v>Fadrozole-5,4µg/L + Testostérone</v>
      </c>
      <c r="S74" s="46" t="str">
        <f t="shared" si="10"/>
        <v>Fadrozole-11µg/L + Testostérone</v>
      </c>
      <c r="T74" s="46" t="str">
        <f t="shared" si="10"/>
        <v>Fadrozole-22µg/L + Testostérone</v>
      </c>
      <c r="U74" s="46" t="str">
        <f t="shared" si="10"/>
        <v>Fadrozole-44µg/L + Testostérone</v>
      </c>
      <c r="V74" s="46" t="str">
        <f t="shared" si="10"/>
        <v>Fadrozole-87µg/L + Testostérone</v>
      </c>
    </row>
    <row r="75" spans="1:22" s="3" customFormat="1" x14ac:dyDescent="0.25">
      <c r="A75" s="61" t="s">
        <v>32</v>
      </c>
      <c r="B75" s="141">
        <f>B56</f>
        <v>0.1334876740969472</v>
      </c>
      <c r="C75" s="141">
        <f t="shared" ref="C75:V75" si="11">C56</f>
        <v>0.10222859273823763</v>
      </c>
      <c r="D75" s="141">
        <f t="shared" si="11"/>
        <v>7.2467483973068875E-2</v>
      </c>
      <c r="E75" s="141">
        <f t="shared" si="11"/>
        <v>0.26671054476713529</v>
      </c>
      <c r="F75" s="141">
        <f t="shared" si="11"/>
        <v>0.53146536058231153</v>
      </c>
      <c r="G75" s="141">
        <f t="shared" si="11"/>
        <v>1.0907242395989531</v>
      </c>
      <c r="H75" s="141">
        <f t="shared" si="11"/>
        <v>2.1765466978767907</v>
      </c>
      <c r="I75" s="141">
        <f t="shared" si="11"/>
        <v>0.16430556855639153</v>
      </c>
      <c r="J75" s="141">
        <f t="shared" si="11"/>
        <v>6.5165469555365604E-2</v>
      </c>
      <c r="K75" s="141">
        <f t="shared" si="11"/>
        <v>7.4075915272798207E-2</v>
      </c>
      <c r="L75" s="141">
        <f t="shared" si="11"/>
        <v>9.7259982406741358E-2</v>
      </c>
      <c r="M75" s="141">
        <f t="shared" si="11"/>
        <v>9.1355562228920925E-2</v>
      </c>
      <c r="N75" s="141"/>
      <c r="O75" s="141">
        <f t="shared" si="11"/>
        <v>1</v>
      </c>
      <c r="P75" s="141">
        <f t="shared" si="11"/>
        <v>1.424151172476195</v>
      </c>
      <c r="Q75" s="141">
        <f t="shared" si="11"/>
        <v>6.6301578954507209E-2</v>
      </c>
      <c r="R75" s="141">
        <f t="shared" si="11"/>
        <v>7.2590687243425212E-2</v>
      </c>
      <c r="S75" s="141">
        <f t="shared" si="11"/>
        <v>0.13808752688553119</v>
      </c>
      <c r="T75" s="141">
        <f t="shared" si="11"/>
        <v>4.7700596112371645E-2</v>
      </c>
      <c r="U75" s="141">
        <f t="shared" si="11"/>
        <v>4.9255614774983025E-2</v>
      </c>
      <c r="V75" s="141">
        <f t="shared" si="11"/>
        <v>7.2080505679049375E-2</v>
      </c>
    </row>
    <row r="76" spans="1:22" s="3" customFormat="1" x14ac:dyDescent="0.25">
      <c r="A76" s="61" t="s">
        <v>2</v>
      </c>
      <c r="B76" s="141">
        <f>B58</f>
        <v>4.7731667827215135E-2</v>
      </c>
      <c r="C76" s="141">
        <f t="shared" ref="C76:V76" si="12">C58</f>
        <v>1.9551445862385181E-2</v>
      </c>
      <c r="D76" s="141">
        <f t="shared" si="12"/>
        <v>1.8698560294525286E-2</v>
      </c>
      <c r="E76" s="141">
        <f t="shared" si="12"/>
        <v>8.5626185993402701E-2</v>
      </c>
      <c r="F76" s="141">
        <f t="shared" si="12"/>
        <v>7.6351999373620486E-2</v>
      </c>
      <c r="G76" s="141">
        <f t="shared" si="12"/>
        <v>0.10975946769648941</v>
      </c>
      <c r="H76" s="141">
        <f t="shared" si="12"/>
        <v>0.16723049700092293</v>
      </c>
      <c r="I76" s="141">
        <f t="shared" si="12"/>
        <v>3.6877975604205117E-2</v>
      </c>
      <c r="J76" s="141">
        <f t="shared" si="12"/>
        <v>1.365991901400563E-2</v>
      </c>
      <c r="K76" s="141">
        <f t="shared" si="12"/>
        <v>1.3642293935618353E-2</v>
      </c>
      <c r="L76" s="141">
        <f t="shared" si="12"/>
        <v>1.7369233028249276E-2</v>
      </c>
      <c r="M76" s="141">
        <f t="shared" si="12"/>
        <v>2.2644499754325281E-2</v>
      </c>
      <c r="N76" s="141"/>
      <c r="O76" s="141">
        <f t="shared" si="12"/>
        <v>7.5668391813926331E-2</v>
      </c>
      <c r="P76" s="141">
        <f t="shared" si="12"/>
        <v>0.11983139499804872</v>
      </c>
      <c r="Q76" s="141">
        <f t="shared" si="12"/>
        <v>1.1996139224645338E-2</v>
      </c>
      <c r="R76" s="141">
        <f t="shared" si="12"/>
        <v>1.7225498050746357E-2</v>
      </c>
      <c r="S76" s="141">
        <f t="shared" si="12"/>
        <v>3.1261102658595157E-2</v>
      </c>
      <c r="T76" s="141">
        <f t="shared" si="12"/>
        <v>1.1752679624781555E-2</v>
      </c>
      <c r="U76" s="141">
        <f t="shared" si="12"/>
        <v>8.5271718205970695E-3</v>
      </c>
      <c r="V76" s="141">
        <f t="shared" si="12"/>
        <v>1.7760978340985681E-2</v>
      </c>
    </row>
    <row r="77" spans="1:22" s="3" customFormat="1" x14ac:dyDescent="0.25">
      <c r="A77" s="61" t="s">
        <v>79</v>
      </c>
      <c r="B77" s="141">
        <f>(B75*100/$B$75)-100</f>
        <v>0</v>
      </c>
      <c r="C77" s="141">
        <f t="shared" ref="C77:M77" si="13">(C75*100/$B$75)-100</f>
        <v>-23.417204300081849</v>
      </c>
      <c r="D77" s="141">
        <f t="shared" si="13"/>
        <v>-45.712228141424958</v>
      </c>
      <c r="E77" s="141">
        <f t="shared" si="13"/>
        <v>99.801627057666167</v>
      </c>
      <c r="F77" s="141">
        <f t="shared" si="13"/>
        <v>298.13815333715962</v>
      </c>
      <c r="G77" s="141">
        <f t="shared" si="13"/>
        <v>717.09734398907881</v>
      </c>
      <c r="H77" s="141">
        <f t="shared" si="13"/>
        <v>1530.5226026307453</v>
      </c>
      <c r="I77" s="141">
        <f t="shared" si="13"/>
        <v>23.086696706590629</v>
      </c>
      <c r="J77" s="141">
        <f t="shared" si="13"/>
        <v>-51.182406917931381</v>
      </c>
      <c r="K77" s="141">
        <f t="shared" si="13"/>
        <v>-44.50729943874849</v>
      </c>
      <c r="L77" s="141">
        <f t="shared" si="13"/>
        <v>-27.139353453634229</v>
      </c>
      <c r="M77" s="141">
        <f t="shared" si="13"/>
        <v>-31.562548492250514</v>
      </c>
      <c r="N77" s="141"/>
      <c r="O77" s="141">
        <f>(O75*100/$O$75)-100</f>
        <v>0</v>
      </c>
      <c r="P77" s="141">
        <f t="shared" ref="P77:V77" si="14">(P75*100/$O$75)-100</f>
        <v>42.415117247619492</v>
      </c>
      <c r="Q77" s="141">
        <f t="shared" si="14"/>
        <v>-93.369842104549278</v>
      </c>
      <c r="R77" s="141">
        <f t="shared" si="14"/>
        <v>-92.740931275657474</v>
      </c>
      <c r="S77" s="141">
        <f t="shared" si="14"/>
        <v>-86.191247311446887</v>
      </c>
      <c r="T77" s="141">
        <f t="shared" si="14"/>
        <v>-95.229940388762842</v>
      </c>
      <c r="U77" s="141">
        <f t="shared" si="14"/>
        <v>-95.074438522501694</v>
      </c>
      <c r="V77" s="141">
        <f t="shared" si="14"/>
        <v>-92.791949432095066</v>
      </c>
    </row>
    <row r="78" spans="1:22" s="3" customFormat="1" x14ac:dyDescent="0.25">
      <c r="A78" s="61" t="s">
        <v>81</v>
      </c>
      <c r="B78" s="141">
        <f>[1]!DPTEST(B6:B53)</f>
        <v>4.1174730291970718E-11</v>
      </c>
      <c r="C78" s="141">
        <f>[1]!DPTEST(C6:C53)</f>
        <v>7.9614795800681981E-2</v>
      </c>
      <c r="D78" s="141">
        <f>[1]!DPTEST(D6:D53)</f>
        <v>2.7415129055796683E-9</v>
      </c>
      <c r="E78" s="141">
        <f>[1]!DPTEST(E6:E53)</f>
        <v>5.2648674309097032E-10</v>
      </c>
      <c r="F78" s="141">
        <f>[1]!DPTEST(F6:F53)</f>
        <v>0.29350294954531964</v>
      </c>
      <c r="G78" s="141">
        <f>[1]!DPTEST(G6:G53)</f>
        <v>0.6934265019304755</v>
      </c>
      <c r="H78" s="141">
        <f>[1]!DPTEST(H6:H53)</f>
        <v>0.77717262298848344</v>
      </c>
      <c r="I78" s="141">
        <f>[1]!DPTEST(I6:I53)</f>
        <v>1.7464844172194738E-2</v>
      </c>
      <c r="J78" s="141">
        <f>[1]!DPTEST(J6:J53)</f>
        <v>5.0740038471434934E-2</v>
      </c>
      <c r="K78" s="141">
        <f>[1]!DPTEST(K6:K53)</f>
        <v>7.7594945923076253E-6</v>
      </c>
      <c r="L78" s="141">
        <f>[1]!DPTEST(L6:L53)</f>
        <v>0.18768698299617714</v>
      </c>
      <c r="M78" s="141">
        <f>[1]!DPTEST(M6:M53)</f>
        <v>6.7076068096993957E-4</v>
      </c>
      <c r="N78" s="141"/>
      <c r="O78" s="141">
        <f>[1]!DPTEST(O6:O53)</f>
        <v>0.10335024821070304</v>
      </c>
      <c r="P78" s="141">
        <f>[1]!DPTEST(P6:P53)</f>
        <v>0.41428776636792342</v>
      </c>
      <c r="Q78" s="141">
        <f>[1]!DPTEST(Q6:Q53)</f>
        <v>1.6880591222924402E-2</v>
      </c>
      <c r="R78" s="141">
        <f>[1]!DPTEST(R6:R53)</f>
        <v>4.1834942640095463E-6</v>
      </c>
      <c r="S78" s="141">
        <f>[1]!DPTEST(S6:S53)</f>
        <v>3.6188393347826864E-3</v>
      </c>
      <c r="T78" s="141">
        <f>[1]!DPTEST(T6:T53)</f>
        <v>1.619173045705169E-2</v>
      </c>
      <c r="U78" s="141">
        <f>[1]!DPTEST(U6:U53)</f>
        <v>1.0498262026095162E-3</v>
      </c>
      <c r="V78" s="141">
        <f>[1]!DPTEST(V6:V53)</f>
        <v>1.9747997126451367E-7</v>
      </c>
    </row>
    <row r="79" spans="1:22" s="3" customFormat="1" x14ac:dyDescent="0.25">
      <c r="A79" s="61" t="s">
        <v>85</v>
      </c>
      <c r="B79" s="141" t="str">
        <f>IF(B78&gt;0.05,"Oui","Non")</f>
        <v>Non</v>
      </c>
      <c r="C79" s="141" t="str">
        <f t="shared" ref="C79:V79" si="15">IF(C78&gt;0.05,"Oui","Non")</f>
        <v>Oui</v>
      </c>
      <c r="D79" s="141" t="str">
        <f t="shared" si="15"/>
        <v>Non</v>
      </c>
      <c r="E79" s="141" t="str">
        <f t="shared" si="15"/>
        <v>Non</v>
      </c>
      <c r="F79" s="141" t="str">
        <f t="shared" si="15"/>
        <v>Oui</v>
      </c>
      <c r="G79" s="141" t="str">
        <f t="shared" si="15"/>
        <v>Oui</v>
      </c>
      <c r="H79" s="141" t="str">
        <f t="shared" si="15"/>
        <v>Oui</v>
      </c>
      <c r="I79" s="141" t="str">
        <f t="shared" si="15"/>
        <v>Non</v>
      </c>
      <c r="J79" s="141" t="str">
        <f t="shared" si="15"/>
        <v>Oui</v>
      </c>
      <c r="K79" s="141" t="str">
        <f t="shared" si="15"/>
        <v>Non</v>
      </c>
      <c r="L79" s="141" t="str">
        <f t="shared" si="15"/>
        <v>Oui</v>
      </c>
      <c r="M79" s="141" t="str">
        <f t="shared" si="15"/>
        <v>Non</v>
      </c>
      <c r="N79" s="141"/>
      <c r="O79" s="141" t="str">
        <f t="shared" si="15"/>
        <v>Oui</v>
      </c>
      <c r="P79" s="141" t="str">
        <f t="shared" si="15"/>
        <v>Oui</v>
      </c>
      <c r="Q79" s="141" t="str">
        <f t="shared" si="15"/>
        <v>Non</v>
      </c>
      <c r="R79" s="141" t="str">
        <f t="shared" si="15"/>
        <v>Non</v>
      </c>
      <c r="S79" s="141" t="str">
        <f t="shared" si="15"/>
        <v>Non</v>
      </c>
      <c r="T79" s="141" t="str">
        <f t="shared" si="15"/>
        <v>Non</v>
      </c>
      <c r="U79" s="141" t="str">
        <f t="shared" si="15"/>
        <v>Non</v>
      </c>
      <c r="V79" s="141" t="str">
        <f t="shared" si="15"/>
        <v>Non</v>
      </c>
    </row>
    <row r="80" spans="1:22" s="3" customFormat="1" x14ac:dyDescent="0.25">
      <c r="A80" s="61" t="s">
        <v>122</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25">
      <c r="A81" s="61" t="s">
        <v>82</v>
      </c>
      <c r="B81" s="141"/>
      <c r="C81" s="141" t="str">
        <f t="shared" ref="C81:I81" si="16">IF($B80="Non","Kruskal-Wallis","ANOVA")</f>
        <v>Kruskal-Wallis</v>
      </c>
      <c r="D81" s="141" t="str">
        <f t="shared" si="16"/>
        <v>Kruskal-Wallis</v>
      </c>
      <c r="E81" s="141" t="str">
        <f t="shared" si="16"/>
        <v>Kruskal-Wallis</v>
      </c>
      <c r="F81" s="141" t="str">
        <f t="shared" si="16"/>
        <v>Kruskal-Wallis</v>
      </c>
      <c r="G81" s="141" t="str">
        <f t="shared" si="16"/>
        <v>Kruskal-Wallis</v>
      </c>
      <c r="H81" s="141" t="str">
        <f t="shared" si="16"/>
        <v>Kruskal-Wallis</v>
      </c>
      <c r="I81" s="141" t="str">
        <f t="shared" si="16"/>
        <v>Kruskal-Wallis</v>
      </c>
      <c r="J81" s="141" t="s">
        <v>1564</v>
      </c>
      <c r="K81" s="141" t="s">
        <v>1564</v>
      </c>
      <c r="L81" s="141" t="s">
        <v>1564</v>
      </c>
      <c r="M81" s="141" t="s">
        <v>1564</v>
      </c>
      <c r="N81" s="141"/>
      <c r="O81" s="141" t="str">
        <f>IF($B79="Non",IF(O79="Non","Mann Withney",IF(O79="Oui","Mann Withney","")),IF($B79="Oui",IF(O79="Oui","T-Test Welch",IF(O79="Non","Mann Withney",""))))</f>
        <v>Mann Withney</v>
      </c>
      <c r="P81" s="141" t="str">
        <f t="shared" ref="P81:Q81" si="17">IF($O79="Non",IF(P79="Non","Mann Withney",IF(P$79="Oui","Mann Withney","")),IF($O79="Oui",IF(P79="Oui","T-Test Welch",IF(P79="Non","Mann Withney",""))))</f>
        <v>T-Test Welch</v>
      </c>
      <c r="Q81" s="141" t="str">
        <f t="shared" si="17"/>
        <v>Mann Withney</v>
      </c>
      <c r="R81" s="141" t="s">
        <v>4162</v>
      </c>
      <c r="S81" s="141" t="s">
        <v>4162</v>
      </c>
      <c r="T81" s="141" t="s">
        <v>4162</v>
      </c>
      <c r="U81" s="141" t="s">
        <v>4162</v>
      </c>
      <c r="V81" s="141" t="s">
        <v>4162</v>
      </c>
    </row>
    <row r="82" spans="1:22" s="3" customFormat="1" ht="15.75" x14ac:dyDescent="0.25">
      <c r="A82" s="61" t="s">
        <v>83</v>
      </c>
      <c r="B82" s="141"/>
      <c r="C82" s="197">
        <v>0.99990000000000001</v>
      </c>
      <c r="D82" s="197">
        <v>0.99990000000000001</v>
      </c>
      <c r="E82" s="198">
        <v>0.44969999999999999</v>
      </c>
      <c r="F82" s="198">
        <v>2.5000000000000001E-3</v>
      </c>
      <c r="G82" s="197">
        <v>1E-4</v>
      </c>
      <c r="H82" s="197">
        <v>1E-4</v>
      </c>
      <c r="I82" s="197">
        <v>0.99990000000000001</v>
      </c>
      <c r="J82" s="197">
        <v>0.99990000000000001</v>
      </c>
      <c r="K82" s="197">
        <v>0.99990000000000001</v>
      </c>
      <c r="L82" s="197">
        <v>0.99990000000000001</v>
      </c>
      <c r="M82" s="197">
        <v>0.99990000000000001</v>
      </c>
      <c r="N82" s="141"/>
      <c r="O82" s="197">
        <v>1E-4</v>
      </c>
      <c r="P82" s="198">
        <v>4.7999999999999996E-3</v>
      </c>
      <c r="Q82" s="197">
        <v>1E-4</v>
      </c>
      <c r="R82" s="197">
        <v>1E-4</v>
      </c>
      <c r="S82" s="197">
        <v>1E-4</v>
      </c>
      <c r="T82" s="197">
        <v>1E-4</v>
      </c>
      <c r="U82" s="197">
        <v>1E-4</v>
      </c>
      <c r="V82" s="197">
        <v>1E-4</v>
      </c>
    </row>
    <row r="83" spans="1:22" s="3" customFormat="1" ht="15.75" thickBot="1" x14ac:dyDescent="0.3">
      <c r="A83" s="62" t="s">
        <v>84</v>
      </c>
      <c r="B83" s="142"/>
      <c r="C83" s="142" t="str">
        <f t="shared" ref="C83:O83" si="18">IF(C82&gt;0.05,"NS",IF(C82&gt;0.01,"*",IF(C82&gt;0.001,"**","***")))</f>
        <v>NS</v>
      </c>
      <c r="D83" s="142" t="str">
        <f t="shared" si="18"/>
        <v>NS</v>
      </c>
      <c r="E83" s="142" t="str">
        <f t="shared" si="18"/>
        <v>NS</v>
      </c>
      <c r="F83" s="142" t="str">
        <f t="shared" si="18"/>
        <v>**</v>
      </c>
      <c r="G83" s="142" t="str">
        <f t="shared" si="18"/>
        <v>***</v>
      </c>
      <c r="H83" s="142" t="str">
        <f t="shared" si="18"/>
        <v>***</v>
      </c>
      <c r="I83" s="142" t="str">
        <f t="shared" si="18"/>
        <v>NS</v>
      </c>
      <c r="J83" s="142" t="str">
        <f t="shared" si="18"/>
        <v>NS</v>
      </c>
      <c r="K83" s="142" t="str">
        <f t="shared" si="18"/>
        <v>NS</v>
      </c>
      <c r="L83" s="142" t="str">
        <f t="shared" si="18"/>
        <v>NS</v>
      </c>
      <c r="M83" s="142" t="str">
        <f t="shared" si="18"/>
        <v>NS</v>
      </c>
      <c r="N83" s="142"/>
      <c r="O83" s="142" t="str">
        <f t="shared" si="18"/>
        <v>***</v>
      </c>
      <c r="P83" s="142" t="str">
        <f t="shared" ref="P83" si="19">IF(P82&gt;0.05,"NS",IF(P82&gt;0.01,"*",IF(P82&gt;0.001,"**","***")))</f>
        <v>**</v>
      </c>
      <c r="Q83" s="142" t="str">
        <f t="shared" ref="Q83:V83" si="20">IF(Q82&gt;0.05,"NS",IF(Q82&gt;0.01,"*",IF(Q82&gt;0.001,"**","***")))</f>
        <v>***</v>
      </c>
      <c r="R83" s="142" t="str">
        <f t="shared" si="20"/>
        <v>***</v>
      </c>
      <c r="S83" s="142" t="str">
        <f t="shared" si="20"/>
        <v>***</v>
      </c>
      <c r="T83" s="142" t="str">
        <f t="shared" si="20"/>
        <v>***</v>
      </c>
      <c r="U83" s="142" t="str">
        <f t="shared" si="20"/>
        <v>***</v>
      </c>
      <c r="V83" s="142" t="str">
        <f t="shared" si="20"/>
        <v>***</v>
      </c>
    </row>
    <row r="84" spans="1:22" s="1" customFormat="1" x14ac:dyDescent="0.25"/>
    <row r="85" spans="1:22" s="1" customFormat="1" x14ac:dyDescent="0.25">
      <c r="A85" s="2" t="s">
        <v>39</v>
      </c>
    </row>
    <row r="86" spans="1:22" x14ac:dyDescent="0.25">
      <c r="A86" s="1" t="s">
        <v>23</v>
      </c>
      <c r="B86" s="1">
        <f>B56+(3*B57)</f>
        <v>0.83499705858913098</v>
      </c>
    </row>
    <row r="87" spans="1:22" x14ac:dyDescent="0.25">
      <c r="A87" s="1" t="s">
        <v>24</v>
      </c>
      <c r="B87" s="1">
        <f>B56+(10*B57)</f>
        <v>2.4718522890708932</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32" t="s">
        <v>57</v>
      </c>
      <c r="B93" s="233"/>
      <c r="C93" s="233"/>
      <c r="D93" s="233"/>
      <c r="E93" s="233"/>
      <c r="F93" s="233"/>
      <c r="G93" s="233"/>
      <c r="H93" s="233"/>
      <c r="I93" s="233"/>
      <c r="J93" s="233"/>
      <c r="K93" s="233"/>
      <c r="L93" s="233"/>
      <c r="M93" s="233"/>
      <c r="N93" s="233"/>
      <c r="O93" s="233"/>
      <c r="P93" s="233"/>
      <c r="Q93" s="233"/>
      <c r="R93" s="233"/>
      <c r="S93" s="233"/>
      <c r="T93" s="233"/>
      <c r="U93" s="233"/>
      <c r="V93" s="233"/>
    </row>
    <row r="95" spans="1:22" ht="15.75" x14ac:dyDescent="0.25">
      <c r="I95" s="197"/>
    </row>
    <row r="96" spans="1:22" ht="15.75" x14ac:dyDescent="0.25">
      <c r="I96" s="197"/>
      <c r="R96" s="197"/>
    </row>
    <row r="97" spans="3:18" ht="15.75" x14ac:dyDescent="0.25">
      <c r="I97" s="197"/>
      <c r="R97" s="197"/>
    </row>
    <row r="98" spans="3:18" ht="15.75" x14ac:dyDescent="0.25">
      <c r="C98" s="197"/>
      <c r="I98" s="197"/>
      <c r="R98" s="197"/>
    </row>
    <row r="99" spans="3:18" ht="15.75" x14ac:dyDescent="0.25">
      <c r="C99" s="197"/>
      <c r="I99" s="197"/>
      <c r="R99" s="197"/>
    </row>
    <row r="100" spans="3:18" ht="15.75" x14ac:dyDescent="0.25">
      <c r="C100" s="197"/>
      <c r="R100" s="197"/>
    </row>
    <row r="101" spans="3:18" ht="15.75" x14ac:dyDescent="0.25">
      <c r="C101" s="197"/>
    </row>
    <row r="102" spans="3:18" ht="15.75" x14ac:dyDescent="0.25">
      <c r="C102" s="197"/>
    </row>
    <row r="103" spans="3:18" ht="15.75" x14ac:dyDescent="0.25">
      <c r="C103" s="197"/>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32" t="s">
        <v>104</v>
      </c>
      <c r="B1" s="233"/>
      <c r="C1" s="233"/>
      <c r="D1" s="233"/>
      <c r="E1" s="233"/>
      <c r="F1" s="233"/>
      <c r="G1" s="233"/>
      <c r="H1" s="233"/>
      <c r="I1" s="233"/>
      <c r="J1" s="233"/>
      <c r="K1" s="233"/>
      <c r="L1" s="233"/>
      <c r="M1" s="233"/>
      <c r="N1" s="233"/>
      <c r="O1" s="234"/>
    </row>
    <row r="2" spans="1:15" s="48" customFormat="1" ht="27" thickBot="1" x14ac:dyDescent="0.3">
      <c r="A2" s="232" t="s">
        <v>105</v>
      </c>
      <c r="B2" s="233"/>
      <c r="C2" s="233"/>
      <c r="D2" s="233"/>
      <c r="E2" s="233"/>
      <c r="F2" s="233"/>
      <c r="G2" s="233"/>
      <c r="H2" s="233"/>
      <c r="I2" s="233"/>
      <c r="J2" s="233"/>
      <c r="K2" s="233"/>
      <c r="L2" s="233"/>
      <c r="M2" s="233"/>
      <c r="N2" s="233"/>
      <c r="O2" s="234"/>
    </row>
    <row r="3" spans="1:15" s="76" customFormat="1" ht="15.75" x14ac:dyDescent="0.25">
      <c r="H3" s="77"/>
      <c r="I3" s="77"/>
      <c r="J3" s="77"/>
      <c r="K3" s="77"/>
      <c r="L3" s="77"/>
      <c r="M3" s="77"/>
      <c r="N3" s="77"/>
    </row>
    <row r="4" spans="1:15" s="76" customFormat="1" ht="15.75" x14ac:dyDescent="0.25">
      <c r="O4"/>
    </row>
    <row r="5" spans="1:15" s="76" customFormat="1" ht="45.75" customHeight="1" thickBot="1" x14ac:dyDescent="0.3">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75" x14ac:dyDescent="0.25">
      <c r="A6" s="79" t="s">
        <v>28</v>
      </c>
      <c r="B6" s="99">
        <v>64</v>
      </c>
      <c r="C6" s="79"/>
      <c r="D6" s="79"/>
      <c r="E6" s="89"/>
      <c r="F6" s="90"/>
      <c r="G6" s="128">
        <f>IF(F6="NS","NC",ROUND(B6,2-(1+INT(LOG10(ABS(B6))))))</f>
        <v>64</v>
      </c>
      <c r="H6" s="120"/>
      <c r="I6" s="120"/>
      <c r="J6" s="121"/>
      <c r="K6" s="122"/>
      <c r="L6" s="124"/>
      <c r="M6" s="121"/>
      <c r="N6" s="91"/>
      <c r="O6"/>
    </row>
    <row r="7" spans="1:15" s="76" customFormat="1" ht="15.75" x14ac:dyDescent="0.25">
      <c r="A7" s="79" t="str">
        <f>'Page de garde'!A15</f>
        <v>Fadrozole-5,4µg/L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Fadrozole-5,4µg/L : 0%</v>
      </c>
      <c r="O7"/>
    </row>
    <row r="8" spans="1:15" s="76" customFormat="1" ht="15.75" x14ac:dyDescent="0.25">
      <c r="A8" s="79" t="str">
        <f>'Page de garde'!A16</f>
        <v>Fadrozole-11µg/L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Fadrozole-11µg/L : 0%</v>
      </c>
      <c r="O8"/>
    </row>
    <row r="9" spans="1:15" s="76" customFormat="1" ht="15.75" x14ac:dyDescent="0.25">
      <c r="A9" s="79" t="str">
        <f>'Page de garde'!A17</f>
        <v>Fadrozole-22µg/L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Fadrozole-22µg/L : 0%</v>
      </c>
      <c r="O9"/>
    </row>
    <row r="10" spans="1:15" s="76" customFormat="1" ht="15.75" x14ac:dyDescent="0.25">
      <c r="A10" s="79" t="str">
        <f>'Page de garde'!A18</f>
        <v>Fadrozole-44µg/L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Fadrozole-44µg/L : 0%</v>
      </c>
      <c r="O10"/>
    </row>
    <row r="11" spans="1:15" s="76" customFormat="1" ht="15.75" x14ac:dyDescent="0.25">
      <c r="A11" s="79" t="str">
        <f>'Page de garde'!A19</f>
        <v>Fadrozole-87µg/L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Fadrozole-87µg/L : 0%</v>
      </c>
      <c r="O11"/>
    </row>
    <row r="12" spans="1:15" s="76" customFormat="1" ht="15.75" x14ac:dyDescent="0.25">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75" x14ac:dyDescent="0.25">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75" x14ac:dyDescent="0.25">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75" x14ac:dyDescent="0.25">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75" x14ac:dyDescent="0.25">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75" x14ac:dyDescent="0.25">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75" x14ac:dyDescent="0.25">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75" x14ac:dyDescent="0.25">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75" x14ac:dyDescent="0.25">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75" x14ac:dyDescent="0.25">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75" x14ac:dyDescent="0.25">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75" x14ac:dyDescent="0.25">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75" x14ac:dyDescent="0.25">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75" x14ac:dyDescent="0.25">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75" x14ac:dyDescent="0.25">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75" x14ac:dyDescent="0.25">
      <c r="A27"/>
      <c r="B27"/>
      <c r="C27"/>
      <c r="D27"/>
      <c r="E27"/>
      <c r="F27"/>
      <c r="G27"/>
      <c r="H27"/>
      <c r="I27"/>
      <c r="J27"/>
      <c r="K27"/>
      <c r="L27"/>
      <c r="M27"/>
      <c r="N27"/>
      <c r="O27" s="1"/>
    </row>
    <row r="28" spans="1:15" s="76" customFormat="1" ht="32.25" thickBot="1" x14ac:dyDescent="0.3">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75" x14ac:dyDescent="0.25">
      <c r="A29" s="83" t="s">
        <v>29</v>
      </c>
      <c r="B29" s="99"/>
      <c r="C29" s="79"/>
      <c r="D29" s="79"/>
      <c r="E29" s="81"/>
      <c r="F29" s="90"/>
      <c r="G29" s="133"/>
      <c r="H29" s="120"/>
      <c r="I29" s="120"/>
      <c r="J29" s="121"/>
      <c r="K29" s="122"/>
      <c r="L29" s="124"/>
      <c r="M29" s="121"/>
      <c r="N29" s="91"/>
      <c r="O29"/>
    </row>
    <row r="30" spans="1:15" s="76" customFormat="1" ht="15.75" x14ac:dyDescent="0.25">
      <c r="A30" s="83" t="s">
        <v>31</v>
      </c>
      <c r="B30" s="99"/>
      <c r="C30" s="79"/>
      <c r="D30" s="79"/>
      <c r="E30" s="81"/>
      <c r="F30" s="90"/>
      <c r="G30" s="132" t="e">
        <f>IF(F30="NS","NC",ROUND(B30-$B$29,2-(1+INT(LOG10(ABS(B30-$B$29))))))</f>
        <v>#NUM!</v>
      </c>
      <c r="H30" s="120"/>
      <c r="I30" s="133"/>
      <c r="J30" s="134"/>
      <c r="K30" s="135"/>
      <c r="L30" s="134"/>
      <c r="M30" s="134"/>
      <c r="N30" s="136"/>
      <c r="O30"/>
    </row>
    <row r="31" spans="1:15" s="76" customFormat="1" ht="15.75" x14ac:dyDescent="0.2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75" x14ac:dyDescent="0.25">
      <c r="A32" s="127" t="str">
        <f>'Page de garde'!A39</f>
        <v>Fadrozole-5,4µg/L + Testostérone</v>
      </c>
      <c r="B32" s="99"/>
      <c r="C32" s="79"/>
      <c r="D32" s="79"/>
      <c r="E32" s="81"/>
      <c r="F32" s="93" t="str">
        <f>HLOOKUP(A32,'pooled normalised values'!$B$74:$V$83,10,FALSE)</f>
        <v>***</v>
      </c>
      <c r="G32" s="132" t="e">
        <f t="shared" si="6"/>
        <v>#NUM!</v>
      </c>
      <c r="H32" s="123" t="str">
        <f>IF(VLOOKUP(A32,liste_groupe[],4,FALSE)="%",VLOOKUP(A32,liste_groupe[],3,FALSE)/100,IF(ISBLANK(VLOOKUP(A32,liste_groupe[],4,FALSE)),"Non","Non"))</f>
        <v>Non</v>
      </c>
      <c r="I32" s="132" t="e">
        <f>IF(F32="NS","NC",IF(H32="Non",G32,G32*(1/H32)))</f>
        <v>#NUM!</v>
      </c>
      <c r="J32" s="137" t="e">
        <f>IF(G32&lt;0,$G$31,$G$30)</f>
        <v>#NUM!</v>
      </c>
      <c r="K32" s="138" t="e">
        <f>IF(F32="NS",0,IF(I32&lt;0,-ROUND(I32/J32*100,0),ROUND(I32/J32*100,0)))</f>
        <v>#NUM!</v>
      </c>
      <c r="L32" s="139">
        <v>1</v>
      </c>
      <c r="M32" s="131" t="e">
        <f>IF(I32&lt;0,IF(K32&lt;-100,-125,K32),IF(K32&gt;100,125,K32))</f>
        <v>#NUM!</v>
      </c>
      <c r="N32" s="140" t="e">
        <f>IF(H32="Non",CONCATENATE(VLOOKUP(A32,liste_groupe[],5,FALSE),"-",VLOOKUP(A32,liste_groupe[],3,FALSE),VLOOKUP(A32,liste_groupe[],4,FALSE)," : ",ROUND(K32,0),"%"),CONCATENATE(VLOOKUP(A32,liste_groupe[],5,FALSE)," : ",ROUND(K32,0),"%"))</f>
        <v>#NUM!</v>
      </c>
    </row>
    <row r="33" spans="1:14" s="76" customFormat="1" ht="15.75" x14ac:dyDescent="0.25">
      <c r="A33" s="127" t="str">
        <f>'Page de garde'!A40</f>
        <v>Fadrozole-11µg/L + Testostérone</v>
      </c>
      <c r="B33" s="98"/>
      <c r="C33" s="86"/>
      <c r="D33" s="86"/>
      <c r="E33" s="81"/>
      <c r="F33" s="93" t="str">
        <f>HLOOKUP(A33,'pooled normalised values'!$B$74:$V$83,10,FALSE)</f>
        <v>***</v>
      </c>
      <c r="G33" s="132" t="e">
        <f>IF(F33="NS","NC",ROUND(B33-$B$29,2-(1+INT(LOG10(ABS(B33-$B$29))))))</f>
        <v>#NUM!</v>
      </c>
      <c r="H33" s="123" t="str">
        <f>IF(VLOOKUP(A33,liste_groupe[],4,FALSE)="%",VLOOKUP(A33,liste_groupe[],3,FALSE)/100,IF(ISBLANK(VLOOKUP(A33,liste_groupe[],4,FALSE)),"Non","Non"))</f>
        <v>Non</v>
      </c>
      <c r="I33" s="132" t="e">
        <f t="shared" ref="I33:I51" si="7">IF(F33="NS","NC",IF(H33="Non",G33,G33*(1/H33)))</f>
        <v>#NUM!</v>
      </c>
      <c r="J33" s="137" t="e">
        <f t="shared" ref="J33:J51" si="8">IF(G33&lt;0,$G$31,$G$30)</f>
        <v>#NUM!</v>
      </c>
      <c r="K33" s="138" t="e">
        <f t="shared" ref="K33:K51" si="9">IF(F33="NS",0,IF(I33&lt;0,-ROUND(I33/J33*100,0),ROUND(I33/J33*100,0)))</f>
        <v>#NUM!</v>
      </c>
      <c r="L33" s="139"/>
      <c r="M33" s="131" t="e">
        <f t="shared" ref="M33:M51" si="10">IF(I33&lt;0,IF(K33&lt;-100,-125,K33),IF(K33&gt;100,125,K33))</f>
        <v>#NUM!</v>
      </c>
      <c r="N33" s="140" t="e">
        <f>IF(H33="Non",CONCATENATE(VLOOKUP(A33,liste_groupe[],5,FALSE),"-",VLOOKUP(A33,liste_groupe[],3,FALSE),VLOOKUP(A33,liste_groupe[],4,FALSE)," : ",ROUND(K33,0),"%"),CONCATENATE(VLOOKUP(A33,liste_groupe[],5,FALSE)," : ",ROUND(K33,0),"%"))</f>
        <v>#NUM!</v>
      </c>
    </row>
    <row r="34" spans="1:14" s="76" customFormat="1" ht="15.75" x14ac:dyDescent="0.25">
      <c r="A34" s="127" t="str">
        <f>'Page de garde'!A41</f>
        <v>Fadrozole-22µg/L + Testostérone</v>
      </c>
      <c r="B34" s="99"/>
      <c r="C34" s="79"/>
      <c r="D34" s="79"/>
      <c r="E34" s="81"/>
      <c r="F34" s="93" t="str">
        <f>HLOOKUP(A34,'pooled normalised values'!$B$74:$V$83,10,FALSE)</f>
        <v>***</v>
      </c>
      <c r="G34" s="132" t="e">
        <f t="shared" si="6"/>
        <v>#NUM!</v>
      </c>
      <c r="H34" s="123" t="str">
        <f>IF(VLOOKUP(A34,liste_groupe[],4,FALSE)="%",VLOOKUP(A34,liste_groupe[],3,FALSE)/100,IF(ISBLANK(VLOOKUP(A34,liste_groupe[],4,FALSE)),"Non","Non"))</f>
        <v>Non</v>
      </c>
      <c r="I34" s="132" t="e">
        <f t="shared" si="7"/>
        <v>#NUM!</v>
      </c>
      <c r="J34" s="137" t="e">
        <f t="shared" si="8"/>
        <v>#NUM!</v>
      </c>
      <c r="K34" s="138" t="e">
        <f t="shared" si="9"/>
        <v>#NUM!</v>
      </c>
      <c r="L34" s="139"/>
      <c r="M34" s="131" t="e">
        <f t="shared" si="10"/>
        <v>#NUM!</v>
      </c>
      <c r="N34" s="140" t="e">
        <f>IF(H34="Non",CONCATENATE(VLOOKUP(A34,liste_groupe[],5,FALSE),"-",VLOOKUP(A34,liste_groupe[],3,FALSE),VLOOKUP(A34,liste_groupe[],4,FALSE)," : ",ROUND(K34,0),"%"),CONCATENATE(VLOOKUP(A34,liste_groupe[],5,FALSE)," : ",ROUND(K34,0),"%"))</f>
        <v>#NUM!</v>
      </c>
    </row>
    <row r="35" spans="1:14" s="76" customFormat="1" ht="15.75" x14ac:dyDescent="0.25">
      <c r="A35" s="127" t="str">
        <f>'Page de garde'!A42</f>
        <v>Fadrozole-44µg/L + Testostérone</v>
      </c>
      <c r="B35" s="98"/>
      <c r="C35" s="86"/>
      <c r="D35" s="86"/>
      <c r="E35" s="81"/>
      <c r="F35" s="93" t="str">
        <f>HLOOKUP(A35,'pooled normalised values'!$B$74:$V$83,10,FALSE)</f>
        <v>***</v>
      </c>
      <c r="G35" s="132" t="e">
        <f t="shared" si="6"/>
        <v>#NUM!</v>
      </c>
      <c r="H35" s="123" t="str">
        <f>IF(VLOOKUP(A35,liste_groupe[],4,FALSE)="%",VLOOKUP(A35,liste_groupe[],3,FALSE)/100,IF(ISBLANK(VLOOKUP(A35,liste_groupe[],4,FALSE)),"Non","Non"))</f>
        <v>Non</v>
      </c>
      <c r="I35" s="132" t="e">
        <f t="shared" si="7"/>
        <v>#NUM!</v>
      </c>
      <c r="J35" s="137" t="e">
        <f t="shared" si="8"/>
        <v>#NUM!</v>
      </c>
      <c r="K35" s="138" t="e">
        <f t="shared" si="9"/>
        <v>#NUM!</v>
      </c>
      <c r="L35" s="139"/>
      <c r="M35" s="131" t="e">
        <f t="shared" si="10"/>
        <v>#NUM!</v>
      </c>
      <c r="N35" s="140" t="e">
        <f>IF(H35="Non",CONCATENATE(VLOOKUP(A35,liste_groupe[],5,FALSE),"-",VLOOKUP(A35,liste_groupe[],3,FALSE),VLOOKUP(A35,liste_groupe[],4,FALSE)," : ",ROUND(K35,0),"%"),CONCATENATE(VLOOKUP(A35,liste_groupe[],5,FALSE)," : ",ROUND(K35,0),"%"))</f>
        <v>#NUM!</v>
      </c>
    </row>
    <row r="36" spans="1:14" s="76" customFormat="1" ht="15.75" x14ac:dyDescent="0.25">
      <c r="A36" s="127" t="str">
        <f>'Page de garde'!A43</f>
        <v>Fadrozole-87µg/L + Testostérone</v>
      </c>
      <c r="B36" s="98"/>
      <c r="C36" s="86"/>
      <c r="D36" s="86"/>
      <c r="E36" s="81"/>
      <c r="F36" s="93" t="str">
        <f>HLOOKUP(A36,'pooled normalised values'!$B$74:$V$83,10,FALSE)</f>
        <v>***</v>
      </c>
      <c r="G36" s="132" t="e">
        <f t="shared" si="6"/>
        <v>#NUM!</v>
      </c>
      <c r="H36" s="123" t="str">
        <f>IF(VLOOKUP(A36,liste_groupe[],4,FALSE)="%",VLOOKUP(A36,liste_groupe[],3,FALSE)/100,IF(ISBLANK(VLOOKUP(A36,liste_groupe[],4,FALSE)),"Non","Non"))</f>
        <v>Non</v>
      </c>
      <c r="I36" s="132" t="e">
        <f t="shared" si="7"/>
        <v>#NUM!</v>
      </c>
      <c r="J36" s="137" t="e">
        <f t="shared" si="8"/>
        <v>#NUM!</v>
      </c>
      <c r="K36" s="138" t="e">
        <f t="shared" si="9"/>
        <v>#NUM!</v>
      </c>
      <c r="L36" s="139"/>
      <c r="M36" s="131" t="e">
        <f t="shared" si="10"/>
        <v>#NUM!</v>
      </c>
      <c r="N36" s="140" t="e">
        <f>IF(H36="Non",CONCATENATE(VLOOKUP(A36,liste_groupe[],5,FALSE),"-",VLOOKUP(A36,liste_groupe[],3,FALSE),VLOOKUP(A36,liste_groupe[],4,FALSE)," : ",ROUND(K36,0),"%"),CONCATENATE(VLOOKUP(A36,liste_groupe[],5,FALSE)," : ",ROUND(K36,0),"%"))</f>
        <v>#NUM!</v>
      </c>
    </row>
    <row r="37" spans="1:14" s="76" customFormat="1" ht="15.75" x14ac:dyDescent="0.25">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75" x14ac:dyDescent="0.25">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75" x14ac:dyDescent="0.25">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75" x14ac:dyDescent="0.25">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75" x14ac:dyDescent="0.25">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75" x14ac:dyDescent="0.25">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75" x14ac:dyDescent="0.25">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75" x14ac:dyDescent="0.25">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75" x14ac:dyDescent="0.25">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75" x14ac:dyDescent="0.25">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75" x14ac:dyDescent="0.25">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75" x14ac:dyDescent="0.25">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75" x14ac:dyDescent="0.25">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75" x14ac:dyDescent="0.25">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75" x14ac:dyDescent="0.25">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5" thickBot="1" x14ac:dyDescent="0.3">
      <c r="E52" s="77"/>
      <c r="F52" s="77"/>
      <c r="G52" s="77"/>
      <c r="H52" s="77"/>
      <c r="I52" s="77"/>
      <c r="J52" s="77"/>
      <c r="K52" s="77"/>
      <c r="L52" s="77"/>
      <c r="M52" s="77"/>
      <c r="N52" s="77"/>
    </row>
    <row r="53" spans="1:15" s="48" customFormat="1" ht="27" thickBot="1" x14ac:dyDescent="0.3">
      <c r="A53" s="232" t="s">
        <v>60</v>
      </c>
      <c r="B53" s="233"/>
      <c r="C53" s="233"/>
      <c r="D53" s="233"/>
      <c r="E53" s="233"/>
      <c r="F53" s="233"/>
      <c r="G53" s="233"/>
      <c r="H53" s="233"/>
      <c r="I53" s="233"/>
      <c r="J53" s="233"/>
      <c r="K53" s="233"/>
      <c r="L53" s="233"/>
      <c r="M53" s="233"/>
      <c r="N53" s="233"/>
      <c r="O53" s="234"/>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79" customWidth="1"/>
    <col min="2" max="2" width="46.28515625" style="179" customWidth="1"/>
    <col min="3" max="3" width="15.28515625" style="179" customWidth="1"/>
    <col min="4" max="4" width="24.7109375" style="179" customWidth="1"/>
    <col min="5" max="5" width="24.42578125" style="179" customWidth="1"/>
    <col min="6" max="6" width="23.140625" style="179" customWidth="1"/>
    <col min="7" max="7" width="21.28515625" style="179" customWidth="1"/>
    <col min="8" max="16384" width="11.42578125" style="179"/>
  </cols>
  <sheetData>
    <row r="1" spans="1:7" ht="30.75" thickBot="1" x14ac:dyDescent="0.3">
      <c r="A1" s="184" t="s">
        <v>131</v>
      </c>
      <c r="B1" s="185" t="s">
        <v>132</v>
      </c>
      <c r="C1" s="185" t="s">
        <v>138</v>
      </c>
      <c r="D1" s="185" t="s">
        <v>137</v>
      </c>
      <c r="E1" s="185" t="s">
        <v>139</v>
      </c>
      <c r="F1" s="186" t="s">
        <v>140</v>
      </c>
      <c r="G1" s="187" t="s">
        <v>141</v>
      </c>
    </row>
    <row r="2" spans="1:7" ht="60" x14ac:dyDescent="0.25">
      <c r="A2" s="180" t="s">
        <v>133</v>
      </c>
      <c r="B2" s="181" t="s">
        <v>134</v>
      </c>
      <c r="C2" s="181" t="s">
        <v>135</v>
      </c>
      <c r="D2" s="181" t="s">
        <v>142</v>
      </c>
      <c r="E2" s="181" t="s">
        <v>136</v>
      </c>
      <c r="F2" s="182" t="s">
        <v>135</v>
      </c>
      <c r="G2" s="183" t="s">
        <v>135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0.1334876740969472</v>
      </c>
      <c r="D2" s="17" t="s">
        <v>9</v>
      </c>
      <c r="E2" s="18"/>
      <c r="F2" s="19" t="str">
        <f>'pooled normalised values'!J74</f>
        <v>Fadrozole-11µg/L</v>
      </c>
      <c r="G2" s="19" t="str">
        <f>'pooled normalised values'!K74</f>
        <v>Fadrozole-22µg/L</v>
      </c>
      <c r="H2" s="19" t="str">
        <f>'pooled normalised values'!L74</f>
        <v>Fadrozole-44µg/L</v>
      </c>
      <c r="I2" s="19" t="str">
        <f>'pooled normalised values'!M74</f>
        <v>Fadrozole-87µg/L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Fadrozole-5,4µg/L + Testostérone</v>
      </c>
      <c r="W2" s="19" t="str">
        <f>'pooled normalised values'!S74</f>
        <v>Fadrozole-11µg/L + Testostérone</v>
      </c>
      <c r="X2" s="19" t="str">
        <f>'pooled normalised values'!T74</f>
        <v>Fadrozole-22µg/L + Testostérone</v>
      </c>
      <c r="Y2" s="19" t="str">
        <f>'pooled normalised values'!U74</f>
        <v>Fadrozole-44µg/L + Testostérone</v>
      </c>
      <c r="Z2" s="19" t="str">
        <f>'pooled normalised values'!V74</f>
        <v>Fadrozole-87µg/L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6.5165469555365604E-2</v>
      </c>
      <c r="G3" s="19">
        <f>HLOOKUP(G2,'pooled normalised values'!C74:W83,2,FALSE)</f>
        <v>7.4075915272798207E-2</v>
      </c>
      <c r="H3" s="19">
        <f>HLOOKUP(H2,'pooled normalised values'!C74:X83,2,FALSE)</f>
        <v>9.7259982406741358E-2</v>
      </c>
      <c r="I3" s="19">
        <f>HLOOKUP(I2,'pooled normalised values'!D74:Y83,2,FALSE)</f>
        <v>9.1355562228920925E-2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7.2590687243425212E-2</v>
      </c>
      <c r="W3" s="19">
        <f>HLOOKUP(W2,'pooled normalised values'!N74:AM83,2,FALSE)</f>
        <v>0.13808752688553119</v>
      </c>
      <c r="X3" s="19">
        <f>HLOOKUP(X2,'pooled normalised values'!N74:AN83,2,FALSE)</f>
        <v>4.7700596112371645E-2</v>
      </c>
      <c r="Y3" s="19">
        <f>HLOOKUP(Y2,'pooled normalised values'!N74:AO83,2,FALSE)</f>
        <v>4.9255614774983025E-2</v>
      </c>
      <c r="Z3" s="19">
        <f>HLOOKUP(Z2,'pooled normalised values'!N74:AP83,2,FALSE)</f>
        <v>7.2080505679049375E-2</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1</v>
      </c>
      <c r="D4" s="21" t="s">
        <v>2</v>
      </c>
      <c r="E4" s="22"/>
      <c r="F4" s="19">
        <f>HLOOKUP(F2,'pooled normalised values'!B74:V83,3,FALSE)</f>
        <v>1.365991901400563E-2</v>
      </c>
      <c r="G4" s="19">
        <f>HLOOKUP(G2,'pooled normalised values'!C74:W83,3,FALSE)</f>
        <v>1.3642293935618353E-2</v>
      </c>
      <c r="H4" s="19">
        <f>HLOOKUP(H2,'pooled normalised values'!C74:X83,3,FALSE)</f>
        <v>1.7369233028249276E-2</v>
      </c>
      <c r="I4" s="19">
        <f>HLOOKUP(I2,'pooled normalised values'!D74:Y83,3,FALSE)</f>
        <v>2.2644499754325281E-2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1.7225498050746357E-2</v>
      </c>
      <c r="W4" s="19">
        <f>HLOOKUP(W2,'pooled normalised values'!N74:AM83,3,FALSE)</f>
        <v>3.1261102658595157E-2</v>
      </c>
      <c r="X4" s="19">
        <f>HLOOKUP(X2,'pooled normalised values'!N74:AN83,3,FALSE)</f>
        <v>1.1752679624781555E-2</v>
      </c>
      <c r="Y4" s="19">
        <f>HLOOKUP(Y2,'pooled normalised values'!N74:AO83,3,FALSE)</f>
        <v>8.5271718205970695E-3</v>
      </c>
      <c r="Z4" s="19">
        <f>HLOOKUP(Z2,'pooled normalised values'!N74:AP83,3,FALSE)</f>
        <v>1.7760978340985681E-2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1.424151172476195</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v>
      </c>
      <c r="W5" s="19" t="str">
        <f>HLOOKUP(W2,'pooled normalised values'!N74:AM83,10,FALSE)</f>
        <v>***</v>
      </c>
      <c r="X5" s="19" t="str">
        <f>HLOOKUP(X2,'pooled normalised values'!N74:AN83,10,FALSE)</f>
        <v>***</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6.6301578954507209E-2</v>
      </c>
      <c r="D6" s="21" t="s">
        <v>12</v>
      </c>
      <c r="E6" s="24">
        <f>$B$2</f>
        <v>0.1334876740969472</v>
      </c>
      <c r="F6" s="24">
        <f>$B$2</f>
        <v>0.1334876740969472</v>
      </c>
      <c r="G6" s="24">
        <f t="shared" ref="G6:R6" si="0">$B$2</f>
        <v>0.1334876740969472</v>
      </c>
      <c r="H6" s="24">
        <f t="shared" si="0"/>
        <v>0.1334876740969472</v>
      </c>
      <c r="I6" s="24">
        <f t="shared" si="0"/>
        <v>0.1334876740969472</v>
      </c>
      <c r="J6" s="24">
        <f t="shared" si="0"/>
        <v>0.1334876740969472</v>
      </c>
      <c r="K6" s="24">
        <f t="shared" si="0"/>
        <v>0.1334876740969472</v>
      </c>
      <c r="L6" s="24">
        <f t="shared" si="0"/>
        <v>0.1334876740969472</v>
      </c>
      <c r="M6" s="24">
        <f t="shared" si="0"/>
        <v>0.1334876740969472</v>
      </c>
      <c r="N6" s="24">
        <f t="shared" si="0"/>
        <v>0.1334876740969472</v>
      </c>
      <c r="O6" s="24">
        <f t="shared" si="0"/>
        <v>0.1334876740969472</v>
      </c>
      <c r="P6" s="24">
        <f t="shared" si="0"/>
        <v>0.1334876740969472</v>
      </c>
      <c r="Q6" s="24">
        <f t="shared" si="0"/>
        <v>0.1334876740969472</v>
      </c>
      <c r="R6" s="24">
        <f t="shared" si="0"/>
        <v>0.1334876740969472</v>
      </c>
      <c r="S6" s="24">
        <f>$B$2</f>
        <v>0.1334876740969472</v>
      </c>
      <c r="T6" s="24">
        <f>$B$2</f>
        <v>0.1334876740969472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6.6301578954507209E-2</v>
      </c>
      <c r="V8" s="25">
        <f t="shared" ref="V8:AJ8" si="2">$B$6</f>
        <v>6.6301578954507209E-2</v>
      </c>
      <c r="W8" s="25">
        <f t="shared" si="2"/>
        <v>6.6301578954507209E-2</v>
      </c>
      <c r="X8" s="25">
        <f t="shared" si="2"/>
        <v>6.6301578954507209E-2</v>
      </c>
      <c r="Y8" s="25">
        <f t="shared" si="2"/>
        <v>6.6301578954507209E-2</v>
      </c>
      <c r="Z8" s="25">
        <f t="shared" si="2"/>
        <v>6.6301578954507209E-2</v>
      </c>
      <c r="AA8" s="25">
        <f t="shared" si="2"/>
        <v>6.6301578954507209E-2</v>
      </c>
      <c r="AB8" s="25">
        <f t="shared" si="2"/>
        <v>6.6301578954507209E-2</v>
      </c>
      <c r="AC8" s="25">
        <f t="shared" si="2"/>
        <v>6.6301578954507209E-2</v>
      </c>
      <c r="AD8" s="25">
        <f t="shared" si="2"/>
        <v>6.6301578954507209E-2</v>
      </c>
      <c r="AE8" s="25">
        <f t="shared" si="2"/>
        <v>6.6301578954507209E-2</v>
      </c>
      <c r="AF8" s="25">
        <f t="shared" si="2"/>
        <v>6.6301578954507209E-2</v>
      </c>
      <c r="AG8" s="25">
        <f t="shared" si="2"/>
        <v>6.6301578954507209E-2</v>
      </c>
      <c r="AH8" s="25">
        <f t="shared" si="2"/>
        <v>6.6301578954507209E-2</v>
      </c>
      <c r="AI8" s="25">
        <f t="shared" si="2"/>
        <v>6.6301578954507209E-2</v>
      </c>
      <c r="AJ8" s="25">
        <f t="shared" si="2"/>
        <v>6.6301578954507209E-2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1.3578495935216879</v>
      </c>
      <c r="V9" s="25">
        <f>$B$5-V8</f>
        <v>1.3578495935216879</v>
      </c>
      <c r="W9" s="25">
        <f t="shared" ref="W9:AH9" si="4">$B$5-W8</f>
        <v>1.3578495935216879</v>
      </c>
      <c r="X9" s="25">
        <f t="shared" si="4"/>
        <v>1.3578495935216879</v>
      </c>
      <c r="Y9" s="25">
        <f t="shared" si="4"/>
        <v>1.3578495935216879</v>
      </c>
      <c r="Z9" s="25">
        <f t="shared" si="4"/>
        <v>1.3578495935216879</v>
      </c>
      <c r="AA9" s="25">
        <f t="shared" si="4"/>
        <v>1.3578495935216879</v>
      </c>
      <c r="AB9" s="25">
        <f t="shared" si="4"/>
        <v>1.3578495935216879</v>
      </c>
      <c r="AC9" s="25">
        <f t="shared" si="4"/>
        <v>1.3578495935216879</v>
      </c>
      <c r="AD9" s="25">
        <f t="shared" si="4"/>
        <v>1.3578495935216879</v>
      </c>
      <c r="AE9" s="25">
        <f t="shared" si="4"/>
        <v>1.3578495935216879</v>
      </c>
      <c r="AF9" s="25">
        <f t="shared" si="4"/>
        <v>1.3578495935216879</v>
      </c>
      <c r="AG9" s="25">
        <f t="shared" si="4"/>
        <v>1.3578495935216879</v>
      </c>
      <c r="AH9" s="25">
        <f t="shared" si="4"/>
        <v>1.3578495935216879</v>
      </c>
      <c r="AI9" s="25">
        <f>$B$5-AI8</f>
        <v>1.3578495935216879</v>
      </c>
      <c r="AJ9" s="25">
        <f>$B$5-AJ8</f>
        <v>1.3578495935216879</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1.1421504064783121</v>
      </c>
      <c r="V10" s="25">
        <f>2.5-V9</f>
        <v>1.1421504064783121</v>
      </c>
      <c r="W10" s="25">
        <f t="shared" ref="W10:AH10" si="6">2.5-W9</f>
        <v>1.1421504064783121</v>
      </c>
      <c r="X10" s="25">
        <f t="shared" si="6"/>
        <v>1.1421504064783121</v>
      </c>
      <c r="Y10" s="25">
        <f t="shared" si="6"/>
        <v>1.1421504064783121</v>
      </c>
      <c r="Z10" s="25">
        <f t="shared" si="6"/>
        <v>1.1421504064783121</v>
      </c>
      <c r="AA10" s="25">
        <f t="shared" si="6"/>
        <v>1.1421504064783121</v>
      </c>
      <c r="AB10" s="25">
        <f t="shared" si="6"/>
        <v>1.1421504064783121</v>
      </c>
      <c r="AC10" s="25">
        <f t="shared" si="6"/>
        <v>1.1421504064783121</v>
      </c>
      <c r="AD10" s="25">
        <f t="shared" si="6"/>
        <v>1.1421504064783121</v>
      </c>
      <c r="AE10" s="25">
        <f t="shared" si="6"/>
        <v>1.1421504064783121</v>
      </c>
      <c r="AF10" s="25">
        <f t="shared" si="6"/>
        <v>1.1421504064783121</v>
      </c>
      <c r="AG10" s="25">
        <f t="shared" si="6"/>
        <v>1.1421504064783121</v>
      </c>
      <c r="AH10" s="25">
        <f t="shared" si="6"/>
        <v>1.1421504064783121</v>
      </c>
      <c r="AI10" s="25">
        <f>2.5-AI9</f>
        <v>1.1421504064783121</v>
      </c>
      <c r="AJ10" s="25">
        <f>2.5-AJ9</f>
        <v>1.1421504064783121</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0.1334876740969472</v>
      </c>
      <c r="D2" s="17" t="s">
        <v>9</v>
      </c>
      <c r="E2" s="18"/>
      <c r="F2" s="19" t="str">
        <f>'pooled normalised values'!J74</f>
        <v>Fadrozole-11µg/L</v>
      </c>
      <c r="G2" s="18"/>
      <c r="H2" s="20"/>
      <c r="I2" s="19" t="str">
        <f>'pooled normalised values'!R74</f>
        <v>Fadrozole-5,4µg/L + Testostérone</v>
      </c>
      <c r="J2" s="20"/>
      <c r="K2" s="17" t="s">
        <v>9</v>
      </c>
    </row>
    <row r="3" spans="1:11" x14ac:dyDescent="0.2">
      <c r="A3" s="17" t="s">
        <v>71</v>
      </c>
      <c r="B3" s="63">
        <f>'summary results'!E6</f>
        <v>0</v>
      </c>
      <c r="D3" s="21" t="s">
        <v>10</v>
      </c>
      <c r="E3" s="22"/>
      <c r="F3" s="19">
        <f>HLOOKUP(F2,'pooled normalised values'!B74:V83,2,FALSE)</f>
        <v>6.5165469555365604E-2</v>
      </c>
      <c r="G3" s="22"/>
      <c r="H3" s="20"/>
      <c r="I3" s="19">
        <f>HLOOKUP(I2,'pooled normalised values'!N74:AL83,2,FALSE)</f>
        <v>7.2590687243425212E-2</v>
      </c>
      <c r="J3" s="20"/>
      <c r="K3" s="21" t="s">
        <v>10</v>
      </c>
    </row>
    <row r="4" spans="1:11" x14ac:dyDescent="0.2">
      <c r="A4" s="17" t="s">
        <v>72</v>
      </c>
      <c r="B4" s="63">
        <f>'pooled normalised values'!O75</f>
        <v>1</v>
      </c>
      <c r="D4" s="21" t="s">
        <v>2</v>
      </c>
      <c r="E4" s="22"/>
      <c r="F4" s="19">
        <f>HLOOKUP(F2,'pooled normalised values'!B74:V83,3,FALSE)</f>
        <v>1.365991901400563E-2</v>
      </c>
      <c r="G4" s="22"/>
      <c r="H4" s="20"/>
      <c r="I4" s="19">
        <f>HLOOKUP(I2,'pooled normalised values'!N74:AL83,3,FALSE)</f>
        <v>1.7225498050746357E-2</v>
      </c>
      <c r="J4" s="20"/>
      <c r="K4" s="21" t="s">
        <v>2</v>
      </c>
    </row>
    <row r="5" spans="1:11" x14ac:dyDescent="0.2">
      <c r="A5" s="17" t="s">
        <v>73</v>
      </c>
      <c r="B5" s="63">
        <f>'pooled normalised values'!P75</f>
        <v>1.424151172476195</v>
      </c>
      <c r="D5" s="23" t="s">
        <v>11</v>
      </c>
      <c r="E5" s="22"/>
      <c r="F5" s="19" t="str">
        <f>HLOOKUP(F2,'pooled normalised values'!B74:V83,10,FALSE)</f>
        <v>NS</v>
      </c>
      <c r="G5" s="22"/>
      <c r="H5" s="20"/>
      <c r="I5" s="19" t="str">
        <f>HLOOKUP(I2,'pooled normalised values'!N74:AL83,10,FALSE)</f>
        <v>***</v>
      </c>
      <c r="J5" s="20"/>
      <c r="K5" s="23" t="s">
        <v>11</v>
      </c>
    </row>
    <row r="6" spans="1:11" x14ac:dyDescent="0.2">
      <c r="A6" s="17" t="s">
        <v>74</v>
      </c>
      <c r="B6" s="63">
        <f>'pooled normalised values'!Q75</f>
        <v>6.6301578954507209E-2</v>
      </c>
      <c r="D6" s="21" t="s">
        <v>12</v>
      </c>
      <c r="E6" s="24">
        <f>$B$2</f>
        <v>0.1334876740969472</v>
      </c>
      <c r="F6" s="24">
        <f>$B$2</f>
        <v>0.1334876740969472</v>
      </c>
      <c r="G6" s="24">
        <f>$B$2</f>
        <v>0.1334876740969472</v>
      </c>
      <c r="H6" s="25"/>
      <c r="I6" s="25"/>
      <c r="J6" s="25"/>
      <c r="K6" s="21" t="s">
        <v>12</v>
      </c>
    </row>
    <row r="7" spans="1:11" x14ac:dyDescent="0.2">
      <c r="B7" s="26"/>
      <c r="D7" s="26" t="s">
        <v>13</v>
      </c>
      <c r="E7" s="24"/>
      <c r="F7" s="24"/>
      <c r="G7" s="27"/>
      <c r="H7" s="25">
        <f t="shared" ref="H7:J7" si="0">$B$4</f>
        <v>1</v>
      </c>
      <c r="I7" s="25">
        <f t="shared" si="0"/>
        <v>1</v>
      </c>
      <c r="J7" s="25">
        <f t="shared" si="0"/>
        <v>1</v>
      </c>
      <c r="K7" s="26" t="s">
        <v>13</v>
      </c>
    </row>
    <row r="8" spans="1:11" x14ac:dyDescent="0.2">
      <c r="D8" s="28" t="s">
        <v>14</v>
      </c>
      <c r="E8" s="24">
        <v>0</v>
      </c>
      <c r="F8" s="24">
        <v>0</v>
      </c>
      <c r="G8" s="27">
        <v>0</v>
      </c>
      <c r="H8" s="25">
        <f>$B$6</f>
        <v>6.6301578954507209E-2</v>
      </c>
      <c r="I8" s="25">
        <f t="shared" ref="I8:J8" si="1">$B$6</f>
        <v>6.6301578954507209E-2</v>
      </c>
      <c r="J8" s="25">
        <f t="shared" si="1"/>
        <v>6.6301578954507209E-2</v>
      </c>
      <c r="K8" s="28" t="s">
        <v>14</v>
      </c>
    </row>
    <row r="9" spans="1:11" x14ac:dyDescent="0.2">
      <c r="D9" s="28" t="s">
        <v>15</v>
      </c>
      <c r="E9" s="29">
        <f>$B$3-E8</f>
        <v>0</v>
      </c>
      <c r="F9" s="29">
        <f>$B$3-F8</f>
        <v>0</v>
      </c>
      <c r="G9" s="29">
        <f>$B$3-G8</f>
        <v>0</v>
      </c>
      <c r="H9" s="25">
        <f>$B$5-H8</f>
        <v>1.3578495935216879</v>
      </c>
      <c r="I9" s="25">
        <f>$B$5-I8</f>
        <v>1.3578495935216879</v>
      </c>
      <c r="J9" s="25">
        <f>$B$5-J8</f>
        <v>1.3578495935216879</v>
      </c>
      <c r="K9" s="28" t="s">
        <v>15</v>
      </c>
    </row>
    <row r="10" spans="1:11" x14ac:dyDescent="0.2">
      <c r="D10" s="28" t="s">
        <v>16</v>
      </c>
      <c r="E10" s="27">
        <f t="shared" ref="E10:J10" si="2">2.5-E9</f>
        <v>2.5</v>
      </c>
      <c r="F10" s="27">
        <f t="shared" si="2"/>
        <v>2.5</v>
      </c>
      <c r="G10" s="27">
        <f t="shared" si="2"/>
        <v>2.5</v>
      </c>
      <c r="H10" s="25">
        <f t="shared" si="2"/>
        <v>1.1421504064783121</v>
      </c>
      <c r="I10" s="25">
        <f t="shared" si="2"/>
        <v>1.1421504064783121</v>
      </c>
      <c r="J10" s="25">
        <f t="shared" si="2"/>
        <v>1.1421504064783121</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5" t="s">
        <v>99</v>
      </c>
      <c r="R1" s="235"/>
      <c r="S1" s="235"/>
      <c r="U1" s="235" t="s">
        <v>98</v>
      </c>
      <c r="V1" s="235"/>
      <c r="W1" s="235"/>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25">
      <c r="A3" s="1" t="str">
        <f>Q7</f>
        <v>Fadrozole-5,4µg/L</v>
      </c>
      <c r="B3" t="str">
        <f t="shared" si="0"/>
        <v>Fadrozole-5,4µg/L + Testostérone</v>
      </c>
      <c r="D3" t="str">
        <f>CONCATENATE(VLOOKUP(Tableau3[[#This Row],[Nom ND]],liste_groupe[],3,FALSE),VLOOKUP(Tableau3[[#This Row],[Nom ND]],liste_groupe[],4,FALSE))</f>
        <v>5,4µg/L</v>
      </c>
      <c r="E3">
        <f>HLOOKUP(Tableau3[[#This Row],[Nom ND]],'pooled normalised values'!$B$74:$V$83,4,FALSE)</f>
        <v>23.086696706590629</v>
      </c>
      <c r="F3" t="str">
        <f>HLOOKUP(Tableau3[[#This Row],[Nom ND]],'pooled normalised values'!$B$74:$V$83,8,FALSE)</f>
        <v>Kruskal-Wallis</v>
      </c>
      <c r="G3" t="str">
        <f>VLOOKUP(Tableau3[[#This Row],[Nom ND]],'summary results'!$A$6:$N$26,9,FALSE)</f>
        <v>NC</v>
      </c>
      <c r="H3">
        <f>VLOOKUP(Tableau3[[#This Row],[Nom ND]],'summary results'!$A$6:$N$26,11,FALSE)</f>
        <v>0</v>
      </c>
      <c r="I3">
        <f>HLOOKUP(Tableau3[[#This Row],[Nom D]],'pooled normalised values'!$B$74:$V$83,4,FALSE)</f>
        <v>-92.740931275657474</v>
      </c>
      <c r="J3" t="str">
        <f>HLOOKUP(Tableau3[[#This Row],[Nom D]],'pooled normalised values'!$B$74:$V$83,8,FALSE)</f>
        <v>ANOVA</v>
      </c>
      <c r="K3" t="e">
        <f>VLOOKUP(Tableau3[[#This Row],[Nom D]],'summary results'!$A$29:$N$51,9,FALSE)</f>
        <v>#NUM!</v>
      </c>
      <c r="L3" t="e">
        <f>VLOOKUP(Tableau3[[#This Row],[Nom D]],'summary results'!$A$29:$N$51,11,FALSE)</f>
        <v>#NUM!</v>
      </c>
      <c r="M3" s="1" t="e">
        <f>'summary results'!$G$30</f>
        <v>#NUM!</v>
      </c>
      <c r="N3" s="1" t="e">
        <f>'summary results'!$G$31</f>
        <v>#NUM!</v>
      </c>
      <c r="Q3" s="118" t="s">
        <v>78</v>
      </c>
      <c r="R3" s="1" t="s">
        <v>106</v>
      </c>
      <c r="U3" s="118" t="s">
        <v>78</v>
      </c>
      <c r="V3" s="1" t="s">
        <v>50</v>
      </c>
    </row>
    <row r="4" spans="1:23" x14ac:dyDescent="0.25">
      <c r="A4" s="1" t="str">
        <f t="shared" ref="A4:A15" si="1">Q8</f>
        <v>Fadrozole-11µg/L</v>
      </c>
      <c r="B4" s="44" t="str">
        <f t="shared" ref="B4:B15" si="2">U8</f>
        <v>Fadrozole-11µg/L + Testostérone</v>
      </c>
      <c r="D4" s="44" t="str">
        <f>CONCATENATE(VLOOKUP(Tableau3[[#This Row],[Nom ND]],liste_groupe[],3,FALSE),VLOOKUP(Tableau3[[#This Row],[Nom ND]],liste_groupe[],4,FALSE))</f>
        <v>11µg/L</v>
      </c>
      <c r="E4" s="44">
        <f>HLOOKUP(Tableau3[[#This Row],[Nom ND]],'pooled normalised values'!$B$74:$V$83,4,FALSE)</f>
        <v>-51.182406917931381</v>
      </c>
      <c r="F4" s="44" t="str">
        <f>HLOOKUP(Tableau3[[#This Row],[Nom ND]],'pooled normalised values'!$B$74:$V$83,8,FALSE)</f>
        <v>Krustall Wallis</v>
      </c>
      <c r="G4" s="44" t="str">
        <f>VLOOKUP(Tableau3[[#This Row],[Nom ND]],'summary results'!$A$6:$N$26,9,FALSE)</f>
        <v>NC</v>
      </c>
      <c r="H4" s="44">
        <f>VLOOKUP(Tableau3[[#This Row],[Nom ND]],'summary results'!$A$6:$N$26,11,FALSE)</f>
        <v>0</v>
      </c>
      <c r="I4" s="44">
        <f>HLOOKUP(Tableau3[[#This Row],[Nom D]],'pooled normalised values'!$B$74:$V$83,4,FALSE)</f>
        <v>-86.191247311446887</v>
      </c>
      <c r="J4" s="44" t="str">
        <f>HLOOKUP(Tableau3[[#This Row],[Nom D]],'pooled normalised values'!$B$74:$V$83,8,FALSE)</f>
        <v>ANOVA</v>
      </c>
      <c r="K4" s="44" t="e">
        <f>VLOOKUP(Tableau3[[#This Row],[Nom D]],'summary results'!$A$29:$N$51,9,FALSE)</f>
        <v>#NUM!</v>
      </c>
      <c r="L4" s="44" t="e">
        <f>VLOOKUP(Tableau3[[#This Row],[Nom D]],'summary results'!$A$29:$N$51,11,FALSE)</f>
        <v>#NUM!</v>
      </c>
      <c r="M4" t="e">
        <f>'summary results'!$G$30</f>
        <v>#NUM!</v>
      </c>
      <c r="N4" t="e">
        <f>'summary results'!$G$31</f>
        <v>#NUM!</v>
      </c>
    </row>
    <row r="5" spans="1:23" x14ac:dyDescent="0.25">
      <c r="A5" s="1" t="str">
        <f t="shared" si="1"/>
        <v>Fadrozole-22µg/L</v>
      </c>
      <c r="B5" s="44" t="str">
        <f t="shared" si="2"/>
        <v>Fadrozole-22µg/L + Testostérone</v>
      </c>
      <c r="D5" s="44" t="str">
        <f>CONCATENATE(VLOOKUP(Tableau3[[#This Row],[Nom ND]],liste_groupe[],3,FALSE),VLOOKUP(Tableau3[[#This Row],[Nom ND]],liste_groupe[],4,FALSE))</f>
        <v>22µg/L</v>
      </c>
      <c r="E5" s="44">
        <f>HLOOKUP(Tableau3[[#This Row],[Nom ND]],'pooled normalised values'!$B$74:$V$83,4,FALSE)</f>
        <v>-44.50729943874849</v>
      </c>
      <c r="F5" s="44" t="str">
        <f>HLOOKUP(Tableau3[[#This Row],[Nom ND]],'pooled normalised values'!$B$74:$V$83,8,FALSE)</f>
        <v>Krustall Wallis</v>
      </c>
      <c r="G5" s="44" t="str">
        <f>VLOOKUP(Tableau3[[#This Row],[Nom ND]],'summary results'!$A$6:$N$26,9,FALSE)</f>
        <v>NC</v>
      </c>
      <c r="H5" s="44">
        <f>VLOOKUP(Tableau3[[#This Row],[Nom ND]],'summary results'!$A$6:$N$26,11,FALSE)</f>
        <v>0</v>
      </c>
      <c r="I5" s="44">
        <f>HLOOKUP(Tableau3[[#This Row],[Nom D]],'pooled normalised values'!$B$74:$V$83,4,FALSE)</f>
        <v>-95.229940388762842</v>
      </c>
      <c r="J5" s="44" t="str">
        <f>HLOOKUP(Tableau3[[#This Row],[Nom D]],'pooled normalised values'!$B$74:$V$83,8,FALSE)</f>
        <v>ANOVA</v>
      </c>
      <c r="K5" s="44" t="e">
        <f>VLOOKUP(Tableau3[[#This Row],[Nom D]],'summary results'!$A$29:$N$51,9,FALSE)</f>
        <v>#NUM!</v>
      </c>
      <c r="L5" s="44" t="e">
        <f>VLOOKUP(Tableau3[[#This Row],[Nom D]],'summary results'!$A$29:$N$51,11,FALSE)</f>
        <v>#NUM!</v>
      </c>
      <c r="M5" t="e">
        <f>'summary results'!$G$30</f>
        <v>#NUM!</v>
      </c>
      <c r="N5" t="e">
        <f>'summary results'!$G$31</f>
        <v>#NUM!</v>
      </c>
      <c r="Q5" s="118" t="s">
        <v>100</v>
      </c>
      <c r="U5" s="118" t="s">
        <v>100</v>
      </c>
    </row>
    <row r="6" spans="1:23" x14ac:dyDescent="0.25">
      <c r="A6" s="1" t="str">
        <f t="shared" si="1"/>
        <v>Fadrozole-44µg/L</v>
      </c>
      <c r="B6" s="44" t="str">
        <f t="shared" si="2"/>
        <v>Fadrozole-44µg/L + Testostérone</v>
      </c>
      <c r="D6" s="44" t="str">
        <f>CONCATENATE(VLOOKUP(Tableau3[[#This Row],[Nom ND]],liste_groupe[],3,FALSE),VLOOKUP(Tableau3[[#This Row],[Nom ND]],liste_groupe[],4,FALSE))</f>
        <v>44µg/L</v>
      </c>
      <c r="E6" s="44">
        <f>HLOOKUP(Tableau3[[#This Row],[Nom ND]],'pooled normalised values'!$B$74:$V$83,4,FALSE)</f>
        <v>-27.139353453634229</v>
      </c>
      <c r="F6" s="44" t="str">
        <f>HLOOKUP(Tableau3[[#This Row],[Nom ND]],'pooled normalised values'!$B$74:$V$83,8,FALSE)</f>
        <v>Krustall Wallis</v>
      </c>
      <c r="G6" s="44" t="str">
        <f>VLOOKUP(Tableau3[[#This Row],[Nom ND]],'summary results'!$A$6:$N$26,9,FALSE)</f>
        <v>NC</v>
      </c>
      <c r="H6" s="44">
        <f>VLOOKUP(Tableau3[[#This Row],[Nom ND]],'summary results'!$A$6:$N$26,11,FALSE)</f>
        <v>0</v>
      </c>
      <c r="I6" s="44">
        <f>HLOOKUP(Tableau3[[#This Row],[Nom D]],'pooled normalised values'!$B$74:$V$83,4,FALSE)</f>
        <v>-95.074438522501694</v>
      </c>
      <c r="J6" s="44" t="str">
        <f>HLOOKUP(Tableau3[[#This Row],[Nom D]],'pooled normalised values'!$B$74:$V$83,8,FALSE)</f>
        <v>ANOVA</v>
      </c>
      <c r="K6" s="44" t="e">
        <f>VLOOKUP(Tableau3[[#This Row],[Nom D]],'summary results'!$A$29:$N$51,9,FALSE)</f>
        <v>#NUM!</v>
      </c>
      <c r="L6" s="44" t="e">
        <f>VLOOKUP(Tableau3[[#This Row],[Nom D]],'summary results'!$A$29:$N$51,11,FALSE)</f>
        <v>#NUM!</v>
      </c>
      <c r="M6" t="e">
        <f>'summary results'!$G$30</f>
        <v>#NUM!</v>
      </c>
      <c r="N6" t="e">
        <f>'summary results'!$G$31</f>
        <v>#NUM!</v>
      </c>
      <c r="Q6" s="145" t="s">
        <v>112</v>
      </c>
      <c r="U6" s="145" t="s">
        <v>101</v>
      </c>
    </row>
    <row r="7" spans="1:23" x14ac:dyDescent="0.25">
      <c r="A7" s="1" t="str">
        <f t="shared" si="1"/>
        <v>Fadrozole-87µg/L</v>
      </c>
      <c r="B7" s="44" t="str">
        <f t="shared" si="2"/>
        <v>Fadrozole-87µg/L + Testostérone</v>
      </c>
      <c r="D7" s="44" t="str">
        <f>CONCATENATE(VLOOKUP(Tableau3[[#This Row],[Nom ND]],liste_groupe[],3,FALSE),VLOOKUP(Tableau3[[#This Row],[Nom ND]],liste_groupe[],4,FALSE))</f>
        <v>87µg/L</v>
      </c>
      <c r="E7" s="44">
        <f>HLOOKUP(Tableau3[[#This Row],[Nom ND]],'pooled normalised values'!$B$74:$V$83,4,FALSE)</f>
        <v>-31.562548492250514</v>
      </c>
      <c r="F7" s="44" t="str">
        <f>HLOOKUP(Tableau3[[#This Row],[Nom ND]],'pooled normalised values'!$B$74:$V$83,8,FALSE)</f>
        <v>Krustall Wallis</v>
      </c>
      <c r="G7" s="44" t="str">
        <f>VLOOKUP(Tableau3[[#This Row],[Nom ND]],'summary results'!$A$6:$N$26,9,FALSE)</f>
        <v>NC</v>
      </c>
      <c r="H7" s="44">
        <f>VLOOKUP(Tableau3[[#This Row],[Nom ND]],'summary results'!$A$6:$N$26,11,FALSE)</f>
        <v>0</v>
      </c>
      <c r="I7" s="44">
        <f>HLOOKUP(Tableau3[[#This Row],[Nom D]],'pooled normalised values'!$B$74:$V$83,4,FALSE)</f>
        <v>-92.791949432095066</v>
      </c>
      <c r="J7" s="44" t="str">
        <f>HLOOKUP(Tableau3[[#This Row],[Nom D]],'pooled normalised values'!$B$74:$V$83,8,FALSE)</f>
        <v>ANOVA</v>
      </c>
      <c r="K7" s="44" t="e">
        <f>VLOOKUP(Tableau3[[#This Row],[Nom D]],'summary results'!$A$29:$N$51,9,FALSE)</f>
        <v>#NUM!</v>
      </c>
      <c r="L7" s="44" t="e">
        <f>VLOOKUP(Tableau3[[#This Row],[Nom D]],'summary results'!$A$29:$N$51,11,FALSE)</f>
        <v>#NUM!</v>
      </c>
      <c r="M7" t="e">
        <f>'summary results'!$G$30</f>
        <v>#NUM!</v>
      </c>
      <c r="N7" t="e">
        <f>'summary results'!$G$31</f>
        <v>#NUM!</v>
      </c>
      <c r="Q7" s="145" t="s">
        <v>165</v>
      </c>
      <c r="U7" s="145" t="s">
        <v>1559</v>
      </c>
    </row>
    <row r="8" spans="1:23" x14ac:dyDescent="0.2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145" t="s">
        <v>166</v>
      </c>
      <c r="U8" s="145" t="s">
        <v>1560</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145" t="s">
        <v>167</v>
      </c>
      <c r="U9" s="145" t="s">
        <v>1561</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145" t="s">
        <v>168</v>
      </c>
      <c r="U10" s="145" t="s">
        <v>1562</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145" t="s">
        <v>169</v>
      </c>
      <c r="U11" s="145" t="s">
        <v>1563</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3B0DDC-88FD-42D8-AB0D-B955B5B4BBF3}"/>
</file>

<file path=customXml/itemProps2.xml><?xml version="1.0" encoding="utf-8"?>
<ds:datastoreItem xmlns:ds="http://schemas.openxmlformats.org/officeDocument/2006/customXml" ds:itemID="{EA463A9E-3167-4037-B95E-84BD7A4562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2021-11-16T14:24:54Z</dcterms:modified>
</cp:coreProperties>
</file>